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725ACA2-E1B4-4C6A-BF17-56515538C539}" xr6:coauthVersionLast="47" xr6:coauthVersionMax="47" xr10:uidLastSave="{00000000-0000-0000-0000-000000000000}"/>
  <bookViews>
    <workbookView xWindow="0" yWindow="360" windowWidth="19420" windowHeight="10300" tabRatio="500" activeTab="2" xr2:uid="{00000000-000D-0000-FFFF-FFFF00000000}"/>
  </bookViews>
  <sheets>
    <sheet name="RESUMEN EJECUTIVO" sheetId="1" r:id="rId1"/>
    <sheet name="POR PROVINCIA" sheetId="2" r:id="rId2"/>
    <sheet name="POR DISTRITO" sheetId="3" r:id="rId3"/>
    <sheet name="CRONOGRAMA" sheetId="4" r:id="rId4"/>
    <sheet name="ESTADÍSTICAS" sheetId="5" r:id="rId5"/>
    <sheet name="DATOS_ORIGEN" sheetId="6" r:id="rId6"/>
    <sheet name="Hoja1" sheetId="7" r:id="rId7"/>
  </sheets>
  <definedNames>
    <definedName name="_xlnm._FilterDatabase" localSheetId="5" hidden="1">DATOS_ORIGEN!$B$5:$I$89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4" i="3" l="1"/>
  <c r="F24" i="3" s="1"/>
  <c r="D24" i="3"/>
  <c r="I89" i="6"/>
  <c r="E89" i="6"/>
  <c r="H11" i="2"/>
  <c r="E11" i="2"/>
  <c r="D11" i="2"/>
  <c r="C11" i="2"/>
  <c r="D22" i="1"/>
  <c r="D21" i="1"/>
  <c r="C13" i="1"/>
  <c r="C12" i="1"/>
  <c r="C11" i="1"/>
  <c r="C10" i="1"/>
</calcChain>
</file>

<file path=xl/sharedStrings.xml><?xml version="1.0" encoding="utf-8"?>
<sst xmlns="http://schemas.openxmlformats.org/spreadsheetml/2006/main" count="472" uniqueCount="200">
  <si>
    <t>REPORTE ESTADÍSTICO - BLOQUES DE INSPECCIÓN</t>
  </si>
  <si>
    <t>Proyecto IN Piura - Infraestructura Natural</t>
  </si>
  <si>
    <t>Fecha de elaboración: 19/02/2026</t>
  </si>
  <si>
    <t>INDICADORES CLAVE</t>
  </si>
  <si>
    <t>Total de Bloques</t>
  </si>
  <si>
    <t>unidades</t>
  </si>
  <si>
    <t>Área Total</t>
  </si>
  <si>
    <t>hectáreas</t>
  </si>
  <si>
    <t>Área Promedio por Bloque</t>
  </si>
  <si>
    <t>Total Días de Evaluación</t>
  </si>
  <si>
    <t>días</t>
  </si>
  <si>
    <t>Promedio Días por Bloque</t>
  </si>
  <si>
    <t>Provincias Involucradas</t>
  </si>
  <si>
    <t>provincias</t>
  </si>
  <si>
    <t>Distritos Involucrados</t>
  </si>
  <si>
    <t>distritos</t>
  </si>
  <si>
    <t>DISTRIBUCIÓN POR ACCESIBILIDAD</t>
  </si>
  <si>
    <t>Tipo</t>
  </si>
  <si>
    <t>Bloques</t>
  </si>
  <si>
    <t>Porcentaje</t>
  </si>
  <si>
    <t>Accesibilidad Alta (0)</t>
  </si>
  <si>
    <t>Accesibilidad Baja (1)</t>
  </si>
  <si>
    <t>ANÁLISIS POR PROVINCIA</t>
  </si>
  <si>
    <t>Provincia</t>
  </si>
  <si>
    <t>N° Bloques</t>
  </si>
  <si>
    <t>Área Total (ha)</t>
  </si>
  <si>
    <t>Área Promedio (ha)</t>
  </si>
  <si>
    <t>Área Mín (ha)</t>
  </si>
  <si>
    <t>Área Máx (ha)</t>
  </si>
  <si>
    <t>Días Totales</t>
  </si>
  <si>
    <t>Días Promedio</t>
  </si>
  <si>
    <t>MORROPON</t>
  </si>
  <si>
    <t>HUANCABAMBA</t>
  </si>
  <si>
    <t>AYABACA</t>
  </si>
  <si>
    <t>PIURA</t>
  </si>
  <si>
    <t>SULLANA</t>
  </si>
  <si>
    <t>TOTAL</t>
  </si>
  <si>
    <t>ANÁLISIS POR DISTRITO</t>
  </si>
  <si>
    <t>Distrito</t>
  </si>
  <si>
    <t>BUENOS AIRES</t>
  </si>
  <si>
    <t>CHULUCANAS</t>
  </si>
  <si>
    <t>HUARMACA</t>
  </si>
  <si>
    <t>SALITRAL</t>
  </si>
  <si>
    <t>FRIAS</t>
  </si>
  <si>
    <t>SAN JUAN DE BIGOTE</t>
  </si>
  <si>
    <t>LA MATANZA</t>
  </si>
  <si>
    <t>CANCHAQUE</t>
  </si>
  <si>
    <t>TAMBO GRANDE</t>
  </si>
  <si>
    <t>YAMANGO</t>
  </si>
  <si>
    <t>LAS LOMAS</t>
  </si>
  <si>
    <t>SANTO DOMINGO</t>
  </si>
  <si>
    <t>SAN MIGUEL DE EL FAIQUE</t>
  </si>
  <si>
    <t>CHALACO</t>
  </si>
  <si>
    <t>SANTA CATALINA DE MOSSA</t>
  </si>
  <si>
    <t>TOP 10 DISTRITOS POR ÁREA</t>
  </si>
  <si>
    <t>DISTRIBUCIÓN DE BLOQUES POR DÍA DE EVALUACIÓN</t>
  </si>
  <si>
    <t>Día</t>
  </si>
  <si>
    <t>% Acumulado Bloques</t>
  </si>
  <si>
    <t>ESTADÍSTICAS DESCRIPTIVAS</t>
  </si>
  <si>
    <t>VARIABLE: ÁREA (hectáreas)</t>
  </si>
  <si>
    <t>DISTRIBUCIÓN POR RANGOS DE ÁREA</t>
  </si>
  <si>
    <t>Estadístico</t>
  </si>
  <si>
    <t>Valor</t>
  </si>
  <si>
    <t>Rango</t>
  </si>
  <si>
    <t>%</t>
  </si>
  <si>
    <t>Mínimo</t>
  </si>
  <si>
    <t>0-100 ha</t>
  </si>
  <si>
    <t>Máximo</t>
  </si>
  <si>
    <t>100-250 ha</t>
  </si>
  <si>
    <t>Media</t>
  </si>
  <si>
    <t>250-500 ha</t>
  </si>
  <si>
    <t>Mediana</t>
  </si>
  <si>
    <t>500-1000 ha</t>
  </si>
  <si>
    <t>Desviación Estándar</t>
  </si>
  <si>
    <t>&gt;1000 ha</t>
  </si>
  <si>
    <t>Percentil 25</t>
  </si>
  <si>
    <t>Percentil 75</t>
  </si>
  <si>
    <t>Rango Intercuartílico</t>
  </si>
  <si>
    <t>Coeficiente de Variación</t>
  </si>
  <si>
    <t>VARIABLE: DÍAS DE EVALUACIÓN</t>
  </si>
  <si>
    <t>Total Días Planificados</t>
  </si>
  <si>
    <t>BASE DE DATOS COMPLETA</t>
  </si>
  <si>
    <t>N°</t>
  </si>
  <si>
    <t>Microcuenca</t>
  </si>
  <si>
    <t>Bloque</t>
  </si>
  <si>
    <t>Área (ha)</t>
  </si>
  <si>
    <t>Accesibilidad</t>
  </si>
  <si>
    <t>Día Evaluación</t>
  </si>
  <si>
    <t>C1107-Q9541</t>
  </si>
  <si>
    <t>M25B1</t>
  </si>
  <si>
    <t>C1107-Q9539</t>
  </si>
  <si>
    <t>M35B1</t>
  </si>
  <si>
    <t>C1096-Q9547</t>
  </si>
  <si>
    <t>M10B4</t>
  </si>
  <si>
    <t>C1096-Q9545</t>
  </si>
  <si>
    <t>M9B1</t>
  </si>
  <si>
    <t>C1108-Q9552</t>
  </si>
  <si>
    <t>M5B3</t>
  </si>
  <si>
    <t>M5B1</t>
  </si>
  <si>
    <t>C1096-Q9558</t>
  </si>
  <si>
    <t>M8B5</t>
  </si>
  <si>
    <t>C1096-Q9556</t>
  </si>
  <si>
    <t>M17B1</t>
  </si>
  <si>
    <t>C1096-Q9557</t>
  </si>
  <si>
    <t>M27B1</t>
  </si>
  <si>
    <t>M10B1</t>
  </si>
  <si>
    <t>M17B6</t>
  </si>
  <si>
    <t>M17B11</t>
  </si>
  <si>
    <t>M17B4</t>
  </si>
  <si>
    <t>M17B10</t>
  </si>
  <si>
    <t>M17B5</t>
  </si>
  <si>
    <t>M8B4</t>
  </si>
  <si>
    <t>M17B7</t>
  </si>
  <si>
    <t>C1086-Q9576</t>
  </si>
  <si>
    <t>M36B2</t>
  </si>
  <si>
    <t>C1096-Q9564</t>
  </si>
  <si>
    <t>M29B1</t>
  </si>
  <si>
    <t>C1086-Q9570</t>
  </si>
  <si>
    <t>M19B5</t>
  </si>
  <si>
    <t>M36B1</t>
  </si>
  <si>
    <t>M19B7</t>
  </si>
  <si>
    <t>M19B2</t>
  </si>
  <si>
    <t>M8B2</t>
  </si>
  <si>
    <t>C1086-Q9569</t>
  </si>
  <si>
    <t>M32B2</t>
  </si>
  <si>
    <t>M32B3</t>
  </si>
  <si>
    <t>C1078-Q9562</t>
  </si>
  <si>
    <t>M34B1</t>
  </si>
  <si>
    <t>M8B1</t>
  </si>
  <si>
    <t>M27B4</t>
  </si>
  <si>
    <t>C1080-Q9560</t>
  </si>
  <si>
    <t>M16B3</t>
  </si>
  <si>
    <t>M16B2</t>
  </si>
  <si>
    <t>M27B5</t>
  </si>
  <si>
    <t>C1077-Q9566</t>
  </si>
  <si>
    <t>M6B10</t>
  </si>
  <si>
    <t>C1086-Q9575</t>
  </si>
  <si>
    <t>M28B3</t>
  </si>
  <si>
    <t>M28B1</t>
  </si>
  <si>
    <t>M28B4</t>
  </si>
  <si>
    <t>M28B2</t>
  </si>
  <si>
    <t>M32B1</t>
  </si>
  <si>
    <t>M6B6</t>
  </si>
  <si>
    <t>M6B8</t>
  </si>
  <si>
    <t>M6B7</t>
  </si>
  <si>
    <t>M6B2</t>
  </si>
  <si>
    <t>C1075-Q9580</t>
  </si>
  <si>
    <t>M1B1</t>
  </si>
  <si>
    <t>C1077-Q9579</t>
  </si>
  <si>
    <t>M18B1</t>
  </si>
  <si>
    <t>M6B5</t>
  </si>
  <si>
    <t>M18B3</t>
  </si>
  <si>
    <t>M18B5</t>
  </si>
  <si>
    <t>C1081-Q9582</t>
  </si>
  <si>
    <t>M3B9</t>
  </si>
  <si>
    <t>M3B8</t>
  </si>
  <si>
    <t>M3B1</t>
  </si>
  <si>
    <t>C1076-Q9581</t>
  </si>
  <si>
    <t>M7B1</t>
  </si>
  <si>
    <t>M3B3</t>
  </si>
  <si>
    <t>C1081-Q9583</t>
  </si>
  <si>
    <t>M11B1</t>
  </si>
  <si>
    <t>M3B5</t>
  </si>
  <si>
    <t>M3B7</t>
  </si>
  <si>
    <t>M11B3</t>
  </si>
  <si>
    <t>C1081-Q9591</t>
  </si>
  <si>
    <t>M30B6</t>
  </si>
  <si>
    <t>M30B1</t>
  </si>
  <si>
    <t>M30B5</t>
  </si>
  <si>
    <t>M7B2</t>
  </si>
  <si>
    <t>M7B6</t>
  </si>
  <si>
    <t>M7B3</t>
  </si>
  <si>
    <t>C1076-Q9585</t>
  </si>
  <si>
    <t>M20B1</t>
  </si>
  <si>
    <t>C1076-Q9584</t>
  </si>
  <si>
    <t>M2B8</t>
  </si>
  <si>
    <t>M2B1</t>
  </si>
  <si>
    <t>C1076-Q9587</t>
  </si>
  <si>
    <t>M26B4</t>
  </si>
  <si>
    <t>M11B2</t>
  </si>
  <si>
    <t>C1076-Q9586</t>
  </si>
  <si>
    <t>M22B1</t>
  </si>
  <si>
    <t>C1076-Q9588</t>
  </si>
  <si>
    <t>M12B1</t>
  </si>
  <si>
    <t>C1076-Q9589</t>
  </si>
  <si>
    <t>M4B1</t>
  </si>
  <si>
    <t>M12B8</t>
  </si>
  <si>
    <t>M4B4</t>
  </si>
  <si>
    <t>M4B3</t>
  </si>
  <si>
    <t>M2B5</t>
  </si>
  <si>
    <t>M12B2</t>
  </si>
  <si>
    <t>M12B6</t>
  </si>
  <si>
    <t>M12B7</t>
  </si>
  <si>
    <t>M12B3</t>
  </si>
  <si>
    <t>M12B4</t>
  </si>
  <si>
    <t>C1076-Q9592</t>
  </si>
  <si>
    <t>M15B2</t>
  </si>
  <si>
    <t>M15B1</t>
  </si>
  <si>
    <t>M12B5</t>
  </si>
  <si>
    <t>M15B5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</si>
</sst>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\%"/>
  </numFmts>
  <fonts count="8" x14ac:knownFonts="1">
    <font>
      <sz val="11"/>
      <color theme="1"/>
      <name val="Calibri"/>
      <family val="2"/>
      <charset val="1"/>
    </font>
    <font>
      <b/>
      <sz val="16"/>
      <color rgb="FF1F4E79"/>
      <name val="Arial"/>
      <family val="2"/>
    </font>
    <font>
      <b/>
      <sz val="12"/>
      <color rgb="FF2E75B6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6EAF8"/>
        <bgColor rgb="FFD9D9D9"/>
      </patternFill>
    </fill>
    <fill>
      <patternFill patternType="solid">
        <fgColor rgb="FF2E75B6"/>
        <bgColor rgb="FF4A7EBB"/>
      </patternFill>
    </fill>
    <fill>
      <patternFill patternType="solid">
        <fgColor rgb="FF1F4E79"/>
        <bgColor rgb="FF003366"/>
      </patternFill>
    </fill>
  </fills>
  <borders count="3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4" fillId="2" borderId="1" xfId="0" applyFont="1" applyFill="1" applyBorder="1"/>
    <xf numFmtId="3" fontId="5" fillId="0" borderId="1" xfId="0" applyNumberFormat="1" applyFont="1" applyBorder="1" applyAlignment="1">
      <alignment horizontal="right"/>
    </xf>
    <xf numFmtId="0" fontId="4" fillId="0" borderId="1" xfId="0" applyFont="1" applyBorder="1"/>
    <xf numFmtId="4" fontId="5" fillId="0" borderId="1" xfId="0" applyNumberFormat="1" applyFont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164" fontId="4" fillId="0" borderId="1" xfId="0" applyNumberFormat="1" applyFont="1" applyBorder="1"/>
    <xf numFmtId="0" fontId="7" fillId="4" borderId="1" xfId="0" applyFont="1" applyFill="1" applyBorder="1" applyAlignment="1">
      <alignment horizontal="center" wrapText="1"/>
    </xf>
    <xf numFmtId="3" fontId="4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5" fillId="2" borderId="1" xfId="0" applyFont="1" applyFill="1" applyBorder="1"/>
    <xf numFmtId="0" fontId="6" fillId="3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7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2" borderId="1" xfId="0" applyFill="1" applyBorder="1"/>
    <xf numFmtId="4" fontId="5" fillId="2" borderId="1" xfId="0" applyNumberFormat="1" applyFont="1" applyFill="1" applyBorder="1"/>
    <xf numFmtId="2" fontId="5" fillId="2" borderId="1" xfId="0" applyNumberFormat="1" applyFont="1" applyFill="1" applyBorder="1"/>
    <xf numFmtId="0" fontId="7" fillId="4" borderId="2" xfId="0" applyFont="1" applyFill="1" applyBorder="1" applyAlignment="1">
      <alignment horizontal="center" wrapText="1"/>
    </xf>
    <xf numFmtId="0" fontId="4" fillId="0" borderId="2" xfId="0" applyFont="1" applyBorder="1"/>
    <xf numFmtId="0" fontId="4" fillId="0" borderId="2" xfId="0" applyFont="1" applyBorder="1" applyAlignment="1">
      <alignment wrapText="1"/>
    </xf>
    <xf numFmtId="3" fontId="4" fillId="0" borderId="2" xfId="0" applyNumberFormat="1" applyFont="1" applyBorder="1" applyAlignment="1">
      <alignment horizontal="right"/>
    </xf>
    <xf numFmtId="4" fontId="4" fillId="0" borderId="2" xfId="0" applyNumberFormat="1" applyFont="1" applyBorder="1" applyAlignment="1">
      <alignment horizontal="right"/>
    </xf>
    <xf numFmtId="0" fontId="0" fillId="0" borderId="2" xfId="0" applyBorder="1"/>
    <xf numFmtId="4" fontId="0" fillId="0" borderId="2" xfId="0" applyNumberFormat="1" applyBorder="1"/>
    <xf numFmtId="164" fontId="0" fillId="0" borderId="2" xfId="0" applyNumberFormat="1" applyBorder="1"/>
    <xf numFmtId="0" fontId="6" fillId="3" borderId="1" xfId="0" applyFont="1" applyFill="1" applyBorder="1" applyAlignment="1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4B4"/>
      <rgbColor rgb="FF878787"/>
      <rgbColor rgb="FF9999FF"/>
      <rgbColor rgb="FFC0504D"/>
      <rgbColor rgb="FFF9F9F9"/>
      <rgbColor rgb="FFD6EA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4BACC6"/>
      <rgbColor rgb="FF9BBB59"/>
      <rgbColor rgb="FFFFCC00"/>
      <rgbColor rgb="FFFF9900"/>
      <rgbColor rgb="FFFF6600"/>
      <rgbColor rgb="FF8064A2"/>
      <rgbColor rgb="FF4F81BD"/>
      <rgbColor rgb="FF003366"/>
      <rgbColor rgb="FF4A7EBB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Área Total por Provincia (hectáreas)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'POR PROVINCIA'!$D$5</c:f>
              <c:strCache>
                <c:ptCount val="1"/>
                <c:pt idx="0">
                  <c:v>Área Total (ha)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'POR PROVINCIA'!$B$6:$B$10</c:f>
              <c:strCache>
                <c:ptCount val="5"/>
                <c:pt idx="0">
                  <c:v>MORROPON</c:v>
                </c:pt>
                <c:pt idx="1">
                  <c:v>HUANCABAMBA</c:v>
                </c:pt>
                <c:pt idx="2">
                  <c:v>AYABACA</c:v>
                </c:pt>
                <c:pt idx="3">
                  <c:v>PIURA</c:v>
                </c:pt>
                <c:pt idx="4">
                  <c:v>SULLANA</c:v>
                </c:pt>
              </c:strCache>
            </c:strRef>
          </c:cat>
          <c:val>
            <c:numRef>
              <c:f>'POR PROVINCIA'!$D$6:$D$10</c:f>
              <c:numCache>
                <c:formatCode>#,##0.00</c:formatCode>
                <c:ptCount val="5"/>
                <c:pt idx="0">
                  <c:v>12782.744000000001</c:v>
                </c:pt>
                <c:pt idx="1">
                  <c:v>3076.43</c:v>
                </c:pt>
                <c:pt idx="2">
                  <c:v>1141.8779999999999</c:v>
                </c:pt>
                <c:pt idx="3">
                  <c:v>933.24300000000005</c:v>
                </c:pt>
                <c:pt idx="4">
                  <c:v>229.17699999999999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40-4973-9B87-77977F44D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64733"/>
        <c:axId val="73370760"/>
      </c:barChart>
      <c:catAx>
        <c:axId val="52647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73370760"/>
        <c:crosses val="autoZero"/>
        <c:auto val="1"/>
        <c:lblAlgn val="ctr"/>
        <c:lblOffset val="100"/>
        <c:noMultiLvlLbl val="0"/>
      </c:catAx>
      <c:valAx>
        <c:axId val="733707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PE" sz="1000" b="1" strike="noStrike" spc="-1">
                    <a:solidFill>
                      <a:srgbClr val="000000"/>
                    </a:solidFill>
                    <a:latin typeface="Calibri"/>
                  </a:rPr>
                  <a:t>Hectáreas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52647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P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Top 10 Distritos por Área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'POR DISTRITO'!$C$30</c:f>
              <c:strCache>
                <c:ptCount val="1"/>
                <c:pt idx="0">
                  <c:v>Área Total (ha)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'POR DISTRITO'!$B$31:$B$40</c:f>
              <c:strCache>
                <c:ptCount val="10"/>
                <c:pt idx="0">
                  <c:v>BUENOS AIRES</c:v>
                </c:pt>
                <c:pt idx="1">
                  <c:v>CHULUCANAS</c:v>
                </c:pt>
                <c:pt idx="2">
                  <c:v>HUARMACA</c:v>
                </c:pt>
                <c:pt idx="3">
                  <c:v>SALITRAL</c:v>
                </c:pt>
                <c:pt idx="4">
                  <c:v>MORROPON</c:v>
                </c:pt>
                <c:pt idx="5">
                  <c:v>FRIAS</c:v>
                </c:pt>
                <c:pt idx="6">
                  <c:v>SAN JUAN DE BIGOTE</c:v>
                </c:pt>
                <c:pt idx="7">
                  <c:v>LA MATANZA</c:v>
                </c:pt>
                <c:pt idx="8">
                  <c:v>CANCHAQUE</c:v>
                </c:pt>
                <c:pt idx="9">
                  <c:v>TAMBO GRANDE</c:v>
                </c:pt>
              </c:strCache>
            </c:strRef>
          </c:cat>
          <c:val>
            <c:numRef>
              <c:f>'POR DISTRITO'!$C$31:$C$40</c:f>
              <c:numCache>
                <c:formatCode>#,##0.00</c:formatCode>
                <c:ptCount val="10"/>
                <c:pt idx="0">
                  <c:v>3817.5790000000002</c:v>
                </c:pt>
                <c:pt idx="1">
                  <c:v>3114.078</c:v>
                </c:pt>
                <c:pt idx="2">
                  <c:v>2047.931</c:v>
                </c:pt>
                <c:pt idx="3">
                  <c:v>1653.944</c:v>
                </c:pt>
                <c:pt idx="4">
                  <c:v>1478.548</c:v>
                </c:pt>
                <c:pt idx="5">
                  <c:v>1141.8779999999999</c:v>
                </c:pt>
                <c:pt idx="6">
                  <c:v>1075.665</c:v>
                </c:pt>
                <c:pt idx="7">
                  <c:v>736.31899999999996</c:v>
                </c:pt>
                <c:pt idx="8">
                  <c:v>621.94299999999998</c:v>
                </c:pt>
                <c:pt idx="9">
                  <c:v>620.11199999999997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DD-4220-AA14-CB3D91D03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709282"/>
        <c:axId val="90307706"/>
      </c:barChart>
      <c:catAx>
        <c:axId val="7070928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PE" sz="1000" b="1" strike="noStrike" spc="-1">
                    <a:solidFill>
                      <a:srgbClr val="000000"/>
                    </a:solidFill>
                    <a:latin typeface="Calibri"/>
                  </a:rPr>
                  <a:t>Hectáreas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90307706"/>
        <c:crosses val="autoZero"/>
        <c:auto val="1"/>
        <c:lblAlgn val="ctr"/>
        <c:lblOffset val="100"/>
        <c:noMultiLvlLbl val="0"/>
      </c:catAx>
      <c:valAx>
        <c:axId val="9030770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707092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P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Progreso Acumulado de Inspección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CRONOGRAMA!$E$5</c:f>
              <c:strCache>
                <c:ptCount val="1"/>
                <c:pt idx="0">
                  <c:v>% Acumulado Bloques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CRONOGRAMA!$B$6:$B$24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CRONOGRAMA!$E$6:$E$24</c:f>
              <c:numCache>
                <c:formatCode>0.0\%</c:formatCode>
                <c:ptCount val="19"/>
                <c:pt idx="0">
                  <c:v>2.4096385542168699</c:v>
                </c:pt>
                <c:pt idx="1">
                  <c:v>7.2289156626505999</c:v>
                </c:pt>
                <c:pt idx="2">
                  <c:v>12.048192771084301</c:v>
                </c:pt>
                <c:pt idx="3">
                  <c:v>20.481927710843401</c:v>
                </c:pt>
                <c:pt idx="4">
                  <c:v>25.3012048192771</c:v>
                </c:pt>
                <c:pt idx="5">
                  <c:v>31.325301204819301</c:v>
                </c:pt>
                <c:pt idx="6">
                  <c:v>38.554216867469897</c:v>
                </c:pt>
                <c:pt idx="7">
                  <c:v>45.783132530120497</c:v>
                </c:pt>
                <c:pt idx="8">
                  <c:v>50.602409638554199</c:v>
                </c:pt>
                <c:pt idx="9">
                  <c:v>56.6265060240964</c:v>
                </c:pt>
                <c:pt idx="10">
                  <c:v>62.650602409638601</c:v>
                </c:pt>
                <c:pt idx="11">
                  <c:v>67.469879518072304</c:v>
                </c:pt>
                <c:pt idx="12">
                  <c:v>71.0843373493976</c:v>
                </c:pt>
                <c:pt idx="13">
                  <c:v>78.313253012048193</c:v>
                </c:pt>
                <c:pt idx="14">
                  <c:v>81.927710843373504</c:v>
                </c:pt>
                <c:pt idx="15">
                  <c:v>89.156626506024097</c:v>
                </c:pt>
                <c:pt idx="16">
                  <c:v>93.975903614457806</c:v>
                </c:pt>
                <c:pt idx="17">
                  <c:v>98.795180722891601</c:v>
                </c:pt>
                <c:pt idx="18">
                  <c:v>100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CC0-40E9-A761-CCC231D90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6462816"/>
        <c:axId val="88865661"/>
      </c:lineChart>
      <c:catAx>
        <c:axId val="764628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PE" sz="1000" b="1" strike="noStrike" spc="-1">
                    <a:solidFill>
                      <a:srgbClr val="000000"/>
                    </a:solidFill>
                    <a:latin typeface="Calibri"/>
                  </a:rPr>
                  <a:t>Día de Evaluación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88865661"/>
        <c:crosses val="autoZero"/>
        <c:auto val="1"/>
        <c:lblAlgn val="ctr"/>
        <c:lblOffset val="100"/>
        <c:noMultiLvlLbl val="0"/>
      </c:catAx>
      <c:valAx>
        <c:axId val="888656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PE" sz="1000" b="1" strike="noStrike" spc="-1">
                    <a:solidFill>
                      <a:srgbClr val="000000"/>
                    </a:solidFill>
                    <a:latin typeface="Calibri"/>
                  </a:rPr>
                  <a:t>% Acumulado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764628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P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N° Bloques por Día de Evaluación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CRONOGRAMA!$C$5</c:f>
              <c:strCache>
                <c:ptCount val="1"/>
                <c:pt idx="0">
                  <c:v>N° Bloques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numRef>
              <c:f>CRONOGRAMA!$B$6:$B$24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CRONOGRAMA!$C$6:$C$24</c:f>
              <c:numCache>
                <c:formatCode>General</c:formatCode>
                <c:ptCount val="19"/>
                <c:pt idx="0">
                  <c:v>2</c:v>
                </c:pt>
                <c:pt idx="1">
                  <c:v>4</c:v>
                </c:pt>
                <c:pt idx="2">
                  <c:v>4</c:v>
                </c:pt>
                <c:pt idx="3">
                  <c:v>7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3</c:v>
                </c:pt>
                <c:pt idx="13">
                  <c:v>6</c:v>
                </c:pt>
                <c:pt idx="14">
                  <c:v>3</c:v>
                </c:pt>
                <c:pt idx="15">
                  <c:v>6</c:v>
                </c:pt>
                <c:pt idx="16">
                  <c:v>4</c:v>
                </c:pt>
                <c:pt idx="17">
                  <c:v>4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37-47DE-AEAF-7FAAE297EE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812939"/>
        <c:axId val="85909590"/>
      </c:barChart>
      <c:catAx>
        <c:axId val="918129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85909590"/>
        <c:crosses val="autoZero"/>
        <c:auto val="1"/>
        <c:lblAlgn val="ctr"/>
        <c:lblOffset val="100"/>
        <c:noMultiLvlLbl val="0"/>
      </c:catAx>
      <c:valAx>
        <c:axId val="859095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PE" sz="1000" b="1" strike="noStrike" spc="-1">
                    <a:solidFill>
                      <a:srgbClr val="000000"/>
                    </a:solidFill>
                    <a:latin typeface="Calibri"/>
                  </a:rPr>
                  <a:t>N° Bloques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9181293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Distribución por Rangos de Área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ESTADÍSTICAS!$F$7</c:f>
              <c:strCache>
                <c:ptCount val="1"/>
                <c:pt idx="0">
                  <c:v>N° Bloques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9631-4309-872F-164C2D3FB6DB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9631-4309-872F-164C2D3FB6DB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9631-4309-872F-164C2D3FB6DB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9631-4309-872F-164C2D3FB6DB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9631-4309-872F-164C2D3FB6DB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PE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631-4309-872F-164C2D3FB6DB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PE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631-4309-872F-164C2D3FB6DB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PE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631-4309-872F-164C2D3FB6DB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PE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631-4309-872F-164C2D3FB6DB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PE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631-4309-872F-164C2D3FB6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ESTADÍSTICAS!$E$8:$E$12</c:f>
              <c:strCache>
                <c:ptCount val="5"/>
                <c:pt idx="0">
                  <c:v>0-100 ha</c:v>
                </c:pt>
                <c:pt idx="1">
                  <c:v>100-250 ha</c:v>
                </c:pt>
                <c:pt idx="2">
                  <c:v>250-500 ha</c:v>
                </c:pt>
                <c:pt idx="3">
                  <c:v>500-1000 ha</c:v>
                </c:pt>
                <c:pt idx="4">
                  <c:v>&gt;1000 ha</c:v>
                </c:pt>
              </c:strCache>
            </c:strRef>
          </c:cat>
          <c:val>
            <c:numRef>
              <c:f>ESTADÍSTICAS!$F$8:$F$12</c:f>
              <c:numCache>
                <c:formatCode>General</c:formatCode>
                <c:ptCount val="5"/>
                <c:pt idx="0">
                  <c:v>34</c:v>
                </c:pt>
                <c:pt idx="1">
                  <c:v>26</c:v>
                </c:pt>
                <c:pt idx="2">
                  <c:v>13</c:v>
                </c:pt>
                <c:pt idx="3">
                  <c:v>8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631-4309-872F-164C2D3FB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P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b="1"/>
              <a:t>Distribución de bloques por rangos de superficie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ESTADÍSTICAS!$G$7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72B-4D31-8A5F-490AA5F1C8A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72B-4D31-8A5F-490AA5F1C8A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72B-4D31-8A5F-490AA5F1C8A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72B-4D31-8A5F-490AA5F1C8A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72B-4D31-8A5F-490AA5F1C8A2}"/>
              </c:ext>
            </c:extLst>
          </c:dPt>
          <c:dLbls>
            <c:dLbl>
              <c:idx val="4"/>
              <c:layout>
                <c:manualLayout>
                  <c:x val="7.2407370953630742E-2"/>
                  <c:y val="3.7926509186351708E-3"/>
                </c:manualLayout>
              </c:layout>
              <c:tx>
                <c:rich>
                  <a:bodyPr/>
                  <a:lstStyle/>
                  <a:p>
                    <a:fld id="{C6B3609D-75A0-4C7F-B4DC-A8620CDC5941}" type="VALUE">
                      <a:rPr lang="en-US">
                        <a:solidFill>
                          <a:schemeClr val="tx1"/>
                        </a:solidFill>
                      </a:rPr>
                      <a:pPr/>
                      <a:t>[VALOR]</a:t>
                    </a:fld>
                    <a:r>
                      <a:rPr lang="en-US" baseline="0"/>
                      <a:t>, </a:t>
                    </a:r>
                    <a:fld id="{2063B552-A30D-484A-BC59-19774411F772}" type="PERCENTAGE">
                      <a:rPr lang="en-US" baseline="0"/>
                      <a:pPr/>
                      <a:t>[PORCENTAJE]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972B-4D31-8A5F-490AA5F1C8A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ESTADÍSTICAS!$E$8:$E$12</c:f>
              <c:strCache>
                <c:ptCount val="5"/>
                <c:pt idx="0">
                  <c:v>0-100 ha</c:v>
                </c:pt>
                <c:pt idx="1">
                  <c:v>100-250 ha</c:v>
                </c:pt>
                <c:pt idx="2">
                  <c:v>250-500 ha</c:v>
                </c:pt>
                <c:pt idx="3">
                  <c:v>500-1000 ha</c:v>
                </c:pt>
                <c:pt idx="4">
                  <c:v>&gt;1000 ha</c:v>
                </c:pt>
              </c:strCache>
            </c:strRef>
          </c:cat>
          <c:val>
            <c:numRef>
              <c:f>ESTADÍSTICAS!$G$8:$G$12</c:f>
              <c:numCache>
                <c:formatCode>0.0\%</c:formatCode>
                <c:ptCount val="5"/>
                <c:pt idx="0">
                  <c:v>40.963855421686702</c:v>
                </c:pt>
                <c:pt idx="1">
                  <c:v>31.325301204819301</c:v>
                </c:pt>
                <c:pt idx="2">
                  <c:v>15.662650602409601</c:v>
                </c:pt>
                <c:pt idx="3">
                  <c:v>9.6385542168674707</c:v>
                </c:pt>
                <c:pt idx="4">
                  <c:v>2.4096385542168699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72B-4D31-8A5F-490AA5F1C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170640</xdr:rowOff>
    </xdr:from>
    <xdr:to>
      <xdr:col>6</xdr:col>
      <xdr:colOff>113400</xdr:colOff>
      <xdr:row>31</xdr:row>
      <xdr:rowOff>150840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25</xdr:row>
      <xdr:rowOff>170640</xdr:rowOff>
    </xdr:from>
    <xdr:to>
      <xdr:col>12</xdr:col>
      <xdr:colOff>278320</xdr:colOff>
      <xdr:row>48</xdr:row>
      <xdr:rowOff>108720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131040</xdr:rowOff>
    </xdr:from>
    <xdr:to>
      <xdr:col>14</xdr:col>
      <xdr:colOff>507600</xdr:colOff>
      <xdr:row>21</xdr:row>
      <xdr:rowOff>151200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17</xdr:row>
      <xdr:rowOff>170640</xdr:rowOff>
    </xdr:from>
    <xdr:to>
      <xdr:col>14</xdr:col>
      <xdr:colOff>507600</xdr:colOff>
      <xdr:row>36</xdr:row>
      <xdr:rowOff>150840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13</xdr:row>
      <xdr:rowOff>130680</xdr:rowOff>
    </xdr:from>
    <xdr:to>
      <xdr:col>7</xdr:col>
      <xdr:colOff>90360</xdr:colOff>
      <xdr:row>32</xdr:row>
      <xdr:rowOff>110880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34</xdr:row>
      <xdr:rowOff>0</xdr:rowOff>
    </xdr:from>
    <xdr:to>
      <xdr:col>4</xdr:col>
      <xdr:colOff>381000</xdr:colOff>
      <xdr:row>48</xdr:row>
      <xdr:rowOff>165100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72DA162-9DB2-4834-A772-E81BF5139F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2"/>
  <sheetViews>
    <sheetView topLeftCell="A6" zoomScaleNormal="100" workbookViewId="0"/>
  </sheetViews>
  <sheetFormatPr baseColWidth="10" defaultColWidth="8.6328125" defaultRowHeight="14.5" x14ac:dyDescent="0.35"/>
  <cols>
    <col min="1" max="1" width="3" customWidth="1"/>
    <col min="2" max="2" width="30" customWidth="1"/>
    <col min="3" max="4" width="15" customWidth="1"/>
  </cols>
  <sheetData>
    <row r="2" spans="2:7" ht="20" x14ac:dyDescent="0.4">
      <c r="B2" s="30" t="s">
        <v>0</v>
      </c>
      <c r="C2" s="30"/>
      <c r="D2" s="30"/>
      <c r="E2" s="30"/>
      <c r="F2" s="30"/>
      <c r="G2" s="30"/>
    </row>
    <row r="3" spans="2:7" ht="15.5" x14ac:dyDescent="0.35">
      <c r="B3" s="31" t="s">
        <v>1</v>
      </c>
      <c r="C3" s="31"/>
      <c r="D3" s="31"/>
      <c r="E3" s="31"/>
      <c r="F3" s="31"/>
      <c r="G3" s="31"/>
    </row>
    <row r="4" spans="2:7" x14ac:dyDescent="0.35">
      <c r="B4" s="32" t="s">
        <v>2</v>
      </c>
      <c r="C4" s="32"/>
      <c r="D4" s="32"/>
      <c r="E4" s="32"/>
      <c r="F4" s="32"/>
      <c r="G4" s="32"/>
    </row>
    <row r="7" spans="2:7" ht="15.5" x14ac:dyDescent="0.35">
      <c r="B7" s="1" t="s">
        <v>3</v>
      </c>
    </row>
    <row r="9" spans="2:7" x14ac:dyDescent="0.35">
      <c r="B9" s="2" t="s">
        <v>4</v>
      </c>
      <c r="C9" s="3">
        <v>83</v>
      </c>
      <c r="D9" s="4" t="s">
        <v>5</v>
      </c>
    </row>
    <row r="10" spans="2:7" x14ac:dyDescent="0.35">
      <c r="B10" s="2" t="s">
        <v>6</v>
      </c>
      <c r="C10" s="5">
        <f>18163.47</f>
        <v>18163.47</v>
      </c>
      <c r="D10" s="4" t="s">
        <v>7</v>
      </c>
    </row>
    <row r="11" spans="2:7" x14ac:dyDescent="0.35">
      <c r="B11" s="2" t="s">
        <v>8</v>
      </c>
      <c r="C11" s="5">
        <f>218.84</f>
        <v>218.84</v>
      </c>
      <c r="D11" s="4" t="s">
        <v>7</v>
      </c>
    </row>
    <row r="12" spans="2:7" x14ac:dyDescent="0.35">
      <c r="B12" s="2" t="s">
        <v>9</v>
      </c>
      <c r="C12" s="5">
        <f>802</f>
        <v>802</v>
      </c>
      <c r="D12" s="4" t="s">
        <v>10</v>
      </c>
    </row>
    <row r="13" spans="2:7" x14ac:dyDescent="0.35">
      <c r="B13" s="2" t="s">
        <v>11</v>
      </c>
      <c r="C13" s="5">
        <f>9.66</f>
        <v>9.66</v>
      </c>
      <c r="D13" s="4" t="s">
        <v>10</v>
      </c>
    </row>
    <row r="14" spans="2:7" x14ac:dyDescent="0.35">
      <c r="B14" s="2" t="s">
        <v>12</v>
      </c>
      <c r="C14" s="3">
        <v>5</v>
      </c>
      <c r="D14" s="4" t="s">
        <v>13</v>
      </c>
    </row>
    <row r="15" spans="2:7" x14ac:dyDescent="0.35">
      <c r="B15" s="2" t="s">
        <v>14</v>
      </c>
      <c r="C15" s="3">
        <v>18</v>
      </c>
      <c r="D15" s="4" t="s">
        <v>15</v>
      </c>
    </row>
    <row r="18" spans="2:4" ht="15.5" x14ac:dyDescent="0.35">
      <c r="B18" s="1" t="s">
        <v>16</v>
      </c>
    </row>
    <row r="20" spans="2:4" x14ac:dyDescent="0.35">
      <c r="B20" s="6" t="s">
        <v>17</v>
      </c>
      <c r="C20" s="6" t="s">
        <v>18</v>
      </c>
      <c r="D20" s="6" t="s">
        <v>19</v>
      </c>
    </row>
    <row r="21" spans="2:4" x14ac:dyDescent="0.35">
      <c r="B21" s="4" t="s">
        <v>20</v>
      </c>
      <c r="C21" s="4">
        <v>40</v>
      </c>
      <c r="D21" s="7">
        <f>C21/83*100</f>
        <v>48.192771084337352</v>
      </c>
    </row>
    <row r="22" spans="2:4" x14ac:dyDescent="0.35">
      <c r="B22" s="4" t="s">
        <v>21</v>
      </c>
      <c r="C22" s="4">
        <v>43</v>
      </c>
      <c r="D22" s="7">
        <f>C22/83*100</f>
        <v>51.807228915662648</v>
      </c>
    </row>
  </sheetData>
  <mergeCells count="3">
    <mergeCell ref="B2:G2"/>
    <mergeCell ref="B3:G3"/>
    <mergeCell ref="B4:G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1"/>
  <sheetViews>
    <sheetView zoomScaleNormal="100" workbookViewId="0">
      <selection activeCell="D9" sqref="D9:D10"/>
    </sheetView>
  </sheetViews>
  <sheetFormatPr baseColWidth="10" defaultColWidth="8.6328125" defaultRowHeight="14.5" x14ac:dyDescent="0.35"/>
  <cols>
    <col min="1" max="9" width="15" customWidth="1"/>
  </cols>
  <sheetData>
    <row r="2" spans="2:9" ht="20" x14ac:dyDescent="0.4">
      <c r="B2" s="30" t="s">
        <v>22</v>
      </c>
      <c r="C2" s="30"/>
      <c r="D2" s="30"/>
      <c r="E2" s="30"/>
      <c r="F2" s="30"/>
    </row>
    <row r="5" spans="2:9" ht="28.5" x14ac:dyDescent="0.35">
      <c r="B5" s="8" t="s">
        <v>23</v>
      </c>
      <c r="C5" s="8" t="s">
        <v>24</v>
      </c>
      <c r="D5" s="8" t="s">
        <v>25</v>
      </c>
      <c r="E5" s="8" t="s">
        <v>26</v>
      </c>
      <c r="F5" s="8" t="s">
        <v>27</v>
      </c>
      <c r="G5" s="8" t="s">
        <v>28</v>
      </c>
      <c r="H5" s="8" t="s">
        <v>29</v>
      </c>
      <c r="I5" s="8" t="s">
        <v>30</v>
      </c>
    </row>
    <row r="6" spans="2:9" x14ac:dyDescent="0.35">
      <c r="B6" s="4" t="s">
        <v>31</v>
      </c>
      <c r="C6" s="9">
        <v>53</v>
      </c>
      <c r="D6" s="10">
        <v>12782.744000000001</v>
      </c>
      <c r="E6" s="10">
        <v>241.183849056604</v>
      </c>
      <c r="F6" s="10">
        <v>30.347999999999999</v>
      </c>
      <c r="G6" s="10">
        <v>2141.7629999999999</v>
      </c>
      <c r="H6" s="10">
        <v>440</v>
      </c>
      <c r="I6" s="10">
        <v>8.3018867924528301</v>
      </c>
    </row>
    <row r="7" spans="2:9" x14ac:dyDescent="0.35">
      <c r="B7" s="4" t="s">
        <v>32</v>
      </c>
      <c r="C7" s="9">
        <v>21</v>
      </c>
      <c r="D7" s="10">
        <v>3076.43</v>
      </c>
      <c r="E7" s="10">
        <v>146.49666666666701</v>
      </c>
      <c r="F7" s="10">
        <v>31.619</v>
      </c>
      <c r="G7" s="10">
        <v>535.02200000000005</v>
      </c>
      <c r="H7" s="10">
        <v>335</v>
      </c>
      <c r="I7" s="10">
        <v>15.952380952381001</v>
      </c>
    </row>
    <row r="8" spans="2:9" x14ac:dyDescent="0.35">
      <c r="B8" s="4" t="s">
        <v>33</v>
      </c>
      <c r="C8" s="9">
        <v>5</v>
      </c>
      <c r="D8" s="10">
        <v>1141.8779999999999</v>
      </c>
      <c r="E8" s="10">
        <v>228.37559999999999</v>
      </c>
      <c r="F8" s="10">
        <v>28.289000000000001</v>
      </c>
      <c r="G8" s="10">
        <v>594.76</v>
      </c>
      <c r="H8" s="10">
        <v>21</v>
      </c>
      <c r="I8" s="10">
        <v>4.2</v>
      </c>
    </row>
    <row r="9" spans="2:9" x14ac:dyDescent="0.35">
      <c r="B9" s="4" t="s">
        <v>34</v>
      </c>
      <c r="C9" s="9">
        <v>3</v>
      </c>
      <c r="D9" s="10">
        <v>933.24300000000005</v>
      </c>
      <c r="E9" s="10">
        <v>311.08100000000002</v>
      </c>
      <c r="F9" s="10">
        <v>58.27</v>
      </c>
      <c r="G9" s="10">
        <v>561.84199999999998</v>
      </c>
      <c r="H9" s="10">
        <v>5</v>
      </c>
      <c r="I9" s="10">
        <v>1.6666666666666701</v>
      </c>
    </row>
    <row r="10" spans="2:9" x14ac:dyDescent="0.35">
      <c r="B10" s="4" t="s">
        <v>35</v>
      </c>
      <c r="C10" s="9">
        <v>1</v>
      </c>
      <c r="D10" s="10">
        <v>229.17699999999999</v>
      </c>
      <c r="E10" s="10">
        <v>229.17699999999999</v>
      </c>
      <c r="F10" s="10">
        <v>229.17699999999999</v>
      </c>
      <c r="G10" s="10">
        <v>229.17699999999999</v>
      </c>
      <c r="H10" s="10">
        <v>1</v>
      </c>
      <c r="I10" s="10">
        <v>1</v>
      </c>
    </row>
    <row r="11" spans="2:9" x14ac:dyDescent="0.35">
      <c r="B11" s="11" t="s">
        <v>36</v>
      </c>
      <c r="C11" s="11">
        <f>SUM(C6:C10)</f>
        <v>83</v>
      </c>
      <c r="D11" s="19">
        <f>SUM(D6:D10)</f>
        <v>18163.471999999998</v>
      </c>
      <c r="E11" s="20">
        <f>AVERAGE(E6:E10)</f>
        <v>231.26282314465419</v>
      </c>
      <c r="F11" s="11"/>
      <c r="G11" s="11"/>
      <c r="H11" s="11">
        <f>SUM(H6:H10)</f>
        <v>802</v>
      </c>
      <c r="I11" s="11"/>
    </row>
  </sheetData>
  <mergeCells count="1">
    <mergeCell ref="B2:F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40"/>
  <sheetViews>
    <sheetView tabSelected="1" zoomScaleNormal="100" workbookViewId="0">
      <selection activeCell="B5" sqref="B5:F24"/>
    </sheetView>
  </sheetViews>
  <sheetFormatPr baseColWidth="10" defaultColWidth="8.6328125" defaultRowHeight="14.5" x14ac:dyDescent="0.35"/>
  <cols>
    <col min="1" max="6" width="18" customWidth="1"/>
  </cols>
  <sheetData>
    <row r="2" spans="2:6" ht="20" x14ac:dyDescent="0.4">
      <c r="B2" s="30" t="s">
        <v>37</v>
      </c>
      <c r="C2" s="30"/>
      <c r="D2" s="30"/>
      <c r="E2" s="30"/>
      <c r="F2" s="30"/>
    </row>
    <row r="5" spans="2:6" ht="28.5" x14ac:dyDescent="0.35">
      <c r="B5" s="21" t="s">
        <v>23</v>
      </c>
      <c r="C5" s="21" t="s">
        <v>38</v>
      </c>
      <c r="D5" s="21" t="s">
        <v>24</v>
      </c>
      <c r="E5" s="21" t="s">
        <v>25</v>
      </c>
      <c r="F5" s="21" t="s">
        <v>26</v>
      </c>
    </row>
    <row r="6" spans="2:6" x14ac:dyDescent="0.35">
      <c r="B6" s="22" t="s">
        <v>31</v>
      </c>
      <c r="C6" s="23" t="s">
        <v>39</v>
      </c>
      <c r="D6" s="24">
        <v>9</v>
      </c>
      <c r="E6" s="25">
        <v>3817.5790000000002</v>
      </c>
      <c r="F6" s="25">
        <v>424.175444444444</v>
      </c>
    </row>
    <row r="7" spans="2:6" x14ac:dyDescent="0.35">
      <c r="B7" s="22" t="s">
        <v>31</v>
      </c>
      <c r="C7" s="23" t="s">
        <v>40</v>
      </c>
      <c r="D7" s="24">
        <v>9</v>
      </c>
      <c r="E7" s="25">
        <v>3114.078</v>
      </c>
      <c r="F7" s="25">
        <v>346.00866666666701</v>
      </c>
    </row>
    <row r="8" spans="2:6" x14ac:dyDescent="0.35">
      <c r="B8" s="22" t="s">
        <v>32</v>
      </c>
      <c r="C8" s="23" t="s">
        <v>41</v>
      </c>
      <c r="D8" s="24">
        <v>13</v>
      </c>
      <c r="E8" s="25">
        <v>2047.931</v>
      </c>
      <c r="F8" s="25">
        <v>157.53315384615399</v>
      </c>
    </row>
    <row r="9" spans="2:6" x14ac:dyDescent="0.35">
      <c r="B9" s="22" t="s">
        <v>31</v>
      </c>
      <c r="C9" s="23" t="s">
        <v>42</v>
      </c>
      <c r="D9" s="24">
        <v>11</v>
      </c>
      <c r="E9" s="25">
        <v>1653.944</v>
      </c>
      <c r="F9" s="25">
        <v>150.358545454546</v>
      </c>
    </row>
    <row r="10" spans="2:6" x14ac:dyDescent="0.35">
      <c r="B10" s="22" t="s">
        <v>31</v>
      </c>
      <c r="C10" s="23" t="s">
        <v>31</v>
      </c>
      <c r="D10" s="24">
        <v>7</v>
      </c>
      <c r="E10" s="25">
        <v>1478.548</v>
      </c>
      <c r="F10" s="25">
        <v>211.22114285714301</v>
      </c>
    </row>
    <row r="11" spans="2:6" x14ac:dyDescent="0.35">
      <c r="B11" s="22" t="s">
        <v>33</v>
      </c>
      <c r="C11" s="23" t="s">
        <v>43</v>
      </c>
      <c r="D11" s="24">
        <v>5</v>
      </c>
      <c r="E11" s="25">
        <v>1141.8779999999999</v>
      </c>
      <c r="F11" s="25">
        <v>228.37559999999999</v>
      </c>
    </row>
    <row r="12" spans="2:6" ht="26" x14ac:dyDescent="0.35">
      <c r="B12" s="22" t="s">
        <v>31</v>
      </c>
      <c r="C12" s="23" t="s">
        <v>44</v>
      </c>
      <c r="D12" s="24">
        <v>6</v>
      </c>
      <c r="E12" s="25">
        <v>1075.665</v>
      </c>
      <c r="F12" s="25">
        <v>179.2775</v>
      </c>
    </row>
    <row r="13" spans="2:6" x14ac:dyDescent="0.35">
      <c r="B13" s="22" t="s">
        <v>31</v>
      </c>
      <c r="C13" s="23" t="s">
        <v>45</v>
      </c>
      <c r="D13" s="24">
        <v>1</v>
      </c>
      <c r="E13" s="25">
        <v>736.31899999999996</v>
      </c>
      <c r="F13" s="25">
        <v>736.31899999999996</v>
      </c>
    </row>
    <row r="14" spans="2:6" x14ac:dyDescent="0.35">
      <c r="B14" s="22" t="s">
        <v>32</v>
      </c>
      <c r="C14" s="23" t="s">
        <v>46</v>
      </c>
      <c r="D14" s="24">
        <v>3</v>
      </c>
      <c r="E14" s="25">
        <v>621.94299999999998</v>
      </c>
      <c r="F14" s="25">
        <v>207.314333333333</v>
      </c>
    </row>
    <row r="15" spans="2:6" x14ac:dyDescent="0.35">
      <c r="B15" s="22" t="s">
        <v>34</v>
      </c>
      <c r="C15" s="23" t="s">
        <v>47</v>
      </c>
      <c r="D15" s="24">
        <v>2</v>
      </c>
      <c r="E15" s="25">
        <v>620.11199999999997</v>
      </c>
      <c r="F15" s="25">
        <v>310.05599999999998</v>
      </c>
    </row>
    <row r="16" spans="2:6" x14ac:dyDescent="0.35">
      <c r="B16" s="22" t="s">
        <v>31</v>
      </c>
      <c r="C16" s="23" t="s">
        <v>48</v>
      </c>
      <c r="D16" s="24">
        <v>4</v>
      </c>
      <c r="E16" s="25">
        <v>409.94099999999997</v>
      </c>
      <c r="F16" s="25">
        <v>102.48524999999999</v>
      </c>
    </row>
    <row r="17" spans="2:6" x14ac:dyDescent="0.35">
      <c r="B17" s="22" t="s">
        <v>34</v>
      </c>
      <c r="C17" s="23" t="s">
        <v>49</v>
      </c>
      <c r="D17" s="24">
        <v>1</v>
      </c>
      <c r="E17" s="25">
        <v>313.13099999999997</v>
      </c>
      <c r="F17" s="25">
        <v>313.13099999999997</v>
      </c>
    </row>
    <row r="18" spans="2:6" x14ac:dyDescent="0.35">
      <c r="B18" s="22" t="s">
        <v>31</v>
      </c>
      <c r="C18" s="23" t="s">
        <v>50</v>
      </c>
      <c r="D18" s="24">
        <v>3</v>
      </c>
      <c r="E18" s="25">
        <v>255.62899999999999</v>
      </c>
      <c r="F18" s="25">
        <v>85.209666666666706</v>
      </c>
    </row>
    <row r="19" spans="2:6" ht="26" x14ac:dyDescent="0.35">
      <c r="B19" s="22" t="s">
        <v>32</v>
      </c>
      <c r="C19" s="23" t="s">
        <v>51</v>
      </c>
      <c r="D19" s="24">
        <v>3</v>
      </c>
      <c r="E19" s="25">
        <v>245.779</v>
      </c>
      <c r="F19" s="25">
        <v>81.926333333333304</v>
      </c>
    </row>
    <row r="20" spans="2:6" x14ac:dyDescent="0.35">
      <c r="B20" s="22" t="s">
        <v>35</v>
      </c>
      <c r="C20" s="23" t="s">
        <v>35</v>
      </c>
      <c r="D20" s="24">
        <v>1</v>
      </c>
      <c r="E20" s="25">
        <v>229.17699999999999</v>
      </c>
      <c r="F20" s="25">
        <v>229.17699999999999</v>
      </c>
    </row>
    <row r="21" spans="2:6" x14ac:dyDescent="0.35">
      <c r="B21" s="22" t="s">
        <v>32</v>
      </c>
      <c r="C21" s="23" t="s">
        <v>32</v>
      </c>
      <c r="D21" s="24">
        <v>2</v>
      </c>
      <c r="E21" s="25">
        <v>160.77699999999999</v>
      </c>
      <c r="F21" s="25">
        <v>80.388499999999993</v>
      </c>
    </row>
    <row r="22" spans="2:6" x14ac:dyDescent="0.35">
      <c r="B22" s="22" t="s">
        <v>31</v>
      </c>
      <c r="C22" s="23" t="s">
        <v>52</v>
      </c>
      <c r="D22" s="24">
        <v>1</v>
      </c>
      <c r="E22" s="25">
        <v>131.38300000000001</v>
      </c>
      <c r="F22" s="25">
        <v>131.38300000000001</v>
      </c>
    </row>
    <row r="23" spans="2:6" ht="16" customHeight="1" x14ac:dyDescent="0.35">
      <c r="B23" s="22" t="s">
        <v>31</v>
      </c>
      <c r="C23" s="23" t="s">
        <v>53</v>
      </c>
      <c r="D23" s="24">
        <v>2</v>
      </c>
      <c r="E23" s="25">
        <v>109.658</v>
      </c>
      <c r="F23" s="25">
        <v>54.829000000000001</v>
      </c>
    </row>
    <row r="24" spans="2:6" ht="16" customHeight="1" x14ac:dyDescent="0.35">
      <c r="B24" s="22"/>
      <c r="C24" s="22"/>
      <c r="D24" s="24">
        <f>SUM(D6:D23)</f>
        <v>83</v>
      </c>
      <c r="E24" s="25">
        <f>SUM(E6:E23)</f>
        <v>18163.471999999998</v>
      </c>
      <c r="F24" s="25">
        <f>E24/D24</f>
        <v>218.83701204819275</v>
      </c>
    </row>
    <row r="28" spans="2:6" ht="15.5" x14ac:dyDescent="0.35">
      <c r="B28" s="1" t="s">
        <v>54</v>
      </c>
    </row>
    <row r="30" spans="2:6" x14ac:dyDescent="0.35">
      <c r="B30" s="12" t="s">
        <v>38</v>
      </c>
      <c r="C30" s="12" t="s">
        <v>25</v>
      </c>
    </row>
    <row r="31" spans="2:6" x14ac:dyDescent="0.35">
      <c r="B31" s="13" t="s">
        <v>39</v>
      </c>
      <c r="C31" s="14">
        <v>3817.5790000000002</v>
      </c>
    </row>
    <row r="32" spans="2:6" x14ac:dyDescent="0.35">
      <c r="B32" s="13" t="s">
        <v>40</v>
      </c>
      <c r="C32" s="14">
        <v>3114.078</v>
      </c>
    </row>
    <row r="33" spans="2:3" x14ac:dyDescent="0.35">
      <c r="B33" s="13" t="s">
        <v>41</v>
      </c>
      <c r="C33" s="14">
        <v>2047.931</v>
      </c>
    </row>
    <row r="34" spans="2:3" x14ac:dyDescent="0.35">
      <c r="B34" s="13" t="s">
        <v>42</v>
      </c>
      <c r="C34" s="14">
        <v>1653.944</v>
      </c>
    </row>
    <row r="35" spans="2:3" x14ac:dyDescent="0.35">
      <c r="B35" s="13" t="s">
        <v>31</v>
      </c>
      <c r="C35" s="14">
        <v>1478.548</v>
      </c>
    </row>
    <row r="36" spans="2:3" x14ac:dyDescent="0.35">
      <c r="B36" s="13" t="s">
        <v>43</v>
      </c>
      <c r="C36" s="14">
        <v>1141.8779999999999</v>
      </c>
    </row>
    <row r="37" spans="2:3" x14ac:dyDescent="0.35">
      <c r="B37" s="13" t="s">
        <v>44</v>
      </c>
      <c r="C37" s="14">
        <v>1075.665</v>
      </c>
    </row>
    <row r="38" spans="2:3" x14ac:dyDescent="0.35">
      <c r="B38" s="13" t="s">
        <v>45</v>
      </c>
      <c r="C38" s="14">
        <v>736.31899999999996</v>
      </c>
    </row>
    <row r="39" spans="2:3" x14ac:dyDescent="0.35">
      <c r="B39" s="13" t="s">
        <v>46</v>
      </c>
      <c r="C39" s="14">
        <v>621.94299999999998</v>
      </c>
    </row>
    <row r="40" spans="2:3" x14ac:dyDescent="0.35">
      <c r="B40" s="13" t="s">
        <v>47</v>
      </c>
      <c r="C40" s="14">
        <v>620.11199999999997</v>
      </c>
    </row>
  </sheetData>
  <mergeCells count="1">
    <mergeCell ref="B2:F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24"/>
  <sheetViews>
    <sheetView topLeftCell="B14" zoomScaleNormal="100" workbookViewId="0">
      <selection activeCell="F14" sqref="F14"/>
    </sheetView>
  </sheetViews>
  <sheetFormatPr baseColWidth="10" defaultColWidth="8.6328125" defaultRowHeight="14.5" x14ac:dyDescent="0.35"/>
  <cols>
    <col min="1" max="6" width="18" customWidth="1"/>
  </cols>
  <sheetData>
    <row r="2" spans="2:5" ht="20" x14ac:dyDescent="0.4">
      <c r="B2" s="30" t="s">
        <v>55</v>
      </c>
      <c r="C2" s="30"/>
      <c r="D2" s="30"/>
      <c r="E2" s="30"/>
    </row>
    <row r="5" spans="2:5" ht="28.5" x14ac:dyDescent="0.35">
      <c r="B5" s="21" t="s">
        <v>56</v>
      </c>
      <c r="C5" s="21" t="s">
        <v>24</v>
      </c>
      <c r="D5" s="21" t="s">
        <v>25</v>
      </c>
      <c r="E5" s="21" t="s">
        <v>57</v>
      </c>
    </row>
    <row r="6" spans="2:5" x14ac:dyDescent="0.35">
      <c r="B6" s="26">
        <v>1</v>
      </c>
      <c r="C6" s="26">
        <v>2</v>
      </c>
      <c r="D6" s="27">
        <v>542.30799999999999</v>
      </c>
      <c r="E6" s="28">
        <v>2.4096385542168699</v>
      </c>
    </row>
    <row r="7" spans="2:5" x14ac:dyDescent="0.35">
      <c r="B7" s="26">
        <v>2</v>
      </c>
      <c r="C7" s="26">
        <v>4</v>
      </c>
      <c r="D7" s="27">
        <v>1831.2360000000001</v>
      </c>
      <c r="E7" s="28">
        <v>7.2289156626505999</v>
      </c>
    </row>
    <row r="8" spans="2:5" x14ac:dyDescent="0.35">
      <c r="B8" s="26">
        <v>3</v>
      </c>
      <c r="C8" s="26">
        <v>4</v>
      </c>
      <c r="D8" s="27">
        <v>1011.052</v>
      </c>
      <c r="E8" s="28">
        <v>12.048192771084301</v>
      </c>
    </row>
    <row r="9" spans="2:5" x14ac:dyDescent="0.35">
      <c r="B9" s="26">
        <v>4</v>
      </c>
      <c r="C9" s="26">
        <v>7</v>
      </c>
      <c r="D9" s="27">
        <v>2005.491</v>
      </c>
      <c r="E9" s="28">
        <v>20.481927710843401</v>
      </c>
    </row>
    <row r="10" spans="2:5" x14ac:dyDescent="0.35">
      <c r="B10" s="26">
        <v>5</v>
      </c>
      <c r="C10" s="26">
        <v>4</v>
      </c>
      <c r="D10" s="27">
        <v>303.61799999999999</v>
      </c>
      <c r="E10" s="28">
        <v>25.3012048192771</v>
      </c>
    </row>
    <row r="11" spans="2:5" x14ac:dyDescent="0.35">
      <c r="B11" s="26">
        <v>6</v>
      </c>
      <c r="C11" s="26">
        <v>5</v>
      </c>
      <c r="D11" s="27">
        <v>378.44400000000002</v>
      </c>
      <c r="E11" s="28">
        <v>31.325301204819301</v>
      </c>
    </row>
    <row r="12" spans="2:5" x14ac:dyDescent="0.35">
      <c r="B12" s="26">
        <v>7</v>
      </c>
      <c r="C12" s="26">
        <v>6</v>
      </c>
      <c r="D12" s="27">
        <v>2057.7640000000001</v>
      </c>
      <c r="E12" s="28">
        <v>38.554216867469897</v>
      </c>
    </row>
    <row r="13" spans="2:5" x14ac:dyDescent="0.35">
      <c r="B13" s="26">
        <v>8</v>
      </c>
      <c r="C13" s="26">
        <v>6</v>
      </c>
      <c r="D13" s="27">
        <v>1099.4580000000001</v>
      </c>
      <c r="E13" s="28">
        <v>45.783132530120497</v>
      </c>
    </row>
    <row r="14" spans="2:5" x14ac:dyDescent="0.35">
      <c r="B14" s="26">
        <v>9</v>
      </c>
      <c r="C14" s="26">
        <v>4</v>
      </c>
      <c r="D14" s="27">
        <v>2476.181</v>
      </c>
      <c r="E14" s="28">
        <v>50.602409638554199</v>
      </c>
    </row>
    <row r="15" spans="2:5" x14ac:dyDescent="0.35">
      <c r="B15" s="26">
        <v>10</v>
      </c>
      <c r="C15" s="26">
        <v>5</v>
      </c>
      <c r="D15" s="27">
        <v>1045.972</v>
      </c>
      <c r="E15" s="28">
        <v>56.6265060240964</v>
      </c>
    </row>
    <row r="16" spans="2:5" x14ac:dyDescent="0.35">
      <c r="B16" s="26">
        <v>11</v>
      </c>
      <c r="C16" s="26">
        <v>5</v>
      </c>
      <c r="D16" s="27">
        <v>1210.664</v>
      </c>
      <c r="E16" s="28">
        <v>62.650602409638601</v>
      </c>
    </row>
    <row r="17" spans="2:5" x14ac:dyDescent="0.35">
      <c r="B17" s="26">
        <v>12</v>
      </c>
      <c r="C17" s="26">
        <v>4</v>
      </c>
      <c r="D17" s="27">
        <v>423.47800000000001</v>
      </c>
      <c r="E17" s="28">
        <v>67.469879518072304</v>
      </c>
    </row>
    <row r="18" spans="2:5" x14ac:dyDescent="0.35">
      <c r="B18" s="26">
        <v>13</v>
      </c>
      <c r="C18" s="26">
        <v>3</v>
      </c>
      <c r="D18" s="27">
        <v>695.79899999999998</v>
      </c>
      <c r="E18" s="28">
        <v>71.0843373493976</v>
      </c>
    </row>
    <row r="19" spans="2:5" x14ac:dyDescent="0.35">
      <c r="B19" s="26">
        <v>14</v>
      </c>
      <c r="C19" s="26">
        <v>6</v>
      </c>
      <c r="D19" s="27">
        <v>526.91399999999999</v>
      </c>
      <c r="E19" s="28">
        <v>78.313253012048193</v>
      </c>
    </row>
    <row r="20" spans="2:5" x14ac:dyDescent="0.35">
      <c r="B20" s="26">
        <v>15</v>
      </c>
      <c r="C20" s="26">
        <v>3</v>
      </c>
      <c r="D20" s="27">
        <v>237.71700000000001</v>
      </c>
      <c r="E20" s="28">
        <v>81.927710843373504</v>
      </c>
    </row>
    <row r="21" spans="2:5" x14ac:dyDescent="0.35">
      <c r="B21" s="26">
        <v>16</v>
      </c>
      <c r="C21" s="26">
        <v>6</v>
      </c>
      <c r="D21" s="27">
        <v>1047.855</v>
      </c>
      <c r="E21" s="28">
        <v>89.156626506024097</v>
      </c>
    </row>
    <row r="22" spans="2:5" x14ac:dyDescent="0.35">
      <c r="B22" s="26">
        <v>17</v>
      </c>
      <c r="C22" s="26">
        <v>4</v>
      </c>
      <c r="D22" s="27">
        <v>476.65699999999998</v>
      </c>
      <c r="E22" s="28">
        <v>93.975903614457806</v>
      </c>
    </row>
    <row r="23" spans="2:5" x14ac:dyDescent="0.35">
      <c r="B23" s="26">
        <v>18</v>
      </c>
      <c r="C23" s="26">
        <v>4</v>
      </c>
      <c r="D23" s="27">
        <v>610.99199999999996</v>
      </c>
      <c r="E23" s="28">
        <v>98.795180722891601</v>
      </c>
    </row>
    <row r="24" spans="2:5" x14ac:dyDescent="0.35">
      <c r="B24" s="26">
        <v>19</v>
      </c>
      <c r="C24" s="26">
        <v>1</v>
      </c>
      <c r="D24" s="27">
        <v>181.87200000000001</v>
      </c>
      <c r="E24" s="28">
        <v>100</v>
      </c>
    </row>
  </sheetData>
  <mergeCells count="1">
    <mergeCell ref="B2:E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28"/>
  <sheetViews>
    <sheetView topLeftCell="A9" zoomScaleNormal="100" workbookViewId="0">
      <selection activeCell="C8" sqref="C8:C16"/>
    </sheetView>
  </sheetViews>
  <sheetFormatPr baseColWidth="10" defaultColWidth="8.6328125" defaultRowHeight="14.5" x14ac:dyDescent="0.35"/>
  <cols>
    <col min="1" max="7" width="20" customWidth="1"/>
  </cols>
  <sheetData>
    <row r="2" spans="2:7" ht="20" x14ac:dyDescent="0.4">
      <c r="B2" s="30" t="s">
        <v>58</v>
      </c>
      <c r="C2" s="30"/>
      <c r="D2" s="30"/>
      <c r="E2" s="30"/>
    </row>
    <row r="5" spans="2:7" ht="15.5" x14ac:dyDescent="0.35">
      <c r="B5" s="1" t="s">
        <v>59</v>
      </c>
      <c r="E5" s="1" t="s">
        <v>60</v>
      </c>
    </row>
    <row r="7" spans="2:7" x14ac:dyDescent="0.35">
      <c r="B7" s="12" t="s">
        <v>61</v>
      </c>
      <c r="C7" s="12" t="s">
        <v>62</v>
      </c>
      <c r="E7" s="29" t="s">
        <v>63</v>
      </c>
      <c r="F7" s="29" t="s">
        <v>24</v>
      </c>
      <c r="G7" s="12" t="s">
        <v>64</v>
      </c>
    </row>
    <row r="8" spans="2:7" x14ac:dyDescent="0.35">
      <c r="B8" s="13" t="s">
        <v>65</v>
      </c>
      <c r="C8" s="14">
        <v>28.289000000000001</v>
      </c>
      <c r="E8" s="13" t="s">
        <v>66</v>
      </c>
      <c r="F8" s="13">
        <v>34</v>
      </c>
      <c r="G8" s="15">
        <v>40.963855421686702</v>
      </c>
    </row>
    <row r="9" spans="2:7" x14ac:dyDescent="0.35">
      <c r="B9" s="13" t="s">
        <v>67</v>
      </c>
      <c r="C9" s="14">
        <v>2141.7629999999999</v>
      </c>
      <c r="E9" s="13" t="s">
        <v>68</v>
      </c>
      <c r="F9" s="13">
        <v>26</v>
      </c>
      <c r="G9" s="15">
        <v>31.325301204819301</v>
      </c>
    </row>
    <row r="10" spans="2:7" x14ac:dyDescent="0.35">
      <c r="B10" s="13" t="s">
        <v>69</v>
      </c>
      <c r="C10" s="14">
        <v>218.837012048193</v>
      </c>
      <c r="E10" s="13" t="s">
        <v>70</v>
      </c>
      <c r="F10" s="13">
        <v>13</v>
      </c>
      <c r="G10" s="15">
        <v>15.662650602409601</v>
      </c>
    </row>
    <row r="11" spans="2:7" x14ac:dyDescent="0.35">
      <c r="B11" s="13" t="s">
        <v>71</v>
      </c>
      <c r="C11" s="14">
        <v>131.38300000000001</v>
      </c>
      <c r="E11" s="13" t="s">
        <v>72</v>
      </c>
      <c r="F11" s="13">
        <v>8</v>
      </c>
      <c r="G11" s="15">
        <v>9.6385542168674707</v>
      </c>
    </row>
    <row r="12" spans="2:7" x14ac:dyDescent="0.35">
      <c r="B12" s="13" t="s">
        <v>73</v>
      </c>
      <c r="C12" s="14">
        <v>286.88717680953198</v>
      </c>
      <c r="E12" s="13" t="s">
        <v>74</v>
      </c>
      <c r="F12" s="13">
        <v>2</v>
      </c>
      <c r="G12" s="15">
        <v>2.4096385542168699</v>
      </c>
    </row>
    <row r="13" spans="2:7" x14ac:dyDescent="0.35">
      <c r="B13" s="13" t="s">
        <v>75</v>
      </c>
      <c r="C13" s="14">
        <v>73.194000000000003</v>
      </c>
    </row>
    <row r="14" spans="2:7" x14ac:dyDescent="0.35">
      <c r="B14" s="13" t="s">
        <v>76</v>
      </c>
      <c r="C14" s="14">
        <v>261.88350000000003</v>
      </c>
    </row>
    <row r="15" spans="2:7" x14ac:dyDescent="0.35">
      <c r="B15" s="13" t="s">
        <v>77</v>
      </c>
      <c r="C15" s="14">
        <v>188.68950000000001</v>
      </c>
    </row>
    <row r="16" spans="2:7" x14ac:dyDescent="0.35">
      <c r="B16" s="13" t="s">
        <v>78</v>
      </c>
      <c r="C16" s="14">
        <v>131.09627760150201</v>
      </c>
    </row>
    <row r="20" spans="2:3" ht="15.5" x14ac:dyDescent="0.35">
      <c r="B20" s="1" t="s">
        <v>79</v>
      </c>
    </row>
    <row r="22" spans="2:3" x14ac:dyDescent="0.35">
      <c r="B22" s="12" t="s">
        <v>61</v>
      </c>
      <c r="C22" s="12" t="s">
        <v>62</v>
      </c>
    </row>
    <row r="23" spans="2:3" x14ac:dyDescent="0.35">
      <c r="B23" s="13" t="s">
        <v>65</v>
      </c>
      <c r="C23" s="14">
        <v>1</v>
      </c>
    </row>
    <row r="24" spans="2:3" x14ac:dyDescent="0.35">
      <c r="B24" s="13" t="s">
        <v>67</v>
      </c>
      <c r="C24" s="14">
        <v>19</v>
      </c>
    </row>
    <row r="25" spans="2:3" x14ac:dyDescent="0.35">
      <c r="B25" s="13" t="s">
        <v>69</v>
      </c>
      <c r="C25" s="14">
        <v>9.6626506024096397</v>
      </c>
    </row>
    <row r="26" spans="2:3" x14ac:dyDescent="0.35">
      <c r="B26" s="13" t="s">
        <v>71</v>
      </c>
      <c r="C26" s="14">
        <v>9</v>
      </c>
    </row>
    <row r="27" spans="2:3" x14ac:dyDescent="0.35">
      <c r="B27" s="13" t="s">
        <v>73</v>
      </c>
      <c r="C27" s="14">
        <v>5.0443813428933097</v>
      </c>
    </row>
    <row r="28" spans="2:3" x14ac:dyDescent="0.35">
      <c r="B28" s="13" t="s">
        <v>80</v>
      </c>
      <c r="C28" s="14">
        <v>802</v>
      </c>
    </row>
  </sheetData>
  <mergeCells count="1">
    <mergeCell ref="B2:E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I89"/>
  <sheetViews>
    <sheetView topLeftCell="A72" zoomScaleNormal="100" workbookViewId="0">
      <selection activeCell="E1" sqref="E1:E1048576"/>
    </sheetView>
  </sheetViews>
  <sheetFormatPr baseColWidth="10" defaultColWidth="8.6328125" defaultRowHeight="14.5" x14ac:dyDescent="0.35"/>
  <cols>
    <col min="1" max="9" width="15" customWidth="1"/>
  </cols>
  <sheetData>
    <row r="2" spans="2:9" ht="20" x14ac:dyDescent="0.4">
      <c r="B2" s="30" t="s">
        <v>81</v>
      </c>
      <c r="C2" s="30"/>
      <c r="D2" s="30"/>
      <c r="E2" s="30"/>
      <c r="F2" s="30"/>
      <c r="G2" s="30"/>
      <c r="H2" s="30"/>
      <c r="I2" s="30"/>
    </row>
    <row r="5" spans="2:9" x14ac:dyDescent="0.35">
      <c r="B5" s="16" t="s">
        <v>82</v>
      </c>
      <c r="C5" s="16" t="s">
        <v>83</v>
      </c>
      <c r="D5" s="16" t="s">
        <v>84</v>
      </c>
      <c r="E5" s="16" t="s">
        <v>85</v>
      </c>
      <c r="F5" s="16" t="s">
        <v>23</v>
      </c>
      <c r="G5" s="16" t="s">
        <v>38</v>
      </c>
      <c r="H5" s="16" t="s">
        <v>86</v>
      </c>
      <c r="I5" s="16" t="s">
        <v>87</v>
      </c>
    </row>
    <row r="6" spans="2:9" x14ac:dyDescent="0.35">
      <c r="B6" s="4">
        <v>1</v>
      </c>
      <c r="C6" s="4" t="s">
        <v>88</v>
      </c>
      <c r="D6" s="4" t="s">
        <v>89</v>
      </c>
      <c r="E6" s="10">
        <v>313.13099999999997</v>
      </c>
      <c r="F6" s="4" t="s">
        <v>34</v>
      </c>
      <c r="G6" s="4" t="s">
        <v>49</v>
      </c>
      <c r="H6" s="17">
        <v>0</v>
      </c>
      <c r="I6" s="17">
        <v>1</v>
      </c>
    </row>
    <row r="7" spans="2:9" x14ac:dyDescent="0.35">
      <c r="B7" s="4">
        <v>2</v>
      </c>
      <c r="C7" s="4" t="s">
        <v>90</v>
      </c>
      <c r="D7" s="4" t="s">
        <v>91</v>
      </c>
      <c r="E7" s="10">
        <v>229.17699999999999</v>
      </c>
      <c r="F7" s="4" t="s">
        <v>35</v>
      </c>
      <c r="G7" s="4" t="s">
        <v>35</v>
      </c>
      <c r="H7" s="17">
        <v>0</v>
      </c>
      <c r="I7" s="17">
        <v>1</v>
      </c>
    </row>
    <row r="8" spans="2:9" x14ac:dyDescent="0.35">
      <c r="B8" s="4">
        <v>3</v>
      </c>
      <c r="C8" s="4" t="s">
        <v>92</v>
      </c>
      <c r="D8" s="4" t="s">
        <v>93</v>
      </c>
      <c r="E8" s="10">
        <v>95.459000000000003</v>
      </c>
      <c r="F8" s="4" t="s">
        <v>31</v>
      </c>
      <c r="G8" s="4" t="s">
        <v>40</v>
      </c>
      <c r="H8" s="17">
        <v>0</v>
      </c>
      <c r="I8" s="17">
        <v>2</v>
      </c>
    </row>
    <row r="9" spans="2:9" x14ac:dyDescent="0.35">
      <c r="B9" s="4">
        <v>4</v>
      </c>
      <c r="C9" s="4" t="s">
        <v>94</v>
      </c>
      <c r="D9" s="4" t="s">
        <v>95</v>
      </c>
      <c r="E9" s="10">
        <v>1115.665</v>
      </c>
      <c r="F9" s="4" t="s">
        <v>31</v>
      </c>
      <c r="G9" s="4" t="s">
        <v>40</v>
      </c>
      <c r="H9" s="17">
        <v>0</v>
      </c>
      <c r="I9" s="17">
        <v>2</v>
      </c>
    </row>
    <row r="10" spans="2:9" x14ac:dyDescent="0.35">
      <c r="B10" s="4">
        <v>5</v>
      </c>
      <c r="C10" s="4" t="s">
        <v>96</v>
      </c>
      <c r="D10" s="4" t="s">
        <v>97</v>
      </c>
      <c r="E10" s="10">
        <v>561.84199999999998</v>
      </c>
      <c r="F10" s="4" t="s">
        <v>34</v>
      </c>
      <c r="G10" s="4" t="s">
        <v>47</v>
      </c>
      <c r="H10" s="17">
        <v>0</v>
      </c>
      <c r="I10" s="17">
        <v>2</v>
      </c>
    </row>
    <row r="11" spans="2:9" x14ac:dyDescent="0.35">
      <c r="B11" s="4">
        <v>6</v>
      </c>
      <c r="C11" s="4" t="s">
        <v>96</v>
      </c>
      <c r="D11" s="4" t="s">
        <v>98</v>
      </c>
      <c r="E11" s="10">
        <v>58.27</v>
      </c>
      <c r="F11" s="4" t="s">
        <v>34</v>
      </c>
      <c r="G11" s="4" t="s">
        <v>47</v>
      </c>
      <c r="H11" s="17">
        <v>1</v>
      </c>
      <c r="I11" s="17">
        <v>2</v>
      </c>
    </row>
    <row r="12" spans="2:9" x14ac:dyDescent="0.35">
      <c r="B12" s="4">
        <v>7</v>
      </c>
      <c r="C12" s="4" t="s">
        <v>99</v>
      </c>
      <c r="D12" s="4" t="s">
        <v>100</v>
      </c>
      <c r="E12" s="10">
        <v>94.918000000000006</v>
      </c>
      <c r="F12" s="4" t="s">
        <v>31</v>
      </c>
      <c r="G12" s="4" t="s">
        <v>40</v>
      </c>
      <c r="H12" s="17">
        <v>1</v>
      </c>
      <c r="I12" s="17">
        <v>3</v>
      </c>
    </row>
    <row r="13" spans="2:9" x14ac:dyDescent="0.35">
      <c r="B13" s="4">
        <v>8</v>
      </c>
      <c r="C13" s="4" t="s">
        <v>101</v>
      </c>
      <c r="D13" s="4" t="s">
        <v>102</v>
      </c>
      <c r="E13" s="10">
        <v>30.347999999999999</v>
      </c>
      <c r="F13" s="4" t="s">
        <v>31</v>
      </c>
      <c r="G13" s="4" t="s">
        <v>40</v>
      </c>
      <c r="H13" s="17">
        <v>0</v>
      </c>
      <c r="I13" s="17">
        <v>3</v>
      </c>
    </row>
    <row r="14" spans="2:9" x14ac:dyDescent="0.35">
      <c r="B14" s="4">
        <v>9</v>
      </c>
      <c r="C14" s="4" t="s">
        <v>103</v>
      </c>
      <c r="D14" s="4" t="s">
        <v>104</v>
      </c>
      <c r="E14" s="10">
        <v>289.02</v>
      </c>
      <c r="F14" s="4" t="s">
        <v>31</v>
      </c>
      <c r="G14" s="4" t="s">
        <v>40</v>
      </c>
      <c r="H14" s="17">
        <v>0</v>
      </c>
      <c r="I14" s="17">
        <v>3</v>
      </c>
    </row>
    <row r="15" spans="2:9" x14ac:dyDescent="0.35">
      <c r="B15" s="4">
        <v>10</v>
      </c>
      <c r="C15" s="4" t="s">
        <v>92</v>
      </c>
      <c r="D15" s="4" t="s">
        <v>105</v>
      </c>
      <c r="E15" s="10">
        <v>596.76599999999996</v>
      </c>
      <c r="F15" s="4" t="s">
        <v>31</v>
      </c>
      <c r="G15" s="4" t="s">
        <v>40</v>
      </c>
      <c r="H15" s="17">
        <v>0</v>
      </c>
      <c r="I15" s="17">
        <v>3</v>
      </c>
    </row>
    <row r="16" spans="2:9" x14ac:dyDescent="0.35">
      <c r="B16" s="4">
        <v>11</v>
      </c>
      <c r="C16" s="4" t="s">
        <v>101</v>
      </c>
      <c r="D16" s="4" t="s">
        <v>106</v>
      </c>
      <c r="E16" s="10">
        <v>118.175</v>
      </c>
      <c r="F16" s="4" t="s">
        <v>33</v>
      </c>
      <c r="G16" s="4" t="s">
        <v>43</v>
      </c>
      <c r="H16" s="17">
        <v>1</v>
      </c>
      <c r="I16" s="17">
        <v>4</v>
      </c>
    </row>
    <row r="17" spans="2:9" x14ac:dyDescent="0.35">
      <c r="B17" s="4">
        <v>12</v>
      </c>
      <c r="C17" s="4" t="s">
        <v>101</v>
      </c>
      <c r="D17" s="4" t="s">
        <v>107</v>
      </c>
      <c r="E17" s="10">
        <v>618.87099999999998</v>
      </c>
      <c r="F17" s="4" t="s">
        <v>31</v>
      </c>
      <c r="G17" s="4" t="s">
        <v>40</v>
      </c>
      <c r="H17" s="17">
        <v>1</v>
      </c>
      <c r="I17" s="17">
        <v>4</v>
      </c>
    </row>
    <row r="18" spans="2:9" x14ac:dyDescent="0.35">
      <c r="B18" s="4">
        <v>13</v>
      </c>
      <c r="C18" s="4" t="s">
        <v>101</v>
      </c>
      <c r="D18" s="4" t="s">
        <v>108</v>
      </c>
      <c r="E18" s="10">
        <v>159.267</v>
      </c>
      <c r="F18" s="4" t="s">
        <v>31</v>
      </c>
      <c r="G18" s="4" t="s">
        <v>40</v>
      </c>
      <c r="H18" s="17">
        <v>1</v>
      </c>
      <c r="I18" s="17">
        <v>4</v>
      </c>
    </row>
    <row r="19" spans="2:9" x14ac:dyDescent="0.35">
      <c r="B19" s="4">
        <v>14</v>
      </c>
      <c r="C19" s="4" t="s">
        <v>101</v>
      </c>
      <c r="D19" s="4" t="s">
        <v>109</v>
      </c>
      <c r="E19" s="10">
        <v>594.76</v>
      </c>
      <c r="F19" s="4" t="s">
        <v>33</v>
      </c>
      <c r="G19" s="4" t="s">
        <v>43</v>
      </c>
      <c r="H19" s="17">
        <v>1</v>
      </c>
      <c r="I19" s="17">
        <v>4</v>
      </c>
    </row>
    <row r="20" spans="2:9" x14ac:dyDescent="0.35">
      <c r="B20" s="4">
        <v>15</v>
      </c>
      <c r="C20" s="4" t="s">
        <v>101</v>
      </c>
      <c r="D20" s="4" t="s">
        <v>110</v>
      </c>
      <c r="E20" s="10">
        <v>139.60300000000001</v>
      </c>
      <c r="F20" s="4" t="s">
        <v>33</v>
      </c>
      <c r="G20" s="4" t="s">
        <v>43</v>
      </c>
      <c r="H20" s="17">
        <v>1</v>
      </c>
      <c r="I20" s="17">
        <v>4</v>
      </c>
    </row>
    <row r="21" spans="2:9" x14ac:dyDescent="0.35">
      <c r="B21" s="4">
        <v>16</v>
      </c>
      <c r="C21" s="4" t="s">
        <v>99</v>
      </c>
      <c r="D21" s="4" t="s">
        <v>111</v>
      </c>
      <c r="E21" s="10">
        <v>113.764</v>
      </c>
      <c r="F21" s="4" t="s">
        <v>31</v>
      </c>
      <c r="G21" s="4" t="s">
        <v>40</v>
      </c>
      <c r="H21" s="17">
        <v>1</v>
      </c>
      <c r="I21" s="17">
        <v>4</v>
      </c>
    </row>
    <row r="22" spans="2:9" x14ac:dyDescent="0.35">
      <c r="B22" s="4">
        <v>17</v>
      </c>
      <c r="C22" s="4" t="s">
        <v>101</v>
      </c>
      <c r="D22" s="4" t="s">
        <v>112</v>
      </c>
      <c r="E22" s="10">
        <v>261.05099999999999</v>
      </c>
      <c r="F22" s="4" t="s">
        <v>33</v>
      </c>
      <c r="G22" s="4" t="s">
        <v>43</v>
      </c>
      <c r="H22" s="17">
        <v>1</v>
      </c>
      <c r="I22" s="17">
        <v>4</v>
      </c>
    </row>
    <row r="23" spans="2:9" x14ac:dyDescent="0.35">
      <c r="B23" s="4">
        <v>18</v>
      </c>
      <c r="C23" s="4" t="s">
        <v>113</v>
      </c>
      <c r="D23" s="4" t="s">
        <v>114</v>
      </c>
      <c r="E23" s="10">
        <v>64.769000000000005</v>
      </c>
      <c r="F23" s="4" t="s">
        <v>31</v>
      </c>
      <c r="G23" s="4" t="s">
        <v>53</v>
      </c>
      <c r="H23" s="17">
        <v>0</v>
      </c>
      <c r="I23" s="17">
        <v>5</v>
      </c>
    </row>
    <row r="24" spans="2:9" x14ac:dyDescent="0.35">
      <c r="B24" s="4">
        <v>19</v>
      </c>
      <c r="C24" s="4" t="s">
        <v>115</v>
      </c>
      <c r="D24" s="4" t="s">
        <v>116</v>
      </c>
      <c r="E24" s="10">
        <v>28.289000000000001</v>
      </c>
      <c r="F24" s="4" t="s">
        <v>33</v>
      </c>
      <c r="G24" s="4" t="s">
        <v>43</v>
      </c>
      <c r="H24" s="17">
        <v>1</v>
      </c>
      <c r="I24" s="17">
        <v>5</v>
      </c>
    </row>
    <row r="25" spans="2:9" x14ac:dyDescent="0.35">
      <c r="B25" s="4">
        <v>20</v>
      </c>
      <c r="C25" s="4" t="s">
        <v>117</v>
      </c>
      <c r="D25" s="4" t="s">
        <v>118</v>
      </c>
      <c r="E25" s="10">
        <v>79.177000000000007</v>
      </c>
      <c r="F25" s="4" t="s">
        <v>31</v>
      </c>
      <c r="G25" s="4" t="s">
        <v>50</v>
      </c>
      <c r="H25" s="17">
        <v>1</v>
      </c>
      <c r="I25" s="17">
        <v>5</v>
      </c>
    </row>
    <row r="26" spans="2:9" x14ac:dyDescent="0.35">
      <c r="B26" s="4">
        <v>21</v>
      </c>
      <c r="C26" s="4" t="s">
        <v>113</v>
      </c>
      <c r="D26" s="4" t="s">
        <v>119</v>
      </c>
      <c r="E26" s="10">
        <v>131.38300000000001</v>
      </c>
      <c r="F26" s="4" t="s">
        <v>31</v>
      </c>
      <c r="G26" s="4" t="s">
        <v>52</v>
      </c>
      <c r="H26" s="17">
        <v>1</v>
      </c>
      <c r="I26" s="17">
        <v>5</v>
      </c>
    </row>
    <row r="27" spans="2:9" x14ac:dyDescent="0.35">
      <c r="B27" s="4">
        <v>22</v>
      </c>
      <c r="C27" s="4" t="s">
        <v>117</v>
      </c>
      <c r="D27" s="4" t="s">
        <v>120</v>
      </c>
      <c r="E27" s="10">
        <v>108.89100000000001</v>
      </c>
      <c r="F27" s="4" t="s">
        <v>31</v>
      </c>
      <c r="G27" s="4" t="s">
        <v>50</v>
      </c>
      <c r="H27" s="17">
        <v>1</v>
      </c>
      <c r="I27" s="17">
        <v>6</v>
      </c>
    </row>
    <row r="28" spans="2:9" x14ac:dyDescent="0.35">
      <c r="B28" s="4">
        <v>23</v>
      </c>
      <c r="C28" s="4" t="s">
        <v>117</v>
      </c>
      <c r="D28" s="4" t="s">
        <v>121</v>
      </c>
      <c r="E28" s="10">
        <v>54.186999999999998</v>
      </c>
      <c r="F28" s="4" t="s">
        <v>31</v>
      </c>
      <c r="G28" s="4" t="s">
        <v>31</v>
      </c>
      <c r="H28" s="17">
        <v>1</v>
      </c>
      <c r="I28" s="17">
        <v>6</v>
      </c>
    </row>
    <row r="29" spans="2:9" x14ac:dyDescent="0.35">
      <c r="B29" s="4">
        <v>24</v>
      </c>
      <c r="C29" s="4" t="s">
        <v>99</v>
      </c>
      <c r="D29" s="4" t="s">
        <v>122</v>
      </c>
      <c r="E29" s="10">
        <v>67.561000000000007</v>
      </c>
      <c r="F29" s="4" t="s">
        <v>31</v>
      </c>
      <c r="G29" s="4" t="s">
        <v>50</v>
      </c>
      <c r="H29" s="17">
        <v>1</v>
      </c>
      <c r="I29" s="17">
        <v>6</v>
      </c>
    </row>
    <row r="30" spans="2:9" x14ac:dyDescent="0.35">
      <c r="B30" s="4">
        <v>25</v>
      </c>
      <c r="C30" s="4" t="s">
        <v>123</v>
      </c>
      <c r="D30" s="4" t="s">
        <v>124</v>
      </c>
      <c r="E30" s="10">
        <v>44.889000000000003</v>
      </c>
      <c r="F30" s="4" t="s">
        <v>31</v>
      </c>
      <c r="G30" s="4" t="s">
        <v>53</v>
      </c>
      <c r="H30" s="17">
        <v>1</v>
      </c>
      <c r="I30" s="17">
        <v>6</v>
      </c>
    </row>
    <row r="31" spans="2:9" x14ac:dyDescent="0.35">
      <c r="B31" s="4">
        <v>26</v>
      </c>
      <c r="C31" s="4" t="s">
        <v>123</v>
      </c>
      <c r="D31" s="4" t="s">
        <v>125</v>
      </c>
      <c r="E31" s="10">
        <v>102.916</v>
      </c>
      <c r="F31" s="4" t="s">
        <v>31</v>
      </c>
      <c r="G31" s="4" t="s">
        <v>31</v>
      </c>
      <c r="H31" s="17">
        <v>1</v>
      </c>
      <c r="I31" s="17">
        <v>6</v>
      </c>
    </row>
    <row r="32" spans="2:9" x14ac:dyDescent="0.35">
      <c r="B32" s="4">
        <v>27</v>
      </c>
      <c r="C32" s="4" t="s">
        <v>126</v>
      </c>
      <c r="D32" s="4" t="s">
        <v>127</v>
      </c>
      <c r="E32" s="10">
        <v>736.31899999999996</v>
      </c>
      <c r="F32" s="4" t="s">
        <v>31</v>
      </c>
      <c r="G32" s="4" t="s">
        <v>45</v>
      </c>
      <c r="H32" s="17">
        <v>0</v>
      </c>
      <c r="I32" s="17">
        <v>7</v>
      </c>
    </row>
    <row r="33" spans="2:9" x14ac:dyDescent="0.35">
      <c r="B33" s="4">
        <v>28</v>
      </c>
      <c r="C33" s="4" t="s">
        <v>99</v>
      </c>
      <c r="D33" s="4" t="s">
        <v>128</v>
      </c>
      <c r="E33" s="10">
        <v>148.26599999999999</v>
      </c>
      <c r="F33" s="4" t="s">
        <v>31</v>
      </c>
      <c r="G33" s="4" t="s">
        <v>31</v>
      </c>
      <c r="H33" s="17">
        <v>0</v>
      </c>
      <c r="I33" s="17">
        <v>7</v>
      </c>
    </row>
    <row r="34" spans="2:9" x14ac:dyDescent="0.35">
      <c r="B34" s="4">
        <v>29</v>
      </c>
      <c r="C34" s="4" t="s">
        <v>103</v>
      </c>
      <c r="D34" s="4" t="s">
        <v>129</v>
      </c>
      <c r="E34" s="10">
        <v>511.53</v>
      </c>
      <c r="F34" s="4" t="s">
        <v>31</v>
      </c>
      <c r="G34" s="4" t="s">
        <v>31</v>
      </c>
      <c r="H34" s="17">
        <v>0</v>
      </c>
      <c r="I34" s="17">
        <v>7</v>
      </c>
    </row>
    <row r="35" spans="2:9" x14ac:dyDescent="0.35">
      <c r="B35" s="4">
        <v>30</v>
      </c>
      <c r="C35" s="4" t="s">
        <v>130</v>
      </c>
      <c r="D35" s="4" t="s">
        <v>131</v>
      </c>
      <c r="E35" s="10">
        <v>110.809</v>
      </c>
      <c r="F35" s="4" t="s">
        <v>31</v>
      </c>
      <c r="G35" s="4" t="s">
        <v>31</v>
      </c>
      <c r="H35" s="17">
        <v>0</v>
      </c>
      <c r="I35" s="17">
        <v>7</v>
      </c>
    </row>
    <row r="36" spans="2:9" x14ac:dyDescent="0.35">
      <c r="B36" s="4">
        <v>31</v>
      </c>
      <c r="C36" s="4" t="s">
        <v>130</v>
      </c>
      <c r="D36" s="4" t="s">
        <v>132</v>
      </c>
      <c r="E36" s="10">
        <v>462.68799999999999</v>
      </c>
      <c r="F36" s="4" t="s">
        <v>31</v>
      </c>
      <c r="G36" s="4" t="s">
        <v>31</v>
      </c>
      <c r="H36" s="17">
        <v>0</v>
      </c>
      <c r="I36" s="17">
        <v>7</v>
      </c>
    </row>
    <row r="37" spans="2:9" x14ac:dyDescent="0.35">
      <c r="B37" s="4">
        <v>32</v>
      </c>
      <c r="C37" s="4" t="s">
        <v>103</v>
      </c>
      <c r="D37" s="4" t="s">
        <v>133</v>
      </c>
      <c r="E37" s="10">
        <v>88.152000000000001</v>
      </c>
      <c r="F37" s="4" t="s">
        <v>31</v>
      </c>
      <c r="G37" s="4" t="s">
        <v>31</v>
      </c>
      <c r="H37" s="17">
        <v>0</v>
      </c>
      <c r="I37" s="17">
        <v>7</v>
      </c>
    </row>
    <row r="38" spans="2:9" x14ac:dyDescent="0.35">
      <c r="B38" s="4">
        <v>33</v>
      </c>
      <c r="C38" s="4" t="s">
        <v>134</v>
      </c>
      <c r="D38" s="4" t="s">
        <v>135</v>
      </c>
      <c r="E38" s="10">
        <v>376.18299999999999</v>
      </c>
      <c r="F38" s="4" t="s">
        <v>31</v>
      </c>
      <c r="G38" s="4" t="s">
        <v>39</v>
      </c>
      <c r="H38" s="17">
        <v>1</v>
      </c>
      <c r="I38" s="17">
        <v>8</v>
      </c>
    </row>
    <row r="39" spans="2:9" x14ac:dyDescent="0.35">
      <c r="B39" s="4">
        <v>34</v>
      </c>
      <c r="C39" s="4" t="s">
        <v>136</v>
      </c>
      <c r="D39" s="4" t="s">
        <v>137</v>
      </c>
      <c r="E39" s="10">
        <v>44.709000000000003</v>
      </c>
      <c r="F39" s="4" t="s">
        <v>31</v>
      </c>
      <c r="G39" s="4" t="s">
        <v>48</v>
      </c>
      <c r="H39" s="17">
        <v>1</v>
      </c>
      <c r="I39" s="17">
        <v>8</v>
      </c>
    </row>
    <row r="40" spans="2:9" x14ac:dyDescent="0.35">
      <c r="B40" s="4">
        <v>35</v>
      </c>
      <c r="C40" s="4" t="s">
        <v>136</v>
      </c>
      <c r="D40" s="4" t="s">
        <v>138</v>
      </c>
      <c r="E40" s="10">
        <v>49.607999999999997</v>
      </c>
      <c r="F40" s="4" t="s">
        <v>31</v>
      </c>
      <c r="G40" s="4" t="s">
        <v>48</v>
      </c>
      <c r="H40" s="17">
        <v>0</v>
      </c>
      <c r="I40" s="17">
        <v>8</v>
      </c>
    </row>
    <row r="41" spans="2:9" x14ac:dyDescent="0.35">
      <c r="B41" s="4">
        <v>36</v>
      </c>
      <c r="C41" s="4" t="s">
        <v>136</v>
      </c>
      <c r="D41" s="4" t="s">
        <v>139</v>
      </c>
      <c r="E41" s="10">
        <v>160.48500000000001</v>
      </c>
      <c r="F41" s="4" t="s">
        <v>31</v>
      </c>
      <c r="G41" s="4" t="s">
        <v>48</v>
      </c>
      <c r="H41" s="17">
        <v>0</v>
      </c>
      <c r="I41" s="17">
        <v>8</v>
      </c>
    </row>
    <row r="42" spans="2:9" x14ac:dyDescent="0.35">
      <c r="B42" s="4">
        <v>37</v>
      </c>
      <c r="C42" s="4" t="s">
        <v>136</v>
      </c>
      <c r="D42" s="4" t="s">
        <v>140</v>
      </c>
      <c r="E42" s="10">
        <v>155.13900000000001</v>
      </c>
      <c r="F42" s="4" t="s">
        <v>31</v>
      </c>
      <c r="G42" s="4" t="s">
        <v>48</v>
      </c>
      <c r="H42" s="17">
        <v>1</v>
      </c>
      <c r="I42" s="17">
        <v>8</v>
      </c>
    </row>
    <row r="43" spans="2:9" x14ac:dyDescent="0.35">
      <c r="B43" s="4">
        <v>38</v>
      </c>
      <c r="C43" s="4" t="s">
        <v>123</v>
      </c>
      <c r="D43" s="4" t="s">
        <v>141</v>
      </c>
      <c r="E43" s="10">
        <v>313.334</v>
      </c>
      <c r="F43" s="4" t="s">
        <v>31</v>
      </c>
      <c r="G43" s="4" t="s">
        <v>39</v>
      </c>
      <c r="H43" s="17">
        <v>1</v>
      </c>
      <c r="I43" s="17">
        <v>8</v>
      </c>
    </row>
    <row r="44" spans="2:9" x14ac:dyDescent="0.35">
      <c r="B44" s="4">
        <v>39</v>
      </c>
      <c r="C44" s="4" t="s">
        <v>134</v>
      </c>
      <c r="D44" s="4" t="s">
        <v>142</v>
      </c>
      <c r="E44" s="10">
        <v>80.897999999999996</v>
      </c>
      <c r="F44" s="4" t="s">
        <v>31</v>
      </c>
      <c r="G44" s="4" t="s">
        <v>39</v>
      </c>
      <c r="H44" s="17">
        <v>0</v>
      </c>
      <c r="I44" s="17">
        <v>9</v>
      </c>
    </row>
    <row r="45" spans="2:9" x14ac:dyDescent="0.35">
      <c r="B45" s="4">
        <v>40</v>
      </c>
      <c r="C45" s="4" t="s">
        <v>134</v>
      </c>
      <c r="D45" s="4" t="s">
        <v>143</v>
      </c>
      <c r="E45" s="10">
        <v>68.037000000000006</v>
      </c>
      <c r="F45" s="4" t="s">
        <v>31</v>
      </c>
      <c r="G45" s="4" t="s">
        <v>39</v>
      </c>
      <c r="H45" s="17">
        <v>0</v>
      </c>
      <c r="I45" s="17">
        <v>9</v>
      </c>
    </row>
    <row r="46" spans="2:9" x14ac:dyDescent="0.35">
      <c r="B46" s="4">
        <v>41</v>
      </c>
      <c r="C46" s="4" t="s">
        <v>134</v>
      </c>
      <c r="D46" s="4" t="s">
        <v>144</v>
      </c>
      <c r="E46" s="10">
        <v>185.483</v>
      </c>
      <c r="F46" s="4" t="s">
        <v>31</v>
      </c>
      <c r="G46" s="4" t="s">
        <v>39</v>
      </c>
      <c r="H46" s="17">
        <v>0</v>
      </c>
      <c r="I46" s="17">
        <v>9</v>
      </c>
    </row>
    <row r="47" spans="2:9" x14ac:dyDescent="0.35">
      <c r="B47" s="4">
        <v>42</v>
      </c>
      <c r="C47" s="4" t="s">
        <v>134</v>
      </c>
      <c r="D47" s="4" t="s">
        <v>145</v>
      </c>
      <c r="E47" s="10">
        <v>2141.7629999999999</v>
      </c>
      <c r="F47" s="4" t="s">
        <v>31</v>
      </c>
      <c r="G47" s="4" t="s">
        <v>39</v>
      </c>
      <c r="H47" s="17">
        <v>0</v>
      </c>
      <c r="I47" s="17">
        <v>9</v>
      </c>
    </row>
    <row r="48" spans="2:9" x14ac:dyDescent="0.35">
      <c r="B48" s="4">
        <v>43</v>
      </c>
      <c r="C48" s="4" t="s">
        <v>146</v>
      </c>
      <c r="D48" s="4" t="s">
        <v>147</v>
      </c>
      <c r="E48" s="10">
        <v>289.68</v>
      </c>
      <c r="F48" s="4" t="s">
        <v>31</v>
      </c>
      <c r="G48" s="4" t="s">
        <v>39</v>
      </c>
      <c r="H48" s="17">
        <v>0</v>
      </c>
      <c r="I48" s="17">
        <v>10</v>
      </c>
    </row>
    <row r="49" spans="2:9" x14ac:dyDescent="0.35">
      <c r="B49" s="4">
        <v>44</v>
      </c>
      <c r="C49" s="4" t="s">
        <v>148</v>
      </c>
      <c r="D49" s="4" t="s">
        <v>149</v>
      </c>
      <c r="E49" s="10">
        <v>75.61</v>
      </c>
      <c r="F49" s="4" t="s">
        <v>31</v>
      </c>
      <c r="G49" s="4" t="s">
        <v>39</v>
      </c>
      <c r="H49" s="17">
        <v>1</v>
      </c>
      <c r="I49" s="17">
        <v>10</v>
      </c>
    </row>
    <row r="50" spans="2:9" x14ac:dyDescent="0.35">
      <c r="B50" s="4">
        <v>45</v>
      </c>
      <c r="C50" s="4" t="s">
        <v>134</v>
      </c>
      <c r="D50" s="4" t="s">
        <v>150</v>
      </c>
      <c r="E50" s="10">
        <v>286.59100000000001</v>
      </c>
      <c r="F50" s="4" t="s">
        <v>31</v>
      </c>
      <c r="G50" s="4" t="s">
        <v>39</v>
      </c>
      <c r="H50" s="17">
        <v>0</v>
      </c>
      <c r="I50" s="17">
        <v>10</v>
      </c>
    </row>
    <row r="51" spans="2:9" x14ac:dyDescent="0.35">
      <c r="B51" s="4">
        <v>46</v>
      </c>
      <c r="C51" s="4" t="s">
        <v>148</v>
      </c>
      <c r="D51" s="4" t="s">
        <v>151</v>
      </c>
      <c r="E51" s="10">
        <v>236.273</v>
      </c>
      <c r="F51" s="4" t="s">
        <v>31</v>
      </c>
      <c r="G51" s="4" t="s">
        <v>42</v>
      </c>
      <c r="H51" s="17">
        <v>0</v>
      </c>
      <c r="I51" s="17">
        <v>10</v>
      </c>
    </row>
    <row r="52" spans="2:9" x14ac:dyDescent="0.35">
      <c r="B52" s="4">
        <v>47</v>
      </c>
      <c r="C52" s="4" t="s">
        <v>148</v>
      </c>
      <c r="D52" s="4" t="s">
        <v>152</v>
      </c>
      <c r="E52" s="10">
        <v>157.81800000000001</v>
      </c>
      <c r="F52" s="4" t="s">
        <v>31</v>
      </c>
      <c r="G52" s="4" t="s">
        <v>42</v>
      </c>
      <c r="H52" s="17">
        <v>0</v>
      </c>
      <c r="I52" s="17">
        <v>10</v>
      </c>
    </row>
    <row r="53" spans="2:9" x14ac:dyDescent="0.35">
      <c r="B53" s="4">
        <v>48</v>
      </c>
      <c r="C53" s="4" t="s">
        <v>153</v>
      </c>
      <c r="D53" s="4" t="s">
        <v>154</v>
      </c>
      <c r="E53" s="10">
        <v>328.82400000000001</v>
      </c>
      <c r="F53" s="4" t="s">
        <v>31</v>
      </c>
      <c r="G53" s="4" t="s">
        <v>42</v>
      </c>
      <c r="H53" s="17">
        <v>1</v>
      </c>
      <c r="I53" s="17">
        <v>11</v>
      </c>
    </row>
    <row r="54" spans="2:9" x14ac:dyDescent="0.35">
      <c r="B54" s="4">
        <v>49</v>
      </c>
      <c r="C54" s="4" t="s">
        <v>153</v>
      </c>
      <c r="D54" s="4" t="s">
        <v>155</v>
      </c>
      <c r="E54" s="10">
        <v>567.47199999999998</v>
      </c>
      <c r="F54" s="4" t="s">
        <v>31</v>
      </c>
      <c r="G54" s="4" t="s">
        <v>44</v>
      </c>
      <c r="H54" s="17">
        <v>1</v>
      </c>
      <c r="I54" s="17">
        <v>11</v>
      </c>
    </row>
    <row r="55" spans="2:9" x14ac:dyDescent="0.35">
      <c r="B55" s="4">
        <v>50</v>
      </c>
      <c r="C55" s="4" t="s">
        <v>153</v>
      </c>
      <c r="D55" s="4" t="s">
        <v>156</v>
      </c>
      <c r="E55" s="10">
        <v>84.927000000000007</v>
      </c>
      <c r="F55" s="4" t="s">
        <v>31</v>
      </c>
      <c r="G55" s="4" t="s">
        <v>42</v>
      </c>
      <c r="H55" s="17">
        <v>0</v>
      </c>
      <c r="I55" s="17">
        <v>11</v>
      </c>
    </row>
    <row r="56" spans="2:9" x14ac:dyDescent="0.35">
      <c r="B56" s="4">
        <v>51</v>
      </c>
      <c r="C56" s="4" t="s">
        <v>157</v>
      </c>
      <c r="D56" s="4" t="s">
        <v>158</v>
      </c>
      <c r="E56" s="10">
        <v>144.726</v>
      </c>
      <c r="F56" s="4" t="s">
        <v>31</v>
      </c>
      <c r="G56" s="4" t="s">
        <v>42</v>
      </c>
      <c r="H56" s="17">
        <v>1</v>
      </c>
      <c r="I56" s="17">
        <v>11</v>
      </c>
    </row>
    <row r="57" spans="2:9" x14ac:dyDescent="0.35">
      <c r="B57" s="4">
        <v>52</v>
      </c>
      <c r="C57" s="4" t="s">
        <v>153</v>
      </c>
      <c r="D57" s="4" t="s">
        <v>159</v>
      </c>
      <c r="E57" s="10">
        <v>84.715000000000003</v>
      </c>
      <c r="F57" s="4" t="s">
        <v>31</v>
      </c>
      <c r="G57" s="4" t="s">
        <v>44</v>
      </c>
      <c r="H57" s="17">
        <v>1</v>
      </c>
      <c r="I57" s="17">
        <v>11</v>
      </c>
    </row>
    <row r="58" spans="2:9" x14ac:dyDescent="0.35">
      <c r="B58" s="4">
        <v>53</v>
      </c>
      <c r="C58" s="4" t="s">
        <v>160</v>
      </c>
      <c r="D58" s="4" t="s">
        <v>161</v>
      </c>
      <c r="E58" s="10">
        <v>48.951000000000001</v>
      </c>
      <c r="F58" s="4" t="s">
        <v>31</v>
      </c>
      <c r="G58" s="4" t="s">
        <v>44</v>
      </c>
      <c r="H58" s="17">
        <v>1</v>
      </c>
      <c r="I58" s="17">
        <v>12</v>
      </c>
    </row>
    <row r="59" spans="2:9" x14ac:dyDescent="0.35">
      <c r="B59" s="4">
        <v>54</v>
      </c>
      <c r="C59" s="4" t="s">
        <v>153</v>
      </c>
      <c r="D59" s="4" t="s">
        <v>162</v>
      </c>
      <c r="E59" s="10">
        <v>153.642</v>
      </c>
      <c r="F59" s="4" t="s">
        <v>31</v>
      </c>
      <c r="G59" s="4" t="s">
        <v>44</v>
      </c>
      <c r="H59" s="17">
        <v>0</v>
      </c>
      <c r="I59" s="17">
        <v>12</v>
      </c>
    </row>
    <row r="60" spans="2:9" x14ac:dyDescent="0.35">
      <c r="B60" s="4">
        <v>55</v>
      </c>
      <c r="C60" s="4" t="s">
        <v>153</v>
      </c>
      <c r="D60" s="4" t="s">
        <v>163</v>
      </c>
      <c r="E60" s="10">
        <v>125.348</v>
      </c>
      <c r="F60" s="4" t="s">
        <v>31</v>
      </c>
      <c r="G60" s="4" t="s">
        <v>44</v>
      </c>
      <c r="H60" s="17">
        <v>1</v>
      </c>
      <c r="I60" s="17">
        <v>12</v>
      </c>
    </row>
    <row r="61" spans="2:9" x14ac:dyDescent="0.35">
      <c r="B61" s="4">
        <v>56</v>
      </c>
      <c r="C61" s="4" t="s">
        <v>160</v>
      </c>
      <c r="D61" s="4" t="s">
        <v>164</v>
      </c>
      <c r="E61" s="10">
        <v>95.537000000000006</v>
      </c>
      <c r="F61" s="4" t="s">
        <v>31</v>
      </c>
      <c r="G61" s="4" t="s">
        <v>44</v>
      </c>
      <c r="H61" s="17">
        <v>1</v>
      </c>
      <c r="I61" s="17">
        <v>12</v>
      </c>
    </row>
    <row r="62" spans="2:9" x14ac:dyDescent="0.35">
      <c r="B62" s="4">
        <v>57</v>
      </c>
      <c r="C62" s="4" t="s">
        <v>165</v>
      </c>
      <c r="D62" s="4" t="s">
        <v>166</v>
      </c>
      <c r="E62" s="10">
        <v>70.778000000000006</v>
      </c>
      <c r="F62" s="4" t="s">
        <v>32</v>
      </c>
      <c r="G62" s="4" t="s">
        <v>32</v>
      </c>
      <c r="H62" s="17">
        <v>1</v>
      </c>
      <c r="I62" s="17">
        <v>13</v>
      </c>
    </row>
    <row r="63" spans="2:9" x14ac:dyDescent="0.35">
      <c r="B63" s="4">
        <v>58</v>
      </c>
      <c r="C63" s="4" t="s">
        <v>165</v>
      </c>
      <c r="D63" s="4" t="s">
        <v>167</v>
      </c>
      <c r="E63" s="10">
        <v>535.02200000000005</v>
      </c>
      <c r="F63" s="4" t="s">
        <v>32</v>
      </c>
      <c r="G63" s="4" t="s">
        <v>46</v>
      </c>
      <c r="H63" s="17">
        <v>0</v>
      </c>
      <c r="I63" s="17">
        <v>13</v>
      </c>
    </row>
    <row r="64" spans="2:9" x14ac:dyDescent="0.35">
      <c r="B64" s="4">
        <v>59</v>
      </c>
      <c r="C64" s="4" t="s">
        <v>165</v>
      </c>
      <c r="D64" s="4" t="s">
        <v>168</v>
      </c>
      <c r="E64" s="10">
        <v>89.998999999999995</v>
      </c>
      <c r="F64" s="4" t="s">
        <v>32</v>
      </c>
      <c r="G64" s="4" t="s">
        <v>32</v>
      </c>
      <c r="H64" s="17">
        <v>0</v>
      </c>
      <c r="I64" s="17">
        <v>13</v>
      </c>
    </row>
    <row r="65" spans="2:9" x14ac:dyDescent="0.35">
      <c r="B65" s="4">
        <v>60</v>
      </c>
      <c r="C65" s="4" t="s">
        <v>157</v>
      </c>
      <c r="D65" s="4" t="s">
        <v>169</v>
      </c>
      <c r="E65" s="10">
        <v>154.81</v>
      </c>
      <c r="F65" s="4" t="s">
        <v>31</v>
      </c>
      <c r="G65" s="4" t="s">
        <v>42</v>
      </c>
      <c r="H65" s="17">
        <v>1</v>
      </c>
      <c r="I65" s="17">
        <v>14</v>
      </c>
    </row>
    <row r="66" spans="2:9" x14ac:dyDescent="0.35">
      <c r="B66" s="4">
        <v>61</v>
      </c>
      <c r="C66" s="4" t="s">
        <v>157</v>
      </c>
      <c r="D66" s="4" t="s">
        <v>170</v>
      </c>
      <c r="E66" s="10">
        <v>95.209000000000003</v>
      </c>
      <c r="F66" s="4" t="s">
        <v>31</v>
      </c>
      <c r="G66" s="4" t="s">
        <v>42</v>
      </c>
      <c r="H66" s="17">
        <v>0</v>
      </c>
      <c r="I66" s="17">
        <v>14</v>
      </c>
    </row>
    <row r="67" spans="2:9" x14ac:dyDescent="0.35">
      <c r="B67" s="4">
        <v>62</v>
      </c>
      <c r="C67" s="4" t="s">
        <v>157</v>
      </c>
      <c r="D67" s="4" t="s">
        <v>171</v>
      </c>
      <c r="E67" s="10">
        <v>98.028999999999996</v>
      </c>
      <c r="F67" s="4" t="s">
        <v>31</v>
      </c>
      <c r="G67" s="4" t="s">
        <v>42</v>
      </c>
      <c r="H67" s="17">
        <v>1</v>
      </c>
      <c r="I67" s="17">
        <v>14</v>
      </c>
    </row>
    <row r="68" spans="2:9" x14ac:dyDescent="0.35">
      <c r="B68" s="4">
        <v>63</v>
      </c>
      <c r="C68" s="4" t="s">
        <v>172</v>
      </c>
      <c r="D68" s="4" t="s">
        <v>173</v>
      </c>
      <c r="E68" s="10">
        <v>31.619</v>
      </c>
      <c r="F68" s="4" t="s">
        <v>32</v>
      </c>
      <c r="G68" s="4" t="s">
        <v>51</v>
      </c>
      <c r="H68" s="17">
        <v>0</v>
      </c>
      <c r="I68" s="17">
        <v>14</v>
      </c>
    </row>
    <row r="69" spans="2:9" x14ac:dyDescent="0.35">
      <c r="B69" s="4">
        <v>64</v>
      </c>
      <c r="C69" s="4" t="s">
        <v>174</v>
      </c>
      <c r="D69" s="4" t="s">
        <v>175</v>
      </c>
      <c r="E69" s="10">
        <v>63.363999999999997</v>
      </c>
      <c r="F69" s="4" t="s">
        <v>32</v>
      </c>
      <c r="G69" s="4" t="s">
        <v>51</v>
      </c>
      <c r="H69" s="17">
        <v>0</v>
      </c>
      <c r="I69" s="17">
        <v>14</v>
      </c>
    </row>
    <row r="70" spans="2:9" x14ac:dyDescent="0.35">
      <c r="B70" s="4">
        <v>65</v>
      </c>
      <c r="C70" s="4" t="s">
        <v>174</v>
      </c>
      <c r="D70" s="4" t="s">
        <v>176</v>
      </c>
      <c r="E70" s="10">
        <v>83.882999999999996</v>
      </c>
      <c r="F70" s="4" t="s">
        <v>31</v>
      </c>
      <c r="G70" s="4" t="s">
        <v>42</v>
      </c>
      <c r="H70" s="17">
        <v>0</v>
      </c>
      <c r="I70" s="17">
        <v>14</v>
      </c>
    </row>
    <row r="71" spans="2:9" x14ac:dyDescent="0.35">
      <c r="B71" s="4">
        <v>66</v>
      </c>
      <c r="C71" s="4" t="s">
        <v>177</v>
      </c>
      <c r="D71" s="4" t="s">
        <v>178</v>
      </c>
      <c r="E71" s="10">
        <v>37.933</v>
      </c>
      <c r="F71" s="4" t="s">
        <v>32</v>
      </c>
      <c r="G71" s="4" t="s">
        <v>46</v>
      </c>
      <c r="H71" s="17">
        <v>0</v>
      </c>
      <c r="I71" s="17">
        <v>15</v>
      </c>
    </row>
    <row r="72" spans="2:9" x14ac:dyDescent="0.35">
      <c r="B72" s="4">
        <v>67</v>
      </c>
      <c r="C72" s="4" t="s">
        <v>160</v>
      </c>
      <c r="D72" s="4" t="s">
        <v>179</v>
      </c>
      <c r="E72" s="10">
        <v>48.988</v>
      </c>
      <c r="F72" s="4" t="s">
        <v>32</v>
      </c>
      <c r="G72" s="4" t="s">
        <v>46</v>
      </c>
      <c r="H72" s="17">
        <v>0</v>
      </c>
      <c r="I72" s="17">
        <v>15</v>
      </c>
    </row>
    <row r="73" spans="2:9" x14ac:dyDescent="0.35">
      <c r="B73" s="4">
        <v>68</v>
      </c>
      <c r="C73" s="4" t="s">
        <v>180</v>
      </c>
      <c r="D73" s="4" t="s">
        <v>181</v>
      </c>
      <c r="E73" s="10">
        <v>150.79599999999999</v>
      </c>
      <c r="F73" s="4" t="s">
        <v>32</v>
      </c>
      <c r="G73" s="4" t="s">
        <v>51</v>
      </c>
      <c r="H73" s="17">
        <v>1</v>
      </c>
      <c r="I73" s="17">
        <v>15</v>
      </c>
    </row>
    <row r="74" spans="2:9" x14ac:dyDescent="0.35">
      <c r="B74" s="4">
        <v>69</v>
      </c>
      <c r="C74" s="4" t="s">
        <v>182</v>
      </c>
      <c r="D74" s="4" t="s">
        <v>183</v>
      </c>
      <c r="E74" s="10">
        <v>262.71600000000001</v>
      </c>
      <c r="F74" s="4" t="s">
        <v>32</v>
      </c>
      <c r="G74" s="4" t="s">
        <v>41</v>
      </c>
      <c r="H74" s="17">
        <v>0</v>
      </c>
      <c r="I74" s="17">
        <v>16</v>
      </c>
    </row>
    <row r="75" spans="2:9" x14ac:dyDescent="0.35">
      <c r="B75" s="4">
        <v>70</v>
      </c>
      <c r="C75" s="4" t="s">
        <v>184</v>
      </c>
      <c r="D75" s="4" t="s">
        <v>185</v>
      </c>
      <c r="E75" s="10">
        <v>40.637999999999998</v>
      </c>
      <c r="F75" s="4" t="s">
        <v>32</v>
      </c>
      <c r="G75" s="4" t="s">
        <v>41</v>
      </c>
      <c r="H75" s="17">
        <v>0</v>
      </c>
      <c r="I75" s="17">
        <v>16</v>
      </c>
    </row>
    <row r="76" spans="2:9" x14ac:dyDescent="0.35">
      <c r="B76" s="4">
        <v>71</v>
      </c>
      <c r="C76" s="4" t="s">
        <v>182</v>
      </c>
      <c r="D76" s="4" t="s">
        <v>186</v>
      </c>
      <c r="E76" s="10">
        <v>235.28100000000001</v>
      </c>
      <c r="F76" s="4" t="s">
        <v>31</v>
      </c>
      <c r="G76" s="4" t="s">
        <v>42</v>
      </c>
      <c r="H76" s="17">
        <v>1</v>
      </c>
      <c r="I76" s="17">
        <v>16</v>
      </c>
    </row>
    <row r="77" spans="2:9" x14ac:dyDescent="0.35">
      <c r="B77" s="4">
        <v>72</v>
      </c>
      <c r="C77" s="4" t="s">
        <v>184</v>
      </c>
      <c r="D77" s="4" t="s">
        <v>187</v>
      </c>
      <c r="E77" s="10">
        <v>293.11500000000001</v>
      </c>
      <c r="F77" s="4" t="s">
        <v>32</v>
      </c>
      <c r="G77" s="4" t="s">
        <v>41</v>
      </c>
      <c r="H77" s="17">
        <v>0</v>
      </c>
      <c r="I77" s="17">
        <v>16</v>
      </c>
    </row>
    <row r="78" spans="2:9" x14ac:dyDescent="0.35">
      <c r="B78" s="4">
        <v>73</v>
      </c>
      <c r="C78" s="4" t="s">
        <v>184</v>
      </c>
      <c r="D78" s="4" t="s">
        <v>188</v>
      </c>
      <c r="E78" s="10">
        <v>181.941</v>
      </c>
      <c r="F78" s="4" t="s">
        <v>32</v>
      </c>
      <c r="G78" s="4" t="s">
        <v>41</v>
      </c>
      <c r="H78" s="17">
        <v>0</v>
      </c>
      <c r="I78" s="17">
        <v>16</v>
      </c>
    </row>
    <row r="79" spans="2:9" x14ac:dyDescent="0.35">
      <c r="B79" s="4">
        <v>74</v>
      </c>
      <c r="C79" s="4" t="s">
        <v>174</v>
      </c>
      <c r="D79" s="4" t="s">
        <v>189</v>
      </c>
      <c r="E79" s="10">
        <v>34.164000000000001</v>
      </c>
      <c r="F79" s="4" t="s">
        <v>31</v>
      </c>
      <c r="G79" s="4" t="s">
        <v>42</v>
      </c>
      <c r="H79" s="17">
        <v>0</v>
      </c>
      <c r="I79" s="17">
        <v>16</v>
      </c>
    </row>
    <row r="80" spans="2:9" x14ac:dyDescent="0.35">
      <c r="B80" s="4">
        <v>75</v>
      </c>
      <c r="C80" s="4" t="s">
        <v>182</v>
      </c>
      <c r="D80" s="4" t="s">
        <v>190</v>
      </c>
      <c r="E80" s="10">
        <v>62.825000000000003</v>
      </c>
      <c r="F80" s="4" t="s">
        <v>32</v>
      </c>
      <c r="G80" s="4" t="s">
        <v>41</v>
      </c>
      <c r="H80" s="17">
        <v>1</v>
      </c>
      <c r="I80" s="17">
        <v>17</v>
      </c>
    </row>
    <row r="81" spans="2:9" x14ac:dyDescent="0.35">
      <c r="B81" s="4">
        <v>76</v>
      </c>
      <c r="C81" s="4" t="s">
        <v>182</v>
      </c>
      <c r="D81" s="4" t="s">
        <v>191</v>
      </c>
      <c r="E81" s="10">
        <v>101.408</v>
      </c>
      <c r="F81" s="4" t="s">
        <v>32</v>
      </c>
      <c r="G81" s="4" t="s">
        <v>41</v>
      </c>
      <c r="H81" s="17">
        <v>1</v>
      </c>
      <c r="I81" s="17">
        <v>17</v>
      </c>
    </row>
    <row r="82" spans="2:9" x14ac:dyDescent="0.35">
      <c r="B82" s="4">
        <v>77</v>
      </c>
      <c r="C82" s="4" t="s">
        <v>182</v>
      </c>
      <c r="D82" s="4" t="s">
        <v>192</v>
      </c>
      <c r="E82" s="10">
        <v>49.703000000000003</v>
      </c>
      <c r="F82" s="4" t="s">
        <v>32</v>
      </c>
      <c r="G82" s="4" t="s">
        <v>41</v>
      </c>
      <c r="H82" s="17">
        <v>1</v>
      </c>
      <c r="I82" s="17">
        <v>17</v>
      </c>
    </row>
    <row r="83" spans="2:9" x14ac:dyDescent="0.35">
      <c r="B83" s="4">
        <v>78</v>
      </c>
      <c r="C83" s="4" t="s">
        <v>182</v>
      </c>
      <c r="D83" s="4" t="s">
        <v>193</v>
      </c>
      <c r="E83" s="10">
        <v>262.721</v>
      </c>
      <c r="F83" s="4" t="s">
        <v>32</v>
      </c>
      <c r="G83" s="4" t="s">
        <v>41</v>
      </c>
      <c r="H83" s="17">
        <v>1</v>
      </c>
      <c r="I83" s="17">
        <v>17</v>
      </c>
    </row>
    <row r="84" spans="2:9" x14ac:dyDescent="0.35">
      <c r="B84" s="4">
        <v>79</v>
      </c>
      <c r="C84" s="4" t="s">
        <v>182</v>
      </c>
      <c r="D84" s="4" t="s">
        <v>194</v>
      </c>
      <c r="E84" s="10">
        <v>258.99400000000003</v>
      </c>
      <c r="F84" s="4" t="s">
        <v>32</v>
      </c>
      <c r="G84" s="4" t="s">
        <v>41</v>
      </c>
      <c r="H84" s="17">
        <v>1</v>
      </c>
      <c r="I84" s="17">
        <v>18</v>
      </c>
    </row>
    <row r="85" spans="2:9" x14ac:dyDescent="0.35">
      <c r="B85" s="4">
        <v>80</v>
      </c>
      <c r="C85" s="4" t="s">
        <v>195</v>
      </c>
      <c r="D85" s="4" t="s">
        <v>196</v>
      </c>
      <c r="E85" s="10">
        <v>142.732</v>
      </c>
      <c r="F85" s="4" t="s">
        <v>32</v>
      </c>
      <c r="G85" s="4" t="s">
        <v>41</v>
      </c>
      <c r="H85" s="17">
        <v>1</v>
      </c>
      <c r="I85" s="17">
        <v>18</v>
      </c>
    </row>
    <row r="86" spans="2:9" x14ac:dyDescent="0.35">
      <c r="B86" s="4">
        <v>81</v>
      </c>
      <c r="C86" s="4" t="s">
        <v>195</v>
      </c>
      <c r="D86" s="4" t="s">
        <v>197</v>
      </c>
      <c r="E86" s="10">
        <v>144.28</v>
      </c>
      <c r="F86" s="4" t="s">
        <v>32</v>
      </c>
      <c r="G86" s="4" t="s">
        <v>41</v>
      </c>
      <c r="H86" s="17">
        <v>1</v>
      </c>
      <c r="I86" s="17">
        <v>18</v>
      </c>
    </row>
    <row r="87" spans="2:9" x14ac:dyDescent="0.35">
      <c r="B87" s="4">
        <v>82</v>
      </c>
      <c r="C87" s="4" t="s">
        <v>182</v>
      </c>
      <c r="D87" s="4" t="s">
        <v>198</v>
      </c>
      <c r="E87" s="10">
        <v>64.986000000000004</v>
      </c>
      <c r="F87" s="4" t="s">
        <v>32</v>
      </c>
      <c r="G87" s="4" t="s">
        <v>41</v>
      </c>
      <c r="H87" s="17">
        <v>1</v>
      </c>
      <c r="I87" s="17">
        <v>18</v>
      </c>
    </row>
    <row r="88" spans="2:9" x14ac:dyDescent="0.35">
      <c r="B88" s="4">
        <v>83</v>
      </c>
      <c r="C88" s="4" t="s">
        <v>195</v>
      </c>
      <c r="D88" s="4" t="s">
        <v>199</v>
      </c>
      <c r="E88" s="10">
        <v>181.87200000000001</v>
      </c>
      <c r="F88" s="4" t="s">
        <v>32</v>
      </c>
      <c r="G88" s="4" t="s">
        <v>41</v>
      </c>
      <c r="H88" s="17">
        <v>1</v>
      </c>
      <c r="I88" s="17">
        <v>19</v>
      </c>
    </row>
    <row r="89" spans="2:9" x14ac:dyDescent="0.35">
      <c r="B89" s="11" t="s">
        <v>36</v>
      </c>
      <c r="C89" s="18"/>
      <c r="D89" s="18"/>
      <c r="E89" s="19">
        <f>SUM(E6:E88)</f>
        <v>18163.472000000005</v>
      </c>
      <c r="F89" s="18"/>
      <c r="G89" s="18"/>
      <c r="H89" s="18"/>
      <c r="I89" s="11">
        <f>SUM(I6:I88)</f>
        <v>802</v>
      </c>
    </row>
  </sheetData>
  <autoFilter ref="B5:I89" xr:uid="{00000000-0001-0000-0500-000000000000}"/>
  <mergeCells count="1">
    <mergeCell ref="B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EDDE8-566F-4657-A419-5CA105AB1098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RESUMEN EJECUTIVO</vt:lpstr>
      <vt:lpstr>POR PROVINCIA</vt:lpstr>
      <vt:lpstr>POR DISTRITO</vt:lpstr>
      <vt:lpstr>CRONOGRAMA</vt:lpstr>
      <vt:lpstr>ESTADÍSTICAS</vt:lpstr>
      <vt:lpstr>DATOS_ORIGEN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Hector Salomón Cahuas Miller</cp:lastModifiedBy>
  <cp:revision>1</cp:revision>
  <dcterms:created xsi:type="dcterms:W3CDTF">2026-02-19T17:32:24Z</dcterms:created>
  <dcterms:modified xsi:type="dcterms:W3CDTF">2026-02-22T21:43:58Z</dcterms:modified>
  <dc:language>en-US</dc:language>
</cp:coreProperties>
</file>