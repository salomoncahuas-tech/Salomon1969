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A1_Ambito_Distrito" sheetId="2" state="visible" r:id="rId2"/>
    <sheet xmlns:r="http://schemas.openxmlformats.org/officeDocument/2006/relationships" name="A1_Microcuencas" sheetId="3" state="visible" r:id="rId3"/>
    <sheet xmlns:r="http://schemas.openxmlformats.org/officeDocument/2006/relationships" name="A1_Bloques" sheetId="4" state="visible" r:id="rId4"/>
    <sheet xmlns:r="http://schemas.openxmlformats.org/officeDocument/2006/relationships" name="A2_Criterios" sheetId="5" state="visible" r:id="rId5"/>
    <sheet xmlns:r="http://schemas.openxmlformats.org/officeDocument/2006/relationships" name="A3_Poblacion_CCPP" sheetId="6" state="visible" r:id="rId6"/>
    <sheet xmlns:r="http://schemas.openxmlformats.org/officeDocument/2006/relationships" name="A3_Poblacion_Distrito" sheetId="7" state="visible" r:id="rId7"/>
    <sheet xmlns:r="http://schemas.openxmlformats.org/officeDocument/2006/relationships" name="A3_Avance_Social" sheetId="8" state="visible" r:id="rId8"/>
    <sheet xmlns:r="http://schemas.openxmlformats.org/officeDocument/2006/relationships" name="A4_UP_Ecosistemas" sheetId="9" state="visible" r:id="rId9"/>
    <sheet xmlns:r="http://schemas.openxmlformats.org/officeDocument/2006/relationships" name="A4_UP_Eco_Bloque" sheetId="10" state="visible" r:id="rId10"/>
    <sheet xmlns:r="http://schemas.openxmlformats.org/officeDocument/2006/relationships" name="A4_UP_MSAVI" sheetId="11" state="visible" r:id="rId11"/>
    <sheet xmlns:r="http://schemas.openxmlformats.org/officeDocument/2006/relationships" name="A4_UP_Carcavas" sheetId="12" state="visible" r:id="rId12"/>
    <sheet xmlns:r="http://schemas.openxmlformats.org/officeDocument/2006/relationships" name="A5_Involucrados" sheetId="13" state="visible" r:id="rId13"/>
    <sheet xmlns:r="http://schemas.openxmlformats.org/officeDocument/2006/relationships" name="A6_Inventario_SIG" sheetId="14" state="visible" r:id="rId14"/>
    <sheet xmlns:r="http://schemas.openxmlformats.org/officeDocument/2006/relationships" name="Notas" sheetId="15" state="visible" r:id="rId15"/>
  </sheets>
  <definedNames>
    <definedName name="_xlnm._FilterDatabase" localSheetId="0" hidden="1">'Índice'!$A$8:$C$22</definedName>
    <definedName name="_xlnm._FilterDatabase" localSheetId="3" hidden="1">'A1_Bloques'!$A$8:$N$125</definedName>
    <definedName name="_xlnm._FilterDatabase" localSheetId="4" hidden="1">'A2_Criterios'!$A$8:$F$22</definedName>
    <definedName name="_xlnm._FilterDatabase" localSheetId="5" hidden="1">'A3_Poblacion_CCPP'!$A$8:$P$160</definedName>
    <definedName name="_xlnm._FilterDatabase" localSheetId="7" hidden="1">'A3_Avance_Social'!$A$24:$N$195</definedName>
    <definedName name="_xlnm._FilterDatabase" localSheetId="9" hidden="1">'A4_UP_Eco_Bloque'!$A$8:$I$198</definedName>
    <definedName name="_xlnm._FilterDatabase" localSheetId="10" hidden="1">'A4_UP_MSAVI'!$A$8:$M$125</definedName>
    <definedName name="_xlnm._FilterDatabase" localSheetId="11" hidden="1">'A4_UP_Carcavas'!$A$8:$P$63</definedName>
    <definedName name="_xlnm._FilterDatabase" localSheetId="12" hidden="1">'A5_Involucrados'!$A$8:$G$17</definedName>
    <definedName name="_xlnm._FilterDatabase" localSheetId="13" hidden="1">'A6_Inventario_SIG'!$A$8:$I$23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0.0000"/>
    <numFmt numFmtId="166" formatCode="0.0%"/>
    <numFmt numFmtId="167" formatCode="#,##0.0"/>
    <numFmt numFmtId="168" formatCode="yyyy-mm-dd"/>
    <numFmt numFmtId="169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color rgb="001B4D2E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1B4F72"/>
      <sz val="10"/>
      <u val="single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9C2A00"/>
      <sz val="10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D9E6D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5" fillId="3" borderId="1" pivotButton="0" quotePrefix="0" xfId="0"/>
    <xf numFmtId="167" fontId="5" fillId="0" borderId="1" pivotButton="0" quotePrefix="0" xfId="0"/>
    <xf numFmtId="1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167" fontId="5" fillId="3" borderId="1" pivotButton="0" quotePrefix="0" xfId="0"/>
    <xf numFmtId="1" fontId="5" fillId="3" borderId="1" pivotButton="0" quotePrefix="0" xfId="0"/>
    <xf numFmtId="164" fontId="5" fillId="3" borderId="1" pivotButton="0" quotePrefix="0" xfId="0"/>
    <xf numFmtId="166" fontId="5" fillId="3" borderId="1" pivotButton="0" quotePrefix="0" xfId="0"/>
    <xf numFmtId="0" fontId="7" fillId="4" borderId="1" pivotButton="0" quotePrefix="0" xfId="0"/>
    <xf numFmtId="0" fontId="5" fillId="4" borderId="1" pivotButton="0" quotePrefix="0" xfId="0"/>
    <xf numFmtId="167" fontId="5" fillId="4" borderId="1" pivotButton="0" quotePrefix="0" xfId="0"/>
    <xf numFmtId="1" fontId="7" fillId="4" borderId="1" pivotButton="0" quotePrefix="0" xfId="0"/>
    <xf numFmtId="164" fontId="7" fillId="4" borderId="1" pivotButton="0" quotePrefix="0" xfId="0"/>
    <xf numFmtId="166" fontId="7" fillId="4" borderId="1" pivotButton="0" quotePrefix="0" xfId="0"/>
    <xf numFmtId="0" fontId="2" fillId="0" borderId="0" pivotButton="0" quotePrefix="0" xfId="0"/>
    <xf numFmtId="167" fontId="7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0" fontId="8" fillId="0" borderId="0" applyAlignment="1" pivotButton="0" quotePrefix="0" xfId="0">
      <alignment vertical="top" wrapText="1"/>
    </xf>
    <xf numFmtId="165" fontId="5" fillId="0" borderId="1" pivotButton="0" quotePrefix="0" xfId="0"/>
    <xf numFmtId="4" fontId="5" fillId="0" borderId="1" pivotButton="0" quotePrefix="0" xfId="0"/>
    <xf numFmtId="165" fontId="5" fillId="3" borderId="1" pivotButton="0" quotePrefix="0" xfId="0"/>
    <xf numFmtId="4" fontId="5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3" fontId="5" fillId="0" borderId="1" pivotButton="0" quotePrefix="0" xfId="0"/>
    <xf numFmtId="3" fontId="5" fillId="3" borderId="1" pivotButton="0" quotePrefix="0" xfId="0"/>
    <xf numFmtId="3" fontId="7" fillId="4" borderId="1" pivotButton="0" quotePrefix="0" xfId="0"/>
    <xf numFmtId="2" fontId="5" fillId="0" borderId="1" pivotButton="0" quotePrefix="0" xfId="0"/>
    <xf numFmtId="9" fontId="5" fillId="0" borderId="1" pivotButton="0" quotePrefix="0" xfId="0"/>
    <xf numFmtId="1" fontId="7" fillId="0" borderId="1" pivotButton="0" quotePrefix="0" xfId="0"/>
    <xf numFmtId="169" fontId="5" fillId="0" borderId="1" pivotButton="0" quotePrefix="0" xfId="0"/>
    <xf numFmtId="169" fontId="5" fillId="3" borderId="1" pivotButton="0" quotePrefix="0" xfId="0"/>
    <xf numFmtId="10" fontId="5" fillId="0" borderId="1" pivotButton="0" quotePrefix="0" xfId="0"/>
    <xf numFmtId="10" fontId="5" fillId="3" borderId="1" pivotButton="0" quotePrefix="0" xfId="0"/>
    <xf numFmtId="164" fontId="5" fillId="4" borderId="1" pivotButton="0" quotePrefix="0" xfId="0"/>
    <xf numFmtId="10" fontId="7" fillId="4" borderId="1" pivotButton="0" quotePrefix="0" xfId="0"/>
    <xf numFmtId="2" fontId="5" fillId="3" borderId="1" pivotButton="0" quotePrefix="0" xfId="0"/>
    <xf numFmtId="4" fontId="7" fillId="4" borderId="1" pivotButton="0" quotePrefix="0" xfId="0"/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1_Ambito_Distrito'!A1" TargetMode="External" Id="rId1"/><Relationship Type="http://schemas.openxmlformats.org/officeDocument/2006/relationships/hyperlink" Target="#'A1_Microcuencas'!A1" TargetMode="External" Id="rId2"/><Relationship Type="http://schemas.openxmlformats.org/officeDocument/2006/relationships/hyperlink" Target="#'A1_Bloques'!A1" TargetMode="External" Id="rId3"/><Relationship Type="http://schemas.openxmlformats.org/officeDocument/2006/relationships/hyperlink" Target="#'A2_Criterios'!A1" TargetMode="External" Id="rId4"/><Relationship Type="http://schemas.openxmlformats.org/officeDocument/2006/relationships/hyperlink" Target="#'A3_Poblacion_CCPP'!A1" TargetMode="External" Id="rId5"/><Relationship Type="http://schemas.openxmlformats.org/officeDocument/2006/relationships/hyperlink" Target="#'A3_Poblacion_Distrito'!A1" TargetMode="External" Id="rId6"/><Relationship Type="http://schemas.openxmlformats.org/officeDocument/2006/relationships/hyperlink" Target="#'A3_Avance_Social'!A1" TargetMode="External" Id="rId7"/><Relationship Type="http://schemas.openxmlformats.org/officeDocument/2006/relationships/hyperlink" Target="#'A4_UP_Ecosistemas'!A1" TargetMode="External" Id="rId8"/><Relationship Type="http://schemas.openxmlformats.org/officeDocument/2006/relationships/hyperlink" Target="#'A4_UP_Eco_Bloque'!A1" TargetMode="External" Id="rId9"/><Relationship Type="http://schemas.openxmlformats.org/officeDocument/2006/relationships/hyperlink" Target="#'A4_UP_MSAVI'!A1" TargetMode="External" Id="rId10"/><Relationship Type="http://schemas.openxmlformats.org/officeDocument/2006/relationships/hyperlink" Target="#'A4_UP_Carcavas'!A1" TargetMode="External" Id="rId11"/><Relationship Type="http://schemas.openxmlformats.org/officeDocument/2006/relationships/hyperlink" Target="#'A5_Involucrados'!A1" TargetMode="External" Id="rId12"/><Relationship Type="http://schemas.openxmlformats.org/officeDocument/2006/relationships/hyperlink" Target="#'A6_Inventario_SIG'!A1" TargetMode="External" Id="rId13"/><Relationship Type="http://schemas.openxmlformats.org/officeDocument/2006/relationships/hyperlink" Target="#'Notas'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ANEXOS DEL INFORME DE AVANCE DEL PERFIL IN PIURA — RESPUESTA A SOLICITUD DE INFORMACIÓN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repositorio del Proyecto IN Piura, corte 23.10.2026</t>
        </is>
      </c>
    </row>
    <row r="8" ht="30" customHeight="1">
      <c r="A8" s="4" t="inlineStr">
        <is>
          <t>Hoja</t>
        </is>
      </c>
      <c r="B8" s="4" t="inlineStr">
        <is>
          <t>Punto de la solicitud</t>
        </is>
      </c>
      <c r="C8" s="4" t="inlineStr">
        <is>
          <t>Contenido</t>
        </is>
      </c>
    </row>
    <row r="9">
      <c r="A9" s="5" t="inlineStr">
        <is>
          <t>A1_Ambito_Distrito</t>
        </is>
      </c>
      <c r="B9" s="6" t="inlineStr">
        <is>
          <t>1. Delimitación del ámbito</t>
        </is>
      </c>
      <c r="C9" s="6" t="inlineStr">
        <is>
          <t>Bloques V6 y área de influencia por distrito y provincia</t>
        </is>
      </c>
    </row>
    <row r="10">
      <c r="A10" s="7" t="inlineStr">
        <is>
          <t>A1_Microcuencas</t>
        </is>
      </c>
      <c r="B10" s="8" t="inlineStr">
        <is>
          <t>1. Delimitación del ámbito</t>
        </is>
      </c>
      <c r="C10" s="8" t="inlineStr">
        <is>
          <t>Bloques V6 por microcuenca (26 microcuencas)</t>
        </is>
      </c>
    </row>
    <row r="11">
      <c r="A11" s="5" t="inlineStr">
        <is>
          <t>A1_Bloques</t>
        </is>
      </c>
      <c r="B11" s="6" t="inlineStr">
        <is>
          <t>1, 2 y 4</t>
        </is>
      </c>
      <c r="C11" s="6" t="inlineStr">
        <is>
          <t>Detalle de los 117 bloques V6: ubicación, AI, MSAVI, ecosistema, CCPP</t>
        </is>
      </c>
    </row>
    <row r="12">
      <c r="A12" s="7" t="inlineStr">
        <is>
          <t>A2_Criterios</t>
        </is>
      </c>
      <c r="B12" s="8" t="inlineStr">
        <is>
          <t>2. Criterios de selección</t>
        </is>
      </c>
      <c r="C12" s="8" t="inlineStr">
        <is>
          <t>Matriz de criterios de selección y priorización</t>
        </is>
      </c>
    </row>
    <row r="13">
      <c r="A13" s="5" t="inlineStr">
        <is>
          <t>A3_Poblacion_CCPP</t>
        </is>
      </c>
      <c r="B13" s="6" t="inlineStr">
        <is>
          <t>3. Población afectada</t>
        </is>
      </c>
      <c r="C13" s="6" t="inlineStr">
        <is>
          <t>Centros poblados asociados a los bloques V6 (únicos)</t>
        </is>
      </c>
    </row>
    <row r="14">
      <c r="A14" s="7" t="inlineStr">
        <is>
          <t>A3_Poblacion_Distrito</t>
        </is>
      </c>
      <c r="B14" s="8" t="inlineStr">
        <is>
          <t>3. Población afectada</t>
        </is>
      </c>
      <c r="C14" s="8" t="inlineStr">
        <is>
          <t>Población de los CCPP asociados por distrito y provincia</t>
        </is>
      </c>
    </row>
    <row r="15">
      <c r="A15" s="5" t="inlineStr">
        <is>
          <t>A3_Avance_Social</t>
        </is>
      </c>
      <c r="B15" s="6" t="inlineStr">
        <is>
          <t>3 y 5</t>
        </is>
      </c>
      <c r="C15" s="6" t="inlineStr">
        <is>
          <t>Diseño muestral y avance de las fichas F-DS por centro poblado</t>
        </is>
      </c>
    </row>
    <row r="16">
      <c r="A16" s="7" t="inlineStr">
        <is>
          <t>A4_UP_Ecosistemas</t>
        </is>
      </c>
      <c r="B16" s="8" t="inlineStr">
        <is>
          <t>4. Unidad Productora</t>
        </is>
      </c>
      <c r="C16" s="8" t="inlineStr">
        <is>
          <t>Ecosistemas en los bloques V6 (MINAM 2018)</t>
        </is>
      </c>
    </row>
    <row r="17">
      <c r="A17" s="5" t="inlineStr">
        <is>
          <t>A4_UP_Eco_Bloque</t>
        </is>
      </c>
      <c r="B17" s="6" t="inlineStr">
        <is>
          <t>4. Unidad Productora</t>
        </is>
      </c>
      <c r="C17" s="6" t="inlineStr">
        <is>
          <t>Ecosistemas por bloque (detalle)</t>
        </is>
      </c>
    </row>
    <row r="18">
      <c r="A18" s="7" t="inlineStr">
        <is>
          <t>A4_UP_MSAVI</t>
        </is>
      </c>
      <c r="B18" s="8" t="inlineStr">
        <is>
          <t>4. Unidad Productora</t>
        </is>
      </c>
      <c r="C18" s="8" t="inlineStr">
        <is>
          <t>Cobertura vegetal MSAVI 2024 por clase y bloque</t>
        </is>
      </c>
    </row>
    <row r="19">
      <c r="A19" s="5" t="inlineStr">
        <is>
          <t>A4_UP_Carcavas</t>
        </is>
      </c>
      <c r="B19" s="6" t="inlineStr">
        <is>
          <t>4. Unidad Productora</t>
        </is>
      </c>
      <c r="C19" s="6" t="inlineStr">
        <is>
          <t>Cárcavas caracterizadas (55)</t>
        </is>
      </c>
    </row>
    <row r="20">
      <c r="A20" s="7" t="inlineStr">
        <is>
          <t>A5_Involucrados</t>
        </is>
      </c>
      <c r="B20" s="8" t="inlineStr">
        <is>
          <t>5. Involucrados</t>
        </is>
      </c>
      <c r="C20" s="8" t="inlineStr">
        <is>
          <t>Matriz preliminar de involucrados</t>
        </is>
      </c>
    </row>
    <row r="21">
      <c r="A21" s="5" t="inlineStr">
        <is>
          <t>A6_Inventario_SIG</t>
        </is>
      </c>
      <c r="B21" s="6" t="inlineStr">
        <is>
          <t>6. Información georreferenciada</t>
        </is>
      </c>
      <c r="C21" s="6" t="inlineStr">
        <is>
          <t>Inventario de capas entregadas y pendientes</t>
        </is>
      </c>
    </row>
    <row r="22">
      <c r="A22" s="7" t="inlineStr">
        <is>
          <t>Notas</t>
        </is>
      </c>
      <c r="B22" s="8" t="inlineStr">
        <is>
          <t>—</t>
        </is>
      </c>
      <c r="C22" s="8" t="inlineStr">
        <is>
          <t>Fuentes, controles y datos pendientes [POR DEFINIR]</t>
        </is>
      </c>
    </row>
  </sheetData>
  <autoFilter ref="A8:C22"/>
  <mergeCells count="6">
    <mergeCell ref="A1:D1"/>
    <mergeCell ref="A5:D5"/>
    <mergeCell ref="A6:D6"/>
    <mergeCell ref="A4:D4"/>
    <mergeCell ref="A3:D3"/>
    <mergeCell ref="A2:D2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A1. ÁMBITO DE ESTUDIO Y ÁREA DE INFLUENCIA — BLOQUES V6 Y AI POR DISTRITO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catálogo V6 (datos/unidades_liberacion_areas.csv), ANIN-DIME-SESDI 2026. Área de influencia aprobada (AI_aprobado_2.shp), ANIN-DIME-SESDI 2026; sin los AI de los bloques retirados 74 y 75. Límites distritales INEI (referencial)</t>
        </is>
      </c>
    </row>
    <row r="8" ht="30" customHeight="1">
      <c r="A8" s="4" t="inlineStr">
        <is>
          <t>Provincia</t>
        </is>
      </c>
      <c r="B8" s="4" t="inlineStr">
        <is>
          <t>Distrito</t>
        </is>
      </c>
      <c r="C8" s="4" t="inlineStr">
        <is>
          <t>Área del distrito (ha, ref.)</t>
        </is>
      </c>
      <c r="D8" s="4" t="inlineStr">
        <is>
          <t>N.° bloques</t>
        </is>
      </c>
      <c r="E8" s="4" t="inlineStr">
        <is>
          <t>Área bloques (ha)</t>
        </is>
      </c>
      <c r="F8" s="4" t="inlineStr">
        <is>
          <t>Polígonos AI</t>
        </is>
      </c>
      <c r="G8" s="4" t="inlineStr">
        <is>
          <t>Área AI (ha)</t>
        </is>
      </c>
      <c r="H8" s="4" t="inlineStr">
        <is>
          <t>Bloques + AI (ha)</t>
        </is>
      </c>
      <c r="I8" s="4" t="inlineStr">
        <is>
          <t>% del área de bloques</t>
        </is>
      </c>
    </row>
    <row r="9">
      <c r="A9" s="6" t="inlineStr">
        <is>
          <t>Ayabaca</t>
        </is>
      </c>
      <c r="B9" s="6" t="inlineStr">
        <is>
          <t>Frías</t>
        </is>
      </c>
      <c r="C9" s="9" t="n">
        <v>56736.6</v>
      </c>
      <c r="D9" s="10">
        <f>COUNTIFS('A1_Bloques'!$D$9:$D$125,B9)</f>
        <v/>
      </c>
      <c r="E9" s="11">
        <f>SUMIFS('A1_Bloques'!$E$9:$E$125,'A1_Bloques'!$D$9:$D$125,B9)</f>
        <v/>
      </c>
      <c r="F9" s="10">
        <f>SUMIFS('A1_Bloques'!$F$9:$F$125,'A1_Bloques'!$D$9:$D$125,B9)</f>
        <v/>
      </c>
      <c r="G9" s="11">
        <f>SUMIFS('A1_Bloques'!$G$9:$G$125,'A1_Bloques'!$D$9:$D$125,B9)</f>
        <v/>
      </c>
      <c r="H9" s="11">
        <f>E9+G9</f>
        <v/>
      </c>
      <c r="I9" s="12">
        <f>E9/$E$24</f>
        <v/>
      </c>
    </row>
    <row r="10">
      <c r="A10" s="8" t="inlineStr">
        <is>
          <t>Huancabamba</t>
        </is>
      </c>
      <c r="B10" s="8" t="inlineStr">
        <is>
          <t>Canchaque</t>
        </is>
      </c>
      <c r="C10" s="13" t="n">
        <v>30327.7</v>
      </c>
      <c r="D10" s="14">
        <f>COUNTIFS('A1_Bloques'!$D$9:$D$125,B10)</f>
        <v/>
      </c>
      <c r="E10" s="15">
        <f>SUMIFS('A1_Bloques'!$E$9:$E$125,'A1_Bloques'!$D$9:$D$125,B10)</f>
        <v/>
      </c>
      <c r="F10" s="14">
        <f>SUMIFS('A1_Bloques'!$F$9:$F$125,'A1_Bloques'!$D$9:$D$125,B10)</f>
        <v/>
      </c>
      <c r="G10" s="15">
        <f>SUMIFS('A1_Bloques'!$G$9:$G$125,'A1_Bloques'!$D$9:$D$125,B10)</f>
        <v/>
      </c>
      <c r="H10" s="15">
        <f>E10+G10</f>
        <v/>
      </c>
      <c r="I10" s="16">
        <f>E10/$E$24</f>
        <v/>
      </c>
    </row>
    <row r="11">
      <c r="A11" s="6" t="inlineStr">
        <is>
          <t>Huancabamba</t>
        </is>
      </c>
      <c r="B11" s="6" t="inlineStr">
        <is>
          <t>Huancabamba</t>
        </is>
      </c>
      <c r="C11" s="9" t="n">
        <v>45862.9</v>
      </c>
      <c r="D11" s="10">
        <f>COUNTIFS('A1_Bloques'!$D$9:$D$125,B11)</f>
        <v/>
      </c>
      <c r="E11" s="11">
        <f>SUMIFS('A1_Bloques'!$E$9:$E$125,'A1_Bloques'!$D$9:$D$125,B11)</f>
        <v/>
      </c>
      <c r="F11" s="10">
        <f>SUMIFS('A1_Bloques'!$F$9:$F$125,'A1_Bloques'!$D$9:$D$125,B11)</f>
        <v/>
      </c>
      <c r="G11" s="11">
        <f>SUMIFS('A1_Bloques'!$G$9:$G$125,'A1_Bloques'!$D$9:$D$125,B11)</f>
        <v/>
      </c>
      <c r="H11" s="11">
        <f>E11+G11</f>
        <v/>
      </c>
      <c r="I11" s="12">
        <f>E11/$E$24</f>
        <v/>
      </c>
    </row>
    <row r="12">
      <c r="A12" s="8" t="inlineStr">
        <is>
          <t>Huancabamba</t>
        </is>
      </c>
      <c r="B12" s="8" t="inlineStr">
        <is>
          <t>Huarmaca</t>
        </is>
      </c>
      <c r="C12" s="13" t="n">
        <v>194552</v>
      </c>
      <c r="D12" s="14">
        <f>COUNTIFS('A1_Bloques'!$D$9:$D$125,B12)</f>
        <v/>
      </c>
      <c r="E12" s="15">
        <f>SUMIFS('A1_Bloques'!$E$9:$E$125,'A1_Bloques'!$D$9:$D$125,B12)</f>
        <v/>
      </c>
      <c r="F12" s="14">
        <f>SUMIFS('A1_Bloques'!$F$9:$F$125,'A1_Bloques'!$D$9:$D$125,B12)</f>
        <v/>
      </c>
      <c r="G12" s="15">
        <f>SUMIFS('A1_Bloques'!$G$9:$G$125,'A1_Bloques'!$D$9:$D$125,B12)</f>
        <v/>
      </c>
      <c r="H12" s="15">
        <f>E12+G12</f>
        <v/>
      </c>
      <c r="I12" s="16">
        <f>E12/$E$24</f>
        <v/>
      </c>
    </row>
    <row r="13">
      <c r="A13" s="6" t="inlineStr">
        <is>
          <t>Huancabamba</t>
        </is>
      </c>
      <c r="B13" s="6" t="inlineStr">
        <is>
          <t>Lalaquiz</t>
        </is>
      </c>
      <c r="C13" s="9" t="n">
        <v>15627.3</v>
      </c>
      <c r="D13" s="10">
        <f>COUNTIFS('A1_Bloques'!$D$9:$D$125,B13)</f>
        <v/>
      </c>
      <c r="E13" s="11">
        <f>SUMIFS('A1_Bloques'!$E$9:$E$125,'A1_Bloques'!$D$9:$D$125,B13)</f>
        <v/>
      </c>
      <c r="F13" s="10">
        <f>SUMIFS('A1_Bloques'!$F$9:$F$125,'A1_Bloques'!$D$9:$D$125,B13)</f>
        <v/>
      </c>
      <c r="G13" s="11">
        <f>SUMIFS('A1_Bloques'!$G$9:$G$125,'A1_Bloques'!$D$9:$D$125,B13)</f>
        <v/>
      </c>
      <c r="H13" s="11">
        <f>E13+G13</f>
        <v/>
      </c>
      <c r="I13" s="12">
        <f>E13/$E$24</f>
        <v/>
      </c>
    </row>
    <row r="14">
      <c r="A14" s="8" t="inlineStr">
        <is>
          <t>Huancabamba</t>
        </is>
      </c>
      <c r="B14" s="8" t="inlineStr">
        <is>
          <t>San Miguel de El Faique</t>
        </is>
      </c>
      <c r="C14" s="13" t="n">
        <v>22112.5</v>
      </c>
      <c r="D14" s="14">
        <f>COUNTIFS('A1_Bloques'!$D$9:$D$125,B14)</f>
        <v/>
      </c>
      <c r="E14" s="15">
        <f>SUMIFS('A1_Bloques'!$E$9:$E$125,'A1_Bloques'!$D$9:$D$125,B14)</f>
        <v/>
      </c>
      <c r="F14" s="14">
        <f>SUMIFS('A1_Bloques'!$F$9:$F$125,'A1_Bloques'!$D$9:$D$125,B14)</f>
        <v/>
      </c>
      <c r="G14" s="15">
        <f>SUMIFS('A1_Bloques'!$G$9:$G$125,'A1_Bloques'!$D$9:$D$125,B14)</f>
        <v/>
      </c>
      <c r="H14" s="15">
        <f>E14+G14</f>
        <v/>
      </c>
      <c r="I14" s="16">
        <f>E14/$E$24</f>
        <v/>
      </c>
    </row>
    <row r="15">
      <c r="A15" s="6" t="inlineStr">
        <is>
          <t>Morropón</t>
        </is>
      </c>
      <c r="B15" s="6" t="inlineStr">
        <is>
          <t>Buenos Aires</t>
        </is>
      </c>
      <c r="C15" s="9" t="n">
        <v>23989</v>
      </c>
      <c r="D15" s="10">
        <f>COUNTIFS('A1_Bloques'!$D$9:$D$125,B15)</f>
        <v/>
      </c>
      <c r="E15" s="11">
        <f>SUMIFS('A1_Bloques'!$E$9:$E$125,'A1_Bloques'!$D$9:$D$125,B15)</f>
        <v/>
      </c>
      <c r="F15" s="10">
        <f>SUMIFS('A1_Bloques'!$F$9:$F$125,'A1_Bloques'!$D$9:$D$125,B15)</f>
        <v/>
      </c>
      <c r="G15" s="11">
        <f>SUMIFS('A1_Bloques'!$G$9:$G$125,'A1_Bloques'!$D$9:$D$125,B15)</f>
        <v/>
      </c>
      <c r="H15" s="11">
        <f>E15+G15</f>
        <v/>
      </c>
      <c r="I15" s="12">
        <f>E15/$E$24</f>
        <v/>
      </c>
    </row>
    <row r="16">
      <c r="A16" s="8" t="inlineStr">
        <is>
          <t>Morropón</t>
        </is>
      </c>
      <c r="B16" s="8" t="inlineStr">
        <is>
          <t>Chalaco</t>
        </is>
      </c>
      <c r="C16" s="13" t="n">
        <v>15738.9</v>
      </c>
      <c r="D16" s="14">
        <f>COUNTIFS('A1_Bloques'!$D$9:$D$125,B16)</f>
        <v/>
      </c>
      <c r="E16" s="15">
        <f>SUMIFS('A1_Bloques'!$E$9:$E$125,'A1_Bloques'!$D$9:$D$125,B16)</f>
        <v/>
      </c>
      <c r="F16" s="14">
        <f>SUMIFS('A1_Bloques'!$F$9:$F$125,'A1_Bloques'!$D$9:$D$125,B16)</f>
        <v/>
      </c>
      <c r="G16" s="15">
        <f>SUMIFS('A1_Bloques'!$G$9:$G$125,'A1_Bloques'!$D$9:$D$125,B16)</f>
        <v/>
      </c>
      <c r="H16" s="15">
        <f>E16+G16</f>
        <v/>
      </c>
      <c r="I16" s="16">
        <f>E16/$E$24</f>
        <v/>
      </c>
    </row>
    <row r="17">
      <c r="A17" s="6" t="inlineStr">
        <is>
          <t>Morropón</t>
        </is>
      </c>
      <c r="B17" s="6" t="inlineStr">
        <is>
          <t>Chulucanas</t>
        </is>
      </c>
      <c r="C17" s="9" t="n">
        <v>85798.2</v>
      </c>
      <c r="D17" s="10">
        <f>COUNTIFS('A1_Bloques'!$D$9:$D$125,B17)</f>
        <v/>
      </c>
      <c r="E17" s="11">
        <f>SUMIFS('A1_Bloques'!$E$9:$E$125,'A1_Bloques'!$D$9:$D$125,B17)</f>
        <v/>
      </c>
      <c r="F17" s="10">
        <f>SUMIFS('A1_Bloques'!$F$9:$F$125,'A1_Bloques'!$D$9:$D$125,B17)</f>
        <v/>
      </c>
      <c r="G17" s="11">
        <f>SUMIFS('A1_Bloques'!$G$9:$G$125,'A1_Bloques'!$D$9:$D$125,B17)</f>
        <v/>
      </c>
      <c r="H17" s="11">
        <f>E17+G17</f>
        <v/>
      </c>
      <c r="I17" s="12">
        <f>E17/$E$24</f>
        <v/>
      </c>
    </row>
    <row r="18">
      <c r="A18" s="8" t="inlineStr">
        <is>
          <t>Morropón</t>
        </is>
      </c>
      <c r="B18" s="8" t="inlineStr">
        <is>
          <t>Morropón</t>
        </is>
      </c>
      <c r="C18" s="13" t="n">
        <v>16612.7</v>
      </c>
      <c r="D18" s="14">
        <f>COUNTIFS('A1_Bloques'!$D$9:$D$125,B18)</f>
        <v/>
      </c>
      <c r="E18" s="15">
        <f>SUMIFS('A1_Bloques'!$E$9:$E$125,'A1_Bloques'!$D$9:$D$125,B18)</f>
        <v/>
      </c>
      <c r="F18" s="14">
        <f>SUMIFS('A1_Bloques'!$F$9:$F$125,'A1_Bloques'!$D$9:$D$125,B18)</f>
        <v/>
      </c>
      <c r="G18" s="15">
        <f>SUMIFS('A1_Bloques'!$G$9:$G$125,'A1_Bloques'!$D$9:$D$125,B18)</f>
        <v/>
      </c>
      <c r="H18" s="15">
        <f>E18+G18</f>
        <v/>
      </c>
      <c r="I18" s="16">
        <f>E18/$E$24</f>
        <v/>
      </c>
    </row>
    <row r="19">
      <c r="A19" s="6" t="inlineStr">
        <is>
          <t>Morropón</t>
        </is>
      </c>
      <c r="B19" s="6" t="inlineStr">
        <is>
          <t>Salitral</t>
        </is>
      </c>
      <c r="C19" s="9" t="n">
        <v>62324</v>
      </c>
      <c r="D19" s="10">
        <f>COUNTIFS('A1_Bloques'!$D$9:$D$125,B19)</f>
        <v/>
      </c>
      <c r="E19" s="11">
        <f>SUMIFS('A1_Bloques'!$E$9:$E$125,'A1_Bloques'!$D$9:$D$125,B19)</f>
        <v/>
      </c>
      <c r="F19" s="10">
        <f>SUMIFS('A1_Bloques'!$F$9:$F$125,'A1_Bloques'!$D$9:$D$125,B19)</f>
        <v/>
      </c>
      <c r="G19" s="11">
        <f>SUMIFS('A1_Bloques'!$G$9:$G$125,'A1_Bloques'!$D$9:$D$125,B19)</f>
        <v/>
      </c>
      <c r="H19" s="11">
        <f>E19+G19</f>
        <v/>
      </c>
      <c r="I19" s="12">
        <f>E19/$E$24</f>
        <v/>
      </c>
    </row>
    <row r="20">
      <c r="A20" s="8" t="inlineStr">
        <is>
          <t>Morropón</t>
        </is>
      </c>
      <c r="B20" s="8" t="inlineStr">
        <is>
          <t>San Juan de Bigote</t>
        </is>
      </c>
      <c r="C20" s="13" t="n">
        <v>24019.1</v>
      </c>
      <c r="D20" s="14">
        <f>COUNTIFS('A1_Bloques'!$D$9:$D$125,B20)</f>
        <v/>
      </c>
      <c r="E20" s="15">
        <f>SUMIFS('A1_Bloques'!$E$9:$E$125,'A1_Bloques'!$D$9:$D$125,B20)</f>
        <v/>
      </c>
      <c r="F20" s="14">
        <f>SUMIFS('A1_Bloques'!$F$9:$F$125,'A1_Bloques'!$D$9:$D$125,B20)</f>
        <v/>
      </c>
      <c r="G20" s="15">
        <f>SUMIFS('A1_Bloques'!$G$9:$G$125,'A1_Bloques'!$D$9:$D$125,B20)</f>
        <v/>
      </c>
      <c r="H20" s="15">
        <f>E20+G20</f>
        <v/>
      </c>
      <c r="I20" s="16">
        <f>E20/$E$24</f>
        <v/>
      </c>
    </row>
    <row r="21">
      <c r="A21" s="6" t="inlineStr">
        <is>
          <t>Morropón</t>
        </is>
      </c>
      <c r="B21" s="6" t="inlineStr">
        <is>
          <t>Santa Catalina de Mossa</t>
        </is>
      </c>
      <c r="C21" s="9" t="n">
        <v>8677.6</v>
      </c>
      <c r="D21" s="10">
        <f>COUNTIFS('A1_Bloques'!$D$9:$D$125,B21)</f>
        <v/>
      </c>
      <c r="E21" s="11">
        <f>SUMIFS('A1_Bloques'!$E$9:$E$125,'A1_Bloques'!$D$9:$D$125,B21)</f>
        <v/>
      </c>
      <c r="F21" s="10">
        <f>SUMIFS('A1_Bloques'!$F$9:$F$125,'A1_Bloques'!$D$9:$D$125,B21)</f>
        <v/>
      </c>
      <c r="G21" s="11">
        <f>SUMIFS('A1_Bloques'!$G$9:$G$125,'A1_Bloques'!$D$9:$D$125,B21)</f>
        <v/>
      </c>
      <c r="H21" s="11">
        <f>E21+G21</f>
        <v/>
      </c>
      <c r="I21" s="12">
        <f>E21/$E$24</f>
        <v/>
      </c>
    </row>
    <row r="22">
      <c r="A22" s="8" t="inlineStr">
        <is>
          <t>Morropón</t>
        </is>
      </c>
      <c r="B22" s="8" t="inlineStr">
        <is>
          <t>Santo Domingo</t>
        </is>
      </c>
      <c r="C22" s="13" t="n">
        <v>18895.4</v>
      </c>
      <c r="D22" s="14">
        <f>COUNTIFS('A1_Bloques'!$D$9:$D$125,B22)</f>
        <v/>
      </c>
      <c r="E22" s="15">
        <f>SUMIFS('A1_Bloques'!$E$9:$E$125,'A1_Bloques'!$D$9:$D$125,B22)</f>
        <v/>
      </c>
      <c r="F22" s="14">
        <f>SUMIFS('A1_Bloques'!$F$9:$F$125,'A1_Bloques'!$D$9:$D$125,B22)</f>
        <v/>
      </c>
      <c r="G22" s="15">
        <f>SUMIFS('A1_Bloques'!$G$9:$G$125,'A1_Bloques'!$D$9:$D$125,B22)</f>
        <v/>
      </c>
      <c r="H22" s="15">
        <f>E22+G22</f>
        <v/>
      </c>
      <c r="I22" s="16">
        <f>E22/$E$24</f>
        <v/>
      </c>
    </row>
    <row r="23">
      <c r="A23" s="6" t="inlineStr">
        <is>
          <t>Morropón</t>
        </is>
      </c>
      <c r="B23" s="6" t="inlineStr">
        <is>
          <t>Yamango</t>
        </is>
      </c>
      <c r="C23" s="9" t="n">
        <v>21653.9</v>
      </c>
      <c r="D23" s="10">
        <f>COUNTIFS('A1_Bloques'!$D$9:$D$125,B23)</f>
        <v/>
      </c>
      <c r="E23" s="11">
        <f>SUMIFS('A1_Bloques'!$E$9:$E$125,'A1_Bloques'!$D$9:$D$125,B23)</f>
        <v/>
      </c>
      <c r="F23" s="10">
        <f>SUMIFS('A1_Bloques'!$F$9:$F$125,'A1_Bloques'!$D$9:$D$125,B23)</f>
        <v/>
      </c>
      <c r="G23" s="11">
        <f>SUMIFS('A1_Bloques'!$G$9:$G$125,'A1_Bloques'!$D$9:$D$125,B23)</f>
        <v/>
      </c>
      <c r="H23" s="11">
        <f>E23+G23</f>
        <v/>
      </c>
      <c r="I23" s="12">
        <f>E23/$E$24</f>
        <v/>
      </c>
    </row>
    <row r="24">
      <c r="A24" s="17" t="inlineStr">
        <is>
          <t>TOTAL</t>
        </is>
      </c>
      <c r="B24" s="18" t="inlineStr">
        <is>
          <t>15 distritos</t>
        </is>
      </c>
      <c r="C24" s="19">
        <f>SUM(C9:C23)</f>
        <v/>
      </c>
      <c r="D24" s="20">
        <f>SUM(D9:D23)</f>
        <v/>
      </c>
      <c r="E24" s="21">
        <f>SUM(E9:E23)</f>
        <v/>
      </c>
      <c r="F24" s="20">
        <f>SUM(F9:F23)</f>
        <v/>
      </c>
      <c r="G24" s="21">
        <f>SUM(G9:G23)</f>
        <v/>
      </c>
      <c r="H24" s="21">
        <f>SUM(H9:H23)</f>
        <v/>
      </c>
      <c r="I24" s="22">
        <f>SUM(I9:I23)</f>
        <v/>
      </c>
    </row>
    <row r="26">
      <c r="A26" s="23" t="inlineStr">
        <is>
          <t>Resumen por provincia</t>
        </is>
      </c>
    </row>
    <row r="27" ht="30" customHeight="1">
      <c r="A27" s="4" t="inlineStr">
        <is>
          <t>Provincia</t>
        </is>
      </c>
      <c r="B27" s="4" t="inlineStr">
        <is>
          <t>N.° distritos</t>
        </is>
      </c>
      <c r="C27" s="4" t="inlineStr">
        <is>
          <t>Área de distritos (ha, ref.)</t>
        </is>
      </c>
      <c r="D27" s="4" t="inlineStr">
        <is>
          <t>N.° bloques</t>
        </is>
      </c>
      <c r="E27" s="4" t="inlineStr">
        <is>
          <t>Área bloques (ha)</t>
        </is>
      </c>
      <c r="F27" s="4" t="inlineStr">
        <is>
          <t>Área AI (ha)</t>
        </is>
      </c>
      <c r="G27" s="4" t="inlineStr">
        <is>
          <t>Bloques + AI (ha)</t>
        </is>
      </c>
    </row>
    <row r="28">
      <c r="A28" s="6" t="inlineStr">
        <is>
          <t>Ayabaca</t>
        </is>
      </c>
      <c r="B28" s="10">
        <f>COUNTIFS($A$9:$A$23,A28)</f>
        <v/>
      </c>
      <c r="C28" s="9">
        <f>SUMIFS($C$9:$C$23,$A$9:$A$23,A28)</f>
        <v/>
      </c>
      <c r="D28" s="10">
        <f>SUMIFS($D$9:$D$23,$A$9:$A$23,A28)</f>
        <v/>
      </c>
      <c r="E28" s="11">
        <f>SUMIFS($E$9:$E$23,$A$9:$A$23,A28)</f>
        <v/>
      </c>
      <c r="F28" s="11">
        <f>SUMIFS($G$9:$G$23,$A$9:$A$23,A28)</f>
        <v/>
      </c>
      <c r="G28" s="11">
        <f>E28+F28</f>
        <v/>
      </c>
    </row>
    <row r="29">
      <c r="A29" s="8" t="inlineStr">
        <is>
          <t>Huancabamba</t>
        </is>
      </c>
      <c r="B29" s="14">
        <f>COUNTIFS($A$9:$A$23,A29)</f>
        <v/>
      </c>
      <c r="C29" s="13">
        <f>SUMIFS($C$9:$C$23,$A$9:$A$23,A29)</f>
        <v/>
      </c>
      <c r="D29" s="14">
        <f>SUMIFS($D$9:$D$23,$A$9:$A$23,A29)</f>
        <v/>
      </c>
      <c r="E29" s="15">
        <f>SUMIFS($E$9:$E$23,$A$9:$A$23,A29)</f>
        <v/>
      </c>
      <c r="F29" s="15">
        <f>SUMIFS($G$9:$G$23,$A$9:$A$23,A29)</f>
        <v/>
      </c>
      <c r="G29" s="15">
        <f>E29+F29</f>
        <v/>
      </c>
    </row>
    <row r="30">
      <c r="A30" s="6" t="inlineStr">
        <is>
          <t>Morropón</t>
        </is>
      </c>
      <c r="B30" s="10">
        <f>COUNTIFS($A$9:$A$23,A30)</f>
        <v/>
      </c>
      <c r="C30" s="9">
        <f>SUMIFS($C$9:$C$23,$A$9:$A$23,A30)</f>
        <v/>
      </c>
      <c r="D30" s="10">
        <f>SUMIFS($D$9:$D$23,$A$9:$A$23,A30)</f>
        <v/>
      </c>
      <c r="E30" s="11">
        <f>SUMIFS($E$9:$E$23,$A$9:$A$23,A30)</f>
        <v/>
      </c>
      <c r="F30" s="11">
        <f>SUMIFS($G$9:$G$23,$A$9:$A$23,A30)</f>
        <v/>
      </c>
      <c r="G30" s="11">
        <f>E30+F30</f>
        <v/>
      </c>
    </row>
    <row r="31">
      <c r="A31" s="17" t="inlineStr">
        <is>
          <t>TOTAL</t>
        </is>
      </c>
      <c r="B31" s="20">
        <f>SUM(B28:B30)</f>
        <v/>
      </c>
      <c r="C31" s="24">
        <f>SUM(C28:C30)</f>
        <v/>
      </c>
      <c r="D31" s="20">
        <f>SUM(D28:D30)</f>
        <v/>
      </c>
      <c r="E31" s="21">
        <f>SUM(E28:E30)</f>
        <v/>
      </c>
      <c r="F31" s="21">
        <f>SUM(F28:F30)</f>
        <v/>
      </c>
      <c r="G31" s="21">
        <f>SUM(G28:G30)</f>
        <v/>
      </c>
    </row>
    <row r="33">
      <c r="A33" s="23" t="inlineStr">
        <is>
          <t>Controles</t>
        </is>
      </c>
    </row>
    <row r="34">
      <c r="A34" s="6" t="inlineStr">
        <is>
          <t>Total de bloques = 117</t>
        </is>
      </c>
      <c r="B34" s="25" t="n"/>
      <c r="C34" s="26" t="n"/>
      <c r="D34" s="27">
        <f>IF(D24=117,"OK","REVISAR")</f>
        <v/>
      </c>
    </row>
    <row r="35">
      <c r="A35" s="6" t="inlineStr">
        <is>
          <t>Área de bloques = 12,270.235 ha</t>
        </is>
      </c>
      <c r="B35" s="25" t="n"/>
      <c r="C35" s="26" t="n"/>
      <c r="D35" s="27">
        <f>IF(ABS(E24-12270.235)&lt;0.001,"OK","REVISAR")</f>
        <v/>
      </c>
    </row>
    <row r="36">
      <c r="A36" s="6" t="inlineStr">
        <is>
          <t>Área AI = suma de A1_Bloques</t>
        </is>
      </c>
      <c r="B36" s="25" t="n"/>
      <c r="C36" s="26" t="n"/>
      <c r="D36" s="27">
        <f>IF(ABS(G24-SUM('A1_Bloques'!$G$9:$G$125))&lt;0.001,"OK","REVISAR")</f>
        <v/>
      </c>
    </row>
    <row r="37">
      <c r="A37" s="6" t="inlineStr">
        <is>
          <t>Resumen provincial = distrital</t>
        </is>
      </c>
      <c r="B37" s="25" t="n"/>
      <c r="C37" s="26" t="n"/>
      <c r="D37" s="27">
        <f>IF(ABS(E31-E24)&lt;0.001,"OK","REVISAR")</f>
        <v/>
      </c>
    </row>
    <row r="39" ht="26" customHeight="1">
      <c r="A39" s="28" t="inlineStr">
        <is>
          <t>El área de influencia (AI) de cada bloque se asigna al distrito de su bloque. El área de los distritos proviene de la capa INEI simplificada y es referencial. Cifras en hectáreas, calculadas en UTM WGS84 17S.</t>
        </is>
      </c>
    </row>
  </sheetData>
  <mergeCells count="13">
    <mergeCell ref="A36:C36"/>
    <mergeCell ref="A2:I2"/>
    <mergeCell ref="A33:I33"/>
    <mergeCell ref="A5:I5"/>
    <mergeCell ref="A37:C37"/>
    <mergeCell ref="A1:I1"/>
    <mergeCell ref="A3:I3"/>
    <mergeCell ref="A6:I6"/>
    <mergeCell ref="A34:C34"/>
    <mergeCell ref="A35:C35"/>
    <mergeCell ref="A39:I39"/>
    <mergeCell ref="A4:I4"/>
    <mergeCell ref="A26:I26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0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A1. BLOQUES V6 POR MICROCUENCA PRIORIZADA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catálogo V6 (datos/unidades_liberacion_areas.csv), ANIN-DIME-SESDI 2026</t>
        </is>
      </c>
    </row>
    <row r="8" ht="30" customHeight="1">
      <c r="A8" s="4" t="inlineStr">
        <is>
          <t>Microcuenca (código)</t>
        </is>
      </c>
      <c r="B8" s="4" t="inlineStr">
        <is>
          <t>Provincia(s)</t>
        </is>
      </c>
      <c r="C8" s="4" t="inlineStr">
        <is>
          <t>Distrito(s)</t>
        </is>
      </c>
      <c r="D8" s="4" t="inlineStr">
        <is>
          <t>N.° bloques</t>
        </is>
      </c>
      <c r="E8" s="4" t="inlineStr">
        <is>
          <t>Área bloques (ha)</t>
        </is>
      </c>
      <c r="F8" s="4" t="inlineStr">
        <is>
          <t>Área AI (ha)</t>
        </is>
      </c>
      <c r="G8" s="4" t="inlineStr">
        <is>
          <t>Sup. MSAVI ≤ 0.4976 (ha)</t>
        </is>
      </c>
    </row>
    <row r="9">
      <c r="A9" s="6" t="inlineStr">
        <is>
          <t>C1076-Q9581</t>
        </is>
      </c>
      <c r="B9" s="6" t="inlineStr">
        <is>
          <t>Morropón</t>
        </is>
      </c>
      <c r="C9" s="6" t="inlineStr">
        <is>
          <t>Salitral</t>
        </is>
      </c>
      <c r="D9" s="10">
        <f>COUNTIFS('A1_Bloques'!$B$9:$B$125,A9)</f>
        <v/>
      </c>
      <c r="E9" s="11">
        <f>SUMIFS('A1_Bloques'!$E$9:$E$125,'A1_Bloques'!$B$9:$B$125,A9)</f>
        <v/>
      </c>
      <c r="F9" s="11">
        <f>SUMIFS('A1_Bloques'!$G$9:$G$125,'A1_Bloques'!$B$9:$B$125,A9)</f>
        <v/>
      </c>
      <c r="G9" s="11">
        <f>SUMIFS('A1_Bloques'!$I$9:$I$125,'A1_Bloques'!$B$9:$B$125,A9)</f>
        <v/>
      </c>
    </row>
    <row r="10">
      <c r="A10" s="8" t="inlineStr">
        <is>
          <t>C1076-Q9584</t>
        </is>
      </c>
      <c r="B10" s="8" t="inlineStr">
        <is>
          <t>Huancabamba, Morropón</t>
        </is>
      </c>
      <c r="C10" s="8" t="inlineStr">
        <is>
          <t>Salitral, San Miguel de El Faique</t>
        </is>
      </c>
      <c r="D10" s="14">
        <f>COUNTIFS('A1_Bloques'!$B$9:$B$125,A10)</f>
        <v/>
      </c>
      <c r="E10" s="15">
        <f>SUMIFS('A1_Bloques'!$E$9:$E$125,'A1_Bloques'!$B$9:$B$125,A10)</f>
        <v/>
      </c>
      <c r="F10" s="15">
        <f>SUMIFS('A1_Bloques'!$G$9:$G$125,'A1_Bloques'!$B$9:$B$125,A10)</f>
        <v/>
      </c>
      <c r="G10" s="15">
        <f>SUMIFS('A1_Bloques'!$I$9:$I$125,'A1_Bloques'!$B$9:$B$125,A10)</f>
        <v/>
      </c>
    </row>
    <row r="11">
      <c r="A11" s="6" t="inlineStr">
        <is>
          <t>C1076-Q9585</t>
        </is>
      </c>
      <c r="B11" s="6" t="inlineStr">
        <is>
          <t>Huancabamba</t>
        </is>
      </c>
      <c r="C11" s="6" t="inlineStr">
        <is>
          <t>Canchaque, San Miguel de El Faique</t>
        </is>
      </c>
      <c r="D11" s="10">
        <f>COUNTIFS('A1_Bloques'!$B$9:$B$125,A11)</f>
        <v/>
      </c>
      <c r="E11" s="11">
        <f>SUMIFS('A1_Bloques'!$E$9:$E$125,'A1_Bloques'!$B$9:$B$125,A11)</f>
        <v/>
      </c>
      <c r="F11" s="11">
        <f>SUMIFS('A1_Bloques'!$G$9:$G$125,'A1_Bloques'!$B$9:$B$125,A11)</f>
        <v/>
      </c>
      <c r="G11" s="11">
        <f>SUMIFS('A1_Bloques'!$I$9:$I$125,'A1_Bloques'!$B$9:$B$125,A11)</f>
        <v/>
      </c>
    </row>
    <row r="12">
      <c r="A12" s="8" t="inlineStr">
        <is>
          <t>C1076-Q9586</t>
        </is>
      </c>
      <c r="B12" s="8" t="inlineStr">
        <is>
          <t>Huancabamba</t>
        </is>
      </c>
      <c r="C12" s="8" t="inlineStr">
        <is>
          <t>San Miguel de El Faique</t>
        </is>
      </c>
      <c r="D12" s="14">
        <f>COUNTIFS('A1_Bloques'!$B$9:$B$125,A12)</f>
        <v/>
      </c>
      <c r="E12" s="15">
        <f>SUMIFS('A1_Bloques'!$E$9:$E$125,'A1_Bloques'!$B$9:$B$125,A12)</f>
        <v/>
      </c>
      <c r="F12" s="15">
        <f>SUMIFS('A1_Bloques'!$G$9:$G$125,'A1_Bloques'!$B$9:$B$125,A12)</f>
        <v/>
      </c>
      <c r="G12" s="15">
        <f>SUMIFS('A1_Bloques'!$I$9:$I$125,'A1_Bloques'!$B$9:$B$125,A12)</f>
        <v/>
      </c>
    </row>
    <row r="13">
      <c r="A13" s="6" t="inlineStr">
        <is>
          <t>C1076-Q9587</t>
        </is>
      </c>
      <c r="B13" s="6" t="inlineStr">
        <is>
          <t>Huancabamba</t>
        </is>
      </c>
      <c r="C13" s="6" t="inlineStr">
        <is>
          <t>Canchaque</t>
        </is>
      </c>
      <c r="D13" s="10">
        <f>COUNTIFS('A1_Bloques'!$B$9:$B$125,A13)</f>
        <v/>
      </c>
      <c r="E13" s="11">
        <f>SUMIFS('A1_Bloques'!$E$9:$E$125,'A1_Bloques'!$B$9:$B$125,A13)</f>
        <v/>
      </c>
      <c r="F13" s="11">
        <f>SUMIFS('A1_Bloques'!$G$9:$G$125,'A1_Bloques'!$B$9:$B$125,A13)</f>
        <v/>
      </c>
      <c r="G13" s="11">
        <f>SUMIFS('A1_Bloques'!$I$9:$I$125,'A1_Bloques'!$B$9:$B$125,A13)</f>
        <v/>
      </c>
    </row>
    <row r="14">
      <c r="A14" s="8" t="inlineStr">
        <is>
          <t>C1076-Q9588</t>
        </is>
      </c>
      <c r="B14" s="8" t="inlineStr">
        <is>
          <t>Huancabamba</t>
        </is>
      </c>
      <c r="C14" s="8" t="inlineStr">
        <is>
          <t>Huarmaca</t>
        </is>
      </c>
      <c r="D14" s="14">
        <f>COUNTIFS('A1_Bloques'!$B$9:$B$125,A14)</f>
        <v/>
      </c>
      <c r="E14" s="15">
        <f>SUMIFS('A1_Bloques'!$E$9:$E$125,'A1_Bloques'!$B$9:$B$125,A14)</f>
        <v/>
      </c>
      <c r="F14" s="15">
        <f>SUMIFS('A1_Bloques'!$G$9:$G$125,'A1_Bloques'!$B$9:$B$125,A14)</f>
        <v/>
      </c>
      <c r="G14" s="15">
        <f>SUMIFS('A1_Bloques'!$I$9:$I$125,'A1_Bloques'!$B$9:$B$125,A14)</f>
        <v/>
      </c>
    </row>
    <row r="15">
      <c r="A15" s="6" t="inlineStr">
        <is>
          <t>C1076-Q9589</t>
        </is>
      </c>
      <c r="B15" s="6" t="inlineStr">
        <is>
          <t>Huancabamba</t>
        </is>
      </c>
      <c r="C15" s="6" t="inlineStr">
        <is>
          <t>Huarmaca</t>
        </is>
      </c>
      <c r="D15" s="10">
        <f>COUNTIFS('A1_Bloques'!$B$9:$B$125,A15)</f>
        <v/>
      </c>
      <c r="E15" s="11">
        <f>SUMIFS('A1_Bloques'!$E$9:$E$125,'A1_Bloques'!$B$9:$B$125,A15)</f>
        <v/>
      </c>
      <c r="F15" s="11">
        <f>SUMIFS('A1_Bloques'!$G$9:$G$125,'A1_Bloques'!$B$9:$B$125,A15)</f>
        <v/>
      </c>
      <c r="G15" s="11">
        <f>SUMIFS('A1_Bloques'!$I$9:$I$125,'A1_Bloques'!$B$9:$B$125,A15)</f>
        <v/>
      </c>
    </row>
    <row r="16">
      <c r="A16" s="8" t="inlineStr">
        <is>
          <t>C1076-Q9592</t>
        </is>
      </c>
      <c r="B16" s="8" t="inlineStr">
        <is>
          <t>Huancabamba</t>
        </is>
      </c>
      <c r="C16" s="8" t="inlineStr">
        <is>
          <t>Huarmaca</t>
        </is>
      </c>
      <c r="D16" s="14">
        <f>COUNTIFS('A1_Bloques'!$B$9:$B$125,A16)</f>
        <v/>
      </c>
      <c r="E16" s="15">
        <f>SUMIFS('A1_Bloques'!$E$9:$E$125,'A1_Bloques'!$B$9:$B$125,A16)</f>
        <v/>
      </c>
      <c r="F16" s="15">
        <f>SUMIFS('A1_Bloques'!$G$9:$G$125,'A1_Bloques'!$B$9:$B$125,A16)</f>
        <v/>
      </c>
      <c r="G16" s="15">
        <f>SUMIFS('A1_Bloques'!$I$9:$I$125,'A1_Bloques'!$B$9:$B$125,A16)</f>
        <v/>
      </c>
    </row>
    <row r="17">
      <c r="A17" s="6" t="inlineStr">
        <is>
          <t>C1076-Q9593</t>
        </is>
      </c>
      <c r="B17" s="6" t="inlineStr">
        <is>
          <t>Huancabamba</t>
        </is>
      </c>
      <c r="C17" s="6" t="inlineStr">
        <is>
          <t>Huarmaca</t>
        </is>
      </c>
      <c r="D17" s="10">
        <f>COUNTIFS('A1_Bloques'!$B$9:$B$125,A17)</f>
        <v/>
      </c>
      <c r="E17" s="11">
        <f>SUMIFS('A1_Bloques'!$E$9:$E$125,'A1_Bloques'!$B$9:$B$125,A17)</f>
        <v/>
      </c>
      <c r="F17" s="11">
        <f>SUMIFS('A1_Bloques'!$G$9:$G$125,'A1_Bloques'!$B$9:$B$125,A17)</f>
        <v/>
      </c>
      <c r="G17" s="11">
        <f>SUMIFS('A1_Bloques'!$I$9:$I$125,'A1_Bloques'!$B$9:$B$125,A17)</f>
        <v/>
      </c>
    </row>
    <row r="18">
      <c r="A18" s="8" t="inlineStr">
        <is>
          <t>C1077-Q9566</t>
        </is>
      </c>
      <c r="B18" s="8" t="inlineStr">
        <is>
          <t>Morropón</t>
        </is>
      </c>
      <c r="C18" s="8" t="inlineStr">
        <is>
          <t>Buenos Aires</t>
        </is>
      </c>
      <c r="D18" s="14">
        <f>COUNTIFS('A1_Bloques'!$B$9:$B$125,A18)</f>
        <v/>
      </c>
      <c r="E18" s="15">
        <f>SUMIFS('A1_Bloques'!$E$9:$E$125,'A1_Bloques'!$B$9:$B$125,A18)</f>
        <v/>
      </c>
      <c r="F18" s="15">
        <f>SUMIFS('A1_Bloques'!$G$9:$G$125,'A1_Bloques'!$B$9:$B$125,A18)</f>
        <v/>
      </c>
      <c r="G18" s="15">
        <f>SUMIFS('A1_Bloques'!$I$9:$I$125,'A1_Bloques'!$B$9:$B$125,A18)</f>
        <v/>
      </c>
    </row>
    <row r="19">
      <c r="A19" s="6" t="inlineStr">
        <is>
          <t>C1077-Q9579</t>
        </is>
      </c>
      <c r="B19" s="6" t="inlineStr">
        <is>
          <t>Morropón</t>
        </is>
      </c>
      <c r="C19" s="6" t="inlineStr">
        <is>
          <t>Buenos Aires, Salitral</t>
        </is>
      </c>
      <c r="D19" s="10">
        <f>COUNTIFS('A1_Bloques'!$B$9:$B$125,A19)</f>
        <v/>
      </c>
      <c r="E19" s="11">
        <f>SUMIFS('A1_Bloques'!$E$9:$E$125,'A1_Bloques'!$B$9:$B$125,A19)</f>
        <v/>
      </c>
      <c r="F19" s="11">
        <f>SUMIFS('A1_Bloques'!$G$9:$G$125,'A1_Bloques'!$B$9:$B$125,A19)</f>
        <v/>
      </c>
      <c r="G19" s="11">
        <f>SUMIFS('A1_Bloques'!$I$9:$I$125,'A1_Bloques'!$B$9:$B$125,A19)</f>
        <v/>
      </c>
    </row>
    <row r="20">
      <c r="A20" s="8" t="inlineStr">
        <is>
          <t>C1077-Q9580</t>
        </is>
      </c>
      <c r="B20" s="8" t="inlineStr">
        <is>
          <t>Morropón</t>
        </is>
      </c>
      <c r="C20" s="8" t="inlineStr">
        <is>
          <t>Buenos Aires</t>
        </is>
      </c>
      <c r="D20" s="14">
        <f>COUNTIFS('A1_Bloques'!$B$9:$B$125,A20)</f>
        <v/>
      </c>
      <c r="E20" s="15">
        <f>SUMIFS('A1_Bloques'!$E$9:$E$125,'A1_Bloques'!$B$9:$B$125,A20)</f>
        <v/>
      </c>
      <c r="F20" s="15">
        <f>SUMIFS('A1_Bloques'!$G$9:$G$125,'A1_Bloques'!$B$9:$B$125,A20)</f>
        <v/>
      </c>
      <c r="G20" s="15">
        <f>SUMIFS('A1_Bloques'!$I$9:$I$125,'A1_Bloques'!$B$9:$B$125,A20)</f>
        <v/>
      </c>
    </row>
    <row r="21">
      <c r="A21" s="6" t="inlineStr">
        <is>
          <t>C1081-Q9582</t>
        </is>
      </c>
      <c r="B21" s="6" t="inlineStr">
        <is>
          <t>Morropón</t>
        </is>
      </c>
      <c r="C21" s="6" t="inlineStr">
        <is>
          <t>Salitral, San Juan de Bigote</t>
        </is>
      </c>
      <c r="D21" s="10">
        <f>COUNTIFS('A1_Bloques'!$B$9:$B$125,A21)</f>
        <v/>
      </c>
      <c r="E21" s="11">
        <f>SUMIFS('A1_Bloques'!$E$9:$E$125,'A1_Bloques'!$B$9:$B$125,A21)</f>
        <v/>
      </c>
      <c r="F21" s="11">
        <f>SUMIFS('A1_Bloques'!$G$9:$G$125,'A1_Bloques'!$B$9:$B$125,A21)</f>
        <v/>
      </c>
      <c r="G21" s="11">
        <f>SUMIFS('A1_Bloques'!$I$9:$I$125,'A1_Bloques'!$B$9:$B$125,A21)</f>
        <v/>
      </c>
    </row>
    <row r="22">
      <c r="A22" s="8" t="inlineStr">
        <is>
          <t>C1081-Q9583</t>
        </is>
      </c>
      <c r="B22" s="8" t="inlineStr">
        <is>
          <t>Huancabamba, Morropón</t>
        </is>
      </c>
      <c r="C22" s="8" t="inlineStr">
        <is>
          <t>Canchaque, San Juan de Bigote</t>
        </is>
      </c>
      <c r="D22" s="14">
        <f>COUNTIFS('A1_Bloques'!$B$9:$B$125,A22)</f>
        <v/>
      </c>
      <c r="E22" s="15">
        <f>SUMIFS('A1_Bloques'!$E$9:$E$125,'A1_Bloques'!$B$9:$B$125,A22)</f>
        <v/>
      </c>
      <c r="F22" s="15">
        <f>SUMIFS('A1_Bloques'!$G$9:$G$125,'A1_Bloques'!$B$9:$B$125,A22)</f>
        <v/>
      </c>
      <c r="G22" s="15">
        <f>SUMIFS('A1_Bloques'!$I$9:$I$125,'A1_Bloques'!$B$9:$B$125,A22)</f>
        <v/>
      </c>
    </row>
    <row r="23">
      <c r="A23" s="6" t="inlineStr">
        <is>
          <t>C1081-Q9590</t>
        </is>
      </c>
      <c r="B23" s="6" t="inlineStr">
        <is>
          <t>Huancabamba</t>
        </is>
      </c>
      <c r="C23" s="6" t="inlineStr">
        <is>
          <t>Lalaquiz</t>
        </is>
      </c>
      <c r="D23" s="10">
        <f>COUNTIFS('A1_Bloques'!$B$9:$B$125,A23)</f>
        <v/>
      </c>
      <c r="E23" s="11">
        <f>SUMIFS('A1_Bloques'!$E$9:$E$125,'A1_Bloques'!$B$9:$B$125,A23)</f>
        <v/>
      </c>
      <c r="F23" s="11">
        <f>SUMIFS('A1_Bloques'!$G$9:$G$125,'A1_Bloques'!$B$9:$B$125,A23)</f>
        <v/>
      </c>
      <c r="G23" s="11">
        <f>SUMIFS('A1_Bloques'!$I$9:$I$125,'A1_Bloques'!$B$9:$B$125,A23)</f>
        <v/>
      </c>
    </row>
    <row r="24">
      <c r="A24" s="8" t="inlineStr">
        <is>
          <t>C1081-Q9591</t>
        </is>
      </c>
      <c r="B24" s="8" t="inlineStr">
        <is>
          <t>Huancabamba</t>
        </is>
      </c>
      <c r="C24" s="8" t="inlineStr">
        <is>
          <t>Canchaque, Huancabamba, Lalaquiz</t>
        </is>
      </c>
      <c r="D24" s="14">
        <f>COUNTIFS('A1_Bloques'!$B$9:$B$125,A24)</f>
        <v/>
      </c>
      <c r="E24" s="15">
        <f>SUMIFS('A1_Bloques'!$E$9:$E$125,'A1_Bloques'!$B$9:$B$125,A24)</f>
        <v/>
      </c>
      <c r="F24" s="15">
        <f>SUMIFS('A1_Bloques'!$G$9:$G$125,'A1_Bloques'!$B$9:$B$125,A24)</f>
        <v/>
      </c>
      <c r="G24" s="15">
        <f>SUMIFS('A1_Bloques'!$I$9:$I$125,'A1_Bloques'!$B$9:$B$125,A24)</f>
        <v/>
      </c>
    </row>
    <row r="25">
      <c r="A25" s="6" t="inlineStr">
        <is>
          <t>C1086-Q9569</t>
        </is>
      </c>
      <c r="B25" s="6" t="inlineStr">
        <is>
          <t>Morropón</t>
        </is>
      </c>
      <c r="C25" s="6" t="inlineStr">
        <is>
          <t>Morropón, Santa Catalina de Mossa</t>
        </is>
      </c>
      <c r="D25" s="10">
        <f>COUNTIFS('A1_Bloques'!$B$9:$B$125,A25)</f>
        <v/>
      </c>
      <c r="E25" s="11">
        <f>SUMIFS('A1_Bloques'!$E$9:$E$125,'A1_Bloques'!$B$9:$B$125,A25)</f>
        <v/>
      </c>
      <c r="F25" s="11">
        <f>SUMIFS('A1_Bloques'!$G$9:$G$125,'A1_Bloques'!$B$9:$B$125,A25)</f>
        <v/>
      </c>
      <c r="G25" s="11">
        <f>SUMIFS('A1_Bloques'!$I$9:$I$125,'A1_Bloques'!$B$9:$B$125,A25)</f>
        <v/>
      </c>
    </row>
    <row r="26">
      <c r="A26" s="8" t="inlineStr">
        <is>
          <t>C1086-Q9570</t>
        </is>
      </c>
      <c r="B26" s="8" t="inlineStr">
        <is>
          <t>Morropón</t>
        </is>
      </c>
      <c r="C26" s="8" t="inlineStr">
        <is>
          <t>Chalaco, Morropón, Santa Catalina de Mossa, Santo Domingo</t>
        </is>
      </c>
      <c r="D26" s="14">
        <f>COUNTIFS('A1_Bloques'!$B$9:$B$125,A26)</f>
        <v/>
      </c>
      <c r="E26" s="15">
        <f>SUMIFS('A1_Bloques'!$E$9:$E$125,'A1_Bloques'!$B$9:$B$125,A26)</f>
        <v/>
      </c>
      <c r="F26" s="15">
        <f>SUMIFS('A1_Bloques'!$G$9:$G$125,'A1_Bloques'!$B$9:$B$125,A26)</f>
        <v/>
      </c>
      <c r="G26" s="15">
        <f>SUMIFS('A1_Bloques'!$I$9:$I$125,'A1_Bloques'!$B$9:$B$125,A26)</f>
        <v/>
      </c>
    </row>
    <row r="27">
      <c r="A27" s="6" t="inlineStr">
        <is>
          <t>C1086-Q9575</t>
        </is>
      </c>
      <c r="B27" s="6" t="inlineStr">
        <is>
          <t>Morropón</t>
        </is>
      </c>
      <c r="C27" s="6" t="inlineStr">
        <is>
          <t>Yamango</t>
        </is>
      </c>
      <c r="D27" s="10">
        <f>COUNTIFS('A1_Bloques'!$B$9:$B$125,A27)</f>
        <v/>
      </c>
      <c r="E27" s="11">
        <f>SUMIFS('A1_Bloques'!$E$9:$E$125,'A1_Bloques'!$B$9:$B$125,A27)</f>
        <v/>
      </c>
      <c r="F27" s="11">
        <f>SUMIFS('A1_Bloques'!$G$9:$G$125,'A1_Bloques'!$B$9:$B$125,A27)</f>
        <v/>
      </c>
      <c r="G27" s="11">
        <f>SUMIFS('A1_Bloques'!$I$9:$I$125,'A1_Bloques'!$B$9:$B$125,A27)</f>
        <v/>
      </c>
    </row>
    <row r="28">
      <c r="A28" s="8" t="inlineStr">
        <is>
          <t>C1086-Q9576</t>
        </is>
      </c>
      <c r="B28" s="8" t="inlineStr">
        <is>
          <t>Morropón</t>
        </is>
      </c>
      <c r="C28" s="8" t="inlineStr">
        <is>
          <t>Chalaco, Santa Catalina de Mossa</t>
        </is>
      </c>
      <c r="D28" s="14">
        <f>COUNTIFS('A1_Bloques'!$B$9:$B$125,A28)</f>
        <v/>
      </c>
      <c r="E28" s="15">
        <f>SUMIFS('A1_Bloques'!$E$9:$E$125,'A1_Bloques'!$B$9:$B$125,A28)</f>
        <v/>
      </c>
      <c r="F28" s="15">
        <f>SUMIFS('A1_Bloques'!$G$9:$G$125,'A1_Bloques'!$B$9:$B$125,A28)</f>
        <v/>
      </c>
      <c r="G28" s="15">
        <f>SUMIFS('A1_Bloques'!$I$9:$I$125,'A1_Bloques'!$B$9:$B$125,A28)</f>
        <v/>
      </c>
    </row>
    <row r="29">
      <c r="A29" s="6" t="inlineStr">
        <is>
          <t>C1096-Q9545</t>
        </is>
      </c>
      <c r="B29" s="6" t="inlineStr">
        <is>
          <t>Ayabaca, Morropón</t>
        </is>
      </c>
      <c r="C29" s="6" t="inlineStr">
        <is>
          <t>Chulucanas, Frías</t>
        </is>
      </c>
      <c r="D29" s="10">
        <f>COUNTIFS('A1_Bloques'!$B$9:$B$125,A29)</f>
        <v/>
      </c>
      <c r="E29" s="11">
        <f>SUMIFS('A1_Bloques'!$E$9:$E$125,'A1_Bloques'!$B$9:$B$125,A29)</f>
        <v/>
      </c>
      <c r="F29" s="11">
        <f>SUMIFS('A1_Bloques'!$G$9:$G$125,'A1_Bloques'!$B$9:$B$125,A29)</f>
        <v/>
      </c>
      <c r="G29" s="11">
        <f>SUMIFS('A1_Bloques'!$I$9:$I$125,'A1_Bloques'!$B$9:$B$125,A29)</f>
        <v/>
      </c>
    </row>
    <row r="30">
      <c r="A30" s="8" t="inlineStr">
        <is>
          <t>C1096-Q9547</t>
        </is>
      </c>
      <c r="B30" s="8" t="inlineStr">
        <is>
          <t>Ayabaca, Morropón</t>
        </is>
      </c>
      <c r="C30" s="8" t="inlineStr">
        <is>
          <t>Chulucanas, Frías</t>
        </is>
      </c>
      <c r="D30" s="14">
        <f>COUNTIFS('A1_Bloques'!$B$9:$B$125,A30)</f>
        <v/>
      </c>
      <c r="E30" s="15">
        <f>SUMIFS('A1_Bloques'!$E$9:$E$125,'A1_Bloques'!$B$9:$B$125,A30)</f>
        <v/>
      </c>
      <c r="F30" s="15">
        <f>SUMIFS('A1_Bloques'!$G$9:$G$125,'A1_Bloques'!$B$9:$B$125,A30)</f>
        <v/>
      </c>
      <c r="G30" s="15">
        <f>SUMIFS('A1_Bloques'!$I$9:$I$125,'A1_Bloques'!$B$9:$B$125,A30)</f>
        <v/>
      </c>
    </row>
    <row r="31">
      <c r="A31" s="6" t="inlineStr">
        <is>
          <t>C1096-Q9556</t>
        </is>
      </c>
      <c r="B31" s="6" t="inlineStr">
        <is>
          <t>Ayabaca, Morropón</t>
        </is>
      </c>
      <c r="C31" s="6" t="inlineStr">
        <is>
          <t>Chulucanas, Frías</t>
        </is>
      </c>
      <c r="D31" s="10">
        <f>COUNTIFS('A1_Bloques'!$B$9:$B$125,A31)</f>
        <v/>
      </c>
      <c r="E31" s="11">
        <f>SUMIFS('A1_Bloques'!$E$9:$E$125,'A1_Bloques'!$B$9:$B$125,A31)</f>
        <v/>
      </c>
      <c r="F31" s="11">
        <f>SUMIFS('A1_Bloques'!$G$9:$G$125,'A1_Bloques'!$B$9:$B$125,A31)</f>
        <v/>
      </c>
      <c r="G31" s="11">
        <f>SUMIFS('A1_Bloques'!$I$9:$I$125,'A1_Bloques'!$B$9:$B$125,A31)</f>
        <v/>
      </c>
    </row>
    <row r="32">
      <c r="A32" s="8" t="inlineStr">
        <is>
          <t>C1096-Q9557</t>
        </is>
      </c>
      <c r="B32" s="8" t="inlineStr">
        <is>
          <t>Morropón</t>
        </is>
      </c>
      <c r="C32" s="8" t="inlineStr">
        <is>
          <t>Chulucanas</t>
        </is>
      </c>
      <c r="D32" s="14">
        <f>COUNTIFS('A1_Bloques'!$B$9:$B$125,A32)</f>
        <v/>
      </c>
      <c r="E32" s="15">
        <f>SUMIFS('A1_Bloques'!$E$9:$E$125,'A1_Bloques'!$B$9:$B$125,A32)</f>
        <v/>
      </c>
      <c r="F32" s="15">
        <f>SUMIFS('A1_Bloques'!$G$9:$G$125,'A1_Bloques'!$B$9:$B$125,A32)</f>
        <v/>
      </c>
      <c r="G32" s="15">
        <f>SUMIFS('A1_Bloques'!$I$9:$I$125,'A1_Bloques'!$B$9:$B$125,A32)</f>
        <v/>
      </c>
    </row>
    <row r="33">
      <c r="A33" s="6" t="inlineStr">
        <is>
          <t>C1096-Q9558</t>
        </is>
      </c>
      <c r="B33" s="6" t="inlineStr">
        <is>
          <t>Morropón</t>
        </is>
      </c>
      <c r="C33" s="6" t="inlineStr">
        <is>
          <t>Chulucanas, Santo Domingo</t>
        </is>
      </c>
      <c r="D33" s="10">
        <f>COUNTIFS('A1_Bloques'!$B$9:$B$125,A33)</f>
        <v/>
      </c>
      <c r="E33" s="11">
        <f>SUMIFS('A1_Bloques'!$E$9:$E$125,'A1_Bloques'!$B$9:$B$125,A33)</f>
        <v/>
      </c>
      <c r="F33" s="11">
        <f>SUMIFS('A1_Bloques'!$G$9:$G$125,'A1_Bloques'!$B$9:$B$125,A33)</f>
        <v/>
      </c>
      <c r="G33" s="11">
        <f>SUMIFS('A1_Bloques'!$I$9:$I$125,'A1_Bloques'!$B$9:$B$125,A33)</f>
        <v/>
      </c>
    </row>
    <row r="34">
      <c r="A34" s="8" t="inlineStr">
        <is>
          <t>C1096-Q9564</t>
        </is>
      </c>
      <c r="B34" s="8" t="inlineStr">
        <is>
          <t>Ayabaca, Morropón</t>
        </is>
      </c>
      <c r="C34" s="8" t="inlineStr">
        <is>
          <t>Frías, Santo Domingo</t>
        </is>
      </c>
      <c r="D34" s="14">
        <f>COUNTIFS('A1_Bloques'!$B$9:$B$125,A34)</f>
        <v/>
      </c>
      <c r="E34" s="15">
        <f>SUMIFS('A1_Bloques'!$E$9:$E$125,'A1_Bloques'!$B$9:$B$125,A34)</f>
        <v/>
      </c>
      <c r="F34" s="15">
        <f>SUMIFS('A1_Bloques'!$G$9:$G$125,'A1_Bloques'!$B$9:$B$125,A34)</f>
        <v/>
      </c>
      <c r="G34" s="15">
        <f>SUMIFS('A1_Bloques'!$I$9:$I$125,'A1_Bloques'!$B$9:$B$125,A34)</f>
        <v/>
      </c>
    </row>
    <row r="35">
      <c r="A35" s="17" t="inlineStr">
        <is>
          <t>TOTAL</t>
        </is>
      </c>
      <c r="B35" s="18" t="inlineStr">
        <is>
          <t>26 microcuencas</t>
        </is>
      </c>
      <c r="C35" s="18" t="n"/>
      <c r="D35" s="20">
        <f>SUM(D9:D34)</f>
        <v/>
      </c>
      <c r="E35" s="21">
        <f>SUM(E9:E34)</f>
        <v/>
      </c>
      <c r="F35" s="21">
        <f>SUM(F9:F34)</f>
        <v/>
      </c>
      <c r="G35" s="21">
        <f>SUM(G9:G34)</f>
        <v/>
      </c>
    </row>
    <row r="37" ht="39" customHeight="1">
      <c r="A37" s="28" t="inlineStr">
        <is>
          <t>Código de microcuenca según la capa de bloques V6 (campo MICROC). La capa de límites de las microcuencas priorizadas no forma parte de este paquete: [POR DEFINIR] su remisión por el especialista SIG.</t>
        </is>
      </c>
    </row>
  </sheetData>
  <mergeCells count="7">
    <mergeCell ref="A1:G1"/>
    <mergeCell ref="A3:G3"/>
    <mergeCell ref="A6:G6"/>
    <mergeCell ref="A4:G4"/>
    <mergeCell ref="A2:G2"/>
    <mergeCell ref="A5:G5"/>
    <mergeCell ref="A37:G3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0" customWidth="1" min="5" max="5"/>
    <col width="16" customWidth="1" min="6" max="6"/>
    <col width="16" customWidth="1" min="7" max="7"/>
    <col width="20" customWidth="1" min="8" max="8"/>
    <col width="28" customWidth="1" min="9" max="9"/>
    <col width="44" customWidth="1" min="10" max="10"/>
    <col width="26" customWidth="1" min="11" max="11"/>
    <col width="18" customWidth="1" min="12" max="12"/>
    <col width="27" customWidth="1" min="13" max="13"/>
    <col width="28" customWidth="1" min="14" max="14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A1. DETALLE DE LOS 117 BLOQUES DE INTERVENCIÓN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catálogo V6 (datos/unidades_liberacion_areas.csv), ANIN-DIME-SESDI 2026. Área de influencia aprobada (AI_aprobado_2.shp), ANIN-DIME-SESDI 2026; sin los AI de los bloques retirados 74 y 75. MSAVI 2024 (traspaso V6). Mapa Nacional de Ecosistemas del Perú, MINAM 2018 (R.M. N.° 440-2018-MINAM), recorte al ámbito</t>
        </is>
      </c>
    </row>
    <row r="8" ht="30" customHeight="1">
      <c r="A8" s="4" t="inlineStr">
        <is>
          <t>Bloque</t>
        </is>
      </c>
      <c r="B8" s="4" t="inlineStr">
        <is>
          <t>Microcuenca</t>
        </is>
      </c>
      <c r="C8" s="4" t="inlineStr">
        <is>
          <t>Provincia</t>
        </is>
      </c>
      <c r="D8" s="4" t="inlineStr">
        <is>
          <t>Distrito</t>
        </is>
      </c>
      <c r="E8" s="4" t="inlineStr">
        <is>
          <t>Área bloque (ha)</t>
        </is>
      </c>
      <c r="F8" s="4" t="inlineStr">
        <is>
          <t>Polígonos AI</t>
        </is>
      </c>
      <c r="G8" s="4" t="inlineStr">
        <is>
          <t>Área AI (ha)</t>
        </is>
      </c>
      <c r="H8" s="4" t="inlineStr">
        <is>
          <t>MSAVI 2024 media</t>
        </is>
      </c>
      <c r="I8" s="4" t="inlineStr">
        <is>
          <t>Sup. MSAVI ≤ 0.4976 (ha)</t>
        </is>
      </c>
      <c r="J8" s="4" t="inlineStr">
        <is>
          <t>Ecosistema dominante</t>
        </is>
      </c>
      <c r="K8" s="4" t="inlineStr">
        <is>
          <t>% ecosistema dominante</t>
        </is>
      </c>
      <c r="L8" s="4" t="inlineStr">
        <is>
          <t>CCPP asociados</t>
        </is>
      </c>
      <c r="M8" s="4" t="inlineStr">
        <is>
          <t>Punto interior ESTE (m)</t>
        </is>
      </c>
      <c r="N8" s="4" t="inlineStr">
        <is>
          <t>Punto interior NORTE (m)</t>
        </is>
      </c>
    </row>
    <row r="9">
      <c r="A9" s="6" t="inlineStr">
        <is>
          <t>27</t>
        </is>
      </c>
      <c r="B9" s="6" t="inlineStr">
        <is>
          <t>C1096-Q9556</t>
        </is>
      </c>
      <c r="C9" s="6" t="inlineStr">
        <is>
          <t>Ayabaca</t>
        </is>
      </c>
      <c r="D9" s="6" t="inlineStr">
        <is>
          <t>Frías</t>
        </is>
      </c>
      <c r="E9" s="11" t="n">
        <v>78.154</v>
      </c>
      <c r="F9" s="6" t="n">
        <v>1</v>
      </c>
      <c r="G9" s="11" t="n">
        <v>81.506</v>
      </c>
      <c r="H9" s="29" t="n">
        <v>0.5323</v>
      </c>
      <c r="I9" s="11" t="n">
        <v>29.306</v>
      </c>
      <c r="J9" s="6" t="inlineStr">
        <is>
          <t>Zona agrícola</t>
        </is>
      </c>
      <c r="K9" s="12" t="n">
        <v>1</v>
      </c>
      <c r="L9" s="6" t="n">
        <v>2</v>
      </c>
      <c r="M9" s="30" t="n">
        <v>613421.61</v>
      </c>
      <c r="N9" s="30" t="n">
        <v>9450244.699999999</v>
      </c>
    </row>
    <row r="10">
      <c r="A10" s="8" t="inlineStr">
        <is>
          <t>3</t>
        </is>
      </c>
      <c r="B10" s="8" t="inlineStr">
        <is>
          <t>C1096-Q9545</t>
        </is>
      </c>
      <c r="C10" s="8" t="inlineStr">
        <is>
          <t>Ayabaca</t>
        </is>
      </c>
      <c r="D10" s="8" t="inlineStr">
        <is>
          <t>Frías</t>
        </is>
      </c>
      <c r="E10" s="15" t="n">
        <v>459.295</v>
      </c>
      <c r="F10" s="8" t="n">
        <v>1</v>
      </c>
      <c r="G10" s="15" t="n">
        <v>92.193</v>
      </c>
      <c r="H10" s="31" t="n">
        <v>0.5677</v>
      </c>
      <c r="I10" s="15" t="n">
        <v>133.481</v>
      </c>
      <c r="J10" s="8" t="inlineStr">
        <is>
          <t>Zona agrícola</t>
        </is>
      </c>
      <c r="K10" s="16" t="n">
        <v>0.9454</v>
      </c>
      <c r="L10" s="8" t="n">
        <v>5</v>
      </c>
      <c r="M10" s="32" t="n">
        <v>606765.09</v>
      </c>
      <c r="N10" s="32" t="n">
        <v>9458475.869999999</v>
      </c>
    </row>
    <row r="11">
      <c r="A11" s="6" t="inlineStr">
        <is>
          <t>36</t>
        </is>
      </c>
      <c r="B11" s="6" t="inlineStr">
        <is>
          <t>C1096-Q9547</t>
        </is>
      </c>
      <c r="C11" s="6" t="inlineStr">
        <is>
          <t>Ayabaca</t>
        </is>
      </c>
      <c r="D11" s="6" t="inlineStr">
        <is>
          <t>Frías</t>
        </is>
      </c>
      <c r="E11" s="11" t="n">
        <v>24.843</v>
      </c>
      <c r="F11" s="6" t="n">
        <v>1</v>
      </c>
      <c r="G11" s="11" t="n">
        <v>32.298</v>
      </c>
      <c r="H11" s="29" t="n">
        <v>0.5395</v>
      </c>
      <c r="I11" s="11" t="n">
        <v>8.852</v>
      </c>
      <c r="J11" s="6" t="inlineStr">
        <is>
          <t>Zona agrícola</t>
        </is>
      </c>
      <c r="K11" s="12" t="n">
        <v>1</v>
      </c>
      <c r="L11" s="6" t="n">
        <v>1</v>
      </c>
      <c r="M11" s="30" t="n">
        <v>606332.5</v>
      </c>
      <c r="N11" s="30" t="n">
        <v>9454726.960000001</v>
      </c>
    </row>
    <row r="12">
      <c r="A12" s="8" t="inlineStr">
        <is>
          <t>39</t>
        </is>
      </c>
      <c r="B12" s="8" t="inlineStr">
        <is>
          <t>C1096-Q9564</t>
        </is>
      </c>
      <c r="C12" s="8" t="inlineStr">
        <is>
          <t>Ayabaca</t>
        </is>
      </c>
      <c r="D12" s="8" t="inlineStr">
        <is>
          <t>Frías</t>
        </is>
      </c>
      <c r="E12" s="15" t="n">
        <v>68.569</v>
      </c>
      <c r="F12" s="8" t="n">
        <v>1</v>
      </c>
      <c r="G12" s="15" t="n">
        <v>91.19199999999999</v>
      </c>
      <c r="H12" s="31" t="n">
        <v>0.7016</v>
      </c>
      <c r="I12" s="15" t="n">
        <v>2.636</v>
      </c>
      <c r="J12" s="8" t="inlineStr">
        <is>
          <t>Matorral andino</t>
        </is>
      </c>
      <c r="K12" s="16" t="n">
        <v>1</v>
      </c>
      <c r="L12" s="8" t="n">
        <v>1</v>
      </c>
      <c r="M12" s="32" t="n">
        <v>618400.45</v>
      </c>
      <c r="N12" s="32" t="n">
        <v>9448932.4</v>
      </c>
    </row>
    <row r="13">
      <c r="A13" s="6" t="inlineStr">
        <is>
          <t>56</t>
        </is>
      </c>
      <c r="B13" s="6" t="inlineStr">
        <is>
          <t>C1096-Q9564</t>
        </is>
      </c>
      <c r="C13" s="6" t="inlineStr">
        <is>
          <t>Ayabaca</t>
        </is>
      </c>
      <c r="D13" s="6" t="inlineStr">
        <is>
          <t>Frías</t>
        </is>
      </c>
      <c r="E13" s="11" t="n">
        <v>77.666</v>
      </c>
      <c r="F13" s="6" t="n">
        <v>1</v>
      </c>
      <c r="G13" s="11" t="n">
        <v>22.2</v>
      </c>
      <c r="H13" s="29" t="n">
        <v>0.6777</v>
      </c>
      <c r="I13" s="11" t="n">
        <v>2.171</v>
      </c>
      <c r="J13" s="6" t="inlineStr">
        <is>
          <t>Bosque relicto montano de vertiente occidental</t>
        </is>
      </c>
      <c r="K13" s="12" t="n">
        <v>0.5387999999999999</v>
      </c>
      <c r="L13" s="6" t="n">
        <v>2</v>
      </c>
      <c r="M13" s="30" t="n">
        <v>621631.02</v>
      </c>
      <c r="N13" s="30" t="n">
        <v>9452849.25</v>
      </c>
    </row>
    <row r="14">
      <c r="A14" s="8" t="inlineStr">
        <is>
          <t>6</t>
        </is>
      </c>
      <c r="B14" s="8" t="inlineStr">
        <is>
          <t>C1096-Q9547</t>
        </is>
      </c>
      <c r="C14" s="8" t="inlineStr">
        <is>
          <t>Ayabaca</t>
        </is>
      </c>
      <c r="D14" s="8" t="inlineStr">
        <is>
          <t>Frías</t>
        </is>
      </c>
      <c r="E14" s="15" t="n">
        <v>168.411</v>
      </c>
      <c r="F14" s="8" t="n">
        <v>2</v>
      </c>
      <c r="G14" s="15" t="n">
        <v>165.147</v>
      </c>
      <c r="H14" s="31" t="n">
        <v>0.5381</v>
      </c>
      <c r="I14" s="15" t="n">
        <v>59.635</v>
      </c>
      <c r="J14" s="8" t="inlineStr">
        <is>
          <t>Zona agrícola</t>
        </is>
      </c>
      <c r="K14" s="16" t="n">
        <v>0.9752</v>
      </c>
      <c r="L14" s="8" t="n">
        <v>3</v>
      </c>
      <c r="M14" s="32" t="n">
        <v>605211.1800000001</v>
      </c>
      <c r="N14" s="32" t="n">
        <v>9455229.16</v>
      </c>
    </row>
    <row r="15">
      <c r="A15" s="6" t="inlineStr">
        <is>
          <t>M17B10</t>
        </is>
      </c>
      <c r="B15" s="6" t="inlineStr">
        <is>
          <t>C1096-Q9556</t>
        </is>
      </c>
      <c r="C15" s="6" t="inlineStr">
        <is>
          <t>Ayabaca</t>
        </is>
      </c>
      <c r="D15" s="6" t="inlineStr">
        <is>
          <t>Frías</t>
        </is>
      </c>
      <c r="E15" s="11" t="n">
        <v>75.363</v>
      </c>
      <c r="F15" s="6" t="n">
        <v>1</v>
      </c>
      <c r="G15" s="11" t="n">
        <v>41.649</v>
      </c>
      <c r="H15" s="29" t="n">
        <v>0.4725</v>
      </c>
      <c r="I15" s="11" t="n">
        <v>55.265</v>
      </c>
      <c r="J15" s="6" t="inlineStr">
        <is>
          <t>Zona agrícola</t>
        </is>
      </c>
      <c r="K15" s="12" t="n">
        <v>0.5748</v>
      </c>
      <c r="L15" s="6" t="n">
        <v>0</v>
      </c>
      <c r="M15" s="30" t="n">
        <v>606090.26</v>
      </c>
      <c r="N15" s="30" t="n">
        <v>9447318.83</v>
      </c>
    </row>
    <row r="16">
      <c r="A16" s="8" t="inlineStr">
        <is>
          <t>M17B5</t>
        </is>
      </c>
      <c r="B16" s="8" t="inlineStr">
        <is>
          <t>C1096-Q9556</t>
        </is>
      </c>
      <c r="C16" s="8" t="inlineStr">
        <is>
          <t>Ayabaca</t>
        </is>
      </c>
      <c r="D16" s="8" t="inlineStr">
        <is>
          <t>Frías</t>
        </is>
      </c>
      <c r="E16" s="15" t="n">
        <v>74.02800000000001</v>
      </c>
      <c r="F16" s="8" t="n">
        <v>1</v>
      </c>
      <c r="G16" s="15" t="n">
        <v>23.733</v>
      </c>
      <c r="H16" s="31" t="n">
        <v>0.5482</v>
      </c>
      <c r="I16" s="15" t="n">
        <v>21.426</v>
      </c>
      <c r="J16" s="8" t="inlineStr">
        <is>
          <t>Bosque estacionalmente seco de colina y montaña</t>
        </is>
      </c>
      <c r="K16" s="16" t="n">
        <v>0.7086</v>
      </c>
      <c r="L16" s="8" t="n">
        <v>1</v>
      </c>
      <c r="M16" s="32" t="n">
        <v>608932.95</v>
      </c>
      <c r="N16" s="32" t="n">
        <v>9445588.310000001</v>
      </c>
    </row>
    <row r="17">
      <c r="A17" s="6" t="inlineStr">
        <is>
          <t>M17B6</t>
        </is>
      </c>
      <c r="B17" s="6" t="inlineStr">
        <is>
          <t>C1096-Q9556</t>
        </is>
      </c>
      <c r="C17" s="6" t="inlineStr">
        <is>
          <t>Ayabaca</t>
        </is>
      </c>
      <c r="D17" s="6" t="inlineStr">
        <is>
          <t>Frías</t>
        </is>
      </c>
      <c r="E17" s="11" t="n">
        <v>106.538</v>
      </c>
      <c r="F17" s="6" t="n">
        <v>1</v>
      </c>
      <c r="G17" s="11" t="n">
        <v>64.622</v>
      </c>
      <c r="H17" s="29" t="n">
        <v>0.4464</v>
      </c>
      <c r="I17" s="11" t="n">
        <v>87.169</v>
      </c>
      <c r="J17" s="6" t="inlineStr">
        <is>
          <t>Bosque estacionalmente seco de colina y montaña</t>
        </is>
      </c>
      <c r="K17" s="12" t="n">
        <v>1</v>
      </c>
      <c r="L17" s="6" t="n">
        <v>3</v>
      </c>
      <c r="M17" s="30" t="n">
        <v>607245.17</v>
      </c>
      <c r="N17" s="30" t="n">
        <v>9446176.609999999</v>
      </c>
    </row>
    <row r="18">
      <c r="A18" s="8" t="inlineStr">
        <is>
          <t>M17B7</t>
        </is>
      </c>
      <c r="B18" s="8" t="inlineStr">
        <is>
          <t>C1096-Q9556</t>
        </is>
      </c>
      <c r="C18" s="8" t="inlineStr">
        <is>
          <t>Ayabaca</t>
        </is>
      </c>
      <c r="D18" s="8" t="inlineStr">
        <is>
          <t>Frías</t>
        </is>
      </c>
      <c r="E18" s="15" t="n">
        <v>258.837</v>
      </c>
      <c r="F18" s="8" t="n">
        <v>1</v>
      </c>
      <c r="G18" s="15" t="n">
        <v>206.565</v>
      </c>
      <c r="H18" s="31" t="n">
        <v>0.5087</v>
      </c>
      <c r="I18" s="15" t="n">
        <v>125.266</v>
      </c>
      <c r="J18" s="8" t="inlineStr">
        <is>
          <t>Zona agrícola</t>
        </is>
      </c>
      <c r="K18" s="16" t="n">
        <v>0.5590000000000001</v>
      </c>
      <c r="L18" s="8" t="n">
        <v>1</v>
      </c>
      <c r="M18" s="32" t="n">
        <v>608879.78</v>
      </c>
      <c r="N18" s="32" t="n">
        <v>9448019.199999999</v>
      </c>
    </row>
    <row r="19">
      <c r="A19" s="6" t="inlineStr">
        <is>
          <t>21</t>
        </is>
      </c>
      <c r="B19" s="6" t="inlineStr">
        <is>
          <t>C1081-Q9591</t>
        </is>
      </c>
      <c r="C19" s="6" t="inlineStr">
        <is>
          <t>Huancabamba</t>
        </is>
      </c>
      <c r="D19" s="6" t="inlineStr">
        <is>
          <t>Canchaque</t>
        </is>
      </c>
      <c r="E19" s="11" t="n">
        <v>84.227</v>
      </c>
      <c r="F19" s="6" t="n">
        <v>1</v>
      </c>
      <c r="G19" s="11" t="n">
        <v>34.349</v>
      </c>
      <c r="H19" s="29" t="n">
        <v>0.6201</v>
      </c>
      <c r="I19" s="11" t="n">
        <v>4.357</v>
      </c>
      <c r="J19" s="6" t="inlineStr">
        <is>
          <t>Zona agrícola</t>
        </is>
      </c>
      <c r="K19" s="12" t="n">
        <v>0.5607</v>
      </c>
      <c r="L19" s="6" t="n">
        <v>1</v>
      </c>
      <c r="M19" s="30" t="n">
        <v>654592.14</v>
      </c>
      <c r="N19" s="30" t="n">
        <v>9417738.640000001</v>
      </c>
    </row>
    <row r="20">
      <c r="A20" s="8" t="inlineStr">
        <is>
          <t>24</t>
        </is>
      </c>
      <c r="B20" s="8" t="inlineStr">
        <is>
          <t>C1081-Q9583</t>
        </is>
      </c>
      <c r="C20" s="8" t="inlineStr">
        <is>
          <t>Huancabamba</t>
        </is>
      </c>
      <c r="D20" s="8" t="inlineStr">
        <is>
          <t>Canchaque</t>
        </is>
      </c>
      <c r="E20" s="15" t="n">
        <v>90.15900000000001</v>
      </c>
      <c r="F20" s="8" t="n">
        <v>1</v>
      </c>
      <c r="G20" s="15" t="n">
        <v>219.755</v>
      </c>
      <c r="H20" s="31" t="n">
        <v>0.6748</v>
      </c>
      <c r="I20" s="15" t="n">
        <v>2.061</v>
      </c>
      <c r="J20" s="8" t="inlineStr">
        <is>
          <t>Zona agrícola</t>
        </is>
      </c>
      <c r="K20" s="16" t="n">
        <v>0.6608000000000001</v>
      </c>
      <c r="L20" s="8" t="n">
        <v>1</v>
      </c>
      <c r="M20" s="32" t="n">
        <v>652157.25</v>
      </c>
      <c r="N20" s="32" t="n">
        <v>9414359.24</v>
      </c>
    </row>
    <row r="21">
      <c r="A21" s="6" t="inlineStr">
        <is>
          <t>28</t>
        </is>
      </c>
      <c r="B21" s="6" t="inlineStr">
        <is>
          <t>C1081-Q9591</t>
        </is>
      </c>
      <c r="C21" s="6" t="inlineStr">
        <is>
          <t>Huancabamba</t>
        </is>
      </c>
      <c r="D21" s="6" t="inlineStr">
        <is>
          <t>Canchaque</t>
        </is>
      </c>
      <c r="E21" s="11" t="n">
        <v>52.966</v>
      </c>
      <c r="F21" s="6" t="n">
        <v>1</v>
      </c>
      <c r="G21" s="11" t="n">
        <v>65.99299999999999</v>
      </c>
      <c r="H21" s="29" t="n">
        <v>0.6394</v>
      </c>
      <c r="I21" s="11" t="n">
        <v>0.495</v>
      </c>
      <c r="J21" s="6" t="inlineStr">
        <is>
          <t>Zona agrícola</t>
        </is>
      </c>
      <c r="K21" s="12" t="n">
        <v>0.6032</v>
      </c>
      <c r="L21" s="6" t="n">
        <v>1</v>
      </c>
      <c r="M21" s="30" t="n">
        <v>654200.91</v>
      </c>
      <c r="N21" s="30" t="n">
        <v>9422864.800000001</v>
      </c>
    </row>
    <row r="22">
      <c r="A22" s="8" t="inlineStr">
        <is>
          <t>30</t>
        </is>
      </c>
      <c r="B22" s="8" t="inlineStr">
        <is>
          <t>C1081-Q9591</t>
        </is>
      </c>
      <c r="C22" s="8" t="inlineStr">
        <is>
          <t>Huancabamba</t>
        </is>
      </c>
      <c r="D22" s="8" t="inlineStr">
        <is>
          <t>Canchaque</t>
        </is>
      </c>
      <c r="E22" s="15" t="n">
        <v>34.874</v>
      </c>
      <c r="F22" s="8" t="n">
        <v>1</v>
      </c>
      <c r="G22" s="15" t="n">
        <v>14.907</v>
      </c>
      <c r="H22" s="31" t="n">
        <v>0.6637999999999999</v>
      </c>
      <c r="I22" s="15" t="n">
        <v>0.456</v>
      </c>
      <c r="J22" s="8" t="inlineStr">
        <is>
          <t>Zona agrícola</t>
        </is>
      </c>
      <c r="K22" s="16" t="n">
        <v>0.7743</v>
      </c>
      <c r="L22" s="8" t="n">
        <v>2</v>
      </c>
      <c r="M22" s="32" t="n">
        <v>652805.76</v>
      </c>
      <c r="N22" s="32" t="n">
        <v>9424369.119999999</v>
      </c>
    </row>
    <row r="23">
      <c r="A23" s="6" t="inlineStr">
        <is>
          <t>40</t>
        </is>
      </c>
      <c r="B23" s="6" t="inlineStr">
        <is>
          <t>C1081-Q9591</t>
        </is>
      </c>
      <c r="C23" s="6" t="inlineStr">
        <is>
          <t>Huancabamba</t>
        </is>
      </c>
      <c r="D23" s="6" t="inlineStr">
        <is>
          <t>Canchaque</t>
        </is>
      </c>
      <c r="E23" s="11" t="n">
        <v>28.523</v>
      </c>
      <c r="F23" s="6" t="n">
        <v>1</v>
      </c>
      <c r="G23" s="11" t="n">
        <v>23.04</v>
      </c>
      <c r="H23" s="29" t="n">
        <v>0.6401</v>
      </c>
      <c r="I23" s="11" t="n">
        <v>0.828</v>
      </c>
      <c r="J23" s="6" t="inlineStr">
        <is>
          <t>Zona agrícola</t>
        </is>
      </c>
      <c r="K23" s="12" t="n">
        <v>0.5954</v>
      </c>
      <c r="L23" s="6" t="n">
        <v>2</v>
      </c>
      <c r="M23" s="30" t="n">
        <v>654139.12</v>
      </c>
      <c r="N23" s="30" t="n">
        <v>9424423.199999999</v>
      </c>
    </row>
    <row r="24">
      <c r="A24" s="8" t="inlineStr">
        <is>
          <t>60</t>
        </is>
      </c>
      <c r="B24" s="8" t="inlineStr">
        <is>
          <t>C1081-Q9591</t>
        </is>
      </c>
      <c r="C24" s="8" t="inlineStr">
        <is>
          <t>Huancabamba</t>
        </is>
      </c>
      <c r="D24" s="8" t="inlineStr">
        <is>
          <t>Canchaque</t>
        </is>
      </c>
      <c r="E24" s="15" t="n">
        <v>40.132</v>
      </c>
      <c r="F24" s="8" t="n">
        <v>1</v>
      </c>
      <c r="G24" s="15" t="n">
        <v>77.961</v>
      </c>
      <c r="H24" s="31" t="n">
        <v>0.6745</v>
      </c>
      <c r="I24" s="15" t="n">
        <v>0.245</v>
      </c>
      <c r="J24" s="8" t="inlineStr">
        <is>
          <t>Matorral andino</t>
        </is>
      </c>
      <c r="K24" s="16" t="n">
        <v>0.5911</v>
      </c>
      <c r="L24" s="8" t="n">
        <v>1</v>
      </c>
      <c r="M24" s="32" t="n">
        <v>653839.51</v>
      </c>
      <c r="N24" s="32" t="n">
        <v>9426208.83</v>
      </c>
    </row>
    <row r="25">
      <c r="A25" s="6" t="inlineStr">
        <is>
          <t>63</t>
        </is>
      </c>
      <c r="B25" s="6" t="inlineStr">
        <is>
          <t>C1081-Q9583</t>
        </is>
      </c>
      <c r="C25" s="6" t="inlineStr">
        <is>
          <t>Huancabamba</t>
        </is>
      </c>
      <c r="D25" s="6" t="inlineStr">
        <is>
          <t>Canchaque</t>
        </is>
      </c>
      <c r="E25" s="11" t="n">
        <v>50.459</v>
      </c>
      <c r="F25" s="6" t="n">
        <v>1</v>
      </c>
      <c r="G25" s="11" t="n">
        <v>45.207</v>
      </c>
      <c r="H25" s="29" t="n">
        <v>0.6036</v>
      </c>
      <c r="I25" s="11" t="n">
        <v>1.488</v>
      </c>
      <c r="J25" s="6" t="inlineStr">
        <is>
          <t>Matorral andino</t>
        </is>
      </c>
      <c r="K25" s="12" t="n">
        <v>1</v>
      </c>
      <c r="L25" s="6" t="n">
        <v>1</v>
      </c>
      <c r="M25" s="30" t="n">
        <v>655103.1800000001</v>
      </c>
      <c r="N25" s="30" t="n">
        <v>9413845.1</v>
      </c>
    </row>
    <row r="26">
      <c r="A26" s="8" t="inlineStr">
        <is>
          <t>66</t>
        </is>
      </c>
      <c r="B26" s="8" t="inlineStr">
        <is>
          <t>C1081-Q9591</t>
        </is>
      </c>
      <c r="C26" s="8" t="inlineStr">
        <is>
          <t>Huancabamba</t>
        </is>
      </c>
      <c r="D26" s="8" t="inlineStr">
        <is>
          <t>Canchaque</t>
        </is>
      </c>
      <c r="E26" s="15" t="n">
        <v>102.335</v>
      </c>
      <c r="F26" s="8" t="n">
        <v>1</v>
      </c>
      <c r="G26" s="15" t="n">
        <v>45.105</v>
      </c>
      <c r="H26" s="31" t="n">
        <v>0.6403</v>
      </c>
      <c r="I26" s="15" t="n">
        <v>9.047000000000001</v>
      </c>
      <c r="J26" s="8" t="inlineStr">
        <is>
          <t>Zona agrícola</t>
        </is>
      </c>
      <c r="K26" s="16" t="n">
        <v>0.7529</v>
      </c>
      <c r="L26" s="8" t="n">
        <v>1</v>
      </c>
      <c r="M26" s="32" t="n">
        <v>652505.78</v>
      </c>
      <c r="N26" s="32" t="n">
        <v>9417286.18</v>
      </c>
    </row>
    <row r="27">
      <c r="A27" s="6" t="inlineStr">
        <is>
          <t>79</t>
        </is>
      </c>
      <c r="B27" s="6" t="inlineStr">
        <is>
          <t>C1076-Q9587</t>
        </is>
      </c>
      <c r="C27" s="6" t="inlineStr">
        <is>
          <t>Huancabamba</t>
        </is>
      </c>
      <c r="D27" s="6" t="inlineStr">
        <is>
          <t>Canchaque</t>
        </is>
      </c>
      <c r="E27" s="11" t="n">
        <v>94.812</v>
      </c>
      <c r="F27" s="6" t="n">
        <v>1</v>
      </c>
      <c r="G27" s="11" t="n">
        <v>153.669</v>
      </c>
      <c r="H27" s="29" t="n">
        <v>0.5479000000000001</v>
      </c>
      <c r="I27" s="11" t="n">
        <v>28.152</v>
      </c>
      <c r="J27" s="6" t="inlineStr">
        <is>
          <t>Bosque estacionalmente seco de colina y montaña</t>
        </is>
      </c>
      <c r="K27" s="12" t="n">
        <v>1</v>
      </c>
      <c r="L27" s="6" t="n">
        <v>2</v>
      </c>
      <c r="M27" s="30" t="n">
        <v>650315.39</v>
      </c>
      <c r="N27" s="30" t="n">
        <v>9402803.630000001</v>
      </c>
    </row>
    <row r="28">
      <c r="A28" s="8" t="inlineStr">
        <is>
          <t>81</t>
        </is>
      </c>
      <c r="B28" s="8" t="inlineStr">
        <is>
          <t>C1076-Q9585</t>
        </is>
      </c>
      <c r="C28" s="8" t="inlineStr">
        <is>
          <t>Huancabamba</t>
        </is>
      </c>
      <c r="D28" s="8" t="inlineStr">
        <is>
          <t>Canchaque</t>
        </is>
      </c>
      <c r="E28" s="15" t="n">
        <v>8.929</v>
      </c>
      <c r="F28" s="8" t="n">
        <v>1</v>
      </c>
      <c r="G28" s="15" t="n">
        <v>52.663</v>
      </c>
      <c r="H28" s="31" t="n">
        <v>0.2747</v>
      </c>
      <c r="I28" s="15" t="n">
        <v>8.929</v>
      </c>
      <c r="J28" s="8" t="inlineStr">
        <is>
          <t>Bosque estacionalmente seco de colina y montaña</t>
        </is>
      </c>
      <c r="K28" s="16" t="n">
        <v>1</v>
      </c>
      <c r="L28" s="8" t="n">
        <v>1</v>
      </c>
      <c r="M28" s="32" t="n">
        <v>641547.1</v>
      </c>
      <c r="N28" s="32" t="n">
        <v>9401376.130000001</v>
      </c>
    </row>
    <row r="29">
      <c r="A29" s="6" t="inlineStr">
        <is>
          <t>64</t>
        </is>
      </c>
      <c r="B29" s="6" t="inlineStr">
        <is>
          <t>C1081-Q9591</t>
        </is>
      </c>
      <c r="C29" s="6" t="inlineStr">
        <is>
          <t>Huancabamba</t>
        </is>
      </c>
      <c r="D29" s="6" t="inlineStr">
        <is>
          <t>Huancabamba</t>
        </is>
      </c>
      <c r="E29" s="11" t="n">
        <v>35.774</v>
      </c>
      <c r="F29" s="6" t="n">
        <v>1</v>
      </c>
      <c r="G29" s="11" t="n">
        <v>31.879</v>
      </c>
      <c r="H29" s="29" t="n">
        <v>0.5254</v>
      </c>
      <c r="I29" s="11" t="n">
        <v>14.841</v>
      </c>
      <c r="J29" s="6" t="inlineStr">
        <is>
          <t>Zona agrícola</t>
        </is>
      </c>
      <c r="K29" s="12" t="n">
        <v>1</v>
      </c>
      <c r="L29" s="6" t="n">
        <v>1</v>
      </c>
      <c r="M29" s="30" t="n">
        <v>657855.72</v>
      </c>
      <c r="N29" s="30" t="n">
        <v>9428527.630000001</v>
      </c>
    </row>
    <row r="30">
      <c r="A30" s="8" t="inlineStr">
        <is>
          <t>M30B5</t>
        </is>
      </c>
      <c r="B30" s="8" t="inlineStr">
        <is>
          <t>C1081-Q9591</t>
        </is>
      </c>
      <c r="C30" s="8" t="inlineStr">
        <is>
          <t>Huancabamba</t>
        </is>
      </c>
      <c r="D30" s="8" t="inlineStr">
        <is>
          <t>Huancabamba</t>
        </is>
      </c>
      <c r="E30" s="15" t="n">
        <v>90.90300000000001</v>
      </c>
      <c r="F30" s="8" t="n">
        <v>1</v>
      </c>
      <c r="G30" s="15" t="n">
        <v>2.147</v>
      </c>
      <c r="H30" s="31" t="n">
        <v>0.5564</v>
      </c>
      <c r="I30" s="15" t="n">
        <v>30.026</v>
      </c>
      <c r="J30" s="8" t="inlineStr">
        <is>
          <t>Zona agrícola</t>
        </is>
      </c>
      <c r="K30" s="16" t="n">
        <v>0.821</v>
      </c>
      <c r="L30" s="8" t="n">
        <v>0</v>
      </c>
      <c r="M30" s="32" t="n">
        <v>655561.3100000001</v>
      </c>
      <c r="N30" s="32" t="n">
        <v>9427283.77</v>
      </c>
    </row>
    <row r="31">
      <c r="A31" s="6" t="inlineStr">
        <is>
          <t>10</t>
        </is>
      </c>
      <c r="B31" s="6" t="inlineStr">
        <is>
          <t>C1076-Q9593</t>
        </is>
      </c>
      <c r="C31" s="6" t="inlineStr">
        <is>
          <t>Huancabamba</t>
        </is>
      </c>
      <c r="D31" s="6" t="inlineStr">
        <is>
          <t>Huarmaca</t>
        </is>
      </c>
      <c r="E31" s="11" t="n">
        <v>150.214</v>
      </c>
      <c r="F31" s="6" t="n">
        <v>3</v>
      </c>
      <c r="G31" s="11" t="n">
        <v>23.795</v>
      </c>
      <c r="H31" s="29" t="n">
        <v>0.5465</v>
      </c>
      <c r="I31" s="11" t="n">
        <v>42.83</v>
      </c>
      <c r="J31" s="6" t="inlineStr">
        <is>
          <t>Bosque estacionalmente seco de colina y montaña</t>
        </is>
      </c>
      <c r="K31" s="12" t="n">
        <v>0.8613</v>
      </c>
      <c r="L31" s="6" t="n">
        <v>1</v>
      </c>
      <c r="M31" s="30" t="n">
        <v>650843.89</v>
      </c>
      <c r="N31" s="30" t="n">
        <v>9382271.48</v>
      </c>
    </row>
    <row r="32">
      <c r="A32" s="8" t="inlineStr">
        <is>
          <t>16</t>
        </is>
      </c>
      <c r="B32" s="8" t="inlineStr">
        <is>
          <t>C1076-Q9593</t>
        </is>
      </c>
      <c r="C32" s="8" t="inlineStr">
        <is>
          <t>Huancabamba</t>
        </is>
      </c>
      <c r="D32" s="8" t="inlineStr">
        <is>
          <t>Huarmaca</t>
        </is>
      </c>
      <c r="E32" s="15" t="n">
        <v>83.327</v>
      </c>
      <c r="F32" s="8" t="n">
        <v>1</v>
      </c>
      <c r="G32" s="15" t="n">
        <v>249.7</v>
      </c>
      <c r="H32" s="31" t="n">
        <v>0.6284</v>
      </c>
      <c r="I32" s="15" t="n">
        <v>6.081</v>
      </c>
      <c r="J32" s="8" t="inlineStr">
        <is>
          <t>Zona agrícola</t>
        </is>
      </c>
      <c r="K32" s="16" t="n">
        <v>0.5477</v>
      </c>
      <c r="L32" s="8" t="n">
        <v>1</v>
      </c>
      <c r="M32" s="32" t="n">
        <v>652998.48</v>
      </c>
      <c r="N32" s="32" t="n">
        <v>9382089.060000001</v>
      </c>
    </row>
    <row r="33">
      <c r="A33" s="6" t="inlineStr">
        <is>
          <t>18</t>
        </is>
      </c>
      <c r="B33" s="6" t="inlineStr">
        <is>
          <t>C1076-Q9592</t>
        </is>
      </c>
      <c r="C33" s="6" t="inlineStr">
        <is>
          <t>Huancabamba</t>
        </is>
      </c>
      <c r="D33" s="6" t="inlineStr">
        <is>
          <t>Huarmaca</t>
        </is>
      </c>
      <c r="E33" s="11" t="n">
        <v>103.617</v>
      </c>
      <c r="F33" s="6" t="n">
        <v>1</v>
      </c>
      <c r="G33" s="11" t="n">
        <v>24.987</v>
      </c>
      <c r="H33" s="29" t="n">
        <v>0.6402</v>
      </c>
      <c r="I33" s="11" t="n">
        <v>3.111</v>
      </c>
      <c r="J33" s="6" t="inlineStr">
        <is>
          <t>Bosque estacionalmente seco de colina y montaña</t>
        </is>
      </c>
      <c r="K33" s="12" t="n">
        <v>0.9101</v>
      </c>
      <c r="L33" s="6" t="n">
        <v>1</v>
      </c>
      <c r="M33" s="30" t="n">
        <v>656496.6800000001</v>
      </c>
      <c r="N33" s="30" t="n">
        <v>9393227.439999999</v>
      </c>
    </row>
    <row r="34">
      <c r="A34" s="8" t="inlineStr">
        <is>
          <t>19</t>
        </is>
      </c>
      <c r="B34" s="8" t="inlineStr">
        <is>
          <t>C1076-Q9592</t>
        </is>
      </c>
      <c r="C34" s="8" t="inlineStr">
        <is>
          <t>Huancabamba</t>
        </is>
      </c>
      <c r="D34" s="8" t="inlineStr">
        <is>
          <t>Huarmaca</t>
        </is>
      </c>
      <c r="E34" s="15" t="n">
        <v>82.08799999999999</v>
      </c>
      <c r="F34" s="8" t="n">
        <v>1</v>
      </c>
      <c r="G34" s="15" t="n">
        <v>145.501</v>
      </c>
      <c r="H34" s="31" t="n">
        <v>0.5372</v>
      </c>
      <c r="I34" s="15" t="n">
        <v>34.997</v>
      </c>
      <c r="J34" s="8" t="inlineStr">
        <is>
          <t>Matorral andino</t>
        </is>
      </c>
      <c r="K34" s="16" t="n">
        <v>0.5145999999999999</v>
      </c>
      <c r="L34" s="8" t="n">
        <v>2</v>
      </c>
      <c r="M34" s="32" t="n">
        <v>666074.05</v>
      </c>
      <c r="N34" s="32" t="n">
        <v>9391156.449999999</v>
      </c>
    </row>
    <row r="35">
      <c r="A35" s="6" t="inlineStr">
        <is>
          <t>20</t>
        </is>
      </c>
      <c r="B35" s="6" t="inlineStr">
        <is>
          <t>C1076-Q9593</t>
        </is>
      </c>
      <c r="C35" s="6" t="inlineStr">
        <is>
          <t>Huancabamba</t>
        </is>
      </c>
      <c r="D35" s="6" t="inlineStr">
        <is>
          <t>Huarmaca</t>
        </is>
      </c>
      <c r="E35" s="11" t="n">
        <v>81.334</v>
      </c>
      <c r="F35" s="6" t="n">
        <v>1</v>
      </c>
      <c r="G35" s="11" t="n">
        <v>46.417</v>
      </c>
      <c r="H35" s="29" t="n">
        <v>0.4851</v>
      </c>
      <c r="I35" s="11" t="n">
        <v>48.171</v>
      </c>
      <c r="J35" s="6" t="inlineStr">
        <is>
          <t>Bosque estacionalmente seco de colina y montaña</t>
        </is>
      </c>
      <c r="K35" s="12" t="n">
        <v>0.5199</v>
      </c>
      <c r="L35" s="6" t="n">
        <v>1</v>
      </c>
      <c r="M35" s="30" t="n">
        <v>649854.58</v>
      </c>
      <c r="N35" s="30" t="n">
        <v>9376252.460000001</v>
      </c>
    </row>
    <row r="36">
      <c r="A36" s="8" t="inlineStr">
        <is>
          <t>31</t>
        </is>
      </c>
      <c r="B36" s="8" t="inlineStr">
        <is>
          <t>C1076-Q9592</t>
        </is>
      </c>
      <c r="C36" s="8" t="inlineStr">
        <is>
          <t>Huancabamba</t>
        </is>
      </c>
      <c r="D36" s="8" t="inlineStr">
        <is>
          <t>Huarmaca</t>
        </is>
      </c>
      <c r="E36" s="15" t="n">
        <v>47.581</v>
      </c>
      <c r="F36" s="8" t="n">
        <v>1</v>
      </c>
      <c r="G36" s="15" t="n">
        <v>53.283</v>
      </c>
      <c r="H36" s="31" t="n">
        <v>0.4358</v>
      </c>
      <c r="I36" s="15" t="n">
        <v>37.312</v>
      </c>
      <c r="J36" s="8" t="inlineStr">
        <is>
          <t>Matorral andino</t>
        </is>
      </c>
      <c r="K36" s="16" t="n">
        <v>1</v>
      </c>
      <c r="L36" s="8" t="n">
        <v>0</v>
      </c>
      <c r="M36" s="32" t="n">
        <v>663455.22</v>
      </c>
      <c r="N36" s="32" t="n">
        <v>9392828.699999999</v>
      </c>
    </row>
    <row r="37">
      <c r="A37" s="6" t="inlineStr">
        <is>
          <t>4</t>
        </is>
      </c>
      <c r="B37" s="6" t="inlineStr">
        <is>
          <t>C1076-Q9588</t>
        </is>
      </c>
      <c r="C37" s="6" t="inlineStr">
        <is>
          <t>Huancabamba</t>
        </is>
      </c>
      <c r="D37" s="6" t="inlineStr">
        <is>
          <t>Huarmaca</t>
        </is>
      </c>
      <c r="E37" s="11" t="n">
        <v>230.098</v>
      </c>
      <c r="F37" s="6" t="n">
        <v>1</v>
      </c>
      <c r="G37" s="11" t="n">
        <v>37.211</v>
      </c>
      <c r="H37" s="29" t="n">
        <v>0.6601</v>
      </c>
      <c r="I37" s="11" t="n">
        <v>21.228</v>
      </c>
      <c r="J37" s="6" t="inlineStr">
        <is>
          <t>Zona agrícola</t>
        </is>
      </c>
      <c r="K37" s="12" t="n">
        <v>1</v>
      </c>
      <c r="L37" s="6" t="n">
        <v>2</v>
      </c>
      <c r="M37" s="30" t="n">
        <v>656396.85</v>
      </c>
      <c r="N37" s="30" t="n">
        <v>9382027.27</v>
      </c>
    </row>
    <row r="38">
      <c r="A38" s="8" t="inlineStr">
        <is>
          <t>41</t>
        </is>
      </c>
      <c r="B38" s="8" t="inlineStr">
        <is>
          <t>C1076-Q9592</t>
        </is>
      </c>
      <c r="C38" s="8" t="inlineStr">
        <is>
          <t>Huancabamba</t>
        </is>
      </c>
      <c r="D38" s="8" t="inlineStr">
        <is>
          <t>Huarmaca</t>
        </is>
      </c>
      <c r="E38" s="15" t="n">
        <v>64.923</v>
      </c>
      <c r="F38" s="8" t="n">
        <v>3</v>
      </c>
      <c r="G38" s="15" t="n">
        <v>75.39100000000001</v>
      </c>
      <c r="H38" s="31" t="n">
        <v>0.5927</v>
      </c>
      <c r="I38" s="15" t="n">
        <v>7.961</v>
      </c>
      <c r="J38" s="8" t="inlineStr">
        <is>
          <t>Zona agrícola</t>
        </is>
      </c>
      <c r="K38" s="16" t="n">
        <v>1</v>
      </c>
      <c r="L38" s="8" t="n">
        <v>1</v>
      </c>
      <c r="M38" s="32" t="n">
        <v>660617.85</v>
      </c>
      <c r="N38" s="32" t="n">
        <v>9394342.699999999</v>
      </c>
    </row>
    <row r="39">
      <c r="A39" s="6" t="inlineStr">
        <is>
          <t>51</t>
        </is>
      </c>
      <c r="B39" s="6" t="inlineStr">
        <is>
          <t>C1076-Q9593</t>
        </is>
      </c>
      <c r="C39" s="6" t="inlineStr">
        <is>
          <t>Huancabamba</t>
        </is>
      </c>
      <c r="D39" s="6" t="inlineStr">
        <is>
          <t>Huarmaca</t>
        </is>
      </c>
      <c r="E39" s="11" t="n">
        <v>22.927</v>
      </c>
      <c r="F39" s="6" t="n">
        <v>1</v>
      </c>
      <c r="G39" s="11" t="n">
        <v>110.509</v>
      </c>
      <c r="H39" s="29" t="n">
        <v>0.5238</v>
      </c>
      <c r="I39" s="11" t="n">
        <v>7.94</v>
      </c>
      <c r="J39" s="6" t="inlineStr">
        <is>
          <t>Zona agrícola</t>
        </is>
      </c>
      <c r="K39" s="12" t="n">
        <v>0.8824</v>
      </c>
      <c r="L39" s="6" t="n">
        <v>2</v>
      </c>
      <c r="M39" s="30" t="n">
        <v>656378.0600000001</v>
      </c>
      <c r="N39" s="30" t="n">
        <v>9379113.07</v>
      </c>
    </row>
    <row r="40">
      <c r="A40" s="8" t="inlineStr">
        <is>
          <t>53</t>
        </is>
      </c>
      <c r="B40" s="8" t="inlineStr">
        <is>
          <t>C1076-Q9592</t>
        </is>
      </c>
      <c r="C40" s="8" t="inlineStr">
        <is>
          <t>Huancabamba</t>
        </is>
      </c>
      <c r="D40" s="8" t="inlineStr">
        <is>
          <t>Huarmaca</t>
        </is>
      </c>
      <c r="E40" s="15" t="n">
        <v>13.065</v>
      </c>
      <c r="F40" s="8" t="n">
        <v>1</v>
      </c>
      <c r="G40" s="15" t="n">
        <v>12.033</v>
      </c>
      <c r="H40" s="31" t="n">
        <v>0.5963000000000001</v>
      </c>
      <c r="I40" s="15" t="n">
        <v>1.626</v>
      </c>
      <c r="J40" s="8" t="inlineStr">
        <is>
          <t>Matorral andino</t>
        </is>
      </c>
      <c r="K40" s="16" t="n">
        <v>1</v>
      </c>
      <c r="L40" s="8" t="n">
        <v>1</v>
      </c>
      <c r="M40" s="32" t="n">
        <v>666574</v>
      </c>
      <c r="N40" s="32" t="n">
        <v>9395911.289999999</v>
      </c>
    </row>
    <row r="41">
      <c r="A41" s="6" t="inlineStr">
        <is>
          <t>69</t>
        </is>
      </c>
      <c r="B41" s="6" t="inlineStr">
        <is>
          <t>C1076-Q9592</t>
        </is>
      </c>
      <c r="C41" s="6" t="inlineStr">
        <is>
          <t>Huancabamba</t>
        </is>
      </c>
      <c r="D41" s="6" t="inlineStr">
        <is>
          <t>Huarmaca</t>
        </is>
      </c>
      <c r="E41" s="11" t="n">
        <v>19.425</v>
      </c>
      <c r="F41" s="6" t="n">
        <v>1</v>
      </c>
      <c r="G41" s="11" t="n">
        <v>11.057</v>
      </c>
      <c r="H41" s="29" t="n">
        <v>0.4489</v>
      </c>
      <c r="I41" s="11" t="n">
        <v>15.788</v>
      </c>
      <c r="J41" s="6" t="inlineStr">
        <is>
          <t>Matorral andino</t>
        </is>
      </c>
      <c r="K41" s="12" t="n">
        <v>0.9797</v>
      </c>
      <c r="L41" s="6" t="n">
        <v>2</v>
      </c>
      <c r="M41" s="30" t="n">
        <v>663099.3100000001</v>
      </c>
      <c r="N41" s="30" t="n">
        <v>9392299.880000001</v>
      </c>
    </row>
    <row r="42">
      <c r="A42" s="8" t="inlineStr">
        <is>
          <t>70</t>
        </is>
      </c>
      <c r="B42" s="8" t="inlineStr">
        <is>
          <t>C1076-Q9592</t>
        </is>
      </c>
      <c r="C42" s="8" t="inlineStr">
        <is>
          <t>Huancabamba</t>
        </is>
      </c>
      <c r="D42" s="8" t="inlineStr">
        <is>
          <t>Huarmaca</t>
        </is>
      </c>
      <c r="E42" s="15" t="n">
        <v>22.388</v>
      </c>
      <c r="F42" s="8" t="n">
        <v>1</v>
      </c>
      <c r="G42" s="15" t="n">
        <v>59.063</v>
      </c>
      <c r="H42" s="31" t="n">
        <v>0.6223</v>
      </c>
      <c r="I42" s="15" t="n">
        <v>1.09</v>
      </c>
      <c r="J42" s="8" t="inlineStr">
        <is>
          <t>Matorral andino</t>
        </is>
      </c>
      <c r="K42" s="16" t="n">
        <v>0.9883</v>
      </c>
      <c r="L42" s="8" t="n">
        <v>1</v>
      </c>
      <c r="M42" s="32" t="n">
        <v>666811.59</v>
      </c>
      <c r="N42" s="32" t="n">
        <v>9395574</v>
      </c>
    </row>
    <row r="43">
      <c r="A43" s="6" t="inlineStr">
        <is>
          <t>71</t>
        </is>
      </c>
      <c r="B43" s="6" t="inlineStr">
        <is>
          <t>C1076-Q9593</t>
        </is>
      </c>
      <c r="C43" s="6" t="inlineStr">
        <is>
          <t>Huancabamba</t>
        </is>
      </c>
      <c r="D43" s="6" t="inlineStr">
        <is>
          <t>Huarmaca</t>
        </is>
      </c>
      <c r="E43" s="11" t="n">
        <v>10.673</v>
      </c>
      <c r="F43" s="6" t="n">
        <v>1</v>
      </c>
      <c r="G43" s="11" t="n">
        <v>26.937</v>
      </c>
      <c r="H43" s="29" t="n">
        <v>0.5571</v>
      </c>
      <c r="I43" s="11" t="n">
        <v>2.768</v>
      </c>
      <c r="J43" s="6" t="inlineStr">
        <is>
          <t>Matorral andino</t>
        </is>
      </c>
      <c r="K43" s="12" t="n">
        <v>1</v>
      </c>
      <c r="L43" s="6" t="n">
        <v>1</v>
      </c>
      <c r="M43" s="30" t="n">
        <v>651960.33</v>
      </c>
      <c r="N43" s="30" t="n">
        <v>9373017.109999999</v>
      </c>
    </row>
    <row r="44">
      <c r="A44" s="8" t="inlineStr">
        <is>
          <t>72</t>
        </is>
      </c>
      <c r="B44" s="8" t="inlineStr">
        <is>
          <t>C1076-Q9592</t>
        </is>
      </c>
      <c r="C44" s="8" t="inlineStr">
        <is>
          <t>Huancabamba</t>
        </is>
      </c>
      <c r="D44" s="8" t="inlineStr">
        <is>
          <t>Huarmaca</t>
        </is>
      </c>
      <c r="E44" s="15" t="n">
        <v>12.398</v>
      </c>
      <c r="F44" s="8" t="n">
        <v>1</v>
      </c>
      <c r="G44" s="15" t="n">
        <v>14.006</v>
      </c>
      <c r="H44" s="31" t="n">
        <v>0.5185</v>
      </c>
      <c r="I44" s="15" t="n">
        <v>5.127</v>
      </c>
      <c r="J44" s="8" t="inlineStr">
        <is>
          <t>Zona agrícola</t>
        </is>
      </c>
      <c r="K44" s="16" t="n">
        <v>1</v>
      </c>
      <c r="L44" s="8" t="n">
        <v>1</v>
      </c>
      <c r="M44" s="32" t="n">
        <v>662223.47</v>
      </c>
      <c r="N44" s="32" t="n">
        <v>9391201.27</v>
      </c>
    </row>
    <row r="45">
      <c r="A45" s="6" t="inlineStr">
        <is>
          <t>73</t>
        </is>
      </c>
      <c r="B45" s="6" t="inlineStr">
        <is>
          <t>C1076-Q9592</t>
        </is>
      </c>
      <c r="C45" s="6" t="inlineStr">
        <is>
          <t>Huancabamba</t>
        </is>
      </c>
      <c r="D45" s="6" t="inlineStr">
        <is>
          <t>Huarmaca</t>
        </is>
      </c>
      <c r="E45" s="11" t="n">
        <v>54.29</v>
      </c>
      <c r="F45" s="6" t="n">
        <v>1</v>
      </c>
      <c r="G45" s="11" t="n">
        <v>224.449</v>
      </c>
      <c r="H45" s="29" t="n">
        <v>0.555</v>
      </c>
      <c r="I45" s="11" t="n">
        <v>10.28</v>
      </c>
      <c r="J45" s="6" t="inlineStr">
        <is>
          <t>Zona agrícola</t>
        </is>
      </c>
      <c r="K45" s="12" t="n">
        <v>1</v>
      </c>
      <c r="L45" s="6" t="n">
        <v>1</v>
      </c>
      <c r="M45" s="30" t="n">
        <v>658536.89</v>
      </c>
      <c r="N45" s="30" t="n">
        <v>9395600.82</v>
      </c>
    </row>
    <row r="46">
      <c r="A46" s="8" t="inlineStr">
        <is>
          <t>76</t>
        </is>
      </c>
      <c r="B46" s="8" t="inlineStr">
        <is>
          <t>C1076-Q9593</t>
        </is>
      </c>
      <c r="C46" s="8" t="inlineStr">
        <is>
          <t>Huancabamba</t>
        </is>
      </c>
      <c r="D46" s="8" t="inlineStr">
        <is>
          <t>Huarmaca</t>
        </is>
      </c>
      <c r="E46" s="15" t="n">
        <v>19.615</v>
      </c>
      <c r="F46" s="8" t="n">
        <v>1</v>
      </c>
      <c r="G46" s="15" t="n">
        <v>26.165</v>
      </c>
      <c r="H46" s="31" t="n">
        <v>0.4925</v>
      </c>
      <c r="I46" s="15" t="n">
        <v>10.62</v>
      </c>
      <c r="J46" s="8" t="inlineStr">
        <is>
          <t>Zona agrícola</t>
        </is>
      </c>
      <c r="K46" s="16" t="n">
        <v>1</v>
      </c>
      <c r="L46" s="8" t="n">
        <v>2</v>
      </c>
      <c r="M46" s="32" t="n">
        <v>657990.11</v>
      </c>
      <c r="N46" s="32" t="n">
        <v>9377499.23</v>
      </c>
    </row>
    <row r="47">
      <c r="A47" s="6" t="inlineStr">
        <is>
          <t>8</t>
        </is>
      </c>
      <c r="B47" s="6" t="inlineStr">
        <is>
          <t>C1076-Q9593</t>
        </is>
      </c>
      <c r="C47" s="6" t="inlineStr">
        <is>
          <t>Huancabamba</t>
        </is>
      </c>
      <c r="D47" s="6" t="inlineStr">
        <is>
          <t>Huarmaca</t>
        </is>
      </c>
      <c r="E47" s="11" t="n">
        <v>126.952</v>
      </c>
      <c r="F47" s="6" t="n">
        <v>4</v>
      </c>
      <c r="G47" s="11" t="n">
        <v>158.855</v>
      </c>
      <c r="H47" s="29" t="n">
        <v>0.5548</v>
      </c>
      <c r="I47" s="11" t="n">
        <v>36.059</v>
      </c>
      <c r="J47" s="6" t="inlineStr">
        <is>
          <t>Matorral andino</t>
        </is>
      </c>
      <c r="K47" s="12" t="n">
        <v>0.9596</v>
      </c>
      <c r="L47" s="6" t="n">
        <v>1</v>
      </c>
      <c r="M47" s="30" t="n">
        <v>651540.79</v>
      </c>
      <c r="N47" s="30" t="n">
        <v>9373258.33</v>
      </c>
    </row>
    <row r="48">
      <c r="A48" s="8" t="inlineStr">
        <is>
          <t>80</t>
        </is>
      </c>
      <c r="B48" s="8" t="inlineStr">
        <is>
          <t>C1076-Q9593</t>
        </is>
      </c>
      <c r="C48" s="8" t="inlineStr">
        <is>
          <t>Huancabamba</t>
        </is>
      </c>
      <c r="D48" s="8" t="inlineStr">
        <is>
          <t>Huarmaca</t>
        </is>
      </c>
      <c r="E48" s="15" t="n">
        <v>28.83</v>
      </c>
      <c r="F48" s="8" t="n">
        <v>1</v>
      </c>
      <c r="G48" s="15" t="n">
        <v>23.233</v>
      </c>
      <c r="H48" s="31" t="n">
        <v>0.5931</v>
      </c>
      <c r="I48" s="15" t="n">
        <v>4.867</v>
      </c>
      <c r="J48" s="8" t="inlineStr">
        <is>
          <t>Zona agrícola</t>
        </is>
      </c>
      <c r="K48" s="16" t="n">
        <v>1</v>
      </c>
      <c r="L48" s="8" t="n">
        <v>2</v>
      </c>
      <c r="M48" s="32" t="n">
        <v>657165.54</v>
      </c>
      <c r="N48" s="32" t="n">
        <v>9373064.789999999</v>
      </c>
    </row>
    <row r="49">
      <c r="A49" s="6" t="inlineStr">
        <is>
          <t>M12B1</t>
        </is>
      </c>
      <c r="B49" s="6" t="inlineStr">
        <is>
          <t>C1076-Q9588</t>
        </is>
      </c>
      <c r="C49" s="6" t="inlineStr">
        <is>
          <t>Huancabamba</t>
        </is>
      </c>
      <c r="D49" s="6" t="inlineStr">
        <is>
          <t>Huarmaca</t>
        </is>
      </c>
      <c r="E49" s="11" t="n">
        <v>268.393</v>
      </c>
      <c r="F49" s="6" t="n">
        <v>1</v>
      </c>
      <c r="G49" s="11" t="n">
        <v>115.668</v>
      </c>
      <c r="H49" s="29" t="n">
        <v>0.3475</v>
      </c>
      <c r="I49" s="11" t="n">
        <v>259.309</v>
      </c>
      <c r="J49" s="6" t="inlineStr">
        <is>
          <t>Bosque estacionalmente seco de colina y montaña</t>
        </is>
      </c>
      <c r="K49" s="12" t="n">
        <v>0.9998</v>
      </c>
      <c r="L49" s="6" t="n">
        <v>2</v>
      </c>
      <c r="M49" s="30" t="n">
        <v>644414.91</v>
      </c>
      <c r="N49" s="30" t="n">
        <v>9389059.949999999</v>
      </c>
    </row>
    <row r="50">
      <c r="A50" s="8" t="inlineStr">
        <is>
          <t>M4B3</t>
        </is>
      </c>
      <c r="B50" s="8" t="inlineStr">
        <is>
          <t>C1076-Q9589</t>
        </is>
      </c>
      <c r="C50" s="8" t="inlineStr">
        <is>
          <t>Huancabamba</t>
        </is>
      </c>
      <c r="D50" s="8" t="inlineStr">
        <is>
          <t>Huarmaca</t>
        </is>
      </c>
      <c r="E50" s="15" t="n">
        <v>234.069</v>
      </c>
      <c r="F50" s="8" t="n">
        <v>1</v>
      </c>
      <c r="G50" s="15" t="n">
        <v>69.29900000000001</v>
      </c>
      <c r="H50" s="31" t="n">
        <v>0.3222</v>
      </c>
      <c r="I50" s="15" t="n">
        <v>230.774</v>
      </c>
      <c r="J50" s="8" t="inlineStr">
        <is>
          <t>Bosque estacionalmente seco de colina y montaña</t>
        </is>
      </c>
      <c r="K50" s="16" t="n">
        <v>1</v>
      </c>
      <c r="L50" s="8" t="n">
        <v>1</v>
      </c>
      <c r="M50" s="32" t="n">
        <v>643550.61</v>
      </c>
      <c r="N50" s="32" t="n">
        <v>9385676.609999999</v>
      </c>
    </row>
    <row r="51">
      <c r="A51" s="6" t="inlineStr">
        <is>
          <t>M4B4</t>
        </is>
      </c>
      <c r="B51" s="6" t="inlineStr">
        <is>
          <t>C1076-Q9589</t>
        </is>
      </c>
      <c r="C51" s="6" t="inlineStr">
        <is>
          <t>Huancabamba</t>
        </is>
      </c>
      <c r="D51" s="6" t="inlineStr">
        <is>
          <t>Huarmaca</t>
        </is>
      </c>
      <c r="E51" s="11" t="n">
        <v>289.914</v>
      </c>
      <c r="F51" s="6" t="n">
        <v>1</v>
      </c>
      <c r="G51" s="11" t="n">
        <v>203.16</v>
      </c>
      <c r="H51" s="29" t="n">
        <v>0.3198</v>
      </c>
      <c r="I51" s="11" t="n">
        <v>287.696</v>
      </c>
      <c r="J51" s="6" t="inlineStr">
        <is>
          <t>Bosque estacionalmente seco de colina y montaña</t>
        </is>
      </c>
      <c r="K51" s="12" t="n">
        <v>1</v>
      </c>
      <c r="L51" s="6" t="n">
        <v>2</v>
      </c>
      <c r="M51" s="30" t="n">
        <v>642857.39</v>
      </c>
      <c r="N51" s="30" t="n">
        <v>9388563.939999999</v>
      </c>
    </row>
    <row r="52">
      <c r="A52" s="8" t="inlineStr">
        <is>
          <t>26</t>
        </is>
      </c>
      <c r="B52" s="8" t="inlineStr">
        <is>
          <t>C1081-Q9591</t>
        </is>
      </c>
      <c r="C52" s="8" t="inlineStr">
        <is>
          <t>Huancabamba</t>
        </is>
      </c>
      <c r="D52" s="8" t="inlineStr">
        <is>
          <t>Lalaquiz</t>
        </is>
      </c>
      <c r="E52" s="15" t="n">
        <v>46.962</v>
      </c>
      <c r="F52" s="8" t="n">
        <v>1</v>
      </c>
      <c r="G52" s="15" t="n">
        <v>66.72199999999999</v>
      </c>
      <c r="H52" s="31" t="n">
        <v>0.6733</v>
      </c>
      <c r="I52" s="15" t="n">
        <v>1.102</v>
      </c>
      <c r="J52" s="8" t="inlineStr">
        <is>
          <t>Zona agrícola</t>
        </is>
      </c>
      <c r="K52" s="16" t="n">
        <v>1</v>
      </c>
      <c r="L52" s="8" t="n">
        <v>1</v>
      </c>
      <c r="M52" s="32" t="n">
        <v>649569.34</v>
      </c>
      <c r="N52" s="32" t="n">
        <v>9425681.609999999</v>
      </c>
    </row>
    <row r="53">
      <c r="A53" s="6" t="inlineStr">
        <is>
          <t>34</t>
        </is>
      </c>
      <c r="B53" s="6" t="inlineStr">
        <is>
          <t>C1081-Q9590</t>
        </is>
      </c>
      <c r="C53" s="6" t="inlineStr">
        <is>
          <t>Huancabamba</t>
        </is>
      </c>
      <c r="D53" s="6" t="inlineStr">
        <is>
          <t>Lalaquiz</t>
        </is>
      </c>
      <c r="E53" s="11" t="n">
        <v>28.45</v>
      </c>
      <c r="F53" s="6" t="n">
        <v>1</v>
      </c>
      <c r="G53" s="11" t="n">
        <v>26.86</v>
      </c>
      <c r="H53" s="29" t="n">
        <v>0.649</v>
      </c>
      <c r="I53" s="11" t="n">
        <v>0.05</v>
      </c>
      <c r="J53" s="6" t="inlineStr">
        <is>
          <t>Zona agrícola</t>
        </is>
      </c>
      <c r="K53" s="12" t="n">
        <v>0.9467</v>
      </c>
      <c r="L53" s="6" t="n">
        <v>2</v>
      </c>
      <c r="M53" s="30" t="n">
        <v>646450.15</v>
      </c>
      <c r="N53" s="30" t="n">
        <v>9426319.5</v>
      </c>
    </row>
    <row r="54">
      <c r="A54" s="8" t="inlineStr">
        <is>
          <t>37</t>
        </is>
      </c>
      <c r="B54" s="8" t="inlineStr">
        <is>
          <t>C1081-Q9591</t>
        </is>
      </c>
      <c r="C54" s="8" t="inlineStr">
        <is>
          <t>Huancabamba</t>
        </is>
      </c>
      <c r="D54" s="8" t="inlineStr">
        <is>
          <t>Lalaquiz</t>
        </is>
      </c>
      <c r="E54" s="15" t="n">
        <v>35.491</v>
      </c>
      <c r="F54" s="8" t="n">
        <v>1</v>
      </c>
      <c r="G54" s="15" t="n">
        <v>69.253</v>
      </c>
      <c r="H54" s="31" t="n">
        <v>0.6588000000000001</v>
      </c>
      <c r="I54" s="15" t="n">
        <v>0.68</v>
      </c>
      <c r="J54" s="8" t="inlineStr">
        <is>
          <t>Matorral andino</t>
        </is>
      </c>
      <c r="K54" s="16" t="n">
        <v>0.5998</v>
      </c>
      <c r="L54" s="8" t="n">
        <v>1</v>
      </c>
      <c r="M54" s="32" t="n">
        <v>649069.46</v>
      </c>
      <c r="N54" s="32" t="n">
        <v>9424500.380000001</v>
      </c>
    </row>
    <row r="55">
      <c r="A55" s="6" t="inlineStr">
        <is>
          <t>38</t>
        </is>
      </c>
      <c r="B55" s="6" t="inlineStr">
        <is>
          <t>C1081-Q9590</t>
        </is>
      </c>
      <c r="C55" s="6" t="inlineStr">
        <is>
          <t>Huancabamba</t>
        </is>
      </c>
      <c r="D55" s="6" t="inlineStr">
        <is>
          <t>Lalaquiz</t>
        </is>
      </c>
      <c r="E55" s="11" t="n">
        <v>44.201</v>
      </c>
      <c r="F55" s="6" t="n">
        <v>1</v>
      </c>
      <c r="G55" s="11" t="n">
        <v>46.241</v>
      </c>
      <c r="H55" s="29" t="n">
        <v>0.6725</v>
      </c>
      <c r="I55" s="11" t="n">
        <v>0.181</v>
      </c>
      <c r="J55" s="6" t="inlineStr">
        <is>
          <t>Zona agrícola</t>
        </is>
      </c>
      <c r="K55" s="12" t="n">
        <v>0.898</v>
      </c>
      <c r="L55" s="6" t="n">
        <v>1</v>
      </c>
      <c r="M55" s="30" t="n">
        <v>647241.1</v>
      </c>
      <c r="N55" s="30" t="n">
        <v>9427602.189999999</v>
      </c>
    </row>
    <row r="56">
      <c r="A56" s="8" t="inlineStr">
        <is>
          <t>50</t>
        </is>
      </c>
      <c r="B56" s="8" t="inlineStr">
        <is>
          <t>C1081-Q9590</t>
        </is>
      </c>
      <c r="C56" s="8" t="inlineStr">
        <is>
          <t>Huancabamba</t>
        </is>
      </c>
      <c r="D56" s="8" t="inlineStr">
        <is>
          <t>Lalaquiz</t>
        </is>
      </c>
      <c r="E56" s="15" t="n">
        <v>19.266</v>
      </c>
      <c r="F56" s="8" t="n">
        <v>2</v>
      </c>
      <c r="G56" s="15" t="n">
        <v>11.923</v>
      </c>
      <c r="H56" s="31" t="n">
        <v>0.6831</v>
      </c>
      <c r="I56" s="15" t="n">
        <v>0.06900000000000001</v>
      </c>
      <c r="J56" s="8" t="inlineStr">
        <is>
          <t>Matorral andino</t>
        </is>
      </c>
      <c r="K56" s="16" t="n">
        <v>0.9576</v>
      </c>
      <c r="L56" s="8" t="n">
        <v>0</v>
      </c>
      <c r="M56" s="32" t="n">
        <v>647441.64</v>
      </c>
      <c r="N56" s="32" t="n">
        <v>9427268.52</v>
      </c>
    </row>
    <row r="57">
      <c r="A57" s="6" t="inlineStr">
        <is>
          <t>61</t>
        </is>
      </c>
      <c r="B57" s="6" t="inlineStr">
        <is>
          <t>C1081-Q9590</t>
        </is>
      </c>
      <c r="C57" s="6" t="inlineStr">
        <is>
          <t>Huancabamba</t>
        </is>
      </c>
      <c r="D57" s="6" t="inlineStr">
        <is>
          <t>Lalaquiz</t>
        </is>
      </c>
      <c r="E57" s="11" t="n">
        <v>26.826</v>
      </c>
      <c r="F57" s="6" t="n">
        <v>1</v>
      </c>
      <c r="G57" s="11" t="n">
        <v>19.691</v>
      </c>
      <c r="H57" s="29" t="n">
        <v>0.6112</v>
      </c>
      <c r="I57" s="11" t="n">
        <v>5.66</v>
      </c>
      <c r="J57" s="6" t="inlineStr">
        <is>
          <t>Zona agrícola</t>
        </is>
      </c>
      <c r="K57" s="12" t="n">
        <v>0.5214</v>
      </c>
      <c r="L57" s="6" t="n">
        <v>1</v>
      </c>
      <c r="M57" s="30" t="n">
        <v>646236.91</v>
      </c>
      <c r="N57" s="30" t="n">
        <v>9425050.66</v>
      </c>
    </row>
    <row r="58">
      <c r="A58" s="8" t="inlineStr">
        <is>
          <t>35</t>
        </is>
      </c>
      <c r="B58" s="8" t="inlineStr">
        <is>
          <t>C1076-Q9586</t>
        </is>
      </c>
      <c r="C58" s="8" t="inlineStr">
        <is>
          <t>Huancabamba</t>
        </is>
      </c>
      <c r="D58" s="8" t="inlineStr">
        <is>
          <t>San Miguel de El Faique</t>
        </is>
      </c>
      <c r="E58" s="15" t="n">
        <v>30.804</v>
      </c>
      <c r="F58" s="8" t="n">
        <v>1</v>
      </c>
      <c r="G58" s="15" t="n">
        <v>27.638</v>
      </c>
      <c r="H58" s="31" t="n">
        <v>0.6245000000000001</v>
      </c>
      <c r="I58" s="15" t="n">
        <v>0.366</v>
      </c>
      <c r="J58" s="8" t="inlineStr">
        <is>
          <t>Zona agrícola</t>
        </is>
      </c>
      <c r="K58" s="16" t="n">
        <v>1</v>
      </c>
      <c r="L58" s="8" t="n">
        <v>2</v>
      </c>
      <c r="M58" s="32" t="n">
        <v>654633.3199999999</v>
      </c>
      <c r="N58" s="32" t="n">
        <v>9395069.390000001</v>
      </c>
    </row>
    <row r="59">
      <c r="A59" s="6" t="inlineStr">
        <is>
          <t>43</t>
        </is>
      </c>
      <c r="B59" s="6" t="inlineStr">
        <is>
          <t>C1076-Q9586</t>
        </is>
      </c>
      <c r="C59" s="6" t="inlineStr">
        <is>
          <t>Huancabamba</t>
        </is>
      </c>
      <c r="D59" s="6" t="inlineStr">
        <is>
          <t>San Miguel de El Faique</t>
        </is>
      </c>
      <c r="E59" s="11" t="n">
        <v>23.171</v>
      </c>
      <c r="F59" s="6" t="n">
        <v>1</v>
      </c>
      <c r="G59" s="11" t="n">
        <v>27.162</v>
      </c>
      <c r="H59" s="29" t="n">
        <v>0.5515</v>
      </c>
      <c r="I59" s="11" t="n">
        <v>4.931</v>
      </c>
      <c r="J59" s="6" t="inlineStr">
        <is>
          <t>Zona agrícola</t>
        </is>
      </c>
      <c r="K59" s="12" t="n">
        <v>1</v>
      </c>
      <c r="L59" s="6" t="n">
        <v>2</v>
      </c>
      <c r="M59" s="30" t="n">
        <v>656491.67</v>
      </c>
      <c r="N59" s="30" t="n">
        <v>9395400.529999999</v>
      </c>
    </row>
    <row r="60">
      <c r="A60" s="8" t="inlineStr">
        <is>
          <t>44</t>
        </is>
      </c>
      <c r="B60" s="8" t="inlineStr">
        <is>
          <t>C1076-Q9586</t>
        </is>
      </c>
      <c r="C60" s="8" t="inlineStr">
        <is>
          <t>Huancabamba</t>
        </is>
      </c>
      <c r="D60" s="8" t="inlineStr">
        <is>
          <t>San Miguel de El Faique</t>
        </is>
      </c>
      <c r="E60" s="15" t="n">
        <v>28.234</v>
      </c>
      <c r="F60" s="8" t="n">
        <v>1</v>
      </c>
      <c r="G60" s="15" t="n">
        <v>36.99</v>
      </c>
      <c r="H60" s="31" t="n">
        <v>0.5113</v>
      </c>
      <c r="I60" s="15" t="n">
        <v>14.699</v>
      </c>
      <c r="J60" s="8" t="inlineStr">
        <is>
          <t>Páramo</t>
        </is>
      </c>
      <c r="K60" s="16" t="n">
        <v>0.9524</v>
      </c>
      <c r="L60" s="8" t="n">
        <v>1</v>
      </c>
      <c r="M60" s="32" t="n">
        <v>663702.75</v>
      </c>
      <c r="N60" s="32" t="n">
        <v>9400645.43</v>
      </c>
    </row>
    <row r="61">
      <c r="A61" s="6" t="inlineStr">
        <is>
          <t>47</t>
        </is>
      </c>
      <c r="B61" s="6" t="inlineStr">
        <is>
          <t>C1076-Q9586</t>
        </is>
      </c>
      <c r="C61" s="6" t="inlineStr">
        <is>
          <t>Huancabamba</t>
        </is>
      </c>
      <c r="D61" s="6" t="inlineStr">
        <is>
          <t>San Miguel de El Faique</t>
        </is>
      </c>
      <c r="E61" s="11" t="n">
        <v>13.551</v>
      </c>
      <c r="F61" s="6" t="n">
        <v>1</v>
      </c>
      <c r="G61" s="11" t="n">
        <v>31.42</v>
      </c>
      <c r="H61" s="29" t="n">
        <v>0.5936</v>
      </c>
      <c r="I61" s="11" t="n">
        <v>1.334</v>
      </c>
      <c r="J61" s="6" t="inlineStr">
        <is>
          <t>Matorral andino</t>
        </is>
      </c>
      <c r="K61" s="12" t="n">
        <v>0.5406</v>
      </c>
      <c r="L61" s="6" t="n">
        <v>1</v>
      </c>
      <c r="M61" s="30" t="n">
        <v>659608.55</v>
      </c>
      <c r="N61" s="30" t="n">
        <v>9401440.85</v>
      </c>
    </row>
    <row r="62">
      <c r="A62" s="8" t="inlineStr">
        <is>
          <t>67</t>
        </is>
      </c>
      <c r="B62" s="8" t="inlineStr">
        <is>
          <t>C1076-Q9586</t>
        </is>
      </c>
      <c r="C62" s="8" t="inlineStr">
        <is>
          <t>Huancabamba</t>
        </is>
      </c>
      <c r="D62" s="8" t="inlineStr">
        <is>
          <t>San Miguel de El Faique</t>
        </is>
      </c>
      <c r="E62" s="15" t="n">
        <v>13.184</v>
      </c>
      <c r="F62" s="8" t="n">
        <v>1</v>
      </c>
      <c r="G62" s="15" t="n">
        <v>49.191</v>
      </c>
      <c r="H62" s="31" t="n">
        <v>0.6052999999999999</v>
      </c>
      <c r="I62" s="15" t="n">
        <v>0.279</v>
      </c>
      <c r="J62" s="8" t="inlineStr">
        <is>
          <t>Zona agrícola</t>
        </is>
      </c>
      <c r="K62" s="16" t="n">
        <v>0.9303</v>
      </c>
      <c r="L62" s="8" t="n">
        <v>1</v>
      </c>
      <c r="M62" s="32" t="n">
        <v>654232.77</v>
      </c>
      <c r="N62" s="32" t="n">
        <v>9394209.57</v>
      </c>
    </row>
    <row r="63">
      <c r="A63" s="6" t="inlineStr">
        <is>
          <t>9</t>
        </is>
      </c>
      <c r="B63" s="6" t="inlineStr">
        <is>
          <t>C1076-Q9586</t>
        </is>
      </c>
      <c r="C63" s="6" t="inlineStr">
        <is>
          <t>Huancabamba</t>
        </is>
      </c>
      <c r="D63" s="6" t="inlineStr">
        <is>
          <t>San Miguel de El Faique</t>
        </is>
      </c>
      <c r="E63" s="11" t="n">
        <v>109.861</v>
      </c>
      <c r="F63" s="6" t="n">
        <v>1</v>
      </c>
      <c r="G63" s="11" t="n">
        <v>197.005</v>
      </c>
      <c r="H63" s="29" t="n">
        <v>0.5745</v>
      </c>
      <c r="I63" s="11" t="n">
        <v>12.836</v>
      </c>
      <c r="J63" s="6" t="inlineStr">
        <is>
          <t>Zona agrícola</t>
        </is>
      </c>
      <c r="K63" s="12" t="n">
        <v>1</v>
      </c>
      <c r="L63" s="6" t="n">
        <v>2</v>
      </c>
      <c r="M63" s="30" t="n">
        <v>656722.1899999999</v>
      </c>
      <c r="N63" s="30" t="n">
        <v>9397738.369999999</v>
      </c>
    </row>
    <row r="64">
      <c r="A64" s="8" t="inlineStr">
        <is>
          <t>M20B1</t>
        </is>
      </c>
      <c r="B64" s="8" t="inlineStr">
        <is>
          <t>C1076-Q9585</t>
        </is>
      </c>
      <c r="C64" s="8" t="inlineStr">
        <is>
          <t>Huancabamba</t>
        </is>
      </c>
      <c r="D64" s="8" t="inlineStr">
        <is>
          <t>San Miguel de El Faique</t>
        </is>
      </c>
      <c r="E64" s="15" t="n">
        <v>279.68</v>
      </c>
      <c r="F64" s="8" t="n">
        <v>1</v>
      </c>
      <c r="G64" s="15" t="n">
        <v>123.202</v>
      </c>
      <c r="H64" s="31" t="n">
        <v>0.3553</v>
      </c>
      <c r="I64" s="15" t="n">
        <v>271.804</v>
      </c>
      <c r="J64" s="8" t="inlineStr">
        <is>
          <t>Bosque estacionalmente seco de colina y montaña</t>
        </is>
      </c>
      <c r="K64" s="16" t="n">
        <v>0.9908</v>
      </c>
      <c r="L64" s="8" t="n">
        <v>1</v>
      </c>
      <c r="M64" s="32" t="n">
        <v>641941.2</v>
      </c>
      <c r="N64" s="32" t="n">
        <v>9398636.970000001</v>
      </c>
    </row>
    <row r="65">
      <c r="A65" s="6" t="inlineStr">
        <is>
          <t>M22B1</t>
        </is>
      </c>
      <c r="B65" s="6" t="inlineStr">
        <is>
          <t>C1076-Q9586</t>
        </is>
      </c>
      <c r="C65" s="6" t="inlineStr">
        <is>
          <t>Huancabamba</t>
        </is>
      </c>
      <c r="D65" s="6" t="inlineStr">
        <is>
          <t>San Miguel de El Faique</t>
        </is>
      </c>
      <c r="E65" s="11" t="n">
        <v>55.17</v>
      </c>
      <c r="F65" s="6" t="n">
        <v>2</v>
      </c>
      <c r="G65" s="11" t="n">
        <v>25.251</v>
      </c>
      <c r="H65" s="29" t="n">
        <v>0.594</v>
      </c>
      <c r="I65" s="11" t="n">
        <v>2.264</v>
      </c>
      <c r="J65" s="6" t="inlineStr">
        <is>
          <t>Páramo</t>
        </is>
      </c>
      <c r="K65" s="12" t="n">
        <v>0.8138</v>
      </c>
      <c r="L65" s="6" t="n">
        <v>1</v>
      </c>
      <c r="M65" s="30" t="n">
        <v>664142.6800000001</v>
      </c>
      <c r="N65" s="30" t="n">
        <v>9404163.300000001</v>
      </c>
    </row>
    <row r="66">
      <c r="A66" s="8" t="inlineStr">
        <is>
          <t>M2B8</t>
        </is>
      </c>
      <c r="B66" s="8" t="inlineStr">
        <is>
          <t>C1076-Q9584</t>
        </is>
      </c>
      <c r="C66" s="8" t="inlineStr">
        <is>
          <t>Huancabamba</t>
        </is>
      </c>
      <c r="D66" s="8" t="inlineStr">
        <is>
          <t>San Miguel de El Faique</t>
        </is>
      </c>
      <c r="E66" s="15" t="n">
        <v>116.099</v>
      </c>
      <c r="F66" s="8" t="n">
        <v>1</v>
      </c>
      <c r="G66" s="15" t="n">
        <v>157.389</v>
      </c>
      <c r="H66" s="31" t="n">
        <v>0.3752</v>
      </c>
      <c r="I66" s="15" t="n">
        <v>107.174</v>
      </c>
      <c r="J66" s="8" t="inlineStr">
        <is>
          <t>Bosque estacionalmente seco de colina y montaña</t>
        </is>
      </c>
      <c r="K66" s="16" t="n">
        <v>1</v>
      </c>
      <c r="L66" s="8" t="n">
        <v>2</v>
      </c>
      <c r="M66" s="32" t="n">
        <v>638994.24</v>
      </c>
      <c r="N66" s="32" t="n">
        <v>9398334.84</v>
      </c>
    </row>
    <row r="67">
      <c r="A67" s="6" t="inlineStr">
        <is>
          <t>5</t>
        </is>
      </c>
      <c r="B67" s="6" t="inlineStr">
        <is>
          <t>C1077-Q9566</t>
        </is>
      </c>
      <c r="C67" s="6" t="inlineStr">
        <is>
          <t>Morropón</t>
        </is>
      </c>
      <c r="D67" s="6" t="inlineStr">
        <is>
          <t>Buenos Aires</t>
        </is>
      </c>
      <c r="E67" s="11" t="n">
        <v>295.726</v>
      </c>
      <c r="F67" s="6" t="n">
        <v>1</v>
      </c>
      <c r="G67" s="11" t="n">
        <v>375.252</v>
      </c>
      <c r="H67" s="29" t="n">
        <v>0.3394</v>
      </c>
      <c r="I67" s="11" t="n">
        <v>295.281</v>
      </c>
      <c r="J67" s="6" t="inlineStr">
        <is>
          <t>Bosque estacionalmente seco de colina y montaña</t>
        </is>
      </c>
      <c r="K67" s="12" t="n">
        <v>1</v>
      </c>
      <c r="L67" s="6" t="n">
        <v>3</v>
      </c>
      <c r="M67" s="30" t="n">
        <v>618062.3199999999</v>
      </c>
      <c r="N67" s="30" t="n">
        <v>9413183.76</v>
      </c>
    </row>
    <row r="68">
      <c r="A68" s="8" t="inlineStr">
        <is>
          <t>M18B1</t>
        </is>
      </c>
      <c r="B68" s="8" t="inlineStr">
        <is>
          <t>C1077-Q9579</t>
        </is>
      </c>
      <c r="C68" s="8" t="inlineStr">
        <is>
          <t>Morropón</t>
        </is>
      </c>
      <c r="D68" s="8" t="inlineStr">
        <is>
          <t>Buenos Aires</t>
        </is>
      </c>
      <c r="E68" s="15" t="n">
        <v>160.36</v>
      </c>
      <c r="F68" s="8" t="n">
        <v>1</v>
      </c>
      <c r="G68" s="15" t="n">
        <v>163.941</v>
      </c>
      <c r="H68" s="31" t="n">
        <v>0.3343</v>
      </c>
      <c r="I68" s="15" t="n">
        <v>159.835</v>
      </c>
      <c r="J68" s="8" t="inlineStr">
        <is>
          <t>Bosque estacionalmente seco de colina y montaña</t>
        </is>
      </c>
      <c r="K68" s="16" t="n">
        <v>0.9923999999999999</v>
      </c>
      <c r="L68" s="8" t="n">
        <v>1</v>
      </c>
      <c r="M68" s="32" t="n">
        <v>621187.6</v>
      </c>
      <c r="N68" s="32" t="n">
        <v>9410409.77</v>
      </c>
    </row>
    <row r="69">
      <c r="A69" s="6" t="inlineStr">
        <is>
          <t>M1B1</t>
        </is>
      </c>
      <c r="B69" s="6" t="inlineStr">
        <is>
          <t>C1077-Q9580</t>
        </is>
      </c>
      <c r="C69" s="6" t="inlineStr">
        <is>
          <t>Morropón</t>
        </is>
      </c>
      <c r="D69" s="6" t="inlineStr">
        <is>
          <t>Buenos Aires</t>
        </is>
      </c>
      <c r="E69" s="11" t="n">
        <v>188.797</v>
      </c>
      <c r="F69" s="6" t="n">
        <v>1</v>
      </c>
      <c r="G69" s="11" t="n">
        <v>152.718</v>
      </c>
      <c r="H69" s="29" t="n">
        <v>0.3193</v>
      </c>
      <c r="I69" s="11" t="n">
        <v>187.627</v>
      </c>
      <c r="J69" s="6" t="inlineStr">
        <is>
          <t>Bosque estacionalmente seco de colina y montaña</t>
        </is>
      </c>
      <c r="K69" s="12" t="n">
        <v>1</v>
      </c>
      <c r="L69" s="6" t="n">
        <v>1</v>
      </c>
      <c r="M69" s="30" t="n">
        <v>617876.6</v>
      </c>
      <c r="N69" s="30" t="n">
        <v>9409175.310000001</v>
      </c>
    </row>
    <row r="70">
      <c r="A70" s="8" t="inlineStr">
        <is>
          <t>M6B10</t>
        </is>
      </c>
      <c r="B70" s="8" t="inlineStr">
        <is>
          <t>C1077-Q9566</t>
        </is>
      </c>
      <c r="C70" s="8" t="inlineStr">
        <is>
          <t>Morropón</t>
        </is>
      </c>
      <c r="D70" s="8" t="inlineStr">
        <is>
          <t>Buenos Aires</t>
        </is>
      </c>
      <c r="E70" s="15" t="n">
        <v>249.89</v>
      </c>
      <c r="F70" s="8" t="n">
        <v>1</v>
      </c>
      <c r="G70" s="15" t="n">
        <v>330.175</v>
      </c>
      <c r="H70" s="31" t="n">
        <v>0.3099</v>
      </c>
      <c r="I70" s="15" t="n">
        <v>249.454</v>
      </c>
      <c r="J70" s="8" t="inlineStr">
        <is>
          <t>Bosque estacionalmente seco de colina y montaña</t>
        </is>
      </c>
      <c r="K70" s="16" t="n">
        <v>1</v>
      </c>
      <c r="L70" s="8" t="n">
        <v>3</v>
      </c>
      <c r="M70" s="32" t="n">
        <v>618390.0600000001</v>
      </c>
      <c r="N70" s="32" t="n">
        <v>9423126.9</v>
      </c>
    </row>
    <row r="71">
      <c r="A71" s="6" t="inlineStr">
        <is>
          <t>M6B2-1</t>
        </is>
      </c>
      <c r="B71" s="6" t="inlineStr">
        <is>
          <t>C1077-Q9566</t>
        </is>
      </c>
      <c r="C71" s="6" t="inlineStr">
        <is>
          <t>Morropón</t>
        </is>
      </c>
      <c r="D71" s="6" t="inlineStr">
        <is>
          <t>Buenos Aires</t>
        </is>
      </c>
      <c r="E71" s="11" t="n">
        <v>514.359</v>
      </c>
      <c r="F71" s="6" t="n">
        <v>1</v>
      </c>
      <c r="G71" s="11" t="n">
        <v>1622.809</v>
      </c>
      <c r="H71" s="29" t="n">
        <v>0.3381</v>
      </c>
      <c r="I71" s="11" t="n">
        <v>509.148</v>
      </c>
      <c r="J71" s="6" t="inlineStr">
        <is>
          <t>Bosque estacionalmente seco de colina y montaña</t>
        </is>
      </c>
      <c r="K71" s="12" t="n">
        <v>1</v>
      </c>
      <c r="L71" s="6" t="n">
        <v>0</v>
      </c>
      <c r="M71" s="30" t="n">
        <v>613283.97</v>
      </c>
      <c r="N71" s="30" t="n">
        <v>9413294.869999999</v>
      </c>
    </row>
    <row r="72">
      <c r="A72" s="8" t="inlineStr">
        <is>
          <t>M6B2-2</t>
        </is>
      </c>
      <c r="B72" s="8" t="inlineStr">
        <is>
          <t>C1077-Q9566</t>
        </is>
      </c>
      <c r="C72" s="8" t="inlineStr">
        <is>
          <t>Morropón</t>
        </is>
      </c>
      <c r="D72" s="8" t="inlineStr">
        <is>
          <t>Buenos Aires</t>
        </is>
      </c>
      <c r="E72" s="15" t="n">
        <v>333.011</v>
      </c>
      <c r="F72" s="8" t="n">
        <v>1</v>
      </c>
      <c r="G72" s="15" t="n">
        <v>617.1</v>
      </c>
      <c r="H72" s="31" t="n">
        <v>0.3026</v>
      </c>
      <c r="I72" s="15" t="n">
        <v>329.691</v>
      </c>
      <c r="J72" s="8" t="inlineStr">
        <is>
          <t>Bosque estacionalmente seco de colina y montaña</t>
        </is>
      </c>
      <c r="K72" s="16" t="n">
        <v>1</v>
      </c>
      <c r="L72" s="8" t="n">
        <v>1</v>
      </c>
      <c r="M72" s="32" t="n">
        <v>611606.25</v>
      </c>
      <c r="N72" s="32" t="n">
        <v>9416614.98</v>
      </c>
    </row>
    <row r="73">
      <c r="A73" s="6" t="inlineStr">
        <is>
          <t>M6B2-3</t>
        </is>
      </c>
      <c r="B73" s="6" t="inlineStr">
        <is>
          <t>C1077-Q9566</t>
        </is>
      </c>
      <c r="C73" s="6" t="inlineStr">
        <is>
          <t>Morropón</t>
        </is>
      </c>
      <c r="D73" s="6" t="inlineStr">
        <is>
          <t>Buenos Aires</t>
        </is>
      </c>
      <c r="E73" s="11" t="n">
        <v>160.978</v>
      </c>
      <c r="F73" s="6" t="n">
        <v>1</v>
      </c>
      <c r="G73" s="11" t="n">
        <v>203.757</v>
      </c>
      <c r="H73" s="29" t="n">
        <v>0.4063</v>
      </c>
      <c r="I73" s="11" t="n">
        <v>145.674</v>
      </c>
      <c r="J73" s="6" t="inlineStr">
        <is>
          <t>Bosque estacionalmente seco de colina y montaña</t>
        </is>
      </c>
      <c r="K73" s="12" t="n">
        <v>0.9981</v>
      </c>
      <c r="L73" s="6" t="n">
        <v>2</v>
      </c>
      <c r="M73" s="30" t="n">
        <v>611272.02</v>
      </c>
      <c r="N73" s="30" t="n">
        <v>9419220.98</v>
      </c>
    </row>
    <row r="74">
      <c r="A74" s="8" t="inlineStr">
        <is>
          <t>57</t>
        </is>
      </c>
      <c r="B74" s="8" t="inlineStr">
        <is>
          <t>C1086-Q9576</t>
        </is>
      </c>
      <c r="C74" s="8" t="inlineStr">
        <is>
          <t>Morropón</t>
        </is>
      </c>
      <c r="D74" s="8" t="inlineStr">
        <is>
          <t>Chalaco</t>
        </is>
      </c>
      <c r="E74" s="15" t="n">
        <v>25.668</v>
      </c>
      <c r="F74" s="8" t="n">
        <v>1</v>
      </c>
      <c r="G74" s="15" t="n">
        <v>52.29</v>
      </c>
      <c r="H74" s="31" t="n">
        <v>0.6031</v>
      </c>
      <c r="I74" s="15" t="n">
        <v>1.176</v>
      </c>
      <c r="J74" s="8" t="inlineStr">
        <is>
          <t>Matorral andino</t>
        </is>
      </c>
      <c r="K74" s="16" t="n">
        <v>0.8283</v>
      </c>
      <c r="L74" s="8" t="n">
        <v>2</v>
      </c>
      <c r="M74" s="32" t="n">
        <v>631652.96</v>
      </c>
      <c r="N74" s="32" t="n">
        <v>9439712.82</v>
      </c>
    </row>
    <row r="75">
      <c r="A75" s="6" t="inlineStr">
        <is>
          <t>59</t>
        </is>
      </c>
      <c r="B75" s="6" t="inlineStr">
        <is>
          <t>C1086-Q9570</t>
        </is>
      </c>
      <c r="C75" s="6" t="inlineStr">
        <is>
          <t>Morropón</t>
        </is>
      </c>
      <c r="D75" s="6" t="inlineStr">
        <is>
          <t>Chalaco</t>
        </is>
      </c>
      <c r="E75" s="11" t="n">
        <v>13.554</v>
      </c>
      <c r="F75" s="6" t="n">
        <v>1</v>
      </c>
      <c r="G75" s="11" t="n">
        <v>12.751</v>
      </c>
      <c r="H75" s="29" t="n">
        <v>0.6147</v>
      </c>
      <c r="I75" s="11" t="n">
        <v>1.86</v>
      </c>
      <c r="J75" s="6" t="inlineStr">
        <is>
          <t>Bosque relicto montano de vertiente occidental</t>
        </is>
      </c>
      <c r="K75" s="12" t="n">
        <v>0.5996</v>
      </c>
      <c r="L75" s="6" t="n">
        <v>1</v>
      </c>
      <c r="M75" s="30" t="n">
        <v>631245.6</v>
      </c>
      <c r="N75" s="30" t="n">
        <v>9441775.93</v>
      </c>
    </row>
    <row r="76">
      <c r="A76" s="8" t="inlineStr">
        <is>
          <t>2</t>
        </is>
      </c>
      <c r="B76" s="8" t="inlineStr">
        <is>
          <t>C1096-Q9558</t>
        </is>
      </c>
      <c r="C76" s="8" t="inlineStr">
        <is>
          <t>Morropón</t>
        </is>
      </c>
      <c r="D76" s="8" t="inlineStr">
        <is>
          <t>Chulucanas</t>
        </is>
      </c>
      <c r="E76" s="15" t="n">
        <v>330.599</v>
      </c>
      <c r="F76" s="8" t="n">
        <v>1</v>
      </c>
      <c r="G76" s="15" t="n">
        <v>85.634</v>
      </c>
      <c r="H76" s="31" t="n">
        <v>0.3586</v>
      </c>
      <c r="I76" s="15" t="n">
        <v>327.888</v>
      </c>
      <c r="J76" s="8" t="inlineStr">
        <is>
          <t>Bosque estacionalmente seco de colina y montaña</t>
        </is>
      </c>
      <c r="K76" s="16" t="n">
        <v>1</v>
      </c>
      <c r="L76" s="8" t="n">
        <v>1</v>
      </c>
      <c r="M76" s="32" t="n">
        <v>603531.38</v>
      </c>
      <c r="N76" s="32" t="n">
        <v>9439340.960000001</v>
      </c>
    </row>
    <row r="77">
      <c r="A77" s="6" t="inlineStr">
        <is>
          <t>22</t>
        </is>
      </c>
      <c r="B77" s="6" t="inlineStr">
        <is>
          <t>C1096-Q9556</t>
        </is>
      </c>
      <c r="C77" s="6" t="inlineStr">
        <is>
          <t>Morropón</t>
        </is>
      </c>
      <c r="D77" s="6" t="inlineStr">
        <is>
          <t>Chulucanas</t>
        </is>
      </c>
      <c r="E77" s="11" t="n">
        <v>79.33</v>
      </c>
      <c r="F77" s="6" t="n">
        <v>1</v>
      </c>
      <c r="G77" s="11" t="n">
        <v>36.638</v>
      </c>
      <c r="H77" s="29" t="n">
        <v>0.4232</v>
      </c>
      <c r="I77" s="11" t="n">
        <v>74.008</v>
      </c>
      <c r="J77" s="6" t="inlineStr">
        <is>
          <t>Bosque estacionalmente seco de colina y montaña</t>
        </is>
      </c>
      <c r="K77" s="12" t="n">
        <v>1</v>
      </c>
      <c r="L77" s="6" t="n">
        <v>1</v>
      </c>
      <c r="M77" s="30" t="n">
        <v>601139.14</v>
      </c>
      <c r="N77" s="30" t="n">
        <v>9443629.58</v>
      </c>
    </row>
    <row r="78">
      <c r="A78" s="8" t="inlineStr">
        <is>
          <t>M10B4</t>
        </is>
      </c>
      <c r="B78" s="8" t="inlineStr">
        <is>
          <t>C1096-Q9547</t>
        </is>
      </c>
      <c r="C78" s="8" t="inlineStr">
        <is>
          <t>Morropón</t>
        </is>
      </c>
      <c r="D78" s="8" t="inlineStr">
        <is>
          <t>Chulucanas</t>
        </is>
      </c>
      <c r="E78" s="15" t="n">
        <v>68.887</v>
      </c>
      <c r="F78" s="8" t="n">
        <v>1</v>
      </c>
      <c r="G78" s="15" t="n">
        <v>187.811</v>
      </c>
      <c r="H78" s="31" t="n">
        <v>0.3133</v>
      </c>
      <c r="I78" s="15" t="n">
        <v>68.758</v>
      </c>
      <c r="J78" s="8" t="inlineStr">
        <is>
          <t>Bosque estacionalmente seco de colina y montaña</t>
        </is>
      </c>
      <c r="K78" s="16" t="n">
        <v>0.9938</v>
      </c>
      <c r="L78" s="8" t="n">
        <v>1</v>
      </c>
      <c r="M78" s="32" t="n">
        <v>596780.1800000001</v>
      </c>
      <c r="N78" s="32" t="n">
        <v>9448257.779999999</v>
      </c>
    </row>
    <row r="79">
      <c r="A79" s="6" t="inlineStr">
        <is>
          <t>M17B1</t>
        </is>
      </c>
      <c r="B79" s="6" t="inlineStr">
        <is>
          <t>C1096-Q9556</t>
        </is>
      </c>
      <c r="C79" s="6" t="inlineStr">
        <is>
          <t>Morropón</t>
        </is>
      </c>
      <c r="D79" s="6" t="inlineStr">
        <is>
          <t>Chulucanas</t>
        </is>
      </c>
      <c r="E79" s="11" t="n">
        <v>42.449</v>
      </c>
      <c r="F79" s="6" t="n">
        <v>1</v>
      </c>
      <c r="G79" s="11" t="n">
        <v>123.69</v>
      </c>
      <c r="H79" s="29" t="n">
        <v>0.3323</v>
      </c>
      <c r="I79" s="11" t="n">
        <v>42.379</v>
      </c>
      <c r="J79" s="6" t="inlineStr">
        <is>
          <t>Bosque estacionalmente seco de colina y montaña</t>
        </is>
      </c>
      <c r="K79" s="12" t="n">
        <v>1</v>
      </c>
      <c r="L79" s="6" t="n">
        <v>1</v>
      </c>
      <c r="M79" s="30" t="n">
        <v>600648.52</v>
      </c>
      <c r="N79" s="30" t="n">
        <v>9440413.02</v>
      </c>
    </row>
    <row r="80">
      <c r="A80" s="8" t="inlineStr">
        <is>
          <t>M17B4</t>
        </is>
      </c>
      <c r="B80" s="8" t="inlineStr">
        <is>
          <t>C1096-Q9556</t>
        </is>
      </c>
      <c r="C80" s="8" t="inlineStr">
        <is>
          <t>Morropón</t>
        </is>
      </c>
      <c r="D80" s="8" t="inlineStr">
        <is>
          <t>Chulucanas</t>
        </is>
      </c>
      <c r="E80" s="15" t="n">
        <v>124.709</v>
      </c>
      <c r="F80" s="8" t="n">
        <v>1</v>
      </c>
      <c r="G80" s="15" t="n">
        <v>74.21299999999999</v>
      </c>
      <c r="H80" s="31" t="n">
        <v>0.4235</v>
      </c>
      <c r="I80" s="15" t="n">
        <v>114.658</v>
      </c>
      <c r="J80" s="8" t="inlineStr">
        <is>
          <t>Bosque estacionalmente seco de colina y montaña</t>
        </is>
      </c>
      <c r="K80" s="16" t="n">
        <v>1</v>
      </c>
      <c r="L80" s="8" t="n">
        <v>1</v>
      </c>
      <c r="M80" s="32" t="n">
        <v>604677.9399999999</v>
      </c>
      <c r="N80" s="32" t="n">
        <v>9444375.65</v>
      </c>
    </row>
    <row r="81">
      <c r="A81" s="6" t="inlineStr">
        <is>
          <t>M27B1</t>
        </is>
      </c>
      <c r="B81" s="6" t="inlineStr">
        <is>
          <t>C1096-Q9557</t>
        </is>
      </c>
      <c r="C81" s="6" t="inlineStr">
        <is>
          <t>Morropón</t>
        </is>
      </c>
      <c r="D81" s="6" t="inlineStr">
        <is>
          <t>Chulucanas</t>
        </is>
      </c>
      <c r="E81" s="11" t="n">
        <v>448.804</v>
      </c>
      <c r="F81" s="6" t="n">
        <v>1</v>
      </c>
      <c r="G81" s="11" t="n">
        <v>2148.079</v>
      </c>
      <c r="H81" s="29" t="n">
        <v>0.3632</v>
      </c>
      <c r="I81" s="11" t="n">
        <v>435.106</v>
      </c>
      <c r="J81" s="6" t="inlineStr">
        <is>
          <t>Bosque estacionalmente seco de colina y montaña</t>
        </is>
      </c>
      <c r="K81" s="12" t="n">
        <v>0.9889</v>
      </c>
      <c r="L81" s="6" t="n">
        <v>4</v>
      </c>
      <c r="M81" s="30" t="n">
        <v>593286.54</v>
      </c>
      <c r="N81" s="30" t="n">
        <v>9430038.74</v>
      </c>
    </row>
    <row r="82">
      <c r="A82" s="8" t="inlineStr">
        <is>
          <t>M9B1</t>
        </is>
      </c>
      <c r="B82" s="8" t="inlineStr">
        <is>
          <t>C1096-Q9545</t>
        </is>
      </c>
      <c r="C82" s="8" t="inlineStr">
        <is>
          <t>Morropón</t>
        </is>
      </c>
      <c r="D82" s="8" t="inlineStr">
        <is>
          <t>Chulucanas</t>
        </is>
      </c>
      <c r="E82" s="15" t="n">
        <v>355.364</v>
      </c>
      <c r="F82" s="8" t="n">
        <v>1</v>
      </c>
      <c r="G82" s="15" t="n">
        <v>1296.407</v>
      </c>
      <c r="H82" s="31" t="n">
        <v>0.3143</v>
      </c>
      <c r="I82" s="15" t="n">
        <v>352.983</v>
      </c>
      <c r="J82" s="8" t="inlineStr">
        <is>
          <t>Bosque estacionalmente seco de colina y montaña</t>
        </is>
      </c>
      <c r="K82" s="16" t="n">
        <v>1</v>
      </c>
      <c r="L82" s="8" t="n">
        <v>1</v>
      </c>
      <c r="M82" s="32" t="n">
        <v>595630.86</v>
      </c>
      <c r="N82" s="32" t="n">
        <v>9451176.02</v>
      </c>
    </row>
    <row r="83">
      <c r="A83" s="6" t="inlineStr">
        <is>
          <t>M19B2</t>
        </is>
      </c>
      <c r="B83" s="6" t="inlineStr">
        <is>
          <t>C1086-Q9570</t>
        </is>
      </c>
      <c r="C83" s="6" t="inlineStr">
        <is>
          <t>Morropón</t>
        </is>
      </c>
      <c r="D83" s="6" t="inlineStr">
        <is>
          <t>Morropón</t>
        </is>
      </c>
      <c r="E83" s="11" t="n">
        <v>74.372</v>
      </c>
      <c r="F83" s="6" t="n">
        <v>1</v>
      </c>
      <c r="G83" s="11" t="n">
        <v>137.207</v>
      </c>
      <c r="H83" s="29" t="n">
        <v>0.4012</v>
      </c>
      <c r="I83" s="11" t="n">
        <v>71.57299999999999</v>
      </c>
      <c r="J83" s="6" t="inlineStr">
        <is>
          <t>Bosque estacionalmente seco de colina y montaña</t>
        </is>
      </c>
      <c r="K83" s="12" t="n">
        <v>1</v>
      </c>
      <c r="L83" s="6" t="n">
        <v>1</v>
      </c>
      <c r="M83" s="30" t="n">
        <v>617759.51</v>
      </c>
      <c r="N83" s="30" t="n">
        <v>9427284.550000001</v>
      </c>
    </row>
    <row r="84">
      <c r="A84" s="8" t="inlineStr">
        <is>
          <t>M32B3</t>
        </is>
      </c>
      <c r="B84" s="8" t="inlineStr">
        <is>
          <t>C1086-Q9569</t>
        </is>
      </c>
      <c r="C84" s="8" t="inlineStr">
        <is>
          <t>Morropón</t>
        </is>
      </c>
      <c r="D84" s="8" t="inlineStr">
        <is>
          <t>Morropón</t>
        </is>
      </c>
      <c r="E84" s="15" t="n">
        <v>50.972</v>
      </c>
      <c r="F84" s="8" t="n">
        <v>1</v>
      </c>
      <c r="G84" s="15" t="n">
        <v>126.625</v>
      </c>
      <c r="H84" s="31" t="n">
        <v>0.3852</v>
      </c>
      <c r="I84" s="15" t="n">
        <v>47.851</v>
      </c>
      <c r="J84" s="8" t="inlineStr">
        <is>
          <t>Bosque estacionalmente seco de colina y montaña</t>
        </is>
      </c>
      <c r="K84" s="16" t="n">
        <v>1</v>
      </c>
      <c r="L84" s="8" t="n">
        <v>1</v>
      </c>
      <c r="M84" s="32" t="n">
        <v>618183.5699999999</v>
      </c>
      <c r="N84" s="32" t="n">
        <v>9426502.789999999</v>
      </c>
    </row>
    <row r="85">
      <c r="A85" s="6" t="inlineStr">
        <is>
          <t>M18B3</t>
        </is>
      </c>
      <c r="B85" s="6" t="inlineStr">
        <is>
          <t>C1077-Q9579</t>
        </is>
      </c>
      <c r="C85" s="6" t="inlineStr">
        <is>
          <t>Morropón</t>
        </is>
      </c>
      <c r="D85" s="6" t="inlineStr">
        <is>
          <t>Salitral</t>
        </is>
      </c>
      <c r="E85" s="11" t="n">
        <v>373.807</v>
      </c>
      <c r="F85" s="6" t="n">
        <v>1</v>
      </c>
      <c r="G85" s="11" t="n">
        <v>222.926</v>
      </c>
      <c r="H85" s="29" t="n">
        <v>0.3694</v>
      </c>
      <c r="I85" s="11" t="n">
        <v>367.739</v>
      </c>
      <c r="J85" s="6" t="inlineStr">
        <is>
          <t>Bosque estacionalmente seco de colina y montaña</t>
        </is>
      </c>
      <c r="K85" s="12" t="n">
        <v>0.9997</v>
      </c>
      <c r="L85" s="6" t="n">
        <v>3</v>
      </c>
      <c r="M85" s="30" t="n">
        <v>623415.17</v>
      </c>
      <c r="N85" s="30" t="n">
        <v>9412241.060000001</v>
      </c>
    </row>
    <row r="86">
      <c r="A86" s="8" t="inlineStr">
        <is>
          <t>M2B1</t>
        </is>
      </c>
      <c r="B86" s="8" t="inlineStr">
        <is>
          <t>C1076-Q9584</t>
        </is>
      </c>
      <c r="C86" s="8" t="inlineStr">
        <is>
          <t>Morropón</t>
        </is>
      </c>
      <c r="D86" s="8" t="inlineStr">
        <is>
          <t>Salitral</t>
        </is>
      </c>
      <c r="E86" s="15" t="n">
        <v>81.795</v>
      </c>
      <c r="F86" s="8" t="n">
        <v>1</v>
      </c>
      <c r="G86" s="15" t="n">
        <v>115.569</v>
      </c>
      <c r="H86" s="31" t="n">
        <v>0.2984</v>
      </c>
      <c r="I86" s="15" t="n">
        <v>81.795</v>
      </c>
      <c r="J86" s="8" t="inlineStr">
        <is>
          <t>Bosque estacionalmente seco de colina y montaña</t>
        </is>
      </c>
      <c r="K86" s="16" t="n">
        <v>1</v>
      </c>
      <c r="L86" s="8" t="n">
        <v>1</v>
      </c>
      <c r="M86" s="32" t="n">
        <v>635836.76</v>
      </c>
      <c r="N86" s="32" t="n">
        <v>9397890.6</v>
      </c>
    </row>
    <row r="87">
      <c r="A87" s="6" t="inlineStr">
        <is>
          <t>M2B5</t>
        </is>
      </c>
      <c r="B87" s="6" t="inlineStr">
        <is>
          <t>C1076-Q9584</t>
        </is>
      </c>
      <c r="C87" s="6" t="inlineStr">
        <is>
          <t>Morropón</t>
        </is>
      </c>
      <c r="D87" s="6" t="inlineStr">
        <is>
          <t>Salitral</t>
        </is>
      </c>
      <c r="E87" s="11" t="n">
        <v>30.909</v>
      </c>
      <c r="F87" s="6" t="n">
        <v>1</v>
      </c>
      <c r="G87" s="11" t="n">
        <v>56.151</v>
      </c>
      <c r="H87" s="29" t="n">
        <v>0.3047</v>
      </c>
      <c r="I87" s="11" t="n">
        <v>30.61</v>
      </c>
      <c r="J87" s="6" t="inlineStr">
        <is>
          <t>Bosque estacionalmente seco de colina y montaña</t>
        </is>
      </c>
      <c r="K87" s="12" t="n">
        <v>0.9826</v>
      </c>
      <c r="L87" s="6" t="n">
        <v>1</v>
      </c>
      <c r="M87" s="30" t="n">
        <v>640271.41</v>
      </c>
      <c r="N87" s="30" t="n">
        <v>9394384.67</v>
      </c>
    </row>
    <row r="88">
      <c r="A88" s="8" t="inlineStr">
        <is>
          <t>M3B1</t>
        </is>
      </c>
      <c r="B88" s="8" t="inlineStr">
        <is>
          <t>C1081-Q9582</t>
        </is>
      </c>
      <c r="C88" s="8" t="inlineStr">
        <is>
          <t>Morropón</t>
        </is>
      </c>
      <c r="D88" s="8" t="inlineStr">
        <is>
          <t>Salitral</t>
        </is>
      </c>
      <c r="E88" s="15" t="n">
        <v>80.983</v>
      </c>
      <c r="F88" s="8" t="n">
        <v>1</v>
      </c>
      <c r="G88" s="15" t="n">
        <v>116.903</v>
      </c>
      <c r="H88" s="31" t="n">
        <v>0.3239</v>
      </c>
      <c r="I88" s="15" t="n">
        <v>80.843</v>
      </c>
      <c r="J88" s="8" t="inlineStr">
        <is>
          <t>Bosque estacionalmente seco de colina y montaña</t>
        </is>
      </c>
      <c r="K88" s="16" t="n">
        <v>0.9998</v>
      </c>
      <c r="L88" s="8" t="n">
        <v>1</v>
      </c>
      <c r="M88" s="32" t="n">
        <v>630357.5</v>
      </c>
      <c r="N88" s="32" t="n">
        <v>9410781.710000001</v>
      </c>
    </row>
    <row r="89">
      <c r="A89" s="6" t="inlineStr">
        <is>
          <t>M3B9</t>
        </is>
      </c>
      <c r="B89" s="6" t="inlineStr">
        <is>
          <t>C1081-Q9582</t>
        </is>
      </c>
      <c r="C89" s="6" t="inlineStr">
        <is>
          <t>Morropón</t>
        </is>
      </c>
      <c r="D89" s="6" t="inlineStr">
        <is>
          <t>Salitral</t>
        </is>
      </c>
      <c r="E89" s="11" t="n">
        <v>294.204</v>
      </c>
      <c r="F89" s="6" t="n">
        <v>1</v>
      </c>
      <c r="G89" s="11" t="n">
        <v>264.986</v>
      </c>
      <c r="H89" s="29" t="n">
        <v>0.3214</v>
      </c>
      <c r="I89" s="11" t="n">
        <v>292.427</v>
      </c>
      <c r="J89" s="6" t="inlineStr">
        <is>
          <t>Bosque estacionalmente seco de colina y montaña</t>
        </is>
      </c>
      <c r="K89" s="12" t="n">
        <v>0.9997</v>
      </c>
      <c r="L89" s="6" t="n">
        <v>1</v>
      </c>
      <c r="M89" s="30" t="n">
        <v>629567.65</v>
      </c>
      <c r="N89" s="30" t="n">
        <v>9413365.359999999</v>
      </c>
    </row>
    <row r="90">
      <c r="A90" s="8" t="inlineStr">
        <is>
          <t>M7B1</t>
        </is>
      </c>
      <c r="B90" s="8" t="inlineStr">
        <is>
          <t>C1076-Q9581</t>
        </is>
      </c>
      <c r="C90" s="8" t="inlineStr">
        <is>
          <t>Morropón</t>
        </is>
      </c>
      <c r="D90" s="8" t="inlineStr">
        <is>
          <t>Salitral</t>
        </is>
      </c>
      <c r="E90" s="15" t="n">
        <v>130.425</v>
      </c>
      <c r="F90" s="8" t="n">
        <v>1</v>
      </c>
      <c r="G90" s="15" t="n">
        <v>646.7380000000001</v>
      </c>
      <c r="H90" s="31" t="n">
        <v>0.3136</v>
      </c>
      <c r="I90" s="15" t="n">
        <v>130.133</v>
      </c>
      <c r="J90" s="8" t="inlineStr">
        <is>
          <t>Bosque estacionalmente seco de colina y montaña</t>
        </is>
      </c>
      <c r="K90" s="16" t="n">
        <v>1</v>
      </c>
      <c r="L90" s="8" t="n">
        <v>3</v>
      </c>
      <c r="M90" s="32" t="n">
        <v>629311.42</v>
      </c>
      <c r="N90" s="32" t="n">
        <v>9407423.470000001</v>
      </c>
    </row>
    <row r="91">
      <c r="A91" s="6" t="inlineStr">
        <is>
          <t>M7B2</t>
        </is>
      </c>
      <c r="B91" s="6" t="inlineStr">
        <is>
          <t>C1076-Q9581</t>
        </is>
      </c>
      <c r="C91" s="6" t="inlineStr">
        <is>
          <t>Morropón</t>
        </is>
      </c>
      <c r="D91" s="6" t="inlineStr">
        <is>
          <t>Salitral</t>
        </is>
      </c>
      <c r="E91" s="11" t="n">
        <v>115.379</v>
      </c>
      <c r="F91" s="6" t="n">
        <v>1</v>
      </c>
      <c r="G91" s="11" t="n">
        <v>334.198</v>
      </c>
      <c r="H91" s="29" t="n">
        <v>0.2877</v>
      </c>
      <c r="I91" s="11" t="n">
        <v>114.899</v>
      </c>
      <c r="J91" s="6" t="inlineStr">
        <is>
          <t>Bosque estacionalmente seco de colina y montaña</t>
        </is>
      </c>
      <c r="K91" s="12" t="n">
        <v>0.9916</v>
      </c>
      <c r="L91" s="6" t="n">
        <v>1</v>
      </c>
      <c r="M91" s="30" t="n">
        <v>631454.29</v>
      </c>
      <c r="N91" s="30" t="n">
        <v>9403545.199999999</v>
      </c>
    </row>
    <row r="92">
      <c r="A92" s="8" t="inlineStr">
        <is>
          <t>M7B3</t>
        </is>
      </c>
      <c r="B92" s="8" t="inlineStr">
        <is>
          <t>C1076-Q9581</t>
        </is>
      </c>
      <c r="C92" s="8" t="inlineStr">
        <is>
          <t>Morropón</t>
        </is>
      </c>
      <c r="D92" s="8" t="inlineStr">
        <is>
          <t>Salitral</t>
        </is>
      </c>
      <c r="E92" s="15" t="n">
        <v>65.745</v>
      </c>
      <c r="F92" s="8" t="n">
        <v>1</v>
      </c>
      <c r="G92" s="15" t="n">
        <v>154.345</v>
      </c>
      <c r="H92" s="31" t="n">
        <v>0.298</v>
      </c>
      <c r="I92" s="15" t="n">
        <v>65.645</v>
      </c>
      <c r="J92" s="8" t="inlineStr">
        <is>
          <t>Bosque estacionalmente seco de colina y montaña</t>
        </is>
      </c>
      <c r="K92" s="16" t="n">
        <v>0.9959</v>
      </c>
      <c r="L92" s="8" t="n">
        <v>2</v>
      </c>
      <c r="M92" s="32" t="n">
        <v>633426.79</v>
      </c>
      <c r="N92" s="32" t="n">
        <v>9401205.869999999</v>
      </c>
    </row>
    <row r="93">
      <c r="A93" s="6" t="inlineStr">
        <is>
          <t>M7B6</t>
        </is>
      </c>
      <c r="B93" s="6" t="inlineStr">
        <is>
          <t>C1076-Q9581</t>
        </is>
      </c>
      <c r="C93" s="6" t="inlineStr">
        <is>
          <t>Morropón</t>
        </is>
      </c>
      <c r="D93" s="6" t="inlineStr">
        <is>
          <t>Salitral</t>
        </is>
      </c>
      <c r="E93" s="11" t="n">
        <v>91.285</v>
      </c>
      <c r="F93" s="6" t="n">
        <v>1</v>
      </c>
      <c r="G93" s="11" t="n">
        <v>266.293</v>
      </c>
      <c r="H93" s="29" t="n">
        <v>0.2878</v>
      </c>
      <c r="I93" s="11" t="n">
        <v>91.253</v>
      </c>
      <c r="J93" s="6" t="inlineStr">
        <is>
          <t>Bosque estacionalmente seco de colina y montaña</t>
        </is>
      </c>
      <c r="K93" s="12" t="n">
        <v>1</v>
      </c>
      <c r="L93" s="6" t="n">
        <v>3</v>
      </c>
      <c r="M93" s="30" t="n">
        <v>634916.23</v>
      </c>
      <c r="N93" s="30" t="n">
        <v>9399129.220000001</v>
      </c>
    </row>
    <row r="94">
      <c r="A94" s="8" t="inlineStr">
        <is>
          <t>77</t>
        </is>
      </c>
      <c r="B94" s="8" t="inlineStr">
        <is>
          <t>C1081-Q9583</t>
        </is>
      </c>
      <c r="C94" s="8" t="inlineStr">
        <is>
          <t>Morropón</t>
        </is>
      </c>
      <c r="D94" s="8" t="inlineStr">
        <is>
          <t>San Juan de Bigote</t>
        </is>
      </c>
      <c r="E94" s="15" t="n">
        <v>17.821</v>
      </c>
      <c r="F94" s="8" t="n">
        <v>1</v>
      </c>
      <c r="G94" s="15" t="n">
        <v>26.786</v>
      </c>
      <c r="H94" s="31" t="n">
        <v>0.2725</v>
      </c>
      <c r="I94" s="15" t="n">
        <v>17.781</v>
      </c>
      <c r="J94" s="8" t="inlineStr">
        <is>
          <t>Bosque estacionalmente seco de colina y montaña</t>
        </is>
      </c>
      <c r="K94" s="16" t="n">
        <v>1</v>
      </c>
      <c r="L94" s="8" t="n">
        <v>1</v>
      </c>
      <c r="M94" s="32" t="n">
        <v>638647.29</v>
      </c>
      <c r="N94" s="32" t="n">
        <v>9411345.02</v>
      </c>
    </row>
    <row r="95">
      <c r="A95" s="6" t="inlineStr">
        <is>
          <t>83</t>
        </is>
      </c>
      <c r="B95" s="6" t="inlineStr">
        <is>
          <t>C1081-Q9583</t>
        </is>
      </c>
      <c r="C95" s="6" t="inlineStr">
        <is>
          <t>Morropón</t>
        </is>
      </c>
      <c r="D95" s="6" t="inlineStr">
        <is>
          <t>San Juan de Bigote</t>
        </is>
      </c>
      <c r="E95" s="11" t="n">
        <v>24.344</v>
      </c>
      <c r="F95" s="6" t="n">
        <v>1</v>
      </c>
      <c r="G95" s="11" t="n">
        <v>47.49</v>
      </c>
      <c r="H95" s="29" t="n">
        <v>0.3055</v>
      </c>
      <c r="I95" s="11" t="n">
        <v>24.196</v>
      </c>
      <c r="J95" s="6" t="inlineStr">
        <is>
          <t>Bosque estacionalmente seco de colina y montaña</t>
        </is>
      </c>
      <c r="K95" s="12" t="n">
        <v>1</v>
      </c>
      <c r="L95" s="6" t="n">
        <v>1</v>
      </c>
      <c r="M95" s="30" t="n">
        <v>639736.63</v>
      </c>
      <c r="N95" s="30" t="n">
        <v>9410628.560000001</v>
      </c>
    </row>
    <row r="96">
      <c r="A96" s="8" t="inlineStr">
        <is>
          <t>84</t>
        </is>
      </c>
      <c r="B96" s="8" t="inlineStr">
        <is>
          <t>C1081-Q9583</t>
        </is>
      </c>
      <c r="C96" s="8" t="inlineStr">
        <is>
          <t>Morropón</t>
        </is>
      </c>
      <c r="D96" s="8" t="inlineStr">
        <is>
          <t>San Juan de Bigote</t>
        </is>
      </c>
      <c r="E96" s="15" t="n">
        <v>5.097</v>
      </c>
      <c r="F96" s="8" t="n">
        <v>1</v>
      </c>
      <c r="G96" s="15" t="n">
        <v>16.677</v>
      </c>
      <c r="H96" s="31" t="n">
        <v>0.2516</v>
      </c>
      <c r="I96" s="15" t="n">
        <v>5.097</v>
      </c>
      <c r="J96" s="8" t="inlineStr">
        <is>
          <t>Bosque estacionalmente seco de colina y montaña</t>
        </is>
      </c>
      <c r="K96" s="16" t="n">
        <v>0.9889</v>
      </c>
      <c r="L96" s="8" t="n">
        <v>1</v>
      </c>
      <c r="M96" s="32" t="n">
        <v>640275.2</v>
      </c>
      <c r="N96" s="32" t="n">
        <v>9410722.9</v>
      </c>
    </row>
    <row r="97">
      <c r="A97" s="6" t="inlineStr">
        <is>
          <t>85</t>
        </is>
      </c>
      <c r="B97" s="6" t="inlineStr">
        <is>
          <t>C1081-Q9583</t>
        </is>
      </c>
      <c r="C97" s="6" t="inlineStr">
        <is>
          <t>Morropón</t>
        </is>
      </c>
      <c r="D97" s="6" t="inlineStr">
        <is>
          <t>San Juan de Bigote</t>
        </is>
      </c>
      <c r="E97" s="11" t="n">
        <v>11.906</v>
      </c>
      <c r="F97" s="6" t="n">
        <v>1</v>
      </c>
      <c r="G97" s="11" t="n">
        <v>96.34099999999999</v>
      </c>
      <c r="H97" s="29" t="n">
        <v>0.2289</v>
      </c>
      <c r="I97" s="11" t="n">
        <v>11.906</v>
      </c>
      <c r="J97" s="6" t="inlineStr">
        <is>
          <t>Zona agrícola</t>
        </is>
      </c>
      <c r="K97" s="12" t="n">
        <v>0.9939</v>
      </c>
      <c r="L97" s="6" t="n">
        <v>1</v>
      </c>
      <c r="M97" s="30" t="n">
        <v>642292.33</v>
      </c>
      <c r="N97" s="30" t="n">
        <v>9411067.35</v>
      </c>
    </row>
    <row r="98">
      <c r="A98" s="8" t="inlineStr">
        <is>
          <t>86</t>
        </is>
      </c>
      <c r="B98" s="8" t="inlineStr">
        <is>
          <t>C1081-Q9583</t>
        </is>
      </c>
      <c r="C98" s="8" t="inlineStr">
        <is>
          <t>Morropón</t>
        </is>
      </c>
      <c r="D98" s="8" t="inlineStr">
        <is>
          <t>San Juan de Bigote</t>
        </is>
      </c>
      <c r="E98" s="15" t="n">
        <v>30.001</v>
      </c>
      <c r="F98" s="8" t="n">
        <v>1</v>
      </c>
      <c r="G98" s="15" t="n">
        <v>167.512</v>
      </c>
      <c r="H98" s="31" t="n">
        <v>0.2735</v>
      </c>
      <c r="I98" s="15" t="n">
        <v>29.887</v>
      </c>
      <c r="J98" s="8" t="inlineStr">
        <is>
          <t>Bosque estacionalmente seco de colina y montaña</t>
        </is>
      </c>
      <c r="K98" s="16" t="n">
        <v>1</v>
      </c>
      <c r="L98" s="8" t="n">
        <v>1</v>
      </c>
      <c r="M98" s="32" t="n">
        <v>642457.14</v>
      </c>
      <c r="N98" s="32" t="n">
        <v>9410175.34</v>
      </c>
    </row>
    <row r="99">
      <c r="A99" s="6" t="inlineStr">
        <is>
          <t>87</t>
        </is>
      </c>
      <c r="B99" s="6" t="inlineStr">
        <is>
          <t>C1081-Q9583</t>
        </is>
      </c>
      <c r="C99" s="6" t="inlineStr">
        <is>
          <t>Morropón</t>
        </is>
      </c>
      <c r="D99" s="6" t="inlineStr">
        <is>
          <t>San Juan de Bigote</t>
        </is>
      </c>
      <c r="E99" s="11" t="n">
        <v>62.219</v>
      </c>
      <c r="F99" s="6" t="n">
        <v>1</v>
      </c>
      <c r="G99" s="11" t="n">
        <v>44.687</v>
      </c>
      <c r="H99" s="29" t="n">
        <v>0.2487</v>
      </c>
      <c r="I99" s="11" t="n">
        <v>62.045</v>
      </c>
      <c r="J99" s="6" t="inlineStr">
        <is>
          <t>Bosque estacionalmente seco de colina y montaña</t>
        </is>
      </c>
      <c r="K99" s="12" t="n">
        <v>0.9966</v>
      </c>
      <c r="L99" s="6" t="n">
        <v>3</v>
      </c>
      <c r="M99" s="30" t="n">
        <v>642752.05</v>
      </c>
      <c r="N99" s="30" t="n">
        <v>9411069.960000001</v>
      </c>
    </row>
    <row r="100">
      <c r="A100" s="8" t="inlineStr">
        <is>
          <t>M11B3</t>
        </is>
      </c>
      <c r="B100" s="8" t="inlineStr">
        <is>
          <t>C1081-Q9583</t>
        </is>
      </c>
      <c r="C100" s="8" t="inlineStr">
        <is>
          <t>Morropón</t>
        </is>
      </c>
      <c r="D100" s="8" t="inlineStr">
        <is>
          <t>San Juan de Bigote</t>
        </is>
      </c>
      <c r="E100" s="15" t="n">
        <v>106.027</v>
      </c>
      <c r="F100" s="8" t="n">
        <v>1</v>
      </c>
      <c r="G100" s="15" t="n">
        <v>244.691</v>
      </c>
      <c r="H100" s="31" t="n">
        <v>0.3956</v>
      </c>
      <c r="I100" s="15" t="n">
        <v>94.229</v>
      </c>
      <c r="J100" s="8" t="inlineStr">
        <is>
          <t>Bosque estacionalmente seco de colina y montaña</t>
        </is>
      </c>
      <c r="K100" s="16" t="n">
        <v>0.9995000000000001</v>
      </c>
      <c r="L100" s="8" t="n">
        <v>2</v>
      </c>
      <c r="M100" s="32" t="n">
        <v>642195.65</v>
      </c>
      <c r="N100" s="32" t="n">
        <v>9413882.640000001</v>
      </c>
    </row>
    <row r="101">
      <c r="A101" s="6" t="inlineStr">
        <is>
          <t>M3B3</t>
        </is>
      </c>
      <c r="B101" s="6" t="inlineStr">
        <is>
          <t>C1081-Q9582</t>
        </is>
      </c>
      <c r="C101" s="6" t="inlineStr">
        <is>
          <t>Morropón</t>
        </is>
      </c>
      <c r="D101" s="6" t="inlineStr">
        <is>
          <t>San Juan de Bigote</t>
        </is>
      </c>
      <c r="E101" s="11" t="n">
        <v>84.825</v>
      </c>
      <c r="F101" s="6" t="n">
        <v>1</v>
      </c>
      <c r="G101" s="11" t="n">
        <v>243.091</v>
      </c>
      <c r="H101" s="29" t="n">
        <v>0.2985</v>
      </c>
      <c r="I101" s="11" t="n">
        <v>84.736</v>
      </c>
      <c r="J101" s="6" t="inlineStr">
        <is>
          <t>Bosque estacionalmente seco de colina y montaña</t>
        </is>
      </c>
      <c r="K101" s="12" t="n">
        <v>1</v>
      </c>
      <c r="L101" s="6" t="n">
        <v>2</v>
      </c>
      <c r="M101" s="30" t="n">
        <v>632574</v>
      </c>
      <c r="N101" s="30" t="n">
        <v>9411470.970000001</v>
      </c>
    </row>
    <row r="102">
      <c r="A102" s="8" t="inlineStr">
        <is>
          <t>M3B5</t>
        </is>
      </c>
      <c r="B102" s="8" t="inlineStr">
        <is>
          <t>C1081-Q9582</t>
        </is>
      </c>
      <c r="C102" s="8" t="inlineStr">
        <is>
          <t>Morropón</t>
        </is>
      </c>
      <c r="D102" s="8" t="inlineStr">
        <is>
          <t>San Juan de Bigote</t>
        </is>
      </c>
      <c r="E102" s="15" t="n">
        <v>52.743</v>
      </c>
      <c r="F102" s="8" t="n">
        <v>1</v>
      </c>
      <c r="G102" s="15" t="n">
        <v>177.89</v>
      </c>
      <c r="H102" s="31" t="n">
        <v>0.283</v>
      </c>
      <c r="I102" s="15" t="n">
        <v>52.684</v>
      </c>
      <c r="J102" s="8" t="inlineStr">
        <is>
          <t>Bosque estacionalmente seco de colina y montaña</t>
        </is>
      </c>
      <c r="K102" s="16" t="n">
        <v>1</v>
      </c>
      <c r="L102" s="8" t="n">
        <v>1</v>
      </c>
      <c r="M102" s="32" t="n">
        <v>635920.2</v>
      </c>
      <c r="N102" s="32" t="n">
        <v>9411736.289999999</v>
      </c>
    </row>
    <row r="103">
      <c r="A103" s="6" t="inlineStr">
        <is>
          <t>M3B6</t>
        </is>
      </c>
      <c r="B103" s="6" t="inlineStr">
        <is>
          <t>C1081-Q9582</t>
        </is>
      </c>
      <c r="C103" s="6" t="inlineStr">
        <is>
          <t>Morropón</t>
        </is>
      </c>
      <c r="D103" s="6" t="inlineStr">
        <is>
          <t>San Juan de Bigote</t>
        </is>
      </c>
      <c r="E103" s="11" t="n">
        <v>60.352</v>
      </c>
      <c r="F103" s="6" t="n">
        <v>1</v>
      </c>
      <c r="G103" s="11" t="n">
        <v>107.449</v>
      </c>
      <c r="H103" s="29" t="n">
        <v>0.3425</v>
      </c>
      <c r="I103" s="11" t="n">
        <v>60.198</v>
      </c>
      <c r="J103" s="6" t="inlineStr">
        <is>
          <t>Bosque estacionalmente seco de colina y montaña</t>
        </is>
      </c>
      <c r="K103" s="12" t="n">
        <v>1</v>
      </c>
      <c r="L103" s="6" t="n">
        <v>2</v>
      </c>
      <c r="M103" s="30" t="n">
        <v>638266.97</v>
      </c>
      <c r="N103" s="30" t="n">
        <v>9412113.83</v>
      </c>
    </row>
    <row r="104">
      <c r="A104" s="8" t="inlineStr">
        <is>
          <t>M3B7</t>
        </is>
      </c>
      <c r="B104" s="8" t="inlineStr">
        <is>
          <t>C1081-Q9582</t>
        </is>
      </c>
      <c r="C104" s="8" t="inlineStr">
        <is>
          <t>Morropón</t>
        </is>
      </c>
      <c r="D104" s="8" t="inlineStr">
        <is>
          <t>San Juan de Bigote</t>
        </is>
      </c>
      <c r="E104" s="15" t="n">
        <v>122.946</v>
      </c>
      <c r="F104" s="8" t="n">
        <v>1</v>
      </c>
      <c r="G104" s="15" t="n">
        <v>362.584</v>
      </c>
      <c r="H104" s="31" t="n">
        <v>0.3707</v>
      </c>
      <c r="I104" s="15" t="n">
        <v>117.943</v>
      </c>
      <c r="J104" s="8" t="inlineStr">
        <is>
          <t>Bosque estacionalmente seco de colina y montaña</t>
        </is>
      </c>
      <c r="K104" s="16" t="n">
        <v>0.9995000000000001</v>
      </c>
      <c r="L104" s="8" t="n">
        <v>2</v>
      </c>
      <c r="M104" s="32" t="n">
        <v>638410.42</v>
      </c>
      <c r="N104" s="32" t="n">
        <v>9415173.970000001</v>
      </c>
    </row>
    <row r="105">
      <c r="A105" s="6" t="inlineStr">
        <is>
          <t>M3B8</t>
        </is>
      </c>
      <c r="B105" s="6" t="inlineStr">
        <is>
          <t>C1081-Q9582</t>
        </is>
      </c>
      <c r="C105" s="6" t="inlineStr">
        <is>
          <t>Morropón</t>
        </is>
      </c>
      <c r="D105" s="6" t="inlineStr">
        <is>
          <t>San Juan de Bigote</t>
        </is>
      </c>
      <c r="E105" s="11" t="n">
        <v>565.5839999999999</v>
      </c>
      <c r="F105" s="6" t="n">
        <v>1</v>
      </c>
      <c r="G105" s="11" t="n">
        <v>475.448</v>
      </c>
      <c r="H105" s="29" t="n">
        <v>0.2934</v>
      </c>
      <c r="I105" s="11" t="n">
        <v>562.186</v>
      </c>
      <c r="J105" s="6" t="inlineStr">
        <is>
          <t>Bosque estacionalmente seco de colina y montaña</t>
        </is>
      </c>
      <c r="K105" s="12" t="n">
        <v>0.9998</v>
      </c>
      <c r="L105" s="6" t="n">
        <v>2</v>
      </c>
      <c r="M105" s="30" t="n">
        <v>631601.23</v>
      </c>
      <c r="N105" s="30" t="n">
        <v>9415107.720000001</v>
      </c>
    </row>
    <row r="106">
      <c r="A106" s="8" t="inlineStr">
        <is>
          <t>14</t>
        </is>
      </c>
      <c r="B106" s="8" t="inlineStr">
        <is>
          <t>C1086-Q9570</t>
        </is>
      </c>
      <c r="C106" s="8" t="inlineStr">
        <is>
          <t>Morropón</t>
        </is>
      </c>
      <c r="D106" s="8" t="inlineStr">
        <is>
          <t>Santa Catalina de Mossa</t>
        </is>
      </c>
      <c r="E106" s="15" t="n">
        <v>92.905</v>
      </c>
      <c r="F106" s="8" t="n">
        <v>1</v>
      </c>
      <c r="G106" s="15" t="n">
        <v>91.517</v>
      </c>
      <c r="H106" s="31" t="n">
        <v>0.5197000000000001</v>
      </c>
      <c r="I106" s="15" t="n">
        <v>36.253</v>
      </c>
      <c r="J106" s="8" t="inlineStr">
        <is>
          <t>Matorral andino</t>
        </is>
      </c>
      <c r="K106" s="16" t="n">
        <v>0.7498</v>
      </c>
      <c r="L106" s="8" t="n">
        <v>2</v>
      </c>
      <c r="M106" s="32" t="n">
        <v>624404.87</v>
      </c>
      <c r="N106" s="32" t="n">
        <v>9437093.109999999</v>
      </c>
    </row>
    <row r="107">
      <c r="A107" s="6" t="inlineStr">
        <is>
          <t>42</t>
        </is>
      </c>
      <c r="B107" s="6" t="inlineStr">
        <is>
          <t>C1086-Q9570</t>
        </is>
      </c>
      <c r="C107" s="6" t="inlineStr">
        <is>
          <t>Morropón</t>
        </is>
      </c>
      <c r="D107" s="6" t="inlineStr">
        <is>
          <t>Santa Catalina de Mossa</t>
        </is>
      </c>
      <c r="E107" s="11" t="n">
        <v>80.616</v>
      </c>
      <c r="F107" s="6" t="n">
        <v>1</v>
      </c>
      <c r="G107" s="11" t="n">
        <v>59.604</v>
      </c>
      <c r="H107" s="29" t="n">
        <v>0.6348</v>
      </c>
      <c r="I107" s="11" t="n">
        <v>4.543</v>
      </c>
      <c r="J107" s="6" t="inlineStr">
        <is>
          <t>Bosque estacionalmente seco de colina y montaña</t>
        </is>
      </c>
      <c r="K107" s="12" t="n">
        <v>0.643</v>
      </c>
      <c r="L107" s="6" t="n">
        <v>1</v>
      </c>
      <c r="M107" s="30" t="n">
        <v>625114.03</v>
      </c>
      <c r="N107" s="30" t="n">
        <v>9434984.539999999</v>
      </c>
    </row>
    <row r="108">
      <c r="A108" s="8" t="inlineStr">
        <is>
          <t>58</t>
        </is>
      </c>
      <c r="B108" s="8" t="inlineStr">
        <is>
          <t>C1086-Q9569</t>
        </is>
      </c>
      <c r="C108" s="8" t="inlineStr">
        <is>
          <t>Morropón</t>
        </is>
      </c>
      <c r="D108" s="8" t="inlineStr">
        <is>
          <t>Santa Catalina de Mossa</t>
        </is>
      </c>
      <c r="E108" s="15" t="n">
        <v>11.475</v>
      </c>
      <c r="F108" s="8" t="n">
        <v>1</v>
      </c>
      <c r="G108" s="15" t="n">
        <v>38.355</v>
      </c>
      <c r="H108" s="31" t="n">
        <v>0.4203</v>
      </c>
      <c r="I108" s="15" t="n">
        <v>11.182</v>
      </c>
      <c r="J108" s="8" t="inlineStr">
        <is>
          <t>Bosque estacionalmente seco de colina y montaña</t>
        </is>
      </c>
      <c r="K108" s="16" t="n">
        <v>1</v>
      </c>
      <c r="L108" s="8" t="n">
        <v>2</v>
      </c>
      <c r="M108" s="32" t="n">
        <v>619094.47</v>
      </c>
      <c r="N108" s="32" t="n">
        <v>9426425.619999999</v>
      </c>
    </row>
    <row r="109">
      <c r="A109" s="6" t="inlineStr">
        <is>
          <t>M36B2</t>
        </is>
      </c>
      <c r="B109" s="6" t="inlineStr">
        <is>
          <t>C1086-Q9576</t>
        </is>
      </c>
      <c r="C109" s="6" t="inlineStr">
        <is>
          <t>Morropón</t>
        </is>
      </c>
      <c r="D109" s="6" t="inlineStr">
        <is>
          <t>Santa Catalina de Mossa</t>
        </is>
      </c>
      <c r="E109" s="11" t="n">
        <v>28.19</v>
      </c>
      <c r="F109" s="6" t="n">
        <v>1</v>
      </c>
      <c r="G109" s="11" t="n">
        <v>43.336</v>
      </c>
      <c r="H109" s="29" t="n">
        <v>0.5974</v>
      </c>
      <c r="I109" s="11" t="n">
        <v>1.401</v>
      </c>
      <c r="J109" s="6" t="inlineStr">
        <is>
          <t>Zona agrícola</t>
        </is>
      </c>
      <c r="K109" s="12" t="n">
        <v>1</v>
      </c>
      <c r="L109" s="6" t="n">
        <v>1</v>
      </c>
      <c r="M109" s="30" t="n">
        <v>626533.29</v>
      </c>
      <c r="N109" s="30" t="n">
        <v>9435073.890000001</v>
      </c>
    </row>
    <row r="110">
      <c r="A110" s="8" t="inlineStr">
        <is>
          <t>11</t>
        </is>
      </c>
      <c r="B110" s="8" t="inlineStr">
        <is>
          <t>C1086-Q9570</t>
        </is>
      </c>
      <c r="C110" s="8" t="inlineStr">
        <is>
          <t>Morropón</t>
        </is>
      </c>
      <c r="D110" s="8" t="inlineStr">
        <is>
          <t>Santo Domingo</t>
        </is>
      </c>
      <c r="E110" s="15" t="n">
        <v>103.948</v>
      </c>
      <c r="F110" s="8" t="n">
        <v>1</v>
      </c>
      <c r="G110" s="15" t="n">
        <v>56.295</v>
      </c>
      <c r="H110" s="31" t="n">
        <v>0.6047</v>
      </c>
      <c r="I110" s="15" t="n">
        <v>11.789</v>
      </c>
      <c r="J110" s="8" t="inlineStr">
        <is>
          <t>Zona agrícola</t>
        </is>
      </c>
      <c r="K110" s="16" t="n">
        <v>0.77</v>
      </c>
      <c r="L110" s="8" t="n">
        <v>1</v>
      </c>
      <c r="M110" s="32" t="n">
        <v>620700.37</v>
      </c>
      <c r="N110" s="32" t="n">
        <v>9440010.1</v>
      </c>
    </row>
    <row r="111">
      <c r="A111" s="6" t="inlineStr">
        <is>
          <t>12</t>
        </is>
      </c>
      <c r="B111" s="6" t="inlineStr">
        <is>
          <t>C1086-Q9570</t>
        </is>
      </c>
      <c r="C111" s="6" t="inlineStr">
        <is>
          <t>Morropón</t>
        </is>
      </c>
      <c r="D111" s="6" t="inlineStr">
        <is>
          <t>Santo Domingo</t>
        </is>
      </c>
      <c r="E111" s="11" t="n">
        <v>119.538</v>
      </c>
      <c r="F111" s="6" t="n">
        <v>1</v>
      </c>
      <c r="G111" s="11" t="n">
        <v>125.895</v>
      </c>
      <c r="H111" s="29" t="n">
        <v>0.7067</v>
      </c>
      <c r="I111" s="11" t="n">
        <v>0.079</v>
      </c>
      <c r="J111" s="6" t="inlineStr">
        <is>
          <t>Zona agrícola</t>
        </is>
      </c>
      <c r="K111" s="12" t="n">
        <v>0.7939000000000001</v>
      </c>
      <c r="L111" s="6" t="n">
        <v>2</v>
      </c>
      <c r="M111" s="30" t="n">
        <v>625379.39</v>
      </c>
      <c r="N111" s="30" t="n">
        <v>9444937.960000001</v>
      </c>
    </row>
    <row r="112">
      <c r="A112" s="8" t="inlineStr">
        <is>
          <t>13</t>
        </is>
      </c>
      <c r="B112" s="8" t="inlineStr">
        <is>
          <t>C1096-Q9564</t>
        </is>
      </c>
      <c r="C112" s="8" t="inlineStr">
        <is>
          <t>Morropón</t>
        </is>
      </c>
      <c r="D112" s="8" t="inlineStr">
        <is>
          <t>Santo Domingo</t>
        </is>
      </c>
      <c r="E112" s="15" t="n">
        <v>100.514</v>
      </c>
      <c r="F112" s="8" t="n">
        <v>1</v>
      </c>
      <c r="G112" s="15" t="n">
        <v>28.023</v>
      </c>
      <c r="H112" s="31" t="n">
        <v>0.6711</v>
      </c>
      <c r="I112" s="15" t="n">
        <v>5.239</v>
      </c>
      <c r="J112" s="8" t="inlineStr">
        <is>
          <t>Matorral andino</t>
        </is>
      </c>
      <c r="K112" s="16" t="n">
        <v>0.6005</v>
      </c>
      <c r="L112" s="8" t="n">
        <v>1</v>
      </c>
      <c r="M112" s="32" t="n">
        <v>620267.27</v>
      </c>
      <c r="N112" s="32" t="n">
        <v>9442300.07</v>
      </c>
    </row>
    <row r="113">
      <c r="A113" s="6" t="inlineStr">
        <is>
          <t>15</t>
        </is>
      </c>
      <c r="B113" s="6" t="inlineStr">
        <is>
          <t>C1086-Q9570</t>
        </is>
      </c>
      <c r="C113" s="6" t="inlineStr">
        <is>
          <t>Morropón</t>
        </is>
      </c>
      <c r="D113" s="6" t="inlineStr">
        <is>
          <t>Santo Domingo</t>
        </is>
      </c>
      <c r="E113" s="11" t="n">
        <v>86.14700000000001</v>
      </c>
      <c r="F113" s="6" t="n">
        <v>1</v>
      </c>
      <c r="G113" s="11" t="n">
        <v>50.346</v>
      </c>
      <c r="H113" s="29" t="n">
        <v>0.5605</v>
      </c>
      <c r="I113" s="11" t="n">
        <v>19.367</v>
      </c>
      <c r="J113" s="6" t="inlineStr">
        <is>
          <t>Zona agrícola</t>
        </is>
      </c>
      <c r="K113" s="12" t="n">
        <v>0.9572000000000001</v>
      </c>
      <c r="L113" s="6" t="n">
        <v>1</v>
      </c>
      <c r="M113" s="30" t="n">
        <v>620183.05</v>
      </c>
      <c r="N113" s="30" t="n">
        <v>9437872.619999999</v>
      </c>
    </row>
    <row r="114">
      <c r="A114" s="8" t="inlineStr">
        <is>
          <t>17</t>
        </is>
      </c>
      <c r="B114" s="8" t="inlineStr">
        <is>
          <t>C1086-Q9570</t>
        </is>
      </c>
      <c r="C114" s="8" t="inlineStr">
        <is>
          <t>Morropón</t>
        </is>
      </c>
      <c r="D114" s="8" t="inlineStr">
        <is>
          <t>Santo Domingo</t>
        </is>
      </c>
      <c r="E114" s="15" t="n">
        <v>96.07899999999999</v>
      </c>
      <c r="F114" s="8" t="n">
        <v>1</v>
      </c>
      <c r="G114" s="15" t="n">
        <v>53.493</v>
      </c>
      <c r="H114" s="31" t="n">
        <v>0.6479</v>
      </c>
      <c r="I114" s="15" t="n">
        <v>2.008</v>
      </c>
      <c r="J114" s="8" t="inlineStr">
        <is>
          <t>Zona agrícola</t>
        </is>
      </c>
      <c r="K114" s="16" t="n">
        <v>0.9756</v>
      </c>
      <c r="L114" s="8" t="n">
        <v>1</v>
      </c>
      <c r="M114" s="32" t="n">
        <v>618469.1</v>
      </c>
      <c r="N114" s="32" t="n">
        <v>9438191.93</v>
      </c>
    </row>
    <row r="115">
      <c r="A115" s="6" t="inlineStr">
        <is>
          <t>23</t>
        </is>
      </c>
      <c r="B115" s="6" t="inlineStr">
        <is>
          <t>C1086-Q9570</t>
        </is>
      </c>
      <c r="C115" s="6" t="inlineStr">
        <is>
          <t>Morropón</t>
        </is>
      </c>
      <c r="D115" s="6" t="inlineStr">
        <is>
          <t>Santo Domingo</t>
        </is>
      </c>
      <c r="E115" s="11" t="n">
        <v>81.776</v>
      </c>
      <c r="F115" s="6" t="n">
        <v>1</v>
      </c>
      <c r="G115" s="11" t="n">
        <v>16.554</v>
      </c>
      <c r="H115" s="29" t="n">
        <v>0.5731000000000001</v>
      </c>
      <c r="I115" s="11" t="n">
        <v>15.33</v>
      </c>
      <c r="J115" s="6" t="inlineStr">
        <is>
          <t>Matorral andino</t>
        </is>
      </c>
      <c r="K115" s="12" t="n">
        <v>0.6402</v>
      </c>
      <c r="L115" s="6" t="n">
        <v>2</v>
      </c>
      <c r="M115" s="30" t="n">
        <v>619889</v>
      </c>
      <c r="N115" s="30" t="n">
        <v>9438509.460000001</v>
      </c>
    </row>
    <row r="116">
      <c r="A116" s="8" t="inlineStr">
        <is>
          <t>78</t>
        </is>
      </c>
      <c r="B116" s="8" t="inlineStr">
        <is>
          <t>C1086-Q9570</t>
        </is>
      </c>
      <c r="C116" s="8" t="inlineStr">
        <is>
          <t>Morropón</t>
        </is>
      </c>
      <c r="D116" s="8" t="inlineStr">
        <is>
          <t>Santo Domingo</t>
        </is>
      </c>
      <c r="E116" s="15" t="n">
        <v>35.1</v>
      </c>
      <c r="F116" s="8" t="n">
        <v>1</v>
      </c>
      <c r="G116" s="15" t="n">
        <v>25.506</v>
      </c>
      <c r="H116" s="31" t="n">
        <v>0.7074</v>
      </c>
      <c r="I116" s="15" t="n">
        <v>0.62</v>
      </c>
      <c r="J116" s="8" t="inlineStr">
        <is>
          <t>Matorral andino</t>
        </is>
      </c>
      <c r="K116" s="16" t="n">
        <v>0.7689</v>
      </c>
      <c r="L116" s="8" t="n">
        <v>1</v>
      </c>
      <c r="M116" s="32" t="n">
        <v>619622.4300000001</v>
      </c>
      <c r="N116" s="32" t="n">
        <v>9440048.35</v>
      </c>
    </row>
    <row r="117">
      <c r="A117" s="6" t="inlineStr">
        <is>
          <t>82</t>
        </is>
      </c>
      <c r="B117" s="6" t="inlineStr">
        <is>
          <t>C1086-Q9570</t>
        </is>
      </c>
      <c r="C117" s="6" t="inlineStr">
        <is>
          <t>Morropón</t>
        </is>
      </c>
      <c r="D117" s="6" t="inlineStr">
        <is>
          <t>Santo Domingo</t>
        </is>
      </c>
      <c r="E117" s="11" t="n">
        <v>35.661</v>
      </c>
      <c r="F117" s="6" t="n">
        <v>1</v>
      </c>
      <c r="G117" s="11" t="n">
        <v>20.698</v>
      </c>
      <c r="H117" s="29" t="n">
        <v>0.6283</v>
      </c>
      <c r="I117" s="11" t="n">
        <v>4.52</v>
      </c>
      <c r="J117" s="6" t="inlineStr">
        <is>
          <t>Matorral andino</t>
        </is>
      </c>
      <c r="K117" s="12" t="n">
        <v>0.7049</v>
      </c>
      <c r="L117" s="6" t="n">
        <v>1</v>
      </c>
      <c r="M117" s="30" t="n">
        <v>621456.37</v>
      </c>
      <c r="N117" s="30" t="n">
        <v>9443879.890000001</v>
      </c>
    </row>
    <row r="118">
      <c r="A118" s="8" t="inlineStr">
        <is>
          <t>M19B7</t>
        </is>
      </c>
      <c r="B118" s="8" t="inlineStr">
        <is>
          <t>C1086-Q9570</t>
        </is>
      </c>
      <c r="C118" s="8" t="inlineStr">
        <is>
          <t>Morropón</t>
        </is>
      </c>
      <c r="D118" s="8" t="inlineStr">
        <is>
          <t>Santo Domingo</t>
        </is>
      </c>
      <c r="E118" s="15" t="n">
        <v>34.171</v>
      </c>
      <c r="F118" s="8" t="n">
        <v>1</v>
      </c>
      <c r="G118" s="15" t="n">
        <v>27.32</v>
      </c>
      <c r="H118" s="31" t="n">
        <v>0.5919</v>
      </c>
      <c r="I118" s="15" t="n">
        <v>1.998</v>
      </c>
      <c r="J118" s="8" t="inlineStr">
        <is>
          <t>Zona agrícola</t>
        </is>
      </c>
      <c r="K118" s="16" t="n">
        <v>0.8773</v>
      </c>
      <c r="L118" s="8" t="n">
        <v>1</v>
      </c>
      <c r="M118" s="32" t="n">
        <v>620809.72</v>
      </c>
      <c r="N118" s="32" t="n">
        <v>9436553.300000001</v>
      </c>
    </row>
    <row r="119">
      <c r="A119" s="6" t="inlineStr">
        <is>
          <t>M8B2</t>
        </is>
      </c>
      <c r="B119" s="6" t="inlineStr">
        <is>
          <t>C1096-Q9558</t>
        </is>
      </c>
      <c r="C119" s="6" t="inlineStr">
        <is>
          <t>Morropón</t>
        </is>
      </c>
      <c r="D119" s="6" t="inlineStr">
        <is>
          <t>Santo Domingo</t>
        </is>
      </c>
      <c r="E119" s="11" t="n">
        <v>35.347</v>
      </c>
      <c r="F119" s="6" t="n">
        <v>1</v>
      </c>
      <c r="G119" s="11" t="n">
        <v>22.654</v>
      </c>
      <c r="H119" s="29" t="n">
        <v>0.5305</v>
      </c>
      <c r="I119" s="11" t="n">
        <v>11.037</v>
      </c>
      <c r="J119" s="6" t="inlineStr">
        <is>
          <t>Bosque estacionalmente seco de colina y montaña</t>
        </is>
      </c>
      <c r="K119" s="12" t="n">
        <v>0.5778</v>
      </c>
      <c r="L119" s="6" t="n">
        <v>1</v>
      </c>
      <c r="M119" s="30" t="n">
        <v>617578.26</v>
      </c>
      <c r="N119" s="30" t="n">
        <v>9436245.039999999</v>
      </c>
    </row>
    <row r="120">
      <c r="A120" s="8" t="inlineStr">
        <is>
          <t>49</t>
        </is>
      </c>
      <c r="B120" s="8" t="inlineStr">
        <is>
          <t>C1086-Q9575</t>
        </is>
      </c>
      <c r="C120" s="8" t="inlineStr">
        <is>
          <t>Morropón</t>
        </is>
      </c>
      <c r="D120" s="8" t="inlineStr">
        <is>
          <t>Yamango</t>
        </is>
      </c>
      <c r="E120" s="15" t="n">
        <v>15.839</v>
      </c>
      <c r="F120" s="8" t="n">
        <v>1</v>
      </c>
      <c r="G120" s="15" t="n">
        <v>14.677</v>
      </c>
      <c r="H120" s="31" t="n">
        <v>0.6860000000000001</v>
      </c>
      <c r="I120" s="15" t="n">
        <v>0.577</v>
      </c>
      <c r="J120" s="8" t="inlineStr">
        <is>
          <t>Zona agrícola</t>
        </is>
      </c>
      <c r="K120" s="16" t="n">
        <v>0.6967</v>
      </c>
      <c r="L120" s="8" t="n">
        <v>1</v>
      </c>
      <c r="M120" s="32" t="n">
        <v>642338.91</v>
      </c>
      <c r="N120" s="32" t="n">
        <v>9438260.93</v>
      </c>
    </row>
    <row r="121">
      <c r="A121" s="6" t="inlineStr">
        <is>
          <t>52</t>
        </is>
      </c>
      <c r="B121" s="6" t="inlineStr">
        <is>
          <t>C1086-Q9575</t>
        </is>
      </c>
      <c r="C121" s="6" t="inlineStr">
        <is>
          <t>Morropón</t>
        </is>
      </c>
      <c r="D121" s="6" t="inlineStr">
        <is>
          <t>Yamango</t>
        </is>
      </c>
      <c r="E121" s="11" t="n">
        <v>11.059</v>
      </c>
      <c r="F121" s="6" t="n">
        <v>1</v>
      </c>
      <c r="G121" s="11" t="n">
        <v>20.069</v>
      </c>
      <c r="H121" s="29" t="n">
        <v>0.6685</v>
      </c>
      <c r="I121" s="11" t="n">
        <v>0.42</v>
      </c>
      <c r="J121" s="6" t="inlineStr">
        <is>
          <t>Zona agrícola</t>
        </is>
      </c>
      <c r="K121" s="12" t="n">
        <v>0.6085</v>
      </c>
      <c r="L121" s="6" t="n">
        <v>1</v>
      </c>
      <c r="M121" s="30" t="n">
        <v>641505.46</v>
      </c>
      <c r="N121" s="30" t="n">
        <v>9438063.050000001</v>
      </c>
    </row>
    <row r="122">
      <c r="A122" s="8" t="inlineStr">
        <is>
          <t>55</t>
        </is>
      </c>
      <c r="B122" s="8" t="inlineStr">
        <is>
          <t>C1086-Q9575</t>
        </is>
      </c>
      <c r="C122" s="8" t="inlineStr">
        <is>
          <t>Morropón</t>
        </is>
      </c>
      <c r="D122" s="8" t="inlineStr">
        <is>
          <t>Yamango</t>
        </is>
      </c>
      <c r="E122" s="15" t="n">
        <v>0.859</v>
      </c>
      <c r="F122" s="8" t="n">
        <v>1</v>
      </c>
      <c r="G122" s="15" t="n">
        <v>1.998</v>
      </c>
      <c r="H122" s="31" t="n">
        <v>0.63</v>
      </c>
      <c r="I122" s="15" t="n">
        <v>0.015</v>
      </c>
      <c r="J122" s="8" t="inlineStr">
        <is>
          <t>Zona agrícola</t>
        </is>
      </c>
      <c r="K122" s="16" t="n">
        <v>1</v>
      </c>
      <c r="L122" s="8" t="n">
        <v>1</v>
      </c>
      <c r="M122" s="32" t="n">
        <v>642684.45</v>
      </c>
      <c r="N122" s="32" t="n">
        <v>9438403.82</v>
      </c>
    </row>
    <row r="123">
      <c r="A123" s="6" t="inlineStr">
        <is>
          <t>M28B2</t>
        </is>
      </c>
      <c r="B123" s="6" t="inlineStr">
        <is>
          <t>C1086-Q9575</t>
        </is>
      </c>
      <c r="C123" s="6" t="inlineStr">
        <is>
          <t>Morropón</t>
        </is>
      </c>
      <c r="D123" s="6" t="inlineStr">
        <is>
          <t>Yamango</t>
        </is>
      </c>
      <c r="E123" s="11" t="n">
        <v>90.197</v>
      </c>
      <c r="F123" s="6" t="n">
        <v>4</v>
      </c>
      <c r="G123" s="11" t="n">
        <v>146.688</v>
      </c>
      <c r="H123" s="29" t="n">
        <v>0.4753</v>
      </c>
      <c r="I123" s="11" t="n">
        <v>56.096</v>
      </c>
      <c r="J123" s="6" t="inlineStr">
        <is>
          <t>Bosque estacionalmente seco de colina y montaña</t>
        </is>
      </c>
      <c r="K123" s="12" t="n">
        <v>0.9915</v>
      </c>
      <c r="L123" s="6" t="n">
        <v>2</v>
      </c>
      <c r="M123" s="30" t="n">
        <v>636317.17</v>
      </c>
      <c r="N123" s="30" t="n">
        <v>9425613.26</v>
      </c>
    </row>
    <row r="124">
      <c r="A124" s="8" t="inlineStr">
        <is>
          <t>M28B3</t>
        </is>
      </c>
      <c r="B124" s="8" t="inlineStr">
        <is>
          <t>C1086-Q9575</t>
        </is>
      </c>
      <c r="C124" s="8" t="inlineStr">
        <is>
          <t>Morropón</t>
        </is>
      </c>
      <c r="D124" s="8" t="inlineStr">
        <is>
          <t>Yamango</t>
        </is>
      </c>
      <c r="E124" s="15" t="n">
        <v>58.292</v>
      </c>
      <c r="F124" s="8" t="n">
        <v>1</v>
      </c>
      <c r="G124" s="15" t="n">
        <v>29.752</v>
      </c>
      <c r="H124" s="31" t="n">
        <v>0.5075</v>
      </c>
      <c r="I124" s="15" t="n">
        <v>28.952</v>
      </c>
      <c r="J124" s="8" t="inlineStr">
        <is>
          <t>Bosque estacionalmente seco de colina y montaña</t>
        </is>
      </c>
      <c r="K124" s="16" t="n">
        <v>0.9387</v>
      </c>
      <c r="L124" s="8" t="n">
        <v>1</v>
      </c>
      <c r="M124" s="32" t="n">
        <v>634093.84</v>
      </c>
      <c r="N124" s="32" t="n">
        <v>9426720.57</v>
      </c>
    </row>
    <row r="125">
      <c r="A125" s="6" t="inlineStr">
        <is>
          <t>M28B4</t>
        </is>
      </c>
      <c r="B125" s="6" t="inlineStr">
        <is>
          <t>C1086-Q9575</t>
        </is>
      </c>
      <c r="C125" s="6" t="inlineStr">
        <is>
          <t>Morropón</t>
        </is>
      </c>
      <c r="D125" s="6" t="inlineStr">
        <is>
          <t>Yamango</t>
        </is>
      </c>
      <c r="E125" s="11" t="n">
        <v>283.428</v>
      </c>
      <c r="F125" s="6" t="n">
        <v>1</v>
      </c>
      <c r="G125" s="11" t="n">
        <v>116.586</v>
      </c>
      <c r="H125" s="29" t="n">
        <v>0.4275</v>
      </c>
      <c r="I125" s="11" t="n">
        <v>212.024</v>
      </c>
      <c r="J125" s="6" t="inlineStr">
        <is>
          <t>Bosque estacionalmente seco de colina y montaña</t>
        </is>
      </c>
      <c r="K125" s="12" t="n">
        <v>1</v>
      </c>
      <c r="L125" s="6" t="n">
        <v>3</v>
      </c>
      <c r="M125" s="30" t="n">
        <v>626285.83</v>
      </c>
      <c r="N125" s="30" t="n">
        <v>9427072.529999999</v>
      </c>
    </row>
    <row r="126">
      <c r="A126" s="17" t="inlineStr">
        <is>
          <t>TOTAL</t>
        </is>
      </c>
      <c r="B126" s="17" t="n"/>
      <c r="C126" s="17" t="n"/>
      <c r="D126" s="17" t="n"/>
      <c r="E126" s="21">
        <f>SUM(E9:E125)</f>
        <v/>
      </c>
      <c r="F126" s="17">
        <f>SUM(F9:F125)</f>
        <v/>
      </c>
      <c r="G126" s="21">
        <f>SUM(G9:G125)</f>
        <v/>
      </c>
      <c r="H126" s="17" t="n"/>
      <c r="I126" s="21">
        <f>SUM(I9:I125)</f>
        <v/>
      </c>
      <c r="J126" s="17" t="n"/>
      <c r="K126" s="17" t="n"/>
      <c r="L126" s="17" t="n"/>
      <c r="M126" s="17" t="n"/>
      <c r="N126" s="17" t="n"/>
    </row>
    <row r="128" ht="26" customHeight="1">
      <c r="A128" s="28" t="inlineStr">
        <is>
          <t>La columna «CCPP asociados» cuenta los centros poblados vinculados al bloque; un mismo centro poblado puede atender a varios bloques, por lo que no se suma entre bloques. El punto interior es un punto garantizado dentro del polígono (UTM WGS84 17S), útil para ubicar el bloque.</t>
        </is>
      </c>
    </row>
  </sheetData>
  <autoFilter ref="A8:N125"/>
  <mergeCells count="7">
    <mergeCell ref="A3:N3"/>
    <mergeCell ref="A6:N6"/>
    <mergeCell ref="A4:N4"/>
    <mergeCell ref="A2:N2"/>
    <mergeCell ref="A128:N128"/>
    <mergeCell ref="A5:N5"/>
    <mergeCell ref="A1:N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60" customWidth="1" min="4" max="4"/>
    <col width="36" customWidth="1" min="5" max="5"/>
    <col width="40" customWidth="1" min="6" max="6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A2. MATRIZ DE CRITERIOS DE SELECCIÓN Y PRIORIZACIÓN DE LOS ÁMBITOS DE INTERVENCIÓN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Nota Técnica de Meso y Microlocalización IN (ANIN-DIME, 2023) y procedimiento AdR-CCC territorial del Proyecto IN Piura</t>
        </is>
      </c>
    </row>
    <row r="8" ht="30" customHeight="1">
      <c r="A8" s="4" t="inlineStr">
        <is>
          <t>Paso</t>
        </is>
      </c>
      <c r="B8" s="4" t="inlineStr">
        <is>
          <t>Etapa</t>
        </is>
      </c>
      <c r="C8" s="4" t="inlineStr">
        <is>
          <t>Criterio</t>
        </is>
      </c>
      <c r="D8" s="4" t="inlineStr">
        <is>
          <t>Variable / parámetro y regla</t>
        </is>
      </c>
      <c r="E8" s="4" t="inlineStr">
        <is>
          <t>Fuente de información</t>
        </is>
      </c>
      <c r="F8" s="4" t="inlineStr">
        <is>
          <t>Producto / resultado</t>
        </is>
      </c>
    </row>
    <row r="9">
      <c r="A9" s="33" t="n">
        <v>1</v>
      </c>
      <c r="B9" s="33" t="inlineStr">
        <is>
          <t>Mesolocalización</t>
        </is>
      </c>
      <c r="C9" s="33" t="inlineStr">
        <is>
          <t>Peligro integrado (PI) en la cuenca alta</t>
        </is>
      </c>
      <c r="D9" s="33" t="inlineStr">
        <is>
          <t>Modelamiento GIS por análisis multicriterio (MCA) y proceso analítico jerárquico (AHP) de: peligro por movimientos en masa (PMM: geología, pendiente, TPI, cobertura vegetal; desencadenante: precipitación acumulada multianual; parámetro: tendencia a la degradación TAU/NDVI), erosión potencial hídrica (EPH) y peligro generador de inundaciones (PGI: pendiente, escorrentía total, NDVI). PI en 5 niveles (muy bajo a muy alto).</t>
        </is>
      </c>
      <c r="E9" s="33" t="inlineStr">
        <is>
          <t>Sentinel-2, Landsat, DEM, WorldClim, SENAMHI, INGEMMET</t>
        </is>
      </c>
      <c r="F9" s="33" t="inlineStr">
        <is>
          <t>Mapa de peligro integrado y microcuencas priorizadas (26 microcuencas con bloques V6)</t>
        </is>
      </c>
    </row>
    <row r="10">
      <c r="A10" s="34" t="n">
        <v>2</v>
      </c>
      <c r="B10" s="34" t="inlineStr">
        <is>
          <t>Digitalización</t>
        </is>
      </c>
      <c r="C10" s="34" t="inlineStr">
        <is>
          <t>Áreas con PI medio, alto y muy alto</t>
        </is>
      </c>
      <c r="D10" s="34" t="inlineStr">
        <is>
          <t>Delimitación semiautomática o manual de bloques sobre las microcuencas priorizadas, en zonas de origen del peligro (cuenca alta), no en la zona de impacto.</t>
        </is>
      </c>
      <c r="E10" s="34" t="inlineStr">
        <is>
          <t>Mapa de PI; imágenes satelitales</t>
        </is>
      </c>
      <c r="F10" s="34" t="inlineStr">
        <is>
          <t>Bloques preliminares de intervención</t>
        </is>
      </c>
    </row>
    <row r="11">
      <c r="A11" s="33" t="n">
        <v>3</v>
      </c>
      <c r="B11" s="33" t="inlineStr">
        <is>
          <t>Filtros de exclusión</t>
        </is>
      </c>
      <c r="C11" s="33" t="inlineStr">
        <is>
          <t>Restos arqueológicos</t>
        </is>
      </c>
      <c r="D11" s="33" t="inlineStr">
        <is>
          <t>Exclusión de superficies con sitios arqueológicos declarados.</t>
        </is>
      </c>
      <c r="E11" s="33" t="inlineStr">
        <is>
          <t>SIGDA — Ministerio de Cultura</t>
        </is>
      </c>
      <c r="F11" s="33" t="inlineStr">
        <is>
          <t>Bloques depurados</t>
        </is>
      </c>
    </row>
    <row r="12">
      <c r="A12" s="34" t="n">
        <v>3</v>
      </c>
      <c r="B12" s="34" t="inlineStr">
        <is>
          <t>Filtros de exclusión</t>
        </is>
      </c>
      <c r="C12" s="34" t="inlineStr">
        <is>
          <t>Concesiones mineras activas</t>
        </is>
      </c>
      <c r="D12" s="34" t="inlineStr">
        <is>
          <t>Exclusión de superficies con concesiones mineras vigentes.</t>
        </is>
      </c>
      <c r="E12" s="34" t="inlineStr">
        <is>
          <t>INGEMMET (GEOCATMIN)</t>
        </is>
      </c>
      <c r="F12" s="34" t="inlineStr">
        <is>
          <t>Bloques depurados</t>
        </is>
      </c>
    </row>
    <row r="13">
      <c r="A13" s="33" t="n">
        <v>3</v>
      </c>
      <c r="B13" s="33" t="inlineStr">
        <is>
          <t>Filtros de exclusión</t>
        </is>
      </c>
      <c r="C13" s="33" t="inlineStr">
        <is>
          <t>Infraestructura eléctrica</t>
        </is>
      </c>
      <c r="D13" s="33" t="inlineStr">
        <is>
          <t>Exclusión de líneas eléctricas con franja (buffer) de 10 m.</t>
        </is>
      </c>
      <c r="E13" s="33" t="inlineStr">
        <is>
          <t>OSINERGMIN</t>
        </is>
      </c>
      <c r="F13" s="33" t="inlineStr">
        <is>
          <t>Bloques depurados</t>
        </is>
      </c>
    </row>
    <row r="14">
      <c r="A14" s="34" t="n">
        <v>3</v>
      </c>
      <c r="B14" s="34" t="inlineStr">
        <is>
          <t>Filtros de exclusión</t>
        </is>
      </c>
      <c r="C14" s="34" t="inlineStr">
        <is>
          <t>Áreas Naturales Protegidas</t>
        </is>
      </c>
      <c r="D14" s="34" t="inlineStr">
        <is>
          <t>Exclusión de superficies dentro de ANP.</t>
        </is>
      </c>
      <c r="E14" s="34" t="inlineStr">
        <is>
          <t>SERNANP</t>
        </is>
      </c>
      <c r="F14" s="34" t="inlineStr">
        <is>
          <t>Bloques depurados</t>
        </is>
      </c>
    </row>
    <row r="15">
      <c r="A15" s="33" t="n">
        <v>4</v>
      </c>
      <c r="B15" s="33" t="inlineStr">
        <is>
          <t>Idoneidad</t>
        </is>
      </c>
      <c r="C15" s="33" t="inlineStr">
        <is>
          <t>Accesibilidad</t>
        </is>
      </c>
      <c r="D15" s="33" t="inlineStr">
        <is>
          <t>Acceso desde la red vial y caminos identificables.</t>
        </is>
      </c>
      <c r="E15" s="33" t="inlineStr">
        <is>
          <t>Red vial MTC; imágenes satelitales</t>
        </is>
      </c>
      <c r="F15" s="33" t="inlineStr">
        <is>
          <t>Bloques accesibles</t>
        </is>
      </c>
    </row>
    <row r="16">
      <c r="A16" s="34" t="n">
        <v>4</v>
      </c>
      <c r="B16" s="34" t="inlineStr">
        <is>
          <t>Idoneidad</t>
        </is>
      </c>
      <c r="C16" s="34" t="inlineStr">
        <is>
          <t>Pendiente máxima</t>
        </is>
      </c>
      <c r="D16" s="34" t="inlineStr">
        <is>
          <t>Pendiente ≤ 75 %.</t>
        </is>
      </c>
      <c r="E16" s="34" t="inlineStr">
        <is>
          <t>DEM</t>
        </is>
      </c>
      <c r="F16" s="34" t="inlineStr">
        <is>
          <t>Bloques técnicamente intervenibles</t>
        </is>
      </c>
    </row>
    <row r="17">
      <c r="A17" s="33" t="n">
        <v>4</v>
      </c>
      <c r="B17" s="33" t="inlineStr">
        <is>
          <t>Idoneidad</t>
        </is>
      </c>
      <c r="C17" s="33" t="inlineStr">
        <is>
          <t>Cobertura territorial</t>
        </is>
      </c>
      <c r="D17" s="33" t="inlineStr">
        <is>
          <t>Cobertura de los distritos priorizados (15 distritos de Ayabaca, Huancabamba y Morropón).</t>
        </is>
      </c>
      <c r="E17" s="33" t="inlineStr">
        <is>
          <t>Límites INEI</t>
        </is>
      </c>
      <c r="F17" s="33" t="inlineStr">
        <is>
          <t>Distribución territorial de bloques</t>
        </is>
      </c>
    </row>
    <row r="18">
      <c r="A18" s="34" t="n">
        <v>4</v>
      </c>
      <c r="B18" s="34" t="inlineStr">
        <is>
          <t>Idoneidad</t>
        </is>
      </c>
      <c r="C18" s="34" t="inlineStr">
        <is>
          <t>Déficit hídrico futuro</t>
        </is>
      </c>
      <c r="D18" s="34" t="inlineStr">
        <is>
          <t>Déficit hídrico proyectado con el modelo MPI-ESM1-2HR, escenario SSP5-8.5, periodo 2021-2040.</t>
        </is>
      </c>
      <c r="E18" s="34" t="inlineStr">
        <is>
          <t>Escenarios CMIP6</t>
        </is>
      </c>
      <c r="F18" s="34" t="inlineStr">
        <is>
          <t>Priorización por exposición climática</t>
        </is>
      </c>
    </row>
    <row r="19">
      <c r="A19" s="33" t="n">
        <v>5</v>
      </c>
      <c r="B19" s="33" t="inlineStr">
        <is>
          <t>Tamizaje predial</t>
        </is>
      </c>
      <c r="C19" s="33" t="inlineStr">
        <is>
          <t>Predios interceptados</t>
        </is>
      </c>
      <c r="D19" s="33" t="inlineStr">
        <is>
          <t>Máximo 19 predios rurales interceptados por bloque.</t>
        </is>
      </c>
      <c r="E19" s="33" t="inlineStr">
        <is>
          <t>Catastro rural (predios)</t>
        </is>
      </c>
      <c r="F19" s="33" t="inlineStr">
        <is>
          <t>Bloques con viabilidad de saneamiento</t>
        </is>
      </c>
    </row>
    <row r="20">
      <c r="A20" s="34" t="n">
        <v>5</v>
      </c>
      <c r="B20" s="34" t="inlineStr">
        <is>
          <t>Tamizaje predial</t>
        </is>
      </c>
      <c r="C20" s="34" t="inlineStr">
        <is>
          <t>Uso agrícola</t>
        </is>
      </c>
      <c r="D20" s="34" t="inlineStr">
        <is>
          <t>Exclusión de áreas agrícolas.</t>
        </is>
      </c>
      <c r="E20" s="34" t="inlineStr">
        <is>
          <t>Imágenes satelitales; catastro</t>
        </is>
      </c>
      <c r="F20" s="34" t="inlineStr">
        <is>
          <t>Bloques sin conflicto de uso</t>
        </is>
      </c>
    </row>
    <row r="21">
      <c r="A21" s="33" t="n">
        <v>6</v>
      </c>
      <c r="B21" s="33" t="inlineStr">
        <is>
          <t>Verificación de campo</t>
        </is>
      </c>
      <c r="C21" s="33" t="inlineStr">
        <is>
          <t>Accesibilidad real y uso actual</t>
        </is>
      </c>
      <c r="D21" s="33" t="inlineStr">
        <is>
          <t>Verificación de accesos, uso actual del suelo y evidencia de movimientos en masa y procesos erosivos (fichas F-DT-01 a F-DT-05; elementos expuestos F-EE-01 a F-EE-07).</t>
        </is>
      </c>
      <c r="E21" s="33" t="inlineStr">
        <is>
          <t>Brigadas de campo; aplicativo IN Piura / KoboToolbox; vuelos de dron</t>
        </is>
      </c>
      <c r="F21" s="33" t="inlineStr">
        <is>
          <t>Bloques verificados (catálogo V6: 117 bloques, 12,270.235 ha)</t>
        </is>
      </c>
    </row>
    <row r="22">
      <c r="A22" s="34" t="n">
        <v>6</v>
      </c>
      <c r="B22" s="34" t="inlineStr">
        <is>
          <t>Verificación de campo</t>
        </is>
      </c>
      <c r="C22" s="34" t="inlineStr">
        <is>
          <t>Riesgo social y aceptación</t>
        </is>
      </c>
      <c r="D22" s="34" t="inlineStr">
        <is>
          <t>Riesgo social, aceptación de titulares y posesionarios (fichas F-DS y F-LA de liberación de áreas: identificación de prediantes, actas).</t>
        </is>
      </c>
      <c r="E22" s="34" t="inlineStr">
        <is>
          <t>Equipo social y legal</t>
        </is>
      </c>
      <c r="F22" s="34" t="inlineStr">
        <is>
          <t>Bloques con aceptación; codificación M#-B#</t>
        </is>
      </c>
    </row>
  </sheetData>
  <autoFilter ref="A8:F22"/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6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22" customWidth="1" min="5" max="5"/>
    <col width="15" customWidth="1" min="6" max="6"/>
    <col width="14" customWidth="1" min="7" max="7"/>
    <col width="19" customWidth="1" min="8" max="8"/>
    <col width="14" customWidth="1" min="9" max="9"/>
    <col width="14" customWidth="1" min="10" max="10"/>
    <col width="24" customWidth="1" min="11" max="11"/>
    <col width="26" customWidth="1" min="12" max="12"/>
    <col width="14" customWidth="1" min="13" max="13"/>
    <col width="14" customWidth="1" min="14" max="14"/>
    <col width="18" customWidth="1" min="15" max="15"/>
    <col width="60" customWidth="1" min="16" max="16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A3. CENTROS POBLADOS ASOCIADOS A LOS BLOQUES V6 — POBLACIÓN Y VIVIENDAS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INEI, capa de centros poblados con población censal; asociación centro poblado–bloque del equipo social (CentrosPoblados-INEI-Bloques_v5, 24.09.2026, y bloques adicionales 83-87)</t>
        </is>
      </c>
    </row>
    <row r="8" ht="30" customHeight="1">
      <c r="A8" s="4" t="inlineStr">
        <is>
          <t>IDCCPP</t>
        </is>
      </c>
      <c r="B8" s="4" t="inlineStr">
        <is>
          <t>Centro poblado</t>
        </is>
      </c>
      <c r="C8" s="4" t="inlineStr">
        <is>
          <t>Provincia</t>
        </is>
      </c>
      <c r="D8" s="4" t="inlineStr">
        <is>
          <t>Distrito</t>
        </is>
      </c>
      <c r="E8" s="4" t="inlineStr">
        <is>
          <t>Bloques asociados</t>
        </is>
      </c>
      <c r="F8" s="4" t="inlineStr">
        <is>
          <t>N.° bloques</t>
        </is>
      </c>
      <c r="G8" s="4" t="inlineStr">
        <is>
          <t>Tipo</t>
        </is>
      </c>
      <c r="H8" s="4" t="inlineStr">
        <is>
          <t>Población total</t>
        </is>
      </c>
      <c r="I8" s="4" t="inlineStr">
        <is>
          <t>Hombres</t>
        </is>
      </c>
      <c r="J8" s="4" t="inlineStr">
        <is>
          <t>Mujeres</t>
        </is>
      </c>
      <c r="K8" s="4" t="inlineStr">
        <is>
          <t>Población vulnerable</t>
        </is>
      </c>
      <c r="L8" s="4" t="inlineStr">
        <is>
          <t>Viviendas particulares</t>
        </is>
      </c>
      <c r="M8" s="4" t="inlineStr">
        <is>
          <t>ESTE (m)</t>
        </is>
      </c>
      <c r="N8" s="4" t="inlineStr">
        <is>
          <t>NORTE (m)</t>
        </is>
      </c>
      <c r="O8" s="4" t="inlineStr">
        <is>
          <t>Control UTM</t>
        </is>
      </c>
      <c r="P8" s="4" t="inlineStr">
        <is>
          <t>Observación</t>
        </is>
      </c>
    </row>
    <row r="9">
      <c r="A9" s="6" t="inlineStr">
        <is>
          <t>2002020073</t>
        </is>
      </c>
      <c r="B9" s="6" t="inlineStr">
        <is>
          <t>Banda de la Cruz</t>
        </is>
      </c>
      <c r="C9" s="6" t="inlineStr">
        <is>
          <t>Ayabaca</t>
        </is>
      </c>
      <c r="D9" s="6" t="inlineStr">
        <is>
          <t>Frías</t>
        </is>
      </c>
      <c r="E9" s="6" t="inlineStr">
        <is>
          <t>56</t>
        </is>
      </c>
      <c r="F9" s="6" t="n">
        <v>1</v>
      </c>
      <c r="G9" s="6" t="inlineStr">
        <is>
          <t>Rural</t>
        </is>
      </c>
      <c r="H9" s="35" t="n">
        <v>75</v>
      </c>
      <c r="I9" s="35" t="n">
        <v>35</v>
      </c>
      <c r="J9" s="35" t="n">
        <v>40</v>
      </c>
      <c r="K9" s="35" t="n">
        <v>13</v>
      </c>
      <c r="L9" s="35" t="n">
        <v>19</v>
      </c>
      <c r="M9" s="30" t="n">
        <v>619831.9300000001</v>
      </c>
      <c r="N9" s="30" t="n">
        <v>9452099.16</v>
      </c>
      <c r="O9" s="6" t="inlineStr">
        <is>
          <t>OK</t>
        </is>
      </c>
      <c r="P9" s="6" t="inlineStr"/>
    </row>
    <row r="10">
      <c r="A10" s="8" t="inlineStr">
        <is>
          <t>2002020092</t>
        </is>
      </c>
      <c r="B10" s="8" t="inlineStr">
        <is>
          <t>El Guabo</t>
        </is>
      </c>
      <c r="C10" s="8" t="inlineStr">
        <is>
          <t>Ayabaca</t>
        </is>
      </c>
      <c r="D10" s="8" t="inlineStr">
        <is>
          <t>Frías</t>
        </is>
      </c>
      <c r="E10" s="8" t="inlineStr">
        <is>
          <t>M17B5, M17B6</t>
        </is>
      </c>
      <c r="F10" s="8" t="n">
        <v>2</v>
      </c>
      <c r="G10" s="8" t="inlineStr">
        <is>
          <t>Rural</t>
        </is>
      </c>
      <c r="H10" s="36" t="n">
        <v>74</v>
      </c>
      <c r="I10" s="36" t="n">
        <v>43</v>
      </c>
      <c r="J10" s="36" t="n">
        <v>31</v>
      </c>
      <c r="K10" s="36" t="n">
        <v>11</v>
      </c>
      <c r="L10" s="36" t="n">
        <v>20</v>
      </c>
      <c r="M10" s="32" t="n">
        <v>606700.0699999999</v>
      </c>
      <c r="N10" s="32" t="n">
        <v>9445746.869999999</v>
      </c>
      <c r="O10" s="8" t="inlineStr">
        <is>
          <t>OK</t>
        </is>
      </c>
      <c r="P10" s="8" t="inlineStr">
        <is>
          <t>Datos tomados del mismo centro poblado en otro bloque</t>
        </is>
      </c>
    </row>
    <row r="11">
      <c r="A11" s="6" t="inlineStr">
        <is>
          <t>2002020123</t>
        </is>
      </c>
      <c r="B11" s="6" t="inlineStr">
        <is>
          <t>El Mirador</t>
        </is>
      </c>
      <c r="C11" s="6" t="inlineStr">
        <is>
          <t>Ayabaca</t>
        </is>
      </c>
      <c r="D11" s="6" t="inlineStr">
        <is>
          <t>Frías</t>
        </is>
      </c>
      <c r="E11" s="6" t="inlineStr">
        <is>
          <t>3</t>
        </is>
      </c>
      <c r="F11" s="6" t="n">
        <v>1</v>
      </c>
      <c r="G11" s="6" t="inlineStr">
        <is>
          <t>Rural</t>
        </is>
      </c>
      <c r="H11" s="35" t="n">
        <v>25</v>
      </c>
      <c r="I11" s="35" t="n">
        <v>16</v>
      </c>
      <c r="J11" s="35" t="n">
        <v>9</v>
      </c>
      <c r="K11" s="35" t="n">
        <v>3</v>
      </c>
      <c r="L11" s="35" t="n">
        <v>6</v>
      </c>
      <c r="M11" s="30" t="n">
        <v>605865.6800000001</v>
      </c>
      <c r="N11" s="30" t="n">
        <v>9459026.699999999</v>
      </c>
      <c r="O11" s="6" t="inlineStr">
        <is>
          <t>OK</t>
        </is>
      </c>
      <c r="P11" s="6" t="inlineStr"/>
    </row>
    <row r="12">
      <c r="A12" s="8" t="inlineStr">
        <is>
          <t>2002020057</t>
        </is>
      </c>
      <c r="B12" s="8" t="inlineStr">
        <is>
          <t>Guabal</t>
        </is>
      </c>
      <c r="C12" s="8" t="inlineStr">
        <is>
          <t>Ayabaca</t>
        </is>
      </c>
      <c r="D12" s="8" t="inlineStr">
        <is>
          <t>Frías</t>
        </is>
      </c>
      <c r="E12" s="8" t="inlineStr">
        <is>
          <t>6, 36</t>
        </is>
      </c>
      <c r="F12" s="8" t="n">
        <v>2</v>
      </c>
      <c r="G12" s="8" t="inlineStr">
        <is>
          <t>Rural</t>
        </is>
      </c>
      <c r="H12" s="36" t="n">
        <v>280</v>
      </c>
      <c r="I12" s="36" t="n">
        <v>133</v>
      </c>
      <c r="J12" s="36" t="n">
        <v>147</v>
      </c>
      <c r="K12" s="36" t="n">
        <v>47</v>
      </c>
      <c r="L12" s="36" t="n">
        <v>88</v>
      </c>
      <c r="M12" s="32" t="n">
        <v>607202.67</v>
      </c>
      <c r="N12" s="32" t="n">
        <v>9454584.57</v>
      </c>
      <c r="O12" s="8" t="inlineStr">
        <is>
          <t>OK</t>
        </is>
      </c>
      <c r="P12" s="8" t="inlineStr"/>
    </row>
    <row r="13">
      <c r="A13" s="6" t="inlineStr">
        <is>
          <t>2002020060</t>
        </is>
      </c>
      <c r="B13" s="6" t="inlineStr">
        <is>
          <t>Guanabano Alto</t>
        </is>
      </c>
      <c r="C13" s="6" t="inlineStr">
        <is>
          <t>Ayabaca</t>
        </is>
      </c>
      <c r="D13" s="6" t="inlineStr">
        <is>
          <t>Frías</t>
        </is>
      </c>
      <c r="E13" s="6" t="inlineStr">
        <is>
          <t>6</t>
        </is>
      </c>
      <c r="F13" s="6" t="n">
        <v>1</v>
      </c>
      <c r="G13" s="6" t="inlineStr">
        <is>
          <t>Rural</t>
        </is>
      </c>
      <c r="H13" s="35" t="n">
        <v>248</v>
      </c>
      <c r="I13" s="35" t="n">
        <v>120</v>
      </c>
      <c r="J13" s="35" t="n">
        <v>128</v>
      </c>
      <c r="K13" s="35" t="n">
        <v>28</v>
      </c>
      <c r="L13" s="35" t="n">
        <v>75</v>
      </c>
      <c r="M13" s="30" t="n">
        <v>604359.22</v>
      </c>
      <c r="N13" s="30" t="n">
        <v>9454523.050000001</v>
      </c>
      <c r="O13" s="6" t="inlineStr">
        <is>
          <t>OK</t>
        </is>
      </c>
      <c r="P13" s="6" t="inlineStr"/>
    </row>
    <row r="14">
      <c r="A14" s="8" t="inlineStr">
        <is>
          <t>2002020107</t>
        </is>
      </c>
      <c r="B14" s="8" t="inlineStr">
        <is>
          <t>Huasipe de Geraldo</t>
        </is>
      </c>
      <c r="C14" s="8" t="inlineStr">
        <is>
          <t>Ayabaca</t>
        </is>
      </c>
      <c r="D14" s="8" t="inlineStr">
        <is>
          <t>Frías</t>
        </is>
      </c>
      <c r="E14" s="8" t="inlineStr">
        <is>
          <t>3</t>
        </is>
      </c>
      <c r="F14" s="8" t="n">
        <v>1</v>
      </c>
      <c r="G14" s="8" t="inlineStr">
        <is>
          <t>Rural</t>
        </is>
      </c>
      <c r="H14" s="36" t="n">
        <v>116</v>
      </c>
      <c r="I14" s="36" t="n">
        <v>55</v>
      </c>
      <c r="J14" s="36" t="n">
        <v>61</v>
      </c>
      <c r="K14" s="36" t="n">
        <v>25</v>
      </c>
      <c r="L14" s="36" t="n">
        <v>35</v>
      </c>
      <c r="M14" s="32" t="n">
        <v>608730.61</v>
      </c>
      <c r="N14" s="32" t="n">
        <v>9459375.43</v>
      </c>
      <c r="O14" s="8" t="inlineStr">
        <is>
          <t>OK</t>
        </is>
      </c>
      <c r="P14" s="8" t="inlineStr"/>
    </row>
    <row r="15">
      <c r="A15" s="6" t="inlineStr">
        <is>
          <t>2002020019</t>
        </is>
      </c>
      <c r="B15" s="6" t="inlineStr">
        <is>
          <t>Huayabal</t>
        </is>
      </c>
      <c r="C15" s="6" t="inlineStr">
        <is>
          <t>Ayabaca</t>
        </is>
      </c>
      <c r="D15" s="6" t="inlineStr">
        <is>
          <t>Frías</t>
        </is>
      </c>
      <c r="E15" s="6" t="inlineStr">
        <is>
          <t>3</t>
        </is>
      </c>
      <c r="F15" s="6" t="n">
        <v>1</v>
      </c>
      <c r="G15" s="6" t="inlineStr">
        <is>
          <t>Rural</t>
        </is>
      </c>
      <c r="H15" s="35" t="n">
        <v>47</v>
      </c>
      <c r="I15" s="35" t="n">
        <v>25</v>
      </c>
      <c r="J15" s="35" t="n">
        <v>22</v>
      </c>
      <c r="K15" s="35" t="n">
        <v>4</v>
      </c>
      <c r="L15" s="35" t="n">
        <v>20</v>
      </c>
      <c r="M15" s="30" t="n">
        <v>605127.04</v>
      </c>
      <c r="N15" s="30" t="n">
        <v>9458671.029999999</v>
      </c>
      <c r="O15" s="6" t="inlineStr">
        <is>
          <t>OK</t>
        </is>
      </c>
      <c r="P15" s="6" t="inlineStr"/>
    </row>
    <row r="16">
      <c r="A16" s="8" t="inlineStr">
        <is>
          <t>2002020085</t>
        </is>
      </c>
      <c r="B16" s="8" t="inlineStr">
        <is>
          <t>La Cria</t>
        </is>
      </c>
      <c r="C16" s="8" t="inlineStr">
        <is>
          <t>Ayabaca</t>
        </is>
      </c>
      <c r="D16" s="8" t="inlineStr">
        <is>
          <t>Frías</t>
        </is>
      </c>
      <c r="E16" s="8" t="inlineStr">
        <is>
          <t>39</t>
        </is>
      </c>
      <c r="F16" s="8" t="n">
        <v>1</v>
      </c>
      <c r="G16" s="8" t="inlineStr">
        <is>
          <t>Rural</t>
        </is>
      </c>
      <c r="H16" s="36" t="n">
        <v>327</v>
      </c>
      <c r="I16" s="36" t="n">
        <v>166</v>
      </c>
      <c r="J16" s="36" t="n">
        <v>161</v>
      </c>
      <c r="K16" s="36" t="n">
        <v>35</v>
      </c>
      <c r="L16" s="36" t="n">
        <v>85</v>
      </c>
      <c r="M16" s="32" t="n">
        <v>619276.5699999999</v>
      </c>
      <c r="N16" s="32" t="n">
        <v>9449240.85</v>
      </c>
      <c r="O16" s="8" t="inlineStr">
        <is>
          <t>OK</t>
        </is>
      </c>
      <c r="P16" s="8" t="inlineStr"/>
    </row>
    <row r="17">
      <c r="A17" s="6" t="inlineStr">
        <is>
          <t>2002020127</t>
        </is>
      </c>
      <c r="B17" s="6" t="inlineStr">
        <is>
          <t>Linderos de Misquis</t>
        </is>
      </c>
      <c r="C17" s="6" t="inlineStr">
        <is>
          <t>Ayabaca</t>
        </is>
      </c>
      <c r="D17" s="6" t="inlineStr">
        <is>
          <t>Frías</t>
        </is>
      </c>
      <c r="E17" s="6" t="inlineStr">
        <is>
          <t>27</t>
        </is>
      </c>
      <c r="F17" s="6" t="n">
        <v>1</v>
      </c>
      <c r="G17" s="6" t="inlineStr">
        <is>
          <t>Rural</t>
        </is>
      </c>
      <c r="H17" s="35" t="n">
        <v>28</v>
      </c>
      <c r="I17" s="35" t="n">
        <v>13</v>
      </c>
      <c r="J17" s="35" t="n">
        <v>15</v>
      </c>
      <c r="K17" s="35" t="n">
        <v>7</v>
      </c>
      <c r="L17" s="35" t="n">
        <v>14</v>
      </c>
      <c r="M17" s="30" t="n">
        <v>612421.49</v>
      </c>
      <c r="N17" s="30" t="n">
        <v>9450333.310000001</v>
      </c>
      <c r="O17" s="6" t="inlineStr">
        <is>
          <t>OK</t>
        </is>
      </c>
      <c r="P17" s="6" t="inlineStr"/>
    </row>
    <row r="18">
      <c r="A18" s="8" t="inlineStr">
        <is>
          <t>2002020018</t>
        </is>
      </c>
      <c r="B18" s="8" t="inlineStr">
        <is>
          <t>Los Checches</t>
        </is>
      </c>
      <c r="C18" s="8" t="inlineStr">
        <is>
          <t>Ayabaca</t>
        </is>
      </c>
      <c r="D18" s="8" t="inlineStr">
        <is>
          <t>Frías</t>
        </is>
      </c>
      <c r="E18" s="8" t="inlineStr">
        <is>
          <t>3</t>
        </is>
      </c>
      <c r="F18" s="8" t="n">
        <v>1</v>
      </c>
      <c r="G18" s="8" t="inlineStr">
        <is>
          <t>Rural</t>
        </is>
      </c>
      <c r="H18" s="36" t="n">
        <v>191</v>
      </c>
      <c r="I18" s="36" t="n">
        <v>96</v>
      </c>
      <c r="J18" s="36" t="n">
        <v>95</v>
      </c>
      <c r="K18" s="36" t="n">
        <v>32</v>
      </c>
      <c r="L18" s="36" t="n">
        <v>53</v>
      </c>
      <c r="M18" s="32" t="n">
        <v>607045.09</v>
      </c>
      <c r="N18" s="32" t="n">
        <v>9459366.26</v>
      </c>
      <c r="O18" s="8" t="inlineStr">
        <is>
          <t>OK</t>
        </is>
      </c>
      <c r="P18" s="8" t="inlineStr"/>
    </row>
    <row r="19">
      <c r="A19" s="6" t="inlineStr">
        <is>
          <t>2002020058</t>
        </is>
      </c>
      <c r="B19" s="6" t="inlineStr">
        <is>
          <t>Nogal</t>
        </is>
      </c>
      <c r="C19" s="6" t="inlineStr">
        <is>
          <t>Ayabaca</t>
        </is>
      </c>
      <c r="D19" s="6" t="inlineStr">
        <is>
          <t>Frías</t>
        </is>
      </c>
      <c r="E19" s="6" t="inlineStr">
        <is>
          <t>6</t>
        </is>
      </c>
      <c r="F19" s="6" t="n">
        <v>1</v>
      </c>
      <c r="G19" s="6" t="inlineStr">
        <is>
          <t>Rural</t>
        </is>
      </c>
      <c r="H19" s="35" t="n">
        <v>9</v>
      </c>
      <c r="I19" s="35" t="n">
        <v>4</v>
      </c>
      <c r="J19" s="35" t="n">
        <v>5</v>
      </c>
      <c r="K19" s="35" t="n">
        <v>0</v>
      </c>
      <c r="L19" s="35" t="n">
        <v>3</v>
      </c>
      <c r="M19" s="30" t="n">
        <v>605223.4300000001</v>
      </c>
      <c r="N19" s="30" t="n">
        <v>9454965.51</v>
      </c>
      <c r="O19" s="6" t="inlineStr">
        <is>
          <t>OK</t>
        </is>
      </c>
      <c r="P19" s="6" t="inlineStr"/>
    </row>
    <row r="20">
      <c r="A20" s="8" t="inlineStr">
        <is>
          <t>2002020126</t>
        </is>
      </c>
      <c r="B20" s="8" t="inlineStr">
        <is>
          <t>Nueva Esperanza de Misquis</t>
        </is>
      </c>
      <c r="C20" s="8" t="inlineStr">
        <is>
          <t>Ayabaca</t>
        </is>
      </c>
      <c r="D20" s="8" t="inlineStr">
        <is>
          <t>Frías</t>
        </is>
      </c>
      <c r="E20" s="8" t="inlineStr">
        <is>
          <t>27</t>
        </is>
      </c>
      <c r="F20" s="8" t="n">
        <v>1</v>
      </c>
      <c r="G20" s="8" t="inlineStr">
        <is>
          <t>Rural</t>
        </is>
      </c>
      <c r="H20" s="36" t="n">
        <v>83</v>
      </c>
      <c r="I20" s="36" t="n">
        <v>41</v>
      </c>
      <c r="J20" s="36" t="n">
        <v>42</v>
      </c>
      <c r="K20" s="36" t="n">
        <v>16</v>
      </c>
      <c r="L20" s="36" t="n">
        <v>25</v>
      </c>
      <c r="M20" s="32" t="n">
        <v>612288.24</v>
      </c>
      <c r="N20" s="32" t="n">
        <v>9449603.109999999</v>
      </c>
      <c r="O20" s="8" t="inlineStr">
        <is>
          <t>OK</t>
        </is>
      </c>
      <c r="P20" s="8" t="inlineStr"/>
    </row>
    <row r="21">
      <c r="A21" s="6" t="inlineStr">
        <is>
          <t>2002020089</t>
        </is>
      </c>
      <c r="B21" s="6" t="inlineStr">
        <is>
          <t>Pampa de Ramada</t>
        </is>
      </c>
      <c r="C21" s="6" t="inlineStr">
        <is>
          <t>Ayabaca</t>
        </is>
      </c>
      <c r="D21" s="6" t="inlineStr">
        <is>
          <t>Frías</t>
        </is>
      </c>
      <c r="E21" s="6" t="inlineStr">
        <is>
          <t>M17B7</t>
        </is>
      </c>
      <c r="F21" s="6" t="n">
        <v>1</v>
      </c>
      <c r="G21" s="6" t="inlineStr">
        <is>
          <t>Rural</t>
        </is>
      </c>
      <c r="H21" s="35" t="n">
        <v>107</v>
      </c>
      <c r="I21" s="35" t="n">
        <v>51</v>
      </c>
      <c r="J21" s="35" t="n">
        <v>56</v>
      </c>
      <c r="K21" s="35" t="n">
        <v>21</v>
      </c>
      <c r="L21" s="35" t="n">
        <v>32</v>
      </c>
      <c r="M21" s="30" t="n">
        <v>609224.33</v>
      </c>
      <c r="N21" s="30" t="n">
        <v>9449680.710000001</v>
      </c>
      <c r="O21" s="6" t="inlineStr">
        <is>
          <t>OK</t>
        </is>
      </c>
      <c r="P21" s="6" t="inlineStr"/>
    </row>
    <row r="22">
      <c r="A22" s="8" t="inlineStr">
        <is>
          <t>2002020091</t>
        </is>
      </c>
      <c r="B22" s="8" t="inlineStr">
        <is>
          <t>Platanal Alto</t>
        </is>
      </c>
      <c r="C22" s="8" t="inlineStr">
        <is>
          <t>Ayabaca</t>
        </is>
      </c>
      <c r="D22" s="8" t="inlineStr">
        <is>
          <t>Frías</t>
        </is>
      </c>
      <c r="E22" s="8" t="inlineStr">
        <is>
          <t>M17B6</t>
        </is>
      </c>
      <c r="F22" s="8" t="n">
        <v>1</v>
      </c>
      <c r="G22" s="8" t="inlineStr">
        <is>
          <t>Rural</t>
        </is>
      </c>
      <c r="H22" s="36" t="n">
        <v>155</v>
      </c>
      <c r="I22" s="36" t="n">
        <v>84</v>
      </c>
      <c r="J22" s="36" t="n">
        <v>71</v>
      </c>
      <c r="K22" s="36" t="n">
        <v>36</v>
      </c>
      <c r="L22" s="36" t="n">
        <v>65</v>
      </c>
      <c r="M22" s="32" t="n">
        <v>606024.3</v>
      </c>
      <c r="N22" s="32" t="n">
        <v>9446104.76</v>
      </c>
      <c r="O22" s="8" t="inlineStr">
        <is>
          <t>OK</t>
        </is>
      </c>
      <c r="P22" s="8" t="inlineStr"/>
    </row>
    <row r="23">
      <c r="A23" s="6" t="inlineStr">
        <is>
          <t>2002020075</t>
        </is>
      </c>
      <c r="B23" s="6" t="inlineStr">
        <is>
          <t>Putagas</t>
        </is>
      </c>
      <c r="C23" s="6" t="inlineStr">
        <is>
          <t>Ayabaca</t>
        </is>
      </c>
      <c r="D23" s="6" t="inlineStr">
        <is>
          <t>Frías</t>
        </is>
      </c>
      <c r="E23" s="6" t="inlineStr">
        <is>
          <t>56</t>
        </is>
      </c>
      <c r="F23" s="6" t="n">
        <v>1</v>
      </c>
      <c r="G23" s="6" t="inlineStr">
        <is>
          <t>Rural</t>
        </is>
      </c>
      <c r="H23" s="35" t="n">
        <v>300</v>
      </c>
      <c r="I23" s="35" t="n">
        <v>146</v>
      </c>
      <c r="J23" s="35" t="n">
        <v>154</v>
      </c>
      <c r="K23" s="35" t="n">
        <v>28</v>
      </c>
      <c r="L23" s="35" t="n">
        <v>55</v>
      </c>
      <c r="M23" s="30" t="n">
        <v>620357.28</v>
      </c>
      <c r="N23" s="30" t="n">
        <v>9451508.470000001</v>
      </c>
      <c r="O23" s="6" t="inlineStr">
        <is>
          <t>OK</t>
        </is>
      </c>
      <c r="P23" s="6" t="inlineStr"/>
    </row>
    <row r="24">
      <c r="A24" s="8" t="inlineStr">
        <is>
          <t>2002020143</t>
        </is>
      </c>
      <c r="B24" s="8" t="inlineStr">
        <is>
          <t>Rincon de Geraldo</t>
        </is>
      </c>
      <c r="C24" s="8" t="inlineStr">
        <is>
          <t>Ayabaca</t>
        </is>
      </c>
      <c r="D24" s="8" t="inlineStr">
        <is>
          <t>Frías</t>
        </is>
      </c>
      <c r="E24" s="8" t="inlineStr">
        <is>
          <t>3</t>
        </is>
      </c>
      <c r="F24" s="8" t="n">
        <v>1</v>
      </c>
      <c r="G24" s="8" t="inlineStr">
        <is>
          <t>Rural</t>
        </is>
      </c>
      <c r="H24" s="36" t="n">
        <v>116</v>
      </c>
      <c r="I24" s="36" t="n">
        <v>62</v>
      </c>
      <c r="J24" s="36" t="n">
        <v>54</v>
      </c>
      <c r="K24" s="36" t="n">
        <v>14</v>
      </c>
      <c r="L24" s="36" t="n">
        <v>29</v>
      </c>
      <c r="M24" s="32" t="n">
        <v>608960.9</v>
      </c>
      <c r="N24" s="32" t="n">
        <v>9458875.939999999</v>
      </c>
      <c r="O24" s="8" t="inlineStr">
        <is>
          <t>OK</t>
        </is>
      </c>
      <c r="P24" s="8" t="inlineStr"/>
    </row>
    <row r="25">
      <c r="A25" s="6" t="inlineStr">
        <is>
          <t>2003020006</t>
        </is>
      </c>
      <c r="B25" s="6" t="inlineStr">
        <is>
          <t>Abalque</t>
        </is>
      </c>
      <c r="C25" s="6" t="inlineStr">
        <is>
          <t>Huancabamba</t>
        </is>
      </c>
      <c r="D25" s="6" t="inlineStr">
        <is>
          <t>Canchaque</t>
        </is>
      </c>
      <c r="E25" s="6" t="inlineStr">
        <is>
          <t>28</t>
        </is>
      </c>
      <c r="F25" s="6" t="n">
        <v>1</v>
      </c>
      <c r="G25" s="6" t="inlineStr">
        <is>
          <t>Rural</t>
        </is>
      </c>
      <c r="H25" s="35" t="n">
        <v>66</v>
      </c>
      <c r="I25" s="35" t="n">
        <v>37</v>
      </c>
      <c r="J25" s="35" t="n">
        <v>29</v>
      </c>
      <c r="K25" s="35" t="n">
        <v>10</v>
      </c>
      <c r="L25" s="35" t="n">
        <v>24</v>
      </c>
      <c r="M25" s="30" t="n">
        <v>653990.9300000001</v>
      </c>
      <c r="N25" s="30" t="n">
        <v>9423222.83</v>
      </c>
      <c r="O25" s="6" t="inlineStr">
        <is>
          <t>OK</t>
        </is>
      </c>
      <c r="P25" s="6" t="inlineStr"/>
    </row>
    <row r="26">
      <c r="A26" s="8" t="inlineStr">
        <is>
          <t>2003020057</t>
        </is>
      </c>
      <c r="B26" s="8" t="inlineStr">
        <is>
          <t>Almirante Miguel Grau</t>
        </is>
      </c>
      <c r="C26" s="8" t="inlineStr">
        <is>
          <t>Huancabamba</t>
        </is>
      </c>
      <c r="D26" s="8" t="inlineStr">
        <is>
          <t>Canchaque</t>
        </is>
      </c>
      <c r="E26" s="8" t="inlineStr">
        <is>
          <t>79</t>
        </is>
      </c>
      <c r="F26" s="8" t="n">
        <v>1</v>
      </c>
      <c r="G26" s="8" t="inlineStr">
        <is>
          <t>Rural</t>
        </is>
      </c>
      <c r="H26" s="36" t="n">
        <v>58</v>
      </c>
      <c r="I26" s="36" t="n">
        <v>30</v>
      </c>
      <c r="J26" s="36" t="n">
        <v>28</v>
      </c>
      <c r="K26" s="36" t="n">
        <v>21</v>
      </c>
      <c r="L26" s="36" t="n">
        <v>32</v>
      </c>
      <c r="M26" s="32" t="n">
        <v>649790.0699999999</v>
      </c>
      <c r="N26" s="32" t="n">
        <v>9404060.33</v>
      </c>
      <c r="O26" s="8" t="inlineStr">
        <is>
          <t>OK</t>
        </is>
      </c>
      <c r="P26" s="8" t="inlineStr"/>
    </row>
    <row r="27">
      <c r="A27" s="6" t="inlineStr">
        <is>
          <t>2003020020</t>
        </is>
      </c>
      <c r="B27" s="6" t="inlineStr">
        <is>
          <t>Chacchacal</t>
        </is>
      </c>
      <c r="C27" s="6" t="inlineStr">
        <is>
          <t>Huancabamba</t>
        </is>
      </c>
      <c r="D27" s="6" t="inlineStr">
        <is>
          <t>Canchaque</t>
        </is>
      </c>
      <c r="E27" s="6" t="inlineStr">
        <is>
          <t>40</t>
        </is>
      </c>
      <c r="F27" s="6" t="n">
        <v>1</v>
      </c>
      <c r="G27" s="6" t="inlineStr">
        <is>
          <t>Rural</t>
        </is>
      </c>
      <c r="H27" s="35" t="n">
        <v>33</v>
      </c>
      <c r="I27" s="35" t="n">
        <v>23</v>
      </c>
      <c r="J27" s="35" t="n">
        <v>10</v>
      </c>
      <c r="K27" s="35" t="n">
        <v>8</v>
      </c>
      <c r="L27" s="35" t="n">
        <v>24</v>
      </c>
      <c r="M27" s="30" t="n">
        <v>653864.09</v>
      </c>
      <c r="N27" s="30" t="n">
        <v>9424187.48</v>
      </c>
      <c r="O27" s="6" t="inlineStr">
        <is>
          <t>OK</t>
        </is>
      </c>
      <c r="P27" s="6" t="inlineStr"/>
    </row>
    <row r="28">
      <c r="A28" s="8" t="inlineStr">
        <is>
          <t>2003020008</t>
        </is>
      </c>
      <c r="B28" s="8" t="inlineStr">
        <is>
          <t>Chamelico</t>
        </is>
      </c>
      <c r="C28" s="8" t="inlineStr">
        <is>
          <t>Huancabamba</t>
        </is>
      </c>
      <c r="D28" s="8" t="inlineStr">
        <is>
          <t>Canchaque</t>
        </is>
      </c>
      <c r="E28" s="8" t="inlineStr">
        <is>
          <t>30</t>
        </is>
      </c>
      <c r="F28" s="8" t="n">
        <v>1</v>
      </c>
      <c r="G28" s="8" t="inlineStr">
        <is>
          <t>Rural</t>
        </is>
      </c>
      <c r="H28" s="36" t="n">
        <v>75</v>
      </c>
      <c r="I28" s="36" t="n">
        <v>40</v>
      </c>
      <c r="J28" s="36" t="n">
        <v>35</v>
      </c>
      <c r="K28" s="36" t="n">
        <v>16</v>
      </c>
      <c r="L28" s="36" t="n">
        <v>35</v>
      </c>
      <c r="M28" s="32" t="n">
        <v>651541.35</v>
      </c>
      <c r="N28" s="32" t="n">
        <v>9424082.35</v>
      </c>
      <c r="O28" s="8" t="inlineStr">
        <is>
          <t>OK</t>
        </is>
      </c>
      <c r="P28" s="8" t="inlineStr"/>
    </row>
    <row r="29">
      <c r="A29" s="6" t="inlineStr">
        <is>
          <t>2003020007</t>
        </is>
      </c>
      <c r="B29" s="6" t="inlineStr">
        <is>
          <t>Chorro Blanco</t>
        </is>
      </c>
      <c r="C29" s="6" t="inlineStr">
        <is>
          <t>Huancabamba</t>
        </is>
      </c>
      <c r="D29" s="6" t="inlineStr">
        <is>
          <t>Canchaque</t>
        </is>
      </c>
      <c r="E29" s="6" t="inlineStr">
        <is>
          <t>40</t>
        </is>
      </c>
      <c r="F29" s="6" t="n">
        <v>1</v>
      </c>
      <c r="G29" s="6" t="inlineStr">
        <is>
          <t>Rural</t>
        </is>
      </c>
      <c r="H29" s="35" t="n">
        <v>25</v>
      </c>
      <c r="I29" s="35" t="n">
        <v>15</v>
      </c>
      <c r="J29" s="35" t="n">
        <v>10</v>
      </c>
      <c r="K29" s="35" t="n">
        <v>6</v>
      </c>
      <c r="L29" s="35" t="n">
        <v>20</v>
      </c>
      <c r="M29" s="30" t="n">
        <v>654090.38</v>
      </c>
      <c r="N29" s="30" t="n">
        <v>9424088.390000001</v>
      </c>
      <c r="O29" s="6" t="inlineStr">
        <is>
          <t>OK</t>
        </is>
      </c>
      <c r="P29" s="6" t="inlineStr"/>
    </row>
    <row r="30">
      <c r="A30" s="8" t="inlineStr">
        <is>
          <t>2003020030</t>
        </is>
      </c>
      <c r="B30" s="8" t="inlineStr">
        <is>
          <t>Coyona</t>
        </is>
      </c>
      <c r="C30" s="8" t="inlineStr">
        <is>
          <t>Huancabamba</t>
        </is>
      </c>
      <c r="D30" s="8" t="inlineStr">
        <is>
          <t>Canchaque</t>
        </is>
      </c>
      <c r="E30" s="8" t="inlineStr">
        <is>
          <t>24</t>
        </is>
      </c>
      <c r="F30" s="8" t="n">
        <v>1</v>
      </c>
      <c r="G30" s="8" t="inlineStr">
        <is>
          <t>Rural</t>
        </is>
      </c>
      <c r="H30" s="36" t="n">
        <v>443</v>
      </c>
      <c r="I30" s="36" t="n">
        <v>226</v>
      </c>
      <c r="J30" s="36" t="n">
        <v>217</v>
      </c>
      <c r="K30" s="36" t="n">
        <v>77</v>
      </c>
      <c r="L30" s="36" t="n">
        <v>154</v>
      </c>
      <c r="M30" s="32" t="n">
        <v>652905.4399999999</v>
      </c>
      <c r="N30" s="32" t="n">
        <v>9413563.83</v>
      </c>
      <c r="O30" s="8" t="inlineStr">
        <is>
          <t>OK</t>
        </is>
      </c>
      <c r="P30" s="8" t="inlineStr"/>
    </row>
    <row r="31">
      <c r="A31" s="6" t="inlineStr">
        <is>
          <t>2003020015</t>
        </is>
      </c>
      <c r="B31" s="6" t="inlineStr">
        <is>
          <t>Flor de Cafe</t>
        </is>
      </c>
      <c r="C31" s="6" t="inlineStr">
        <is>
          <t>Huancabamba</t>
        </is>
      </c>
      <c r="D31" s="6" t="inlineStr">
        <is>
          <t>Canchaque</t>
        </is>
      </c>
      <c r="E31" s="6" t="inlineStr">
        <is>
          <t>60</t>
        </is>
      </c>
      <c r="F31" s="6" t="n">
        <v>1</v>
      </c>
      <c r="G31" s="6" t="inlineStr">
        <is>
          <t>Rural</t>
        </is>
      </c>
      <c r="H31" s="35" t="n">
        <v>111</v>
      </c>
      <c r="I31" s="35" t="n">
        <v>63</v>
      </c>
      <c r="J31" s="35" t="n">
        <v>48</v>
      </c>
      <c r="K31" s="35" t="n">
        <v>19</v>
      </c>
      <c r="L31" s="35" t="n">
        <v>41</v>
      </c>
      <c r="M31" s="30" t="n">
        <v>653316.3100000001</v>
      </c>
      <c r="N31" s="30" t="n">
        <v>9427146.289999999</v>
      </c>
      <c r="O31" s="6" t="inlineStr">
        <is>
          <t>OK</t>
        </is>
      </c>
      <c r="P31" s="6" t="inlineStr"/>
    </row>
    <row r="32">
      <c r="A32" s="8" t="inlineStr">
        <is>
          <t>2003020060</t>
        </is>
      </c>
      <c r="B32" s="8" t="inlineStr">
        <is>
          <t>Huabal</t>
        </is>
      </c>
      <c r="C32" s="8" t="inlineStr">
        <is>
          <t>Huancabamba</t>
        </is>
      </c>
      <c r="D32" s="8" t="inlineStr">
        <is>
          <t>Canchaque</t>
        </is>
      </c>
      <c r="E32" s="8" t="inlineStr">
        <is>
          <t>79</t>
        </is>
      </c>
      <c r="F32" s="8" t="n">
        <v>1</v>
      </c>
      <c r="G32" s="8" t="inlineStr">
        <is>
          <t>Rural</t>
        </is>
      </c>
      <c r="H32" s="36" t="n">
        <v>161</v>
      </c>
      <c r="I32" s="36" t="n">
        <v>75</v>
      </c>
      <c r="J32" s="36" t="n">
        <v>86</v>
      </c>
      <c r="K32" s="36" t="n">
        <v>26</v>
      </c>
      <c r="L32" s="36" t="n">
        <v>65</v>
      </c>
      <c r="M32" s="32" t="n">
        <v>648990.22</v>
      </c>
      <c r="N32" s="32" t="n">
        <v>9402332.960000001</v>
      </c>
      <c r="O32" s="8" t="inlineStr">
        <is>
          <t>OK</t>
        </is>
      </c>
      <c r="P32" s="8" t="inlineStr"/>
    </row>
    <row r="33">
      <c r="A33" s="6" t="inlineStr">
        <is>
          <t>2003020062</t>
        </is>
      </c>
      <c r="B33" s="6" t="inlineStr">
        <is>
          <t>Hualtacal</t>
        </is>
      </c>
      <c r="C33" s="6" t="inlineStr">
        <is>
          <t>Huancabamba</t>
        </is>
      </c>
      <c r="D33" s="6" t="inlineStr">
        <is>
          <t>Canchaque</t>
        </is>
      </c>
      <c r="E33" s="6" t="inlineStr">
        <is>
          <t>81</t>
        </is>
      </c>
      <c r="F33" s="6" t="n">
        <v>1</v>
      </c>
      <c r="G33" s="6" t="inlineStr">
        <is>
          <t>Rural</t>
        </is>
      </c>
      <c r="H33" s="35" t="n">
        <v>80</v>
      </c>
      <c r="I33" s="35" t="n">
        <v>42</v>
      </c>
      <c r="J33" s="35" t="n">
        <v>38</v>
      </c>
      <c r="K33" s="35" t="n">
        <v>15</v>
      </c>
      <c r="L33" s="35" t="n">
        <v>36</v>
      </c>
      <c r="M33" s="30" t="n">
        <v>641528.72</v>
      </c>
      <c r="N33" s="30" t="n">
        <v>9401048.220000001</v>
      </c>
      <c r="O33" s="6" t="inlineStr">
        <is>
          <t>OK</t>
        </is>
      </c>
      <c r="P33" s="6" t="inlineStr"/>
    </row>
    <row r="34">
      <c r="A34" s="8" t="inlineStr">
        <is>
          <t>2003020021</t>
        </is>
      </c>
      <c r="B34" s="8" t="inlineStr">
        <is>
          <t>Huamala Alto</t>
        </is>
      </c>
      <c r="C34" s="8" t="inlineStr">
        <is>
          <t>Huancabamba</t>
        </is>
      </c>
      <c r="D34" s="8" t="inlineStr">
        <is>
          <t>Canchaque</t>
        </is>
      </c>
      <c r="E34" s="8" t="inlineStr">
        <is>
          <t>21</t>
        </is>
      </c>
      <c r="F34" s="8" t="n">
        <v>1</v>
      </c>
      <c r="G34" s="8" t="inlineStr">
        <is>
          <t>Rural</t>
        </is>
      </c>
      <c r="H34" s="36" t="n">
        <v>47</v>
      </c>
      <c r="I34" s="36" t="n">
        <v>26</v>
      </c>
      <c r="J34" s="36" t="n">
        <v>21</v>
      </c>
      <c r="K34" s="36" t="n">
        <v>6</v>
      </c>
      <c r="L34" s="36" t="n">
        <v>18</v>
      </c>
      <c r="M34" s="32" t="n">
        <v>654278.27</v>
      </c>
      <c r="N34" s="32" t="n">
        <v>9418170.890000001</v>
      </c>
      <c r="O34" s="8" t="inlineStr">
        <is>
          <t>OK</t>
        </is>
      </c>
      <c r="P34" s="8" t="inlineStr"/>
    </row>
    <row r="35">
      <c r="A35" s="6" t="inlineStr">
        <is>
          <t>2003020022</t>
        </is>
      </c>
      <c r="B35" s="6" t="inlineStr">
        <is>
          <t>Huamala Baja</t>
        </is>
      </c>
      <c r="C35" s="6" t="inlineStr">
        <is>
          <t>Huancabamba</t>
        </is>
      </c>
      <c r="D35" s="6" t="inlineStr">
        <is>
          <t>Canchaque</t>
        </is>
      </c>
      <c r="E35" s="6" t="inlineStr">
        <is>
          <t>66</t>
        </is>
      </c>
      <c r="F35" s="6" t="n">
        <v>1</v>
      </c>
      <c r="G35" s="6" t="inlineStr">
        <is>
          <t>Rural</t>
        </is>
      </c>
      <c r="H35" s="35" t="n">
        <v>45</v>
      </c>
      <c r="I35" s="35" t="n">
        <v>22</v>
      </c>
      <c r="J35" s="35" t="n">
        <v>23</v>
      </c>
      <c r="K35" s="35" t="n">
        <v>15</v>
      </c>
      <c r="L35" s="35" t="n">
        <v>29</v>
      </c>
      <c r="M35" s="30" t="n">
        <v>653063.72</v>
      </c>
      <c r="N35" s="30" t="n">
        <v>9418044.949999999</v>
      </c>
      <c r="O35" s="6" t="inlineStr">
        <is>
          <t>OK</t>
        </is>
      </c>
      <c r="P35" s="6" t="inlineStr"/>
    </row>
    <row r="36">
      <c r="A36" s="8" t="inlineStr">
        <is>
          <t>2003020005</t>
        </is>
      </c>
      <c r="B36" s="8" t="inlineStr">
        <is>
          <t>Sapce</t>
        </is>
      </c>
      <c r="C36" s="8" t="inlineStr">
        <is>
          <t>Huancabamba</t>
        </is>
      </c>
      <c r="D36" s="8" t="inlineStr">
        <is>
          <t>Canchaque</t>
        </is>
      </c>
      <c r="E36" s="8" t="inlineStr">
        <is>
          <t>30</t>
        </is>
      </c>
      <c r="F36" s="8" t="n">
        <v>1</v>
      </c>
      <c r="G36" s="8" t="inlineStr">
        <is>
          <t>Rural</t>
        </is>
      </c>
      <c r="H36" s="36" t="n">
        <v>93</v>
      </c>
      <c r="I36" s="36" t="n">
        <v>53</v>
      </c>
      <c r="J36" s="36" t="n">
        <v>40</v>
      </c>
      <c r="K36" s="36" t="n">
        <v>30</v>
      </c>
      <c r="L36" s="36" t="n">
        <v>50</v>
      </c>
      <c r="M36" s="32" t="n">
        <v>651375.17</v>
      </c>
      <c r="N36" s="32" t="n">
        <v>9424124.17</v>
      </c>
      <c r="O36" s="8" t="inlineStr">
        <is>
          <t>OK</t>
        </is>
      </c>
      <c r="P36" s="8" t="inlineStr"/>
    </row>
    <row r="37">
      <c r="A37" s="6" t="inlineStr">
        <is>
          <t>2003020029</t>
        </is>
      </c>
      <c r="B37" s="6" t="inlineStr">
        <is>
          <t>Shuturumbe</t>
        </is>
      </c>
      <c r="C37" s="6" t="inlineStr">
        <is>
          <t>Huancabamba</t>
        </is>
      </c>
      <c r="D37" s="6" t="inlineStr">
        <is>
          <t>Canchaque</t>
        </is>
      </c>
      <c r="E37" s="6" t="inlineStr">
        <is>
          <t>63</t>
        </is>
      </c>
      <c r="F37" s="6" t="n">
        <v>1</v>
      </c>
      <c r="G37" s="6" t="inlineStr">
        <is>
          <t>Rural</t>
        </is>
      </c>
      <c r="H37" s="35" t="n">
        <v>87</v>
      </c>
      <c r="I37" s="35" t="n">
        <v>42</v>
      </c>
      <c r="J37" s="35" t="n">
        <v>45</v>
      </c>
      <c r="K37" s="35" t="n">
        <v>12</v>
      </c>
      <c r="L37" s="35" t="n">
        <v>27</v>
      </c>
      <c r="M37" s="30" t="n">
        <v>654547.8199999999</v>
      </c>
      <c r="N37" s="30" t="n">
        <v>9414055.34</v>
      </c>
      <c r="O37" s="6" t="inlineStr">
        <is>
          <t>OK</t>
        </is>
      </c>
      <c r="P37" s="6" t="inlineStr"/>
    </row>
    <row r="38">
      <c r="A38" s="8" t="inlineStr">
        <is>
          <t>2003010012</t>
        </is>
      </c>
      <c r="B38" s="8" t="inlineStr">
        <is>
          <t>Pariamarca Centro</t>
        </is>
      </c>
      <c r="C38" s="8" t="inlineStr">
        <is>
          <t>Huancabamba</t>
        </is>
      </c>
      <c r="D38" s="8" t="inlineStr">
        <is>
          <t>Huancabamba</t>
        </is>
      </c>
      <c r="E38" s="8" t="inlineStr">
        <is>
          <t>64</t>
        </is>
      </c>
      <c r="F38" s="8" t="n">
        <v>1</v>
      </c>
      <c r="G38" s="8" t="inlineStr">
        <is>
          <t>Rural</t>
        </is>
      </c>
      <c r="H38" s="36" t="n">
        <v>311</v>
      </c>
      <c r="I38" s="36" t="n">
        <v>152</v>
      </c>
      <c r="J38" s="36" t="n">
        <v>159</v>
      </c>
      <c r="K38" s="36" t="n">
        <v>51</v>
      </c>
      <c r="L38" s="36" t="n">
        <v>108</v>
      </c>
      <c r="M38" s="32" t="n">
        <v>656565.76</v>
      </c>
      <c r="N38" s="32" t="n">
        <v>9428946.039999999</v>
      </c>
      <c r="O38" s="8" t="inlineStr">
        <is>
          <t>OK</t>
        </is>
      </c>
      <c r="P38" s="8" t="inlineStr"/>
    </row>
    <row r="39">
      <c r="A39" s="6" t="inlineStr">
        <is>
          <t>2003040018</t>
        </is>
      </c>
      <c r="B39" s="6" t="inlineStr">
        <is>
          <t>Cambruran</t>
        </is>
      </c>
      <c r="C39" s="6" t="inlineStr">
        <is>
          <t>Huancabamba</t>
        </is>
      </c>
      <c r="D39" s="6" t="inlineStr">
        <is>
          <t>Huarmaca</t>
        </is>
      </c>
      <c r="E39" s="6" t="inlineStr">
        <is>
          <t>41</t>
        </is>
      </c>
      <c r="F39" s="6" t="n">
        <v>1</v>
      </c>
      <c r="G39" s="6" t="inlineStr">
        <is>
          <t>Rural</t>
        </is>
      </c>
      <c r="H39" s="35" t="n">
        <v>54</v>
      </c>
      <c r="I39" s="35" t="n">
        <v>27</v>
      </c>
      <c r="J39" s="35" t="n">
        <v>27</v>
      </c>
      <c r="K39" s="35" t="n">
        <v>15</v>
      </c>
      <c r="L39" s="35" t="n">
        <v>15</v>
      </c>
      <c r="M39" s="30" t="n">
        <v>660839.13</v>
      </c>
      <c r="N39" s="30" t="n">
        <v>9394198.85</v>
      </c>
      <c r="O39" s="6" t="inlineStr">
        <is>
          <t>OK</t>
        </is>
      </c>
      <c r="P39" s="6" t="inlineStr"/>
    </row>
    <row r="40">
      <c r="A40" s="8" t="inlineStr">
        <is>
          <t>2003040047</t>
        </is>
      </c>
      <c r="B40" s="8" t="inlineStr">
        <is>
          <t>Chignia Baja</t>
        </is>
      </c>
      <c r="C40" s="8" t="inlineStr">
        <is>
          <t>Huancabamba</t>
        </is>
      </c>
      <c r="D40" s="8" t="inlineStr">
        <is>
          <t>Huarmaca</t>
        </is>
      </c>
      <c r="E40" s="8" t="inlineStr">
        <is>
          <t>M4B3</t>
        </is>
      </c>
      <c r="F40" s="8" t="n">
        <v>1</v>
      </c>
      <c r="G40" s="8" t="inlineStr">
        <is>
          <t>Rural</t>
        </is>
      </c>
      <c r="H40" s="36" t="n">
        <v>161</v>
      </c>
      <c r="I40" s="36" t="n">
        <v>81</v>
      </c>
      <c r="J40" s="36" t="n">
        <v>80</v>
      </c>
      <c r="K40" s="36" t="n">
        <v>22</v>
      </c>
      <c r="L40" s="36" t="n">
        <v>51</v>
      </c>
      <c r="M40" s="32" t="n">
        <v>643515.1800000001</v>
      </c>
      <c r="N40" s="32" t="n">
        <v>9384081.85</v>
      </c>
      <c r="O40" s="8" t="inlineStr">
        <is>
          <t>OK</t>
        </is>
      </c>
      <c r="P40" s="8" t="inlineStr"/>
    </row>
    <row r="41">
      <c r="A41" s="6" t="inlineStr">
        <is>
          <t>2003040017</t>
        </is>
      </c>
      <c r="B41" s="6" t="inlineStr">
        <is>
          <t>Chococa</t>
        </is>
      </c>
      <c r="C41" s="6" t="inlineStr">
        <is>
          <t>Huancabamba</t>
        </is>
      </c>
      <c r="D41" s="6" t="inlineStr">
        <is>
          <t>Huarmaca</t>
        </is>
      </c>
      <c r="E41" s="6" t="inlineStr">
        <is>
          <t>73</t>
        </is>
      </c>
      <c r="F41" s="6" t="n">
        <v>1</v>
      </c>
      <c r="G41" s="6" t="inlineStr">
        <is>
          <t>Rural</t>
        </is>
      </c>
      <c r="H41" s="35" t="n">
        <v>104</v>
      </c>
      <c r="I41" s="35" t="n">
        <v>42</v>
      </c>
      <c r="J41" s="35" t="n">
        <v>62</v>
      </c>
      <c r="K41" s="35" t="n">
        <v>33</v>
      </c>
      <c r="L41" s="35" t="n">
        <v>34</v>
      </c>
      <c r="M41" s="30" t="n">
        <v>658506.6</v>
      </c>
      <c r="N41" s="30" t="n">
        <v>9394710.52</v>
      </c>
      <c r="O41" s="6" t="inlineStr">
        <is>
          <t>OK</t>
        </is>
      </c>
      <c r="P41" s="6" t="inlineStr"/>
    </row>
    <row r="42">
      <c r="A42" s="8" t="inlineStr">
        <is>
          <t>2003040282</t>
        </is>
      </c>
      <c r="B42" s="8" t="inlineStr">
        <is>
          <t>Cruz Roja</t>
        </is>
      </c>
      <c r="C42" s="8" t="inlineStr">
        <is>
          <t>Huancabamba</t>
        </is>
      </c>
      <c r="D42" s="8" t="inlineStr">
        <is>
          <t>Huarmaca</t>
        </is>
      </c>
      <c r="E42" s="8" t="inlineStr">
        <is>
          <t>80</t>
        </is>
      </c>
      <c r="F42" s="8" t="n">
        <v>1</v>
      </c>
      <c r="G42" s="8" t="inlineStr">
        <is>
          <t>Rural</t>
        </is>
      </c>
      <c r="H42" s="36" t="n">
        <v>106</v>
      </c>
      <c r="I42" s="36" t="n">
        <v>44</v>
      </c>
      <c r="J42" s="36" t="n">
        <v>62</v>
      </c>
      <c r="K42" s="36" t="n">
        <v>14</v>
      </c>
      <c r="L42" s="36" t="n">
        <v>37</v>
      </c>
      <c r="M42" s="32" t="n">
        <v>656969.55</v>
      </c>
      <c r="N42" s="32" t="n">
        <v>9373412.710000001</v>
      </c>
      <c r="O42" s="8" t="inlineStr">
        <is>
          <t>OK</t>
        </is>
      </c>
      <c r="P42" s="8" t="inlineStr"/>
    </row>
    <row r="43">
      <c r="A43" s="6" t="inlineStr">
        <is>
          <t>2003040373</t>
        </is>
      </c>
      <c r="B43" s="6" t="inlineStr">
        <is>
          <t>Faicalito</t>
        </is>
      </c>
      <c r="C43" s="6" t="inlineStr">
        <is>
          <t>Huancabamba</t>
        </is>
      </c>
      <c r="D43" s="6" t="inlineStr">
        <is>
          <t>Huarmaca</t>
        </is>
      </c>
      <c r="E43" s="6" t="inlineStr">
        <is>
          <t>M12B1</t>
        </is>
      </c>
      <c r="F43" s="6" t="n">
        <v>1</v>
      </c>
      <c r="G43" s="6" t="inlineStr">
        <is>
          <t>Rural</t>
        </is>
      </c>
      <c r="H43" s="35" t="n">
        <v>118</v>
      </c>
      <c r="I43" s="35" t="n">
        <v>59</v>
      </c>
      <c r="J43" s="35" t="n">
        <v>59</v>
      </c>
      <c r="K43" s="35" t="n">
        <v>14</v>
      </c>
      <c r="L43" s="35" t="n">
        <v>36</v>
      </c>
      <c r="M43" s="30" t="n">
        <v>644389.14</v>
      </c>
      <c r="N43" s="30" t="n">
        <v>9390252.82</v>
      </c>
      <c r="O43" s="6" t="inlineStr">
        <is>
          <t>OK</t>
        </is>
      </c>
      <c r="P43" s="6" t="inlineStr"/>
    </row>
    <row r="44">
      <c r="A44" s="8" t="inlineStr">
        <is>
          <t>2003040401</t>
        </is>
      </c>
      <c r="B44" s="8" t="inlineStr">
        <is>
          <t>Hualanga</t>
        </is>
      </c>
      <c r="C44" s="8" t="inlineStr">
        <is>
          <t>Huancabamba</t>
        </is>
      </c>
      <c r="D44" s="8" t="inlineStr">
        <is>
          <t>Huarmaca</t>
        </is>
      </c>
      <c r="E44" s="8" t="inlineStr">
        <is>
          <t>76</t>
        </is>
      </c>
      <c r="F44" s="8" t="n">
        <v>1</v>
      </c>
      <c r="G44" s="8" t="inlineStr">
        <is>
          <t>Rural</t>
        </is>
      </c>
      <c r="H44" s="36" t="n">
        <v>191</v>
      </c>
      <c r="I44" s="36" t="n">
        <v>95</v>
      </c>
      <c r="J44" s="36" t="n">
        <v>96</v>
      </c>
      <c r="K44" s="36" t="n">
        <v>36</v>
      </c>
      <c r="L44" s="36" t="n">
        <v>56</v>
      </c>
      <c r="M44" s="32" t="n">
        <v>657466.9300000001</v>
      </c>
      <c r="N44" s="32" t="n">
        <v>9377587.27</v>
      </c>
      <c r="O44" s="8" t="inlineStr">
        <is>
          <t>OK</t>
        </is>
      </c>
      <c r="P44" s="8" t="inlineStr"/>
    </row>
    <row r="45">
      <c r="A45" s="6" t="inlineStr">
        <is>
          <t>2003040015</t>
        </is>
      </c>
      <c r="B45" s="6" t="inlineStr">
        <is>
          <t>Hualanga Pampa</t>
        </is>
      </c>
      <c r="C45" s="6" t="inlineStr">
        <is>
          <t>Huancabamba</t>
        </is>
      </c>
      <c r="D45" s="6" t="inlineStr">
        <is>
          <t>Huarmaca</t>
        </is>
      </c>
      <c r="E45" s="6" t="inlineStr">
        <is>
          <t>69</t>
        </is>
      </c>
      <c r="F45" s="6" t="n">
        <v>1</v>
      </c>
      <c r="G45" s="6" t="inlineStr">
        <is>
          <t>Rural</t>
        </is>
      </c>
      <c r="H45" s="35" t="n">
        <v>33</v>
      </c>
      <c r="I45" s="35" t="n">
        <v>17</v>
      </c>
      <c r="J45" s="35" t="n">
        <v>16</v>
      </c>
      <c r="K45" s="35" t="n">
        <v>9</v>
      </c>
      <c r="L45" s="35" t="n">
        <v>11</v>
      </c>
      <c r="M45" s="30" t="n">
        <v>661990.59</v>
      </c>
      <c r="N45" s="30" t="n">
        <v>9392306.859999999</v>
      </c>
      <c r="O45" s="6" t="inlineStr">
        <is>
          <t>OK</t>
        </is>
      </c>
      <c r="P45" s="6" t="inlineStr"/>
    </row>
    <row r="46">
      <c r="A46" s="8" t="inlineStr">
        <is>
          <t>2003040002</t>
        </is>
      </c>
      <c r="B46" s="8" t="inlineStr">
        <is>
          <t>Hualcas I</t>
        </is>
      </c>
      <c r="C46" s="8" t="inlineStr">
        <is>
          <t>Huancabamba</t>
        </is>
      </c>
      <c r="D46" s="8" t="inlineStr">
        <is>
          <t>Huarmaca</t>
        </is>
      </c>
      <c r="E46" s="8" t="inlineStr">
        <is>
          <t>M4B4</t>
        </is>
      </c>
      <c r="F46" s="8" t="n">
        <v>1</v>
      </c>
      <c r="G46" s="8" t="inlineStr">
        <is>
          <t>Rural</t>
        </is>
      </c>
      <c r="H46" s="36" t="n">
        <v>151</v>
      </c>
      <c r="I46" s="36" t="n">
        <v>77</v>
      </c>
      <c r="J46" s="36" t="n">
        <v>74</v>
      </c>
      <c r="K46" s="36" t="n">
        <v>43</v>
      </c>
      <c r="L46" s="36" t="n">
        <v>59</v>
      </c>
      <c r="M46" s="32" t="n">
        <v>643289.97</v>
      </c>
      <c r="N46" s="32" t="n">
        <v>9390627.460000001</v>
      </c>
      <c r="O46" s="8" t="inlineStr">
        <is>
          <t>OK</t>
        </is>
      </c>
      <c r="P46" s="8" t="inlineStr"/>
    </row>
    <row r="47">
      <c r="A47" s="6" t="inlineStr">
        <is>
          <t>2003040202</t>
        </is>
      </c>
      <c r="B47" s="6" t="inlineStr">
        <is>
          <t>Hualcas Ii</t>
        </is>
      </c>
      <c r="C47" s="6" t="inlineStr">
        <is>
          <t>Huancabamba</t>
        </is>
      </c>
      <c r="D47" s="6" t="inlineStr">
        <is>
          <t>Huarmaca</t>
        </is>
      </c>
      <c r="E47" s="6" t="inlineStr">
        <is>
          <t>M4B4</t>
        </is>
      </c>
      <c r="F47" s="6" t="n">
        <v>1</v>
      </c>
      <c r="G47" s="6" t="inlineStr">
        <is>
          <t>Rural</t>
        </is>
      </c>
      <c r="H47" s="35" t="n">
        <v>128</v>
      </c>
      <c r="I47" s="35" t="n">
        <v>68</v>
      </c>
      <c r="J47" s="35" t="n">
        <v>60</v>
      </c>
      <c r="K47" s="35" t="n">
        <v>26</v>
      </c>
      <c r="L47" s="35" t="n">
        <v>47</v>
      </c>
      <c r="M47" s="30" t="n">
        <v>642922.3</v>
      </c>
      <c r="N47" s="30" t="n">
        <v>9389847.83</v>
      </c>
      <c r="O47" s="6" t="inlineStr">
        <is>
          <t>OK</t>
        </is>
      </c>
      <c r="P47" s="6" t="inlineStr"/>
    </row>
    <row r="48">
      <c r="A48" s="8" t="inlineStr">
        <is>
          <t>2003040051</t>
        </is>
      </c>
      <c r="B48" s="8" t="inlineStr">
        <is>
          <t>La Peña</t>
        </is>
      </c>
      <c r="C48" s="8" t="inlineStr">
        <is>
          <t>Huancabamba</t>
        </is>
      </c>
      <c r="D48" s="8" t="inlineStr">
        <is>
          <t>Huarmaca</t>
        </is>
      </c>
      <c r="E48" s="8" t="inlineStr">
        <is>
          <t>10</t>
        </is>
      </c>
      <c r="F48" s="8" t="n">
        <v>1</v>
      </c>
      <c r="G48" s="8" t="inlineStr">
        <is>
          <t>Rural</t>
        </is>
      </c>
      <c r="H48" s="36" t="n">
        <v>146</v>
      </c>
      <c r="I48" s="36" t="n">
        <v>83</v>
      </c>
      <c r="J48" s="36" t="n">
        <v>63</v>
      </c>
      <c r="K48" s="36" t="n">
        <v>19</v>
      </c>
      <c r="L48" s="36" t="n">
        <v>35</v>
      </c>
      <c r="M48" s="32" t="n">
        <v>651029.35</v>
      </c>
      <c r="N48" s="32" t="n">
        <v>9382625.27</v>
      </c>
      <c r="O48" s="8" t="inlineStr">
        <is>
          <t>OK</t>
        </is>
      </c>
      <c r="P48" s="8" t="inlineStr"/>
    </row>
    <row r="49">
      <c r="A49" s="6" t="inlineStr">
        <is>
          <t>2003040053</t>
        </is>
      </c>
      <c r="B49" s="6" t="inlineStr">
        <is>
          <t>La Rinconada</t>
        </is>
      </c>
      <c r="C49" s="6" t="inlineStr">
        <is>
          <t>Huancabamba</t>
        </is>
      </c>
      <c r="D49" s="6" t="inlineStr">
        <is>
          <t>Huarmaca</t>
        </is>
      </c>
      <c r="E49" s="6" t="inlineStr">
        <is>
          <t>4</t>
        </is>
      </c>
      <c r="F49" s="6" t="n">
        <v>1</v>
      </c>
      <c r="G49" s="6" t="inlineStr">
        <is>
          <t>Rural</t>
        </is>
      </c>
      <c r="H49" s="35" t="n">
        <v>299</v>
      </c>
      <c r="I49" s="35" t="n">
        <v>152</v>
      </c>
      <c r="J49" s="35" t="n">
        <v>147</v>
      </c>
      <c r="K49" s="35" t="n">
        <v>58</v>
      </c>
      <c r="L49" s="35" t="n">
        <v>81</v>
      </c>
      <c r="M49" s="30" t="n">
        <v>655149.78</v>
      </c>
      <c r="N49" s="30" t="n">
        <v>9384195.699999999</v>
      </c>
      <c r="O49" s="6" t="inlineStr">
        <is>
          <t>OK</t>
        </is>
      </c>
      <c r="P49" s="6" t="inlineStr"/>
    </row>
    <row r="50">
      <c r="A50" s="8" t="inlineStr">
        <is>
          <t>2003040080</t>
        </is>
      </c>
      <c r="B50" s="8" t="inlineStr">
        <is>
          <t>Laguna de Paltama</t>
        </is>
      </c>
      <c r="C50" s="8" t="inlineStr">
        <is>
          <t>Huancabamba</t>
        </is>
      </c>
      <c r="D50" s="8" t="inlineStr">
        <is>
          <t>Huarmaca</t>
        </is>
      </c>
      <c r="E50" s="8" t="inlineStr">
        <is>
          <t>16</t>
        </is>
      </c>
      <c r="F50" s="8" t="n">
        <v>1</v>
      </c>
      <c r="G50" s="8" t="inlineStr">
        <is>
          <t>Rural</t>
        </is>
      </c>
      <c r="H50" s="36" t="n">
        <v>153</v>
      </c>
      <c r="I50" s="36" t="n">
        <v>72</v>
      </c>
      <c r="J50" s="36" t="n">
        <v>81</v>
      </c>
      <c r="K50" s="36" t="n">
        <v>46</v>
      </c>
      <c r="L50" s="36" t="n">
        <v>47</v>
      </c>
      <c r="M50" s="32" t="n">
        <v>652386.41</v>
      </c>
      <c r="N50" s="32" t="n">
        <v>9381114.27</v>
      </c>
      <c r="O50" s="8" t="inlineStr">
        <is>
          <t>OK</t>
        </is>
      </c>
      <c r="P50" s="8" t="inlineStr"/>
    </row>
    <row r="51">
      <c r="A51" s="6" t="inlineStr">
        <is>
          <t>2003040027</t>
        </is>
      </c>
      <c r="B51" s="6" t="inlineStr">
        <is>
          <t>Molle</t>
        </is>
      </c>
      <c r="C51" s="6" t="inlineStr">
        <is>
          <t>Huancabamba</t>
        </is>
      </c>
      <c r="D51" s="6" t="inlineStr">
        <is>
          <t>Huarmaca</t>
        </is>
      </c>
      <c r="E51" s="6" t="inlineStr">
        <is>
          <t>69</t>
        </is>
      </c>
      <c r="F51" s="6" t="n">
        <v>1</v>
      </c>
      <c r="G51" s="6" t="inlineStr">
        <is>
          <t>Rural</t>
        </is>
      </c>
      <c r="H51" s="35" t="n">
        <v>100</v>
      </c>
      <c r="I51" s="35" t="n">
        <v>52</v>
      </c>
      <c r="J51" s="35" t="n">
        <v>48</v>
      </c>
      <c r="K51" s="35" t="n">
        <v>17</v>
      </c>
      <c r="L51" s="35" t="n">
        <v>24</v>
      </c>
      <c r="M51" s="30" t="n">
        <v>662567.85</v>
      </c>
      <c r="N51" s="30" t="n">
        <v>9391942.48</v>
      </c>
      <c r="O51" s="6" t="inlineStr">
        <is>
          <t>OK</t>
        </is>
      </c>
      <c r="P51" s="6" t="inlineStr"/>
    </row>
    <row r="52">
      <c r="A52" s="8" t="inlineStr">
        <is>
          <t>2003040381</t>
        </is>
      </c>
      <c r="B52" s="8" t="inlineStr">
        <is>
          <t>Nueva Esperanza</t>
        </is>
      </c>
      <c r="C52" s="8" t="inlineStr">
        <is>
          <t>Huancabamba</t>
        </is>
      </c>
      <c r="D52" s="8" t="inlineStr">
        <is>
          <t>Huarmaca</t>
        </is>
      </c>
      <c r="E52" s="8" t="inlineStr">
        <is>
          <t>M12B1</t>
        </is>
      </c>
      <c r="F52" s="8" t="n">
        <v>1</v>
      </c>
      <c r="G52" s="8" t="inlineStr">
        <is>
          <t>Rural</t>
        </is>
      </c>
      <c r="H52" s="36" t="n">
        <v>102</v>
      </c>
      <c r="I52" s="36" t="n">
        <v>49</v>
      </c>
      <c r="J52" s="36" t="n">
        <v>53</v>
      </c>
      <c r="K52" s="36" t="n">
        <v>30</v>
      </c>
      <c r="L52" s="36" t="n">
        <v>39</v>
      </c>
      <c r="M52" s="32" t="n">
        <v>645366.88</v>
      </c>
      <c r="N52" s="32" t="n">
        <v>9388911.130000001</v>
      </c>
      <c r="O52" s="8" t="inlineStr">
        <is>
          <t>OK</t>
        </is>
      </c>
      <c r="P52" s="8" t="inlineStr"/>
    </row>
    <row r="53">
      <c r="A53" s="6" t="inlineStr">
        <is>
          <t>2003040209</t>
        </is>
      </c>
      <c r="B53" s="6" t="inlineStr">
        <is>
          <t>Nuevo Progreso</t>
        </is>
      </c>
      <c r="C53" s="6" t="inlineStr">
        <is>
          <t>Huancabamba</t>
        </is>
      </c>
      <c r="D53" s="6" t="inlineStr">
        <is>
          <t>Huarmaca</t>
        </is>
      </c>
      <c r="E53" s="6" t="inlineStr">
        <is>
          <t>19</t>
        </is>
      </c>
      <c r="F53" s="6" t="n">
        <v>1</v>
      </c>
      <c r="G53" s="6" t="inlineStr">
        <is>
          <t>Rural</t>
        </is>
      </c>
      <c r="H53" s="35" t="n">
        <v>49</v>
      </c>
      <c r="I53" s="35" t="n">
        <v>25</v>
      </c>
      <c r="J53" s="35" t="n">
        <v>24</v>
      </c>
      <c r="K53" s="35" t="n">
        <v>9</v>
      </c>
      <c r="L53" s="35" t="n">
        <v>17</v>
      </c>
      <c r="M53" s="30" t="n">
        <v>665109.12</v>
      </c>
      <c r="N53" s="30" t="n">
        <v>9390808.75</v>
      </c>
      <c r="O53" s="6" t="inlineStr">
        <is>
          <t>OK</t>
        </is>
      </c>
      <c r="P53" s="6" t="inlineStr"/>
    </row>
    <row r="54">
      <c r="A54" s="8" t="inlineStr">
        <is>
          <t>2003040020</t>
        </is>
      </c>
      <c r="B54" s="8" t="inlineStr">
        <is>
          <t>Piedra Blanca</t>
        </is>
      </c>
      <c r="C54" s="8" t="inlineStr">
        <is>
          <t>Huancabamba</t>
        </is>
      </c>
      <c r="D54" s="8" t="inlineStr">
        <is>
          <t>Huarmaca</t>
        </is>
      </c>
      <c r="E54" s="8" t="inlineStr">
        <is>
          <t>18</t>
        </is>
      </c>
      <c r="F54" s="8" t="n">
        <v>1</v>
      </c>
      <c r="G54" s="8" t="inlineStr">
        <is>
          <t>Rural</t>
        </is>
      </c>
      <c r="H54" s="36" t="n">
        <v>28</v>
      </c>
      <c r="I54" s="36" t="n">
        <v>13</v>
      </c>
      <c r="J54" s="36" t="n">
        <v>15</v>
      </c>
      <c r="K54" s="36" t="n">
        <v>7</v>
      </c>
      <c r="L54" s="36" t="n">
        <v>13</v>
      </c>
      <c r="M54" s="32" t="n">
        <v>657269.3100000001</v>
      </c>
      <c r="N54" s="32" t="n">
        <v>9392382.73</v>
      </c>
      <c r="O54" s="8" t="inlineStr">
        <is>
          <t>OK</t>
        </is>
      </c>
      <c r="P54" s="8" t="inlineStr"/>
    </row>
    <row r="55">
      <c r="A55" s="6" t="inlineStr">
        <is>
          <t>2003040006</t>
        </is>
      </c>
      <c r="B55" s="6" t="inlineStr">
        <is>
          <t>Piedra Grande</t>
        </is>
      </c>
      <c r="C55" s="6" t="inlineStr">
        <is>
          <t>Huancabamba</t>
        </is>
      </c>
      <c r="D55" s="6" t="inlineStr">
        <is>
          <t>Huarmaca</t>
        </is>
      </c>
      <c r="E55" s="6" t="inlineStr">
        <is>
          <t>67</t>
        </is>
      </c>
      <c r="F55" s="6" t="n">
        <v>1</v>
      </c>
      <c r="G55" s="6" t="inlineStr">
        <is>
          <t>Rural</t>
        </is>
      </c>
      <c r="H55" s="35" t="n">
        <v>0</v>
      </c>
      <c r="I55" s="35" t="n">
        <v>0</v>
      </c>
      <c r="J55" s="35" t="n">
        <v>0</v>
      </c>
      <c r="K55" s="35" t="n">
        <v>0</v>
      </c>
      <c r="L55" s="35" t="n">
        <v>8</v>
      </c>
      <c r="M55" s="30" t="n">
        <v>654231.86</v>
      </c>
      <c r="N55" s="30" t="n">
        <v>9393637.880000001</v>
      </c>
      <c r="O55" s="6" t="inlineStr">
        <is>
          <t>OK</t>
        </is>
      </c>
      <c r="P55" s="6" t="inlineStr"/>
    </row>
    <row r="56">
      <c r="A56" s="8" t="inlineStr">
        <is>
          <t>2003040108</t>
        </is>
      </c>
      <c r="B56" s="8" t="inlineStr">
        <is>
          <t>Pirga</t>
        </is>
      </c>
      <c r="C56" s="8" t="inlineStr">
        <is>
          <t>Huancabamba</t>
        </is>
      </c>
      <c r="D56" s="8" t="inlineStr">
        <is>
          <t>Huarmaca</t>
        </is>
      </c>
      <c r="E56" s="8" t="inlineStr">
        <is>
          <t>8, 71</t>
        </is>
      </c>
      <c r="F56" s="8" t="n">
        <v>2</v>
      </c>
      <c r="G56" s="8" t="inlineStr">
        <is>
          <t>Rural</t>
        </is>
      </c>
      <c r="H56" s="36" t="n">
        <v>322</v>
      </c>
      <c r="I56" s="36" t="n">
        <v>163</v>
      </c>
      <c r="J56" s="36" t="n">
        <v>159</v>
      </c>
      <c r="K56" s="36" t="n">
        <v>39</v>
      </c>
      <c r="L56" s="36" t="n">
        <v>85</v>
      </c>
      <c r="M56" s="32" t="n">
        <v>652350.86</v>
      </c>
      <c r="N56" s="32" t="n">
        <v>9372850.140000001</v>
      </c>
      <c r="O56" s="8" t="inlineStr">
        <is>
          <t>OK</t>
        </is>
      </c>
      <c r="P56" s="8" t="inlineStr"/>
    </row>
    <row r="57">
      <c r="A57" s="6" t="inlineStr">
        <is>
          <t>2003040011</t>
        </is>
      </c>
      <c r="B57" s="6" t="inlineStr">
        <is>
          <t>Ramon Castilla</t>
        </is>
      </c>
      <c r="C57" s="6" t="inlineStr">
        <is>
          <t>Huancabamba</t>
        </is>
      </c>
      <c r="D57" s="6" t="inlineStr">
        <is>
          <t>Huarmaca</t>
        </is>
      </c>
      <c r="E57" s="6" t="inlineStr">
        <is>
          <t>72</t>
        </is>
      </c>
      <c r="F57" s="6" t="n">
        <v>1</v>
      </c>
      <c r="G57" s="6" t="inlineStr">
        <is>
          <t>Rural</t>
        </is>
      </c>
      <c r="H57" s="35" t="n">
        <v>216</v>
      </c>
      <c r="I57" s="35" t="n">
        <v>108</v>
      </c>
      <c r="J57" s="35" t="n">
        <v>108</v>
      </c>
      <c r="K57" s="35" t="n">
        <v>49</v>
      </c>
      <c r="L57" s="35" t="n">
        <v>56</v>
      </c>
      <c r="M57" s="30" t="n">
        <v>662207.2</v>
      </c>
      <c r="N57" s="30" t="n">
        <v>9390946.970000001</v>
      </c>
      <c r="O57" s="6" t="inlineStr">
        <is>
          <t>OK</t>
        </is>
      </c>
      <c r="P57" s="6" t="inlineStr"/>
    </row>
    <row r="58">
      <c r="A58" s="8" t="inlineStr">
        <is>
          <t>2003040103</t>
        </is>
      </c>
      <c r="B58" s="8" t="inlineStr">
        <is>
          <t>Sahuate Hualanga</t>
        </is>
      </c>
      <c r="C58" s="8" t="inlineStr">
        <is>
          <t>Huancabamba</t>
        </is>
      </c>
      <c r="D58" s="8" t="inlineStr">
        <is>
          <t>Huarmaca</t>
        </is>
      </c>
      <c r="E58" s="8" t="inlineStr">
        <is>
          <t>76</t>
        </is>
      </c>
      <c r="F58" s="8" t="n">
        <v>1</v>
      </c>
      <c r="G58" s="8" t="inlineStr">
        <is>
          <t>Rural</t>
        </is>
      </c>
      <c r="H58" s="36" t="n">
        <v>197</v>
      </c>
      <c r="I58" s="36" t="n">
        <v>101</v>
      </c>
      <c r="J58" s="36" t="n">
        <v>96</v>
      </c>
      <c r="K58" s="36" t="n">
        <v>21</v>
      </c>
      <c r="L58" s="36" t="n">
        <v>54</v>
      </c>
      <c r="M58" s="32" t="n">
        <v>657728.52</v>
      </c>
      <c r="N58" s="32" t="n">
        <v>9377721.08</v>
      </c>
      <c r="O58" s="8" t="inlineStr">
        <is>
          <t>OK</t>
        </is>
      </c>
      <c r="P58" s="8" t="inlineStr"/>
    </row>
    <row r="59">
      <c r="A59" s="6" t="inlineStr">
        <is>
          <t>2003040075</t>
        </is>
      </c>
      <c r="B59" s="6" t="inlineStr">
        <is>
          <t>San Antonio de Succhirca</t>
        </is>
      </c>
      <c r="C59" s="6" t="inlineStr">
        <is>
          <t>Huancabamba</t>
        </is>
      </c>
      <c r="D59" s="6" t="inlineStr">
        <is>
          <t>Huarmaca</t>
        </is>
      </c>
      <c r="E59" s="6" t="inlineStr">
        <is>
          <t>4</t>
        </is>
      </c>
      <c r="F59" s="6" t="n">
        <v>1</v>
      </c>
      <c r="G59" s="6" t="inlineStr">
        <is>
          <t>Rural</t>
        </is>
      </c>
      <c r="H59" s="35" t="n">
        <v>86</v>
      </c>
      <c r="I59" s="35" t="n">
        <v>44</v>
      </c>
      <c r="J59" s="35" t="n">
        <v>42</v>
      </c>
      <c r="K59" s="35" t="n">
        <v>19</v>
      </c>
      <c r="L59" s="35" t="n">
        <v>35</v>
      </c>
      <c r="M59" s="30" t="n">
        <v>657458.6899999999</v>
      </c>
      <c r="N59" s="30" t="n">
        <v>9382940.689999999</v>
      </c>
      <c r="O59" s="6" t="inlineStr">
        <is>
          <t>OK</t>
        </is>
      </c>
      <c r="P59" s="6" t="inlineStr"/>
    </row>
    <row r="60">
      <c r="A60" s="8" t="inlineStr">
        <is>
          <t>2003040104</t>
        </is>
      </c>
      <c r="B60" s="8" t="inlineStr">
        <is>
          <t>Shain</t>
        </is>
      </c>
      <c r="C60" s="8" t="inlineStr">
        <is>
          <t>Huancabamba</t>
        </is>
      </c>
      <c r="D60" s="8" t="inlineStr">
        <is>
          <t>Huarmaca</t>
        </is>
      </c>
      <c r="E60" s="8" t="inlineStr">
        <is>
          <t>51</t>
        </is>
      </c>
      <c r="F60" s="8" t="n">
        <v>1</v>
      </c>
      <c r="G60" s="8" t="inlineStr">
        <is>
          <t>Rural</t>
        </is>
      </c>
      <c r="H60" s="36" t="n">
        <v>207</v>
      </c>
      <c r="I60" s="36" t="n">
        <v>109</v>
      </c>
      <c r="J60" s="36" t="n">
        <v>98</v>
      </c>
      <c r="K60" s="36" t="n">
        <v>37</v>
      </c>
      <c r="L60" s="36" t="n">
        <v>57</v>
      </c>
      <c r="M60" s="32" t="n">
        <v>655081.83</v>
      </c>
      <c r="N60" s="32" t="n">
        <v>9378773.32</v>
      </c>
      <c r="O60" s="8" t="inlineStr">
        <is>
          <t>OK</t>
        </is>
      </c>
      <c r="P60" s="8" t="inlineStr"/>
    </row>
    <row r="61">
      <c r="A61" s="6" t="inlineStr">
        <is>
          <t>2003040008</t>
        </is>
      </c>
      <c r="B61" s="6" t="inlineStr">
        <is>
          <t>Tabluran</t>
        </is>
      </c>
      <c r="C61" s="6" t="inlineStr">
        <is>
          <t>Huancabamba</t>
        </is>
      </c>
      <c r="D61" s="6" t="inlineStr">
        <is>
          <t>Huarmaca</t>
        </is>
      </c>
      <c r="E61" s="6" t="inlineStr">
        <is>
          <t>19</t>
        </is>
      </c>
      <c r="F61" s="6" t="n">
        <v>1</v>
      </c>
      <c r="G61" s="6" t="inlineStr">
        <is>
          <t>Rural</t>
        </is>
      </c>
      <c r="H61" s="35" t="n">
        <v>83</v>
      </c>
      <c r="I61" s="35" t="n">
        <v>43</v>
      </c>
      <c r="J61" s="35" t="n">
        <v>40</v>
      </c>
      <c r="K61" s="35" t="n">
        <v>7</v>
      </c>
      <c r="L61" s="35" t="n">
        <v>20</v>
      </c>
      <c r="M61" s="30" t="n">
        <v>665247.51</v>
      </c>
      <c r="N61" s="30" t="n">
        <v>9390026.99</v>
      </c>
      <c r="O61" s="6" t="inlineStr">
        <is>
          <t>OK</t>
        </is>
      </c>
      <c r="P61" s="6" t="inlineStr"/>
    </row>
    <row r="62">
      <c r="A62" s="8" t="inlineStr">
        <is>
          <t>2003040378</t>
        </is>
      </c>
      <c r="B62" s="8" t="inlineStr">
        <is>
          <t>Talla</t>
        </is>
      </c>
      <c r="C62" s="8" t="inlineStr">
        <is>
          <t>Huancabamba</t>
        </is>
      </c>
      <c r="D62" s="8" t="inlineStr">
        <is>
          <t>Huarmaca</t>
        </is>
      </c>
      <c r="E62" s="8" t="inlineStr">
        <is>
          <t>51</t>
        </is>
      </c>
      <c r="F62" s="8" t="n">
        <v>1</v>
      </c>
      <c r="G62" s="8" t="inlineStr">
        <is>
          <t>Rural</t>
        </is>
      </c>
      <c r="H62" s="36" t="n">
        <v>141</v>
      </c>
      <c r="I62" s="36" t="n">
        <v>72</v>
      </c>
      <c r="J62" s="36" t="n">
        <v>69</v>
      </c>
      <c r="K62" s="36" t="n">
        <v>24</v>
      </c>
      <c r="L62" s="36" t="n">
        <v>41</v>
      </c>
      <c r="M62" s="32" t="n">
        <v>655980.5600000001</v>
      </c>
      <c r="N62" s="32" t="n">
        <v>9378369.6</v>
      </c>
      <c r="O62" s="8" t="inlineStr">
        <is>
          <t>OK</t>
        </is>
      </c>
      <c r="P62" s="8" t="inlineStr"/>
    </row>
    <row r="63">
      <c r="A63" s="6" t="inlineStr">
        <is>
          <t>2003040078</t>
        </is>
      </c>
      <c r="B63" s="6" t="inlineStr">
        <is>
          <t>Tupac Amaru</t>
        </is>
      </c>
      <c r="C63" s="6" t="inlineStr">
        <is>
          <t>Huancabamba</t>
        </is>
      </c>
      <c r="D63" s="6" t="inlineStr">
        <is>
          <t>Huarmaca</t>
        </is>
      </c>
      <c r="E63" s="6" t="inlineStr">
        <is>
          <t>20</t>
        </is>
      </c>
      <c r="F63" s="6" t="n">
        <v>1</v>
      </c>
      <c r="G63" s="6" t="inlineStr">
        <is>
          <t>Rural</t>
        </is>
      </c>
      <c r="H63" s="35" t="n">
        <v>149</v>
      </c>
      <c r="I63" s="35" t="n">
        <v>57</v>
      </c>
      <c r="J63" s="35" t="n">
        <v>92</v>
      </c>
      <c r="K63" s="35" t="n">
        <v>26</v>
      </c>
      <c r="L63" s="35" t="n">
        <v>38</v>
      </c>
      <c r="M63" s="30" t="n">
        <v>649656.14</v>
      </c>
      <c r="N63" s="30" t="n">
        <v>9376987.26</v>
      </c>
      <c r="O63" s="6" t="inlineStr">
        <is>
          <t>OK</t>
        </is>
      </c>
      <c r="P63" s="6" t="inlineStr"/>
    </row>
    <row r="64">
      <c r="A64" s="8" t="inlineStr">
        <is>
          <t>2003040357</t>
        </is>
      </c>
      <c r="B64" s="8" t="inlineStr">
        <is>
          <t>Yumbe</t>
        </is>
      </c>
      <c r="C64" s="8" t="inlineStr">
        <is>
          <t>Huancabamba</t>
        </is>
      </c>
      <c r="D64" s="8" t="inlineStr">
        <is>
          <t>Huarmaca</t>
        </is>
      </c>
      <c r="E64" s="8" t="inlineStr">
        <is>
          <t>80</t>
        </is>
      </c>
      <c r="F64" s="8" t="n">
        <v>1</v>
      </c>
      <c r="G64" s="8" t="inlineStr">
        <is>
          <t>Rural</t>
        </is>
      </c>
      <c r="H64" s="36" t="n">
        <v>50</v>
      </c>
      <c r="I64" s="36" t="n">
        <v>25</v>
      </c>
      <c r="J64" s="36" t="n">
        <v>25</v>
      </c>
      <c r="K64" s="36" t="n">
        <v>8</v>
      </c>
      <c r="L64" s="36" t="n">
        <v>15</v>
      </c>
      <c r="M64" s="32" t="n">
        <v>657882.9</v>
      </c>
      <c r="N64" s="32" t="n">
        <v>9373211.810000001</v>
      </c>
      <c r="O64" s="8" t="inlineStr">
        <is>
          <t>OK</t>
        </is>
      </c>
      <c r="P64" s="8" t="inlineStr"/>
    </row>
    <row r="65">
      <c r="A65" s="6" t="inlineStr">
        <is>
          <t>2003040013</t>
        </is>
      </c>
      <c r="B65" s="6" t="inlineStr">
        <is>
          <t>Zururan</t>
        </is>
      </c>
      <c r="C65" s="6" t="inlineStr">
        <is>
          <t>Huancabamba</t>
        </is>
      </c>
      <c r="D65" s="6" t="inlineStr">
        <is>
          <t>Huarmaca</t>
        </is>
      </c>
      <c r="E65" s="6" t="inlineStr">
        <is>
          <t>53, 70</t>
        </is>
      </c>
      <c r="F65" s="6" t="n">
        <v>2</v>
      </c>
      <c r="G65" s="6" t="inlineStr">
        <is>
          <t>Rural</t>
        </is>
      </c>
      <c r="H65" s="35" t="n">
        <v>140</v>
      </c>
      <c r="I65" s="35" t="n">
        <v>66</v>
      </c>
      <c r="J65" s="35" t="n">
        <v>74</v>
      </c>
      <c r="K65" s="35" t="n">
        <v>19</v>
      </c>
      <c r="L65" s="35" t="n">
        <v>44</v>
      </c>
      <c r="M65" s="30" t="n">
        <v>666185.22</v>
      </c>
      <c r="N65" s="30" t="n">
        <v>9395689.380000001</v>
      </c>
      <c r="O65" s="6" t="inlineStr">
        <is>
          <t>OK</t>
        </is>
      </c>
      <c r="P65" s="6" t="inlineStr"/>
    </row>
    <row r="66">
      <c r="A66" s="8" t="inlineStr">
        <is>
          <t>2003050027</t>
        </is>
      </c>
      <c r="B66" s="8" t="inlineStr">
        <is>
          <t>El Papayo</t>
        </is>
      </c>
      <c r="C66" s="8" t="inlineStr">
        <is>
          <t>Huancabamba</t>
        </is>
      </c>
      <c r="D66" s="8" t="inlineStr">
        <is>
          <t>Lalaquiz</t>
        </is>
      </c>
      <c r="E66" s="8" t="inlineStr">
        <is>
          <t>37</t>
        </is>
      </c>
      <c r="F66" s="8" t="n">
        <v>1</v>
      </c>
      <c r="G66" s="8" t="inlineStr">
        <is>
          <t>Urbano</t>
        </is>
      </c>
      <c r="H66" s="36" t="n">
        <v>0</v>
      </c>
      <c r="I66" s="36" t="n">
        <v>0</v>
      </c>
      <c r="J66" s="36" t="n">
        <v>0</v>
      </c>
      <c r="K66" s="36" t="n">
        <v>0</v>
      </c>
      <c r="L66" s="36" t="n">
        <v>0</v>
      </c>
      <c r="M66" s="32" t="n">
        <v>649585.55</v>
      </c>
      <c r="N66" s="32" t="n">
        <v>9424524.15</v>
      </c>
      <c r="O66" s="8" t="inlineStr">
        <is>
          <t>OK</t>
        </is>
      </c>
      <c r="P66" s="8" t="inlineStr"/>
    </row>
    <row r="67">
      <c r="A67" s="6" t="inlineStr">
        <is>
          <t>2003050026</t>
        </is>
      </c>
      <c r="B67" s="6" t="inlineStr">
        <is>
          <t>La Laguna</t>
        </is>
      </c>
      <c r="C67" s="6" t="inlineStr">
        <is>
          <t>Huancabamba</t>
        </is>
      </c>
      <c r="D67" s="6" t="inlineStr">
        <is>
          <t>Lalaquiz</t>
        </is>
      </c>
      <c r="E67" s="6" t="inlineStr">
        <is>
          <t>26</t>
        </is>
      </c>
      <c r="F67" s="6" t="n">
        <v>1</v>
      </c>
      <c r="G67" s="6" t="inlineStr">
        <is>
          <t>Urbano</t>
        </is>
      </c>
      <c r="H67" s="35" t="n">
        <v>0</v>
      </c>
      <c r="I67" s="35" t="n">
        <v>0</v>
      </c>
      <c r="J67" s="35" t="n">
        <v>0</v>
      </c>
      <c r="K67" s="35" t="n">
        <v>0</v>
      </c>
      <c r="L67" s="35" t="n">
        <v>0</v>
      </c>
      <c r="M67" s="30" t="n">
        <v>650045.05</v>
      </c>
      <c r="N67" s="30" t="n">
        <v>9425329.880000001</v>
      </c>
      <c r="O67" s="6" t="inlineStr">
        <is>
          <t>OK</t>
        </is>
      </c>
      <c r="P67" s="6" t="inlineStr"/>
    </row>
    <row r="68">
      <c r="A68" s="8" t="inlineStr">
        <is>
          <t>2003050023</t>
        </is>
      </c>
      <c r="B68" s="8" t="inlineStr">
        <is>
          <t>Maray Chico</t>
        </is>
      </c>
      <c r="C68" s="8" t="inlineStr">
        <is>
          <t>Huancabamba</t>
        </is>
      </c>
      <c r="D68" s="8" t="inlineStr">
        <is>
          <t>Lalaquiz</t>
        </is>
      </c>
      <c r="E68" s="8" t="inlineStr">
        <is>
          <t>34</t>
        </is>
      </c>
      <c r="F68" s="8" t="n">
        <v>1</v>
      </c>
      <c r="G68" s="8" t="inlineStr">
        <is>
          <t>Rural</t>
        </is>
      </c>
      <c r="H68" s="36" t="n">
        <v>142</v>
      </c>
      <c r="I68" s="36" t="n">
        <v>70</v>
      </c>
      <c r="J68" s="36" t="n">
        <v>72</v>
      </c>
      <c r="K68" s="36" t="n">
        <v>31</v>
      </c>
      <c r="L68" s="36" t="n">
        <v>59</v>
      </c>
      <c r="M68" s="32" t="n">
        <v>645458.9300000001</v>
      </c>
      <c r="N68" s="32" t="n">
        <v>9426236.789999999</v>
      </c>
      <c r="O68" s="8" t="inlineStr">
        <is>
          <t>OK</t>
        </is>
      </c>
      <c r="P68" s="8" t="inlineStr"/>
    </row>
    <row r="69">
      <c r="A69" s="6" t="inlineStr">
        <is>
          <t>2003050022</t>
        </is>
      </c>
      <c r="B69" s="6" t="inlineStr">
        <is>
          <t>Maray Grande</t>
        </is>
      </c>
      <c r="C69" s="6" t="inlineStr">
        <is>
          <t>Huancabamba</t>
        </is>
      </c>
      <c r="D69" s="6" t="inlineStr">
        <is>
          <t>Lalaquiz</t>
        </is>
      </c>
      <c r="E69" s="6" t="inlineStr">
        <is>
          <t>34</t>
        </is>
      </c>
      <c r="F69" s="6" t="n">
        <v>1</v>
      </c>
      <c r="G69" s="6" t="inlineStr">
        <is>
          <t>Urbano</t>
        </is>
      </c>
      <c r="H69" s="35" t="n">
        <v>0</v>
      </c>
      <c r="I69" s="35" t="n">
        <v>0</v>
      </c>
      <c r="J69" s="35" t="n">
        <v>0</v>
      </c>
      <c r="K69" s="35" t="n">
        <v>0</v>
      </c>
      <c r="L69" s="35" t="n">
        <v>0</v>
      </c>
      <c r="M69" s="30" t="n">
        <v>645933.1800000001</v>
      </c>
      <c r="N69" s="30" t="n">
        <v>9426502.77</v>
      </c>
      <c r="O69" s="6" t="inlineStr">
        <is>
          <t>OK</t>
        </is>
      </c>
      <c r="P69" s="6" t="inlineStr"/>
    </row>
    <row r="70">
      <c r="A70" s="8" t="inlineStr">
        <is>
          <t>2003050029</t>
        </is>
      </c>
      <c r="B70" s="8" t="inlineStr">
        <is>
          <t>Pedregal</t>
        </is>
      </c>
      <c r="C70" s="8" t="inlineStr">
        <is>
          <t>Huancabamba</t>
        </is>
      </c>
      <c r="D70" s="8" t="inlineStr">
        <is>
          <t>Lalaquiz</t>
        </is>
      </c>
      <c r="E70" s="8" t="inlineStr">
        <is>
          <t>61</t>
        </is>
      </c>
      <c r="F70" s="8" t="n">
        <v>1</v>
      </c>
      <c r="G70" s="8" t="inlineStr">
        <is>
          <t>Rural</t>
        </is>
      </c>
      <c r="H70" s="36" t="n">
        <v>14</v>
      </c>
      <c r="I70" s="36" t="n">
        <v>6</v>
      </c>
      <c r="J70" s="36" t="n">
        <v>8</v>
      </c>
      <c r="K70" s="36" t="n">
        <v>4</v>
      </c>
      <c r="L70" s="36" t="n">
        <v>5</v>
      </c>
      <c r="M70" s="32" t="n">
        <v>646143.3</v>
      </c>
      <c r="N70" s="32" t="n">
        <v>9424311.1</v>
      </c>
      <c r="O70" s="8" t="inlineStr">
        <is>
          <t>OK</t>
        </is>
      </c>
      <c r="P70" s="8" t="inlineStr"/>
    </row>
    <row r="71">
      <c r="A71" s="6" t="inlineStr">
        <is>
          <t>2003050020</t>
        </is>
      </c>
      <c r="B71" s="6" t="inlineStr">
        <is>
          <t>Ullma</t>
        </is>
      </c>
      <c r="C71" s="6" t="inlineStr">
        <is>
          <t>Huancabamba</t>
        </is>
      </c>
      <c r="D71" s="6" t="inlineStr">
        <is>
          <t>Lalaquiz</t>
        </is>
      </c>
      <c r="E71" s="6" t="inlineStr">
        <is>
          <t>38</t>
        </is>
      </c>
      <c r="F71" s="6" t="n">
        <v>1</v>
      </c>
      <c r="G71" s="6" t="inlineStr">
        <is>
          <t>Rural</t>
        </is>
      </c>
      <c r="H71" s="35" t="n">
        <v>157</v>
      </c>
      <c r="I71" s="35" t="n">
        <v>80</v>
      </c>
      <c r="J71" s="35" t="n">
        <v>77</v>
      </c>
      <c r="K71" s="35" t="n">
        <v>29</v>
      </c>
      <c r="L71" s="35" t="n">
        <v>70</v>
      </c>
      <c r="M71" s="30" t="n">
        <v>646975.89</v>
      </c>
      <c r="N71" s="30" t="n">
        <v>9428518.720000001</v>
      </c>
      <c r="O71" s="6" t="inlineStr">
        <is>
          <t>OK</t>
        </is>
      </c>
      <c r="P71" s="6" t="inlineStr"/>
    </row>
    <row r="72">
      <c r="A72" s="8" t="inlineStr">
        <is>
          <t>2003060039</t>
        </is>
      </c>
      <c r="B72" s="8" t="inlineStr">
        <is>
          <t>Chamelico</t>
        </is>
      </c>
      <c r="C72" s="8" t="inlineStr">
        <is>
          <t>Huancabamba</t>
        </is>
      </c>
      <c r="D72" s="8" t="inlineStr">
        <is>
          <t>San Miguel de El Faique</t>
        </is>
      </c>
      <c r="E72" s="8" t="inlineStr">
        <is>
          <t>35</t>
        </is>
      </c>
      <c r="F72" s="8" t="n">
        <v>1</v>
      </c>
      <c r="G72" s="8" t="inlineStr">
        <is>
          <t>Rural</t>
        </is>
      </c>
      <c r="H72" s="36" t="n">
        <v>127</v>
      </c>
      <c r="I72" s="36" t="n">
        <v>62</v>
      </c>
      <c r="J72" s="36" t="n">
        <v>65</v>
      </c>
      <c r="K72" s="36" t="n">
        <v>27</v>
      </c>
      <c r="L72" s="36" t="n">
        <v>43</v>
      </c>
      <c r="M72" s="32" t="n">
        <v>654871.49</v>
      </c>
      <c r="N72" s="32" t="n">
        <v>9395515.210000001</v>
      </c>
      <c r="O72" s="8" t="inlineStr">
        <is>
          <t>OK</t>
        </is>
      </c>
      <c r="P72" s="8" t="inlineStr"/>
    </row>
    <row r="73">
      <c r="A73" s="6" t="inlineStr">
        <is>
          <t>2003060048</t>
        </is>
      </c>
      <c r="B73" s="6" t="inlineStr">
        <is>
          <t>Coyona</t>
        </is>
      </c>
      <c r="C73" s="6" t="inlineStr">
        <is>
          <t>Huancabamba</t>
        </is>
      </c>
      <c r="D73" s="6" t="inlineStr">
        <is>
          <t>San Miguel de El Faique</t>
        </is>
      </c>
      <c r="E73" s="6" t="inlineStr">
        <is>
          <t>43</t>
        </is>
      </c>
      <c r="F73" s="6" t="n">
        <v>1</v>
      </c>
      <c r="G73" s="6" t="inlineStr">
        <is>
          <t>Rural</t>
        </is>
      </c>
      <c r="H73" s="35" t="n">
        <v>74</v>
      </c>
      <c r="I73" s="35" t="n">
        <v>31</v>
      </c>
      <c r="J73" s="35" t="n">
        <v>43</v>
      </c>
      <c r="K73" s="35" t="n">
        <v>11</v>
      </c>
      <c r="L73" s="35" t="n">
        <v>34</v>
      </c>
      <c r="M73" s="30" t="n">
        <v>657110.11</v>
      </c>
      <c r="N73" s="30" t="n">
        <v>9395344.289999999</v>
      </c>
      <c r="O73" s="6" t="inlineStr">
        <is>
          <t>OK</t>
        </is>
      </c>
      <c r="P73" s="6" t="inlineStr"/>
    </row>
    <row r="74">
      <c r="A74" s="8" t="inlineStr">
        <is>
          <t>2003060018</t>
        </is>
      </c>
      <c r="B74" s="8" t="inlineStr">
        <is>
          <t>Cruz de Piedra</t>
        </is>
      </c>
      <c r="C74" s="8" t="inlineStr">
        <is>
          <t>Huancabamba</t>
        </is>
      </c>
      <c r="D74" s="8" t="inlineStr">
        <is>
          <t>San Miguel de El Faique</t>
        </is>
      </c>
      <c r="E74" s="8" t="inlineStr">
        <is>
          <t>44</t>
        </is>
      </c>
      <c r="F74" s="8" t="n">
        <v>1</v>
      </c>
      <c r="G74" s="8" t="inlineStr">
        <is>
          <t>Rural</t>
        </is>
      </c>
      <c r="H74" s="36" t="n">
        <v>74</v>
      </c>
      <c r="I74" s="36" t="n">
        <v>39</v>
      </c>
      <c r="J74" s="36" t="n">
        <v>35</v>
      </c>
      <c r="K74" s="36" t="n">
        <v>10</v>
      </c>
      <c r="L74" s="36" t="n">
        <v>25</v>
      </c>
      <c r="M74" s="32" t="n">
        <v>662961.66</v>
      </c>
      <c r="N74" s="32" t="n">
        <v>9401792.699999999</v>
      </c>
      <c r="O74" s="8" t="inlineStr">
        <is>
          <t>OK</t>
        </is>
      </c>
      <c r="P74" s="8" t="inlineStr"/>
    </row>
    <row r="75">
      <c r="A75" s="6" t="inlineStr">
        <is>
          <t>2003060038</t>
        </is>
      </c>
      <c r="B75" s="6" t="inlineStr">
        <is>
          <t>El Higueron</t>
        </is>
      </c>
      <c r="C75" s="6" t="inlineStr">
        <is>
          <t>Huancabamba</t>
        </is>
      </c>
      <c r="D75" s="6" t="inlineStr">
        <is>
          <t>San Miguel de El Faique</t>
        </is>
      </c>
      <c r="E75" s="6" t="inlineStr">
        <is>
          <t>9</t>
        </is>
      </c>
      <c r="F75" s="6" t="n">
        <v>1</v>
      </c>
      <c r="G75" s="6" t="inlineStr">
        <is>
          <t>Rural</t>
        </is>
      </c>
      <c r="H75" s="35" t="n">
        <v>248</v>
      </c>
      <c r="I75" s="35" t="n">
        <v>126</v>
      </c>
      <c r="J75" s="35" t="n">
        <v>122</v>
      </c>
      <c r="K75" s="35" t="n">
        <v>76</v>
      </c>
      <c r="L75" s="35" t="n">
        <v>93</v>
      </c>
      <c r="M75" s="30" t="n">
        <v>654804.1899999999</v>
      </c>
      <c r="N75" s="30" t="n">
        <v>9396670.859999999</v>
      </c>
      <c r="O75" s="6" t="inlineStr">
        <is>
          <t>OK</t>
        </is>
      </c>
      <c r="P75" s="6" t="inlineStr"/>
    </row>
    <row r="76">
      <c r="A76" s="8" t="inlineStr">
        <is>
          <t>2003060028</t>
        </is>
      </c>
      <c r="B76" s="8" t="inlineStr">
        <is>
          <t>Gaspar</t>
        </is>
      </c>
      <c r="C76" s="8" t="inlineStr">
        <is>
          <t>Huancabamba</t>
        </is>
      </c>
      <c r="D76" s="8" t="inlineStr">
        <is>
          <t>San Miguel de El Faique</t>
        </is>
      </c>
      <c r="E76" s="8" t="inlineStr">
        <is>
          <t>47</t>
        </is>
      </c>
      <c r="F76" s="8" t="n">
        <v>1</v>
      </c>
      <c r="G76" s="8" t="inlineStr">
        <is>
          <t>Rural</t>
        </is>
      </c>
      <c r="H76" s="36" t="n">
        <v>132</v>
      </c>
      <c r="I76" s="36" t="n">
        <v>55</v>
      </c>
      <c r="J76" s="36" t="n">
        <v>77</v>
      </c>
      <c r="K76" s="36" t="n">
        <v>19</v>
      </c>
      <c r="L76" s="36" t="n">
        <v>41</v>
      </c>
      <c r="M76" s="32" t="n">
        <v>659798.42</v>
      </c>
      <c r="N76" s="32" t="n">
        <v>9401280.949999999</v>
      </c>
      <c r="O76" s="8" t="inlineStr">
        <is>
          <t>OK</t>
        </is>
      </c>
      <c r="P76" s="8" t="inlineStr"/>
    </row>
    <row r="77">
      <c r="A77" s="6" t="inlineStr">
        <is>
          <t>2003060047</t>
        </is>
      </c>
      <c r="B77" s="6" t="inlineStr">
        <is>
          <t>Huacas Baja</t>
        </is>
      </c>
      <c r="C77" s="6" t="inlineStr">
        <is>
          <t>Huancabamba</t>
        </is>
      </c>
      <c r="D77" s="6" t="inlineStr">
        <is>
          <t>San Miguel de El Faique</t>
        </is>
      </c>
      <c r="E77" s="6" t="inlineStr">
        <is>
          <t>M2B8</t>
        </is>
      </c>
      <c r="F77" s="6" t="n">
        <v>1</v>
      </c>
      <c r="G77" s="6" t="inlineStr">
        <is>
          <t>Rural</t>
        </is>
      </c>
      <c r="H77" s="35" t="n">
        <v>140</v>
      </c>
      <c r="I77" s="35" t="n">
        <v>66</v>
      </c>
      <c r="J77" s="35" t="n">
        <v>74</v>
      </c>
      <c r="K77" s="35" t="n">
        <v>22</v>
      </c>
      <c r="L77" s="35" t="n">
        <v>50</v>
      </c>
      <c r="M77" s="30" t="n">
        <v>638114.89</v>
      </c>
      <c r="N77" s="30" t="n">
        <v>9398798.85</v>
      </c>
      <c r="O77" s="6" t="inlineStr">
        <is>
          <t>OK</t>
        </is>
      </c>
      <c r="P77" s="6" t="inlineStr"/>
    </row>
    <row r="78">
      <c r="A78" s="8" t="inlineStr">
        <is>
          <t>2003060033</t>
        </is>
      </c>
      <c r="B78" s="8" t="inlineStr">
        <is>
          <t>La Capilla</t>
        </is>
      </c>
      <c r="C78" s="8" t="inlineStr">
        <is>
          <t>Huancabamba</t>
        </is>
      </c>
      <c r="D78" s="8" t="inlineStr">
        <is>
          <t>San Miguel de El Faique</t>
        </is>
      </c>
      <c r="E78" s="8" t="inlineStr">
        <is>
          <t>9</t>
        </is>
      </c>
      <c r="F78" s="8" t="n">
        <v>1</v>
      </c>
      <c r="G78" s="8" t="inlineStr">
        <is>
          <t>Urbano</t>
        </is>
      </c>
      <c r="H78" s="36" t="n">
        <v>0</v>
      </c>
      <c r="I78" s="36" t="n">
        <v>0</v>
      </c>
      <c r="J78" s="36" t="n">
        <v>0</v>
      </c>
      <c r="K78" s="36" t="n">
        <v>0</v>
      </c>
      <c r="L78" s="36" t="n">
        <v>0</v>
      </c>
      <c r="M78" s="32" t="n">
        <v>654883.09</v>
      </c>
      <c r="N78" s="32" t="n">
        <v>9398181.529999999</v>
      </c>
      <c r="O78" s="8" t="inlineStr">
        <is>
          <t>OK</t>
        </is>
      </c>
      <c r="P78" s="8" t="inlineStr"/>
    </row>
    <row r="79">
      <c r="A79" s="6" t="inlineStr">
        <is>
          <t>2003060002</t>
        </is>
      </c>
      <c r="B79" s="6" t="inlineStr">
        <is>
          <t>Las Huacas</t>
        </is>
      </c>
      <c r="C79" s="6" t="inlineStr">
        <is>
          <t>Huancabamba</t>
        </is>
      </c>
      <c r="D79" s="6" t="inlineStr">
        <is>
          <t>San Miguel de El Faique</t>
        </is>
      </c>
      <c r="E79" s="6" t="inlineStr">
        <is>
          <t>M2B8, M20B1</t>
        </is>
      </c>
      <c r="F79" s="6" t="n">
        <v>2</v>
      </c>
      <c r="G79" s="6" t="inlineStr">
        <is>
          <t>Urbano</t>
        </is>
      </c>
      <c r="H79" s="35" t="n">
        <v>0</v>
      </c>
      <c r="I79" s="35" t="n">
        <v>0</v>
      </c>
      <c r="J79" s="35" t="n">
        <v>0</v>
      </c>
      <c r="K79" s="35" t="n">
        <v>0</v>
      </c>
      <c r="L79" s="35" t="n">
        <v>0</v>
      </c>
      <c r="M79" s="30" t="n">
        <v>639099.78</v>
      </c>
      <c r="N79" s="30" t="n">
        <v>9399157.029999999</v>
      </c>
      <c r="O79" s="6" t="inlineStr">
        <is>
          <t>OK</t>
        </is>
      </c>
      <c r="P79" s="6" t="inlineStr"/>
    </row>
    <row r="80">
      <c r="A80" s="8" t="inlineStr">
        <is>
          <t>2003060037</t>
        </is>
      </c>
      <c r="B80" s="8" t="inlineStr">
        <is>
          <t>Pizarrume</t>
        </is>
      </c>
      <c r="C80" s="8" t="inlineStr">
        <is>
          <t>Huancabamba</t>
        </is>
      </c>
      <c r="D80" s="8" t="inlineStr">
        <is>
          <t>San Miguel de El Faique</t>
        </is>
      </c>
      <c r="E80" s="8" t="inlineStr">
        <is>
          <t>43</t>
        </is>
      </c>
      <c r="F80" s="8" t="n">
        <v>1</v>
      </c>
      <c r="G80" s="8" t="inlineStr">
        <is>
          <t>Rural</t>
        </is>
      </c>
      <c r="H80" s="36" t="n">
        <v>222</v>
      </c>
      <c r="I80" s="36" t="n">
        <v>100</v>
      </c>
      <c r="J80" s="36" t="n">
        <v>122</v>
      </c>
      <c r="K80" s="36" t="n">
        <v>31</v>
      </c>
      <c r="L80" s="36" t="n">
        <v>65</v>
      </c>
      <c r="M80" s="32" t="n">
        <v>656144.8100000001</v>
      </c>
      <c r="N80" s="32" t="n">
        <v>9395740.939999999</v>
      </c>
      <c r="O80" s="8" t="inlineStr">
        <is>
          <t>OK</t>
        </is>
      </c>
      <c r="P80" s="8" t="inlineStr"/>
    </row>
    <row r="81">
      <c r="A81" s="6" t="inlineStr">
        <is>
          <t>2003060041</t>
        </is>
      </c>
      <c r="B81" s="6" t="inlineStr">
        <is>
          <t>Quitahuajara</t>
        </is>
      </c>
      <c r="C81" s="6" t="inlineStr">
        <is>
          <t>Huancabamba</t>
        </is>
      </c>
      <c r="D81" s="6" t="inlineStr">
        <is>
          <t>San Miguel de El Faique</t>
        </is>
      </c>
      <c r="E81" s="6" t="inlineStr">
        <is>
          <t>35</t>
        </is>
      </c>
      <c r="F81" s="6" t="n">
        <v>1</v>
      </c>
      <c r="G81" s="6" t="inlineStr">
        <is>
          <t>Rural</t>
        </is>
      </c>
      <c r="H81" s="35" t="n">
        <v>71</v>
      </c>
      <c r="I81" s="35" t="n">
        <v>36</v>
      </c>
      <c r="J81" s="35" t="n">
        <v>35</v>
      </c>
      <c r="K81" s="35" t="n">
        <v>24</v>
      </c>
      <c r="L81" s="35" t="n">
        <v>30</v>
      </c>
      <c r="M81" s="30" t="n">
        <v>653653.36</v>
      </c>
      <c r="N81" s="30" t="n">
        <v>9395027.27</v>
      </c>
      <c r="O81" s="6" t="inlineStr">
        <is>
          <t>OK</t>
        </is>
      </c>
      <c r="P81" s="6" t="inlineStr"/>
    </row>
    <row r="82">
      <c r="A82" s="8" t="inlineStr">
        <is>
          <t>2003060015</t>
        </is>
      </c>
      <c r="B82" s="8" t="inlineStr">
        <is>
          <t>Santa Rosa</t>
        </is>
      </c>
      <c r="C82" s="8" t="inlineStr">
        <is>
          <t>Huancabamba</t>
        </is>
      </c>
      <c r="D82" s="8" t="inlineStr">
        <is>
          <t>San Miguel de El Faique</t>
        </is>
      </c>
      <c r="E82" s="8" t="inlineStr">
        <is>
          <t>M22B1</t>
        </is>
      </c>
      <c r="F82" s="8" t="n">
        <v>1</v>
      </c>
      <c r="G82" s="8" t="inlineStr">
        <is>
          <t>Rural</t>
        </is>
      </c>
      <c r="H82" s="36" t="n">
        <v>23</v>
      </c>
      <c r="I82" s="36" t="n">
        <v>10</v>
      </c>
      <c r="J82" s="36" t="n">
        <v>13</v>
      </c>
      <c r="K82" s="36" t="n">
        <v>2</v>
      </c>
      <c r="L82" s="36" t="n">
        <v>9</v>
      </c>
      <c r="M82" s="32" t="n">
        <v>663444.99</v>
      </c>
      <c r="N82" s="32" t="n">
        <v>9404222.74</v>
      </c>
      <c r="O82" s="8" t="inlineStr">
        <is>
          <t>OK</t>
        </is>
      </c>
      <c r="P82" s="8" t="inlineStr"/>
    </row>
    <row r="83">
      <c r="A83" s="6" t="inlineStr">
        <is>
          <t>2004020001</t>
        </is>
      </c>
      <c r="B83" s="6" t="inlineStr">
        <is>
          <t>Buenos Aires</t>
        </is>
      </c>
      <c r="C83" s="6" t="inlineStr">
        <is>
          <t>Morropón</t>
        </is>
      </c>
      <c r="D83" s="6" t="inlineStr">
        <is>
          <t>Buenos Aires</t>
        </is>
      </c>
      <c r="E83" s="6" t="inlineStr">
        <is>
          <t>M6B2-2</t>
        </is>
      </c>
      <c r="F83" s="6" t="n">
        <v>1</v>
      </c>
      <c r="G83" s="6" t="inlineStr">
        <is>
          <t>Urbano</t>
        </is>
      </c>
      <c r="H83" s="35" t="n">
        <v>0</v>
      </c>
      <c r="I83" s="35" t="n">
        <v>0</v>
      </c>
      <c r="J83" s="35" t="n">
        <v>0</v>
      </c>
      <c r="K83" s="35" t="n">
        <v>0</v>
      </c>
      <c r="L83" s="35" t="n">
        <v>0</v>
      </c>
      <c r="M83" s="30" t="n">
        <v>614470.78</v>
      </c>
      <c r="N83" s="30" t="n">
        <v>9417730.18</v>
      </c>
      <c r="O83" s="6" t="inlineStr">
        <is>
          <t>OK</t>
        </is>
      </c>
      <c r="P83" s="6" t="inlineStr"/>
    </row>
    <row r="84">
      <c r="A84" s="8" t="inlineStr">
        <is>
          <t>2004020019</t>
        </is>
      </c>
      <c r="B84" s="8" t="inlineStr">
        <is>
          <t>El Ala</t>
        </is>
      </c>
      <c r="C84" s="8" t="inlineStr">
        <is>
          <t>Morropón</t>
        </is>
      </c>
      <c r="D84" s="8" t="inlineStr">
        <is>
          <t>Buenos Aires</t>
        </is>
      </c>
      <c r="E84" s="8" t="inlineStr">
        <is>
          <t>5</t>
        </is>
      </c>
      <c r="F84" s="8" t="n">
        <v>1</v>
      </c>
      <c r="G84" s="8" t="inlineStr">
        <is>
          <t>Rural</t>
        </is>
      </c>
      <c r="H84" s="36" t="n">
        <v>69</v>
      </c>
      <c r="I84" s="36" t="n">
        <v>33</v>
      </c>
      <c r="J84" s="36" t="n">
        <v>36</v>
      </c>
      <c r="K84" s="36" t="n">
        <v>22</v>
      </c>
      <c r="L84" s="36" t="n">
        <v>24</v>
      </c>
      <c r="M84" s="32" t="n">
        <v>618703.91</v>
      </c>
      <c r="N84" s="32" t="n">
        <v>9413220.189999999</v>
      </c>
      <c r="O84" s="8" t="inlineStr">
        <is>
          <t>OK</t>
        </is>
      </c>
      <c r="P84" s="8" t="inlineStr"/>
    </row>
    <row r="85">
      <c r="A85" s="6" t="inlineStr">
        <is>
          <t>2004020023</t>
        </is>
      </c>
      <c r="B85" s="6" t="inlineStr">
        <is>
          <t>Hualas</t>
        </is>
      </c>
      <c r="C85" s="6" t="inlineStr">
        <is>
          <t>Morropón</t>
        </is>
      </c>
      <c r="D85" s="6" t="inlineStr">
        <is>
          <t>Buenos Aires</t>
        </is>
      </c>
      <c r="E85" s="6" t="inlineStr">
        <is>
          <t>M18B1</t>
        </is>
      </c>
      <c r="F85" s="6" t="n">
        <v>1</v>
      </c>
      <c r="G85" s="6" t="inlineStr">
        <is>
          <t>Rural</t>
        </is>
      </c>
      <c r="H85" s="35" t="n">
        <v>63</v>
      </c>
      <c r="I85" s="35" t="n">
        <v>29</v>
      </c>
      <c r="J85" s="35" t="n">
        <v>34</v>
      </c>
      <c r="K85" s="35" t="n">
        <v>11</v>
      </c>
      <c r="L85" s="35" t="n">
        <v>26</v>
      </c>
      <c r="M85" s="30" t="n">
        <v>621408.22</v>
      </c>
      <c r="N85" s="30" t="n">
        <v>9410773.189999999</v>
      </c>
      <c r="O85" s="6" t="inlineStr">
        <is>
          <t>OK</t>
        </is>
      </c>
      <c r="P85" s="6" t="inlineStr"/>
    </row>
    <row r="86">
      <c r="A86" s="8" t="inlineStr">
        <is>
          <t>2004020006</t>
        </is>
      </c>
      <c r="B86" s="8" t="inlineStr">
        <is>
          <t>Ingenio de Buenos Aires</t>
        </is>
      </c>
      <c r="C86" s="8" t="inlineStr">
        <is>
          <t>Morropón</t>
        </is>
      </c>
      <c r="D86" s="8" t="inlineStr">
        <is>
          <t>Buenos Aires</t>
        </is>
      </c>
      <c r="E86" s="8" t="inlineStr">
        <is>
          <t>M6B10</t>
        </is>
      </c>
      <c r="F86" s="8" t="n">
        <v>1</v>
      </c>
      <c r="G86" s="8" t="inlineStr">
        <is>
          <t>Urbano</t>
        </is>
      </c>
      <c r="H86" s="36" t="n">
        <v>0</v>
      </c>
      <c r="I86" s="36" t="n">
        <v>0</v>
      </c>
      <c r="J86" s="36" t="n">
        <v>0</v>
      </c>
      <c r="K86" s="36" t="n">
        <v>0</v>
      </c>
      <c r="L86" s="36" t="n">
        <v>0</v>
      </c>
      <c r="M86" s="32" t="n">
        <v>616796.12</v>
      </c>
      <c r="N86" s="32" t="n">
        <v>9424097.08</v>
      </c>
      <c r="O86" s="8" t="inlineStr">
        <is>
          <t>OK</t>
        </is>
      </c>
      <c r="P86" s="8" t="inlineStr"/>
    </row>
    <row r="87">
      <c r="A87" s="6" t="inlineStr">
        <is>
          <t>2004020021</t>
        </is>
      </c>
      <c r="B87" s="6" t="inlineStr">
        <is>
          <t>Juan Velasco</t>
        </is>
      </c>
      <c r="C87" s="6" t="inlineStr">
        <is>
          <t>Morropón</t>
        </is>
      </c>
      <c r="D87" s="6" t="inlineStr">
        <is>
          <t>Buenos Aires</t>
        </is>
      </c>
      <c r="E87" s="6" t="inlineStr">
        <is>
          <t>5</t>
        </is>
      </c>
      <c r="F87" s="6" t="n">
        <v>1</v>
      </c>
      <c r="G87" s="6" t="inlineStr">
        <is>
          <t>Rural</t>
        </is>
      </c>
      <c r="H87" s="35" t="n">
        <v>64</v>
      </c>
      <c r="I87" s="35" t="n">
        <v>32</v>
      </c>
      <c r="J87" s="35" t="n">
        <v>32</v>
      </c>
      <c r="K87" s="35" t="n">
        <v>15</v>
      </c>
      <c r="L87" s="35" t="n">
        <v>25</v>
      </c>
      <c r="M87" s="30" t="n">
        <v>618461.1</v>
      </c>
      <c r="N87" s="30" t="n">
        <v>9411761.41</v>
      </c>
      <c r="O87" s="6" t="inlineStr">
        <is>
          <t>OK</t>
        </is>
      </c>
      <c r="P87" s="6" t="inlineStr"/>
    </row>
    <row r="88">
      <c r="A88" s="8" t="inlineStr">
        <is>
          <t>2004020011</t>
        </is>
      </c>
      <c r="B88" s="8" t="inlineStr">
        <is>
          <t>La Maravilla</t>
        </is>
      </c>
      <c r="C88" s="8" t="inlineStr">
        <is>
          <t>Morropón</t>
        </is>
      </c>
      <c r="D88" s="8" t="inlineStr">
        <is>
          <t>Buenos Aires</t>
        </is>
      </c>
      <c r="E88" s="8" t="inlineStr">
        <is>
          <t>M6B10</t>
        </is>
      </c>
      <c r="F88" s="8" t="n">
        <v>1</v>
      </c>
      <c r="G88" s="8" t="inlineStr">
        <is>
          <t>Rural</t>
        </is>
      </c>
      <c r="H88" s="36" t="n">
        <v>218</v>
      </c>
      <c r="I88" s="36" t="n">
        <v>116</v>
      </c>
      <c r="J88" s="36" t="n">
        <v>102</v>
      </c>
      <c r="K88" s="36" t="n">
        <v>39</v>
      </c>
      <c r="L88" s="36" t="n">
        <v>76</v>
      </c>
      <c r="M88" s="32" t="n">
        <v>617362.1</v>
      </c>
      <c r="N88" s="32" t="n">
        <v>9422166.859999999</v>
      </c>
      <c r="O88" s="8" t="inlineStr">
        <is>
          <t>OK</t>
        </is>
      </c>
      <c r="P88" s="8" t="inlineStr"/>
    </row>
    <row r="89">
      <c r="A89" s="6" t="inlineStr">
        <is>
          <t>2004020010</t>
        </is>
      </c>
      <c r="B89" s="6" t="inlineStr">
        <is>
          <t>La Pilca</t>
        </is>
      </c>
      <c r="C89" s="6" t="inlineStr">
        <is>
          <t>Morropón</t>
        </is>
      </c>
      <c r="D89" s="6" t="inlineStr">
        <is>
          <t>Buenos Aires</t>
        </is>
      </c>
      <c r="E89" s="6" t="inlineStr">
        <is>
          <t>M6B10</t>
        </is>
      </c>
      <c r="F89" s="6" t="n">
        <v>1</v>
      </c>
      <c r="G89" s="6" t="inlineStr">
        <is>
          <t>Urbano</t>
        </is>
      </c>
      <c r="H89" s="35" t="n">
        <v>0</v>
      </c>
      <c r="I89" s="35" t="n">
        <v>0</v>
      </c>
      <c r="J89" s="35" t="n">
        <v>0</v>
      </c>
      <c r="K89" s="35" t="n">
        <v>0</v>
      </c>
      <c r="L89" s="35" t="n">
        <v>0</v>
      </c>
      <c r="M89" s="30" t="n">
        <v>616730.87</v>
      </c>
      <c r="N89" s="30" t="n">
        <v>9423183.640000001</v>
      </c>
      <c r="O89" s="6" t="inlineStr">
        <is>
          <t>OK</t>
        </is>
      </c>
      <c r="P89" s="6" t="inlineStr"/>
    </row>
    <row r="90">
      <c r="A90" s="8" t="inlineStr">
        <is>
          <t>2004020018</t>
        </is>
      </c>
      <c r="B90" s="8" t="inlineStr">
        <is>
          <t>Linderos del Ala</t>
        </is>
      </c>
      <c r="C90" s="8" t="inlineStr">
        <is>
          <t>Morropón</t>
        </is>
      </c>
      <c r="D90" s="8" t="inlineStr">
        <is>
          <t>Buenos Aires</t>
        </is>
      </c>
      <c r="E90" s="8" t="inlineStr">
        <is>
          <t>5</t>
        </is>
      </c>
      <c r="F90" s="8" t="n">
        <v>1</v>
      </c>
      <c r="G90" s="8" t="inlineStr">
        <is>
          <t>Rural</t>
        </is>
      </c>
      <c r="H90" s="36" t="n">
        <v>53</v>
      </c>
      <c r="I90" s="36" t="n">
        <v>31</v>
      </c>
      <c r="J90" s="36" t="n">
        <v>22</v>
      </c>
      <c r="K90" s="36" t="n">
        <v>7</v>
      </c>
      <c r="L90" s="36" t="n">
        <v>24</v>
      </c>
      <c r="M90" s="32" t="n">
        <v>617460.89</v>
      </c>
      <c r="N90" s="32" t="n">
        <v>9414954.41</v>
      </c>
      <c r="O90" s="8" t="inlineStr">
        <is>
          <t>OK</t>
        </is>
      </c>
      <c r="P90" s="8" t="inlineStr"/>
    </row>
    <row r="91">
      <c r="A91" s="6" t="inlineStr">
        <is>
          <t>2004020013</t>
        </is>
      </c>
      <c r="B91" s="6" t="inlineStr">
        <is>
          <t>Pedregal</t>
        </is>
      </c>
      <c r="C91" s="6" t="inlineStr">
        <is>
          <t>Morropón</t>
        </is>
      </c>
      <c r="D91" s="6" t="inlineStr">
        <is>
          <t>Buenos Aires</t>
        </is>
      </c>
      <c r="E91" s="6" t="inlineStr">
        <is>
          <t>M6B2-3</t>
        </is>
      </c>
      <c r="F91" s="6" t="n">
        <v>1</v>
      </c>
      <c r="G91" s="6" t="inlineStr">
        <is>
          <t>Urbano</t>
        </is>
      </c>
      <c r="H91" s="35" t="n">
        <v>0</v>
      </c>
      <c r="I91" s="35" t="n">
        <v>0</v>
      </c>
      <c r="J91" s="35" t="n">
        <v>0</v>
      </c>
      <c r="K91" s="35" t="n">
        <v>0</v>
      </c>
      <c r="L91" s="35" t="n">
        <v>0</v>
      </c>
      <c r="M91" s="30" t="n">
        <v>612343.77</v>
      </c>
      <c r="N91" s="30" t="n">
        <v>9420386.82</v>
      </c>
      <c r="O91" s="6" t="inlineStr">
        <is>
          <t>OK</t>
        </is>
      </c>
      <c r="P91" s="6" t="inlineStr"/>
    </row>
    <row r="92">
      <c r="A92" s="8" t="inlineStr">
        <is>
          <t>2004020012</t>
        </is>
      </c>
      <c r="B92" s="8" t="inlineStr">
        <is>
          <t>Pueblo Nuevo</t>
        </is>
      </c>
      <c r="C92" s="8" t="inlineStr">
        <is>
          <t>Morropón</t>
        </is>
      </c>
      <c r="D92" s="8" t="inlineStr">
        <is>
          <t>Buenos Aires</t>
        </is>
      </c>
      <c r="E92" s="8" t="inlineStr">
        <is>
          <t>M6B2-3</t>
        </is>
      </c>
      <c r="F92" s="8" t="n">
        <v>1</v>
      </c>
      <c r="G92" s="8" t="inlineStr">
        <is>
          <t>Urbano</t>
        </is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2" t="n">
        <v>611697.99</v>
      </c>
      <c r="N92" s="32" t="n">
        <v>9420989.23</v>
      </c>
      <c r="O92" s="8" t="inlineStr">
        <is>
          <t>OK</t>
        </is>
      </c>
      <c r="P92" s="8" t="inlineStr"/>
    </row>
    <row r="93">
      <c r="A93" s="6" t="inlineStr">
        <is>
          <t>2004020022</t>
        </is>
      </c>
      <c r="B93" s="6" t="inlineStr">
        <is>
          <t>Rio Seco</t>
        </is>
      </c>
      <c r="C93" s="6" t="inlineStr">
        <is>
          <t>Morropón</t>
        </is>
      </c>
      <c r="D93" s="6" t="inlineStr">
        <is>
          <t>Buenos Aires</t>
        </is>
      </c>
      <c r="E93" s="6" t="inlineStr">
        <is>
          <t>M1B1</t>
        </is>
      </c>
      <c r="F93" s="6" t="n">
        <v>1</v>
      </c>
      <c r="G93" s="6" t="inlineStr">
        <is>
          <t>Rural</t>
        </is>
      </c>
      <c r="H93" s="35" t="n">
        <v>255</v>
      </c>
      <c r="I93" s="35" t="n">
        <v>135</v>
      </c>
      <c r="J93" s="35" t="n">
        <v>120</v>
      </c>
      <c r="K93" s="35" t="n">
        <v>60</v>
      </c>
      <c r="L93" s="35" t="n">
        <v>106</v>
      </c>
      <c r="M93" s="30" t="n">
        <v>618691.27</v>
      </c>
      <c r="N93" s="30" t="n">
        <v>9411039.619999999</v>
      </c>
      <c r="O93" s="6" t="inlineStr">
        <is>
          <t>OK</t>
        </is>
      </c>
      <c r="P93" s="6" t="inlineStr"/>
    </row>
    <row r="94">
      <c r="A94" s="8" t="inlineStr">
        <is>
          <t>2004030009</t>
        </is>
      </c>
      <c r="B94" s="8" t="inlineStr">
        <is>
          <t>Guabo</t>
        </is>
      </c>
      <c r="C94" s="8" t="inlineStr">
        <is>
          <t>Morropón</t>
        </is>
      </c>
      <c r="D94" s="8" t="inlineStr">
        <is>
          <t>Chalaco</t>
        </is>
      </c>
      <c r="E94" s="8" t="inlineStr">
        <is>
          <t>59</t>
        </is>
      </c>
      <c r="F94" s="8" t="n">
        <v>1</v>
      </c>
      <c r="G94" s="8" t="inlineStr">
        <is>
          <t>Rural</t>
        </is>
      </c>
      <c r="H94" s="36" t="n">
        <v>6</v>
      </c>
      <c r="I94" s="36" t="n">
        <v>2</v>
      </c>
      <c r="J94" s="36" t="n">
        <v>4</v>
      </c>
      <c r="K94" s="36" t="n">
        <v>1</v>
      </c>
      <c r="L94" s="36" t="n">
        <v>2</v>
      </c>
      <c r="M94" s="32" t="n">
        <v>630829.59</v>
      </c>
      <c r="N94" s="32" t="n">
        <v>9441636.710000001</v>
      </c>
      <c r="O94" s="8" t="inlineStr">
        <is>
          <t>OK</t>
        </is>
      </c>
      <c r="P94" s="8" t="inlineStr"/>
    </row>
    <row r="95">
      <c r="A95" s="6" t="inlineStr">
        <is>
          <t>2004030041</t>
        </is>
      </c>
      <c r="B95" s="6" t="inlineStr">
        <is>
          <t>San Lorenzo</t>
        </is>
      </c>
      <c r="C95" s="6" t="inlineStr">
        <is>
          <t>Morropón</t>
        </is>
      </c>
      <c r="D95" s="6" t="inlineStr">
        <is>
          <t>Chalaco</t>
        </is>
      </c>
      <c r="E95" s="6" t="inlineStr">
        <is>
          <t>57</t>
        </is>
      </c>
      <c r="F95" s="6" t="n">
        <v>1</v>
      </c>
      <c r="G95" s="6" t="inlineStr">
        <is>
          <t>Rural</t>
        </is>
      </c>
      <c r="H95" s="35" t="n">
        <v>126</v>
      </c>
      <c r="I95" s="35" t="n">
        <v>65</v>
      </c>
      <c r="J95" s="35" t="n">
        <v>61</v>
      </c>
      <c r="K95" s="35" t="n">
        <v>24</v>
      </c>
      <c r="L95" s="35" t="n">
        <v>38</v>
      </c>
      <c r="M95" s="30" t="n">
        <v>633192.5699999999</v>
      </c>
      <c r="N95" s="30" t="n">
        <v>9439427.029999999</v>
      </c>
      <c r="O95" s="6" t="inlineStr">
        <is>
          <t>OK</t>
        </is>
      </c>
      <c r="P95" s="6" t="inlineStr"/>
    </row>
    <row r="96">
      <c r="A96" s="8" t="inlineStr">
        <is>
          <t>2004030022</t>
        </is>
      </c>
      <c r="B96" s="8" t="inlineStr">
        <is>
          <t>Taspa</t>
        </is>
      </c>
      <c r="C96" s="8" t="inlineStr">
        <is>
          <t>Morropón</t>
        </is>
      </c>
      <c r="D96" s="8" t="inlineStr">
        <is>
          <t>Chalaco</t>
        </is>
      </c>
      <c r="E96" s="8" t="inlineStr">
        <is>
          <t>57</t>
        </is>
      </c>
      <c r="F96" s="8" t="n">
        <v>1</v>
      </c>
      <c r="G96" s="8" t="inlineStr">
        <is>
          <t>Rural</t>
        </is>
      </c>
      <c r="H96" s="36" t="n">
        <v>250</v>
      </c>
      <c r="I96" s="36" t="n">
        <v>118</v>
      </c>
      <c r="J96" s="36" t="n">
        <v>132</v>
      </c>
      <c r="K96" s="36" t="n">
        <v>53</v>
      </c>
      <c r="L96" s="36" t="n">
        <v>88</v>
      </c>
      <c r="M96" s="32" t="n">
        <v>631620.67</v>
      </c>
      <c r="N96" s="32" t="n">
        <v>9440841.25</v>
      </c>
      <c r="O96" s="8" t="inlineStr">
        <is>
          <t>OK</t>
        </is>
      </c>
      <c r="P96" s="8" t="inlineStr"/>
    </row>
    <row r="97">
      <c r="A97" s="6" t="inlineStr">
        <is>
          <t>2004010030</t>
        </is>
      </c>
      <c r="B97" s="6" t="inlineStr">
        <is>
          <t>Balcones de Talandracas</t>
        </is>
      </c>
      <c r="C97" s="6" t="inlineStr">
        <is>
          <t>Morropón</t>
        </is>
      </c>
      <c r="D97" s="6" t="inlineStr">
        <is>
          <t>Chulucanas</t>
        </is>
      </c>
      <c r="E97" s="6" t="inlineStr">
        <is>
          <t>2</t>
        </is>
      </c>
      <c r="F97" s="6" t="n">
        <v>1</v>
      </c>
      <c r="G97" s="6" t="inlineStr">
        <is>
          <t>Rural</t>
        </is>
      </c>
      <c r="H97" s="35" t="n">
        <v>691</v>
      </c>
      <c r="I97" s="35" t="n">
        <v>364</v>
      </c>
      <c r="J97" s="35" t="n">
        <v>327</v>
      </c>
      <c r="K97" s="35" t="n">
        <v>83</v>
      </c>
      <c r="L97" s="35" t="n">
        <v>188</v>
      </c>
      <c r="M97" s="30" t="n">
        <v>602137.15</v>
      </c>
      <c r="N97" s="30" t="n">
        <v>9437858.35</v>
      </c>
      <c r="O97" s="6" t="inlineStr">
        <is>
          <t>OK</t>
        </is>
      </c>
      <c r="P97" s="6" t="inlineStr"/>
    </row>
    <row r="98">
      <c r="A98" s="8" t="inlineStr">
        <is>
          <t>2004010012</t>
        </is>
      </c>
      <c r="B98" s="8" t="inlineStr">
        <is>
          <t>Chililique Alto</t>
        </is>
      </c>
      <c r="C98" s="8" t="inlineStr">
        <is>
          <t>Morropón</t>
        </is>
      </c>
      <c r="D98" s="8" t="inlineStr">
        <is>
          <t>Chulucanas</t>
        </is>
      </c>
      <c r="E98" s="8" t="inlineStr">
        <is>
          <t>M17B4, M17B6</t>
        </is>
      </c>
      <c r="F98" s="8" t="n">
        <v>2</v>
      </c>
      <c r="G98" s="8" t="inlineStr">
        <is>
          <t>Rural</t>
        </is>
      </c>
      <c r="H98" s="36" t="n">
        <v>360</v>
      </c>
      <c r="I98" s="36" t="n">
        <v>176</v>
      </c>
      <c r="J98" s="36" t="n">
        <v>184</v>
      </c>
      <c r="K98" s="36" t="n">
        <v>80</v>
      </c>
      <c r="L98" s="36" t="n">
        <v>180</v>
      </c>
      <c r="M98" s="32" t="n">
        <v>605271.8199999999</v>
      </c>
      <c r="N98" s="32" t="n">
        <v>9445305.810000001</v>
      </c>
      <c r="O98" s="8" t="inlineStr">
        <is>
          <t>OK</t>
        </is>
      </c>
      <c r="P98" s="8" t="inlineStr"/>
    </row>
    <row r="99">
      <c r="A99" s="6" t="inlineStr">
        <is>
          <t>2004010043</t>
        </is>
      </c>
      <c r="B99" s="6" t="inlineStr">
        <is>
          <t>Huasimal</t>
        </is>
      </c>
      <c r="C99" s="6" t="inlineStr">
        <is>
          <t>Morropón</t>
        </is>
      </c>
      <c r="D99" s="6" t="inlineStr">
        <is>
          <t>Chulucanas</t>
        </is>
      </c>
      <c r="E99" s="6" t="inlineStr">
        <is>
          <t>M27B1</t>
        </is>
      </c>
      <c r="F99" s="6" t="n">
        <v>1</v>
      </c>
      <c r="G99" s="6" t="inlineStr">
        <is>
          <t>Urbano</t>
        </is>
      </c>
      <c r="H99" s="35" t="n">
        <v>0</v>
      </c>
      <c r="I99" s="35" t="n">
        <v>0</v>
      </c>
      <c r="J99" s="35" t="n">
        <v>0</v>
      </c>
      <c r="K99" s="35" t="n">
        <v>0</v>
      </c>
      <c r="L99" s="35" t="n">
        <v>0</v>
      </c>
      <c r="M99" s="30" t="n">
        <v>591783.96</v>
      </c>
      <c r="N99" s="30" t="n">
        <v>9430994.91</v>
      </c>
      <c r="O99" s="6" t="inlineStr">
        <is>
          <t>OK</t>
        </is>
      </c>
      <c r="P99" s="6" t="inlineStr"/>
    </row>
    <row r="100">
      <c r="A100" s="8" t="inlineStr">
        <is>
          <t>2004010059</t>
        </is>
      </c>
      <c r="B100" s="8" t="inlineStr">
        <is>
          <t>La Peña</t>
        </is>
      </c>
      <c r="C100" s="8" t="inlineStr">
        <is>
          <t>Morropón</t>
        </is>
      </c>
      <c r="D100" s="8" t="inlineStr">
        <is>
          <t>Chulucanas</t>
        </is>
      </c>
      <c r="E100" s="8" t="inlineStr">
        <is>
          <t>M9B1</t>
        </is>
      </c>
      <c r="F100" s="8" t="n">
        <v>1</v>
      </c>
      <c r="G100" s="8" t="inlineStr">
        <is>
          <t>Rural</t>
        </is>
      </c>
      <c r="H100" s="36" t="n">
        <v>83</v>
      </c>
      <c r="I100" s="36" t="n">
        <v>45</v>
      </c>
      <c r="J100" s="36" t="n">
        <v>38</v>
      </c>
      <c r="K100" s="36" t="n">
        <v>17</v>
      </c>
      <c r="L100" s="36" t="n">
        <v>36</v>
      </c>
      <c r="M100" s="32" t="n">
        <v>593477.33</v>
      </c>
      <c r="N100" s="32" t="n">
        <v>9451361.460000001</v>
      </c>
      <c r="O100" s="8" t="inlineStr">
        <is>
          <t>OK</t>
        </is>
      </c>
      <c r="P100" s="8" t="inlineStr"/>
    </row>
    <row r="101">
      <c r="A101" s="6" t="inlineStr">
        <is>
          <t>2004010016</t>
        </is>
      </c>
      <c r="B101" s="6" t="inlineStr">
        <is>
          <t>Papelillo</t>
        </is>
      </c>
      <c r="C101" s="6" t="inlineStr">
        <is>
          <t>Morropón</t>
        </is>
      </c>
      <c r="D101" s="6" t="inlineStr">
        <is>
          <t>Chulucanas</t>
        </is>
      </c>
      <c r="E101" s="6" t="inlineStr">
        <is>
          <t>M17B1</t>
        </is>
      </c>
      <c r="F101" s="6" t="n">
        <v>1</v>
      </c>
      <c r="G101" s="6" t="inlineStr">
        <is>
          <t>Rural</t>
        </is>
      </c>
      <c r="H101" s="35" t="n">
        <v>367</v>
      </c>
      <c r="I101" s="35" t="n">
        <v>192</v>
      </c>
      <c r="J101" s="35" t="n">
        <v>175</v>
      </c>
      <c r="K101" s="35" t="n">
        <v>71</v>
      </c>
      <c r="L101" s="35" t="n">
        <v>142</v>
      </c>
      <c r="M101" s="30" t="n">
        <v>599809.73</v>
      </c>
      <c r="N101" s="30" t="n">
        <v>9440145.02</v>
      </c>
      <c r="O101" s="6" t="inlineStr">
        <is>
          <t>OK</t>
        </is>
      </c>
      <c r="P101" s="6" t="inlineStr"/>
    </row>
    <row r="102">
      <c r="A102" s="8" t="inlineStr">
        <is>
          <t>2004010011</t>
        </is>
      </c>
      <c r="B102" s="8" t="inlineStr">
        <is>
          <t>Platanal Bajo</t>
        </is>
      </c>
      <c r="C102" s="8" t="inlineStr">
        <is>
          <t>Morropón</t>
        </is>
      </c>
      <c r="D102" s="8" t="inlineStr">
        <is>
          <t>Chulucanas</t>
        </is>
      </c>
      <c r="E102" s="8" t="inlineStr">
        <is>
          <t>22</t>
        </is>
      </c>
      <c r="F102" s="8" t="n">
        <v>1</v>
      </c>
      <c r="G102" s="8" t="inlineStr">
        <is>
          <t>Rural</t>
        </is>
      </c>
      <c r="H102" s="36" t="n">
        <v>197</v>
      </c>
      <c r="I102" s="36" t="n">
        <v>101</v>
      </c>
      <c r="J102" s="36" t="n">
        <v>96</v>
      </c>
      <c r="K102" s="36" t="n">
        <v>43</v>
      </c>
      <c r="L102" s="36" t="n">
        <v>79</v>
      </c>
      <c r="M102" s="32" t="n">
        <v>601363.12</v>
      </c>
      <c r="N102" s="32" t="n">
        <v>9442900.09</v>
      </c>
      <c r="O102" s="8" t="inlineStr">
        <is>
          <t>OK</t>
        </is>
      </c>
      <c r="P102" s="8" t="inlineStr"/>
    </row>
    <row r="103">
      <c r="A103" s="6" t="inlineStr">
        <is>
          <t>2004010008</t>
        </is>
      </c>
      <c r="B103" s="6" t="inlineStr">
        <is>
          <t>Rio Seco Alto</t>
        </is>
      </c>
      <c r="C103" s="6" t="inlineStr">
        <is>
          <t>Morropón</t>
        </is>
      </c>
      <c r="D103" s="6" t="inlineStr">
        <is>
          <t>Chulucanas</t>
        </is>
      </c>
      <c r="E103" s="6" t="inlineStr">
        <is>
          <t>M10B4</t>
        </is>
      </c>
      <c r="F103" s="6" t="n">
        <v>1</v>
      </c>
      <c r="G103" s="6" t="inlineStr">
        <is>
          <t>Rural</t>
        </is>
      </c>
      <c r="H103" s="35" t="n">
        <v>233</v>
      </c>
      <c r="I103" s="35" t="n">
        <v>118</v>
      </c>
      <c r="J103" s="35" t="n">
        <v>115</v>
      </c>
      <c r="K103" s="35" t="n">
        <v>54</v>
      </c>
      <c r="L103" s="35" t="n">
        <v>113</v>
      </c>
      <c r="M103" s="30" t="n">
        <v>596876.16</v>
      </c>
      <c r="N103" s="30" t="n">
        <v>9447574.9</v>
      </c>
      <c r="O103" s="6" t="inlineStr">
        <is>
          <t>OK</t>
        </is>
      </c>
      <c r="P103" s="6" t="inlineStr"/>
    </row>
    <row r="104">
      <c r="A104" s="8" t="inlineStr">
        <is>
          <t>2004010086</t>
        </is>
      </c>
      <c r="B104" s="8" t="inlineStr">
        <is>
          <t>Vicus Linderos</t>
        </is>
      </c>
      <c r="C104" s="8" t="inlineStr">
        <is>
          <t>Morropón</t>
        </is>
      </c>
      <c r="D104" s="8" t="inlineStr">
        <is>
          <t>Chulucanas</t>
        </is>
      </c>
      <c r="E104" s="8" t="inlineStr">
        <is>
          <t>M27B1</t>
        </is>
      </c>
      <c r="F104" s="8" t="n">
        <v>1</v>
      </c>
      <c r="G104" s="8" t="inlineStr">
        <is>
          <t>Rural</t>
        </is>
      </c>
      <c r="H104" s="36" t="n">
        <v>181</v>
      </c>
      <c r="I104" s="36" t="n">
        <v>104</v>
      </c>
      <c r="J104" s="36" t="n">
        <v>77</v>
      </c>
      <c r="K104" s="36" t="n">
        <v>33</v>
      </c>
      <c r="L104" s="36" t="n">
        <v>66</v>
      </c>
      <c r="M104" s="32" t="n">
        <v>593967.02</v>
      </c>
      <c r="N104" s="32" t="n">
        <v>9431291.859999999</v>
      </c>
      <c r="O104" s="8" t="inlineStr">
        <is>
          <t>OK</t>
        </is>
      </c>
      <c r="P104" s="8" t="inlineStr"/>
    </row>
    <row r="105">
      <c r="A105" s="6" t="inlineStr">
        <is>
          <t>2004010087</t>
        </is>
      </c>
      <c r="B105" s="6" t="inlineStr">
        <is>
          <t>Vicus Santa Rosa</t>
        </is>
      </c>
      <c r="C105" s="6" t="inlineStr">
        <is>
          <t>Morropón</t>
        </is>
      </c>
      <c r="D105" s="6" t="inlineStr">
        <is>
          <t>Chulucanas</t>
        </is>
      </c>
      <c r="E105" s="6" t="inlineStr">
        <is>
          <t>M27B1</t>
        </is>
      </c>
      <c r="F105" s="6" t="n">
        <v>1</v>
      </c>
      <c r="G105" s="6" t="inlineStr">
        <is>
          <t>Rural</t>
        </is>
      </c>
      <c r="H105" s="35" t="n">
        <v>133</v>
      </c>
      <c r="I105" s="35" t="n">
        <v>66</v>
      </c>
      <c r="J105" s="35" t="n">
        <v>67</v>
      </c>
      <c r="K105" s="35" t="n">
        <v>22</v>
      </c>
      <c r="L105" s="35" t="n">
        <v>43</v>
      </c>
      <c r="M105" s="30" t="n">
        <v>594237.22</v>
      </c>
      <c r="N105" s="30" t="n">
        <v>9428532.75</v>
      </c>
      <c r="O105" s="6" t="inlineStr">
        <is>
          <t>OK</t>
        </is>
      </c>
      <c r="P105" s="6" t="inlineStr"/>
    </row>
    <row r="106">
      <c r="A106" s="8" t="inlineStr">
        <is>
          <t>2004010076</t>
        </is>
      </c>
      <c r="B106" s="8" t="inlineStr">
        <is>
          <t>Vicus la Merced</t>
        </is>
      </c>
      <c r="C106" s="8" t="inlineStr">
        <is>
          <t>Morropón</t>
        </is>
      </c>
      <c r="D106" s="8" t="inlineStr">
        <is>
          <t>Chulucanas</t>
        </is>
      </c>
      <c r="E106" s="8" t="inlineStr">
        <is>
          <t>M27B1</t>
        </is>
      </c>
      <c r="F106" s="8" t="n">
        <v>1</v>
      </c>
      <c r="G106" s="8" t="inlineStr">
        <is>
          <t>Rural</t>
        </is>
      </c>
      <c r="H106" s="36" t="n">
        <v>145</v>
      </c>
      <c r="I106" s="36" t="n">
        <v>75</v>
      </c>
      <c r="J106" s="36" t="n">
        <v>70</v>
      </c>
      <c r="K106" s="36" t="n">
        <v>30</v>
      </c>
      <c r="L106" s="36" t="n">
        <v>50</v>
      </c>
      <c r="M106" s="32" t="n">
        <v>594302.78</v>
      </c>
      <c r="N106" s="32" t="n">
        <v>9430665.869999999</v>
      </c>
      <c r="O106" s="8" t="inlineStr">
        <is>
          <t>OK</t>
        </is>
      </c>
      <c r="P106" s="8" t="inlineStr"/>
    </row>
    <row r="107">
      <c r="A107" s="6" t="inlineStr">
        <is>
          <t>2004050016</t>
        </is>
      </c>
      <c r="B107" s="6" t="inlineStr">
        <is>
          <t>Boca Negra</t>
        </is>
      </c>
      <c r="C107" s="6" t="inlineStr">
        <is>
          <t>Morropón</t>
        </is>
      </c>
      <c r="D107" s="6" t="inlineStr">
        <is>
          <t>Morropón</t>
        </is>
      </c>
      <c r="E107" s="6" t="inlineStr">
        <is>
          <t>M19B2</t>
        </is>
      </c>
      <c r="F107" s="6" t="n">
        <v>1</v>
      </c>
      <c r="G107" s="6" t="inlineStr">
        <is>
          <t>Rural</t>
        </is>
      </c>
      <c r="H107" s="35" t="n">
        <v>186</v>
      </c>
      <c r="I107" s="35" t="n">
        <v>99</v>
      </c>
      <c r="J107" s="35" t="n">
        <v>87</v>
      </c>
      <c r="K107" s="35" t="n">
        <v>31</v>
      </c>
      <c r="L107" s="35" t="n">
        <v>67</v>
      </c>
      <c r="M107" s="30" t="n">
        <v>617148.15</v>
      </c>
      <c r="N107" s="30" t="n">
        <v>9427111.01</v>
      </c>
      <c r="O107" s="6" t="inlineStr">
        <is>
          <t>OK</t>
        </is>
      </c>
      <c r="P107" s="6" t="inlineStr"/>
    </row>
    <row r="108">
      <c r="A108" s="8" t="inlineStr">
        <is>
          <t>2004060016</t>
        </is>
      </c>
      <c r="B108" s="8" t="inlineStr">
        <is>
          <t>Hornopampa</t>
        </is>
      </c>
      <c r="C108" s="8" t="inlineStr">
        <is>
          <t>Morropón</t>
        </is>
      </c>
      <c r="D108" s="8" t="inlineStr">
        <is>
          <t>Salitral</t>
        </is>
      </c>
      <c r="E108" s="8" t="inlineStr">
        <is>
          <t>M2B5</t>
        </is>
      </c>
      <c r="F108" s="8" t="n">
        <v>1</v>
      </c>
      <c r="G108" s="8" t="inlineStr">
        <is>
          <t>Rural</t>
        </is>
      </c>
      <c r="H108" s="36" t="n">
        <v>261</v>
      </c>
      <c r="I108" s="36" t="n">
        <v>134</v>
      </c>
      <c r="J108" s="36" t="n">
        <v>127</v>
      </c>
      <c r="K108" s="36" t="n">
        <v>28</v>
      </c>
      <c r="L108" s="36" t="n">
        <v>101</v>
      </c>
      <c r="M108" s="32" t="n">
        <v>640047.26</v>
      </c>
      <c r="N108" s="32" t="n">
        <v>9394635.300000001</v>
      </c>
      <c r="O108" s="8" t="inlineStr">
        <is>
          <t>OK</t>
        </is>
      </c>
      <c r="P108" s="8" t="inlineStr"/>
    </row>
    <row r="109">
      <c r="A109" s="6" t="inlineStr">
        <is>
          <t>2004060002</t>
        </is>
      </c>
      <c r="B109" s="6" t="inlineStr">
        <is>
          <t>Huaro Quispampa</t>
        </is>
      </c>
      <c r="C109" s="6" t="inlineStr">
        <is>
          <t>Morropón</t>
        </is>
      </c>
      <c r="D109" s="6" t="inlineStr">
        <is>
          <t>Salitral</t>
        </is>
      </c>
      <c r="E109" s="6" t="inlineStr">
        <is>
          <t>M18B3</t>
        </is>
      </c>
      <c r="F109" s="6" t="n">
        <v>1</v>
      </c>
      <c r="G109" s="6" t="inlineStr">
        <is>
          <t>Rural</t>
        </is>
      </c>
      <c r="H109" s="35" t="n">
        <v>81</v>
      </c>
      <c r="I109" s="35" t="n">
        <v>42</v>
      </c>
      <c r="J109" s="35" t="n">
        <v>39</v>
      </c>
      <c r="K109" s="35" t="n">
        <v>10</v>
      </c>
      <c r="L109" s="35" t="n">
        <v>25</v>
      </c>
      <c r="M109" s="30" t="n">
        <v>625484.85</v>
      </c>
      <c r="N109" s="30" t="n">
        <v>9411372.619999999</v>
      </c>
      <c r="O109" s="6" t="inlineStr">
        <is>
          <t>OK</t>
        </is>
      </c>
      <c r="P109" s="6" t="inlineStr"/>
    </row>
    <row r="110">
      <c r="A110" s="8" t="inlineStr">
        <is>
          <t>2004060011</t>
        </is>
      </c>
      <c r="B110" s="8" t="inlineStr">
        <is>
          <t>La Alberca</t>
        </is>
      </c>
      <c r="C110" s="8" t="inlineStr">
        <is>
          <t>Morropón</t>
        </is>
      </c>
      <c r="D110" s="8" t="inlineStr">
        <is>
          <t>Salitral</t>
        </is>
      </c>
      <c r="E110" s="8" t="inlineStr">
        <is>
          <t>M7B1, M7B2</t>
        </is>
      </c>
      <c r="F110" s="8" t="n">
        <v>2</v>
      </c>
      <c r="G110" s="8" t="inlineStr">
        <is>
          <t>Urbano</t>
        </is>
      </c>
      <c r="H110" s="36" t="n">
        <v>0</v>
      </c>
      <c r="I110" s="36" t="n">
        <v>0</v>
      </c>
      <c r="J110" s="36" t="n">
        <v>0</v>
      </c>
      <c r="K110" s="36" t="n">
        <v>0</v>
      </c>
      <c r="L110" s="36" t="n">
        <v>0</v>
      </c>
      <c r="M110" s="32" t="n">
        <v>630688.04</v>
      </c>
      <c r="N110" s="32" t="n">
        <v>9405337.75</v>
      </c>
      <c r="O110" s="8" t="inlineStr">
        <is>
          <t>OK</t>
        </is>
      </c>
      <c r="P110" s="8" t="inlineStr"/>
    </row>
    <row r="111">
      <c r="A111" s="6" t="inlineStr">
        <is>
          <t>2004060024</t>
        </is>
      </c>
      <c r="B111" s="6" t="inlineStr">
        <is>
          <t>La Tranca</t>
        </is>
      </c>
      <c r="C111" s="6" t="inlineStr">
        <is>
          <t>Morropón</t>
        </is>
      </c>
      <c r="D111" s="6" t="inlineStr">
        <is>
          <t>Salitral</t>
        </is>
      </c>
      <c r="E111" s="6" t="inlineStr">
        <is>
          <t>M7B3</t>
        </is>
      </c>
      <c r="F111" s="6" t="n">
        <v>1</v>
      </c>
      <c r="G111" s="6" t="inlineStr">
        <is>
          <t>Rural</t>
        </is>
      </c>
      <c r="H111" s="35" t="n">
        <v>41</v>
      </c>
      <c r="I111" s="35" t="n">
        <v>25</v>
      </c>
      <c r="J111" s="35" t="n">
        <v>16</v>
      </c>
      <c r="K111" s="35" t="n">
        <v>6</v>
      </c>
      <c r="L111" s="35" t="n">
        <v>26</v>
      </c>
      <c r="M111" s="30" t="n">
        <v>634600.6899999999</v>
      </c>
      <c r="N111" s="30" t="n">
        <v>9400601.210000001</v>
      </c>
      <c r="O111" s="6" t="inlineStr">
        <is>
          <t>OK</t>
        </is>
      </c>
      <c r="P111" s="6" t="inlineStr"/>
    </row>
    <row r="112">
      <c r="A112" s="8" t="inlineStr">
        <is>
          <t>2004060004</t>
        </is>
      </c>
      <c r="B112" s="8" t="inlineStr">
        <is>
          <t>Mangomanguia</t>
        </is>
      </c>
      <c r="C112" s="8" t="inlineStr">
        <is>
          <t>Morropón</t>
        </is>
      </c>
      <c r="D112" s="8" t="inlineStr">
        <is>
          <t>Salitral</t>
        </is>
      </c>
      <c r="E112" s="8" t="inlineStr">
        <is>
          <t>M18B3</t>
        </is>
      </c>
      <c r="F112" s="8" t="n">
        <v>1</v>
      </c>
      <c r="G112" s="8" t="inlineStr">
        <is>
          <t>Rural</t>
        </is>
      </c>
      <c r="H112" s="36" t="n">
        <v>155</v>
      </c>
      <c r="I112" s="36" t="n">
        <v>89</v>
      </c>
      <c r="J112" s="36" t="n">
        <v>66</v>
      </c>
      <c r="K112" s="36" t="n">
        <v>37</v>
      </c>
      <c r="L112" s="36" t="n">
        <v>74</v>
      </c>
      <c r="M112" s="32" t="n">
        <v>626456.1</v>
      </c>
      <c r="N112" s="32" t="n">
        <v>9411525.25</v>
      </c>
      <c r="O112" s="8" t="inlineStr">
        <is>
          <t>OK</t>
        </is>
      </c>
      <c r="P112" s="8" t="inlineStr"/>
    </row>
    <row r="113">
      <c r="A113" s="6" t="inlineStr">
        <is>
          <t>2004060010</t>
        </is>
      </c>
      <c r="B113" s="6" t="inlineStr">
        <is>
          <t>Nuevo Progreso</t>
        </is>
      </c>
      <c r="C113" s="6" t="inlineStr">
        <is>
          <t>Morropón</t>
        </is>
      </c>
      <c r="D113" s="6" t="inlineStr">
        <is>
          <t>Salitral</t>
        </is>
      </c>
      <c r="E113" s="6" t="inlineStr">
        <is>
          <t>M7B1</t>
        </is>
      </c>
      <c r="F113" s="6" t="n">
        <v>1</v>
      </c>
      <c r="G113" s="6" t="inlineStr">
        <is>
          <t>Rural</t>
        </is>
      </c>
      <c r="H113" s="35" t="n">
        <v>148</v>
      </c>
      <c r="I113" s="35" t="n">
        <v>71</v>
      </c>
      <c r="J113" s="35" t="n">
        <v>77</v>
      </c>
      <c r="K113" s="35" t="n">
        <v>21</v>
      </c>
      <c r="L113" s="35" t="n">
        <v>72</v>
      </c>
      <c r="M113" s="30" t="n">
        <v>628635.92</v>
      </c>
      <c r="N113" s="30" t="n">
        <v>9408671.99</v>
      </c>
      <c r="O113" s="6" t="inlineStr">
        <is>
          <t>OK</t>
        </is>
      </c>
      <c r="P113" s="6" t="inlineStr"/>
    </row>
    <row r="114">
      <c r="A114" s="8" t="inlineStr">
        <is>
          <t>2004060014</t>
        </is>
      </c>
      <c r="B114" s="8" t="inlineStr">
        <is>
          <t>Nuevo San Juan</t>
        </is>
      </c>
      <c r="C114" s="8" t="inlineStr">
        <is>
          <t>Morropón</t>
        </is>
      </c>
      <c r="D114" s="8" t="inlineStr">
        <is>
          <t>Salitral</t>
        </is>
      </c>
      <c r="E114" s="8" t="inlineStr">
        <is>
          <t>M7B6</t>
        </is>
      </c>
      <c r="F114" s="8" t="n">
        <v>1</v>
      </c>
      <c r="G114" s="8" t="inlineStr">
        <is>
          <t>Rural</t>
        </is>
      </c>
      <c r="H114" s="36" t="n">
        <v>87</v>
      </c>
      <c r="I114" s="36" t="n">
        <v>40</v>
      </c>
      <c r="J114" s="36" t="n">
        <v>47</v>
      </c>
      <c r="K114" s="36" t="n">
        <v>13</v>
      </c>
      <c r="L114" s="36" t="n">
        <v>39</v>
      </c>
      <c r="M114" s="32" t="n">
        <v>634742.1800000001</v>
      </c>
      <c r="N114" s="32" t="n">
        <v>9400245.460000001</v>
      </c>
      <c r="O114" s="8" t="inlineStr">
        <is>
          <t>OK</t>
        </is>
      </c>
      <c r="P114" s="8" t="inlineStr"/>
    </row>
    <row r="115">
      <c r="A115" s="6" t="inlineStr">
        <is>
          <t>2004060013</t>
        </is>
      </c>
      <c r="B115" s="6" t="inlineStr">
        <is>
          <t>Palo Blanco-el Cerezo</t>
        </is>
      </c>
      <c r="C115" s="6" t="inlineStr">
        <is>
          <t>Morropón</t>
        </is>
      </c>
      <c r="D115" s="6" t="inlineStr">
        <is>
          <t>Salitral</t>
        </is>
      </c>
      <c r="E115" s="6" t="inlineStr">
        <is>
          <t>M7B3</t>
        </is>
      </c>
      <c r="F115" s="6" t="n">
        <v>1</v>
      </c>
      <c r="G115" s="6" t="inlineStr">
        <is>
          <t>Urbano</t>
        </is>
      </c>
      <c r="H115" s="35" t="n">
        <v>0</v>
      </c>
      <c r="I115" s="35" t="n">
        <v>0</v>
      </c>
      <c r="J115" s="35" t="n">
        <v>0</v>
      </c>
      <c r="K115" s="35" t="n">
        <v>0</v>
      </c>
      <c r="L115" s="35" t="n">
        <v>0</v>
      </c>
      <c r="M115" s="30" t="n">
        <v>632853.41</v>
      </c>
      <c r="N115" s="30" t="n">
        <v>9402369.08</v>
      </c>
      <c r="O115" s="6" t="inlineStr">
        <is>
          <t>OK</t>
        </is>
      </c>
      <c r="P115" s="6" t="inlineStr"/>
    </row>
    <row r="116">
      <c r="A116" s="8" t="inlineStr">
        <is>
          <t>2004060006</t>
        </is>
      </c>
      <c r="B116" s="8" t="inlineStr">
        <is>
          <t>Piedra Blanca</t>
        </is>
      </c>
      <c r="C116" s="8" t="inlineStr">
        <is>
          <t>Morropón</t>
        </is>
      </c>
      <c r="D116" s="8" t="inlineStr">
        <is>
          <t>Salitral</t>
        </is>
      </c>
      <c r="E116" s="8" t="inlineStr">
        <is>
          <t>M3B1</t>
        </is>
      </c>
      <c r="F116" s="8" t="n">
        <v>1</v>
      </c>
      <c r="G116" s="8" t="inlineStr">
        <is>
          <t>Rural</t>
        </is>
      </c>
      <c r="H116" s="36" t="n">
        <v>190</v>
      </c>
      <c r="I116" s="36" t="n">
        <v>99</v>
      </c>
      <c r="J116" s="36" t="n">
        <v>91</v>
      </c>
      <c r="K116" s="36" t="n">
        <v>33</v>
      </c>
      <c r="L116" s="36" t="n">
        <v>96</v>
      </c>
      <c r="M116" s="32" t="n">
        <v>630950.03</v>
      </c>
      <c r="N116" s="32" t="n">
        <v>9411206.119999999</v>
      </c>
      <c r="O116" s="8" t="inlineStr">
        <is>
          <t>OK</t>
        </is>
      </c>
      <c r="P116" s="8" t="inlineStr"/>
    </row>
    <row r="117">
      <c r="A117" s="6" t="inlineStr">
        <is>
          <t>2004060003</t>
        </is>
      </c>
      <c r="B117" s="6" t="inlineStr">
        <is>
          <t>San Pedro</t>
        </is>
      </c>
      <c r="C117" s="6" t="inlineStr">
        <is>
          <t>Morropón</t>
        </is>
      </c>
      <c r="D117" s="6" t="inlineStr">
        <is>
          <t>Salitral</t>
        </is>
      </c>
      <c r="E117" s="6" t="inlineStr">
        <is>
          <t>M3B8</t>
        </is>
      </c>
      <c r="F117" s="6" t="n">
        <v>1</v>
      </c>
      <c r="G117" s="6" t="inlineStr">
        <is>
          <t>Rural</t>
        </is>
      </c>
      <c r="H117" s="35" t="n">
        <v>208</v>
      </c>
      <c r="I117" s="35" t="n">
        <v>112</v>
      </c>
      <c r="J117" s="35" t="n">
        <v>96</v>
      </c>
      <c r="K117" s="35" t="n">
        <v>26</v>
      </c>
      <c r="L117" s="35" t="n">
        <v>72</v>
      </c>
      <c r="M117" s="30" t="n">
        <v>630638.67</v>
      </c>
      <c r="N117" s="30" t="n">
        <v>9412974.800000001</v>
      </c>
      <c r="O117" s="6" t="inlineStr">
        <is>
          <t>OK</t>
        </is>
      </c>
      <c r="P117" s="6" t="inlineStr"/>
    </row>
    <row r="118">
      <c r="A118" s="8" t="inlineStr">
        <is>
          <t>2004060022</t>
        </is>
      </c>
      <c r="B118" s="8" t="inlineStr">
        <is>
          <t>Santa Rosa</t>
        </is>
      </c>
      <c r="C118" s="8" t="inlineStr">
        <is>
          <t>Morropón</t>
        </is>
      </c>
      <c r="D118" s="8" t="inlineStr">
        <is>
          <t>Salitral</t>
        </is>
      </c>
      <c r="E118" s="8" t="inlineStr">
        <is>
          <t>M2B1, M7B6</t>
        </is>
      </c>
      <c r="F118" s="8" t="n">
        <v>2</v>
      </c>
      <c r="G118" s="8" t="inlineStr">
        <is>
          <t>Rural</t>
        </is>
      </c>
      <c r="H118" s="36" t="n">
        <v>148</v>
      </c>
      <c r="I118" s="36" t="n">
        <v>71</v>
      </c>
      <c r="J118" s="36" t="n">
        <v>77</v>
      </c>
      <c r="K118" s="36" t="n">
        <v>35</v>
      </c>
      <c r="L118" s="36" t="n">
        <v>52</v>
      </c>
      <c r="M118" s="32" t="n">
        <v>636229.38</v>
      </c>
      <c r="N118" s="32" t="n">
        <v>9398524.82</v>
      </c>
      <c r="O118" s="8" t="inlineStr">
        <is>
          <t>OK</t>
        </is>
      </c>
      <c r="P118" s="8" t="inlineStr"/>
    </row>
    <row r="119">
      <c r="A119" s="6" t="inlineStr">
        <is>
          <t>2004060021</t>
        </is>
      </c>
      <c r="B119" s="6" t="inlineStr">
        <is>
          <t>Selva Andina</t>
        </is>
      </c>
      <c r="C119" s="6" t="inlineStr">
        <is>
          <t>Morropón</t>
        </is>
      </c>
      <c r="D119" s="6" t="inlineStr">
        <is>
          <t>Salitral</t>
        </is>
      </c>
      <c r="E119" s="6" t="inlineStr">
        <is>
          <t>M18B3</t>
        </is>
      </c>
      <c r="F119" s="6" t="n">
        <v>1</v>
      </c>
      <c r="G119" s="6" t="inlineStr">
        <is>
          <t>Rural</t>
        </is>
      </c>
      <c r="H119" s="35" t="n">
        <v>16</v>
      </c>
      <c r="I119" s="35" t="n">
        <v>9</v>
      </c>
      <c r="J119" s="35" t="n">
        <v>7</v>
      </c>
      <c r="K119" s="35" t="n">
        <v>1</v>
      </c>
      <c r="L119" s="35" t="n">
        <v>9</v>
      </c>
      <c r="M119" s="30" t="n">
        <v>624767.98</v>
      </c>
      <c r="N119" s="30" t="n">
        <v>9411446.17</v>
      </c>
      <c r="O119" s="6" t="inlineStr">
        <is>
          <t>OK</t>
        </is>
      </c>
      <c r="P119" s="6" t="inlineStr"/>
    </row>
    <row r="120">
      <c r="A120" s="8" t="inlineStr">
        <is>
          <t>2004060015</t>
        </is>
      </c>
      <c r="B120" s="8" t="inlineStr">
        <is>
          <t>Serran</t>
        </is>
      </c>
      <c r="C120" s="8" t="inlineStr">
        <is>
          <t>Morropón</t>
        </is>
      </c>
      <c r="D120" s="8" t="inlineStr">
        <is>
          <t>Salitral</t>
        </is>
      </c>
      <c r="E120" s="8" t="inlineStr">
        <is>
          <t>M7B6</t>
        </is>
      </c>
      <c r="F120" s="8" t="n">
        <v>1</v>
      </c>
      <c r="G120" s="8" t="inlineStr">
        <is>
          <t>Urbano</t>
        </is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2" t="n">
        <v>635444.95</v>
      </c>
      <c r="N120" s="32" t="n">
        <v>9399322.140000001</v>
      </c>
      <c r="O120" s="8" t="inlineStr">
        <is>
          <t>OK</t>
        </is>
      </c>
      <c r="P120" s="8" t="inlineStr"/>
    </row>
    <row r="121">
      <c r="A121" s="6" t="inlineStr">
        <is>
          <t>2004060005</t>
        </is>
      </c>
      <c r="B121" s="6" t="inlineStr">
        <is>
          <t>Tortola</t>
        </is>
      </c>
      <c r="C121" s="6" t="inlineStr">
        <is>
          <t>Morropón</t>
        </is>
      </c>
      <c r="D121" s="6" t="inlineStr">
        <is>
          <t>Salitral</t>
        </is>
      </c>
      <c r="E121" s="6" t="inlineStr">
        <is>
          <t>M3B9</t>
        </is>
      </c>
      <c r="F121" s="6" t="n">
        <v>1</v>
      </c>
      <c r="G121" s="6" t="inlineStr">
        <is>
          <t>Rural</t>
        </is>
      </c>
      <c r="H121" s="35" t="n">
        <v>198</v>
      </c>
      <c r="I121" s="35" t="n">
        <v>99</v>
      </c>
      <c r="J121" s="35" t="n">
        <v>99</v>
      </c>
      <c r="K121" s="35" t="n">
        <v>35</v>
      </c>
      <c r="L121" s="35" t="n">
        <v>61</v>
      </c>
      <c r="M121" s="30" t="n">
        <v>628498.15</v>
      </c>
      <c r="N121" s="30" t="n">
        <v>9411522.189999999</v>
      </c>
      <c r="O121" s="6" t="inlineStr">
        <is>
          <t>OK</t>
        </is>
      </c>
      <c r="P121" s="6" t="inlineStr"/>
    </row>
    <row r="122">
      <c r="A122" s="8" t="inlineStr">
        <is>
          <t>2004060009</t>
        </is>
      </c>
      <c r="B122" s="8" t="inlineStr">
        <is>
          <t>Victor Raul</t>
        </is>
      </c>
      <c r="C122" s="8" t="inlineStr">
        <is>
          <t>Morropón</t>
        </is>
      </c>
      <c r="D122" s="8" t="inlineStr">
        <is>
          <t>Salitral</t>
        </is>
      </c>
      <c r="E122" s="8" t="inlineStr">
        <is>
          <t>M7B1</t>
        </is>
      </c>
      <c r="F122" s="8" t="n">
        <v>1</v>
      </c>
      <c r="G122" s="8" t="inlineStr">
        <is>
          <t>Rural</t>
        </is>
      </c>
      <c r="H122" s="36" t="n">
        <v>138</v>
      </c>
      <c r="I122" s="36" t="n">
        <v>70</v>
      </c>
      <c r="J122" s="36" t="n">
        <v>68</v>
      </c>
      <c r="K122" s="36" t="n">
        <v>18</v>
      </c>
      <c r="L122" s="36" t="n">
        <v>49</v>
      </c>
      <c r="M122" s="32" t="n">
        <v>627720.39</v>
      </c>
      <c r="N122" s="32" t="n">
        <v>9409361.23</v>
      </c>
      <c r="O122" s="8" t="inlineStr">
        <is>
          <t>OK</t>
        </is>
      </c>
      <c r="P122" s="8" t="inlineStr"/>
    </row>
    <row r="123">
      <c r="A123" s="6" t="inlineStr">
        <is>
          <t>2004070020</t>
        </is>
      </c>
      <c r="B123" s="6" t="inlineStr">
        <is>
          <t>Alan Garcia</t>
        </is>
      </c>
      <c r="C123" s="6" t="inlineStr">
        <is>
          <t>Morropón</t>
        </is>
      </c>
      <c r="D123" s="6" t="inlineStr">
        <is>
          <t>San Juan de Bigote</t>
        </is>
      </c>
      <c r="E123" s="6" t="inlineStr">
        <is>
          <t>M3B3</t>
        </is>
      </c>
      <c r="F123" s="6" t="n">
        <v>1</v>
      </c>
      <c r="G123" s="6" t="inlineStr">
        <is>
          <t>Rural</t>
        </is>
      </c>
      <c r="H123" s="35" t="n">
        <v>146</v>
      </c>
      <c r="I123" s="35" t="n">
        <v>71</v>
      </c>
      <c r="J123" s="35" t="n">
        <v>75</v>
      </c>
      <c r="K123" s="35" t="n">
        <v>21</v>
      </c>
      <c r="L123" s="35" t="n">
        <v>57</v>
      </c>
      <c r="M123" s="30" t="n">
        <v>633196.34</v>
      </c>
      <c r="N123" s="30" t="n">
        <v>9411750.539999999</v>
      </c>
      <c r="O123" s="6" t="inlineStr">
        <is>
          <t>OK</t>
        </is>
      </c>
      <c r="P123" s="6" t="inlineStr"/>
    </row>
    <row r="124">
      <c r="A124" s="8" t="inlineStr">
        <is>
          <t>2004070016</t>
        </is>
      </c>
      <c r="B124" s="8" t="inlineStr">
        <is>
          <t>Bado de Garzas</t>
        </is>
      </c>
      <c r="C124" s="8" t="inlineStr">
        <is>
          <t>Morropón</t>
        </is>
      </c>
      <c r="D124" s="8" t="inlineStr">
        <is>
          <t>San Juan de Bigote</t>
        </is>
      </c>
      <c r="E124" s="8" t="inlineStr">
        <is>
          <t>M3B6</t>
        </is>
      </c>
      <c r="F124" s="8" t="n">
        <v>1</v>
      </c>
      <c r="G124" s="8" t="inlineStr">
        <is>
          <t>Rural</t>
        </is>
      </c>
      <c r="H124" s="36" t="n">
        <v>85</v>
      </c>
      <c r="I124" s="36" t="n">
        <v>47</v>
      </c>
      <c r="J124" s="36" t="n">
        <v>38</v>
      </c>
      <c r="K124" s="36" t="n">
        <v>14</v>
      </c>
      <c r="L124" s="36" t="n">
        <v>36</v>
      </c>
      <c r="M124" s="32" t="n">
        <v>638051.4300000001</v>
      </c>
      <c r="N124" s="32" t="n">
        <v>9412698.98</v>
      </c>
      <c r="O124" s="8" t="inlineStr">
        <is>
          <t>OK</t>
        </is>
      </c>
      <c r="P124" s="8" t="inlineStr"/>
    </row>
    <row r="125">
      <c r="A125" s="6" t="inlineStr">
        <is>
          <t>2004070001</t>
        </is>
      </c>
      <c r="B125" s="6" t="inlineStr">
        <is>
          <t>Bigote</t>
        </is>
      </c>
      <c r="C125" s="6" t="inlineStr">
        <is>
          <t>Morropón</t>
        </is>
      </c>
      <c r="D125" s="6" t="inlineStr">
        <is>
          <t>San Juan de Bigote</t>
        </is>
      </c>
      <c r="E125" s="6" t="inlineStr">
        <is>
          <t>M3B3</t>
        </is>
      </c>
      <c r="F125" s="6" t="n">
        <v>1</v>
      </c>
      <c r="G125" s="6" t="inlineStr">
        <is>
          <t>Urbano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0" t="n">
        <v>634502.21</v>
      </c>
      <c r="N125" s="30" t="n">
        <v>9411898.390000001</v>
      </c>
      <c r="O125" s="6" t="inlineStr">
        <is>
          <t>OK</t>
        </is>
      </c>
      <c r="P125" s="6" t="inlineStr"/>
    </row>
    <row r="126">
      <c r="A126" s="8" t="inlineStr"/>
      <c r="B126" s="8" t="inlineStr">
        <is>
          <t>Cardal</t>
        </is>
      </c>
      <c r="C126" s="8" t="inlineStr">
        <is>
          <t>Morropón</t>
        </is>
      </c>
      <c r="D126" s="8" t="inlineStr">
        <is>
          <t>San Juan de Bigote</t>
        </is>
      </c>
      <c r="E126" s="8" t="inlineStr">
        <is>
          <t>87</t>
        </is>
      </c>
      <c r="F126" s="8" t="n">
        <v>1</v>
      </c>
      <c r="G126" s="8" t="inlineStr">
        <is>
          <t>Rural</t>
        </is>
      </c>
      <c r="H126" s="36" t="n">
        <v>400</v>
      </c>
      <c r="I126" s="36" t="n"/>
      <c r="J126" s="36" t="n"/>
      <c r="K126" s="36" t="n"/>
      <c r="L126" s="36" t="n"/>
      <c r="M126" s="32" t="n"/>
      <c r="N126" s="32" t="n"/>
      <c r="O126" s="8" t="inlineStr">
        <is>
          <t>SIN COORDENADAS</t>
        </is>
      </c>
      <c r="P126" s="8" t="inlineStr">
        <is>
          <t>Solo población total (sin desagregar por sexo, población vulnerable ni viviendas); Sin coordenadas en la fuente</t>
        </is>
      </c>
    </row>
    <row r="127">
      <c r="A127" s="6" t="inlineStr"/>
      <c r="B127" s="6" t="inlineStr">
        <is>
          <t>Dótor</t>
        </is>
      </c>
      <c r="C127" s="6" t="inlineStr">
        <is>
          <t>Morropón</t>
        </is>
      </c>
      <c r="D127" s="6" t="inlineStr">
        <is>
          <t>San Juan de Bigote</t>
        </is>
      </c>
      <c r="E127" s="6" t="inlineStr">
        <is>
          <t>85, 87</t>
        </is>
      </c>
      <c r="F127" s="6" t="n">
        <v>2</v>
      </c>
      <c r="G127" s="6" t="inlineStr">
        <is>
          <t>Rural</t>
        </is>
      </c>
      <c r="H127" s="35" t="n">
        <v>240</v>
      </c>
      <c r="I127" s="35" t="n"/>
      <c r="J127" s="35" t="n"/>
      <c r="K127" s="35" t="n"/>
      <c r="L127" s="35" t="n"/>
      <c r="M127" s="30" t="n"/>
      <c r="N127" s="30" t="n"/>
      <c r="O127" s="6" t="inlineStr">
        <is>
          <t>SIN COORDENADAS</t>
        </is>
      </c>
      <c r="P127" s="6" t="inlineStr">
        <is>
          <t>Solo población total (sin desagregar por sexo, población vulnerable ni viviendas); Sin coordenadas en la fuente</t>
        </is>
      </c>
    </row>
    <row r="128">
      <c r="A128" s="8" t="inlineStr">
        <is>
          <t>2004070011</t>
        </is>
      </c>
      <c r="B128" s="8" t="inlineStr">
        <is>
          <t>La Pareja</t>
        </is>
      </c>
      <c r="C128" s="8" t="inlineStr">
        <is>
          <t>Morropón</t>
        </is>
      </c>
      <c r="D128" s="8" t="inlineStr">
        <is>
          <t>San Juan de Bigote</t>
        </is>
      </c>
      <c r="E128" s="8" t="inlineStr">
        <is>
          <t>M11B3</t>
        </is>
      </c>
      <c r="F128" s="8" t="n">
        <v>1</v>
      </c>
      <c r="G128" s="8" t="inlineStr">
        <is>
          <t>Urbano</t>
        </is>
      </c>
      <c r="H128" s="36" t="n">
        <v>0</v>
      </c>
      <c r="I128" s="36" t="n">
        <v>0</v>
      </c>
      <c r="J128" s="36" t="n">
        <v>0</v>
      </c>
      <c r="K128" s="36" t="n">
        <v>0</v>
      </c>
      <c r="L128" s="36" t="n">
        <v>0</v>
      </c>
      <c r="M128" s="32" t="n">
        <v>639952.0699999999</v>
      </c>
      <c r="N128" s="32" t="n">
        <v>9413029.75</v>
      </c>
      <c r="O128" s="8" t="inlineStr">
        <is>
          <t>OK</t>
        </is>
      </c>
      <c r="P128" s="8" t="inlineStr"/>
    </row>
    <row r="129">
      <c r="A129" s="6" t="inlineStr">
        <is>
          <t>2004070019</t>
        </is>
      </c>
      <c r="B129" s="6" t="inlineStr">
        <is>
          <t>Manzanares</t>
        </is>
      </c>
      <c r="C129" s="6" t="inlineStr">
        <is>
          <t>Morropón</t>
        </is>
      </c>
      <c r="D129" s="6" t="inlineStr">
        <is>
          <t>San Juan de Bigote</t>
        </is>
      </c>
      <c r="E129" s="6" t="inlineStr">
        <is>
          <t>M3B6</t>
        </is>
      </c>
      <c r="F129" s="6" t="n">
        <v>1</v>
      </c>
      <c r="G129" s="6" t="inlineStr">
        <is>
          <t>Rural</t>
        </is>
      </c>
      <c r="H129" s="35" t="n">
        <v>117</v>
      </c>
      <c r="I129" s="35" t="n">
        <v>64</v>
      </c>
      <c r="J129" s="35" t="n">
        <v>53</v>
      </c>
      <c r="K129" s="35" t="n">
        <v>21</v>
      </c>
      <c r="L129" s="35" t="n">
        <v>38</v>
      </c>
      <c r="M129" s="30" t="n">
        <v>637332.87</v>
      </c>
      <c r="N129" s="30" t="n">
        <v>9412499.01</v>
      </c>
      <c r="O129" s="6" t="inlineStr">
        <is>
          <t>OK</t>
        </is>
      </c>
      <c r="P129" s="6" t="inlineStr"/>
    </row>
    <row r="130">
      <c r="A130" s="8" t="inlineStr">
        <is>
          <t>2004070022</t>
        </is>
      </c>
      <c r="B130" s="8" t="inlineStr">
        <is>
          <t>Miguel Pampa</t>
        </is>
      </c>
      <c r="C130" s="8" t="inlineStr">
        <is>
          <t>Morropón</t>
        </is>
      </c>
      <c r="D130" s="8" t="inlineStr">
        <is>
          <t>San Juan de Bigote</t>
        </is>
      </c>
      <c r="E130" s="8" t="inlineStr">
        <is>
          <t>77, 83, 84</t>
        </is>
      </c>
      <c r="F130" s="8" t="n">
        <v>3</v>
      </c>
      <c r="G130" s="8" t="inlineStr">
        <is>
          <t>Rural</t>
        </is>
      </c>
      <c r="H130" s="36" t="n">
        <v>188</v>
      </c>
      <c r="I130" s="36" t="n">
        <v>95</v>
      </c>
      <c r="J130" s="36" t="n">
        <v>93</v>
      </c>
      <c r="K130" s="36" t="n">
        <v>21</v>
      </c>
      <c r="L130" s="36" t="n">
        <v>74</v>
      </c>
      <c r="M130" s="32" t="n">
        <v>639388.8100000001</v>
      </c>
      <c r="N130" s="32" t="n">
        <v>9410923.710000001</v>
      </c>
      <c r="O130" s="8" t="inlineStr">
        <is>
          <t>OK</t>
        </is>
      </c>
      <c r="P130" s="8" t="inlineStr"/>
    </row>
    <row r="131">
      <c r="A131" s="6" t="inlineStr"/>
      <c r="B131" s="6" t="inlineStr">
        <is>
          <t>Nueva Esperanza</t>
        </is>
      </c>
      <c r="C131" s="6" t="inlineStr">
        <is>
          <t>Morropón</t>
        </is>
      </c>
      <c r="D131" s="6" t="inlineStr">
        <is>
          <t>San Juan de Bigote</t>
        </is>
      </c>
      <c r="E131" s="6" t="inlineStr">
        <is>
          <t>86, 87</t>
        </is>
      </c>
      <c r="F131" s="6" t="n">
        <v>2</v>
      </c>
      <c r="G131" s="6" t="inlineStr">
        <is>
          <t>Rural</t>
        </is>
      </c>
      <c r="H131" s="35" t="n">
        <v>65</v>
      </c>
      <c r="I131" s="35" t="n"/>
      <c r="J131" s="35" t="n"/>
      <c r="K131" s="35" t="n"/>
      <c r="L131" s="35" t="n"/>
      <c r="M131" s="30" t="n"/>
      <c r="N131" s="30" t="n"/>
      <c r="O131" s="6" t="inlineStr">
        <is>
          <t>SIN COORDENADAS</t>
        </is>
      </c>
      <c r="P131" s="6" t="inlineStr">
        <is>
          <t>Solo población total (sin desagregar por sexo, población vulnerable ni viviendas); Sin coordenadas en la fuente</t>
        </is>
      </c>
    </row>
    <row r="132">
      <c r="A132" s="8" t="inlineStr">
        <is>
          <t>2004070024</t>
        </is>
      </c>
      <c r="B132" s="8" t="inlineStr">
        <is>
          <t>Polluco</t>
        </is>
      </c>
      <c r="C132" s="8" t="inlineStr">
        <is>
          <t>Morropón</t>
        </is>
      </c>
      <c r="D132" s="8" t="inlineStr">
        <is>
          <t>San Juan de Bigote</t>
        </is>
      </c>
      <c r="E132" s="8" t="inlineStr">
        <is>
          <t>M3B7</t>
        </is>
      </c>
      <c r="F132" s="8" t="n">
        <v>1</v>
      </c>
      <c r="G132" s="8" t="inlineStr">
        <is>
          <t>Rural</t>
        </is>
      </c>
      <c r="H132" s="36" t="n">
        <v>45</v>
      </c>
      <c r="I132" s="36" t="n">
        <v>19</v>
      </c>
      <c r="J132" s="36" t="n">
        <v>26</v>
      </c>
      <c r="K132" s="36" t="n">
        <v>4</v>
      </c>
      <c r="L132" s="36" t="n">
        <v>22</v>
      </c>
      <c r="M132" s="32" t="n">
        <v>637525.13</v>
      </c>
      <c r="N132" s="32" t="n">
        <v>9414333.640000001</v>
      </c>
      <c r="O132" s="8" t="inlineStr">
        <is>
          <t>OK</t>
        </is>
      </c>
      <c r="P132" s="8" t="inlineStr"/>
    </row>
    <row r="133">
      <c r="A133" s="6" t="inlineStr">
        <is>
          <t>2004070012</t>
        </is>
      </c>
      <c r="B133" s="6" t="inlineStr">
        <is>
          <t>Quemazon</t>
        </is>
      </c>
      <c r="C133" s="6" t="inlineStr">
        <is>
          <t>Morropón</t>
        </is>
      </c>
      <c r="D133" s="6" t="inlineStr">
        <is>
          <t>San Juan de Bigote</t>
        </is>
      </c>
      <c r="E133" s="6" t="inlineStr">
        <is>
          <t>M11B3</t>
        </is>
      </c>
      <c r="F133" s="6" t="n">
        <v>1</v>
      </c>
      <c r="G133" s="6" t="inlineStr">
        <is>
          <t>Urbano</t>
        </is>
      </c>
      <c r="H133" s="35" t="n">
        <v>0</v>
      </c>
      <c r="I133" s="35" t="n">
        <v>0</v>
      </c>
      <c r="J133" s="35" t="n">
        <v>0</v>
      </c>
      <c r="K133" s="35" t="n">
        <v>0</v>
      </c>
      <c r="L133" s="35" t="n">
        <v>0</v>
      </c>
      <c r="M133" s="30" t="n">
        <v>641647.1899999999</v>
      </c>
      <c r="N133" s="30" t="n">
        <v>9412507.039999999</v>
      </c>
      <c r="O133" s="6" t="inlineStr">
        <is>
          <t>OK</t>
        </is>
      </c>
      <c r="P133" s="6" t="inlineStr"/>
    </row>
    <row r="134">
      <c r="A134" s="8" t="inlineStr">
        <is>
          <t>2004070027</t>
        </is>
      </c>
      <c r="B134" s="8" t="inlineStr">
        <is>
          <t>San Juan Bautista</t>
        </is>
      </c>
      <c r="C134" s="8" t="inlineStr">
        <is>
          <t>Morropón</t>
        </is>
      </c>
      <c r="D134" s="8" t="inlineStr">
        <is>
          <t>San Juan de Bigote</t>
        </is>
      </c>
      <c r="E134" s="8" t="inlineStr">
        <is>
          <t>M3B5</t>
        </is>
      </c>
      <c r="F134" s="8" t="n">
        <v>1</v>
      </c>
      <c r="G134" s="8" t="inlineStr">
        <is>
          <t>Rural</t>
        </is>
      </c>
      <c r="H134" s="36" t="n">
        <v>116</v>
      </c>
      <c r="I134" s="36" t="n">
        <v>51</v>
      </c>
      <c r="J134" s="36" t="n">
        <v>65</v>
      </c>
      <c r="K134" s="36" t="n">
        <v>7</v>
      </c>
      <c r="L134" s="36" t="n">
        <v>33</v>
      </c>
      <c r="M134" s="32" t="n">
        <v>635861.76</v>
      </c>
      <c r="N134" s="32" t="n">
        <v>9411993.16</v>
      </c>
      <c r="O134" s="8" t="inlineStr">
        <is>
          <t>OK</t>
        </is>
      </c>
      <c r="P134" s="8" t="inlineStr"/>
    </row>
    <row r="135">
      <c r="A135" s="6" t="inlineStr">
        <is>
          <t>2004070009</t>
        </is>
      </c>
      <c r="B135" s="6" t="inlineStr">
        <is>
          <t>Santa Rosa</t>
        </is>
      </c>
      <c r="C135" s="6" t="inlineStr">
        <is>
          <t>Morropón</t>
        </is>
      </c>
      <c r="D135" s="6" t="inlineStr">
        <is>
          <t>San Juan de Bigote</t>
        </is>
      </c>
      <c r="E135" s="6" t="inlineStr">
        <is>
          <t>M3B8</t>
        </is>
      </c>
      <c r="F135" s="6" t="n">
        <v>1</v>
      </c>
      <c r="G135" s="6" t="inlineStr">
        <is>
          <t>Rural</t>
        </is>
      </c>
      <c r="H135" s="35" t="n">
        <v>178</v>
      </c>
      <c r="I135" s="35" t="n">
        <v>91</v>
      </c>
      <c r="J135" s="35" t="n">
        <v>87</v>
      </c>
      <c r="K135" s="35" t="n">
        <v>17</v>
      </c>
      <c r="L135" s="35" t="n">
        <v>67</v>
      </c>
      <c r="M135" s="30" t="n">
        <v>632130.33</v>
      </c>
      <c r="N135" s="30" t="n">
        <v>9414106.699999999</v>
      </c>
      <c r="O135" s="6" t="inlineStr">
        <is>
          <t>OK</t>
        </is>
      </c>
      <c r="P135" s="6" t="inlineStr"/>
    </row>
    <row r="136">
      <c r="A136" s="8" t="inlineStr">
        <is>
          <t>2004070041</t>
        </is>
      </c>
      <c r="B136" s="8" t="inlineStr">
        <is>
          <t>Sinai</t>
        </is>
      </c>
      <c r="C136" s="8" t="inlineStr">
        <is>
          <t>Morropón</t>
        </is>
      </c>
      <c r="D136" s="8" t="inlineStr">
        <is>
          <t>San Juan de Bigote</t>
        </is>
      </c>
      <c r="E136" s="8" t="inlineStr">
        <is>
          <t>M3B7</t>
        </is>
      </c>
      <c r="F136" s="8" t="n">
        <v>1</v>
      </c>
      <c r="G136" s="8" t="inlineStr">
        <is>
          <t>Rural</t>
        </is>
      </c>
      <c r="H136" s="36" t="n">
        <v>23</v>
      </c>
      <c r="I136" s="36" t="n">
        <v>12</v>
      </c>
      <c r="J136" s="36" t="n">
        <v>11</v>
      </c>
      <c r="K136" s="36" t="n">
        <v>2</v>
      </c>
      <c r="L136" s="36" t="n">
        <v>16</v>
      </c>
      <c r="M136" s="32" t="n">
        <v>639929.96</v>
      </c>
      <c r="N136" s="32" t="n">
        <v>9416155.720000001</v>
      </c>
      <c r="O136" s="8" t="inlineStr">
        <is>
          <t>OK</t>
        </is>
      </c>
      <c r="P136" s="8" t="inlineStr"/>
    </row>
    <row r="137">
      <c r="A137" s="6" t="inlineStr">
        <is>
          <t>2004080014</t>
        </is>
      </c>
      <c r="B137" s="6" t="inlineStr">
        <is>
          <t>La Laja</t>
        </is>
      </c>
      <c r="C137" s="6" t="inlineStr">
        <is>
          <t>Morropón</t>
        </is>
      </c>
      <c r="D137" s="6" t="inlineStr">
        <is>
          <t>Santa Catalina de Mossa</t>
        </is>
      </c>
      <c r="E137" s="6" t="inlineStr">
        <is>
          <t>14</t>
        </is>
      </c>
      <c r="F137" s="6" t="n">
        <v>1</v>
      </c>
      <c r="G137" s="6" t="inlineStr">
        <is>
          <t>Rural</t>
        </is>
      </c>
      <c r="H137" s="35" t="n">
        <v>22</v>
      </c>
      <c r="I137" s="35" t="n">
        <v>11</v>
      </c>
      <c r="J137" s="35" t="n">
        <v>11</v>
      </c>
      <c r="K137" s="35" t="n">
        <v>8</v>
      </c>
      <c r="L137" s="35" t="n">
        <v>12</v>
      </c>
      <c r="M137" s="30" t="n">
        <v>624674.36</v>
      </c>
      <c r="N137" s="30" t="n">
        <v>9437695.83</v>
      </c>
      <c r="O137" s="6" t="inlineStr">
        <is>
          <t>OK</t>
        </is>
      </c>
      <c r="P137" s="6" t="inlineStr"/>
    </row>
    <row r="138">
      <c r="A138" s="8" t="inlineStr">
        <is>
          <t>2004080031</t>
        </is>
      </c>
      <c r="B138" s="8" t="inlineStr">
        <is>
          <t>Linderos de Maray</t>
        </is>
      </c>
      <c r="C138" s="8" t="inlineStr">
        <is>
          <t>Morropón</t>
        </is>
      </c>
      <c r="D138" s="8" t="inlineStr">
        <is>
          <t>Santa Catalina de Mossa</t>
        </is>
      </c>
      <c r="E138" s="8" t="inlineStr">
        <is>
          <t>58</t>
        </is>
      </c>
      <c r="F138" s="8" t="n">
        <v>1</v>
      </c>
      <c r="G138" s="8" t="inlineStr">
        <is>
          <t>Urbano</t>
        </is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2" t="n">
        <v>621488.1899999999</v>
      </c>
      <c r="N138" s="32" t="n">
        <v>9427193.77</v>
      </c>
      <c r="O138" s="8" t="inlineStr">
        <is>
          <t>OK</t>
        </is>
      </c>
      <c r="P138" s="8" t="inlineStr"/>
    </row>
    <row r="139">
      <c r="A139" s="6" t="inlineStr">
        <is>
          <t>2004080035</t>
        </is>
      </c>
      <c r="B139" s="6" t="inlineStr">
        <is>
          <t>Maray</t>
        </is>
      </c>
      <c r="C139" s="6" t="inlineStr">
        <is>
          <t>Morropón</t>
        </is>
      </c>
      <c r="D139" s="6" t="inlineStr">
        <is>
          <t>Santa Catalina de Mossa</t>
        </is>
      </c>
      <c r="E139" s="6" t="inlineStr">
        <is>
          <t>58, M32B3</t>
        </is>
      </c>
      <c r="F139" s="6" t="n">
        <v>2</v>
      </c>
      <c r="G139" s="6" t="inlineStr">
        <is>
          <t>Rural</t>
        </is>
      </c>
      <c r="H139" s="35" t="n">
        <v>329</v>
      </c>
      <c r="I139" s="35" t="n">
        <v>165</v>
      </c>
      <c r="J139" s="35" t="n">
        <v>164</v>
      </c>
      <c r="K139" s="35" t="n">
        <v>55</v>
      </c>
      <c r="L139" s="35" t="n">
        <v>138</v>
      </c>
      <c r="M139" s="30" t="n">
        <v>618786.21</v>
      </c>
      <c r="N139" s="30" t="n">
        <v>9426010.779999999</v>
      </c>
      <c r="O139" s="6" t="inlineStr">
        <is>
          <t>OK</t>
        </is>
      </c>
      <c r="P139" s="6" t="inlineStr"/>
    </row>
    <row r="140">
      <c r="A140" s="8" t="inlineStr">
        <is>
          <t>2004080015</t>
        </is>
      </c>
      <c r="B140" s="8" t="inlineStr">
        <is>
          <t>Overazal</t>
        </is>
      </c>
      <c r="C140" s="8" t="inlineStr">
        <is>
          <t>Morropón</t>
        </is>
      </c>
      <c r="D140" s="8" t="inlineStr">
        <is>
          <t>Santa Catalina de Mossa</t>
        </is>
      </c>
      <c r="E140" s="8" t="inlineStr">
        <is>
          <t>14</t>
        </is>
      </c>
      <c r="F140" s="8" t="n">
        <v>1</v>
      </c>
      <c r="G140" s="8" t="inlineStr">
        <is>
          <t>Rural</t>
        </is>
      </c>
      <c r="H140" s="36" t="n">
        <v>16</v>
      </c>
      <c r="I140" s="36" t="n">
        <v>7</v>
      </c>
      <c r="J140" s="36" t="n">
        <v>9</v>
      </c>
      <c r="K140" s="36" t="n">
        <v>4</v>
      </c>
      <c r="L140" s="36" t="n">
        <v>8</v>
      </c>
      <c r="M140" s="32" t="n">
        <v>624064.49</v>
      </c>
      <c r="N140" s="32" t="n">
        <v>9437299.42</v>
      </c>
      <c r="O140" s="8" t="inlineStr">
        <is>
          <t>OK</t>
        </is>
      </c>
      <c r="P140" s="8" t="inlineStr"/>
    </row>
    <row r="141">
      <c r="A141" s="6" t="inlineStr">
        <is>
          <t>2004080019</t>
        </is>
      </c>
      <c r="B141" s="6" t="inlineStr">
        <is>
          <t>Santa Rosa de Chirimoyos</t>
        </is>
      </c>
      <c r="C141" s="6" t="inlineStr">
        <is>
          <t>Morropón</t>
        </is>
      </c>
      <c r="D141" s="6" t="inlineStr">
        <is>
          <t>Santa Catalina de Mossa</t>
        </is>
      </c>
      <c r="E141" s="6" t="inlineStr">
        <is>
          <t>42, M36B2</t>
        </is>
      </c>
      <c r="F141" s="6" t="n">
        <v>2</v>
      </c>
      <c r="G141" s="6" t="inlineStr">
        <is>
          <t>Rural</t>
        </is>
      </c>
      <c r="H141" s="35" t="n">
        <v>131</v>
      </c>
      <c r="I141" s="35" t="n">
        <v>63</v>
      </c>
      <c r="J141" s="35" t="n">
        <v>68</v>
      </c>
      <c r="K141" s="35" t="n">
        <v>29</v>
      </c>
      <c r="L141" s="35" t="n">
        <v>53</v>
      </c>
      <c r="M141" s="30" t="n">
        <v>625716.5</v>
      </c>
      <c r="N141" s="30" t="n">
        <v>9434887.24</v>
      </c>
      <c r="O141" s="6" t="inlineStr">
        <is>
          <t>OK</t>
        </is>
      </c>
      <c r="P141" s="6" t="inlineStr"/>
    </row>
    <row r="142">
      <c r="A142" s="8" t="inlineStr">
        <is>
          <t>2004090047</t>
        </is>
      </c>
      <c r="B142" s="8" t="inlineStr">
        <is>
          <t>Botijas</t>
        </is>
      </c>
      <c r="C142" s="8" t="inlineStr">
        <is>
          <t>Morropón</t>
        </is>
      </c>
      <c r="D142" s="8" t="inlineStr">
        <is>
          <t>Santo Domingo</t>
        </is>
      </c>
      <c r="E142" s="8" t="inlineStr">
        <is>
          <t>M8B2</t>
        </is>
      </c>
      <c r="F142" s="8" t="n">
        <v>1</v>
      </c>
      <c r="G142" s="8" t="inlineStr">
        <is>
          <t>Rural</t>
        </is>
      </c>
      <c r="H142" s="36" t="n">
        <v>192</v>
      </c>
      <c r="I142" s="36" t="n">
        <v>100</v>
      </c>
      <c r="J142" s="36" t="n">
        <v>92</v>
      </c>
      <c r="K142" s="36" t="n">
        <v>54</v>
      </c>
      <c r="L142" s="36" t="n">
        <v>71</v>
      </c>
      <c r="M142" s="32" t="n">
        <v>615378.5699999999</v>
      </c>
      <c r="N142" s="32" t="n">
        <v>9435504.5</v>
      </c>
      <c r="O142" s="8" t="inlineStr">
        <is>
          <t>OK</t>
        </is>
      </c>
      <c r="P142" s="8" t="inlineStr"/>
    </row>
    <row r="143">
      <c r="A143" s="6" t="inlineStr">
        <is>
          <t>2004090015</t>
        </is>
      </c>
      <c r="B143" s="6" t="inlineStr">
        <is>
          <t>Chacayo</t>
        </is>
      </c>
      <c r="C143" s="6" t="inlineStr">
        <is>
          <t>Morropón</t>
        </is>
      </c>
      <c r="D143" s="6" t="inlineStr">
        <is>
          <t>Santo Domingo</t>
        </is>
      </c>
      <c r="E143" s="6" t="inlineStr">
        <is>
          <t>12</t>
        </is>
      </c>
      <c r="F143" s="6" t="n">
        <v>1</v>
      </c>
      <c r="G143" s="6" t="inlineStr">
        <is>
          <t>Rural</t>
        </is>
      </c>
      <c r="H143" s="35" t="n">
        <v>105</v>
      </c>
      <c r="I143" s="35" t="n">
        <v>55</v>
      </c>
      <c r="J143" s="35" t="n">
        <v>50</v>
      </c>
      <c r="K143" s="35" t="n">
        <v>43</v>
      </c>
      <c r="L143" s="35" t="n">
        <v>85</v>
      </c>
      <c r="M143" s="30" t="n">
        <v>625612.13</v>
      </c>
      <c r="N143" s="30" t="n">
        <v>9443771.51</v>
      </c>
      <c r="O143" s="6" t="inlineStr">
        <is>
          <t>OK</t>
        </is>
      </c>
      <c r="P143" s="6" t="inlineStr"/>
    </row>
    <row r="144">
      <c r="A144" s="8" t="inlineStr">
        <is>
          <t>2004090045</t>
        </is>
      </c>
      <c r="B144" s="8" t="inlineStr">
        <is>
          <t>El Checo</t>
        </is>
      </c>
      <c r="C144" s="8" t="inlineStr">
        <is>
          <t>Morropón</t>
        </is>
      </c>
      <c r="D144" s="8" t="inlineStr">
        <is>
          <t>Santo Domingo</t>
        </is>
      </c>
      <c r="E144" s="8" t="inlineStr">
        <is>
          <t>17</t>
        </is>
      </c>
      <c r="F144" s="8" t="n">
        <v>1</v>
      </c>
      <c r="G144" s="8" t="inlineStr">
        <is>
          <t>Rural</t>
        </is>
      </c>
      <c r="H144" s="36" t="n">
        <v>91</v>
      </c>
      <c r="I144" s="36" t="n">
        <v>46</v>
      </c>
      <c r="J144" s="36" t="n">
        <v>45</v>
      </c>
      <c r="K144" s="36" t="n">
        <v>20</v>
      </c>
      <c r="L144" s="36" t="n">
        <v>31</v>
      </c>
      <c r="M144" s="32" t="n">
        <v>618239.16</v>
      </c>
      <c r="N144" s="32" t="n">
        <v>9437385.380000001</v>
      </c>
      <c r="O144" s="8" t="inlineStr">
        <is>
          <t>OK</t>
        </is>
      </c>
      <c r="P144" s="8" t="inlineStr"/>
    </row>
    <row r="145">
      <c r="A145" s="6" t="inlineStr">
        <is>
          <t>2004090044</t>
        </is>
      </c>
      <c r="B145" s="6" t="inlineStr">
        <is>
          <t>El Faique</t>
        </is>
      </c>
      <c r="C145" s="6" t="inlineStr">
        <is>
          <t>Morropón</t>
        </is>
      </c>
      <c r="D145" s="6" t="inlineStr">
        <is>
          <t>Santo Domingo</t>
        </is>
      </c>
      <c r="E145" s="6" t="inlineStr">
        <is>
          <t>M19B7</t>
        </is>
      </c>
      <c r="F145" s="6" t="n">
        <v>1</v>
      </c>
      <c r="G145" s="6" t="inlineStr">
        <is>
          <t>Rural</t>
        </is>
      </c>
      <c r="H145" s="35" t="n">
        <v>40</v>
      </c>
      <c r="I145" s="35" t="n">
        <v>17</v>
      </c>
      <c r="J145" s="35" t="n">
        <v>23</v>
      </c>
      <c r="K145" s="35" t="n">
        <v>13</v>
      </c>
      <c r="L145" s="35" t="n">
        <v>18</v>
      </c>
      <c r="M145" s="30" t="n">
        <v>620081.1</v>
      </c>
      <c r="N145" s="30" t="n">
        <v>9436079.199999999</v>
      </c>
      <c r="O145" s="6" t="inlineStr">
        <is>
          <t>OK</t>
        </is>
      </c>
      <c r="P145" s="6" t="inlineStr"/>
    </row>
    <row r="146">
      <c r="A146" s="8" t="inlineStr">
        <is>
          <t>2004090018</t>
        </is>
      </c>
      <c r="B146" s="8" t="inlineStr">
        <is>
          <t>Huacas</t>
        </is>
      </c>
      <c r="C146" s="8" t="inlineStr">
        <is>
          <t>Morropón</t>
        </is>
      </c>
      <c r="D146" s="8" t="inlineStr">
        <is>
          <t>Santo Domingo</t>
        </is>
      </c>
      <c r="E146" s="8" t="inlineStr">
        <is>
          <t>13</t>
        </is>
      </c>
      <c r="F146" s="8" t="n">
        <v>1</v>
      </c>
      <c r="G146" s="8" t="inlineStr">
        <is>
          <t>Rural</t>
        </is>
      </c>
      <c r="H146" s="36" t="n">
        <v>139</v>
      </c>
      <c r="I146" s="36" t="n">
        <v>74</v>
      </c>
      <c r="J146" s="36" t="n">
        <v>65</v>
      </c>
      <c r="K146" s="36" t="n">
        <v>41</v>
      </c>
      <c r="L146" s="36" t="n">
        <v>49</v>
      </c>
      <c r="M146" s="32" t="n">
        <v>619534.5</v>
      </c>
      <c r="N146" s="32" t="n">
        <v>9442810.91</v>
      </c>
      <c r="O146" s="8" t="inlineStr">
        <is>
          <t>OK</t>
        </is>
      </c>
      <c r="P146" s="8" t="inlineStr"/>
    </row>
    <row r="147">
      <c r="A147" s="6" t="inlineStr">
        <is>
          <t>2004090043</t>
        </is>
      </c>
      <c r="B147" s="6" t="inlineStr">
        <is>
          <t>Jacanacas</t>
        </is>
      </c>
      <c r="C147" s="6" t="inlineStr">
        <is>
          <t>Morropón</t>
        </is>
      </c>
      <c r="D147" s="6" t="inlineStr">
        <is>
          <t>Santo Domingo</t>
        </is>
      </c>
      <c r="E147" s="6" t="inlineStr">
        <is>
          <t>15, 23</t>
        </is>
      </c>
      <c r="F147" s="6" t="n">
        <v>2</v>
      </c>
      <c r="G147" s="6" t="inlineStr">
        <is>
          <t>Rural</t>
        </is>
      </c>
      <c r="H147" s="35" t="n">
        <v>130</v>
      </c>
      <c r="I147" s="35" t="n">
        <v>57</v>
      </c>
      <c r="J147" s="35" t="n">
        <v>73</v>
      </c>
      <c r="K147" s="35" t="n">
        <v>49</v>
      </c>
      <c r="L147" s="35" t="n">
        <v>64</v>
      </c>
      <c r="M147" s="30" t="n">
        <v>619642.9</v>
      </c>
      <c r="N147" s="30" t="n">
        <v>9437545.199999999</v>
      </c>
      <c r="O147" s="6" t="inlineStr">
        <is>
          <t>OK</t>
        </is>
      </c>
      <c r="P147" s="6" t="inlineStr"/>
    </row>
    <row r="148">
      <c r="A148" s="8" t="inlineStr">
        <is>
          <t>2004090024</t>
        </is>
      </c>
      <c r="B148" s="8" t="inlineStr">
        <is>
          <t>Nueva Esperanza</t>
        </is>
      </c>
      <c r="C148" s="8" t="inlineStr">
        <is>
          <t>Morropón</t>
        </is>
      </c>
      <c r="D148" s="8" t="inlineStr">
        <is>
          <t>Santo Domingo</t>
        </is>
      </c>
      <c r="E148" s="8" t="inlineStr">
        <is>
          <t>23</t>
        </is>
      </c>
      <c r="F148" s="8" t="n">
        <v>1</v>
      </c>
      <c r="G148" s="8" t="inlineStr">
        <is>
          <t>Rural</t>
        </is>
      </c>
      <c r="H148" s="36" t="n">
        <v>31</v>
      </c>
      <c r="I148" s="36" t="n">
        <v>15</v>
      </c>
      <c r="J148" s="36" t="n">
        <v>16</v>
      </c>
      <c r="K148" s="36" t="n">
        <v>5</v>
      </c>
      <c r="L148" s="36" t="n">
        <v>13</v>
      </c>
      <c r="M148" s="32" t="n">
        <v>619888.6899999999</v>
      </c>
      <c r="N148" s="32" t="n">
        <v>9439237.630000001</v>
      </c>
      <c r="O148" s="8" t="inlineStr">
        <is>
          <t>OK</t>
        </is>
      </c>
      <c r="P148" s="8" t="inlineStr"/>
    </row>
    <row r="149">
      <c r="A149" s="6" t="inlineStr">
        <is>
          <t>2004090007</t>
        </is>
      </c>
      <c r="B149" s="6" t="inlineStr">
        <is>
          <t>Santa Fe de Portachuelo</t>
        </is>
      </c>
      <c r="C149" s="6" t="inlineStr">
        <is>
          <t>Morropón</t>
        </is>
      </c>
      <c r="D149" s="6" t="inlineStr">
        <is>
          <t>Santo Domingo</t>
        </is>
      </c>
      <c r="E149" s="6" t="inlineStr">
        <is>
          <t>82</t>
        </is>
      </c>
      <c r="F149" s="6" t="n">
        <v>1</v>
      </c>
      <c r="G149" s="6" t="inlineStr">
        <is>
          <t>Rural</t>
        </is>
      </c>
      <c r="H149" s="35" t="n">
        <v>88</v>
      </c>
      <c r="I149" s="35" t="n">
        <v>48</v>
      </c>
      <c r="J149" s="35" t="n">
        <v>40</v>
      </c>
      <c r="K149" s="35" t="n">
        <v>24</v>
      </c>
      <c r="L149" s="35" t="n">
        <v>45</v>
      </c>
      <c r="M149" s="30" t="n">
        <v>620924.58</v>
      </c>
      <c r="N149" s="30" t="n">
        <v>9444237.76</v>
      </c>
      <c r="O149" s="6" t="inlineStr">
        <is>
          <t>OK</t>
        </is>
      </c>
      <c r="P149" s="6" t="inlineStr"/>
    </row>
    <row r="150">
      <c r="A150" s="8" t="inlineStr">
        <is>
          <t>2004090001</t>
        </is>
      </c>
      <c r="B150" s="8" t="inlineStr">
        <is>
          <t>Santo Domingo</t>
        </is>
      </c>
      <c r="C150" s="8" t="inlineStr">
        <is>
          <t>Morropón</t>
        </is>
      </c>
      <c r="D150" s="8" t="inlineStr">
        <is>
          <t>Santo Domingo</t>
        </is>
      </c>
      <c r="E150" s="8" t="inlineStr">
        <is>
          <t>12</t>
        </is>
      </c>
      <c r="F150" s="8" t="n">
        <v>1</v>
      </c>
      <c r="G150" s="8" t="inlineStr">
        <is>
          <t>Urbano</t>
        </is>
      </c>
      <c r="H150" s="36" t="n">
        <v>0</v>
      </c>
      <c r="I150" s="36" t="n">
        <v>0</v>
      </c>
      <c r="J150" s="36" t="n">
        <v>0</v>
      </c>
      <c r="K150" s="36" t="n">
        <v>0</v>
      </c>
      <c r="L150" s="36" t="n">
        <v>0</v>
      </c>
      <c r="M150" s="32" t="n">
        <v>624624.72</v>
      </c>
      <c r="N150" s="32" t="n">
        <v>9443986.85</v>
      </c>
      <c r="O150" s="8" t="inlineStr">
        <is>
          <t>OK</t>
        </is>
      </c>
      <c r="P150" s="8" t="inlineStr"/>
    </row>
    <row r="151">
      <c r="A151" s="6" t="inlineStr">
        <is>
          <t>2004090023</t>
        </is>
      </c>
      <c r="B151" s="6" t="inlineStr">
        <is>
          <t>Tasajeras</t>
        </is>
      </c>
      <c r="C151" s="6" t="inlineStr">
        <is>
          <t>Morropón</t>
        </is>
      </c>
      <c r="D151" s="6" t="inlineStr">
        <is>
          <t>Santo Domingo</t>
        </is>
      </c>
      <c r="E151" s="6" t="inlineStr">
        <is>
          <t>78</t>
        </is>
      </c>
      <c r="F151" s="6" t="n">
        <v>1</v>
      </c>
      <c r="G151" s="6" t="inlineStr">
        <is>
          <t>Rural</t>
        </is>
      </c>
      <c r="H151" s="35" t="n">
        <v>114</v>
      </c>
      <c r="I151" s="35" t="n">
        <v>59</v>
      </c>
      <c r="J151" s="35" t="n">
        <v>55</v>
      </c>
      <c r="K151" s="35" t="n">
        <v>28</v>
      </c>
      <c r="L151" s="35" t="n">
        <v>40</v>
      </c>
      <c r="M151" s="30" t="n">
        <v>619017.55</v>
      </c>
      <c r="N151" s="30" t="n">
        <v>9439715.029999999</v>
      </c>
      <c r="O151" s="6" t="inlineStr">
        <is>
          <t>OK</t>
        </is>
      </c>
      <c r="P151" s="6" t="inlineStr"/>
    </row>
    <row r="152">
      <c r="A152" s="8" t="inlineStr">
        <is>
          <t>2004090025</t>
        </is>
      </c>
      <c r="B152" s="8" t="inlineStr">
        <is>
          <t>Taylin de Tuñali</t>
        </is>
      </c>
      <c r="C152" s="8" t="inlineStr">
        <is>
          <t>Morropón</t>
        </is>
      </c>
      <c r="D152" s="8" t="inlineStr">
        <is>
          <t>Santo Domingo</t>
        </is>
      </c>
      <c r="E152" s="8" t="inlineStr">
        <is>
          <t>11</t>
        </is>
      </c>
      <c r="F152" s="8" t="n">
        <v>1</v>
      </c>
      <c r="G152" s="8" t="inlineStr">
        <is>
          <t>Rural</t>
        </is>
      </c>
      <c r="H152" s="36" t="n">
        <v>53</v>
      </c>
      <c r="I152" s="36" t="n">
        <v>30</v>
      </c>
      <c r="J152" s="36" t="n">
        <v>23</v>
      </c>
      <c r="K152" s="36" t="n">
        <v>20</v>
      </c>
      <c r="L152" s="36" t="n">
        <v>34</v>
      </c>
      <c r="M152" s="32" t="n">
        <v>621241.75</v>
      </c>
      <c r="N152" s="32" t="n">
        <v>9440655.67</v>
      </c>
      <c r="O152" s="8" t="inlineStr">
        <is>
          <t>OK</t>
        </is>
      </c>
      <c r="P152" s="8" t="inlineStr"/>
    </row>
    <row r="153">
      <c r="A153" s="6" t="inlineStr">
        <is>
          <t>2004100051</t>
        </is>
      </c>
      <c r="B153" s="6" t="inlineStr">
        <is>
          <t>Alto Mambluque</t>
        </is>
      </c>
      <c r="C153" s="6" t="inlineStr">
        <is>
          <t>Morropón</t>
        </is>
      </c>
      <c r="D153" s="6" t="inlineStr">
        <is>
          <t>Yamango</t>
        </is>
      </c>
      <c r="E153" s="6" t="inlineStr">
        <is>
          <t>M28B4</t>
        </is>
      </c>
      <c r="F153" s="6" t="n">
        <v>1</v>
      </c>
      <c r="G153" s="6" t="inlineStr">
        <is>
          <t>Rural</t>
        </is>
      </c>
      <c r="H153" s="35" t="n">
        <v>62</v>
      </c>
      <c r="I153" s="35" t="n">
        <v>34</v>
      </c>
      <c r="J153" s="35" t="n">
        <v>28</v>
      </c>
      <c r="K153" s="35" t="n">
        <v>11</v>
      </c>
      <c r="L153" s="35" t="n">
        <v>35</v>
      </c>
      <c r="M153" s="30" t="n">
        <v>626162.28</v>
      </c>
      <c r="N153" s="30" t="n">
        <v>9426053.550000001</v>
      </c>
      <c r="O153" s="6" t="inlineStr">
        <is>
          <t>OK</t>
        </is>
      </c>
      <c r="P153" s="6" t="inlineStr"/>
    </row>
    <row r="154">
      <c r="A154" s="8" t="inlineStr">
        <is>
          <t>2004100045</t>
        </is>
      </c>
      <c r="B154" s="8" t="inlineStr">
        <is>
          <t>Flor de Agua</t>
        </is>
      </c>
      <c r="C154" s="8" t="inlineStr">
        <is>
          <t>Morropón</t>
        </is>
      </c>
      <c r="D154" s="8" t="inlineStr">
        <is>
          <t>Yamango</t>
        </is>
      </c>
      <c r="E154" s="8" t="inlineStr">
        <is>
          <t>M28B2</t>
        </is>
      </c>
      <c r="F154" s="8" t="n">
        <v>1</v>
      </c>
      <c r="G154" s="8" t="inlineStr">
        <is>
          <t>Rural</t>
        </is>
      </c>
      <c r="H154" s="36" t="n">
        <v>121</v>
      </c>
      <c r="I154" s="36" t="n">
        <v>60</v>
      </c>
      <c r="J154" s="36" t="n">
        <v>61</v>
      </c>
      <c r="K154" s="36" t="n">
        <v>16</v>
      </c>
      <c r="L154" s="36" t="n">
        <v>36</v>
      </c>
      <c r="M154" s="32" t="n">
        <v>636461.8</v>
      </c>
      <c r="N154" s="32" t="n">
        <v>9426124.02</v>
      </c>
      <c r="O154" s="8" t="inlineStr">
        <is>
          <t>OK</t>
        </is>
      </c>
      <c r="P154" s="8" t="inlineStr"/>
    </row>
    <row r="155">
      <c r="A155" s="6" t="inlineStr">
        <is>
          <t>2004100003</t>
        </is>
      </c>
      <c r="B155" s="6" t="inlineStr">
        <is>
          <t>Las Huacas</t>
        </is>
      </c>
      <c r="C155" s="6" t="inlineStr">
        <is>
          <t>Morropón</t>
        </is>
      </c>
      <c r="D155" s="6" t="inlineStr">
        <is>
          <t>Yamango</t>
        </is>
      </c>
      <c r="E155" s="6" t="inlineStr">
        <is>
          <t>49, 55</t>
        </is>
      </c>
      <c r="F155" s="6" t="n">
        <v>2</v>
      </c>
      <c r="G155" s="6" t="inlineStr">
        <is>
          <t>Rural</t>
        </is>
      </c>
      <c r="H155" s="35" t="n">
        <v>84</v>
      </c>
      <c r="I155" s="35" t="n">
        <v>43</v>
      </c>
      <c r="J155" s="35" t="n">
        <v>41</v>
      </c>
      <c r="K155" s="35" t="n">
        <v>15</v>
      </c>
      <c r="L155" s="35" t="n">
        <v>27</v>
      </c>
      <c r="M155" s="30" t="n">
        <v>643033</v>
      </c>
      <c r="N155" s="30" t="n">
        <v>9438448.939999999</v>
      </c>
      <c r="O155" s="6" t="inlineStr">
        <is>
          <t>OK</t>
        </is>
      </c>
      <c r="P155" s="6" t="inlineStr"/>
    </row>
    <row r="156">
      <c r="A156" s="8" t="inlineStr">
        <is>
          <t>2004100049</t>
        </is>
      </c>
      <c r="B156" s="8" t="inlineStr">
        <is>
          <t>Mambluque</t>
        </is>
      </c>
      <c r="C156" s="8" t="inlineStr">
        <is>
          <t>Morropón</t>
        </is>
      </c>
      <c r="D156" s="8" t="inlineStr">
        <is>
          <t>Yamango</t>
        </is>
      </c>
      <c r="E156" s="8" t="inlineStr">
        <is>
          <t>M28B4</t>
        </is>
      </c>
      <c r="F156" s="8" t="n">
        <v>1</v>
      </c>
      <c r="G156" s="8" t="inlineStr">
        <is>
          <t>Rural</t>
        </is>
      </c>
      <c r="H156" s="36" t="n">
        <v>121</v>
      </c>
      <c r="I156" s="36" t="n">
        <v>64</v>
      </c>
      <c r="J156" s="36" t="n">
        <v>57</v>
      </c>
      <c r="K156" s="36" t="n">
        <v>23</v>
      </c>
      <c r="L156" s="36" t="n">
        <v>50</v>
      </c>
      <c r="M156" s="32" t="n">
        <v>625547.0699999999</v>
      </c>
      <c r="N156" s="32" t="n">
        <v>9426453.6</v>
      </c>
      <c r="O156" s="8" t="inlineStr">
        <is>
          <t>OK</t>
        </is>
      </c>
      <c r="P156" s="8" t="inlineStr"/>
    </row>
    <row r="157">
      <c r="A157" s="6" t="inlineStr">
        <is>
          <t>2004100002</t>
        </is>
      </c>
      <c r="B157" s="6" t="inlineStr">
        <is>
          <t>Miraflores</t>
        </is>
      </c>
      <c r="C157" s="6" t="inlineStr">
        <is>
          <t>Morropón</t>
        </is>
      </c>
      <c r="D157" s="6" t="inlineStr">
        <is>
          <t>Yamango</t>
        </is>
      </c>
      <c r="E157" s="6" t="inlineStr">
        <is>
          <t>52</t>
        </is>
      </c>
      <c r="F157" s="6" t="n">
        <v>1</v>
      </c>
      <c r="G157" s="6" t="inlineStr">
        <is>
          <t>Rural</t>
        </is>
      </c>
      <c r="H157" s="35" t="n">
        <v>43</v>
      </c>
      <c r="I157" s="35" t="n">
        <v>21</v>
      </c>
      <c r="J157" s="35" t="n">
        <v>22</v>
      </c>
      <c r="K157" s="35" t="n">
        <v>7</v>
      </c>
      <c r="L157" s="35" t="n">
        <v>13</v>
      </c>
      <c r="M157" s="30" t="n">
        <v>640794.17</v>
      </c>
      <c r="N157" s="30" t="n">
        <v>9437778.18</v>
      </c>
      <c r="O157" s="6" t="inlineStr">
        <is>
          <t>OK</t>
        </is>
      </c>
      <c r="P157" s="6" t="inlineStr"/>
    </row>
    <row r="158">
      <c r="A158" s="8" t="inlineStr">
        <is>
          <t>2004100036</t>
        </is>
      </c>
      <c r="B158" s="8" t="inlineStr">
        <is>
          <t>Nueva Esperanza</t>
        </is>
      </c>
      <c r="C158" s="8" t="inlineStr">
        <is>
          <t>Morropón</t>
        </is>
      </c>
      <c r="D158" s="8" t="inlineStr">
        <is>
          <t>Yamango</t>
        </is>
      </c>
      <c r="E158" s="8" t="inlineStr">
        <is>
          <t>M28B4</t>
        </is>
      </c>
      <c r="F158" s="8" t="n">
        <v>1</v>
      </c>
      <c r="G158" s="8" t="inlineStr">
        <is>
          <t>Rural</t>
        </is>
      </c>
      <c r="H158" s="36" t="n">
        <v>263</v>
      </c>
      <c r="I158" s="36" t="n">
        <v>130</v>
      </c>
      <c r="J158" s="36" t="n">
        <v>133</v>
      </c>
      <c r="K158" s="36" t="n">
        <v>51</v>
      </c>
      <c r="L158" s="36" t="n">
        <v>88</v>
      </c>
      <c r="M158" s="32" t="n">
        <v>624543.76</v>
      </c>
      <c r="N158" s="32" t="n">
        <v>9428023.5</v>
      </c>
      <c r="O158" s="8" t="inlineStr">
        <is>
          <t>OK</t>
        </is>
      </c>
      <c r="P158" s="8" t="inlineStr"/>
    </row>
    <row r="159">
      <c r="A159" s="6" t="inlineStr">
        <is>
          <t>2004100046</t>
        </is>
      </c>
      <c r="B159" s="6" t="inlineStr">
        <is>
          <t>Ricardo Palma</t>
        </is>
      </c>
      <c r="C159" s="6" t="inlineStr">
        <is>
          <t>Morropón</t>
        </is>
      </c>
      <c r="D159" s="6" t="inlineStr">
        <is>
          <t>Yamango</t>
        </is>
      </c>
      <c r="E159" s="6" t="inlineStr">
        <is>
          <t>M28B3</t>
        </is>
      </c>
      <c r="F159" s="6" t="n">
        <v>1</v>
      </c>
      <c r="G159" s="6" t="inlineStr">
        <is>
          <t>Rural</t>
        </is>
      </c>
      <c r="H159" s="35" t="n">
        <v>74</v>
      </c>
      <c r="I159" s="35" t="n">
        <v>45</v>
      </c>
      <c r="J159" s="35" t="n">
        <v>29</v>
      </c>
      <c r="K159" s="35" t="n">
        <v>11</v>
      </c>
      <c r="L159" s="35" t="n">
        <v>20</v>
      </c>
      <c r="M159" s="30" t="n">
        <v>634159.2</v>
      </c>
      <c r="N159" s="30" t="n">
        <v>9426249.710000001</v>
      </c>
      <c r="O159" s="6" t="inlineStr">
        <is>
          <t>OK</t>
        </is>
      </c>
      <c r="P159" s="6" t="inlineStr"/>
    </row>
    <row r="160">
      <c r="A160" s="8" t="inlineStr">
        <is>
          <t>2004100039</t>
        </is>
      </c>
      <c r="B160" s="8" t="inlineStr">
        <is>
          <t>Victor Raul (el Checo)</t>
        </is>
      </c>
      <c r="C160" s="8" t="inlineStr">
        <is>
          <t>Morropón</t>
        </is>
      </c>
      <c r="D160" s="8" t="inlineStr">
        <is>
          <t>Yamango</t>
        </is>
      </c>
      <c r="E160" s="8" t="inlineStr">
        <is>
          <t>M28B2</t>
        </is>
      </c>
      <c r="F160" s="8" t="n">
        <v>1</v>
      </c>
      <c r="G160" s="8" t="inlineStr">
        <is>
          <t>Rural</t>
        </is>
      </c>
      <c r="H160" s="36" t="n">
        <v>114</v>
      </c>
      <c r="I160" s="36" t="n">
        <v>59</v>
      </c>
      <c r="J160" s="36" t="n">
        <v>55</v>
      </c>
      <c r="K160" s="36" t="n">
        <v>22</v>
      </c>
      <c r="L160" s="36" t="n">
        <v>39</v>
      </c>
      <c r="M160" s="32" t="n">
        <v>635424.03</v>
      </c>
      <c r="N160" s="32" t="n">
        <v>9426188.5</v>
      </c>
      <c r="O160" s="8" t="inlineStr">
        <is>
          <t>OK</t>
        </is>
      </c>
      <c r="P160" s="8" t="inlineStr"/>
    </row>
    <row r="161">
      <c r="A161" s="17" t="inlineStr">
        <is>
          <t>TOTAL</t>
        </is>
      </c>
      <c r="B161" s="17" t="n"/>
      <c r="C161" s="17" t="n"/>
      <c r="D161" s="17" t="n"/>
      <c r="E161" s="17" t="n"/>
      <c r="F161" s="17" t="n"/>
      <c r="G161" s="17" t="n"/>
      <c r="H161" s="37">
        <f>SUM(H9:H160)</f>
        <v/>
      </c>
      <c r="I161" s="37">
        <f>SUM(I9:I160)</f>
        <v/>
      </c>
      <c r="J161" s="37">
        <f>SUM(J9:J160)</f>
        <v/>
      </c>
      <c r="K161" s="37">
        <f>SUM(K9:K160)</f>
        <v/>
      </c>
      <c r="L161" s="37">
        <f>SUM(L9:L160)</f>
        <v/>
      </c>
      <c r="M161" s="17" t="n"/>
      <c r="N161" s="17" t="n"/>
      <c r="O161" s="17" t="n"/>
      <c r="P161" s="17" t="n"/>
    </row>
    <row r="163" ht="26" customHeight="1">
      <c r="A163" s="28" t="inlineStr">
        <is>
          <t>Cada centro poblado figura una sola vez aunque esté asociado a varios bloques. La población es la censal del centro poblado (no la residente dentro del polígono del bloque). Los bloques 31, 50, M6B2-1, M17B10, M30B5 no tienen centros poblados asociados en la fuente: [POR DEFINIR]. Año censal de referencia de la capa INEI: [POR DEFINIR] (confirmar con el especialista social).</t>
        </is>
      </c>
    </row>
  </sheetData>
  <autoFilter ref="A8:P160"/>
  <mergeCells count="7">
    <mergeCell ref="A5:P5"/>
    <mergeCell ref="A1:P1"/>
    <mergeCell ref="A6:P6"/>
    <mergeCell ref="A4:P4"/>
    <mergeCell ref="A163:P163"/>
    <mergeCell ref="A3:P3"/>
    <mergeCell ref="A2:P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A3. POBLACIÓN DE LOS CENTROS POBLADOS ASOCIADOS A LOS BLOQUES V6, POR DISTRITO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INEI, capa de centros poblados con población censal; asociación centro poblado–bloque del equipo social (CentrosPoblados-INEI-Bloques_v5, 24.09.2026, y bloques adicionales 83-87)</t>
        </is>
      </c>
    </row>
    <row r="8" ht="30" customHeight="1">
      <c r="A8" s="4" t="inlineStr">
        <is>
          <t>Provincia</t>
        </is>
      </c>
      <c r="B8" s="4" t="inlineStr">
        <is>
          <t>Distrito</t>
        </is>
      </c>
      <c r="C8" s="4" t="inlineStr">
        <is>
          <t>N.° CCPP</t>
        </is>
      </c>
      <c r="D8" s="4" t="inlineStr">
        <is>
          <t>Población total</t>
        </is>
      </c>
      <c r="E8" s="4" t="inlineStr">
        <is>
          <t>Hombres</t>
        </is>
      </c>
      <c r="F8" s="4" t="inlineStr">
        <is>
          <t>Mujeres</t>
        </is>
      </c>
      <c r="G8" s="4" t="inlineStr">
        <is>
          <t>Población vulnerable</t>
        </is>
      </c>
      <c r="H8" s="4" t="inlineStr">
        <is>
          <t>Viviendas particulares</t>
        </is>
      </c>
      <c r="I8" s="4" t="inlineStr">
        <is>
          <t>% de la población</t>
        </is>
      </c>
    </row>
    <row r="9">
      <c r="A9" s="6" t="inlineStr">
        <is>
          <t>Ayabaca</t>
        </is>
      </c>
      <c r="B9" s="6" t="inlineStr">
        <is>
          <t>Frías</t>
        </is>
      </c>
      <c r="C9" s="10">
        <f>COUNTIFS('A3_Poblacion_CCPP'!$D$9:$D$160,B9)</f>
        <v/>
      </c>
      <c r="D9" s="35">
        <f>SUMIFS('A3_Poblacion_CCPP'!$H$9:$H$160,'A3_Poblacion_CCPP'!$D$9:$D$160,B9)</f>
        <v/>
      </c>
      <c r="E9" s="35">
        <f>SUMIFS('A3_Poblacion_CCPP'!$I$9:$I$160,'A3_Poblacion_CCPP'!$D$9:$D$160,B9)</f>
        <v/>
      </c>
      <c r="F9" s="35">
        <f>SUMIFS('A3_Poblacion_CCPP'!$J$9:$J$160,'A3_Poblacion_CCPP'!$D$9:$D$160,B9)</f>
        <v/>
      </c>
      <c r="G9" s="35">
        <f>SUMIFS('A3_Poblacion_CCPP'!$K$9:$K$160,'A3_Poblacion_CCPP'!$D$9:$D$160,B9)</f>
        <v/>
      </c>
      <c r="H9" s="35">
        <f>SUMIFS('A3_Poblacion_CCPP'!$L$9:$L$160,'A3_Poblacion_CCPP'!$D$9:$D$160,B9)</f>
        <v/>
      </c>
      <c r="I9" s="12">
        <f>D9/$D$24</f>
        <v/>
      </c>
    </row>
    <row r="10">
      <c r="A10" s="8" t="inlineStr">
        <is>
          <t>Huancabamba</t>
        </is>
      </c>
      <c r="B10" s="8" t="inlineStr">
        <is>
          <t>Canchaque</t>
        </is>
      </c>
      <c r="C10" s="14">
        <f>COUNTIFS('A3_Poblacion_CCPP'!$D$9:$D$160,B10)</f>
        <v/>
      </c>
      <c r="D10" s="36">
        <f>SUMIFS('A3_Poblacion_CCPP'!$H$9:$H$160,'A3_Poblacion_CCPP'!$D$9:$D$160,B10)</f>
        <v/>
      </c>
      <c r="E10" s="36">
        <f>SUMIFS('A3_Poblacion_CCPP'!$I$9:$I$160,'A3_Poblacion_CCPP'!$D$9:$D$160,B10)</f>
        <v/>
      </c>
      <c r="F10" s="36">
        <f>SUMIFS('A3_Poblacion_CCPP'!$J$9:$J$160,'A3_Poblacion_CCPP'!$D$9:$D$160,B10)</f>
        <v/>
      </c>
      <c r="G10" s="36">
        <f>SUMIFS('A3_Poblacion_CCPP'!$K$9:$K$160,'A3_Poblacion_CCPP'!$D$9:$D$160,B10)</f>
        <v/>
      </c>
      <c r="H10" s="36">
        <f>SUMIFS('A3_Poblacion_CCPP'!$L$9:$L$160,'A3_Poblacion_CCPP'!$D$9:$D$160,B10)</f>
        <v/>
      </c>
      <c r="I10" s="16">
        <f>D10/$D$24</f>
        <v/>
      </c>
    </row>
    <row r="11">
      <c r="A11" s="6" t="inlineStr">
        <is>
          <t>Huancabamba</t>
        </is>
      </c>
      <c r="B11" s="6" t="inlineStr">
        <is>
          <t>Huancabamba</t>
        </is>
      </c>
      <c r="C11" s="10">
        <f>COUNTIFS('A3_Poblacion_CCPP'!$D$9:$D$160,B11)</f>
        <v/>
      </c>
      <c r="D11" s="35">
        <f>SUMIFS('A3_Poblacion_CCPP'!$H$9:$H$160,'A3_Poblacion_CCPP'!$D$9:$D$160,B11)</f>
        <v/>
      </c>
      <c r="E11" s="35">
        <f>SUMIFS('A3_Poblacion_CCPP'!$I$9:$I$160,'A3_Poblacion_CCPP'!$D$9:$D$160,B11)</f>
        <v/>
      </c>
      <c r="F11" s="35">
        <f>SUMIFS('A3_Poblacion_CCPP'!$J$9:$J$160,'A3_Poblacion_CCPP'!$D$9:$D$160,B11)</f>
        <v/>
      </c>
      <c r="G11" s="35">
        <f>SUMIFS('A3_Poblacion_CCPP'!$K$9:$K$160,'A3_Poblacion_CCPP'!$D$9:$D$160,B11)</f>
        <v/>
      </c>
      <c r="H11" s="35">
        <f>SUMIFS('A3_Poblacion_CCPP'!$L$9:$L$160,'A3_Poblacion_CCPP'!$D$9:$D$160,B11)</f>
        <v/>
      </c>
      <c r="I11" s="12">
        <f>D11/$D$24</f>
        <v/>
      </c>
    </row>
    <row r="12">
      <c r="A12" s="8" t="inlineStr">
        <is>
          <t>Huancabamba</t>
        </is>
      </c>
      <c r="B12" s="8" t="inlineStr">
        <is>
          <t>Huarmaca</t>
        </is>
      </c>
      <c r="C12" s="14">
        <f>COUNTIFS('A3_Poblacion_CCPP'!$D$9:$D$160,B12)</f>
        <v/>
      </c>
      <c r="D12" s="36">
        <f>SUMIFS('A3_Poblacion_CCPP'!$H$9:$H$160,'A3_Poblacion_CCPP'!$D$9:$D$160,B12)</f>
        <v/>
      </c>
      <c r="E12" s="36">
        <f>SUMIFS('A3_Poblacion_CCPP'!$I$9:$I$160,'A3_Poblacion_CCPP'!$D$9:$D$160,B12)</f>
        <v/>
      </c>
      <c r="F12" s="36">
        <f>SUMIFS('A3_Poblacion_CCPP'!$J$9:$J$160,'A3_Poblacion_CCPP'!$D$9:$D$160,B12)</f>
        <v/>
      </c>
      <c r="G12" s="36">
        <f>SUMIFS('A3_Poblacion_CCPP'!$K$9:$K$160,'A3_Poblacion_CCPP'!$D$9:$D$160,B12)</f>
        <v/>
      </c>
      <c r="H12" s="36">
        <f>SUMIFS('A3_Poblacion_CCPP'!$L$9:$L$160,'A3_Poblacion_CCPP'!$D$9:$D$160,B12)</f>
        <v/>
      </c>
      <c r="I12" s="16">
        <f>D12/$D$24</f>
        <v/>
      </c>
    </row>
    <row r="13">
      <c r="A13" s="6" t="inlineStr">
        <is>
          <t>Huancabamba</t>
        </is>
      </c>
      <c r="B13" s="6" t="inlineStr">
        <is>
          <t>Lalaquiz</t>
        </is>
      </c>
      <c r="C13" s="10">
        <f>COUNTIFS('A3_Poblacion_CCPP'!$D$9:$D$160,B13)</f>
        <v/>
      </c>
      <c r="D13" s="35">
        <f>SUMIFS('A3_Poblacion_CCPP'!$H$9:$H$160,'A3_Poblacion_CCPP'!$D$9:$D$160,B13)</f>
        <v/>
      </c>
      <c r="E13" s="35">
        <f>SUMIFS('A3_Poblacion_CCPP'!$I$9:$I$160,'A3_Poblacion_CCPP'!$D$9:$D$160,B13)</f>
        <v/>
      </c>
      <c r="F13" s="35">
        <f>SUMIFS('A3_Poblacion_CCPP'!$J$9:$J$160,'A3_Poblacion_CCPP'!$D$9:$D$160,B13)</f>
        <v/>
      </c>
      <c r="G13" s="35">
        <f>SUMIFS('A3_Poblacion_CCPP'!$K$9:$K$160,'A3_Poblacion_CCPP'!$D$9:$D$160,B13)</f>
        <v/>
      </c>
      <c r="H13" s="35">
        <f>SUMIFS('A3_Poblacion_CCPP'!$L$9:$L$160,'A3_Poblacion_CCPP'!$D$9:$D$160,B13)</f>
        <v/>
      </c>
      <c r="I13" s="12">
        <f>D13/$D$24</f>
        <v/>
      </c>
    </row>
    <row r="14">
      <c r="A14" s="8" t="inlineStr">
        <is>
          <t>Huancabamba</t>
        </is>
      </c>
      <c r="B14" s="8" t="inlineStr">
        <is>
          <t>San Miguel de El Faique</t>
        </is>
      </c>
      <c r="C14" s="14">
        <f>COUNTIFS('A3_Poblacion_CCPP'!$D$9:$D$160,B14)</f>
        <v/>
      </c>
      <c r="D14" s="36">
        <f>SUMIFS('A3_Poblacion_CCPP'!$H$9:$H$160,'A3_Poblacion_CCPP'!$D$9:$D$160,B14)</f>
        <v/>
      </c>
      <c r="E14" s="36">
        <f>SUMIFS('A3_Poblacion_CCPP'!$I$9:$I$160,'A3_Poblacion_CCPP'!$D$9:$D$160,B14)</f>
        <v/>
      </c>
      <c r="F14" s="36">
        <f>SUMIFS('A3_Poblacion_CCPP'!$J$9:$J$160,'A3_Poblacion_CCPP'!$D$9:$D$160,B14)</f>
        <v/>
      </c>
      <c r="G14" s="36">
        <f>SUMIFS('A3_Poblacion_CCPP'!$K$9:$K$160,'A3_Poblacion_CCPP'!$D$9:$D$160,B14)</f>
        <v/>
      </c>
      <c r="H14" s="36">
        <f>SUMIFS('A3_Poblacion_CCPP'!$L$9:$L$160,'A3_Poblacion_CCPP'!$D$9:$D$160,B14)</f>
        <v/>
      </c>
      <c r="I14" s="16">
        <f>D14/$D$24</f>
        <v/>
      </c>
    </row>
    <row r="15">
      <c r="A15" s="6" t="inlineStr">
        <is>
          <t>Morropón</t>
        </is>
      </c>
      <c r="B15" s="6" t="inlineStr">
        <is>
          <t>Buenos Aires</t>
        </is>
      </c>
      <c r="C15" s="10">
        <f>COUNTIFS('A3_Poblacion_CCPP'!$D$9:$D$160,B15)</f>
        <v/>
      </c>
      <c r="D15" s="35">
        <f>SUMIFS('A3_Poblacion_CCPP'!$H$9:$H$160,'A3_Poblacion_CCPP'!$D$9:$D$160,B15)</f>
        <v/>
      </c>
      <c r="E15" s="35">
        <f>SUMIFS('A3_Poblacion_CCPP'!$I$9:$I$160,'A3_Poblacion_CCPP'!$D$9:$D$160,B15)</f>
        <v/>
      </c>
      <c r="F15" s="35">
        <f>SUMIFS('A3_Poblacion_CCPP'!$J$9:$J$160,'A3_Poblacion_CCPP'!$D$9:$D$160,B15)</f>
        <v/>
      </c>
      <c r="G15" s="35">
        <f>SUMIFS('A3_Poblacion_CCPP'!$K$9:$K$160,'A3_Poblacion_CCPP'!$D$9:$D$160,B15)</f>
        <v/>
      </c>
      <c r="H15" s="35">
        <f>SUMIFS('A3_Poblacion_CCPP'!$L$9:$L$160,'A3_Poblacion_CCPP'!$D$9:$D$160,B15)</f>
        <v/>
      </c>
      <c r="I15" s="12">
        <f>D15/$D$24</f>
        <v/>
      </c>
    </row>
    <row r="16">
      <c r="A16" s="8" t="inlineStr">
        <is>
          <t>Morropón</t>
        </is>
      </c>
      <c r="B16" s="8" t="inlineStr">
        <is>
          <t>Chalaco</t>
        </is>
      </c>
      <c r="C16" s="14">
        <f>COUNTIFS('A3_Poblacion_CCPP'!$D$9:$D$160,B16)</f>
        <v/>
      </c>
      <c r="D16" s="36">
        <f>SUMIFS('A3_Poblacion_CCPP'!$H$9:$H$160,'A3_Poblacion_CCPP'!$D$9:$D$160,B16)</f>
        <v/>
      </c>
      <c r="E16" s="36">
        <f>SUMIFS('A3_Poblacion_CCPP'!$I$9:$I$160,'A3_Poblacion_CCPP'!$D$9:$D$160,B16)</f>
        <v/>
      </c>
      <c r="F16" s="36">
        <f>SUMIFS('A3_Poblacion_CCPP'!$J$9:$J$160,'A3_Poblacion_CCPP'!$D$9:$D$160,B16)</f>
        <v/>
      </c>
      <c r="G16" s="36">
        <f>SUMIFS('A3_Poblacion_CCPP'!$K$9:$K$160,'A3_Poblacion_CCPP'!$D$9:$D$160,B16)</f>
        <v/>
      </c>
      <c r="H16" s="36">
        <f>SUMIFS('A3_Poblacion_CCPP'!$L$9:$L$160,'A3_Poblacion_CCPP'!$D$9:$D$160,B16)</f>
        <v/>
      </c>
      <c r="I16" s="16">
        <f>D16/$D$24</f>
        <v/>
      </c>
    </row>
    <row r="17">
      <c r="A17" s="6" t="inlineStr">
        <is>
          <t>Morropón</t>
        </is>
      </c>
      <c r="B17" s="6" t="inlineStr">
        <is>
          <t>Chulucanas</t>
        </is>
      </c>
      <c r="C17" s="10">
        <f>COUNTIFS('A3_Poblacion_CCPP'!$D$9:$D$160,B17)</f>
        <v/>
      </c>
      <c r="D17" s="35">
        <f>SUMIFS('A3_Poblacion_CCPP'!$H$9:$H$160,'A3_Poblacion_CCPP'!$D$9:$D$160,B17)</f>
        <v/>
      </c>
      <c r="E17" s="35">
        <f>SUMIFS('A3_Poblacion_CCPP'!$I$9:$I$160,'A3_Poblacion_CCPP'!$D$9:$D$160,B17)</f>
        <v/>
      </c>
      <c r="F17" s="35">
        <f>SUMIFS('A3_Poblacion_CCPP'!$J$9:$J$160,'A3_Poblacion_CCPP'!$D$9:$D$160,B17)</f>
        <v/>
      </c>
      <c r="G17" s="35">
        <f>SUMIFS('A3_Poblacion_CCPP'!$K$9:$K$160,'A3_Poblacion_CCPP'!$D$9:$D$160,B17)</f>
        <v/>
      </c>
      <c r="H17" s="35">
        <f>SUMIFS('A3_Poblacion_CCPP'!$L$9:$L$160,'A3_Poblacion_CCPP'!$D$9:$D$160,B17)</f>
        <v/>
      </c>
      <c r="I17" s="12">
        <f>D17/$D$24</f>
        <v/>
      </c>
    </row>
    <row r="18">
      <c r="A18" s="8" t="inlineStr">
        <is>
          <t>Morropón</t>
        </is>
      </c>
      <c r="B18" s="8" t="inlineStr">
        <is>
          <t>Morropón</t>
        </is>
      </c>
      <c r="C18" s="14">
        <f>COUNTIFS('A3_Poblacion_CCPP'!$D$9:$D$160,B18)</f>
        <v/>
      </c>
      <c r="D18" s="36">
        <f>SUMIFS('A3_Poblacion_CCPP'!$H$9:$H$160,'A3_Poblacion_CCPP'!$D$9:$D$160,B18)</f>
        <v/>
      </c>
      <c r="E18" s="36">
        <f>SUMIFS('A3_Poblacion_CCPP'!$I$9:$I$160,'A3_Poblacion_CCPP'!$D$9:$D$160,B18)</f>
        <v/>
      </c>
      <c r="F18" s="36">
        <f>SUMIFS('A3_Poblacion_CCPP'!$J$9:$J$160,'A3_Poblacion_CCPP'!$D$9:$D$160,B18)</f>
        <v/>
      </c>
      <c r="G18" s="36">
        <f>SUMIFS('A3_Poblacion_CCPP'!$K$9:$K$160,'A3_Poblacion_CCPP'!$D$9:$D$160,B18)</f>
        <v/>
      </c>
      <c r="H18" s="36">
        <f>SUMIFS('A3_Poblacion_CCPP'!$L$9:$L$160,'A3_Poblacion_CCPP'!$D$9:$D$160,B18)</f>
        <v/>
      </c>
      <c r="I18" s="16">
        <f>D18/$D$24</f>
        <v/>
      </c>
    </row>
    <row r="19">
      <c r="A19" s="6" t="inlineStr">
        <is>
          <t>Morropón</t>
        </is>
      </c>
      <c r="B19" s="6" t="inlineStr">
        <is>
          <t>Salitral</t>
        </is>
      </c>
      <c r="C19" s="10">
        <f>COUNTIFS('A3_Poblacion_CCPP'!$D$9:$D$160,B19)</f>
        <v/>
      </c>
      <c r="D19" s="35">
        <f>SUMIFS('A3_Poblacion_CCPP'!$H$9:$H$160,'A3_Poblacion_CCPP'!$D$9:$D$160,B19)</f>
        <v/>
      </c>
      <c r="E19" s="35">
        <f>SUMIFS('A3_Poblacion_CCPP'!$I$9:$I$160,'A3_Poblacion_CCPP'!$D$9:$D$160,B19)</f>
        <v/>
      </c>
      <c r="F19" s="35">
        <f>SUMIFS('A3_Poblacion_CCPP'!$J$9:$J$160,'A3_Poblacion_CCPP'!$D$9:$D$160,B19)</f>
        <v/>
      </c>
      <c r="G19" s="35">
        <f>SUMIFS('A3_Poblacion_CCPP'!$K$9:$K$160,'A3_Poblacion_CCPP'!$D$9:$D$160,B19)</f>
        <v/>
      </c>
      <c r="H19" s="35">
        <f>SUMIFS('A3_Poblacion_CCPP'!$L$9:$L$160,'A3_Poblacion_CCPP'!$D$9:$D$160,B19)</f>
        <v/>
      </c>
      <c r="I19" s="12">
        <f>D19/$D$24</f>
        <v/>
      </c>
    </row>
    <row r="20">
      <c r="A20" s="8" t="inlineStr">
        <is>
          <t>Morropón</t>
        </is>
      </c>
      <c r="B20" s="8" t="inlineStr">
        <is>
          <t>San Juan de Bigote</t>
        </is>
      </c>
      <c r="C20" s="14">
        <f>COUNTIFS('A3_Poblacion_CCPP'!$D$9:$D$160,B20)</f>
        <v/>
      </c>
      <c r="D20" s="36">
        <f>SUMIFS('A3_Poblacion_CCPP'!$H$9:$H$160,'A3_Poblacion_CCPP'!$D$9:$D$160,B20)</f>
        <v/>
      </c>
      <c r="E20" s="36">
        <f>SUMIFS('A3_Poblacion_CCPP'!$I$9:$I$160,'A3_Poblacion_CCPP'!$D$9:$D$160,B20)</f>
        <v/>
      </c>
      <c r="F20" s="36">
        <f>SUMIFS('A3_Poblacion_CCPP'!$J$9:$J$160,'A3_Poblacion_CCPP'!$D$9:$D$160,B20)</f>
        <v/>
      </c>
      <c r="G20" s="36">
        <f>SUMIFS('A3_Poblacion_CCPP'!$K$9:$K$160,'A3_Poblacion_CCPP'!$D$9:$D$160,B20)</f>
        <v/>
      </c>
      <c r="H20" s="36">
        <f>SUMIFS('A3_Poblacion_CCPP'!$L$9:$L$160,'A3_Poblacion_CCPP'!$D$9:$D$160,B20)</f>
        <v/>
      </c>
      <c r="I20" s="16">
        <f>D20/$D$24</f>
        <v/>
      </c>
    </row>
    <row r="21">
      <c r="A21" s="6" t="inlineStr">
        <is>
          <t>Morropón</t>
        </is>
      </c>
      <c r="B21" s="6" t="inlineStr">
        <is>
          <t>Santa Catalina de Mossa</t>
        </is>
      </c>
      <c r="C21" s="10">
        <f>COUNTIFS('A3_Poblacion_CCPP'!$D$9:$D$160,B21)</f>
        <v/>
      </c>
      <c r="D21" s="35">
        <f>SUMIFS('A3_Poblacion_CCPP'!$H$9:$H$160,'A3_Poblacion_CCPP'!$D$9:$D$160,B21)</f>
        <v/>
      </c>
      <c r="E21" s="35">
        <f>SUMIFS('A3_Poblacion_CCPP'!$I$9:$I$160,'A3_Poblacion_CCPP'!$D$9:$D$160,B21)</f>
        <v/>
      </c>
      <c r="F21" s="35">
        <f>SUMIFS('A3_Poblacion_CCPP'!$J$9:$J$160,'A3_Poblacion_CCPP'!$D$9:$D$160,B21)</f>
        <v/>
      </c>
      <c r="G21" s="35">
        <f>SUMIFS('A3_Poblacion_CCPP'!$K$9:$K$160,'A3_Poblacion_CCPP'!$D$9:$D$160,B21)</f>
        <v/>
      </c>
      <c r="H21" s="35">
        <f>SUMIFS('A3_Poblacion_CCPP'!$L$9:$L$160,'A3_Poblacion_CCPP'!$D$9:$D$160,B21)</f>
        <v/>
      </c>
      <c r="I21" s="12">
        <f>D21/$D$24</f>
        <v/>
      </c>
    </row>
    <row r="22">
      <c r="A22" s="8" t="inlineStr">
        <is>
          <t>Morropón</t>
        </is>
      </c>
      <c r="B22" s="8" t="inlineStr">
        <is>
          <t>Santo Domingo</t>
        </is>
      </c>
      <c r="C22" s="14">
        <f>COUNTIFS('A3_Poblacion_CCPP'!$D$9:$D$160,B22)</f>
        <v/>
      </c>
      <c r="D22" s="36">
        <f>SUMIFS('A3_Poblacion_CCPP'!$H$9:$H$160,'A3_Poblacion_CCPP'!$D$9:$D$160,B22)</f>
        <v/>
      </c>
      <c r="E22" s="36">
        <f>SUMIFS('A3_Poblacion_CCPP'!$I$9:$I$160,'A3_Poblacion_CCPP'!$D$9:$D$160,B22)</f>
        <v/>
      </c>
      <c r="F22" s="36">
        <f>SUMIFS('A3_Poblacion_CCPP'!$J$9:$J$160,'A3_Poblacion_CCPP'!$D$9:$D$160,B22)</f>
        <v/>
      </c>
      <c r="G22" s="36">
        <f>SUMIFS('A3_Poblacion_CCPP'!$K$9:$K$160,'A3_Poblacion_CCPP'!$D$9:$D$160,B22)</f>
        <v/>
      </c>
      <c r="H22" s="36">
        <f>SUMIFS('A3_Poblacion_CCPP'!$L$9:$L$160,'A3_Poblacion_CCPP'!$D$9:$D$160,B22)</f>
        <v/>
      </c>
      <c r="I22" s="16">
        <f>D22/$D$24</f>
        <v/>
      </c>
    </row>
    <row r="23">
      <c r="A23" s="6" t="inlineStr">
        <is>
          <t>Morropón</t>
        </is>
      </c>
      <c r="B23" s="6" t="inlineStr">
        <is>
          <t>Yamango</t>
        </is>
      </c>
      <c r="C23" s="10">
        <f>COUNTIFS('A3_Poblacion_CCPP'!$D$9:$D$160,B23)</f>
        <v/>
      </c>
      <c r="D23" s="35">
        <f>SUMIFS('A3_Poblacion_CCPP'!$H$9:$H$160,'A3_Poblacion_CCPP'!$D$9:$D$160,B23)</f>
        <v/>
      </c>
      <c r="E23" s="35">
        <f>SUMIFS('A3_Poblacion_CCPP'!$I$9:$I$160,'A3_Poblacion_CCPP'!$D$9:$D$160,B23)</f>
        <v/>
      </c>
      <c r="F23" s="35">
        <f>SUMIFS('A3_Poblacion_CCPP'!$J$9:$J$160,'A3_Poblacion_CCPP'!$D$9:$D$160,B23)</f>
        <v/>
      </c>
      <c r="G23" s="35">
        <f>SUMIFS('A3_Poblacion_CCPP'!$K$9:$K$160,'A3_Poblacion_CCPP'!$D$9:$D$160,B23)</f>
        <v/>
      </c>
      <c r="H23" s="35">
        <f>SUMIFS('A3_Poblacion_CCPP'!$L$9:$L$160,'A3_Poblacion_CCPP'!$D$9:$D$160,B23)</f>
        <v/>
      </c>
      <c r="I23" s="12">
        <f>D23/$D$24</f>
        <v/>
      </c>
    </row>
    <row r="24">
      <c r="A24" s="17" t="inlineStr">
        <is>
          <t>TOTAL</t>
        </is>
      </c>
      <c r="B24" s="18" t="inlineStr">
        <is>
          <t>15 distritos</t>
        </is>
      </c>
      <c r="C24" s="20">
        <f>SUM(C9:C23)</f>
        <v/>
      </c>
      <c r="D24" s="37">
        <f>SUM(D9:D23)</f>
        <v/>
      </c>
      <c r="E24" s="37">
        <f>SUM(E9:E23)</f>
        <v/>
      </c>
      <c r="F24" s="37">
        <f>SUM(F9:F23)</f>
        <v/>
      </c>
      <c r="G24" s="37">
        <f>SUM(G9:G23)</f>
        <v/>
      </c>
      <c r="H24" s="37">
        <f>SUM(H9:H23)</f>
        <v/>
      </c>
      <c r="I24" s="22">
        <f>SUM(I9:I23)</f>
        <v/>
      </c>
    </row>
    <row r="26">
      <c r="A26" s="23" t="inlineStr">
        <is>
          <t>Resumen por provincia</t>
        </is>
      </c>
    </row>
    <row r="27" ht="30" customHeight="1">
      <c r="A27" s="4" t="inlineStr">
        <is>
          <t>Provincia</t>
        </is>
      </c>
      <c r="B27" s="4" t="inlineStr">
        <is>
          <t>N.° CCPP</t>
        </is>
      </c>
      <c r="C27" s="4" t="inlineStr">
        <is>
          <t>Población total</t>
        </is>
      </c>
      <c r="D27" s="4" t="inlineStr">
        <is>
          <t>Hombres</t>
        </is>
      </c>
      <c r="E27" s="4" t="inlineStr">
        <is>
          <t>Mujeres</t>
        </is>
      </c>
      <c r="F27" s="4" t="inlineStr">
        <is>
          <t>Población vulnerable</t>
        </is>
      </c>
      <c r="G27" s="4" t="inlineStr">
        <is>
          <t>Viviendas particulares</t>
        </is>
      </c>
    </row>
    <row r="28">
      <c r="A28" s="6" t="inlineStr">
        <is>
          <t>Ayabaca</t>
        </is>
      </c>
      <c r="B28" s="10">
        <f>SUMIFS($C$9:$C$23,$A$9:$A$23,A28)</f>
        <v/>
      </c>
      <c r="C28" s="35">
        <f>SUMIFS($D$9:$D$23,$A$9:$A$23,A28)</f>
        <v/>
      </c>
      <c r="D28" s="35">
        <f>SUMIFS($E$9:$E$23,$A$9:$A$23,A28)</f>
        <v/>
      </c>
      <c r="E28" s="35">
        <f>SUMIFS($F$9:$F$23,$A$9:$A$23,A28)</f>
        <v/>
      </c>
      <c r="F28" s="35">
        <f>SUMIFS($G$9:$G$23,$A$9:$A$23,A28)</f>
        <v/>
      </c>
      <c r="G28" s="35">
        <f>SUMIFS($H$9:$H$23,$A$9:$A$23,A28)</f>
        <v/>
      </c>
    </row>
    <row r="29">
      <c r="A29" s="8" t="inlineStr">
        <is>
          <t>Huancabamba</t>
        </is>
      </c>
      <c r="B29" s="14">
        <f>SUMIFS($C$9:$C$23,$A$9:$A$23,A29)</f>
        <v/>
      </c>
      <c r="C29" s="36">
        <f>SUMIFS($D$9:$D$23,$A$9:$A$23,A29)</f>
        <v/>
      </c>
      <c r="D29" s="36">
        <f>SUMIFS($E$9:$E$23,$A$9:$A$23,A29)</f>
        <v/>
      </c>
      <c r="E29" s="36">
        <f>SUMIFS($F$9:$F$23,$A$9:$A$23,A29)</f>
        <v/>
      </c>
      <c r="F29" s="36">
        <f>SUMIFS($G$9:$G$23,$A$9:$A$23,A29)</f>
        <v/>
      </c>
      <c r="G29" s="36">
        <f>SUMIFS($H$9:$H$23,$A$9:$A$23,A29)</f>
        <v/>
      </c>
    </row>
    <row r="30">
      <c r="A30" s="6" t="inlineStr">
        <is>
          <t>Morropón</t>
        </is>
      </c>
      <c r="B30" s="10">
        <f>SUMIFS($C$9:$C$23,$A$9:$A$23,A30)</f>
        <v/>
      </c>
      <c r="C30" s="35">
        <f>SUMIFS($D$9:$D$23,$A$9:$A$23,A30)</f>
        <v/>
      </c>
      <c r="D30" s="35">
        <f>SUMIFS($E$9:$E$23,$A$9:$A$23,A30)</f>
        <v/>
      </c>
      <c r="E30" s="35">
        <f>SUMIFS($F$9:$F$23,$A$9:$A$23,A30)</f>
        <v/>
      </c>
      <c r="F30" s="35">
        <f>SUMIFS($G$9:$G$23,$A$9:$A$23,A30)</f>
        <v/>
      </c>
      <c r="G30" s="35">
        <f>SUMIFS($H$9:$H$23,$A$9:$A$23,A30)</f>
        <v/>
      </c>
    </row>
    <row r="31">
      <c r="A31" s="17" t="inlineStr">
        <is>
          <t>TOTAL</t>
        </is>
      </c>
      <c r="B31" s="20">
        <f>SUM(B28:B30)</f>
        <v/>
      </c>
      <c r="C31" s="37">
        <f>SUM(C28:C30)</f>
        <v/>
      </c>
      <c r="D31" s="37">
        <f>SUM(D28:D30)</f>
        <v/>
      </c>
      <c r="E31" s="37">
        <f>SUM(E28:E30)</f>
        <v/>
      </c>
      <c r="F31" s="37">
        <f>SUM(F28:F30)</f>
        <v/>
      </c>
      <c r="G31" s="37">
        <f>SUM(G28:G30)</f>
        <v/>
      </c>
    </row>
    <row r="33">
      <c r="A33" s="23" t="inlineStr">
        <is>
          <t>Controles</t>
        </is>
      </c>
    </row>
    <row r="34">
      <c r="A34" s="6" t="inlineStr">
        <is>
          <t>Población por distrito = A3_Poblacion_CCPP</t>
        </is>
      </c>
      <c r="B34" s="26" t="n"/>
      <c r="C34" s="27">
        <f>IF(D24=SUM('A3_Poblacion_CCPP'!$H$9:$H$160),"OK","REVISAR")</f>
        <v/>
      </c>
    </row>
    <row r="35">
      <c r="A35" s="6" t="inlineStr">
        <is>
          <t>Resumen provincial = distrital</t>
        </is>
      </c>
      <c r="B35" s="26" t="n"/>
      <c r="C35" s="27">
        <f>IF(C31=D24,"OK","REVISAR")</f>
        <v/>
      </c>
    </row>
    <row r="37" ht="39" customHeight="1">
      <c r="A37" s="28" t="inlineStr">
        <is>
          <t>El distrito es el del centro poblado (INEI), que puede diferir del distrito del bloque al que está asociado. Hombres, mujeres, población vulnerable y viviendas no incluyen los centros poblados de los bloques 83 a 87, cuya fuente solo trae la población total.</t>
        </is>
      </c>
    </row>
  </sheetData>
  <mergeCells count="11">
    <mergeCell ref="A2:I2"/>
    <mergeCell ref="A33:I33"/>
    <mergeCell ref="A5:I5"/>
    <mergeCell ref="A37:I37"/>
    <mergeCell ref="A1:I1"/>
    <mergeCell ref="A3:I3"/>
    <mergeCell ref="A6:I6"/>
    <mergeCell ref="A4:I4"/>
    <mergeCell ref="A26:I26"/>
    <mergeCell ref="A34:B34"/>
    <mergeCell ref="A35:B3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98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4" customWidth="1" min="4" max="4"/>
    <col width="19" customWidth="1" min="5" max="5"/>
    <col width="29" customWidth="1" min="6" max="6"/>
    <col width="22" customWidth="1" min="7" max="7"/>
    <col width="14" customWidth="1" min="8" max="8"/>
    <col width="22" customWidth="1" min="9" max="9"/>
    <col width="14" customWidth="1" min="10" max="10"/>
    <col width="34" customWidth="1" min="11" max="11"/>
    <col width="14" customWidth="1" min="12" max="12"/>
    <col width="23" customWidth="1" min="13" max="13"/>
    <col width="80" customWidth="1" min="14" max="14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A3/A5. DISEÑO MUESTRAL Y AVANCE DEL DIAGNÓSTICO SOCIAL (F-DS) POR CENTRO POBLADO Y BLOQUE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Hoja de control «Muestra pob inei+sigrid» del equipo social (CentrosPoblados-INEI-Bloques_v5, 24.09.2026); solo bloques V6</t>
        </is>
      </c>
    </row>
    <row r="8">
      <c r="A8" s="23" t="inlineStr">
        <is>
          <t>Diseño muestral (población finita; muestreo estratificado por centro poblado con asignación proporcional a las viviendas)</t>
        </is>
      </c>
    </row>
    <row r="9">
      <c r="A9" s="6" t="inlineStr">
        <is>
          <t>N — viviendas particulares del marco muestral</t>
        </is>
      </c>
      <c r="B9" s="26" t="n"/>
      <c r="C9" s="9" t="n">
        <v>8865.9</v>
      </c>
    </row>
    <row r="10">
      <c r="A10" s="6" t="inlineStr">
        <is>
          <t>Z — nivel de confianza 95 %</t>
        </is>
      </c>
      <c r="B10" s="26" t="n"/>
      <c r="C10" s="38" t="n">
        <v>1.96</v>
      </c>
    </row>
    <row r="11">
      <c r="A11" s="6" t="inlineStr">
        <is>
          <t>e — margen de error</t>
        </is>
      </c>
      <c r="B11" s="26" t="n"/>
      <c r="C11" s="39" t="n">
        <v>0.05</v>
      </c>
    </row>
    <row r="12">
      <c r="A12" s="6" t="inlineStr">
        <is>
          <t>p — proporción esperada</t>
        </is>
      </c>
      <c r="B12" s="26" t="n"/>
      <c r="C12" s="38" t="n">
        <v>0.5</v>
      </c>
    </row>
    <row r="13">
      <c r="A13" s="6" t="inlineStr">
        <is>
          <t>q — 1 − p</t>
        </is>
      </c>
      <c r="B13" s="26" t="n"/>
      <c r="C13" s="38">
        <f>1-C12</f>
        <v/>
      </c>
    </row>
    <row r="14">
      <c r="A14" s="27" t="inlineStr">
        <is>
          <t>n — tamaño de muestra = N·Z²·p·q / (e²·(N−1) + Z²·p·q)</t>
        </is>
      </c>
      <c r="B14" s="26" t="n"/>
      <c r="C14" s="40">
        <f>ROUND(C9*C10^2*C12*C13/(C11^2*(C9-1)+C10^2*C12*C13),0)</f>
        <v/>
      </c>
    </row>
    <row r="16">
      <c r="A16" s="23" t="inlineStr">
        <is>
          <t>Avance de campo (bloques V6)</t>
        </is>
      </c>
    </row>
    <row r="17">
      <c r="A17" s="6" t="inlineStr">
        <is>
          <t>Registros centro poblado–bloque (V6)</t>
        </is>
      </c>
      <c r="B17" s="26" t="n"/>
      <c r="C17" s="40">
        <f>COUNTA($C$25:$C$195)</f>
        <v/>
      </c>
    </row>
    <row r="18">
      <c r="A18" s="6" t="inlineStr">
        <is>
          <t>Tamaño de muestra calculado (n)</t>
        </is>
      </c>
      <c r="B18" s="26" t="n"/>
      <c r="C18" s="40">
        <f>C14</f>
        <v/>
      </c>
    </row>
    <row r="19">
      <c r="A19" s="6" t="inlineStr">
        <is>
          <t>Fichas F-DS-01 (socioeconómica) reportadas</t>
        </is>
      </c>
      <c r="B19" s="26" t="n"/>
      <c r="C19" s="40">
        <f>SUM($G$25:$G$195)</f>
        <v/>
      </c>
    </row>
    <row r="20">
      <c r="A20" s="6" t="inlineStr">
        <is>
          <t>Registros con F-DS-01 COMPLETO</t>
        </is>
      </c>
      <c r="B20" s="26" t="n"/>
      <c r="C20" s="40">
        <f>COUNTIF($H$25:$H$195,"COMPLETO")</f>
        <v/>
      </c>
    </row>
    <row r="21">
      <c r="A21" s="6" t="inlineStr">
        <is>
          <t>Registros con F-DS-03 (entrevista a autoridades) COMPLETO</t>
        </is>
      </c>
      <c r="B21" s="26" t="n"/>
      <c r="C21" s="40">
        <f>COUNTIF($J$25:$J$195,"COMPLETO")</f>
        <v/>
      </c>
    </row>
    <row r="22">
      <c r="A22" s="6" t="inlineStr">
        <is>
          <t>Registros con ficha de saberes ancestrales COMPLETO</t>
        </is>
      </c>
      <c r="B22" s="26" t="n"/>
      <c r="C22" s="40">
        <f>COUNTIF($L$25:$L$195,"COMPLETO")</f>
        <v/>
      </c>
    </row>
    <row r="24" ht="30" customHeight="1">
      <c r="A24" s="4" t="inlineStr">
        <is>
          <t>Provincia</t>
        </is>
      </c>
      <c r="B24" s="4" t="inlineStr">
        <is>
          <t>Distrito</t>
        </is>
      </c>
      <c r="C24" s="4" t="inlineStr">
        <is>
          <t>Centro poblado</t>
        </is>
      </c>
      <c r="D24" s="4" t="inlineStr">
        <is>
          <t>Bloque</t>
        </is>
      </c>
      <c r="E24" s="4" t="inlineStr">
        <is>
          <t>Viviendas (N_h)</t>
        </is>
      </c>
      <c r="F24" s="4" t="inlineStr">
        <is>
          <t>Muestra asignada + ajuste</t>
        </is>
      </c>
      <c r="G24" s="4" t="inlineStr">
        <is>
          <t>F-DS-01 reportadas</t>
        </is>
      </c>
      <c r="H24" s="4" t="inlineStr">
        <is>
          <t>Estado F-DS-01</t>
        </is>
      </c>
      <c r="I24" s="4" t="inlineStr">
        <is>
          <t>F-DS-03 reportadas</t>
        </is>
      </c>
      <c r="J24" s="4" t="inlineStr">
        <is>
          <t>Estado F-DS-03</t>
        </is>
      </c>
      <c r="K24" s="4" t="inlineStr">
        <is>
          <t>Saberes ancestrales reportados</t>
        </is>
      </c>
      <c r="L24" s="4" t="inlineStr">
        <is>
          <t>Estado saberes</t>
        </is>
      </c>
      <c r="M24" s="4" t="inlineStr">
        <is>
          <t>Fecha de evaluación</t>
        </is>
      </c>
      <c r="N24" s="4" t="inlineStr">
        <is>
          <t>Observaciones de campo</t>
        </is>
      </c>
    </row>
    <row r="25">
      <c r="A25" s="6" t="inlineStr">
        <is>
          <t>Ayabaca</t>
        </is>
      </c>
      <c r="B25" s="6" t="inlineStr">
        <is>
          <t>Frías</t>
        </is>
      </c>
      <c r="C25" s="6" t="inlineStr">
        <is>
          <t>Banda De La Cruz</t>
        </is>
      </c>
      <c r="D25" s="6" t="inlineStr">
        <is>
          <t>56</t>
        </is>
      </c>
      <c r="E25" s="9" t="n">
        <v>19</v>
      </c>
      <c r="F25" s="10" t="n">
        <v>1</v>
      </c>
      <c r="G25" s="10" t="n">
        <v>1</v>
      </c>
      <c r="H25" s="6" t="inlineStr">
        <is>
          <t>COMPLETO</t>
        </is>
      </c>
      <c r="I25" s="10" t="n">
        <v>1</v>
      </c>
      <c r="J25" s="6" t="inlineStr">
        <is>
          <t>COMPLETO</t>
        </is>
      </c>
      <c r="K25" s="10" t="n">
        <v>0</v>
      </c>
      <c r="L25" s="6" t="inlineStr">
        <is>
          <t>PENDIENTE</t>
        </is>
      </c>
      <c r="M25" s="41" t="n">
        <v>46196</v>
      </c>
      <c r="N25" s="6" t="inlineStr"/>
    </row>
    <row r="26">
      <c r="A26" s="8" t="inlineStr">
        <is>
          <t>Ayabaca</t>
        </is>
      </c>
      <c r="B26" s="8" t="inlineStr">
        <is>
          <t>Frías</t>
        </is>
      </c>
      <c r="C26" s="8" t="inlineStr">
        <is>
          <t>El Guabo</t>
        </is>
      </c>
      <c r="D26" s="8" t="inlineStr">
        <is>
          <t>M17B6</t>
        </is>
      </c>
      <c r="E26" s="13" t="n">
        <v>20</v>
      </c>
      <c r="F26" s="14" t="n">
        <v>1</v>
      </c>
      <c r="G26" s="14" t="n">
        <v>1</v>
      </c>
      <c r="H26" s="8" t="inlineStr">
        <is>
          <t>COMPLETO</t>
        </is>
      </c>
      <c r="I26" s="14" t="n">
        <v>1</v>
      </c>
      <c r="J26" s="8" t="inlineStr">
        <is>
          <t>COMPLETO</t>
        </is>
      </c>
      <c r="K26" s="14" t="n">
        <v>0</v>
      </c>
      <c r="L26" s="8" t="inlineStr">
        <is>
          <t>PENDIENTE</t>
        </is>
      </c>
      <c r="M26" s="42" t="n">
        <v>46217</v>
      </c>
      <c r="N26" s="8" t="inlineStr"/>
    </row>
    <row r="27">
      <c r="A27" s="6" t="inlineStr">
        <is>
          <t>Ayabaca</t>
        </is>
      </c>
      <c r="B27" s="6" t="inlineStr">
        <is>
          <t>Frías</t>
        </is>
      </c>
      <c r="C27" s="6" t="inlineStr">
        <is>
          <t>El Mirador</t>
        </is>
      </c>
      <c r="D27" s="6" t="inlineStr">
        <is>
          <t>3</t>
        </is>
      </c>
      <c r="E27" s="9" t="n">
        <v>6</v>
      </c>
      <c r="F27" s="10" t="n">
        <v>1</v>
      </c>
      <c r="G27" s="10" t="n"/>
      <c r="H27" s="6" t="inlineStr">
        <is>
          <t>-</t>
        </is>
      </c>
      <c r="I27" s="10" t="n"/>
      <c r="J27" s="6" t="inlineStr">
        <is>
          <t>-</t>
        </is>
      </c>
      <c r="K27" s="10" t="n"/>
      <c r="L27" s="6" t="inlineStr">
        <is>
          <t>-</t>
        </is>
      </c>
      <c r="M27" s="41" t="inlineStr">
        <is>
          <t>-</t>
        </is>
      </c>
      <c r="N27" s="6" t="inlineStr">
        <is>
          <t>La ficha se aplicó en el caserío el Huayabal ya que es la misma autoridad que en el Mirador</t>
        </is>
      </c>
    </row>
    <row r="28">
      <c r="A28" s="8" t="inlineStr">
        <is>
          <t>Ayabaca</t>
        </is>
      </c>
      <c r="B28" s="8" t="inlineStr">
        <is>
          <t>Frías</t>
        </is>
      </c>
      <c r="C28" s="8" t="inlineStr">
        <is>
          <t>Guabal</t>
        </is>
      </c>
      <c r="D28" s="8" t="inlineStr">
        <is>
          <t>36</t>
        </is>
      </c>
      <c r="E28" s="13" t="n">
        <v>88</v>
      </c>
      <c r="F28" s="14" t="n">
        <v>4</v>
      </c>
      <c r="G28" s="14" t="n">
        <v>4</v>
      </c>
      <c r="H28" s="8" t="inlineStr">
        <is>
          <t>COMPLETO</t>
        </is>
      </c>
      <c r="I28" s="14" t="n">
        <v>1</v>
      </c>
      <c r="J28" s="8" t="inlineStr">
        <is>
          <t>COMPLETO</t>
        </is>
      </c>
      <c r="K28" s="14" t="n">
        <v>0</v>
      </c>
      <c r="L28" s="8" t="inlineStr">
        <is>
          <t>PENDIENTE</t>
        </is>
      </c>
      <c r="M28" s="42" t="n">
        <v>46197</v>
      </c>
      <c r="N28" s="8" t="inlineStr"/>
    </row>
    <row r="29">
      <c r="A29" s="6" t="inlineStr">
        <is>
          <t>Ayabaca</t>
        </is>
      </c>
      <c r="B29" s="6" t="inlineStr">
        <is>
          <t>Frías</t>
        </is>
      </c>
      <c r="C29" s="6" t="inlineStr">
        <is>
          <t>Guabal</t>
        </is>
      </c>
      <c r="D29" s="6" t="inlineStr">
        <is>
          <t>6</t>
        </is>
      </c>
      <c r="E29" s="9" t="n">
        <v>88</v>
      </c>
      <c r="F29" s="10" t="n">
        <v>4</v>
      </c>
      <c r="G29" s="10" t="n">
        <v>4</v>
      </c>
      <c r="H29" s="6" t="inlineStr">
        <is>
          <t>COMPLETO</t>
        </is>
      </c>
      <c r="I29" s="10" t="n">
        <v>1</v>
      </c>
      <c r="J29" s="6" t="inlineStr">
        <is>
          <t>COMPLETO</t>
        </is>
      </c>
      <c r="K29" s="10" t="n">
        <v>0</v>
      </c>
      <c r="L29" s="6" t="inlineStr">
        <is>
          <t>PENDIENTE</t>
        </is>
      </c>
      <c r="M29" s="41" t="n">
        <v>46197</v>
      </c>
      <c r="N29" s="6" t="inlineStr"/>
    </row>
    <row r="30">
      <c r="A30" s="8" t="inlineStr">
        <is>
          <t>Ayabaca</t>
        </is>
      </c>
      <c r="B30" s="8" t="inlineStr">
        <is>
          <t>Frías</t>
        </is>
      </c>
      <c r="C30" s="8" t="inlineStr">
        <is>
          <t>Guanabano Alto</t>
        </is>
      </c>
      <c r="D30" s="8" t="inlineStr">
        <is>
          <t>6</t>
        </is>
      </c>
      <c r="E30" s="13" t="n">
        <v>75</v>
      </c>
      <c r="F30" s="14" t="n">
        <v>3</v>
      </c>
      <c r="G30" s="14" t="n">
        <v>4</v>
      </c>
      <c r="H30" s="8" t="inlineStr">
        <is>
          <t>COMPLETO</t>
        </is>
      </c>
      <c r="I30" s="14" t="n">
        <v>1</v>
      </c>
      <c r="J30" s="8" t="inlineStr">
        <is>
          <t>COMPLETO</t>
        </is>
      </c>
      <c r="K30" s="14" t="n">
        <v>0</v>
      </c>
      <c r="L30" s="8" t="inlineStr">
        <is>
          <t>PENDIENTE</t>
        </is>
      </c>
      <c r="M30" s="42" t="n">
        <v>46197</v>
      </c>
      <c r="N30" s="8" t="inlineStr"/>
    </row>
    <row r="31">
      <c r="A31" s="6" t="inlineStr">
        <is>
          <t>Ayabaca</t>
        </is>
      </c>
      <c r="B31" s="6" t="inlineStr">
        <is>
          <t>Frías</t>
        </is>
      </c>
      <c r="C31" s="6" t="inlineStr">
        <is>
          <t>Huasipe De Geraldo</t>
        </is>
      </c>
      <c r="D31" s="6" t="inlineStr">
        <is>
          <t>3</t>
        </is>
      </c>
      <c r="E31" s="9" t="n">
        <v>35</v>
      </c>
      <c r="F31" s="10" t="n">
        <v>1</v>
      </c>
      <c r="G31" s="10" t="n">
        <v>2</v>
      </c>
      <c r="H31" s="6" t="inlineStr">
        <is>
          <t>COMPLETO</t>
        </is>
      </c>
      <c r="I31" s="10" t="n">
        <v>2</v>
      </c>
      <c r="J31" s="6" t="inlineStr">
        <is>
          <t>COMPLETO</t>
        </is>
      </c>
      <c r="K31" s="10" t="n">
        <v>0</v>
      </c>
      <c r="L31" s="6" t="inlineStr">
        <is>
          <t>PENDIENTE</t>
        </is>
      </c>
      <c r="M31" s="41" t="n">
        <v>46198</v>
      </c>
      <c r="N31" s="6" t="inlineStr"/>
    </row>
    <row r="32">
      <c r="A32" s="8" t="inlineStr">
        <is>
          <t>Ayabaca</t>
        </is>
      </c>
      <c r="B32" s="8" t="inlineStr">
        <is>
          <t>Frías</t>
        </is>
      </c>
      <c r="C32" s="8" t="inlineStr">
        <is>
          <t>Huayabal</t>
        </is>
      </c>
      <c r="D32" s="8" t="inlineStr">
        <is>
          <t>3</t>
        </is>
      </c>
      <c r="E32" s="13" t="n">
        <v>20</v>
      </c>
      <c r="F32" s="14" t="n">
        <v>1</v>
      </c>
      <c r="G32" s="14" t="n">
        <v>1</v>
      </c>
      <c r="H32" s="8" t="inlineStr">
        <is>
          <t>COMPLETO</t>
        </is>
      </c>
      <c r="I32" s="14" t="n">
        <v>1</v>
      </c>
      <c r="J32" s="8" t="inlineStr">
        <is>
          <t>COMPLETO</t>
        </is>
      </c>
      <c r="K32" s="14" t="n">
        <v>0</v>
      </c>
      <c r="L32" s="8" t="inlineStr">
        <is>
          <t>PENDIENTE</t>
        </is>
      </c>
      <c r="M32" s="42" t="n">
        <v>46199</v>
      </c>
      <c r="N32" s="8" t="inlineStr"/>
    </row>
    <row r="33">
      <c r="A33" s="6" t="inlineStr">
        <is>
          <t>Ayabaca</t>
        </is>
      </c>
      <c r="B33" s="6" t="inlineStr">
        <is>
          <t>Frías</t>
        </is>
      </c>
      <c r="C33" s="6" t="inlineStr">
        <is>
          <t>La Cria</t>
        </is>
      </c>
      <c r="D33" s="6" t="inlineStr">
        <is>
          <t>39</t>
        </is>
      </c>
      <c r="E33" s="9" t="n">
        <v>85</v>
      </c>
      <c r="F33" s="10" t="n">
        <v>4</v>
      </c>
      <c r="G33" s="10" t="n">
        <v>4</v>
      </c>
      <c r="H33" s="6" t="inlineStr">
        <is>
          <t>COMPLETO</t>
        </is>
      </c>
      <c r="I33" s="10" t="n">
        <v>1</v>
      </c>
      <c r="J33" s="6" t="inlineStr">
        <is>
          <t>COMPLETO</t>
        </is>
      </c>
      <c r="K33" s="10" t="n">
        <v>0</v>
      </c>
      <c r="L33" s="6" t="inlineStr">
        <is>
          <t>PENDIENTE</t>
        </is>
      </c>
      <c r="M33" s="41" t="n">
        <v>46269</v>
      </c>
      <c r="N33" s="6" t="inlineStr"/>
    </row>
    <row r="34">
      <c r="A34" s="8" t="inlineStr">
        <is>
          <t>Ayabaca</t>
        </is>
      </c>
      <c r="B34" s="8" t="inlineStr">
        <is>
          <t>Frías</t>
        </is>
      </c>
      <c r="C34" s="8" t="inlineStr">
        <is>
          <t>Linderos De Misquis</t>
        </is>
      </c>
      <c r="D34" s="8" t="inlineStr">
        <is>
          <t>27</t>
        </is>
      </c>
      <c r="E34" s="13" t="n">
        <v>14</v>
      </c>
      <c r="F34" s="14" t="n">
        <v>1</v>
      </c>
      <c r="G34" s="14" t="n">
        <v>2</v>
      </c>
      <c r="H34" s="8" t="inlineStr">
        <is>
          <t>COMPLETO</t>
        </is>
      </c>
      <c r="I34" s="14" t="n">
        <v>1</v>
      </c>
      <c r="J34" s="8" t="inlineStr">
        <is>
          <t>COMPLETO</t>
        </is>
      </c>
      <c r="K34" s="14" t="n">
        <v>0</v>
      </c>
      <c r="L34" s="8" t="inlineStr">
        <is>
          <t>PENDIENTE</t>
        </is>
      </c>
      <c r="M34" s="42" t="n">
        <v>46218</v>
      </c>
      <c r="N34" s="8" t="inlineStr"/>
    </row>
    <row r="35">
      <c r="A35" s="6" t="inlineStr">
        <is>
          <t>Ayabaca</t>
        </is>
      </c>
      <c r="B35" s="6" t="inlineStr">
        <is>
          <t>Frías</t>
        </is>
      </c>
      <c r="C35" s="6" t="inlineStr">
        <is>
          <t>Los Checches</t>
        </is>
      </c>
      <c r="D35" s="6" t="inlineStr">
        <is>
          <t>3</t>
        </is>
      </c>
      <c r="E35" s="9" t="n">
        <v>53</v>
      </c>
      <c r="F35" s="10" t="n">
        <v>2</v>
      </c>
      <c r="G35" s="10" t="n">
        <v>2</v>
      </c>
      <c r="H35" s="6" t="inlineStr">
        <is>
          <t>COMPLETO</t>
        </is>
      </c>
      <c r="I35" s="10" t="n">
        <v>1</v>
      </c>
      <c r="J35" s="6" t="inlineStr">
        <is>
          <t>COMPLETO</t>
        </is>
      </c>
      <c r="K35" s="10" t="n">
        <v>0</v>
      </c>
      <c r="L35" s="6" t="inlineStr">
        <is>
          <t>PENDIENTE</t>
        </is>
      </c>
      <c r="M35" s="41" t="n">
        <v>46199</v>
      </c>
      <c r="N35" s="6" t="inlineStr"/>
    </row>
    <row r="36">
      <c r="A36" s="8" t="inlineStr">
        <is>
          <t>Ayabaca</t>
        </is>
      </c>
      <c r="B36" s="8" t="inlineStr">
        <is>
          <t>Frías</t>
        </is>
      </c>
      <c r="C36" s="8" t="inlineStr">
        <is>
          <t>Nogal</t>
        </is>
      </c>
      <c r="D36" s="8" t="inlineStr">
        <is>
          <t>6</t>
        </is>
      </c>
      <c r="E36" s="13" t="n">
        <v>3</v>
      </c>
      <c r="F36" s="14" t="n">
        <v>1</v>
      </c>
      <c r="G36" s="14" t="n"/>
      <c r="H36" s="8" t="inlineStr">
        <is>
          <t>SIN REGISTRO</t>
        </is>
      </c>
      <c r="I36" s="14" t="n"/>
      <c r="J36" s="8" t="inlineStr">
        <is>
          <t>SIN REGISTRO</t>
        </is>
      </c>
      <c r="K36" s="14" t="n"/>
      <c r="L36" s="8" t="inlineStr">
        <is>
          <t>SIN REGISTRO</t>
        </is>
      </c>
      <c r="M36" s="42" t="n"/>
      <c r="N36" s="8" t="inlineStr"/>
    </row>
    <row r="37">
      <c r="A37" s="6" t="inlineStr">
        <is>
          <t>Ayabaca</t>
        </is>
      </c>
      <c r="B37" s="6" t="inlineStr">
        <is>
          <t>Frías</t>
        </is>
      </c>
      <c r="C37" s="6" t="inlineStr">
        <is>
          <t>Nueva Esperanza De Misquis</t>
        </is>
      </c>
      <c r="D37" s="6" t="inlineStr">
        <is>
          <t>27</t>
        </is>
      </c>
      <c r="E37" s="9" t="n">
        <v>25</v>
      </c>
      <c r="F37" s="10" t="n">
        <v>1</v>
      </c>
      <c r="G37" s="10" t="n">
        <v>1</v>
      </c>
      <c r="H37" s="6" t="inlineStr">
        <is>
          <t>COMPLETO</t>
        </is>
      </c>
      <c r="I37" s="10" t="n">
        <v>1</v>
      </c>
      <c r="J37" s="6" t="inlineStr">
        <is>
          <t>COMPLETO</t>
        </is>
      </c>
      <c r="K37" s="10" t="n">
        <v>0</v>
      </c>
      <c r="L37" s="6" t="inlineStr">
        <is>
          <t>PENDIENTE</t>
        </is>
      </c>
      <c r="M37" s="41" t="n">
        <v>46218</v>
      </c>
      <c r="N37" s="6" t="inlineStr"/>
    </row>
    <row r="38">
      <c r="A38" s="8" t="inlineStr">
        <is>
          <t>Ayabaca</t>
        </is>
      </c>
      <c r="B38" s="8" t="inlineStr">
        <is>
          <t>Frías</t>
        </is>
      </c>
      <c r="C38" s="8" t="inlineStr">
        <is>
          <t>Pampa De Ramada</t>
        </is>
      </c>
      <c r="D38" s="8" t="inlineStr">
        <is>
          <t>M17B7</t>
        </is>
      </c>
      <c r="E38" s="13" t="n">
        <v>32</v>
      </c>
      <c r="F38" s="14" t="n">
        <v>1</v>
      </c>
      <c r="G38" s="14" t="n">
        <v>2</v>
      </c>
      <c r="H38" s="8" t="inlineStr">
        <is>
          <t>COMPLETO</t>
        </is>
      </c>
      <c r="I38" s="14" t="n">
        <v>2</v>
      </c>
      <c r="J38" s="8" t="inlineStr">
        <is>
          <t>COMPLETO</t>
        </is>
      </c>
      <c r="K38" s="14" t="n">
        <v>0</v>
      </c>
      <c r="L38" s="8" t="inlineStr">
        <is>
          <t>PENDIENTE</t>
        </is>
      </c>
      <c r="M38" s="42" t="n">
        <v>46197</v>
      </c>
      <c r="N38" s="8" t="inlineStr"/>
    </row>
    <row r="39">
      <c r="A39" s="6" t="inlineStr">
        <is>
          <t>Ayabaca</t>
        </is>
      </c>
      <c r="B39" s="6" t="inlineStr">
        <is>
          <t>Frías</t>
        </is>
      </c>
      <c r="C39" s="6" t="inlineStr">
        <is>
          <t>Platanal Alto</t>
        </is>
      </c>
      <c r="D39" s="6" t="inlineStr">
        <is>
          <t>M17B6</t>
        </is>
      </c>
      <c r="E39" s="9" t="n">
        <v>65</v>
      </c>
      <c r="F39" s="10" t="n">
        <v>3</v>
      </c>
      <c r="G39" s="10" t="n">
        <v>3</v>
      </c>
      <c r="H39" s="6" t="inlineStr">
        <is>
          <t>COMPLETO</t>
        </is>
      </c>
      <c r="I39" s="10" t="n">
        <v>1</v>
      </c>
      <c r="J39" s="6" t="inlineStr">
        <is>
          <t>COMPLETO</t>
        </is>
      </c>
      <c r="K39" s="10" t="n">
        <v>0</v>
      </c>
      <c r="L39" s="6" t="inlineStr">
        <is>
          <t>PENDIENTE</t>
        </is>
      </c>
      <c r="M39" s="41" t="n">
        <v>46217</v>
      </c>
      <c r="N39" s="6" t="inlineStr"/>
    </row>
    <row r="40">
      <c r="A40" s="8" t="inlineStr">
        <is>
          <t>Ayabaca</t>
        </is>
      </c>
      <c r="B40" s="8" t="inlineStr">
        <is>
          <t>Frías</t>
        </is>
      </c>
      <c r="C40" s="8" t="inlineStr">
        <is>
          <t>Putagas</t>
        </is>
      </c>
      <c r="D40" s="8" t="inlineStr">
        <is>
          <t>56</t>
        </is>
      </c>
      <c r="E40" s="13" t="n">
        <v>55</v>
      </c>
      <c r="F40" s="14" t="n">
        <v>2</v>
      </c>
      <c r="G40" s="14" t="n">
        <v>2</v>
      </c>
      <c r="H40" s="8" t="inlineStr">
        <is>
          <t>COMPLETO</t>
        </is>
      </c>
      <c r="I40" s="14" t="n">
        <v>1</v>
      </c>
      <c r="J40" s="8" t="inlineStr">
        <is>
          <t>COMPLETO</t>
        </is>
      </c>
      <c r="K40" s="14" t="n">
        <v>0</v>
      </c>
      <c r="L40" s="8" t="inlineStr">
        <is>
          <t>PENDIENTE</t>
        </is>
      </c>
      <c r="M40" s="42" t="n">
        <v>46196</v>
      </c>
      <c r="N40" s="8" t="inlineStr"/>
    </row>
    <row r="41">
      <c r="A41" s="6" t="inlineStr">
        <is>
          <t>Ayabaca</t>
        </is>
      </c>
      <c r="B41" s="6" t="inlineStr">
        <is>
          <t>Frías</t>
        </is>
      </c>
      <c r="C41" s="6" t="inlineStr">
        <is>
          <t>Rincon De Geraldo</t>
        </is>
      </c>
      <c r="D41" s="6" t="inlineStr">
        <is>
          <t>3</t>
        </is>
      </c>
      <c r="E41" s="9" t="n">
        <v>29</v>
      </c>
      <c r="F41" s="10" t="n">
        <v>1</v>
      </c>
      <c r="G41" s="10" t="n">
        <v>2</v>
      </c>
      <c r="H41" s="6" t="inlineStr">
        <is>
          <t>COMPLETO</t>
        </is>
      </c>
      <c r="I41" s="10" t="n">
        <v>2</v>
      </c>
      <c r="J41" s="6" t="inlineStr">
        <is>
          <t>COMPLETO</t>
        </is>
      </c>
      <c r="K41" s="10" t="n">
        <v>0</v>
      </c>
      <c r="L41" s="6" t="inlineStr">
        <is>
          <t>PENDIENTE</t>
        </is>
      </c>
      <c r="M41" s="41" t="n">
        <v>46198</v>
      </c>
      <c r="N41" s="6" t="inlineStr"/>
    </row>
    <row r="42">
      <c r="A42" s="8" t="inlineStr">
        <is>
          <t>Ayabaca</t>
        </is>
      </c>
      <c r="B42" s="8" t="inlineStr">
        <is>
          <t>Frías</t>
        </is>
      </c>
      <c r="C42" s="8" t="inlineStr">
        <is>
          <t>(En Blanco)</t>
        </is>
      </c>
      <c r="D42" s="8" t="inlineStr">
        <is>
          <t>M17B10</t>
        </is>
      </c>
      <c r="E42" s="13" t="n">
        <v>0</v>
      </c>
      <c r="F42" s="14" t="n">
        <v>0</v>
      </c>
      <c r="G42" s="14" t="n">
        <v>0</v>
      </c>
      <c r="H42" s="8" t="inlineStr">
        <is>
          <t>COMPLETO</t>
        </is>
      </c>
      <c r="I42" s="14" t="n">
        <v>0</v>
      </c>
      <c r="J42" s="8" t="inlineStr">
        <is>
          <t>PENDIENTE</t>
        </is>
      </c>
      <c r="K42" s="14" t="n">
        <v>0</v>
      </c>
      <c r="L42" s="8" t="inlineStr">
        <is>
          <t>PENDIENTE</t>
        </is>
      </c>
      <c r="M42" s="42" t="n"/>
      <c r="N42" s="8" t="inlineStr"/>
    </row>
    <row r="43">
      <c r="A43" s="6" t="inlineStr">
        <is>
          <t>Ayabaca</t>
        </is>
      </c>
      <c r="B43" s="6" t="inlineStr">
        <is>
          <t>Frías</t>
        </is>
      </c>
      <c r="C43" s="6" t="inlineStr">
        <is>
          <t>(En Blanco)</t>
        </is>
      </c>
      <c r="D43" s="6" t="inlineStr">
        <is>
          <t>M17B5</t>
        </is>
      </c>
      <c r="E43" s="9" t="n">
        <v>0</v>
      </c>
      <c r="F43" s="10" t="n">
        <v>0</v>
      </c>
      <c r="G43" s="10" t="n">
        <v>0</v>
      </c>
      <c r="H43" s="6" t="inlineStr">
        <is>
          <t>COMPLETO</t>
        </is>
      </c>
      <c r="I43" s="10" t="n">
        <v>0</v>
      </c>
      <c r="J43" s="6" t="inlineStr">
        <is>
          <t>PENDIENTE</t>
        </is>
      </c>
      <c r="K43" s="10" t="n">
        <v>0</v>
      </c>
      <c r="L43" s="6" t="inlineStr">
        <is>
          <t>PENDIENTE</t>
        </is>
      </c>
      <c r="M43" s="41" t="n"/>
      <c r="N43" s="6" t="inlineStr"/>
    </row>
    <row r="44">
      <c r="A44" s="8" t="inlineStr">
        <is>
          <t>Huancabamba</t>
        </is>
      </c>
      <c r="B44" s="8" t="inlineStr">
        <is>
          <t>Canchaque</t>
        </is>
      </c>
      <c r="C44" s="8" t="inlineStr">
        <is>
          <t>Abalque</t>
        </is>
      </c>
      <c r="D44" s="8" t="inlineStr">
        <is>
          <t>28</t>
        </is>
      </c>
      <c r="E44" s="13" t="n">
        <v>24</v>
      </c>
      <c r="F44" s="14" t="n">
        <v>1</v>
      </c>
      <c r="G44" s="14" t="n">
        <v>3</v>
      </c>
      <c r="H44" s="8" t="inlineStr">
        <is>
          <t>COMPLETO</t>
        </is>
      </c>
      <c r="I44" s="14" t="n">
        <v>1</v>
      </c>
      <c r="J44" s="8" t="inlineStr">
        <is>
          <t>COMPLETO</t>
        </is>
      </c>
      <c r="K44" s="14" t="n">
        <v>0</v>
      </c>
      <c r="L44" s="8" t="inlineStr">
        <is>
          <t>PENDIENTE</t>
        </is>
      </c>
      <c r="M44" s="42" t="n">
        <v>46237</v>
      </c>
      <c r="N44" s="8" t="inlineStr"/>
    </row>
    <row r="45">
      <c r="A45" s="6" t="inlineStr">
        <is>
          <t>Huancabamba</t>
        </is>
      </c>
      <c r="B45" s="6" t="inlineStr">
        <is>
          <t>Canchaque</t>
        </is>
      </c>
      <c r="C45" s="6" t="inlineStr">
        <is>
          <t>Almirante Miguel Grau</t>
        </is>
      </c>
      <c r="D45" s="6" t="inlineStr">
        <is>
          <t>79</t>
        </is>
      </c>
      <c r="E45" s="9" t="n">
        <v>32</v>
      </c>
      <c r="F45" s="10" t="n">
        <v>1</v>
      </c>
      <c r="G45" s="10" t="n">
        <v>2</v>
      </c>
      <c r="H45" s="6" t="inlineStr">
        <is>
          <t>COMPLETO</t>
        </is>
      </c>
      <c r="I45" s="10" t="n">
        <v>1</v>
      </c>
      <c r="J45" s="6" t="inlineStr">
        <is>
          <t>COMPLETO</t>
        </is>
      </c>
      <c r="K45" s="10" t="n">
        <v>0</v>
      </c>
      <c r="L45" s="6" t="inlineStr">
        <is>
          <t>PENDIENTE</t>
        </is>
      </c>
      <c r="M45" s="41" t="n">
        <v>46223</v>
      </c>
      <c r="N45" s="6" t="inlineStr"/>
    </row>
    <row r="46">
      <c r="A46" s="8" t="inlineStr">
        <is>
          <t>Huancabamba</t>
        </is>
      </c>
      <c r="B46" s="8" t="inlineStr">
        <is>
          <t>Canchaque</t>
        </is>
      </c>
      <c r="C46" s="8" t="inlineStr">
        <is>
          <t>Chacchacal</t>
        </is>
      </c>
      <c r="D46" s="8" t="inlineStr">
        <is>
          <t>40</t>
        </is>
      </c>
      <c r="E46" s="13" t="n">
        <v>24</v>
      </c>
      <c r="F46" s="14" t="n">
        <v>1</v>
      </c>
      <c r="G46" s="14" t="n">
        <v>1</v>
      </c>
      <c r="H46" s="8" t="inlineStr">
        <is>
          <t>COMPLETO</t>
        </is>
      </c>
      <c r="I46" s="14" t="n">
        <v>1</v>
      </c>
      <c r="J46" s="8" t="inlineStr">
        <is>
          <t>COMPLETO</t>
        </is>
      </c>
      <c r="K46" s="14" t="n">
        <v>0</v>
      </c>
      <c r="L46" s="8" t="inlineStr">
        <is>
          <t>PENDIENTE</t>
        </is>
      </c>
      <c r="M46" s="42" t="n">
        <v>46237</v>
      </c>
      <c r="N46" s="8" t="inlineStr">
        <is>
          <t>Se entrevistó a una sola autoridad (T.G.), el cual indicó que el caserío se llama "Chacchacal" pero también es conocido como "Chorro Blanco"</t>
        </is>
      </c>
    </row>
    <row r="47">
      <c r="A47" s="6" t="inlineStr">
        <is>
          <t>Huancabamba</t>
        </is>
      </c>
      <c r="B47" s="6" t="inlineStr">
        <is>
          <t>Canchaque</t>
        </is>
      </c>
      <c r="C47" s="6" t="inlineStr">
        <is>
          <t>Chamelico</t>
        </is>
      </c>
      <c r="D47" s="6" t="inlineStr">
        <is>
          <t>30</t>
        </is>
      </c>
      <c r="E47" s="9" t="n">
        <v>35</v>
      </c>
      <c r="F47" s="10" t="n">
        <v>1</v>
      </c>
      <c r="G47" s="10" t="n">
        <v>1</v>
      </c>
      <c r="H47" s="6" t="inlineStr">
        <is>
          <t>COMPLETO</t>
        </is>
      </c>
      <c r="I47" s="10" t="n">
        <v>1</v>
      </c>
      <c r="J47" s="6" t="inlineStr">
        <is>
          <t>COMPLETO</t>
        </is>
      </c>
      <c r="K47" s="10" t="n">
        <v>0</v>
      </c>
      <c r="L47" s="6" t="inlineStr">
        <is>
          <t>PENDIENTE</t>
        </is>
      </c>
      <c r="M47" s="41" t="n">
        <v>46237</v>
      </c>
      <c r="N47" s="6" t="inlineStr">
        <is>
          <t xml:space="preserve">Se entrevistó a 1 sola autoridad (Agente municipal), el cual indicó que Sapce y Chamelico son lo mismo. </t>
        </is>
      </c>
    </row>
    <row r="48">
      <c r="A48" s="8" t="inlineStr">
        <is>
          <t>Huancabamba</t>
        </is>
      </c>
      <c r="B48" s="8" t="inlineStr">
        <is>
          <t>Canchaque</t>
        </is>
      </c>
      <c r="C48" s="8" t="inlineStr">
        <is>
          <t>Chorro Blanco</t>
        </is>
      </c>
      <c r="D48" s="8" t="inlineStr">
        <is>
          <t>40</t>
        </is>
      </c>
      <c r="E48" s="13" t="n">
        <v>20</v>
      </c>
      <c r="F48" s="14" t="n">
        <v>1</v>
      </c>
      <c r="G48" s="14" t="n">
        <v>1</v>
      </c>
      <c r="H48" s="8" t="inlineStr">
        <is>
          <t>COMPLETO</t>
        </is>
      </c>
      <c r="I48" s="14" t="n">
        <v>1</v>
      </c>
      <c r="J48" s="8" t="inlineStr">
        <is>
          <t>COMPLETO</t>
        </is>
      </c>
      <c r="K48" s="14" t="n">
        <v>0</v>
      </c>
      <c r="L48" s="8" t="inlineStr">
        <is>
          <t>PENDIENTE</t>
        </is>
      </c>
      <c r="M48" s="42" t="n">
        <v>46237</v>
      </c>
      <c r="N48" s="8" t="inlineStr">
        <is>
          <t>Se entrevistó a una sola autoridad (T.G.), el cual indicó que el caserío se llama "Chacchacal" pero también es conocido como "Chorro Blanco"</t>
        </is>
      </c>
    </row>
    <row r="49">
      <c r="A49" s="6" t="inlineStr">
        <is>
          <t>Huancabamba</t>
        </is>
      </c>
      <c r="B49" s="6" t="inlineStr">
        <is>
          <t>Canchaque</t>
        </is>
      </c>
      <c r="C49" s="6" t="inlineStr">
        <is>
          <t>Coyona</t>
        </is>
      </c>
      <c r="D49" s="6" t="inlineStr">
        <is>
          <t>24</t>
        </is>
      </c>
      <c r="E49" s="9" t="n">
        <v>154</v>
      </c>
      <c r="F49" s="10" t="n">
        <v>6</v>
      </c>
      <c r="G49" s="10" t="n">
        <v>6</v>
      </c>
      <c r="H49" s="6" t="inlineStr">
        <is>
          <t>COMPLETO</t>
        </is>
      </c>
      <c r="I49" s="10" t="n">
        <v>2</v>
      </c>
      <c r="J49" s="6" t="inlineStr">
        <is>
          <t>COMPLETO</t>
        </is>
      </c>
      <c r="K49" s="10" t="n">
        <v>0</v>
      </c>
      <c r="L49" s="6" t="inlineStr">
        <is>
          <t>PENDIENTE</t>
        </is>
      </c>
      <c r="M49" s="41" t="n">
        <v>46224</v>
      </c>
      <c r="N49" s="6" t="inlineStr"/>
    </row>
    <row r="50">
      <c r="A50" s="8" t="inlineStr">
        <is>
          <t>Huancabamba</t>
        </is>
      </c>
      <c r="B50" s="8" t="inlineStr">
        <is>
          <t>Canchaque</t>
        </is>
      </c>
      <c r="C50" s="8" t="inlineStr">
        <is>
          <t>Flor De Cafe</t>
        </is>
      </c>
      <c r="D50" s="8" t="inlineStr">
        <is>
          <t>60</t>
        </is>
      </c>
      <c r="E50" s="13" t="n">
        <v>41</v>
      </c>
      <c r="F50" s="14" t="n">
        <v>2</v>
      </c>
      <c r="G50" s="14" t="n">
        <v>2</v>
      </c>
      <c r="H50" s="8" t="inlineStr">
        <is>
          <t>COMPLETO</t>
        </is>
      </c>
      <c r="I50" s="14" t="n">
        <v>2</v>
      </c>
      <c r="J50" s="8" t="inlineStr">
        <is>
          <t>COMPLETO</t>
        </is>
      </c>
      <c r="K50" s="14" t="n">
        <v>0</v>
      </c>
      <c r="L50" s="8" t="inlineStr">
        <is>
          <t>PENDIENTE</t>
        </is>
      </c>
      <c r="M50" s="42" t="n">
        <v>46247</v>
      </c>
      <c r="N50" s="8" t="inlineStr"/>
    </row>
    <row r="51">
      <c r="A51" s="6" t="inlineStr">
        <is>
          <t>Huancabamba</t>
        </is>
      </c>
      <c r="B51" s="6" t="inlineStr">
        <is>
          <t>Canchaque</t>
        </is>
      </c>
      <c r="C51" s="6" t="inlineStr">
        <is>
          <t>Huabal</t>
        </is>
      </c>
      <c r="D51" s="6" t="inlineStr">
        <is>
          <t>79</t>
        </is>
      </c>
      <c r="E51" s="9" t="n">
        <v>65</v>
      </c>
      <c r="F51" s="10" t="n">
        <v>3</v>
      </c>
      <c r="G51" s="10" t="n">
        <v>3</v>
      </c>
      <c r="H51" s="6" t="inlineStr">
        <is>
          <t>COMPLETO</t>
        </is>
      </c>
      <c r="I51" s="10" t="n">
        <v>1</v>
      </c>
      <c r="J51" s="6" t="inlineStr">
        <is>
          <t>COMPLETO</t>
        </is>
      </c>
      <c r="K51" s="10" t="n">
        <v>0</v>
      </c>
      <c r="L51" s="6" t="inlineStr">
        <is>
          <t>PENDIENTE</t>
        </is>
      </c>
      <c r="M51" s="41" t="n">
        <v>46223</v>
      </c>
      <c r="N51" s="6" t="inlineStr"/>
    </row>
    <row r="52">
      <c r="A52" s="8" t="inlineStr">
        <is>
          <t>Huancabamba</t>
        </is>
      </c>
      <c r="B52" s="8" t="inlineStr">
        <is>
          <t>Canchaque</t>
        </is>
      </c>
      <c r="C52" s="8" t="inlineStr">
        <is>
          <t>Hualtacal</t>
        </is>
      </c>
      <c r="D52" s="8" t="inlineStr">
        <is>
          <t>81</t>
        </is>
      </c>
      <c r="E52" s="13" t="n">
        <v>36</v>
      </c>
      <c r="F52" s="14" t="n">
        <v>1</v>
      </c>
      <c r="G52" s="14" t="n">
        <v>2</v>
      </c>
      <c r="H52" s="8" t="inlineStr">
        <is>
          <t>COMPLETO</t>
        </is>
      </c>
      <c r="I52" s="14" t="n">
        <v>1</v>
      </c>
      <c r="J52" s="8" t="inlineStr">
        <is>
          <t>COMPLETO</t>
        </is>
      </c>
      <c r="K52" s="14" t="n">
        <v>0</v>
      </c>
      <c r="L52" s="8" t="inlineStr">
        <is>
          <t>PENDIENTE</t>
        </is>
      </c>
      <c r="M52" s="42" t="n">
        <v>46223</v>
      </c>
      <c r="N52" s="8" t="inlineStr"/>
    </row>
    <row r="53">
      <c r="A53" s="6" t="inlineStr">
        <is>
          <t>Huancabamba</t>
        </is>
      </c>
      <c r="B53" s="6" t="inlineStr">
        <is>
          <t>Canchaque</t>
        </is>
      </c>
      <c r="C53" s="6" t="inlineStr">
        <is>
          <t>Huamala Alto</t>
        </is>
      </c>
      <c r="D53" s="6" t="inlineStr">
        <is>
          <t>21</t>
        </is>
      </c>
      <c r="E53" s="9" t="n">
        <v>18</v>
      </c>
      <c r="F53" s="10" t="n">
        <v>1</v>
      </c>
      <c r="G53" s="10" t="n">
        <v>1</v>
      </c>
      <c r="H53" s="6" t="inlineStr">
        <is>
          <t>COMPLETO</t>
        </is>
      </c>
      <c r="I53" s="10" t="n">
        <v>1</v>
      </c>
      <c r="J53" s="6" t="inlineStr">
        <is>
          <t>COMPLETO</t>
        </is>
      </c>
      <c r="K53" s="10" t="n">
        <v>0</v>
      </c>
      <c r="L53" s="6" t="inlineStr">
        <is>
          <t>PENDIENTE</t>
        </is>
      </c>
      <c r="M53" s="41" t="n">
        <v>46244</v>
      </c>
      <c r="N53" s="6" t="inlineStr"/>
    </row>
    <row r="54">
      <c r="A54" s="8" t="inlineStr">
        <is>
          <t>Huancabamba</t>
        </is>
      </c>
      <c r="B54" s="8" t="inlineStr">
        <is>
          <t>Canchaque</t>
        </is>
      </c>
      <c r="C54" s="8" t="inlineStr">
        <is>
          <t>Huamala Baja</t>
        </is>
      </c>
      <c r="D54" s="8" t="inlineStr">
        <is>
          <t>66</t>
        </is>
      </c>
      <c r="E54" s="13" t="n">
        <v>29</v>
      </c>
      <c r="F54" s="14" t="n">
        <v>1</v>
      </c>
      <c r="G54" s="14" t="n">
        <v>1</v>
      </c>
      <c r="H54" s="8" t="inlineStr">
        <is>
          <t>COMPLETO</t>
        </is>
      </c>
      <c r="I54" s="14" t="n">
        <v>1</v>
      </c>
      <c r="J54" s="8" t="inlineStr">
        <is>
          <t>COMPLETO</t>
        </is>
      </c>
      <c r="K54" s="14" t="n">
        <v>0</v>
      </c>
      <c r="L54" s="8" t="inlineStr">
        <is>
          <t>PENDIENTE</t>
        </is>
      </c>
      <c r="M54" s="42" t="n">
        <v>46274</v>
      </c>
      <c r="N54" s="8" t="inlineStr"/>
    </row>
    <row r="55">
      <c r="A55" s="6" t="inlineStr">
        <is>
          <t>Huancabamba</t>
        </is>
      </c>
      <c r="B55" s="6" t="inlineStr">
        <is>
          <t>Canchaque</t>
        </is>
      </c>
      <c r="C55" s="6" t="inlineStr">
        <is>
          <t>Sapce</t>
        </is>
      </c>
      <c r="D55" s="6" t="inlineStr">
        <is>
          <t>30</t>
        </is>
      </c>
      <c r="E55" s="9" t="n">
        <v>50</v>
      </c>
      <c r="F55" s="10" t="n">
        <v>2</v>
      </c>
      <c r="G55" s="10" t="n">
        <v>1</v>
      </c>
      <c r="H55" s="6" t="inlineStr">
        <is>
          <t>PENDIENTE</t>
        </is>
      </c>
      <c r="I55" s="10" t="n">
        <v>1</v>
      </c>
      <c r="J55" s="6" t="inlineStr">
        <is>
          <t>COMPLETO</t>
        </is>
      </c>
      <c r="K55" s="10" t="n">
        <v>0</v>
      </c>
      <c r="L55" s="6" t="inlineStr">
        <is>
          <t>PENDIENTE</t>
        </is>
      </c>
      <c r="M55" s="41" t="n">
        <v>46237</v>
      </c>
      <c r="N55" s="6" t="inlineStr">
        <is>
          <t>Se entrevistó a 1 sola autoridad (Agente municipal), el cual indicó que Sapce y Chamelico son lo mismo. Por limitaciones logísticas faltó 1 ficha, la cual se compensó con Abalque (bloque 28) ya que la realidad socioeconómica es similar</t>
        </is>
      </c>
    </row>
    <row r="56">
      <c r="A56" s="8" t="inlineStr">
        <is>
          <t>Huancabamba</t>
        </is>
      </c>
      <c r="B56" s="8" t="inlineStr">
        <is>
          <t>Canchaque</t>
        </is>
      </c>
      <c r="C56" s="8" t="inlineStr">
        <is>
          <t>Shuturumbe</t>
        </is>
      </c>
      <c r="D56" s="8" t="inlineStr">
        <is>
          <t>63</t>
        </is>
      </c>
      <c r="E56" s="13" t="n">
        <v>27</v>
      </c>
      <c r="F56" s="14" t="n">
        <v>1</v>
      </c>
      <c r="G56" s="14" t="n">
        <v>2</v>
      </c>
      <c r="H56" s="8" t="inlineStr">
        <is>
          <t>COMPLETO</t>
        </is>
      </c>
      <c r="I56" s="14" t="n">
        <v>1</v>
      </c>
      <c r="J56" s="8" t="inlineStr">
        <is>
          <t>COMPLETO</t>
        </is>
      </c>
      <c r="K56" s="14" t="n">
        <v>0</v>
      </c>
      <c r="L56" s="8" t="inlineStr">
        <is>
          <t>PENDIENTE</t>
        </is>
      </c>
      <c r="M56" s="42" t="n">
        <v>46224</v>
      </c>
      <c r="N56" s="8" t="inlineStr"/>
    </row>
    <row r="57">
      <c r="A57" s="6" t="inlineStr">
        <is>
          <t>Huancabamba</t>
        </is>
      </c>
      <c r="B57" s="6" t="inlineStr">
        <is>
          <t>Huancabamba</t>
        </is>
      </c>
      <c r="C57" s="6" t="inlineStr">
        <is>
          <t>Pariamarca Centro</t>
        </is>
      </c>
      <c r="D57" s="6" t="inlineStr">
        <is>
          <t>64</t>
        </is>
      </c>
      <c r="E57" s="9" t="n">
        <v>108</v>
      </c>
      <c r="F57" s="10" t="n">
        <v>4</v>
      </c>
      <c r="G57" s="10" t="n">
        <v>4</v>
      </c>
      <c r="H57" s="6" t="inlineStr">
        <is>
          <t>COMPLETO</t>
        </is>
      </c>
      <c r="I57" s="10" t="n">
        <v>1</v>
      </c>
      <c r="J57" s="6" t="inlineStr">
        <is>
          <t>COMPLETO</t>
        </is>
      </c>
      <c r="K57" s="10" t="n">
        <v>0</v>
      </c>
      <c r="L57" s="6" t="inlineStr">
        <is>
          <t>PENDIENTE</t>
        </is>
      </c>
      <c r="M57" s="41" t="n">
        <v>46245</v>
      </c>
      <c r="N57" s="6" t="inlineStr"/>
    </row>
    <row r="58">
      <c r="A58" s="8" t="inlineStr">
        <is>
          <t>Huancabamba</t>
        </is>
      </c>
      <c r="B58" s="8" t="inlineStr">
        <is>
          <t>Huancabamba</t>
        </is>
      </c>
      <c r="C58" s="8" t="inlineStr">
        <is>
          <t>(En Blanco)</t>
        </is>
      </c>
      <c r="D58" s="8" t="inlineStr">
        <is>
          <t>M30B5</t>
        </is>
      </c>
      <c r="E58" s="13" t="n">
        <v>0</v>
      </c>
      <c r="F58" s="14" t="n">
        <v>0</v>
      </c>
      <c r="G58" s="14" t="n">
        <v>0</v>
      </c>
      <c r="H58" s="8" t="inlineStr">
        <is>
          <t>COMPLETO</t>
        </is>
      </c>
      <c r="I58" s="14" t="n">
        <v>0</v>
      </c>
      <c r="J58" s="8" t="inlineStr">
        <is>
          <t>PENDIENTE</t>
        </is>
      </c>
      <c r="K58" s="14" t="n">
        <v>0</v>
      </c>
      <c r="L58" s="8" t="inlineStr">
        <is>
          <t>PENDIENTE</t>
        </is>
      </c>
      <c r="M58" s="42" t="n"/>
      <c r="N58" s="8" t="inlineStr"/>
    </row>
    <row r="59">
      <c r="A59" s="6" t="inlineStr">
        <is>
          <t>Huancabamba</t>
        </is>
      </c>
      <c r="B59" s="6" t="inlineStr">
        <is>
          <t>Huarmaca</t>
        </is>
      </c>
      <c r="C59" s="6" t="inlineStr">
        <is>
          <t>Cambruran</t>
        </is>
      </c>
      <c r="D59" s="6" t="inlineStr">
        <is>
          <t>41</t>
        </is>
      </c>
      <c r="E59" s="9" t="n">
        <v>15</v>
      </c>
      <c r="F59" s="10" t="n">
        <v>1</v>
      </c>
      <c r="G59" s="10" t="n">
        <v>2</v>
      </c>
      <c r="H59" s="6" t="inlineStr">
        <is>
          <t>COMPLETO</t>
        </is>
      </c>
      <c r="I59" s="10" t="n">
        <v>1</v>
      </c>
      <c r="J59" s="6" t="inlineStr">
        <is>
          <t>COMPLETO</t>
        </is>
      </c>
      <c r="K59" s="10" t="n">
        <v>0</v>
      </c>
      <c r="L59" s="6" t="inlineStr">
        <is>
          <t>PENDIENTE</t>
        </is>
      </c>
      <c r="M59" s="41" t="n">
        <v>46255</v>
      </c>
      <c r="N59" s="6" t="inlineStr">
        <is>
          <t>Nombre correcto es "Camaruran"</t>
        </is>
      </c>
    </row>
    <row r="60">
      <c r="A60" s="8" t="inlineStr">
        <is>
          <t>Huancabamba</t>
        </is>
      </c>
      <c r="B60" s="8" t="inlineStr">
        <is>
          <t>Huarmaca</t>
        </is>
      </c>
      <c r="C60" s="8" t="inlineStr">
        <is>
          <t>Chignia Baja</t>
        </is>
      </c>
      <c r="D60" s="8" t="inlineStr">
        <is>
          <t>M4B3</t>
        </is>
      </c>
      <c r="E60" s="13" t="n">
        <v>51</v>
      </c>
      <c r="F60" s="14" t="n">
        <v>2</v>
      </c>
      <c r="G60" s="14" t="n">
        <v>2</v>
      </c>
      <c r="H60" s="8" t="inlineStr">
        <is>
          <t>COMPLETO</t>
        </is>
      </c>
      <c r="I60" s="14" t="n">
        <v>1</v>
      </c>
      <c r="J60" s="8" t="inlineStr">
        <is>
          <t>COMPLETO</t>
        </is>
      </c>
      <c r="K60" s="14" t="n">
        <v>0</v>
      </c>
      <c r="L60" s="8" t="inlineStr">
        <is>
          <t>PENDIENTE</t>
        </is>
      </c>
      <c r="M60" s="42" t="n">
        <v>46244</v>
      </c>
      <c r="N60" s="8" t="inlineStr"/>
    </row>
    <row r="61">
      <c r="A61" s="6" t="inlineStr">
        <is>
          <t>Huancabamba</t>
        </is>
      </c>
      <c r="B61" s="6" t="inlineStr">
        <is>
          <t>Huarmaca</t>
        </is>
      </c>
      <c r="C61" s="6" t="inlineStr">
        <is>
          <t>Chococa</t>
        </is>
      </c>
      <c r="D61" s="6" t="inlineStr">
        <is>
          <t>73</t>
        </is>
      </c>
      <c r="E61" s="9" t="n">
        <v>34</v>
      </c>
      <c r="F61" s="10" t="n">
        <v>1</v>
      </c>
      <c r="G61" s="10" t="n">
        <v>2</v>
      </c>
      <c r="H61" s="6" t="inlineStr">
        <is>
          <t>COMPLETO</t>
        </is>
      </c>
      <c r="I61" s="10" t="n">
        <v>1</v>
      </c>
      <c r="J61" s="6" t="inlineStr">
        <is>
          <t>COMPLETO</t>
        </is>
      </c>
      <c r="K61" s="10" t="n">
        <v>0</v>
      </c>
      <c r="L61" s="6" t="inlineStr">
        <is>
          <t>PENDIENTE</t>
        </is>
      </c>
      <c r="M61" s="41" t="n">
        <v>46255</v>
      </c>
      <c r="N61" s="6" t="inlineStr"/>
    </row>
    <row r="62">
      <c r="A62" s="8" t="inlineStr">
        <is>
          <t>Huancabamba</t>
        </is>
      </c>
      <c r="B62" s="8" t="inlineStr">
        <is>
          <t>Huarmaca</t>
        </is>
      </c>
      <c r="C62" s="8" t="inlineStr">
        <is>
          <t>Cruz Roja</t>
        </is>
      </c>
      <c r="D62" s="8" t="inlineStr">
        <is>
          <t>80</t>
        </is>
      </c>
      <c r="E62" s="13" t="n">
        <v>37</v>
      </c>
      <c r="F62" s="14" t="n">
        <v>2</v>
      </c>
      <c r="G62" s="14" t="n">
        <v>2</v>
      </c>
      <c r="H62" s="8" t="inlineStr">
        <is>
          <t>COMPLETO</t>
        </is>
      </c>
      <c r="I62" s="14" t="n">
        <v>1</v>
      </c>
      <c r="J62" s="8" t="inlineStr">
        <is>
          <t>COMPLETO</t>
        </is>
      </c>
      <c r="K62" s="14" t="n">
        <v>0</v>
      </c>
      <c r="L62" s="8" t="inlineStr">
        <is>
          <t>PENDIENTE</t>
        </is>
      </c>
      <c r="M62" s="42" t="n">
        <v>46253</v>
      </c>
      <c r="N62" s="8" t="inlineStr"/>
    </row>
    <row r="63">
      <c r="A63" s="6" t="inlineStr">
        <is>
          <t>Huancabamba</t>
        </is>
      </c>
      <c r="B63" s="6" t="inlineStr">
        <is>
          <t>Huarmaca</t>
        </is>
      </c>
      <c r="C63" s="6" t="inlineStr">
        <is>
          <t>Faicalito</t>
        </is>
      </c>
      <c r="D63" s="6" t="inlineStr">
        <is>
          <t>M12B1</t>
        </is>
      </c>
      <c r="E63" s="9" t="n">
        <v>36</v>
      </c>
      <c r="F63" s="10" t="n">
        <v>1</v>
      </c>
      <c r="G63" s="10" t="n">
        <v>0</v>
      </c>
      <c r="H63" s="6" t="inlineStr">
        <is>
          <t>PENDIENTE</t>
        </is>
      </c>
      <c r="I63" s="10" t="n">
        <v>0</v>
      </c>
      <c r="J63" s="6" t="inlineStr">
        <is>
          <t>PENDIENTE</t>
        </is>
      </c>
      <c r="K63" s="10" t="n">
        <v>0</v>
      </c>
      <c r="L63" s="6" t="inlineStr">
        <is>
          <t>PENDIENTE</t>
        </is>
      </c>
      <c r="M63" s="41" t="n">
        <v>46244</v>
      </c>
      <c r="N63" s="6" t="inlineStr">
        <is>
          <t>Se propone descartar el caserío por la distancia al bloque</t>
        </is>
      </c>
    </row>
    <row r="64">
      <c r="A64" s="8" t="inlineStr">
        <is>
          <t>Huancabamba</t>
        </is>
      </c>
      <c r="B64" s="8" t="inlineStr">
        <is>
          <t>Huarmaca</t>
        </is>
      </c>
      <c r="C64" s="8" t="inlineStr">
        <is>
          <t>Hualanga</t>
        </is>
      </c>
      <c r="D64" s="8" t="inlineStr">
        <is>
          <t>76</t>
        </is>
      </c>
      <c r="E64" s="13" t="n">
        <v>56</v>
      </c>
      <c r="F64" s="14" t="n">
        <v>2</v>
      </c>
      <c r="G64" s="14" t="n">
        <v>2</v>
      </c>
      <c r="H64" s="8" t="inlineStr">
        <is>
          <t>COMPLETO</t>
        </is>
      </c>
      <c r="I64" s="14" t="n">
        <v>1</v>
      </c>
      <c r="J64" s="8" t="inlineStr">
        <is>
          <t>COMPLETO</t>
        </is>
      </c>
      <c r="K64" s="14" t="n">
        <v>0</v>
      </c>
      <c r="L64" s="8" t="inlineStr">
        <is>
          <t>PENDIENTE</t>
        </is>
      </c>
      <c r="M64" s="42" t="n">
        <v>46253</v>
      </c>
      <c r="N64" s="8" t="inlineStr"/>
    </row>
    <row r="65">
      <c r="A65" s="6" t="inlineStr">
        <is>
          <t>Huancabamba</t>
        </is>
      </c>
      <c r="B65" s="6" t="inlineStr">
        <is>
          <t>Huarmaca</t>
        </is>
      </c>
      <c r="C65" s="6" t="inlineStr">
        <is>
          <t>Hualanga Pampa</t>
        </is>
      </c>
      <c r="D65" s="6" t="inlineStr">
        <is>
          <t>69</t>
        </is>
      </c>
      <c r="E65" s="9" t="n">
        <v>11</v>
      </c>
      <c r="F65" s="10" t="n">
        <v>0</v>
      </c>
      <c r="G65" s="10" t="n">
        <v>0</v>
      </c>
      <c r="H65" s="6" t="inlineStr">
        <is>
          <t>COMPLETO</t>
        </is>
      </c>
      <c r="I65" s="10" t="n">
        <v>0</v>
      </c>
      <c r="J65" s="6" t="inlineStr">
        <is>
          <t>PENDIENTE</t>
        </is>
      </c>
      <c r="K65" s="10" t="n">
        <v>0</v>
      </c>
      <c r="L65" s="6" t="inlineStr">
        <is>
          <t>PENDIENTE</t>
        </is>
      </c>
      <c r="M65" s="41" t="n"/>
      <c r="N65" s="6" t="inlineStr">
        <is>
          <t>Bloque ubicado, pero el nombre de los caserio Molle y Hualanga Pampa no ubicados cerca del bloque. Se propone descartar caserío</t>
        </is>
      </c>
    </row>
    <row r="66">
      <c r="A66" s="8" t="inlineStr">
        <is>
          <t>Huancabamba</t>
        </is>
      </c>
      <c r="B66" s="8" t="inlineStr">
        <is>
          <t>Huarmaca</t>
        </is>
      </c>
      <c r="C66" s="8" t="inlineStr">
        <is>
          <t>Hualcas I</t>
        </is>
      </c>
      <c r="D66" s="8" t="inlineStr">
        <is>
          <t>M4B4</t>
        </is>
      </c>
      <c r="E66" s="13" t="n">
        <v>59</v>
      </c>
      <c r="F66" s="14" t="n">
        <v>2</v>
      </c>
      <c r="G66" s="14" t="n">
        <v>2</v>
      </c>
      <c r="H66" s="8" t="inlineStr">
        <is>
          <t>COMPLETO</t>
        </is>
      </c>
      <c r="I66" s="14" t="n">
        <v>1</v>
      </c>
      <c r="J66" s="8" t="inlineStr">
        <is>
          <t>COMPLETO</t>
        </is>
      </c>
      <c r="K66" s="14" t="n">
        <v>0</v>
      </c>
      <c r="L66" s="8" t="inlineStr">
        <is>
          <t>PENDIENTE</t>
        </is>
      </c>
      <c r="M66" s="42" t="n">
        <v>46244</v>
      </c>
      <c r="N66" s="8" t="inlineStr">
        <is>
          <t>Se socializó al TG y al presidente de la comunidad. Solo se hizo entrevista al presidente de la comunidad (no quiso firmar por desconfianza y pidió otra reunión). Pobladores se identifican con Salitral porque les llega programas sociales.</t>
        </is>
      </c>
    </row>
    <row r="67">
      <c r="A67" s="6" t="inlineStr">
        <is>
          <t>Huancabamba</t>
        </is>
      </c>
      <c r="B67" s="6" t="inlineStr">
        <is>
          <t>Huarmaca</t>
        </is>
      </c>
      <c r="C67" s="6" t="inlineStr">
        <is>
          <t>Hualcas Ii</t>
        </is>
      </c>
      <c r="D67" s="6" t="inlineStr">
        <is>
          <t>M4B4</t>
        </is>
      </c>
      <c r="E67" s="9" t="n">
        <v>47</v>
      </c>
      <c r="F67" s="10" t="n">
        <v>2</v>
      </c>
      <c r="G67" s="10" t="n">
        <v>2</v>
      </c>
      <c r="H67" s="6" t="inlineStr">
        <is>
          <t>COMPLETO</t>
        </is>
      </c>
      <c r="I67" s="10" t="n">
        <v>1</v>
      </c>
      <c r="J67" s="6" t="inlineStr">
        <is>
          <t>COMPLETO</t>
        </is>
      </c>
      <c r="K67" s="10" t="n">
        <v>0</v>
      </c>
      <c r="L67" s="6" t="inlineStr">
        <is>
          <t>PENDIENTE</t>
        </is>
      </c>
      <c r="M67" s="41" t="n">
        <v>46244</v>
      </c>
      <c r="N67" s="6" t="inlineStr">
        <is>
          <t>Se socializó al TG y al presidente de la comunidad. Solo se hizo entrevista al presidente de la comunidad (no quiso firmar por desconfianza y pidió otra reunión). Pobladores se identifican con Salitral porque les llega programas sociales.</t>
        </is>
      </c>
    </row>
    <row r="68">
      <c r="A68" s="8" t="inlineStr">
        <is>
          <t>Huancabamba</t>
        </is>
      </c>
      <c r="B68" s="8" t="inlineStr">
        <is>
          <t>Huarmaca</t>
        </is>
      </c>
      <c r="C68" s="8" t="inlineStr">
        <is>
          <t>La Peña</t>
        </is>
      </c>
      <c r="D68" s="8" t="inlineStr">
        <is>
          <t>10</t>
        </is>
      </c>
      <c r="E68" s="13" t="n">
        <v>35</v>
      </c>
      <c r="F68" s="14" t="n">
        <v>1</v>
      </c>
      <c r="G68" s="14" t="n">
        <v>3</v>
      </c>
      <c r="H68" s="8" t="inlineStr">
        <is>
          <t>COMPLETO</t>
        </is>
      </c>
      <c r="I68" s="14" t="n">
        <v>1</v>
      </c>
      <c r="J68" s="8" t="inlineStr">
        <is>
          <t>COMPLETO</t>
        </is>
      </c>
      <c r="K68" s="14" t="n">
        <v>0</v>
      </c>
      <c r="L68" s="8" t="inlineStr">
        <is>
          <t>PENDIENTE</t>
        </is>
      </c>
      <c r="M68" s="42" t="n">
        <v>46246</v>
      </c>
      <c r="N68" s="8" t="inlineStr"/>
    </row>
    <row r="69">
      <c r="A69" s="6" t="inlineStr">
        <is>
          <t>Huancabamba</t>
        </is>
      </c>
      <c r="B69" s="6" t="inlineStr">
        <is>
          <t>Huarmaca</t>
        </is>
      </c>
      <c r="C69" s="6" t="inlineStr">
        <is>
          <t>La Rinconada</t>
        </is>
      </c>
      <c r="D69" s="6" t="inlineStr">
        <is>
          <t>4</t>
        </is>
      </c>
      <c r="E69" s="9" t="n">
        <v>81</v>
      </c>
      <c r="F69" s="10" t="n">
        <v>3</v>
      </c>
      <c r="G69" s="10" t="n">
        <v>3</v>
      </c>
      <c r="H69" s="6" t="inlineStr">
        <is>
          <t>COMPLETO</t>
        </is>
      </c>
      <c r="I69" s="10" t="n">
        <v>1</v>
      </c>
      <c r="J69" s="6" t="inlineStr">
        <is>
          <t>COMPLETO</t>
        </is>
      </c>
      <c r="K69" s="10" t="n">
        <v>0</v>
      </c>
      <c r="L69" s="6" t="inlineStr">
        <is>
          <t>PENDIENTE</t>
        </is>
      </c>
      <c r="M69" s="41" t="n">
        <v>46259</v>
      </c>
      <c r="N69" s="6" t="inlineStr">
        <is>
          <t>Fichas del 20/08/2026 y del 25/08/2026</t>
        </is>
      </c>
    </row>
    <row r="70">
      <c r="A70" s="8" t="inlineStr">
        <is>
          <t>Huancabamba</t>
        </is>
      </c>
      <c r="B70" s="8" t="inlineStr">
        <is>
          <t>Huarmaca</t>
        </is>
      </c>
      <c r="C70" s="8" t="inlineStr">
        <is>
          <t>Laguna De Paltama</t>
        </is>
      </c>
      <c r="D70" s="8" t="inlineStr">
        <is>
          <t>16</t>
        </is>
      </c>
      <c r="E70" s="13" t="n">
        <v>47</v>
      </c>
      <c r="F70" s="14" t="n">
        <v>2</v>
      </c>
      <c r="G70" s="14" t="n">
        <v>2</v>
      </c>
      <c r="H70" s="8" t="inlineStr">
        <is>
          <t>COMPLETO</t>
        </is>
      </c>
      <c r="I70" s="14" t="n">
        <v>1</v>
      </c>
      <c r="J70" s="8" t="inlineStr">
        <is>
          <t>COMPLETO</t>
        </is>
      </c>
      <c r="K70" s="14" t="n">
        <v>0</v>
      </c>
      <c r="L70" s="8" t="inlineStr">
        <is>
          <t>PENDIENTE</t>
        </is>
      </c>
      <c r="M70" s="42" t="n">
        <v>46246</v>
      </c>
      <c r="N70" s="8" t="inlineStr"/>
    </row>
    <row r="71">
      <c r="A71" s="6" t="inlineStr">
        <is>
          <t>Huancabamba</t>
        </is>
      </c>
      <c r="B71" s="6" t="inlineStr">
        <is>
          <t>Huarmaca</t>
        </is>
      </c>
      <c r="C71" s="6" t="inlineStr">
        <is>
          <t>Molle</t>
        </is>
      </c>
      <c r="D71" s="6" t="inlineStr">
        <is>
          <t>69</t>
        </is>
      </c>
      <c r="E71" s="9" t="n">
        <v>24</v>
      </c>
      <c r="F71" s="10" t="n">
        <v>1</v>
      </c>
      <c r="G71" s="10" t="n">
        <v>0</v>
      </c>
      <c r="H71" s="6" t="inlineStr">
        <is>
          <t>PENDIENTE</t>
        </is>
      </c>
      <c r="I71" s="10" t="n">
        <v>0</v>
      </c>
      <c r="J71" s="6" t="inlineStr">
        <is>
          <t>PENDIENTE</t>
        </is>
      </c>
      <c r="K71" s="10" t="n">
        <v>0</v>
      </c>
      <c r="L71" s="6" t="inlineStr">
        <is>
          <t>PENDIENTE</t>
        </is>
      </c>
      <c r="M71" s="41" t="n">
        <v>46255</v>
      </c>
      <c r="N71" s="6" t="inlineStr">
        <is>
          <t>Caserío no ubicado cerca ni lejos del bloque, según maps es en otro camino distinto al bloque</t>
        </is>
      </c>
    </row>
    <row r="72">
      <c r="A72" s="8" t="inlineStr">
        <is>
          <t>Huancabamba</t>
        </is>
      </c>
      <c r="B72" s="8" t="inlineStr">
        <is>
          <t>Huarmaca</t>
        </is>
      </c>
      <c r="C72" s="8" t="inlineStr">
        <is>
          <t>Nueva Esperanza</t>
        </is>
      </c>
      <c r="D72" s="8" t="inlineStr">
        <is>
          <t>M12B1</t>
        </is>
      </c>
      <c r="E72" s="13" t="n">
        <v>39</v>
      </c>
      <c r="F72" s="14" t="n">
        <v>2</v>
      </c>
      <c r="G72" s="14" t="n">
        <v>2</v>
      </c>
      <c r="H72" s="8" t="inlineStr">
        <is>
          <t>COMPLETO</t>
        </is>
      </c>
      <c r="I72" s="14" t="n">
        <v>1</v>
      </c>
      <c r="J72" s="8" t="inlineStr">
        <is>
          <t>COMPLETO</t>
        </is>
      </c>
      <c r="K72" s="14" t="n">
        <v>0</v>
      </c>
      <c r="L72" s="8" t="inlineStr">
        <is>
          <t>PENDIENTE</t>
        </is>
      </c>
      <c r="M72" s="42" t="n">
        <v>46244</v>
      </c>
      <c r="N72" s="8" t="inlineStr">
        <is>
          <t>pertenece a la CC San José de Hualcas, por lo que, se entrevistó a la misma autoridad que es el presidente de la comunidad, el cual no quiso firmar por desconfianza</t>
        </is>
      </c>
    </row>
    <row r="73">
      <c r="A73" s="6" t="inlineStr">
        <is>
          <t>Huancabamba</t>
        </is>
      </c>
      <c r="B73" s="6" t="inlineStr">
        <is>
          <t>Huarmaca</t>
        </is>
      </c>
      <c r="C73" s="6" t="inlineStr">
        <is>
          <t>Nuevo Progreso</t>
        </is>
      </c>
      <c r="D73" s="6" t="inlineStr">
        <is>
          <t>19</t>
        </is>
      </c>
      <c r="E73" s="9" t="n">
        <v>17</v>
      </c>
      <c r="F73" s="10" t="n">
        <v>1</v>
      </c>
      <c r="G73" s="10" t="n">
        <v>2</v>
      </c>
      <c r="H73" s="6" t="inlineStr">
        <is>
          <t>COMPLETO</t>
        </is>
      </c>
      <c r="I73" s="10" t="n">
        <v>1</v>
      </c>
      <c r="J73" s="6" t="inlineStr">
        <is>
          <t>COMPLETO</t>
        </is>
      </c>
      <c r="K73" s="10" t="n">
        <v>0</v>
      </c>
      <c r="L73" s="6" t="inlineStr">
        <is>
          <t>PENDIENTE</t>
        </is>
      </c>
      <c r="M73" s="41" t="n">
        <v>46254</v>
      </c>
      <c r="N73" s="6" t="inlineStr"/>
    </row>
    <row r="74">
      <c r="A74" s="8" t="inlineStr">
        <is>
          <t>Huancabamba</t>
        </is>
      </c>
      <c r="B74" s="8" t="inlineStr">
        <is>
          <t>Huarmaca</t>
        </is>
      </c>
      <c r="C74" s="8" t="inlineStr">
        <is>
          <t>Piedra Blanca</t>
        </is>
      </c>
      <c r="D74" s="8" t="inlineStr">
        <is>
          <t>18</t>
        </is>
      </c>
      <c r="E74" s="13" t="n">
        <v>13</v>
      </c>
      <c r="F74" s="14" t="n">
        <v>1</v>
      </c>
      <c r="G74" s="14" t="n">
        <v>1</v>
      </c>
      <c r="H74" s="8" t="inlineStr">
        <is>
          <t>COMPLETO</t>
        </is>
      </c>
      <c r="I74" s="14" t="n">
        <v>1</v>
      </c>
      <c r="J74" s="8" t="inlineStr">
        <is>
          <t>COMPLETO</t>
        </is>
      </c>
      <c r="K74" s="14" t="n">
        <v>0</v>
      </c>
      <c r="L74" s="8" t="inlineStr">
        <is>
          <t>PENDIENTE</t>
        </is>
      </c>
      <c r="M74" s="42" t="n">
        <v>46254</v>
      </c>
      <c r="N74" s="8" t="inlineStr"/>
    </row>
    <row r="75">
      <c r="A75" s="6" t="inlineStr">
        <is>
          <t>Huancabamba</t>
        </is>
      </c>
      <c r="B75" s="6" t="inlineStr">
        <is>
          <t>Huarmaca</t>
        </is>
      </c>
      <c r="C75" s="6" t="inlineStr">
        <is>
          <t>Piedra Grande</t>
        </is>
      </c>
      <c r="D75" s="6" t="inlineStr">
        <is>
          <t>67</t>
        </is>
      </c>
      <c r="E75" s="9" t="n">
        <v>8</v>
      </c>
      <c r="F75" s="10" t="n">
        <v>1</v>
      </c>
      <c r="G75" s="10" t="n">
        <v>0</v>
      </c>
      <c r="H75" s="6" t="inlineStr">
        <is>
          <t>PENDIENTE</t>
        </is>
      </c>
      <c r="I75" s="10" t="n">
        <v>0</v>
      </c>
      <c r="J75" s="6" t="inlineStr">
        <is>
          <t>PENDIENTE</t>
        </is>
      </c>
      <c r="K75" s="10" t="n">
        <v>0</v>
      </c>
      <c r="L75" s="6" t="inlineStr">
        <is>
          <t>PENDIENTE</t>
        </is>
      </c>
      <c r="M75" s="41" t="n">
        <v>46254</v>
      </c>
      <c r="N75" s="6" t="inlineStr">
        <is>
          <t>Se propone descartar el caserío por la distancia al bloque y no encontrar población. En su reemplazo se encontró al Anexo Guayaquil del caserío Quitahuajara, que pertenece a SMFaique</t>
        </is>
      </c>
    </row>
    <row r="76">
      <c r="A76" s="8" t="inlineStr">
        <is>
          <t>Huancabamba</t>
        </is>
      </c>
      <c r="B76" s="8" t="inlineStr">
        <is>
          <t>Huarmaca</t>
        </is>
      </c>
      <c r="C76" s="8" t="inlineStr">
        <is>
          <t>Pirga</t>
        </is>
      </c>
      <c r="D76" s="8" t="inlineStr">
        <is>
          <t>71</t>
        </is>
      </c>
      <c r="E76" s="13" t="n">
        <v>85</v>
      </c>
      <c r="F76" s="14" t="n">
        <v>4</v>
      </c>
      <c r="G76" s="14" t="n">
        <v>4</v>
      </c>
      <c r="H76" s="8" t="inlineStr">
        <is>
          <t>COMPLETO</t>
        </is>
      </c>
      <c r="I76" s="14" t="n">
        <v>1</v>
      </c>
      <c r="J76" s="8" t="inlineStr">
        <is>
          <t>COMPLETO</t>
        </is>
      </c>
      <c r="K76" s="14" t="n">
        <v>0</v>
      </c>
      <c r="L76" s="8" t="inlineStr">
        <is>
          <t>PENDIENTE</t>
        </is>
      </c>
      <c r="M76" s="42" t="n">
        <v>46252</v>
      </c>
      <c r="N76" s="8" t="inlineStr">
        <is>
          <t>Fichas DS01 se aplicaron las fechas 18/08/2026 y 25/08/2026. Ficha DS03 el 18/08/2026</t>
        </is>
      </c>
    </row>
    <row r="77">
      <c r="A77" s="6" t="inlineStr">
        <is>
          <t>Huancabamba</t>
        </is>
      </c>
      <c r="B77" s="6" t="inlineStr">
        <is>
          <t>Huarmaca</t>
        </is>
      </c>
      <c r="C77" s="6" t="inlineStr">
        <is>
          <t>Pirga</t>
        </is>
      </c>
      <c r="D77" s="6" t="inlineStr">
        <is>
          <t>8</t>
        </is>
      </c>
      <c r="E77" s="9" t="n">
        <v>85</v>
      </c>
      <c r="F77" s="10" t="n">
        <v>4</v>
      </c>
      <c r="G77" s="10" t="n">
        <v>4</v>
      </c>
      <c r="H77" s="6" t="inlineStr">
        <is>
          <t>COMPLETO</t>
        </is>
      </c>
      <c r="I77" s="10" t="n">
        <v>1</v>
      </c>
      <c r="J77" s="6" t="inlineStr">
        <is>
          <t>COMPLETO</t>
        </is>
      </c>
      <c r="K77" s="10" t="n">
        <v>0</v>
      </c>
      <c r="L77" s="6" t="inlineStr">
        <is>
          <t>PENDIENTE</t>
        </is>
      </c>
      <c r="M77" s="41" t="n">
        <v>46259</v>
      </c>
      <c r="N77" s="6" t="inlineStr">
        <is>
          <t>Fichas DS01 se aplicaron las fechas 18/08/2026 y 25/08/2026. Ficha DS03 el 18/08/2026</t>
        </is>
      </c>
    </row>
    <row r="78">
      <c r="A78" s="8" t="inlineStr">
        <is>
          <t>Huancabamba</t>
        </is>
      </c>
      <c r="B78" s="8" t="inlineStr">
        <is>
          <t>Huarmaca</t>
        </is>
      </c>
      <c r="C78" s="8" t="inlineStr">
        <is>
          <t>Ramon Castilla</t>
        </is>
      </c>
      <c r="D78" s="8" t="inlineStr">
        <is>
          <t>72</t>
        </is>
      </c>
      <c r="E78" s="13" t="n">
        <v>56</v>
      </c>
      <c r="F78" s="14" t="n">
        <v>2</v>
      </c>
      <c r="G78" s="14" t="n">
        <v>2</v>
      </c>
      <c r="H78" s="8" t="inlineStr">
        <is>
          <t>COMPLETO</t>
        </is>
      </c>
      <c r="I78" s="14" t="n">
        <v>1</v>
      </c>
      <c r="J78" s="8" t="inlineStr">
        <is>
          <t>COMPLETO</t>
        </is>
      </c>
      <c r="K78" s="14" t="n">
        <v>0</v>
      </c>
      <c r="L78" s="8" t="inlineStr">
        <is>
          <t>PENDIENTE</t>
        </is>
      </c>
      <c r="M78" s="42" t="n">
        <v>46246</v>
      </c>
      <c r="N78" s="8" t="inlineStr">
        <is>
          <t>El 20/08/2026 Leslie completó las fichas DS01</t>
        </is>
      </c>
    </row>
    <row r="79">
      <c r="A79" s="6" t="inlineStr">
        <is>
          <t>Huancabamba</t>
        </is>
      </c>
      <c r="B79" s="6" t="inlineStr">
        <is>
          <t>Huarmaca</t>
        </is>
      </c>
      <c r="C79" s="6" t="inlineStr">
        <is>
          <t>Sahuate Hualanga</t>
        </is>
      </c>
      <c r="D79" s="6" t="inlineStr">
        <is>
          <t>76</t>
        </is>
      </c>
      <c r="E79" s="9" t="n">
        <v>54</v>
      </c>
      <c r="F79" s="10" t="n">
        <v>2</v>
      </c>
      <c r="G79" s="10" t="n"/>
      <c r="H79" s="6" t="inlineStr">
        <is>
          <t>SIN REGISTRO</t>
        </is>
      </c>
      <c r="I79" s="10" t="n"/>
      <c r="J79" s="6" t="inlineStr">
        <is>
          <t>SIN REGISTRO</t>
        </is>
      </c>
      <c r="K79" s="10" t="n"/>
      <c r="L79" s="6" t="inlineStr">
        <is>
          <t>SIN REGISTRO</t>
        </is>
      </c>
      <c r="M79" s="41" t="n"/>
      <c r="N79" s="6" t="inlineStr"/>
    </row>
    <row r="80">
      <c r="A80" s="8" t="inlineStr">
        <is>
          <t>Huancabamba</t>
        </is>
      </c>
      <c r="B80" s="8" t="inlineStr">
        <is>
          <t>Huarmaca</t>
        </is>
      </c>
      <c r="C80" s="8" t="inlineStr">
        <is>
          <t>San Antonio De Succhirca</t>
        </is>
      </c>
      <c r="D80" s="8" t="inlineStr">
        <is>
          <t>4</t>
        </is>
      </c>
      <c r="E80" s="13" t="n">
        <v>35</v>
      </c>
      <c r="F80" s="14" t="n">
        <v>1</v>
      </c>
      <c r="G80" s="14" t="n">
        <v>2</v>
      </c>
      <c r="H80" s="8" t="inlineStr">
        <is>
          <t>COMPLETO</t>
        </is>
      </c>
      <c r="I80" s="14" t="n">
        <v>1</v>
      </c>
      <c r="J80" s="8" t="inlineStr">
        <is>
          <t>COMPLETO</t>
        </is>
      </c>
      <c r="K80" s="14" t="n">
        <v>0</v>
      </c>
      <c r="L80" s="8" t="inlineStr">
        <is>
          <t>PENDIENTE</t>
        </is>
      </c>
      <c r="M80" s="42" t="n">
        <v>46254</v>
      </c>
      <c r="N80" s="8" t="inlineStr"/>
    </row>
    <row r="81">
      <c r="A81" s="6" t="inlineStr">
        <is>
          <t>Huancabamba</t>
        </is>
      </c>
      <c r="B81" s="6" t="inlineStr">
        <is>
          <t>Huarmaca</t>
        </is>
      </c>
      <c r="C81" s="6" t="inlineStr">
        <is>
          <t>Shain</t>
        </is>
      </c>
      <c r="D81" s="6" t="inlineStr">
        <is>
          <t>51</t>
        </is>
      </c>
      <c r="E81" s="9" t="n">
        <v>57</v>
      </c>
      <c r="F81" s="10" t="n">
        <v>2</v>
      </c>
      <c r="G81" s="10" t="n">
        <v>1</v>
      </c>
      <c r="H81" s="6" t="inlineStr">
        <is>
          <t>PENDIENTE</t>
        </is>
      </c>
      <c r="I81" s="10" t="n">
        <v>0</v>
      </c>
      <c r="J81" s="6" t="inlineStr">
        <is>
          <t>PENDIENTE</t>
        </is>
      </c>
      <c r="K81" s="10" t="n">
        <v>0</v>
      </c>
      <c r="L81" s="6" t="inlineStr">
        <is>
          <t>PENDIENTE</t>
        </is>
      </c>
      <c r="M81" s="41" t="n">
        <v>46247</v>
      </c>
      <c r="N81" s="6" t="inlineStr">
        <is>
          <t>Se propone descartar el caserío por la distancia al bloque</t>
        </is>
      </c>
    </row>
    <row r="82">
      <c r="A82" s="8" t="inlineStr">
        <is>
          <t>Huancabamba</t>
        </is>
      </c>
      <c r="B82" s="8" t="inlineStr">
        <is>
          <t>Huarmaca</t>
        </is>
      </c>
      <c r="C82" s="8" t="inlineStr">
        <is>
          <t>Tabluran</t>
        </is>
      </c>
      <c r="D82" s="8" t="inlineStr">
        <is>
          <t>19</t>
        </is>
      </c>
      <c r="E82" s="13" t="n">
        <v>20</v>
      </c>
      <c r="F82" s="14" t="n">
        <v>1</v>
      </c>
      <c r="G82" s="14" t="n">
        <v>2</v>
      </c>
      <c r="H82" s="8" t="inlineStr">
        <is>
          <t>COMPLETO</t>
        </is>
      </c>
      <c r="I82" s="14" t="n">
        <v>1</v>
      </c>
      <c r="J82" s="8" t="inlineStr">
        <is>
          <t>COMPLETO</t>
        </is>
      </c>
      <c r="K82" s="14" t="n">
        <v>0</v>
      </c>
      <c r="L82" s="8" t="inlineStr">
        <is>
          <t>PENDIENTE</t>
        </is>
      </c>
      <c r="M82" s="42" t="n">
        <v>46253</v>
      </c>
      <c r="N82" s="8" t="inlineStr">
        <is>
          <t>El bloque más cercano es el "68", sin embargo, el excel indica que es el "19". Revisar por el equipo técnico</t>
        </is>
      </c>
    </row>
    <row r="83">
      <c r="A83" s="6" t="inlineStr">
        <is>
          <t>Huancabamba</t>
        </is>
      </c>
      <c r="B83" s="6" t="inlineStr">
        <is>
          <t>Huarmaca</t>
        </is>
      </c>
      <c r="C83" s="6" t="inlineStr">
        <is>
          <t>Talla</t>
        </is>
      </c>
      <c r="D83" s="6" t="inlineStr">
        <is>
          <t>51</t>
        </is>
      </c>
      <c r="E83" s="9" t="n">
        <v>41</v>
      </c>
      <c r="F83" s="10" t="n">
        <v>2</v>
      </c>
      <c r="G83" s="10" t="n">
        <v>2</v>
      </c>
      <c r="H83" s="6" t="inlineStr">
        <is>
          <t>COMPLETO</t>
        </is>
      </c>
      <c r="I83" s="10" t="n">
        <v>1</v>
      </c>
      <c r="J83" s="6" t="inlineStr">
        <is>
          <t>COMPLETO</t>
        </is>
      </c>
      <c r="K83" s="10" t="n">
        <v>0</v>
      </c>
      <c r="L83" s="6" t="inlineStr">
        <is>
          <t>PENDIENTE</t>
        </is>
      </c>
      <c r="M83" s="41" t="n">
        <v>46247</v>
      </c>
      <c r="N83" s="6" t="inlineStr"/>
    </row>
    <row r="84">
      <c r="A84" s="8" t="inlineStr">
        <is>
          <t>Huancabamba</t>
        </is>
      </c>
      <c r="B84" s="8" t="inlineStr">
        <is>
          <t>Huarmaca</t>
        </is>
      </c>
      <c r="C84" s="8" t="inlineStr">
        <is>
          <t>Tupac Amaru</t>
        </is>
      </c>
      <c r="D84" s="8" t="inlineStr">
        <is>
          <t>20</t>
        </is>
      </c>
      <c r="E84" s="13" t="n">
        <v>38</v>
      </c>
      <c r="F84" s="14" t="n">
        <v>2</v>
      </c>
      <c r="G84" s="14" t="n">
        <v>2</v>
      </c>
      <c r="H84" s="8" t="inlineStr">
        <is>
          <t>COMPLETO</t>
        </is>
      </c>
      <c r="I84" s="14" t="n">
        <v>1</v>
      </c>
      <c r="J84" s="8" t="inlineStr">
        <is>
          <t>COMPLETO</t>
        </is>
      </c>
      <c r="K84" s="14" t="n">
        <v>0</v>
      </c>
      <c r="L84" s="8" t="inlineStr">
        <is>
          <t>PENDIENTE</t>
        </is>
      </c>
      <c r="M84" s="42" t="n">
        <v>46252</v>
      </c>
      <c r="N84" s="8" t="inlineStr"/>
    </row>
    <row r="85">
      <c r="A85" s="6" t="inlineStr">
        <is>
          <t>Huancabamba</t>
        </is>
      </c>
      <c r="B85" s="6" t="inlineStr">
        <is>
          <t>Huarmaca</t>
        </is>
      </c>
      <c r="C85" s="6" t="inlineStr">
        <is>
          <t>Yumbe</t>
        </is>
      </c>
      <c r="D85" s="6" t="inlineStr">
        <is>
          <t>80</t>
        </is>
      </c>
      <c r="E85" s="9" t="n">
        <v>15</v>
      </c>
      <c r="F85" s="10" t="n">
        <v>1</v>
      </c>
      <c r="G85" s="10" t="n"/>
      <c r="H85" s="6" t="inlineStr">
        <is>
          <t>SIN REGISTRO</t>
        </is>
      </c>
      <c r="I85" s="10" t="n"/>
      <c r="J85" s="6" t="inlineStr">
        <is>
          <t>SIN REGISTRO</t>
        </is>
      </c>
      <c r="K85" s="10" t="n"/>
      <c r="L85" s="6" t="inlineStr">
        <is>
          <t>SIN REGISTRO</t>
        </is>
      </c>
      <c r="M85" s="41" t="n"/>
      <c r="N85" s="6" t="inlineStr">
        <is>
          <t>Albert indicó que el caserío está muy lejano al bloque, se propone descartar el caserío</t>
        </is>
      </c>
    </row>
    <row r="86">
      <c r="A86" s="8" t="inlineStr">
        <is>
          <t>Huancabamba</t>
        </is>
      </c>
      <c r="B86" s="8" t="inlineStr">
        <is>
          <t>Huarmaca</t>
        </is>
      </c>
      <c r="C86" s="8" t="inlineStr">
        <is>
          <t>Zururan</t>
        </is>
      </c>
      <c r="D86" s="8" t="inlineStr">
        <is>
          <t>53</t>
        </is>
      </c>
      <c r="E86" s="13" t="n">
        <v>44</v>
      </c>
      <c r="F86" s="14" t="n">
        <v>2</v>
      </c>
      <c r="G86" s="14" t="n">
        <v>2</v>
      </c>
      <c r="H86" s="8" t="inlineStr">
        <is>
          <t>COMPLETO</t>
        </is>
      </c>
      <c r="I86" s="14" t="n">
        <v>1</v>
      </c>
      <c r="J86" s="8" t="inlineStr">
        <is>
          <t>COMPLETO</t>
        </is>
      </c>
      <c r="K86" s="14" t="n">
        <v>0</v>
      </c>
      <c r="L86" s="8" t="inlineStr">
        <is>
          <t>PENDIENTE</t>
        </is>
      </c>
      <c r="M86" s="42" t="n">
        <v>46258</v>
      </c>
      <c r="N86" s="8" t="inlineStr"/>
    </row>
    <row r="87">
      <c r="A87" s="6" t="inlineStr">
        <is>
          <t>Huancabamba</t>
        </is>
      </c>
      <c r="B87" s="6" t="inlineStr">
        <is>
          <t>Huarmaca</t>
        </is>
      </c>
      <c r="C87" s="6" t="inlineStr">
        <is>
          <t>Zururan</t>
        </is>
      </c>
      <c r="D87" s="6" t="inlineStr">
        <is>
          <t>70</t>
        </is>
      </c>
      <c r="E87" s="9" t="n">
        <v>44</v>
      </c>
      <c r="F87" s="10" t="n">
        <v>2</v>
      </c>
      <c r="G87" s="10" t="n">
        <v>2</v>
      </c>
      <c r="H87" s="6" t="inlineStr">
        <is>
          <t>COMPLETO</t>
        </is>
      </c>
      <c r="I87" s="10" t="n">
        <v>1</v>
      </c>
      <c r="J87" s="6" t="inlineStr">
        <is>
          <t>COMPLETO</t>
        </is>
      </c>
      <c r="K87" s="10" t="n">
        <v>0</v>
      </c>
      <c r="L87" s="6" t="inlineStr">
        <is>
          <t>PENDIENTE</t>
        </is>
      </c>
      <c r="M87" s="41" t="n">
        <v>46258</v>
      </c>
      <c r="N87" s="6" t="inlineStr"/>
    </row>
    <row r="88">
      <c r="A88" s="8" t="inlineStr">
        <is>
          <t>Huancabamba</t>
        </is>
      </c>
      <c r="B88" s="8" t="inlineStr">
        <is>
          <t>Huarmaca</t>
        </is>
      </c>
      <c r="C88" s="8" t="inlineStr">
        <is>
          <t>(En Blanco)</t>
        </is>
      </c>
      <c r="D88" s="8" t="inlineStr">
        <is>
          <t>31</t>
        </is>
      </c>
      <c r="E88" s="13" t="n">
        <v>0</v>
      </c>
      <c r="F88" s="14" t="n">
        <v>0</v>
      </c>
      <c r="G88" s="14" t="n">
        <v>0</v>
      </c>
      <c r="H88" s="8" t="inlineStr">
        <is>
          <t>COMPLETO</t>
        </is>
      </c>
      <c r="I88" s="14" t="n">
        <v>0</v>
      </c>
      <c r="J88" s="8" t="inlineStr">
        <is>
          <t>PENDIENTE</t>
        </is>
      </c>
      <c r="K88" s="14" t="n">
        <v>0</v>
      </c>
      <c r="L88" s="8" t="inlineStr">
        <is>
          <t>PENDIENTE</t>
        </is>
      </c>
      <c r="M88" s="42" t="n"/>
      <c r="N88" s="8" t="inlineStr"/>
    </row>
    <row r="89">
      <c r="A89" s="6" t="inlineStr">
        <is>
          <t>Huancabamba</t>
        </is>
      </c>
      <c r="B89" s="6" t="inlineStr">
        <is>
          <t>Lalaquiz</t>
        </is>
      </c>
      <c r="C89" s="6" t="inlineStr">
        <is>
          <t>El Papayo</t>
        </is>
      </c>
      <c r="D89" s="6" t="inlineStr">
        <is>
          <t>37</t>
        </is>
      </c>
      <c r="E89" s="9" t="n">
        <v>89</v>
      </c>
      <c r="F89" s="10" t="n">
        <v>4</v>
      </c>
      <c r="G89" s="10" t="n">
        <v>4</v>
      </c>
      <c r="H89" s="6" t="inlineStr">
        <is>
          <t>COMPLETO</t>
        </is>
      </c>
      <c r="I89" s="10" t="n">
        <v>1</v>
      </c>
      <c r="J89" s="6" t="inlineStr">
        <is>
          <t>COMPLETO</t>
        </is>
      </c>
      <c r="K89" s="10" t="n">
        <v>0</v>
      </c>
      <c r="L89" s="6" t="inlineStr">
        <is>
          <t>PENDIENTE</t>
        </is>
      </c>
      <c r="M89" s="41" t="n">
        <v>46280</v>
      </c>
      <c r="N89" s="6" t="inlineStr">
        <is>
          <t>Florencio Loardo realizó sensibilización. Stefany completó las fichas</t>
        </is>
      </c>
    </row>
    <row r="90">
      <c r="A90" s="8" t="inlineStr">
        <is>
          <t>Huancabamba</t>
        </is>
      </c>
      <c r="B90" s="8" t="inlineStr">
        <is>
          <t>Lalaquiz</t>
        </is>
      </c>
      <c r="C90" s="8" t="inlineStr">
        <is>
          <t>La Laguna</t>
        </is>
      </c>
      <c r="D90" s="8" t="inlineStr">
        <is>
          <t>26</t>
        </is>
      </c>
      <c r="E90" s="13" t="n">
        <v>121</v>
      </c>
      <c r="F90" s="14" t="n">
        <v>5</v>
      </c>
      <c r="G90" s="14" t="n">
        <v>5</v>
      </c>
      <c r="H90" s="8" t="inlineStr">
        <is>
          <t>COMPLETO</t>
        </is>
      </c>
      <c r="I90" s="14" t="n">
        <v>1</v>
      </c>
      <c r="J90" s="8" t="inlineStr">
        <is>
          <t>COMPLETO</t>
        </is>
      </c>
      <c r="K90" s="14" t="n">
        <v>0</v>
      </c>
      <c r="L90" s="8" t="inlineStr">
        <is>
          <t>PENDIENTE</t>
        </is>
      </c>
      <c r="M90" s="42" t="n">
        <v>46219</v>
      </c>
      <c r="N90" s="8" t="inlineStr">
        <is>
          <t>Pendiente de entregar por el Ing. Florencio Loardo. Stefany culminó las fichas el 15/09/2026</t>
        </is>
      </c>
    </row>
    <row r="91">
      <c r="A91" s="6" t="inlineStr">
        <is>
          <t>Huancabamba</t>
        </is>
      </c>
      <c r="B91" s="6" t="inlineStr">
        <is>
          <t>Lalaquiz</t>
        </is>
      </c>
      <c r="C91" s="6" t="inlineStr">
        <is>
          <t>Maray Chico</t>
        </is>
      </c>
      <c r="D91" s="6" t="inlineStr">
        <is>
          <t>34</t>
        </is>
      </c>
      <c r="E91" s="9" t="n">
        <v>59</v>
      </c>
      <c r="F91" s="10" t="n">
        <v>2</v>
      </c>
      <c r="G91" s="10" t="n">
        <v>3</v>
      </c>
      <c r="H91" s="6" t="inlineStr">
        <is>
          <t>COMPLETO</t>
        </is>
      </c>
      <c r="I91" s="10" t="n">
        <v>1</v>
      </c>
      <c r="J91" s="6" t="inlineStr">
        <is>
          <t>COMPLETO</t>
        </is>
      </c>
      <c r="K91" s="10" t="n">
        <v>0</v>
      </c>
      <c r="L91" s="6" t="inlineStr">
        <is>
          <t>PENDIENTE</t>
        </is>
      </c>
      <c r="M91" s="41" t="n">
        <v>46279</v>
      </c>
      <c r="N91" s="6" t="inlineStr"/>
    </row>
    <row r="92">
      <c r="A92" s="8" t="inlineStr">
        <is>
          <t>Huancabamba</t>
        </is>
      </c>
      <c r="B92" s="8" t="inlineStr">
        <is>
          <t>Lalaquiz</t>
        </is>
      </c>
      <c r="C92" s="8" t="inlineStr">
        <is>
          <t>Maray Grande</t>
        </is>
      </c>
      <c r="D92" s="8" t="inlineStr">
        <is>
          <t>34</t>
        </is>
      </c>
      <c r="E92" s="13" t="n">
        <v>0</v>
      </c>
      <c r="F92" s="14" t="n">
        <v>0</v>
      </c>
      <c r="G92" s="14" t="n">
        <v>1</v>
      </c>
      <c r="H92" s="8" t="inlineStr">
        <is>
          <t>COMPLETO</t>
        </is>
      </c>
      <c r="I92" s="14" t="n">
        <v>1</v>
      </c>
      <c r="J92" s="8" t="inlineStr">
        <is>
          <t>COMPLETO</t>
        </is>
      </c>
      <c r="K92" s="14" t="n">
        <v>0</v>
      </c>
      <c r="L92" s="8" t="inlineStr">
        <is>
          <t>PENDIENTE</t>
        </is>
      </c>
      <c r="M92" s="42" t="n">
        <v>46279</v>
      </c>
      <c r="N92" s="8" t="inlineStr"/>
    </row>
    <row r="93">
      <c r="A93" s="6" t="inlineStr">
        <is>
          <t>Huancabamba</t>
        </is>
      </c>
      <c r="B93" s="6" t="inlineStr">
        <is>
          <t>Lalaquiz</t>
        </is>
      </c>
      <c r="C93" s="6" t="inlineStr">
        <is>
          <t>Pedregal</t>
        </is>
      </c>
      <c r="D93" s="6" t="inlineStr">
        <is>
          <t>61</t>
        </is>
      </c>
      <c r="E93" s="9" t="n">
        <v>5</v>
      </c>
      <c r="F93" s="10" t="n">
        <v>1</v>
      </c>
      <c r="G93" s="10" t="n">
        <v>2</v>
      </c>
      <c r="H93" s="6" t="inlineStr">
        <is>
          <t>COMPLETO</t>
        </is>
      </c>
      <c r="I93" s="10" t="n">
        <v>1</v>
      </c>
      <c r="J93" s="6" t="inlineStr">
        <is>
          <t>COMPLETO</t>
        </is>
      </c>
      <c r="K93" s="10" t="n">
        <v>0</v>
      </c>
      <c r="L93" s="6" t="inlineStr">
        <is>
          <t>PENDIENTE</t>
        </is>
      </c>
      <c r="M93" s="41" t="n">
        <v>46281</v>
      </c>
      <c r="N93" s="6" t="inlineStr"/>
    </row>
    <row r="94">
      <c r="A94" s="8" t="inlineStr">
        <is>
          <t>Huancabamba</t>
        </is>
      </c>
      <c r="B94" s="8" t="inlineStr">
        <is>
          <t>Lalaquiz</t>
        </is>
      </c>
      <c r="C94" s="8" t="inlineStr">
        <is>
          <t>Ullma</t>
        </is>
      </c>
      <c r="D94" s="8" t="inlineStr">
        <is>
          <t>38</t>
        </is>
      </c>
      <c r="E94" s="13" t="n">
        <v>70</v>
      </c>
      <c r="F94" s="14" t="n">
        <v>3</v>
      </c>
      <c r="G94" s="14" t="n">
        <v>3</v>
      </c>
      <c r="H94" s="8" t="inlineStr">
        <is>
          <t>COMPLETO</t>
        </is>
      </c>
      <c r="I94" s="14" t="n">
        <v>1</v>
      </c>
      <c r="J94" s="8" t="inlineStr">
        <is>
          <t>COMPLETO</t>
        </is>
      </c>
      <c r="K94" s="14" t="n">
        <v>0</v>
      </c>
      <c r="L94" s="8" t="inlineStr">
        <is>
          <t>PENDIENTE</t>
        </is>
      </c>
      <c r="M94" s="42" t="n">
        <v>46279</v>
      </c>
      <c r="N94" s="8" t="inlineStr"/>
    </row>
    <row r="95">
      <c r="A95" s="6" t="inlineStr">
        <is>
          <t>Huancabamba</t>
        </is>
      </c>
      <c r="B95" s="6" t="inlineStr">
        <is>
          <t>Lalaquiz</t>
        </is>
      </c>
      <c r="C95" s="6" t="inlineStr">
        <is>
          <t>(En Blanco)</t>
        </is>
      </c>
      <c r="D95" s="6" t="inlineStr">
        <is>
          <t>50</t>
        </is>
      </c>
      <c r="E95" s="9" t="n">
        <v>0</v>
      </c>
      <c r="F95" s="10" t="n">
        <v>0</v>
      </c>
      <c r="G95" s="10" t="n">
        <v>0</v>
      </c>
      <c r="H95" s="6" t="inlineStr">
        <is>
          <t>COMPLETO</t>
        </is>
      </c>
      <c r="I95" s="10" t="n">
        <v>0</v>
      </c>
      <c r="J95" s="6" t="inlineStr">
        <is>
          <t>PENDIENTE</t>
        </is>
      </c>
      <c r="K95" s="10" t="n">
        <v>0</v>
      </c>
      <c r="L95" s="6" t="inlineStr">
        <is>
          <t>PENDIENTE</t>
        </is>
      </c>
      <c r="M95" s="41" t="n"/>
      <c r="N95" s="6" t="inlineStr"/>
    </row>
    <row r="96">
      <c r="A96" s="8" t="inlineStr">
        <is>
          <t>Huancabamba</t>
        </is>
      </c>
      <c r="B96" s="8" t="inlineStr">
        <is>
          <t>San Miguel de El Faique</t>
        </is>
      </c>
      <c r="C96" s="8" t="inlineStr">
        <is>
          <t>Chamelico</t>
        </is>
      </c>
      <c r="D96" s="8" t="inlineStr">
        <is>
          <t>35</t>
        </is>
      </c>
      <c r="E96" s="13" t="n">
        <v>43</v>
      </c>
      <c r="F96" s="14" t="n">
        <v>2</v>
      </c>
      <c r="G96" s="14" t="n">
        <v>3</v>
      </c>
      <c r="H96" s="8" t="inlineStr">
        <is>
          <t>COMPLETO</t>
        </is>
      </c>
      <c r="I96" s="14" t="n">
        <v>1</v>
      </c>
      <c r="J96" s="8" t="inlineStr">
        <is>
          <t>COMPLETO</t>
        </is>
      </c>
      <c r="K96" s="14" t="n">
        <v>0</v>
      </c>
      <c r="L96" s="8" t="inlineStr">
        <is>
          <t>PENDIENTE</t>
        </is>
      </c>
      <c r="M96" s="42" t="n">
        <v>46248</v>
      </c>
      <c r="N96" s="8" t="inlineStr"/>
    </row>
    <row r="97">
      <c r="A97" s="6" t="inlineStr">
        <is>
          <t>Huancabamba</t>
        </is>
      </c>
      <c r="B97" s="6" t="inlineStr">
        <is>
          <t>San Miguel de El Faique</t>
        </is>
      </c>
      <c r="C97" s="6" t="inlineStr">
        <is>
          <t>Coyona</t>
        </is>
      </c>
      <c r="D97" s="6" t="inlineStr">
        <is>
          <t>43</t>
        </is>
      </c>
      <c r="E97" s="9" t="n">
        <v>34</v>
      </c>
      <c r="F97" s="10" t="n">
        <v>1</v>
      </c>
      <c r="G97" s="10" t="n">
        <v>2</v>
      </c>
      <c r="H97" s="6" t="inlineStr">
        <is>
          <t>COMPLETO</t>
        </is>
      </c>
      <c r="I97" s="10" t="n">
        <v>1</v>
      </c>
      <c r="J97" s="6" t="inlineStr">
        <is>
          <t>COMPLETO</t>
        </is>
      </c>
      <c r="K97" s="10" t="n">
        <v>0</v>
      </c>
      <c r="L97" s="6" t="inlineStr">
        <is>
          <t>PENDIENTE</t>
        </is>
      </c>
      <c r="M97" s="41" t="n">
        <v>46224</v>
      </c>
      <c r="N97" s="6" t="inlineStr"/>
    </row>
    <row r="98">
      <c r="A98" s="8" t="inlineStr">
        <is>
          <t>Huancabamba</t>
        </is>
      </c>
      <c r="B98" s="8" t="inlineStr">
        <is>
          <t>San Miguel de El Faique</t>
        </is>
      </c>
      <c r="C98" s="8" t="inlineStr">
        <is>
          <t>Cruz De Piedra</t>
        </is>
      </c>
      <c r="D98" s="8" t="inlineStr">
        <is>
          <t>44</t>
        </is>
      </c>
      <c r="E98" s="13" t="n">
        <v>25</v>
      </c>
      <c r="F98" s="14" t="n">
        <v>1</v>
      </c>
      <c r="G98" s="14" t="n">
        <v>2</v>
      </c>
      <c r="H98" s="8" t="inlineStr">
        <is>
          <t>COMPLETO</t>
        </is>
      </c>
      <c r="I98" s="14" t="n">
        <v>1</v>
      </c>
      <c r="J98" s="8" t="inlineStr">
        <is>
          <t>COMPLETO</t>
        </is>
      </c>
      <c r="K98" s="14" t="n">
        <v>0</v>
      </c>
      <c r="L98" s="8" t="inlineStr">
        <is>
          <t>PENDIENTE</t>
        </is>
      </c>
      <c r="M98" s="42" t="n">
        <v>46225</v>
      </c>
      <c r="N98" s="8" t="inlineStr"/>
    </row>
    <row r="99">
      <c r="A99" s="6" t="inlineStr">
        <is>
          <t>Huancabamba</t>
        </is>
      </c>
      <c r="B99" s="6" t="inlineStr">
        <is>
          <t>San Miguel de El Faique</t>
        </is>
      </c>
      <c r="C99" s="6" t="inlineStr">
        <is>
          <t>El Higueron</t>
        </is>
      </c>
      <c r="D99" s="6" t="inlineStr">
        <is>
          <t>9</t>
        </is>
      </c>
      <c r="E99" s="9" t="n">
        <v>93</v>
      </c>
      <c r="F99" s="10" t="n">
        <v>4</v>
      </c>
      <c r="G99" s="10" t="n">
        <v>4</v>
      </c>
      <c r="H99" s="6" t="inlineStr">
        <is>
          <t>COMPLETO</t>
        </is>
      </c>
      <c r="I99" s="10" t="n">
        <v>1</v>
      </c>
      <c r="J99" s="6" t="inlineStr">
        <is>
          <t>COMPLETO</t>
        </is>
      </c>
      <c r="K99" s="10" t="n">
        <v>0</v>
      </c>
      <c r="L99" s="6" t="inlineStr">
        <is>
          <t>PENDIENTE</t>
        </is>
      </c>
      <c r="M99" s="41" t="n">
        <v>46224</v>
      </c>
      <c r="N99" s="6" t="inlineStr"/>
    </row>
    <row r="100">
      <c r="A100" s="8" t="inlineStr">
        <is>
          <t>Huancabamba</t>
        </is>
      </c>
      <c r="B100" s="8" t="inlineStr">
        <is>
          <t>San Miguel de El Faique</t>
        </is>
      </c>
      <c r="C100" s="8" t="inlineStr">
        <is>
          <t>Gaspar</t>
        </is>
      </c>
      <c r="D100" s="8" t="inlineStr">
        <is>
          <t>47</t>
        </is>
      </c>
      <c r="E100" s="13" t="n">
        <v>41</v>
      </c>
      <c r="F100" s="14" t="n">
        <v>2</v>
      </c>
      <c r="G100" s="14" t="n">
        <v>2</v>
      </c>
      <c r="H100" s="8" t="inlineStr">
        <is>
          <t>COMPLETO</t>
        </is>
      </c>
      <c r="I100" s="14" t="n">
        <v>1</v>
      </c>
      <c r="J100" s="8" t="inlineStr">
        <is>
          <t>COMPLETO</t>
        </is>
      </c>
      <c r="K100" s="14" t="n">
        <v>0</v>
      </c>
      <c r="L100" s="8" t="inlineStr">
        <is>
          <t>PENDIENTE</t>
        </is>
      </c>
      <c r="M100" s="42" t="n">
        <v>46238</v>
      </c>
      <c r="N100" s="8" t="inlineStr"/>
    </row>
    <row r="101">
      <c r="A101" s="6" t="inlineStr">
        <is>
          <t>Huancabamba</t>
        </is>
      </c>
      <c r="B101" s="6" t="inlineStr">
        <is>
          <t>San Miguel de El Faique</t>
        </is>
      </c>
      <c r="C101" s="6" t="inlineStr">
        <is>
          <t>Huacas Baja</t>
        </is>
      </c>
      <c r="D101" s="6" t="inlineStr">
        <is>
          <t>M2B8</t>
        </is>
      </c>
      <c r="E101" s="9" t="n">
        <v>50</v>
      </c>
      <c r="F101" s="10" t="n">
        <v>2</v>
      </c>
      <c r="G101" s="10" t="n">
        <v>2</v>
      </c>
      <c r="H101" s="6" t="inlineStr">
        <is>
          <t>COMPLETO</t>
        </is>
      </c>
      <c r="I101" s="10" t="n">
        <v>1</v>
      </c>
      <c r="J101" s="6" t="inlineStr">
        <is>
          <t>COMPLETO</t>
        </is>
      </c>
      <c r="K101" s="10" t="n">
        <v>0</v>
      </c>
      <c r="L101" s="6" t="inlineStr">
        <is>
          <t>PENDIENTE</t>
        </is>
      </c>
      <c r="M101" s="41" t="n">
        <v>46238</v>
      </c>
      <c r="N101" s="6" t="inlineStr"/>
    </row>
    <row r="102">
      <c r="A102" s="8" t="inlineStr">
        <is>
          <t>Huancabamba</t>
        </is>
      </c>
      <c r="B102" s="8" t="inlineStr">
        <is>
          <t>San Miguel de El Faique</t>
        </is>
      </c>
      <c r="C102" s="8" t="inlineStr">
        <is>
          <t>La Capilla</t>
        </is>
      </c>
      <c r="D102" s="8" t="inlineStr">
        <is>
          <t>9</t>
        </is>
      </c>
      <c r="E102" s="13" t="n">
        <v>0</v>
      </c>
      <c r="F102" s="14" t="n">
        <v>0</v>
      </c>
      <c r="G102" s="14" t="n">
        <v>2</v>
      </c>
      <c r="H102" s="8" t="inlineStr">
        <is>
          <t>COMPLETO</t>
        </is>
      </c>
      <c r="I102" s="14" t="n">
        <v>1</v>
      </c>
      <c r="J102" s="8" t="inlineStr">
        <is>
          <t>COMPLETO</t>
        </is>
      </c>
      <c r="K102" s="14" t="n">
        <v>0</v>
      </c>
      <c r="L102" s="8" t="inlineStr">
        <is>
          <t>PENDIENTE</t>
        </is>
      </c>
      <c r="M102" s="42" t="n">
        <v>46254</v>
      </c>
      <c r="N102" s="8" t="inlineStr"/>
    </row>
    <row r="103">
      <c r="A103" s="6" t="inlineStr">
        <is>
          <t>Huancabamba</t>
        </is>
      </c>
      <c r="B103" s="6" t="inlineStr">
        <is>
          <t>San Miguel de El Faique</t>
        </is>
      </c>
      <c r="C103" s="6" t="inlineStr">
        <is>
          <t>Las Huacas</t>
        </is>
      </c>
      <c r="D103" s="6" t="inlineStr">
        <is>
          <t>M20B1</t>
        </is>
      </c>
      <c r="E103" s="9" t="n">
        <v>82</v>
      </c>
      <c r="F103" s="10" t="n">
        <v>3</v>
      </c>
      <c r="G103" s="10" t="n">
        <v>3</v>
      </c>
      <c r="H103" s="6" t="inlineStr">
        <is>
          <t>COMPLETO</t>
        </is>
      </c>
      <c r="I103" s="10" t="n">
        <v>1</v>
      </c>
      <c r="J103" s="6" t="inlineStr">
        <is>
          <t>COMPLETO</t>
        </is>
      </c>
      <c r="K103" s="10" t="n">
        <v>0</v>
      </c>
      <c r="L103" s="6" t="inlineStr">
        <is>
          <t>PENDIENTE</t>
        </is>
      </c>
      <c r="M103" s="41" t="n">
        <v>46238</v>
      </c>
      <c r="N103" s="6" t="inlineStr">
        <is>
          <t>Se entrevistó a una sola autoridad (T.G.), ya que, es el mismo caserío Las Huacas para los bloques M20B1 y M2B8</t>
        </is>
      </c>
    </row>
    <row r="104">
      <c r="A104" s="8" t="inlineStr">
        <is>
          <t>Huancabamba</t>
        </is>
      </c>
      <c r="B104" s="8" t="inlineStr">
        <is>
          <t>San Miguel de El Faique</t>
        </is>
      </c>
      <c r="C104" s="8" t="inlineStr">
        <is>
          <t>Las Huacas</t>
        </is>
      </c>
      <c r="D104" s="8" t="inlineStr">
        <is>
          <t>M2B8</t>
        </is>
      </c>
      <c r="E104" s="13" t="n">
        <v>41</v>
      </c>
      <c r="F104" s="14" t="n">
        <v>2</v>
      </c>
      <c r="G104" s="14" t="n">
        <v>2</v>
      </c>
      <c r="H104" s="8" t="inlineStr">
        <is>
          <t>COMPLETO</t>
        </is>
      </c>
      <c r="I104" s="14" t="n">
        <v>1</v>
      </c>
      <c r="J104" s="8" t="inlineStr">
        <is>
          <t>COMPLETO</t>
        </is>
      </c>
      <c r="K104" s="14" t="n">
        <v>0</v>
      </c>
      <c r="L104" s="8" t="inlineStr">
        <is>
          <t>PENDIENTE</t>
        </is>
      </c>
      <c r="M104" s="42" t="n">
        <v>46238</v>
      </c>
      <c r="N104" s="8" t="inlineStr">
        <is>
          <t>Se entrevistó a una sola autoridad (T.G.), ya que, es el mismo caserío Las Huacas para los bloques M20B1 y M2B8</t>
        </is>
      </c>
    </row>
    <row r="105">
      <c r="A105" s="6" t="inlineStr">
        <is>
          <t>Huancabamba</t>
        </is>
      </c>
      <c r="B105" s="6" t="inlineStr">
        <is>
          <t>San Miguel de El Faique</t>
        </is>
      </c>
      <c r="C105" s="6" t="inlineStr">
        <is>
          <t>Pizarrume</t>
        </is>
      </c>
      <c r="D105" s="6" t="inlineStr">
        <is>
          <t>43</t>
        </is>
      </c>
      <c r="E105" s="9" t="n">
        <v>65</v>
      </c>
      <c r="F105" s="10" t="n">
        <v>3</v>
      </c>
      <c r="G105" s="10" t="n">
        <v>3</v>
      </c>
      <c r="H105" s="6" t="inlineStr">
        <is>
          <t>COMPLETO</t>
        </is>
      </c>
      <c r="I105" s="10" t="n">
        <v>1</v>
      </c>
      <c r="J105" s="6" t="inlineStr">
        <is>
          <t>COMPLETO</t>
        </is>
      </c>
      <c r="K105" s="10" t="n">
        <v>0</v>
      </c>
      <c r="L105" s="6" t="inlineStr">
        <is>
          <t>PENDIENTE</t>
        </is>
      </c>
      <c r="M105" s="41" t="n">
        <v>46224</v>
      </c>
      <c r="N105" s="6" t="inlineStr"/>
    </row>
    <row r="106">
      <c r="A106" s="8" t="inlineStr">
        <is>
          <t>Huancabamba</t>
        </is>
      </c>
      <c r="B106" s="8" t="inlineStr">
        <is>
          <t>San Miguel de El Faique</t>
        </is>
      </c>
      <c r="C106" s="8" t="inlineStr">
        <is>
          <t>Quitahuajara</t>
        </is>
      </c>
      <c r="D106" s="8" t="inlineStr">
        <is>
          <t>35</t>
        </is>
      </c>
      <c r="E106" s="13" t="n">
        <v>30</v>
      </c>
      <c r="F106" s="14" t="n">
        <v>1</v>
      </c>
      <c r="G106" s="14" t="n">
        <v>1</v>
      </c>
      <c r="H106" s="8" t="inlineStr">
        <is>
          <t>COMPLETO</t>
        </is>
      </c>
      <c r="I106" s="14" t="n">
        <v>0</v>
      </c>
      <c r="J106" s="8" t="inlineStr">
        <is>
          <t>PENDIENTE</t>
        </is>
      </c>
      <c r="K106" s="14" t="n">
        <v>0</v>
      </c>
      <c r="L106" s="8" t="inlineStr">
        <is>
          <t>PENDIENTE</t>
        </is>
      </c>
      <c r="M106" s="42" t="n">
        <v>46254</v>
      </c>
      <c r="N106" s="8" t="inlineStr">
        <is>
          <t>Por cercanía al bloque "67" se socializó a una pobladora, sin embargo, el excel dice bloque "35"</t>
        </is>
      </c>
    </row>
    <row r="107">
      <c r="A107" s="6" t="inlineStr">
        <is>
          <t>Huancabamba</t>
        </is>
      </c>
      <c r="B107" s="6" t="inlineStr">
        <is>
          <t>San Miguel de El Faique</t>
        </is>
      </c>
      <c r="C107" s="6" t="inlineStr">
        <is>
          <t>Santa Rosa</t>
        </is>
      </c>
      <c r="D107" s="6" t="inlineStr">
        <is>
          <t>M22B1</t>
        </is>
      </c>
      <c r="E107" s="9" t="n">
        <v>9</v>
      </c>
      <c r="F107" s="10" t="n">
        <v>1</v>
      </c>
      <c r="G107" s="10" t="n">
        <v>2</v>
      </c>
      <c r="H107" s="6" t="inlineStr">
        <is>
          <t>COMPLETO</t>
        </is>
      </c>
      <c r="I107" s="10" t="n">
        <v>1</v>
      </c>
      <c r="J107" s="6" t="inlineStr">
        <is>
          <t>COMPLETO</t>
        </is>
      </c>
      <c r="K107" s="10" t="n">
        <v>0</v>
      </c>
      <c r="L107" s="6" t="inlineStr">
        <is>
          <t>PENDIENTE</t>
        </is>
      </c>
      <c r="M107" s="41" t="n">
        <v>46225</v>
      </c>
      <c r="N107" s="6" t="inlineStr"/>
    </row>
    <row r="108">
      <c r="A108" s="8" t="inlineStr">
        <is>
          <t>Morropón</t>
        </is>
      </c>
      <c r="B108" s="8" t="inlineStr">
        <is>
          <t>Buenos Aires</t>
        </is>
      </c>
      <c r="C108" s="8" t="inlineStr">
        <is>
          <t>Buenos Aires</t>
        </is>
      </c>
      <c r="D108" s="8" t="inlineStr">
        <is>
          <t>M6B2-2</t>
        </is>
      </c>
      <c r="E108" s="13" t="n">
        <v>50</v>
      </c>
      <c r="F108" s="14" t="n">
        <v>2</v>
      </c>
      <c r="G108" s="14" t="n">
        <v>2</v>
      </c>
      <c r="H108" s="8" t="inlineStr">
        <is>
          <t>COMPLETO</t>
        </is>
      </c>
      <c r="I108" s="14" t="n">
        <v>1</v>
      </c>
      <c r="J108" s="8" t="inlineStr">
        <is>
          <t>COMPLETO</t>
        </is>
      </c>
      <c r="K108" s="14" t="n">
        <v>0</v>
      </c>
      <c r="L108" s="8" t="inlineStr">
        <is>
          <t>PENDIENTE</t>
        </is>
      </c>
      <c r="M108" s="42" t="n">
        <v>46219</v>
      </c>
      <c r="N108" s="8" t="inlineStr"/>
    </row>
    <row r="109">
      <c r="A109" s="6" t="inlineStr">
        <is>
          <t>Morropón</t>
        </is>
      </c>
      <c r="B109" s="6" t="inlineStr">
        <is>
          <t>Buenos Aires</t>
        </is>
      </c>
      <c r="C109" s="6" t="inlineStr">
        <is>
          <t>El Ala</t>
        </is>
      </c>
      <c r="D109" s="6" t="inlineStr">
        <is>
          <t>5</t>
        </is>
      </c>
      <c r="E109" s="9" t="n">
        <v>24</v>
      </c>
      <c r="F109" s="10" t="n">
        <v>1</v>
      </c>
      <c r="G109" s="10" t="n">
        <v>1</v>
      </c>
      <c r="H109" s="6" t="inlineStr">
        <is>
          <t>COMPLETO</t>
        </is>
      </c>
      <c r="I109" s="10" t="n">
        <v>2</v>
      </c>
      <c r="J109" s="6" t="inlineStr">
        <is>
          <t>COMPLETO</t>
        </is>
      </c>
      <c r="K109" s="10" t="n">
        <v>0</v>
      </c>
      <c r="L109" s="6" t="inlineStr">
        <is>
          <t>PENDIENTE</t>
        </is>
      </c>
      <c r="M109" s="41" t="n">
        <v>46183</v>
      </c>
      <c r="N109" s="6" t="inlineStr"/>
    </row>
    <row r="110">
      <c r="A110" s="8" t="inlineStr">
        <is>
          <t>Morropón</t>
        </is>
      </c>
      <c r="B110" s="8" t="inlineStr">
        <is>
          <t>Buenos Aires</t>
        </is>
      </c>
      <c r="C110" s="8" t="inlineStr">
        <is>
          <t>Hualas</t>
        </is>
      </c>
      <c r="D110" s="8" t="inlineStr">
        <is>
          <t>M18B1</t>
        </is>
      </c>
      <c r="E110" s="13" t="n">
        <v>26</v>
      </c>
      <c r="F110" s="14" t="n">
        <v>1</v>
      </c>
      <c r="G110" s="14" t="n">
        <v>2</v>
      </c>
      <c r="H110" s="8" t="inlineStr">
        <is>
          <t>COMPLETO</t>
        </is>
      </c>
      <c r="I110" s="14" t="n">
        <v>1</v>
      </c>
      <c r="J110" s="8" t="inlineStr">
        <is>
          <t>COMPLETO</t>
        </is>
      </c>
      <c r="K110" s="14" t="n">
        <v>0</v>
      </c>
      <c r="L110" s="8" t="inlineStr">
        <is>
          <t>PENDIENTE</t>
        </is>
      </c>
      <c r="M110" s="42" t="n">
        <v>46219</v>
      </c>
      <c r="N110" s="8" t="inlineStr"/>
    </row>
    <row r="111">
      <c r="A111" s="6" t="inlineStr">
        <is>
          <t>Morropón</t>
        </is>
      </c>
      <c r="B111" s="6" t="inlineStr">
        <is>
          <t>Buenos Aires</t>
        </is>
      </c>
      <c r="C111" s="6" t="inlineStr">
        <is>
          <t>Ingenio De Buenos Aires</t>
        </is>
      </c>
      <c r="D111" s="6" t="inlineStr">
        <is>
          <t>M6B10</t>
        </is>
      </c>
      <c r="E111" s="9" t="n">
        <v>58.5</v>
      </c>
      <c r="F111" s="10" t="n">
        <v>2</v>
      </c>
      <c r="G111" s="10" t="n">
        <v>2</v>
      </c>
      <c r="H111" s="6" t="inlineStr">
        <is>
          <t>COMPLETO</t>
        </is>
      </c>
      <c r="I111" s="10" t="n">
        <v>2</v>
      </c>
      <c r="J111" s="6" t="inlineStr">
        <is>
          <t>COMPLETO</t>
        </is>
      </c>
      <c r="K111" s="10" t="n">
        <v>0</v>
      </c>
      <c r="L111" s="6" t="inlineStr">
        <is>
          <t>PENDIENTE</t>
        </is>
      </c>
      <c r="M111" s="41" t="n">
        <v>46190</v>
      </c>
      <c r="N111" s="6" t="inlineStr"/>
    </row>
    <row r="112">
      <c r="A112" s="8" t="inlineStr">
        <is>
          <t>Morropón</t>
        </is>
      </c>
      <c r="B112" s="8" t="inlineStr">
        <is>
          <t>Buenos Aires</t>
        </is>
      </c>
      <c r="C112" s="8" t="inlineStr">
        <is>
          <t>Juan Velasco</t>
        </is>
      </c>
      <c r="D112" s="8" t="inlineStr">
        <is>
          <t>5</t>
        </is>
      </c>
      <c r="E112" s="13" t="n">
        <v>25</v>
      </c>
      <c r="F112" s="14" t="n">
        <v>1</v>
      </c>
      <c r="G112" s="14" t="n">
        <v>1</v>
      </c>
      <c r="H112" s="8" t="inlineStr">
        <is>
          <t>COMPLETO</t>
        </is>
      </c>
      <c r="I112" s="14" t="n">
        <v>1</v>
      </c>
      <c r="J112" s="8" t="inlineStr">
        <is>
          <t>COMPLETO</t>
        </is>
      </c>
      <c r="K112" s="14" t="n">
        <v>0</v>
      </c>
      <c r="L112" s="8" t="inlineStr">
        <is>
          <t>PENDIENTE</t>
        </is>
      </c>
      <c r="M112" s="42" t="n">
        <v>46183</v>
      </c>
      <c r="N112" s="8" t="inlineStr"/>
    </row>
    <row r="113">
      <c r="A113" s="6" t="inlineStr">
        <is>
          <t>Morropón</t>
        </is>
      </c>
      <c r="B113" s="6" t="inlineStr">
        <is>
          <t>Buenos Aires</t>
        </is>
      </c>
      <c r="C113" s="6" t="inlineStr">
        <is>
          <t>La Maravilla</t>
        </is>
      </c>
      <c r="D113" s="6" t="inlineStr">
        <is>
          <t>M6B10</t>
        </is>
      </c>
      <c r="E113" s="9" t="n">
        <v>76</v>
      </c>
      <c r="F113" s="10" t="n">
        <v>3</v>
      </c>
      <c r="G113" s="10" t="n">
        <v>3</v>
      </c>
      <c r="H113" s="6" t="inlineStr">
        <is>
          <t>COMPLETO</t>
        </is>
      </c>
      <c r="I113" s="10" t="n">
        <v>1</v>
      </c>
      <c r="J113" s="6" t="inlineStr">
        <is>
          <t>COMPLETO</t>
        </is>
      </c>
      <c r="K113" s="10" t="n">
        <v>0</v>
      </c>
      <c r="L113" s="6" t="inlineStr">
        <is>
          <t>PENDIENTE</t>
        </is>
      </c>
      <c r="M113" s="41" t="n">
        <v>46190</v>
      </c>
      <c r="N113" s="6" t="inlineStr">
        <is>
          <t>2 fichas DS-01 se levantaron el 17/06, 1 ficha se levantó el 14/07</t>
        </is>
      </c>
    </row>
    <row r="114">
      <c r="A114" s="8" t="inlineStr">
        <is>
          <t>Morropón</t>
        </is>
      </c>
      <c r="B114" s="8" t="inlineStr">
        <is>
          <t>Buenos Aires</t>
        </is>
      </c>
      <c r="C114" s="8" t="inlineStr">
        <is>
          <t>La Pilca</t>
        </is>
      </c>
      <c r="D114" s="8" t="inlineStr">
        <is>
          <t>M6B10</t>
        </is>
      </c>
      <c r="E114" s="13" t="n">
        <v>122</v>
      </c>
      <c r="F114" s="14" t="n">
        <v>5</v>
      </c>
      <c r="G114" s="14" t="n">
        <v>5</v>
      </c>
      <c r="H114" s="8" t="inlineStr">
        <is>
          <t>COMPLETO</t>
        </is>
      </c>
      <c r="I114" s="14" t="n">
        <v>1</v>
      </c>
      <c r="J114" s="8" t="inlineStr">
        <is>
          <t>COMPLETO</t>
        </is>
      </c>
      <c r="K114" s="14" t="n">
        <v>0</v>
      </c>
      <c r="L114" s="8" t="inlineStr">
        <is>
          <t>PENDIENTE</t>
        </is>
      </c>
      <c r="M114" s="42" t="n">
        <v>46217</v>
      </c>
      <c r="N114" s="8" t="inlineStr">
        <is>
          <t>1 ficha DS-01 se realizó el 17/06, 4 fichas se levantaron el 14/07</t>
        </is>
      </c>
    </row>
    <row r="115">
      <c r="A115" s="6" t="inlineStr">
        <is>
          <t>Morropón</t>
        </is>
      </c>
      <c r="B115" s="6" t="inlineStr">
        <is>
          <t>Buenos Aires</t>
        </is>
      </c>
      <c r="C115" s="6" t="inlineStr">
        <is>
          <t>Linderos Del Ala</t>
        </is>
      </c>
      <c r="D115" s="6" t="inlineStr">
        <is>
          <t>5</t>
        </is>
      </c>
      <c r="E115" s="9" t="n">
        <v>24</v>
      </c>
      <c r="F115" s="10" t="n">
        <v>1</v>
      </c>
      <c r="G115" s="10" t="n">
        <v>2</v>
      </c>
      <c r="H115" s="6" t="inlineStr">
        <is>
          <t>COMPLETO</t>
        </is>
      </c>
      <c r="I115" s="10" t="n">
        <v>1</v>
      </c>
      <c r="J115" s="6" t="inlineStr">
        <is>
          <t>COMPLETO</t>
        </is>
      </c>
      <c r="K115" s="10" t="n">
        <v>0</v>
      </c>
      <c r="L115" s="6" t="inlineStr">
        <is>
          <t>PENDIENTE</t>
        </is>
      </c>
      <c r="M115" s="41" t="n">
        <v>46217</v>
      </c>
      <c r="N115" s="6" t="inlineStr"/>
    </row>
    <row r="116">
      <c r="A116" s="8" t="inlineStr">
        <is>
          <t>Morropón</t>
        </is>
      </c>
      <c r="B116" s="8" t="inlineStr">
        <is>
          <t>Buenos Aires</t>
        </is>
      </c>
      <c r="C116" s="8" t="inlineStr">
        <is>
          <t>Pedregal</t>
        </is>
      </c>
      <c r="D116" s="8" t="inlineStr">
        <is>
          <t>M6B2-3</t>
        </is>
      </c>
      <c r="E116" s="13" t="n">
        <v>0</v>
      </c>
      <c r="F116" s="14" t="n">
        <v>0</v>
      </c>
      <c r="G116" s="14" t="n">
        <v>1</v>
      </c>
      <c r="H116" s="8" t="inlineStr">
        <is>
          <t>COMPLETO</t>
        </is>
      </c>
      <c r="I116" s="14" t="n">
        <v>1</v>
      </c>
      <c r="J116" s="8" t="inlineStr">
        <is>
          <t>COMPLETO</t>
        </is>
      </c>
      <c r="K116" s="14" t="n">
        <v>0</v>
      </c>
      <c r="L116" s="8" t="inlineStr">
        <is>
          <t>PENDIENTE</t>
        </is>
      </c>
      <c r="M116" s="42" t="n">
        <v>46279</v>
      </c>
      <c r="N116" s="8" t="inlineStr"/>
    </row>
    <row r="117">
      <c r="A117" s="6" t="inlineStr">
        <is>
          <t>Morropón</t>
        </is>
      </c>
      <c r="B117" s="6" t="inlineStr">
        <is>
          <t>Buenos Aires</t>
        </is>
      </c>
      <c r="C117" s="6" t="inlineStr">
        <is>
          <t>Pueblo Nuevo</t>
        </is>
      </c>
      <c r="D117" s="6" t="inlineStr">
        <is>
          <t>M6B2-3</t>
        </is>
      </c>
      <c r="E117" s="9" t="n">
        <v>0</v>
      </c>
      <c r="F117" s="10" t="n">
        <v>0</v>
      </c>
      <c r="G117" s="10" t="n">
        <v>1</v>
      </c>
      <c r="H117" s="6" t="inlineStr">
        <is>
          <t>COMPLETO</t>
        </is>
      </c>
      <c r="I117" s="10" t="n">
        <v>1</v>
      </c>
      <c r="J117" s="6" t="inlineStr">
        <is>
          <t>COMPLETO</t>
        </is>
      </c>
      <c r="K117" s="10" t="n">
        <v>0</v>
      </c>
      <c r="L117" s="6" t="inlineStr">
        <is>
          <t>PENDIENTE</t>
        </is>
      </c>
      <c r="M117" s="41" t="n">
        <v>46268</v>
      </c>
      <c r="N117" s="6" t="inlineStr">
        <is>
          <t>Mitad del bloque se encuentra con acceso por la asociación de ganaderos de Buenos aires</t>
        </is>
      </c>
    </row>
    <row r="118">
      <c r="A118" s="8" t="inlineStr">
        <is>
          <t>Morropón</t>
        </is>
      </c>
      <c r="B118" s="8" t="inlineStr">
        <is>
          <t>Buenos Aires</t>
        </is>
      </c>
      <c r="C118" s="8" t="inlineStr">
        <is>
          <t>Rio Seco</t>
        </is>
      </c>
      <c r="D118" s="8" t="inlineStr">
        <is>
          <t>M1B1</t>
        </is>
      </c>
      <c r="E118" s="13" t="n">
        <v>106</v>
      </c>
      <c r="F118" s="14" t="n">
        <v>4</v>
      </c>
      <c r="G118" s="14" t="n">
        <v>4</v>
      </c>
      <c r="H118" s="8" t="inlineStr">
        <is>
          <t>COMPLETO</t>
        </is>
      </c>
      <c r="I118" s="14" t="n">
        <v>1</v>
      </c>
      <c r="J118" s="8" t="inlineStr">
        <is>
          <t>COMPLETO</t>
        </is>
      </c>
      <c r="K118" s="14" t="n">
        <v>0</v>
      </c>
      <c r="L118" s="8" t="inlineStr">
        <is>
          <t>PENDIENTE</t>
        </is>
      </c>
      <c r="M118" s="42" t="n">
        <v>46219</v>
      </c>
      <c r="N118" s="8" t="inlineStr"/>
    </row>
    <row r="119">
      <c r="A119" s="6" t="inlineStr">
        <is>
          <t>Morropón</t>
        </is>
      </c>
      <c r="B119" s="6" t="inlineStr">
        <is>
          <t>Buenos Aires</t>
        </is>
      </c>
      <c r="C119" s="6" t="inlineStr">
        <is>
          <t>(En Blanco)</t>
        </is>
      </c>
      <c r="D119" s="6" t="inlineStr">
        <is>
          <t>M6B2-1</t>
        </is>
      </c>
      <c r="E119" s="9" t="n">
        <v>0</v>
      </c>
      <c r="F119" s="10" t="n">
        <v>0</v>
      </c>
      <c r="G119" s="10" t="n">
        <v>0</v>
      </c>
      <c r="H119" s="6" t="inlineStr">
        <is>
          <t>COMPLETO</t>
        </is>
      </c>
      <c r="I119" s="10" t="n">
        <v>0</v>
      </c>
      <c r="J119" s="6" t="inlineStr">
        <is>
          <t>PENDIENTE</t>
        </is>
      </c>
      <c r="K119" s="10" t="n">
        <v>0</v>
      </c>
      <c r="L119" s="6" t="inlineStr">
        <is>
          <t>PENDIENTE</t>
        </is>
      </c>
      <c r="M119" s="41" t="n"/>
      <c r="N119" s="6" t="inlineStr"/>
    </row>
    <row r="120">
      <c r="A120" s="8" t="inlineStr">
        <is>
          <t>Morropón</t>
        </is>
      </c>
      <c r="B120" s="8" t="inlineStr">
        <is>
          <t>Chalaco</t>
        </is>
      </c>
      <c r="C120" s="8" t="inlineStr">
        <is>
          <t>Guabo</t>
        </is>
      </c>
      <c r="D120" s="8" t="inlineStr">
        <is>
          <t>59</t>
        </is>
      </c>
      <c r="E120" s="13" t="n">
        <v>2</v>
      </c>
      <c r="F120" s="14" t="n">
        <v>1</v>
      </c>
      <c r="G120" s="14" t="n">
        <v>1</v>
      </c>
      <c r="H120" s="8" t="inlineStr">
        <is>
          <t>COMPLETO</t>
        </is>
      </c>
      <c r="I120" s="14" t="n">
        <v>0</v>
      </c>
      <c r="J120" s="8" t="inlineStr">
        <is>
          <t>PENDIENTE</t>
        </is>
      </c>
      <c r="K120" s="14" t="n">
        <v>0</v>
      </c>
      <c r="L120" s="8" t="inlineStr">
        <is>
          <t>PENDIENTE</t>
        </is>
      </c>
      <c r="M120" s="42" t="n">
        <v>46204</v>
      </c>
      <c r="N120" s="8" t="inlineStr"/>
    </row>
    <row r="121">
      <c r="A121" s="6" t="inlineStr">
        <is>
          <t>Morropón</t>
        </is>
      </c>
      <c r="B121" s="6" t="inlineStr">
        <is>
          <t>Chalaco</t>
        </is>
      </c>
      <c r="C121" s="6" t="inlineStr">
        <is>
          <t>San Lorenzo</t>
        </is>
      </c>
      <c r="D121" s="6" t="inlineStr">
        <is>
          <t>57</t>
        </is>
      </c>
      <c r="E121" s="9" t="n">
        <v>38</v>
      </c>
      <c r="F121" s="10" t="n">
        <v>2</v>
      </c>
      <c r="G121" s="10" t="n">
        <v>2</v>
      </c>
      <c r="H121" s="6" t="inlineStr">
        <is>
          <t>COMPLETO</t>
        </is>
      </c>
      <c r="I121" s="10" t="n">
        <v>2</v>
      </c>
      <c r="J121" s="6" t="inlineStr">
        <is>
          <t>COMPLETO</t>
        </is>
      </c>
      <c r="K121" s="10" t="n">
        <v>0</v>
      </c>
      <c r="L121" s="6" t="inlineStr">
        <is>
          <t>PENDIENTE</t>
        </is>
      </c>
      <c r="M121" s="41" t="n">
        <v>46204</v>
      </c>
      <c r="N121" s="6" t="inlineStr"/>
    </row>
    <row r="122">
      <c r="A122" s="8" t="inlineStr">
        <is>
          <t>Morropón</t>
        </is>
      </c>
      <c r="B122" s="8" t="inlineStr">
        <is>
          <t>Chalaco</t>
        </is>
      </c>
      <c r="C122" s="8" t="inlineStr">
        <is>
          <t>Taspa</t>
        </is>
      </c>
      <c r="D122" s="8" t="inlineStr">
        <is>
          <t>57</t>
        </is>
      </c>
      <c r="E122" s="13" t="n">
        <v>88</v>
      </c>
      <c r="F122" s="14" t="n">
        <v>4</v>
      </c>
      <c r="G122" s="14" t="n">
        <v>4</v>
      </c>
      <c r="H122" s="8" t="inlineStr">
        <is>
          <t>COMPLETO</t>
        </is>
      </c>
      <c r="I122" s="14" t="n">
        <v>1</v>
      </c>
      <c r="J122" s="8" t="inlineStr">
        <is>
          <t>COMPLETO</t>
        </is>
      </c>
      <c r="K122" s="14" t="n">
        <v>0</v>
      </c>
      <c r="L122" s="8" t="inlineStr">
        <is>
          <t>PENDIENTE</t>
        </is>
      </c>
      <c r="M122" s="42" t="n">
        <v>46204</v>
      </c>
      <c r="N122" s="8" t="inlineStr"/>
    </row>
    <row r="123">
      <c r="A123" s="6" t="inlineStr">
        <is>
          <t>Morropón</t>
        </is>
      </c>
      <c r="B123" s="6" t="inlineStr">
        <is>
          <t>Chulucanas</t>
        </is>
      </c>
      <c r="C123" s="6" t="inlineStr">
        <is>
          <t>Balcones De Talandracas</t>
        </is>
      </c>
      <c r="D123" s="6" t="inlineStr">
        <is>
          <t>2</t>
        </is>
      </c>
      <c r="E123" s="9" t="n">
        <v>188</v>
      </c>
      <c r="F123" s="10" t="n">
        <v>8</v>
      </c>
      <c r="G123" s="10" t="n">
        <v>8</v>
      </c>
      <c r="H123" s="6" t="inlineStr">
        <is>
          <t>COMPLETO</t>
        </is>
      </c>
      <c r="I123" s="10" t="n">
        <v>1</v>
      </c>
      <c r="J123" s="6" t="inlineStr">
        <is>
          <t>COMPLETO</t>
        </is>
      </c>
      <c r="K123" s="10" t="n">
        <v>0</v>
      </c>
      <c r="L123" s="6" t="inlineStr">
        <is>
          <t>PENDIENTE</t>
        </is>
      </c>
      <c r="M123" s="41" t="n">
        <v>46213</v>
      </c>
      <c r="N123" s="6" t="inlineStr"/>
    </row>
    <row r="124">
      <c r="A124" s="8" t="inlineStr">
        <is>
          <t>Morropón</t>
        </is>
      </c>
      <c r="B124" s="8" t="inlineStr">
        <is>
          <t>Chulucanas</t>
        </is>
      </c>
      <c r="C124" s="8" t="inlineStr">
        <is>
          <t>Chililique Alto</t>
        </is>
      </c>
      <c r="D124" s="8" t="inlineStr">
        <is>
          <t>M17B4</t>
        </is>
      </c>
      <c r="E124" s="13" t="n">
        <v>180</v>
      </c>
      <c r="F124" s="14" t="n">
        <v>7</v>
      </c>
      <c r="G124" s="14" t="n"/>
      <c r="H124" s="8" t="inlineStr">
        <is>
          <t>-</t>
        </is>
      </c>
      <c r="I124" s="14" t="n"/>
      <c r="J124" s="8" t="inlineStr">
        <is>
          <t>-</t>
        </is>
      </c>
      <c r="K124" s="14" t="n"/>
      <c r="L124" s="8" t="inlineStr">
        <is>
          <t>-</t>
        </is>
      </c>
      <c r="M124" s="42" t="n"/>
      <c r="N124" s="8" t="inlineStr">
        <is>
          <t>no hay población cercano al bloque</t>
        </is>
      </c>
    </row>
    <row r="125">
      <c r="A125" s="6" t="inlineStr">
        <is>
          <t>Morropón</t>
        </is>
      </c>
      <c r="B125" s="6" t="inlineStr">
        <is>
          <t>Chulucanas</t>
        </is>
      </c>
      <c r="C125" s="6" t="inlineStr">
        <is>
          <t>Chililique Alto</t>
        </is>
      </c>
      <c r="D125" s="6" t="inlineStr">
        <is>
          <t>M17B6</t>
        </is>
      </c>
      <c r="E125" s="9" t="n">
        <v>180</v>
      </c>
      <c r="F125" s="10" t="n">
        <v>7</v>
      </c>
      <c r="G125" s="10" t="n">
        <v>9</v>
      </c>
      <c r="H125" s="6" t="inlineStr">
        <is>
          <t>COMPLETO</t>
        </is>
      </c>
      <c r="I125" s="10" t="n">
        <v>2</v>
      </c>
      <c r="J125" s="6" t="inlineStr">
        <is>
          <t>COMPLETO</t>
        </is>
      </c>
      <c r="K125" s="10" t="n">
        <v>0</v>
      </c>
      <c r="L125" s="6" t="inlineStr">
        <is>
          <t>PENDIENTE</t>
        </is>
      </c>
      <c r="M125" s="41" t="n">
        <v>46206</v>
      </c>
      <c r="N125" s="6" t="inlineStr"/>
    </row>
    <row r="126">
      <c r="A126" s="8" t="inlineStr">
        <is>
          <t>Morropón</t>
        </is>
      </c>
      <c r="B126" s="8" t="inlineStr">
        <is>
          <t>Chulucanas</t>
        </is>
      </c>
      <c r="C126" s="8" t="inlineStr">
        <is>
          <t>Huasimal</t>
        </is>
      </c>
      <c r="D126" s="8" t="inlineStr">
        <is>
          <t>M27B1</t>
        </is>
      </c>
      <c r="E126" s="13" t="n">
        <v>40</v>
      </c>
      <c r="F126" s="14" t="n">
        <v>2</v>
      </c>
      <c r="G126" s="14" t="n">
        <v>3</v>
      </c>
      <c r="H126" s="8" t="inlineStr">
        <is>
          <t>COMPLETO</t>
        </is>
      </c>
      <c r="I126" s="14" t="n">
        <v>1</v>
      </c>
      <c r="J126" s="8" t="inlineStr">
        <is>
          <t>COMPLETO</t>
        </is>
      </c>
      <c r="K126" s="14" t="n">
        <v>0</v>
      </c>
      <c r="L126" s="8" t="inlineStr">
        <is>
          <t>PENDIENTE</t>
        </is>
      </c>
      <c r="M126" s="42" t="n">
        <v>46212</v>
      </c>
      <c r="N126" s="8" t="inlineStr">
        <is>
          <t>Fichas DS01 se aplicaron las fechas 12/06/2026 y 09/07/2026. Ficha DS03 el 12/06/2026</t>
        </is>
      </c>
    </row>
    <row r="127">
      <c r="A127" s="6" t="inlineStr">
        <is>
          <t>Morropón</t>
        </is>
      </c>
      <c r="B127" s="6" t="inlineStr">
        <is>
          <t>Chulucanas</t>
        </is>
      </c>
      <c r="C127" s="6" t="inlineStr">
        <is>
          <t>La Peña</t>
        </is>
      </c>
      <c r="D127" s="6" t="inlineStr">
        <is>
          <t>M9B1</t>
        </is>
      </c>
      <c r="E127" s="9" t="n">
        <v>36</v>
      </c>
      <c r="F127" s="10" t="n">
        <v>1</v>
      </c>
      <c r="G127" s="10" t="n">
        <v>1</v>
      </c>
      <c r="H127" s="6" t="inlineStr">
        <is>
          <t>COMPLETO</t>
        </is>
      </c>
      <c r="I127" s="10" t="n">
        <v>1</v>
      </c>
      <c r="J127" s="6" t="inlineStr">
        <is>
          <t>COMPLETO</t>
        </is>
      </c>
      <c r="K127" s="10" t="n">
        <v>0</v>
      </c>
      <c r="L127" s="6" t="inlineStr">
        <is>
          <t>PENDIENTE</t>
        </is>
      </c>
      <c r="M127" s="41" t="n">
        <v>46212</v>
      </c>
      <c r="N127" s="6" t="inlineStr"/>
    </row>
    <row r="128">
      <c r="A128" s="8" t="inlineStr">
        <is>
          <t>Morropón</t>
        </is>
      </c>
      <c r="B128" s="8" t="inlineStr">
        <is>
          <t>Chulucanas</t>
        </is>
      </c>
      <c r="C128" s="8" t="inlineStr">
        <is>
          <t>Papelillo</t>
        </is>
      </c>
      <c r="D128" s="8" t="inlineStr">
        <is>
          <t>M17B1</t>
        </is>
      </c>
      <c r="E128" s="13" t="n">
        <v>142</v>
      </c>
      <c r="F128" s="14" t="n">
        <v>6</v>
      </c>
      <c r="G128" s="14" t="n">
        <v>6</v>
      </c>
      <c r="H128" s="8" t="inlineStr">
        <is>
          <t>COMPLETO</t>
        </is>
      </c>
      <c r="I128" s="14" t="n">
        <v>1</v>
      </c>
      <c r="J128" s="8" t="inlineStr">
        <is>
          <t>COMPLETO</t>
        </is>
      </c>
      <c r="K128" s="14" t="n">
        <v>0</v>
      </c>
      <c r="L128" s="8" t="inlineStr">
        <is>
          <t>PENDIENTE</t>
        </is>
      </c>
      <c r="M128" s="42" t="n">
        <v>46205</v>
      </c>
      <c r="N128" s="8" t="inlineStr"/>
    </row>
    <row r="129">
      <c r="A129" s="6" t="inlineStr">
        <is>
          <t>Morropón</t>
        </is>
      </c>
      <c r="B129" s="6" t="inlineStr">
        <is>
          <t>Chulucanas</t>
        </is>
      </c>
      <c r="C129" s="6" t="inlineStr">
        <is>
          <t>Platanal Bajo</t>
        </is>
      </c>
      <c r="D129" s="6" t="inlineStr">
        <is>
          <t>22</t>
        </is>
      </c>
      <c r="E129" s="9" t="n">
        <v>79</v>
      </c>
      <c r="F129" s="10" t="n">
        <v>3</v>
      </c>
      <c r="G129" s="10" t="n">
        <v>4</v>
      </c>
      <c r="H129" s="6" t="inlineStr">
        <is>
          <t>COMPLETO</t>
        </is>
      </c>
      <c r="I129" s="10" t="n">
        <v>2</v>
      </c>
      <c r="J129" s="6" t="inlineStr">
        <is>
          <t>COMPLETO</t>
        </is>
      </c>
      <c r="K129" s="10" t="n">
        <v>0</v>
      </c>
      <c r="L129" s="6" t="inlineStr">
        <is>
          <t>PENDIENTE</t>
        </is>
      </c>
      <c r="M129" s="41" t="n">
        <v>46213</v>
      </c>
      <c r="N129" s="6" t="inlineStr"/>
    </row>
    <row r="130">
      <c r="A130" s="8" t="inlineStr">
        <is>
          <t>Morropón</t>
        </is>
      </c>
      <c r="B130" s="8" t="inlineStr">
        <is>
          <t>Chulucanas</t>
        </is>
      </c>
      <c r="C130" s="8" t="inlineStr">
        <is>
          <t>Rio Seco Alto</t>
        </is>
      </c>
      <c r="D130" s="8" t="inlineStr">
        <is>
          <t>M10B4</t>
        </is>
      </c>
      <c r="E130" s="13" t="n">
        <v>113</v>
      </c>
      <c r="F130" s="14" t="n">
        <v>5</v>
      </c>
      <c r="G130" s="14" t="n">
        <v>5</v>
      </c>
      <c r="H130" s="8" t="inlineStr">
        <is>
          <t>COMPLETO</t>
        </is>
      </c>
      <c r="I130" s="14" t="n">
        <v>1</v>
      </c>
      <c r="J130" s="8" t="inlineStr">
        <is>
          <t>COMPLETO</t>
        </is>
      </c>
      <c r="K130" s="14" t="n">
        <v>0</v>
      </c>
      <c r="L130" s="8" t="inlineStr">
        <is>
          <t>PENDIENTE</t>
        </is>
      </c>
      <c r="M130" s="42" t="n">
        <v>46212</v>
      </c>
      <c r="N130" s="8" t="inlineStr">
        <is>
          <t>Fichas DS01 se aplicaron las fechas 12/06/2026 y 09/07/2026. Ficha DS03 el 12/06/2026</t>
        </is>
      </c>
    </row>
    <row r="131">
      <c r="A131" s="6" t="inlineStr">
        <is>
          <t>Morropón</t>
        </is>
      </c>
      <c r="B131" s="6" t="inlineStr">
        <is>
          <t>Chulucanas</t>
        </is>
      </c>
      <c r="C131" s="6" t="inlineStr">
        <is>
          <t>Vicus La Merced</t>
        </is>
      </c>
      <c r="D131" s="6" t="inlineStr">
        <is>
          <t>M27B1</t>
        </is>
      </c>
      <c r="E131" s="9" t="n">
        <v>50</v>
      </c>
      <c r="F131" s="10" t="n">
        <v>2</v>
      </c>
      <c r="G131" s="10" t="n">
        <v>3</v>
      </c>
      <c r="H131" s="6" t="inlineStr">
        <is>
          <t>COMPLETO</t>
        </is>
      </c>
      <c r="I131" s="10" t="n">
        <v>1</v>
      </c>
      <c r="J131" s="6" t="inlineStr">
        <is>
          <t>COMPLETO</t>
        </is>
      </c>
      <c r="K131" s="10" t="n">
        <v>0</v>
      </c>
      <c r="L131" s="6" t="inlineStr">
        <is>
          <t>PENDIENTE</t>
        </is>
      </c>
      <c r="M131" s="41" t="n">
        <v>46205</v>
      </c>
      <c r="N131" s="6" t="inlineStr">
        <is>
          <t>Este bloque alberga el caserío de Huasimal y la Villa Vicus que a su vez alberga los anexos (Vicus Linderos, Vicus La Merced y Vicus Santa Rosa)Hay aceptación de los tenientes gobernadores alcalde delegado, pero algunos pobladores se mostraban reacios por el tema del agua.</t>
        </is>
      </c>
    </row>
    <row r="132">
      <c r="A132" s="8" t="inlineStr">
        <is>
          <t>Morropón</t>
        </is>
      </c>
      <c r="B132" s="8" t="inlineStr">
        <is>
          <t>Chulucanas</t>
        </is>
      </c>
      <c r="C132" s="8" t="inlineStr">
        <is>
          <t>Vicus Linderos</t>
        </is>
      </c>
      <c r="D132" s="8" t="inlineStr">
        <is>
          <t>M27B1</t>
        </is>
      </c>
      <c r="E132" s="13" t="n">
        <v>66</v>
      </c>
      <c r="F132" s="14" t="n">
        <v>3</v>
      </c>
      <c r="G132" s="14" t="n">
        <v>4</v>
      </c>
      <c r="H132" s="8" t="inlineStr">
        <is>
          <t>COMPLETO</t>
        </is>
      </c>
      <c r="I132" s="14" t="n">
        <v>1</v>
      </c>
      <c r="J132" s="8" t="inlineStr">
        <is>
          <t>COMPLETO</t>
        </is>
      </c>
      <c r="K132" s="14" t="n">
        <v>0</v>
      </c>
      <c r="L132" s="8" t="inlineStr">
        <is>
          <t>PENDIENTE</t>
        </is>
      </c>
      <c r="M132" s="42" t="n">
        <v>46205</v>
      </c>
      <c r="N132" s="8" t="inlineStr">
        <is>
          <t>fichas de fechas 12/06 y 2/07. Este bloque alberga el caserío de Huasimal y la Villa Vicus que a su vez alberga los anexos (Vicus Linderos, Vicus La Merced y Vicus Santa Rosa)Hay aceptación de los tenientes gobernadores alcalde delegado, pero algunos pobladores se mostraban reacios por el tema del agua.</t>
        </is>
      </c>
    </row>
    <row r="133">
      <c r="A133" s="6" t="inlineStr">
        <is>
          <t>Morropón</t>
        </is>
      </c>
      <c r="B133" s="6" t="inlineStr">
        <is>
          <t>Chulucanas</t>
        </is>
      </c>
      <c r="C133" s="6" t="inlineStr">
        <is>
          <t>Vicus Santa Rosa</t>
        </is>
      </c>
      <c r="D133" s="6" t="inlineStr">
        <is>
          <t>M27B1</t>
        </is>
      </c>
      <c r="E133" s="9" t="n">
        <v>43</v>
      </c>
      <c r="F133" s="10" t="n">
        <v>2</v>
      </c>
      <c r="G133" s="10" t="n"/>
      <c r="H133" s="6" t="inlineStr">
        <is>
          <t>-</t>
        </is>
      </c>
      <c r="I133" s="10" t="n"/>
      <c r="J133" s="6" t="inlineStr">
        <is>
          <t>-</t>
        </is>
      </c>
      <c r="K133" s="10" t="n"/>
      <c r="L133" s="6" t="inlineStr">
        <is>
          <t>-</t>
        </is>
      </c>
      <c r="M133" s="41" t="inlineStr">
        <is>
          <t>-</t>
        </is>
      </c>
      <c r="N133" s="6" t="inlineStr">
        <is>
          <t>Se descartó el caserío por la distancia al bloque y se distribuyó entre Vicus linderos y Vicus La Merced</t>
        </is>
      </c>
    </row>
    <row r="134">
      <c r="A134" s="8" t="inlineStr">
        <is>
          <t>Morropón</t>
        </is>
      </c>
      <c r="B134" s="8" t="inlineStr">
        <is>
          <t>Morropón</t>
        </is>
      </c>
      <c r="C134" s="8" t="inlineStr">
        <is>
          <t>Boca Negra</t>
        </is>
      </c>
      <c r="D134" s="8" t="inlineStr">
        <is>
          <t>M19B2</t>
        </is>
      </c>
      <c r="E134" s="13" t="n">
        <v>67</v>
      </c>
      <c r="F134" s="14" t="n">
        <v>3</v>
      </c>
      <c r="G134" s="14" t="n">
        <v>3</v>
      </c>
      <c r="H134" s="8" t="inlineStr">
        <is>
          <t>COMPLETO</t>
        </is>
      </c>
      <c r="I134" s="14" t="n">
        <v>1</v>
      </c>
      <c r="J134" s="8" t="inlineStr">
        <is>
          <t>COMPLETO</t>
        </is>
      </c>
      <c r="K134" s="14" t="n">
        <v>0</v>
      </c>
      <c r="L134" s="8" t="inlineStr">
        <is>
          <t>PENDIENTE</t>
        </is>
      </c>
      <c r="M134" s="42" t="n">
        <v>46212</v>
      </c>
      <c r="N134" s="8" t="inlineStr">
        <is>
          <t>Se aplicaron las fichas DS01 los días 16/06/2026 y 09/07/2026. La ficha DS03 se aplicó el 16/06/2026</t>
        </is>
      </c>
    </row>
    <row r="135">
      <c r="A135" s="6" t="inlineStr">
        <is>
          <t>Morropón</t>
        </is>
      </c>
      <c r="B135" s="6" t="inlineStr">
        <is>
          <t>Salitral</t>
        </is>
      </c>
      <c r="C135" s="6" t="inlineStr">
        <is>
          <t>Hornopampa</t>
        </is>
      </c>
      <c r="D135" s="6" t="inlineStr">
        <is>
          <t>M2B5</t>
        </is>
      </c>
      <c r="E135" s="9" t="n">
        <v>101</v>
      </c>
      <c r="F135" s="10" t="n">
        <v>4</v>
      </c>
      <c r="G135" s="10" t="n">
        <v>4</v>
      </c>
      <c r="H135" s="6" t="inlineStr">
        <is>
          <t>COMPLETO</t>
        </is>
      </c>
      <c r="I135" s="10" t="n">
        <v>1</v>
      </c>
      <c r="J135" s="6" t="inlineStr">
        <is>
          <t>COMPLETO</t>
        </is>
      </c>
      <c r="K135" s="10" t="n">
        <v>0</v>
      </c>
      <c r="L135" s="6" t="inlineStr">
        <is>
          <t>PENDIENTE</t>
        </is>
      </c>
      <c r="M135" s="41" t="n">
        <v>46252</v>
      </c>
      <c r="N135" s="6" t="inlineStr"/>
    </row>
    <row r="136">
      <c r="A136" s="8" t="inlineStr">
        <is>
          <t>Morropón</t>
        </is>
      </c>
      <c r="B136" s="8" t="inlineStr">
        <is>
          <t>Salitral</t>
        </is>
      </c>
      <c r="C136" s="8" t="inlineStr">
        <is>
          <t>Huaro Quispampa</t>
        </is>
      </c>
      <c r="D136" s="8" t="inlineStr">
        <is>
          <t>M18B3</t>
        </is>
      </c>
      <c r="E136" s="13" t="n">
        <v>25</v>
      </c>
      <c r="F136" s="14" t="n">
        <v>1</v>
      </c>
      <c r="G136" s="14" t="n">
        <v>2</v>
      </c>
      <c r="H136" s="8" t="inlineStr">
        <is>
          <t>COMPLETO</t>
        </is>
      </c>
      <c r="I136" s="14" t="n">
        <v>1</v>
      </c>
      <c r="J136" s="8" t="inlineStr">
        <is>
          <t>COMPLETO</t>
        </is>
      </c>
      <c r="K136" s="14" t="n">
        <v>0</v>
      </c>
      <c r="L136" s="8" t="inlineStr">
        <is>
          <t>PENDIENTE</t>
        </is>
      </c>
      <c r="M136" s="42" t="n">
        <v>46220</v>
      </c>
      <c r="N136" s="8" t="inlineStr">
        <is>
          <t>El teniente gobernador es el mismo que en Selva Andina</t>
        </is>
      </c>
    </row>
    <row r="137">
      <c r="A137" s="6" t="inlineStr">
        <is>
          <t>Morropón</t>
        </is>
      </c>
      <c r="B137" s="6" t="inlineStr">
        <is>
          <t>Salitral</t>
        </is>
      </c>
      <c r="C137" s="6" t="inlineStr">
        <is>
          <t>La Alberca</t>
        </is>
      </c>
      <c r="D137" s="6" t="inlineStr">
        <is>
          <t>M7B1</t>
        </is>
      </c>
      <c r="E137" s="9" t="n">
        <v>0</v>
      </c>
      <c r="F137" s="10" t="n">
        <v>0</v>
      </c>
      <c r="G137" s="10" t="n">
        <v>0</v>
      </c>
      <c r="H137" s="6" t="inlineStr">
        <is>
          <t>COMPLETO</t>
        </is>
      </c>
      <c r="I137" s="10" t="n">
        <v>0</v>
      </c>
      <c r="J137" s="6" t="inlineStr">
        <is>
          <t>PENDIENTE</t>
        </is>
      </c>
      <c r="K137" s="10" t="n">
        <v>0</v>
      </c>
      <c r="L137" s="6" t="inlineStr">
        <is>
          <t>PENDIENTE</t>
        </is>
      </c>
      <c r="M137" s="41" t="n"/>
      <c r="N137" s="6" t="inlineStr"/>
    </row>
    <row r="138">
      <c r="A138" s="8" t="inlineStr">
        <is>
          <t>Morropón</t>
        </is>
      </c>
      <c r="B138" s="8" t="inlineStr">
        <is>
          <t>Salitral</t>
        </is>
      </c>
      <c r="C138" s="8" t="inlineStr">
        <is>
          <t>La Alberca</t>
        </is>
      </c>
      <c r="D138" s="8" t="inlineStr">
        <is>
          <t>M7B2</t>
        </is>
      </c>
      <c r="E138" s="13" t="n">
        <v>265</v>
      </c>
      <c r="F138" s="14" t="n">
        <v>11</v>
      </c>
      <c r="G138" s="14" t="n">
        <v>12</v>
      </c>
      <c r="H138" s="8" t="inlineStr">
        <is>
          <t>COMPLETO</t>
        </is>
      </c>
      <c r="I138" s="14" t="n">
        <v>1</v>
      </c>
      <c r="J138" s="8" t="inlineStr">
        <is>
          <t>COMPLETO</t>
        </is>
      </c>
      <c r="K138" s="14" t="n">
        <v>0</v>
      </c>
      <c r="L138" s="8" t="inlineStr">
        <is>
          <t>PENDIENTE</t>
        </is>
      </c>
      <c r="M138" s="42" t="n">
        <v>46218</v>
      </c>
      <c r="N138" s="8" t="inlineStr"/>
    </row>
    <row r="139">
      <c r="A139" s="6" t="inlineStr">
        <is>
          <t>Morropón</t>
        </is>
      </c>
      <c r="B139" s="6" t="inlineStr">
        <is>
          <t>Salitral</t>
        </is>
      </c>
      <c r="C139" s="6" t="inlineStr">
        <is>
          <t>La Tranca</t>
        </is>
      </c>
      <c r="D139" s="6" t="inlineStr">
        <is>
          <t>M7B3</t>
        </is>
      </c>
      <c r="E139" s="9" t="n">
        <v>26</v>
      </c>
      <c r="F139" s="10" t="n">
        <v>1</v>
      </c>
      <c r="G139" s="10" t="n">
        <v>2</v>
      </c>
      <c r="H139" s="6" t="inlineStr">
        <is>
          <t>COMPLETO</t>
        </is>
      </c>
      <c r="I139" s="10" t="n">
        <v>1</v>
      </c>
      <c r="J139" s="6" t="inlineStr">
        <is>
          <t>COMPLETO</t>
        </is>
      </c>
      <c r="K139" s="10" t="n">
        <v>0</v>
      </c>
      <c r="L139" s="6" t="inlineStr">
        <is>
          <t>PENDIENTE</t>
        </is>
      </c>
      <c r="M139" s="41" t="n">
        <v>46218</v>
      </c>
      <c r="N139" s="6" t="inlineStr"/>
    </row>
    <row r="140">
      <c r="A140" s="8" t="inlineStr">
        <is>
          <t>Morropón</t>
        </is>
      </c>
      <c r="B140" s="8" t="inlineStr">
        <is>
          <t>Salitral</t>
        </is>
      </c>
      <c r="C140" s="8" t="inlineStr">
        <is>
          <t>Mangomanguia</t>
        </is>
      </c>
      <c r="D140" s="8" t="inlineStr">
        <is>
          <t>M18B3</t>
        </is>
      </c>
      <c r="E140" s="13" t="n">
        <v>74</v>
      </c>
      <c r="F140" s="14" t="n">
        <v>3</v>
      </c>
      <c r="G140" s="14" t="n">
        <v>4</v>
      </c>
      <c r="H140" s="8" t="inlineStr">
        <is>
          <t>COMPLETO</t>
        </is>
      </c>
      <c r="I140" s="14" t="n">
        <v>1</v>
      </c>
      <c r="J140" s="8" t="inlineStr">
        <is>
          <t>COMPLETO</t>
        </is>
      </c>
      <c r="K140" s="14" t="n">
        <v>0</v>
      </c>
      <c r="L140" s="8" t="inlineStr">
        <is>
          <t>PENDIENTE</t>
        </is>
      </c>
      <c r="M140" s="42" t="n">
        <v>46220</v>
      </c>
      <c r="N140" s="8" t="inlineStr"/>
    </row>
    <row r="141">
      <c r="A141" s="6" t="inlineStr">
        <is>
          <t>Morropón</t>
        </is>
      </c>
      <c r="B141" s="6" t="inlineStr">
        <is>
          <t>Salitral</t>
        </is>
      </c>
      <c r="C141" s="6" t="inlineStr">
        <is>
          <t>Nuevo Progreso</t>
        </is>
      </c>
      <c r="D141" s="6" t="inlineStr">
        <is>
          <t>M7B1</t>
        </is>
      </c>
      <c r="E141" s="9" t="n">
        <v>72</v>
      </c>
      <c r="F141" s="10" t="n">
        <v>3</v>
      </c>
      <c r="G141" s="10" t="n">
        <v>3</v>
      </c>
      <c r="H141" s="6" t="inlineStr">
        <is>
          <t>COMPLETO</t>
        </is>
      </c>
      <c r="I141" s="10" t="n">
        <v>3</v>
      </c>
      <c r="J141" s="6" t="inlineStr">
        <is>
          <t>COMPLETO</t>
        </is>
      </c>
      <c r="K141" s="10" t="n">
        <v>0</v>
      </c>
      <c r="L141" s="6" t="inlineStr">
        <is>
          <t>PENDIENTE</t>
        </is>
      </c>
      <c r="M141" s="41" t="n">
        <v>46184</v>
      </c>
      <c r="N141" s="6" t="inlineStr"/>
    </row>
    <row r="142">
      <c r="A142" s="8" t="inlineStr">
        <is>
          <t>Morropón</t>
        </is>
      </c>
      <c r="B142" s="8" t="inlineStr">
        <is>
          <t>Salitral</t>
        </is>
      </c>
      <c r="C142" s="8" t="inlineStr">
        <is>
          <t>Nuevo San Juan</t>
        </is>
      </c>
      <c r="D142" s="8" t="inlineStr">
        <is>
          <t>M7B6</t>
        </is>
      </c>
      <c r="E142" s="13" t="n">
        <v>39</v>
      </c>
      <c r="F142" s="14" t="n">
        <v>2</v>
      </c>
      <c r="G142" s="14" t="n"/>
      <c r="H142" s="8" t="inlineStr">
        <is>
          <t>-</t>
        </is>
      </c>
      <c r="I142" s="14" t="n"/>
      <c r="J142" s="8" t="inlineStr">
        <is>
          <t>-</t>
        </is>
      </c>
      <c r="K142" s="14" t="n"/>
      <c r="L142" s="8" t="inlineStr">
        <is>
          <t>-</t>
        </is>
      </c>
      <c r="M142" s="42" t="n">
        <v>46261</v>
      </c>
      <c r="N142" s="8" t="inlineStr">
        <is>
          <t>No se aplicó las fichas porque el caserío se encuentra alejado del bloque y en reemplazo se aplicó una ficha FDS - 01 más en el CP Serrán. Se propone descartar el caserío</t>
        </is>
      </c>
    </row>
    <row r="143">
      <c r="A143" s="6" t="inlineStr">
        <is>
          <t>Morropón</t>
        </is>
      </c>
      <c r="B143" s="6" t="inlineStr">
        <is>
          <t>Salitral</t>
        </is>
      </c>
      <c r="C143" s="6" t="inlineStr">
        <is>
          <t>Palo Blanco-El Cerezo</t>
        </is>
      </c>
      <c r="D143" s="6" t="inlineStr">
        <is>
          <t>M7B3</t>
        </is>
      </c>
      <c r="E143" s="9" t="n">
        <v>0</v>
      </c>
      <c r="F143" s="10" t="n">
        <v>0</v>
      </c>
      <c r="G143" s="10" t="n">
        <v>3</v>
      </c>
      <c r="H143" s="6" t="inlineStr">
        <is>
          <t>COMPLETO</t>
        </is>
      </c>
      <c r="I143" s="10" t="n">
        <v>1</v>
      </c>
      <c r="J143" s="6" t="inlineStr">
        <is>
          <t>COMPLETO</t>
        </is>
      </c>
      <c r="K143" s="10" t="n">
        <v>0</v>
      </c>
      <c r="L143" s="6" t="inlineStr">
        <is>
          <t>PENDIENTE</t>
        </is>
      </c>
      <c r="M143" s="41" t="n">
        <v>46171</v>
      </c>
      <c r="N143" s="6" t="inlineStr">
        <is>
          <t>Fichas DS01 se hicieron el 29/05/2026, ficha DS03 se levantó el 28/08/2026</t>
        </is>
      </c>
    </row>
    <row r="144">
      <c r="A144" s="8" t="inlineStr">
        <is>
          <t>Morropón</t>
        </is>
      </c>
      <c r="B144" s="8" t="inlineStr">
        <is>
          <t>Salitral</t>
        </is>
      </c>
      <c r="C144" s="8" t="inlineStr">
        <is>
          <t>Piedra Blanca</t>
        </is>
      </c>
      <c r="D144" s="8" t="inlineStr">
        <is>
          <t>M3B1</t>
        </is>
      </c>
      <c r="E144" s="13" t="n">
        <v>96</v>
      </c>
      <c r="F144" s="14" t="n">
        <v>4</v>
      </c>
      <c r="G144" s="14" t="n">
        <v>4</v>
      </c>
      <c r="H144" s="8" t="inlineStr">
        <is>
          <t>COMPLETO</t>
        </is>
      </c>
      <c r="I144" s="14" t="n">
        <v>1</v>
      </c>
      <c r="J144" s="8" t="inlineStr">
        <is>
          <t>COMPLETO</t>
        </is>
      </c>
      <c r="K144" s="14" t="n">
        <v>0</v>
      </c>
      <c r="L144" s="8" t="inlineStr">
        <is>
          <t>PENDIENTE</t>
        </is>
      </c>
      <c r="M144" s="42" t="n">
        <v>46261</v>
      </c>
      <c r="N144" s="8" t="inlineStr"/>
    </row>
    <row r="145">
      <c r="A145" s="6" t="inlineStr">
        <is>
          <t>Morropón</t>
        </is>
      </c>
      <c r="B145" s="6" t="inlineStr">
        <is>
          <t>Salitral</t>
        </is>
      </c>
      <c r="C145" s="6" t="inlineStr">
        <is>
          <t>San Pedro</t>
        </is>
      </c>
      <c r="D145" s="6" t="inlineStr">
        <is>
          <t>M3B8</t>
        </is>
      </c>
      <c r="E145" s="9" t="n">
        <v>72</v>
      </c>
      <c r="F145" s="10" t="n">
        <v>3</v>
      </c>
      <c r="G145" s="10" t="n">
        <v>3</v>
      </c>
      <c r="H145" s="6" t="inlineStr">
        <is>
          <t>COMPLETO</t>
        </is>
      </c>
      <c r="I145" s="10" t="n">
        <v>2</v>
      </c>
      <c r="J145" s="6" t="inlineStr">
        <is>
          <t>COMPLETO</t>
        </is>
      </c>
      <c r="K145" s="10" t="n">
        <v>0</v>
      </c>
      <c r="L145" s="6" t="inlineStr">
        <is>
          <t>PENDIENTE</t>
        </is>
      </c>
      <c r="M145" s="41" t="n">
        <v>46225</v>
      </c>
      <c r="N145" s="6" t="inlineStr">
        <is>
          <t>Indicó Luis que M3B8 de San Pedro en Salitral, no ir, compensar con 3 fichas en otros caseríos de Salitral con mayor población. Igualmente se realizó el levantamiento de información</t>
        </is>
      </c>
    </row>
    <row r="146">
      <c r="A146" s="8" t="inlineStr">
        <is>
          <t>Morropón</t>
        </is>
      </c>
      <c r="B146" s="8" t="inlineStr">
        <is>
          <t>Salitral</t>
        </is>
      </c>
      <c r="C146" s="8" t="inlineStr">
        <is>
          <t>Santa Rosa</t>
        </is>
      </c>
      <c r="D146" s="8" t="inlineStr">
        <is>
          <t>M2B1</t>
        </is>
      </c>
      <c r="E146" s="13" t="n">
        <v>52</v>
      </c>
      <c r="F146" s="14" t="n">
        <v>2</v>
      </c>
      <c r="G146" s="14" t="n">
        <v>2</v>
      </c>
      <c r="H146" s="8" t="inlineStr">
        <is>
          <t>COMPLETO</t>
        </is>
      </c>
      <c r="I146" s="14" t="n">
        <v>1</v>
      </c>
      <c r="J146" s="8" t="inlineStr">
        <is>
          <t>COMPLETO</t>
        </is>
      </c>
      <c r="K146" s="14" t="n">
        <v>0</v>
      </c>
      <c r="L146" s="8" t="inlineStr">
        <is>
          <t>PENDIENTE</t>
        </is>
      </c>
      <c r="M146" s="42" t="n">
        <v>46260</v>
      </c>
      <c r="N146" s="8" t="inlineStr"/>
    </row>
    <row r="147">
      <c r="A147" s="6" t="inlineStr">
        <is>
          <t>Morropón</t>
        </is>
      </c>
      <c r="B147" s="6" t="inlineStr">
        <is>
          <t>Salitral</t>
        </is>
      </c>
      <c r="C147" s="6" t="inlineStr">
        <is>
          <t>Santa Rosa</t>
        </is>
      </c>
      <c r="D147" s="6" t="inlineStr">
        <is>
          <t>M7B6</t>
        </is>
      </c>
      <c r="E147" s="9" t="n">
        <v>52</v>
      </c>
      <c r="F147" s="10" t="n">
        <v>2</v>
      </c>
      <c r="G147" s="10" t="n">
        <v>2</v>
      </c>
      <c r="H147" s="6" t="inlineStr">
        <is>
          <t>COMPLETO</t>
        </is>
      </c>
      <c r="I147" s="10" t="n">
        <v>1</v>
      </c>
      <c r="J147" s="6" t="inlineStr">
        <is>
          <t>COMPLETO</t>
        </is>
      </c>
      <c r="K147" s="10" t="n">
        <v>0</v>
      </c>
      <c r="L147" s="6" t="inlineStr">
        <is>
          <t>PENDIENTE</t>
        </is>
      </c>
      <c r="M147" s="41" t="n">
        <v>46260</v>
      </c>
      <c r="N147" s="6" t="inlineStr"/>
    </row>
    <row r="148">
      <c r="A148" s="8" t="inlineStr">
        <is>
          <t>Morropón</t>
        </is>
      </c>
      <c r="B148" s="8" t="inlineStr">
        <is>
          <t>Salitral</t>
        </is>
      </c>
      <c r="C148" s="8" t="inlineStr">
        <is>
          <t>Selva Andina</t>
        </is>
      </c>
      <c r="D148" s="8" t="inlineStr">
        <is>
          <t>M18B3</t>
        </is>
      </c>
      <c r="E148" s="13" t="n">
        <v>9</v>
      </c>
      <c r="F148" s="14" t="n">
        <v>1</v>
      </c>
      <c r="G148" s="14" t="n"/>
      <c r="H148" s="8" t="inlineStr">
        <is>
          <t>-</t>
        </is>
      </c>
      <c r="I148" s="14" t="n"/>
      <c r="J148" s="8" t="inlineStr">
        <is>
          <t>-</t>
        </is>
      </c>
      <c r="K148" s="14" t="n"/>
      <c r="L148" s="8" t="inlineStr">
        <is>
          <t>-</t>
        </is>
      </c>
      <c r="M148" s="42" t="n"/>
      <c r="N148" s="8" t="inlineStr">
        <is>
          <t>Equipo técnico mencionó que Selva Andina se descartaría por lejanía. Comparte mismo teniente que en Huaroquispampa</t>
        </is>
      </c>
    </row>
    <row r="149">
      <c r="A149" s="6" t="inlineStr">
        <is>
          <t>Morropón</t>
        </is>
      </c>
      <c r="B149" s="6" t="inlineStr">
        <is>
          <t>Salitral</t>
        </is>
      </c>
      <c r="C149" s="6" t="inlineStr">
        <is>
          <t>Serran</t>
        </is>
      </c>
      <c r="D149" s="6" t="inlineStr">
        <is>
          <t>M7B6</t>
        </is>
      </c>
      <c r="E149" s="9" t="n">
        <v>144</v>
      </c>
      <c r="F149" s="10" t="n">
        <v>6</v>
      </c>
      <c r="G149" s="10" t="n">
        <v>7</v>
      </c>
      <c r="H149" s="6" t="inlineStr">
        <is>
          <t>COMPLETO</t>
        </is>
      </c>
      <c r="I149" s="10" t="n">
        <v>2</v>
      </c>
      <c r="J149" s="6" t="inlineStr">
        <is>
          <t>COMPLETO</t>
        </is>
      </c>
      <c r="K149" s="10" t="n">
        <v>0</v>
      </c>
      <c r="L149" s="6" t="inlineStr">
        <is>
          <t>PENDIENTE</t>
        </is>
      </c>
      <c r="M149" s="41" t="n">
        <v>46262</v>
      </c>
      <c r="N149" s="6" t="inlineStr"/>
    </row>
    <row r="150">
      <c r="A150" s="8" t="inlineStr">
        <is>
          <t>Morropón</t>
        </is>
      </c>
      <c r="B150" s="8" t="inlineStr">
        <is>
          <t>Salitral</t>
        </is>
      </c>
      <c r="C150" s="8" t="inlineStr">
        <is>
          <t>Tortola</t>
        </is>
      </c>
      <c r="D150" s="8" t="inlineStr">
        <is>
          <t>M3B9</t>
        </is>
      </c>
      <c r="E150" s="13" t="n">
        <v>61</v>
      </c>
      <c r="F150" s="14" t="n">
        <v>3</v>
      </c>
      <c r="G150" s="14" t="n">
        <v>5</v>
      </c>
      <c r="H150" s="8" t="inlineStr">
        <is>
          <t>COMPLETO</t>
        </is>
      </c>
      <c r="I150" s="14" t="n">
        <v>1</v>
      </c>
      <c r="J150" s="8" t="inlineStr">
        <is>
          <t>COMPLETO</t>
        </is>
      </c>
      <c r="K150" s="14" t="n">
        <v>0</v>
      </c>
      <c r="L150" s="8" t="inlineStr">
        <is>
          <t>PENDIENTE</t>
        </is>
      </c>
      <c r="M150" s="42" t="n">
        <v>46185</v>
      </c>
      <c r="N150" s="8" t="inlineStr"/>
    </row>
    <row r="151">
      <c r="A151" s="6" t="inlineStr">
        <is>
          <t>Morropón</t>
        </is>
      </c>
      <c r="B151" s="6" t="inlineStr">
        <is>
          <t>Salitral</t>
        </is>
      </c>
      <c r="C151" s="6" t="inlineStr">
        <is>
          <t>Victor Raul</t>
        </is>
      </c>
      <c r="D151" s="6" t="inlineStr">
        <is>
          <t>M7B1</t>
        </is>
      </c>
      <c r="E151" s="9" t="n">
        <v>49</v>
      </c>
      <c r="F151" s="10" t="n">
        <v>2</v>
      </c>
      <c r="G151" s="10" t="n">
        <v>7</v>
      </c>
      <c r="H151" s="6" t="inlineStr">
        <is>
          <t>COMPLETO</t>
        </is>
      </c>
      <c r="I151" s="10" t="n">
        <v>1</v>
      </c>
      <c r="J151" s="6" t="inlineStr">
        <is>
          <t>COMPLETO</t>
        </is>
      </c>
      <c r="K151" s="10" t="n">
        <v>0</v>
      </c>
      <c r="L151" s="6" t="inlineStr">
        <is>
          <t>PENDIENTE</t>
        </is>
      </c>
      <c r="M151" s="41" t="n">
        <v>46184</v>
      </c>
      <c r="N151" s="6" t="inlineStr"/>
    </row>
    <row r="152">
      <c r="A152" s="8" t="inlineStr">
        <is>
          <t>Morropón</t>
        </is>
      </c>
      <c r="B152" s="8" t="inlineStr">
        <is>
          <t>San Juan de Bigote</t>
        </is>
      </c>
      <c r="C152" s="8" t="inlineStr">
        <is>
          <t>Alan Garcia</t>
        </is>
      </c>
      <c r="D152" s="8" t="inlineStr">
        <is>
          <t>M3B3</t>
        </is>
      </c>
      <c r="E152" s="13" t="n">
        <v>57</v>
      </c>
      <c r="F152" s="14" t="n">
        <v>2</v>
      </c>
      <c r="G152" s="14" t="n">
        <v>2</v>
      </c>
      <c r="H152" s="8" t="inlineStr">
        <is>
          <t>COMPLETO</t>
        </is>
      </c>
      <c r="I152" s="14" t="n">
        <v>1</v>
      </c>
      <c r="J152" s="8" t="inlineStr">
        <is>
          <t>COMPLETO</t>
        </is>
      </c>
      <c r="K152" s="14" t="n">
        <v>0</v>
      </c>
      <c r="L152" s="8" t="inlineStr">
        <is>
          <t>PENDIENTE</t>
        </is>
      </c>
      <c r="M152" s="42" t="n">
        <v>46212</v>
      </c>
      <c r="N152" s="8" t="inlineStr"/>
    </row>
    <row r="153">
      <c r="A153" s="6" t="inlineStr">
        <is>
          <t>Morropón</t>
        </is>
      </c>
      <c r="B153" s="6" t="inlineStr">
        <is>
          <t>San Juan de Bigote</t>
        </is>
      </c>
      <c r="C153" s="6" t="inlineStr">
        <is>
          <t>Bado De Garzas</t>
        </is>
      </c>
      <c r="D153" s="6" t="inlineStr">
        <is>
          <t>M3B6</t>
        </is>
      </c>
      <c r="E153" s="9" t="n">
        <v>36</v>
      </c>
      <c r="F153" s="10" t="n">
        <v>1</v>
      </c>
      <c r="G153" s="10" t="n">
        <v>2</v>
      </c>
      <c r="H153" s="6" t="inlineStr">
        <is>
          <t>COMPLETO</t>
        </is>
      </c>
      <c r="I153" s="10" t="n">
        <v>1</v>
      </c>
      <c r="J153" s="6" t="inlineStr">
        <is>
          <t>COMPLETO</t>
        </is>
      </c>
      <c r="K153" s="10" t="n">
        <v>0</v>
      </c>
      <c r="L153" s="6" t="inlineStr">
        <is>
          <t>PENDIENTE</t>
        </is>
      </c>
      <c r="M153" s="41" t="n">
        <v>46210</v>
      </c>
      <c r="N153" s="6" t="inlineStr"/>
    </row>
    <row r="154">
      <c r="A154" s="8" t="inlineStr">
        <is>
          <t>Morropón</t>
        </is>
      </c>
      <c r="B154" s="8" t="inlineStr">
        <is>
          <t>San Juan de Bigote</t>
        </is>
      </c>
      <c r="C154" s="8" t="inlineStr">
        <is>
          <t>Bigote</t>
        </is>
      </c>
      <c r="D154" s="8" t="inlineStr">
        <is>
          <t>M3B3</t>
        </is>
      </c>
      <c r="E154" s="13" t="n">
        <v>146.4</v>
      </c>
      <c r="F154" s="14" t="n">
        <v>6</v>
      </c>
      <c r="G154" s="14" t="n">
        <v>6</v>
      </c>
      <c r="H154" s="8" t="inlineStr">
        <is>
          <t>COMPLETO</t>
        </is>
      </c>
      <c r="I154" s="14" t="n">
        <v>2</v>
      </c>
      <c r="J154" s="8" t="inlineStr">
        <is>
          <t>COMPLETO</t>
        </is>
      </c>
      <c r="K154" s="14" t="n">
        <v>0</v>
      </c>
      <c r="L154" s="8" t="inlineStr">
        <is>
          <t>PENDIENTE</t>
        </is>
      </c>
      <c r="M154" s="42" t="n">
        <v>46212</v>
      </c>
      <c r="N154" s="8" t="inlineStr"/>
    </row>
    <row r="155">
      <c r="A155" s="6" t="inlineStr">
        <is>
          <t>Morropón</t>
        </is>
      </c>
      <c r="B155" s="6" t="inlineStr">
        <is>
          <t>San Juan de Bigote</t>
        </is>
      </c>
      <c r="C155" s="6" t="inlineStr">
        <is>
          <t>La Pareja</t>
        </is>
      </c>
      <c r="D155" s="6" t="inlineStr">
        <is>
          <t>M11B3</t>
        </is>
      </c>
      <c r="E155" s="9" t="n">
        <v>0</v>
      </c>
      <c r="F155" s="10" t="n">
        <v>0</v>
      </c>
      <c r="G155" s="10" t="n">
        <v>2</v>
      </c>
      <c r="H155" s="6" t="inlineStr">
        <is>
          <t>COMPLETO</t>
        </is>
      </c>
      <c r="I155" s="10" t="n">
        <v>1</v>
      </c>
      <c r="J155" s="6" t="inlineStr">
        <is>
          <t>COMPLETO</t>
        </is>
      </c>
      <c r="K155" s="10" t="n">
        <v>0</v>
      </c>
      <c r="L155" s="6" t="inlineStr">
        <is>
          <t>PENDIENTE</t>
        </is>
      </c>
      <c r="M155" s="41" t="n">
        <v>46268</v>
      </c>
      <c r="N155" s="6" t="inlineStr"/>
    </row>
    <row r="156">
      <c r="A156" s="8" t="inlineStr">
        <is>
          <t>Morropón</t>
        </is>
      </c>
      <c r="B156" s="8" t="inlineStr">
        <is>
          <t>San Juan de Bigote</t>
        </is>
      </c>
      <c r="C156" s="8" t="inlineStr">
        <is>
          <t>Manzanares</t>
        </is>
      </c>
      <c r="D156" s="8" t="inlineStr">
        <is>
          <t>M3B6</t>
        </is>
      </c>
      <c r="E156" s="13" t="n">
        <v>38</v>
      </c>
      <c r="F156" s="14" t="n">
        <v>2</v>
      </c>
      <c r="G156" s="14" t="n">
        <v>2</v>
      </c>
      <c r="H156" s="8" t="inlineStr">
        <is>
          <t>COMPLETO</t>
        </is>
      </c>
      <c r="I156" s="14" t="n">
        <v>1</v>
      </c>
      <c r="J156" s="8" t="inlineStr">
        <is>
          <t>COMPLETO</t>
        </is>
      </c>
      <c r="K156" s="14" t="n">
        <v>0</v>
      </c>
      <c r="L156" s="8" t="inlineStr">
        <is>
          <t>PENDIENTE</t>
        </is>
      </c>
      <c r="M156" s="42" t="n">
        <v>46210</v>
      </c>
      <c r="N156" s="8" t="inlineStr"/>
    </row>
    <row r="157">
      <c r="A157" s="6" t="inlineStr">
        <is>
          <t>Morropón</t>
        </is>
      </c>
      <c r="B157" s="6" t="inlineStr">
        <is>
          <t>San Juan de Bigote</t>
        </is>
      </c>
      <c r="C157" s="6" t="inlineStr">
        <is>
          <t>Miguel Pampa</t>
        </is>
      </c>
      <c r="D157" s="6" t="inlineStr">
        <is>
          <t>77</t>
        </is>
      </c>
      <c r="E157" s="9" t="n">
        <v>74</v>
      </c>
      <c r="F157" s="10" t="n">
        <v>3</v>
      </c>
      <c r="G157" s="10" t="n">
        <v>3</v>
      </c>
      <c r="H157" s="6" t="inlineStr">
        <is>
          <t>COMPLETO</t>
        </is>
      </c>
      <c r="I157" s="10" t="n">
        <v>1</v>
      </c>
      <c r="J157" s="6" t="inlineStr">
        <is>
          <t>COMPLETO</t>
        </is>
      </c>
      <c r="K157" s="10" t="n">
        <v>0</v>
      </c>
      <c r="L157" s="6" t="inlineStr">
        <is>
          <t>PENDIENTE</t>
        </is>
      </c>
      <c r="M157" s="41" t="n">
        <v>46210</v>
      </c>
      <c r="N157" s="6" t="inlineStr"/>
    </row>
    <row r="158">
      <c r="A158" s="8" t="inlineStr">
        <is>
          <t>Morropón</t>
        </is>
      </c>
      <c r="B158" s="8" t="inlineStr">
        <is>
          <t>San Juan de Bigote</t>
        </is>
      </c>
      <c r="C158" s="8" t="inlineStr">
        <is>
          <t>Polluco</t>
        </is>
      </c>
      <c r="D158" s="8" t="inlineStr">
        <is>
          <t>M3B7</t>
        </is>
      </c>
      <c r="E158" s="13" t="n">
        <v>22</v>
      </c>
      <c r="F158" s="14" t="n">
        <v>1</v>
      </c>
      <c r="G158" s="14" t="n">
        <v>2</v>
      </c>
      <c r="H158" s="8" t="inlineStr">
        <is>
          <t>COMPLETO</t>
        </is>
      </c>
      <c r="I158" s="14" t="n">
        <v>1</v>
      </c>
      <c r="J158" s="8" t="inlineStr">
        <is>
          <t>COMPLETO</t>
        </is>
      </c>
      <c r="K158" s="14" t="n">
        <v>0</v>
      </c>
      <c r="L158" s="8" t="inlineStr">
        <is>
          <t>PENDIENTE</t>
        </is>
      </c>
      <c r="M158" s="42" t="n">
        <v>46211</v>
      </c>
      <c r="N158" s="8" t="inlineStr"/>
    </row>
    <row r="159">
      <c r="A159" s="6" t="inlineStr">
        <is>
          <t>Morropón</t>
        </is>
      </c>
      <c r="B159" s="6" t="inlineStr">
        <is>
          <t>San Juan de Bigote</t>
        </is>
      </c>
      <c r="C159" s="6" t="inlineStr">
        <is>
          <t>Quemazon</t>
        </is>
      </c>
      <c r="D159" s="6" t="inlineStr">
        <is>
          <t>M11B3</t>
        </is>
      </c>
      <c r="E159" s="9" t="n">
        <v>133</v>
      </c>
      <c r="F159" s="10" t="n">
        <v>6</v>
      </c>
      <c r="G159" s="10" t="n">
        <v>6</v>
      </c>
      <c r="H159" s="6" t="inlineStr">
        <is>
          <t>COMPLETO</t>
        </is>
      </c>
      <c r="I159" s="10" t="n">
        <v>1</v>
      </c>
      <c r="J159" s="6" t="inlineStr">
        <is>
          <t>COMPLETO</t>
        </is>
      </c>
      <c r="K159" s="10" t="n">
        <v>0</v>
      </c>
      <c r="L159" s="6" t="inlineStr">
        <is>
          <t>PENDIENTE</t>
        </is>
      </c>
      <c r="M159" s="41" t="n">
        <v>46211</v>
      </c>
      <c r="N159" s="6" t="inlineStr"/>
    </row>
    <row r="160">
      <c r="A160" s="8" t="inlineStr">
        <is>
          <t>Morropón</t>
        </is>
      </c>
      <c r="B160" s="8" t="inlineStr">
        <is>
          <t>San Juan de Bigote</t>
        </is>
      </c>
      <c r="C160" s="8" t="inlineStr">
        <is>
          <t>San Juan Bautista</t>
        </is>
      </c>
      <c r="D160" s="8" t="inlineStr">
        <is>
          <t>M3B5</t>
        </is>
      </c>
      <c r="E160" s="13" t="n">
        <v>33</v>
      </c>
      <c r="F160" s="14" t="n">
        <v>1</v>
      </c>
      <c r="G160" s="14" t="n">
        <v>2</v>
      </c>
      <c r="H160" s="8" t="inlineStr">
        <is>
          <t>COMPLETO</t>
        </is>
      </c>
      <c r="I160" s="14" t="n">
        <v>1</v>
      </c>
      <c r="J160" s="8" t="inlineStr">
        <is>
          <t>COMPLETO</t>
        </is>
      </c>
      <c r="K160" s="14" t="n">
        <v>0</v>
      </c>
      <c r="L160" s="8" t="inlineStr">
        <is>
          <t>PENDIENTE</t>
        </is>
      </c>
      <c r="M160" s="42" t="n">
        <v>46212</v>
      </c>
      <c r="N160" s="8" t="inlineStr"/>
    </row>
    <row r="161">
      <c r="A161" s="6" t="inlineStr">
        <is>
          <t>Morropón</t>
        </is>
      </c>
      <c r="B161" s="6" t="inlineStr">
        <is>
          <t>San Juan de Bigote</t>
        </is>
      </c>
      <c r="C161" s="6" t="inlineStr">
        <is>
          <t>Santa Rosa</t>
        </is>
      </c>
      <c r="D161" s="6" t="inlineStr">
        <is>
          <t>M3B8</t>
        </is>
      </c>
      <c r="E161" s="9" t="n">
        <v>67</v>
      </c>
      <c r="F161" s="10" t="n">
        <v>3</v>
      </c>
      <c r="G161" s="10" t="n">
        <v>3</v>
      </c>
      <c r="H161" s="6" t="inlineStr">
        <is>
          <t>COMPLETO</t>
        </is>
      </c>
      <c r="I161" s="10" t="n">
        <v>1</v>
      </c>
      <c r="J161" s="6" t="inlineStr">
        <is>
          <t>COMPLETO</t>
        </is>
      </c>
      <c r="K161" s="10" t="n">
        <v>0</v>
      </c>
      <c r="L161" s="6" t="inlineStr">
        <is>
          <t>PENDIENTE</t>
        </is>
      </c>
      <c r="M161" s="41" t="n">
        <v>46211</v>
      </c>
      <c r="N161" s="6" t="inlineStr"/>
    </row>
    <row r="162">
      <c r="A162" s="8" t="inlineStr">
        <is>
          <t>Morropón</t>
        </is>
      </c>
      <c r="B162" s="8" t="inlineStr">
        <is>
          <t>San Juan de Bigote</t>
        </is>
      </c>
      <c r="C162" s="8" t="inlineStr">
        <is>
          <t>Sinai</t>
        </is>
      </c>
      <c r="D162" s="8" t="inlineStr">
        <is>
          <t>M3B7</t>
        </is>
      </c>
      <c r="E162" s="13" t="n">
        <v>16</v>
      </c>
      <c r="F162" s="14" t="n">
        <v>1</v>
      </c>
      <c r="G162" s="14" t="n">
        <v>2</v>
      </c>
      <c r="H162" s="8" t="inlineStr">
        <is>
          <t>COMPLETO</t>
        </is>
      </c>
      <c r="I162" s="14" t="n">
        <v>1</v>
      </c>
      <c r="J162" s="8" t="inlineStr">
        <is>
          <t>COMPLETO</t>
        </is>
      </c>
      <c r="K162" s="14" t="n">
        <v>0</v>
      </c>
      <c r="L162" s="8" t="inlineStr">
        <is>
          <t>PENDIENTE</t>
        </is>
      </c>
      <c r="M162" s="42" t="n">
        <v>46211</v>
      </c>
      <c r="N162" s="8" t="inlineStr"/>
    </row>
    <row r="163">
      <c r="A163" s="6" t="inlineStr">
        <is>
          <t>Morropón</t>
        </is>
      </c>
      <c r="B163" s="6" t="inlineStr">
        <is>
          <t>Santa Catalina de Mossa</t>
        </is>
      </c>
      <c r="C163" s="6" t="inlineStr">
        <is>
          <t>La Laja</t>
        </is>
      </c>
      <c r="D163" s="6" t="inlineStr">
        <is>
          <t>14</t>
        </is>
      </c>
      <c r="E163" s="9" t="n">
        <v>12</v>
      </c>
      <c r="F163" s="10" t="n">
        <v>0</v>
      </c>
      <c r="G163" s="10" t="n">
        <v>3</v>
      </c>
      <c r="H163" s="6" t="inlineStr">
        <is>
          <t>COMPLETO</t>
        </is>
      </c>
      <c r="I163" s="10" t="n">
        <v>1</v>
      </c>
      <c r="J163" s="6" t="inlineStr">
        <is>
          <t>COMPLETO</t>
        </is>
      </c>
      <c r="K163" s="10" t="n">
        <v>0</v>
      </c>
      <c r="L163" s="6" t="inlineStr">
        <is>
          <t>PENDIENTE</t>
        </is>
      </c>
      <c r="M163" s="41" t="n">
        <v>46176</v>
      </c>
      <c r="N163" s="6" t="inlineStr"/>
    </row>
    <row r="164">
      <c r="A164" s="8" t="inlineStr">
        <is>
          <t>Morropón</t>
        </is>
      </c>
      <c r="B164" s="8" t="inlineStr">
        <is>
          <t>Santa Catalina de Mossa</t>
        </is>
      </c>
      <c r="C164" s="8" t="inlineStr">
        <is>
          <t>Linderos De Maray</t>
        </is>
      </c>
      <c r="D164" s="8" t="inlineStr">
        <is>
          <t>58</t>
        </is>
      </c>
      <c r="E164" s="13" t="n">
        <v>0</v>
      </c>
      <c r="F164" s="14" t="n">
        <v>0</v>
      </c>
      <c r="G164" s="14" t="n">
        <v>1</v>
      </c>
      <c r="H164" s="8" t="inlineStr">
        <is>
          <t>COMPLETO</t>
        </is>
      </c>
      <c r="I164" s="14" t="n">
        <v>1</v>
      </c>
      <c r="J164" s="8" t="inlineStr">
        <is>
          <t>COMPLETO</t>
        </is>
      </c>
      <c r="K164" s="14" t="n">
        <v>0</v>
      </c>
      <c r="L164" s="8" t="inlineStr">
        <is>
          <t>PENDIENTE</t>
        </is>
      </c>
      <c r="M164" s="42" t="n">
        <v>46288</v>
      </c>
      <c r="N164" s="8" t="inlineStr"/>
    </row>
    <row r="165">
      <c r="A165" s="6" t="inlineStr">
        <is>
          <t>Morropón</t>
        </is>
      </c>
      <c r="B165" s="6" t="inlineStr">
        <is>
          <t>Santa Catalina de Mossa</t>
        </is>
      </c>
      <c r="C165" s="6" t="inlineStr">
        <is>
          <t>Maray</t>
        </is>
      </c>
      <c r="D165" s="6" t="inlineStr">
        <is>
          <t>58</t>
        </is>
      </c>
      <c r="E165" s="9" t="n">
        <v>138</v>
      </c>
      <c r="F165" s="10" t="n">
        <v>6</v>
      </c>
      <c r="G165" s="10" t="n"/>
      <c r="H165" s="6" t="inlineStr">
        <is>
          <t>SIN REGISTRO</t>
        </is>
      </c>
      <c r="I165" s="10" t="n"/>
      <c r="J165" s="6" t="inlineStr">
        <is>
          <t>SIN REGISTRO</t>
        </is>
      </c>
      <c r="K165" s="10" t="n"/>
      <c r="L165" s="6" t="inlineStr">
        <is>
          <t>SIN REGISTRO</t>
        </is>
      </c>
      <c r="M165" s="41" t="n"/>
      <c r="N165" s="6" t="inlineStr"/>
    </row>
    <row r="166">
      <c r="A166" s="8" t="inlineStr">
        <is>
          <t>Morropón</t>
        </is>
      </c>
      <c r="B166" s="8" t="inlineStr">
        <is>
          <t>Santa Catalina de Mossa</t>
        </is>
      </c>
      <c r="C166" s="8" t="inlineStr">
        <is>
          <t>Maray</t>
        </is>
      </c>
      <c r="D166" s="8" t="inlineStr">
        <is>
          <t>M32B3</t>
        </is>
      </c>
      <c r="E166" s="13" t="n">
        <v>138</v>
      </c>
      <c r="F166" s="14" t="n">
        <v>6</v>
      </c>
      <c r="G166" s="14" t="n">
        <v>3</v>
      </c>
      <c r="H166" s="8" t="inlineStr">
        <is>
          <t>PENDIENTE</t>
        </is>
      </c>
      <c r="I166" s="14" t="n">
        <v>2</v>
      </c>
      <c r="J166" s="8" t="inlineStr">
        <is>
          <t>COMPLETO</t>
        </is>
      </c>
      <c r="K166" s="14" t="n">
        <v>0</v>
      </c>
      <c r="L166" s="8" t="inlineStr">
        <is>
          <t>PENDIENTE</t>
        </is>
      </c>
      <c r="M166" s="42" t="n">
        <v>46189</v>
      </c>
      <c r="N166" s="8" t="inlineStr"/>
    </row>
    <row r="167">
      <c r="A167" s="6" t="inlineStr">
        <is>
          <t>Morropón</t>
        </is>
      </c>
      <c r="B167" s="6" t="inlineStr">
        <is>
          <t>Santa Catalina de Mossa</t>
        </is>
      </c>
      <c r="C167" s="6" t="inlineStr">
        <is>
          <t>Overazal</t>
        </is>
      </c>
      <c r="D167" s="6" t="inlineStr">
        <is>
          <t>14</t>
        </is>
      </c>
      <c r="E167" s="9" t="n">
        <v>8</v>
      </c>
      <c r="F167" s="10" t="n">
        <v>1</v>
      </c>
      <c r="G167" s="10" t="n">
        <v>2</v>
      </c>
      <c r="H167" s="6" t="inlineStr">
        <is>
          <t>COMPLETO</t>
        </is>
      </c>
      <c r="I167" s="10" t="n">
        <v>1</v>
      </c>
      <c r="J167" s="6" t="inlineStr">
        <is>
          <t>COMPLETO</t>
        </is>
      </c>
      <c r="K167" s="10" t="n">
        <v>0</v>
      </c>
      <c r="L167" s="6" t="inlineStr">
        <is>
          <t>PENDIENTE</t>
        </is>
      </c>
      <c r="M167" s="41" t="n">
        <v>46211</v>
      </c>
      <c r="N167" s="6" t="inlineStr"/>
    </row>
    <row r="168">
      <c r="A168" s="8" t="inlineStr">
        <is>
          <t>Morropón</t>
        </is>
      </c>
      <c r="B168" s="8" t="inlineStr">
        <is>
          <t>Santa Catalina de Mossa</t>
        </is>
      </c>
      <c r="C168" s="8" t="inlineStr">
        <is>
          <t>Santa Rosa De Chirimoyos</t>
        </is>
      </c>
      <c r="D168" s="8" t="inlineStr">
        <is>
          <t>42</t>
        </is>
      </c>
      <c r="E168" s="13" t="n">
        <v>53</v>
      </c>
      <c r="F168" s="14" t="n">
        <v>2</v>
      </c>
      <c r="G168" s="14" t="n">
        <v>2</v>
      </c>
      <c r="H168" s="8" t="inlineStr">
        <is>
          <t>COMPLETO</t>
        </is>
      </c>
      <c r="I168" s="14" t="n">
        <v>1</v>
      </c>
      <c r="J168" s="8" t="inlineStr">
        <is>
          <t>COMPLETO</t>
        </is>
      </c>
      <c r="K168" s="14" t="n">
        <v>0</v>
      </c>
      <c r="L168" s="8" t="inlineStr">
        <is>
          <t>PENDIENTE</t>
        </is>
      </c>
      <c r="M168" s="42" t="n">
        <v>46175</v>
      </c>
      <c r="N168" s="8" t="inlineStr"/>
    </row>
    <row r="169">
      <c r="A169" s="6" t="inlineStr">
        <is>
          <t>Morropón</t>
        </is>
      </c>
      <c r="B169" s="6" t="inlineStr">
        <is>
          <t>Santa Catalina de Mossa</t>
        </is>
      </c>
      <c r="C169" s="6" t="inlineStr">
        <is>
          <t>Santa Rosa De Chirimoyos</t>
        </is>
      </c>
      <c r="D169" s="6" t="inlineStr">
        <is>
          <t>M36B2</t>
        </is>
      </c>
      <c r="E169" s="9" t="n">
        <v>53</v>
      </c>
      <c r="F169" s="10" t="n">
        <v>2</v>
      </c>
      <c r="G169" s="10" t="n"/>
      <c r="H169" s="6" t="inlineStr">
        <is>
          <t>SIN REGISTRO</t>
        </is>
      </c>
      <c r="I169" s="10" t="n"/>
      <c r="J169" s="6" t="inlineStr">
        <is>
          <t>SIN REGISTRO</t>
        </is>
      </c>
      <c r="K169" s="10" t="n"/>
      <c r="L169" s="6" t="inlineStr">
        <is>
          <t>SIN REGISTRO</t>
        </is>
      </c>
      <c r="M169" s="41" t="n"/>
      <c r="N169" s="6" t="inlineStr"/>
    </row>
    <row r="170">
      <c r="A170" s="8" t="inlineStr">
        <is>
          <t>Morropón</t>
        </is>
      </c>
      <c r="B170" s="8" t="inlineStr">
        <is>
          <t>Santo Domingo</t>
        </is>
      </c>
      <c r="C170" s="8" t="inlineStr">
        <is>
          <t>Botijas</t>
        </is>
      </c>
      <c r="D170" s="8" t="inlineStr">
        <is>
          <t>M8B2</t>
        </is>
      </c>
      <c r="E170" s="13" t="n">
        <v>71</v>
      </c>
      <c r="F170" s="14" t="n">
        <v>3</v>
      </c>
      <c r="G170" s="14" t="n">
        <v>3</v>
      </c>
      <c r="H170" s="8" t="inlineStr">
        <is>
          <t>COMPLETO</t>
        </is>
      </c>
      <c r="I170" s="14" t="n">
        <v>1</v>
      </c>
      <c r="J170" s="8" t="inlineStr">
        <is>
          <t>COMPLETO</t>
        </is>
      </c>
      <c r="K170" s="14" t="n">
        <v>0</v>
      </c>
      <c r="L170" s="8" t="inlineStr">
        <is>
          <t>PENDIENTE</t>
        </is>
      </c>
      <c r="M170" s="42" t="n">
        <v>46275</v>
      </c>
      <c r="N170" s="8" t="inlineStr"/>
    </row>
    <row r="171">
      <c r="A171" s="6" t="inlineStr">
        <is>
          <t>Morropón</t>
        </is>
      </c>
      <c r="B171" s="6" t="inlineStr">
        <is>
          <t>Santo Domingo</t>
        </is>
      </c>
      <c r="C171" s="6" t="inlineStr">
        <is>
          <t>Chacayo</t>
        </is>
      </c>
      <c r="D171" s="6" t="inlineStr">
        <is>
          <t>12</t>
        </is>
      </c>
      <c r="E171" s="9" t="n">
        <v>85</v>
      </c>
      <c r="F171" s="10" t="n">
        <v>4</v>
      </c>
      <c r="G171" s="10" t="n">
        <v>4</v>
      </c>
      <c r="H171" s="6" t="inlineStr">
        <is>
          <t>COMPLETO</t>
        </is>
      </c>
      <c r="I171" s="10" t="n">
        <v>1</v>
      </c>
      <c r="J171" s="6" t="inlineStr">
        <is>
          <t>COMPLETO</t>
        </is>
      </c>
      <c r="K171" s="10" t="n">
        <v>0</v>
      </c>
      <c r="L171" s="6" t="inlineStr">
        <is>
          <t>PENDIENTE</t>
        </is>
      </c>
      <c r="M171" s="41" t="n">
        <v>46182</v>
      </c>
      <c r="N171" s="6" t="inlineStr">
        <is>
          <t>Se completó las fichas DS01 el 10/09/2026</t>
        </is>
      </c>
    </row>
    <row r="172">
      <c r="A172" s="8" t="inlineStr">
        <is>
          <t>Morropón</t>
        </is>
      </c>
      <c r="B172" s="8" t="inlineStr">
        <is>
          <t>Santo Domingo</t>
        </is>
      </c>
      <c r="C172" s="8" t="inlineStr">
        <is>
          <t>El Checo</t>
        </is>
      </c>
      <c r="D172" s="8" t="inlineStr">
        <is>
          <t>17</t>
        </is>
      </c>
      <c r="E172" s="13" t="n">
        <v>31</v>
      </c>
      <c r="F172" s="14" t="n">
        <v>1</v>
      </c>
      <c r="G172" s="14" t="n">
        <v>1</v>
      </c>
      <c r="H172" s="8" t="inlineStr">
        <is>
          <t>COMPLETO</t>
        </is>
      </c>
      <c r="I172" s="14" t="n">
        <v>1</v>
      </c>
      <c r="J172" s="8" t="inlineStr">
        <is>
          <t>COMPLETO</t>
        </is>
      </c>
      <c r="K172" s="14" t="n">
        <v>0</v>
      </c>
      <c r="L172" s="8" t="inlineStr">
        <is>
          <t>PENDIENTE</t>
        </is>
      </c>
      <c r="M172" s="42" t="n">
        <v>46189</v>
      </c>
      <c r="N172" s="8" t="inlineStr"/>
    </row>
    <row r="173">
      <c r="A173" s="6" t="inlineStr">
        <is>
          <t>Morropón</t>
        </is>
      </c>
      <c r="B173" s="6" t="inlineStr">
        <is>
          <t>Santo Domingo</t>
        </is>
      </c>
      <c r="C173" s="6" t="inlineStr">
        <is>
          <t>El Faique</t>
        </is>
      </c>
      <c r="D173" s="6" t="inlineStr">
        <is>
          <t>M19B7</t>
        </is>
      </c>
      <c r="E173" s="9" t="n">
        <v>18</v>
      </c>
      <c r="F173" s="10" t="n">
        <v>1</v>
      </c>
      <c r="G173" s="10" t="n">
        <v>1</v>
      </c>
      <c r="H173" s="6" t="inlineStr">
        <is>
          <t>COMPLETO</t>
        </is>
      </c>
      <c r="I173" s="10" t="n">
        <v>1</v>
      </c>
      <c r="J173" s="6" t="inlineStr">
        <is>
          <t>COMPLETO</t>
        </is>
      </c>
      <c r="K173" s="10" t="n">
        <v>0</v>
      </c>
      <c r="L173" s="6" t="inlineStr">
        <is>
          <t>PENDIENTE</t>
        </is>
      </c>
      <c r="M173" s="41" t="n">
        <v>46190</v>
      </c>
      <c r="N173" s="6" t="inlineStr"/>
    </row>
    <row r="174">
      <c r="A174" s="8" t="inlineStr">
        <is>
          <t>Morropón</t>
        </is>
      </c>
      <c r="B174" s="8" t="inlineStr">
        <is>
          <t>Santo Domingo</t>
        </is>
      </c>
      <c r="C174" s="8" t="inlineStr">
        <is>
          <t>Huacas</t>
        </is>
      </c>
      <c r="D174" s="8" t="inlineStr">
        <is>
          <t>13</t>
        </is>
      </c>
      <c r="E174" s="13" t="n">
        <v>49</v>
      </c>
      <c r="F174" s="14" t="n">
        <v>2</v>
      </c>
      <c r="G174" s="14" t="n">
        <v>2</v>
      </c>
      <c r="H174" s="8" t="inlineStr">
        <is>
          <t>COMPLETO</t>
        </is>
      </c>
      <c r="I174" s="14" t="n">
        <v>1</v>
      </c>
      <c r="J174" s="8" t="inlineStr">
        <is>
          <t>COMPLETO</t>
        </is>
      </c>
      <c r="K174" s="14" t="n">
        <v>0</v>
      </c>
      <c r="L174" s="8" t="inlineStr">
        <is>
          <t>PENDIENTE</t>
        </is>
      </c>
      <c r="M174" s="42" t="n">
        <v>46183</v>
      </c>
      <c r="N174" s="8" t="inlineStr"/>
    </row>
    <row r="175">
      <c r="A175" s="6" t="inlineStr">
        <is>
          <t>Morropón</t>
        </is>
      </c>
      <c r="B175" s="6" t="inlineStr">
        <is>
          <t>Santo Domingo</t>
        </is>
      </c>
      <c r="C175" s="6" t="inlineStr">
        <is>
          <t>Jacanacas</t>
        </is>
      </c>
      <c r="D175" s="6" t="inlineStr">
        <is>
          <t>15</t>
        </is>
      </c>
      <c r="E175" s="9" t="n">
        <v>64</v>
      </c>
      <c r="F175" s="10" t="n">
        <v>3</v>
      </c>
      <c r="G175" s="10" t="n">
        <v>3</v>
      </c>
      <c r="H175" s="6" t="inlineStr">
        <is>
          <t>COMPLETO</t>
        </is>
      </c>
      <c r="I175" s="10" t="n">
        <v>1</v>
      </c>
      <c r="J175" s="6" t="inlineStr">
        <is>
          <t>COMPLETO</t>
        </is>
      </c>
      <c r="K175" s="10" t="n">
        <v>0</v>
      </c>
      <c r="L175" s="6" t="inlineStr">
        <is>
          <t>PENDIENTE</t>
        </is>
      </c>
      <c r="M175" s="41" t="n">
        <v>46184</v>
      </c>
      <c r="N175" s="6" t="inlineStr">
        <is>
          <t>Se completó las fichas DS01 el 10/09/2026</t>
        </is>
      </c>
    </row>
    <row r="176">
      <c r="A176" s="8" t="inlineStr">
        <is>
          <t>Morropón</t>
        </is>
      </c>
      <c r="B176" s="8" t="inlineStr">
        <is>
          <t>Santo Domingo</t>
        </is>
      </c>
      <c r="C176" s="8" t="inlineStr">
        <is>
          <t>Jacanacas</t>
        </is>
      </c>
      <c r="D176" s="8" t="inlineStr">
        <is>
          <t>23</t>
        </is>
      </c>
      <c r="E176" s="13" t="n">
        <v>64</v>
      </c>
      <c r="F176" s="14" t="n">
        <v>3</v>
      </c>
      <c r="G176" s="14" t="n">
        <v>3</v>
      </c>
      <c r="H176" s="8" t="inlineStr">
        <is>
          <t>COMPLETO</t>
        </is>
      </c>
      <c r="I176" s="14" t="n">
        <v>1</v>
      </c>
      <c r="J176" s="8" t="inlineStr">
        <is>
          <t>COMPLETO</t>
        </is>
      </c>
      <c r="K176" s="14" t="n">
        <v>0</v>
      </c>
      <c r="L176" s="8" t="inlineStr">
        <is>
          <t>PENDIENTE</t>
        </is>
      </c>
      <c r="M176" s="42" t="n">
        <v>46184</v>
      </c>
      <c r="N176" s="8" t="inlineStr">
        <is>
          <t>Se completó las fichas DS01 el 10/09/2026</t>
        </is>
      </c>
    </row>
    <row r="177">
      <c r="A177" s="6" t="inlineStr">
        <is>
          <t>Morropón</t>
        </is>
      </c>
      <c r="B177" s="6" t="inlineStr">
        <is>
          <t>Santo Domingo</t>
        </is>
      </c>
      <c r="C177" s="6" t="inlineStr">
        <is>
          <t>Nueva Esperanza</t>
        </is>
      </c>
      <c r="D177" s="6" t="inlineStr">
        <is>
          <t>23</t>
        </is>
      </c>
      <c r="E177" s="9" t="n">
        <v>13</v>
      </c>
      <c r="F177" s="10" t="n">
        <v>1</v>
      </c>
      <c r="G177" s="10" t="n">
        <v>1</v>
      </c>
      <c r="H177" s="6" t="inlineStr">
        <is>
          <t>COMPLETO</t>
        </is>
      </c>
      <c r="I177" s="10" t="n">
        <v>1</v>
      </c>
      <c r="J177" s="6" t="inlineStr">
        <is>
          <t>COMPLETO</t>
        </is>
      </c>
      <c r="K177" s="10" t="n">
        <v>0</v>
      </c>
      <c r="L177" s="6" t="inlineStr">
        <is>
          <t>PENDIENTE</t>
        </is>
      </c>
      <c r="M177" s="41" t="n">
        <v>46190</v>
      </c>
      <c r="N177" s="6" t="inlineStr"/>
    </row>
    <row r="178">
      <c r="A178" s="8" t="inlineStr">
        <is>
          <t>Morropón</t>
        </is>
      </c>
      <c r="B178" s="8" t="inlineStr">
        <is>
          <t>Santo Domingo</t>
        </is>
      </c>
      <c r="C178" s="8" t="inlineStr">
        <is>
          <t>Santa Fe De Portachuelo</t>
        </is>
      </c>
      <c r="D178" s="8" t="inlineStr">
        <is>
          <t>82</t>
        </is>
      </c>
      <c r="E178" s="13" t="n">
        <v>45</v>
      </c>
      <c r="F178" s="14" t="n">
        <v>2</v>
      </c>
      <c r="G178" s="14" t="n">
        <v>2</v>
      </c>
      <c r="H178" s="8" t="inlineStr">
        <is>
          <t>COMPLETO</t>
        </is>
      </c>
      <c r="I178" s="14" t="n">
        <v>1</v>
      </c>
      <c r="J178" s="8" t="inlineStr">
        <is>
          <t>COMPLETO</t>
        </is>
      </c>
      <c r="K178" s="14" t="n">
        <v>0</v>
      </c>
      <c r="L178" s="8" t="inlineStr">
        <is>
          <t>PENDIENTE</t>
        </is>
      </c>
      <c r="M178" s="42" t="n">
        <v>46183</v>
      </c>
      <c r="N178" s="8" t="inlineStr"/>
    </row>
    <row r="179">
      <c r="A179" s="6" t="inlineStr">
        <is>
          <t>Morropón</t>
        </is>
      </c>
      <c r="B179" s="6" t="inlineStr">
        <is>
          <t>Santo Domingo</t>
        </is>
      </c>
      <c r="C179" s="6" t="inlineStr">
        <is>
          <t>Santo Domingo</t>
        </is>
      </c>
      <c r="D179" s="6" t="inlineStr">
        <is>
          <t>12</t>
        </is>
      </c>
      <c r="E179" s="9" t="n">
        <v>0</v>
      </c>
      <c r="F179" s="10" t="n">
        <v>0</v>
      </c>
      <c r="G179" s="10" t="n">
        <v>0</v>
      </c>
      <c r="H179" s="6" t="inlineStr">
        <is>
          <t>COMPLETO</t>
        </is>
      </c>
      <c r="I179" s="10" t="n">
        <v>0</v>
      </c>
      <c r="J179" s="6" t="inlineStr">
        <is>
          <t>PENDIENTE</t>
        </is>
      </c>
      <c r="K179" s="10" t="n">
        <v>0</v>
      </c>
      <c r="L179" s="6" t="inlineStr">
        <is>
          <t>PENDIENTE</t>
        </is>
      </c>
      <c r="M179" s="41" t="n"/>
      <c r="N179" s="6" t="inlineStr"/>
    </row>
    <row r="180">
      <c r="A180" s="8" t="inlineStr">
        <is>
          <t>Morropón</t>
        </is>
      </c>
      <c r="B180" s="8" t="inlineStr">
        <is>
          <t>Santo Domingo</t>
        </is>
      </c>
      <c r="C180" s="8" t="inlineStr">
        <is>
          <t>Tasajeras</t>
        </is>
      </c>
      <c r="D180" s="8" t="inlineStr">
        <is>
          <t>78</t>
        </is>
      </c>
      <c r="E180" s="13" t="n">
        <v>40</v>
      </c>
      <c r="F180" s="14" t="n">
        <v>2</v>
      </c>
      <c r="G180" s="14" t="n">
        <v>2</v>
      </c>
      <c r="H180" s="8" t="inlineStr">
        <is>
          <t>COMPLETO</t>
        </is>
      </c>
      <c r="I180" s="14" t="n">
        <v>2</v>
      </c>
      <c r="J180" s="8" t="inlineStr">
        <is>
          <t>COMPLETO</t>
        </is>
      </c>
      <c r="K180" s="14" t="n">
        <v>0</v>
      </c>
      <c r="L180" s="8" t="inlineStr">
        <is>
          <t>PENDIENTE</t>
        </is>
      </c>
      <c r="M180" s="42" t="n">
        <v>46190</v>
      </c>
      <c r="N180" s="8" t="inlineStr">
        <is>
          <t>Se completó las fichas DS01 el 10/09/2026</t>
        </is>
      </c>
    </row>
    <row r="181">
      <c r="A181" s="6" t="inlineStr">
        <is>
          <t>Morropón</t>
        </is>
      </c>
      <c r="B181" s="6" t="inlineStr">
        <is>
          <t>Santo Domingo</t>
        </is>
      </c>
      <c r="C181" s="6" t="inlineStr">
        <is>
          <t>Taylin De Tuñali</t>
        </is>
      </c>
      <c r="D181" s="6" t="inlineStr">
        <is>
          <t>11</t>
        </is>
      </c>
      <c r="E181" s="9" t="n">
        <v>34</v>
      </c>
      <c r="F181" s="10" t="n">
        <v>1</v>
      </c>
      <c r="G181" s="10" t="n">
        <v>1</v>
      </c>
      <c r="H181" s="6" t="inlineStr">
        <is>
          <t>COMPLETO</t>
        </is>
      </c>
      <c r="I181" s="10" t="n">
        <v>1</v>
      </c>
      <c r="J181" s="6" t="inlineStr">
        <is>
          <t>COMPLETO</t>
        </is>
      </c>
      <c r="K181" s="10" t="n">
        <v>0</v>
      </c>
      <c r="L181" s="6" t="inlineStr">
        <is>
          <t>PENDIENTE</t>
        </is>
      </c>
      <c r="M181" s="41" t="n">
        <v>46191</v>
      </c>
      <c r="N181" s="6" t="inlineStr"/>
    </row>
    <row r="182">
      <c r="A182" s="8" t="inlineStr">
        <is>
          <t>Morropón</t>
        </is>
      </c>
      <c r="B182" s="8" t="inlineStr">
        <is>
          <t>Yamango</t>
        </is>
      </c>
      <c r="C182" s="8" t="inlineStr">
        <is>
          <t>Alto Mambluque</t>
        </is>
      </c>
      <c r="D182" s="8" t="inlineStr">
        <is>
          <t>M28B4</t>
        </is>
      </c>
      <c r="E182" s="13" t="n">
        <v>35</v>
      </c>
      <c r="F182" s="14" t="n">
        <v>1</v>
      </c>
      <c r="G182" s="14" t="n">
        <v>2</v>
      </c>
      <c r="H182" s="8" t="inlineStr">
        <is>
          <t>COMPLETO</t>
        </is>
      </c>
      <c r="I182" s="14" t="n">
        <v>1</v>
      </c>
      <c r="J182" s="8" t="inlineStr">
        <is>
          <t>COMPLETO</t>
        </is>
      </c>
      <c r="K182" s="14" t="n">
        <v>0</v>
      </c>
      <c r="L182" s="8" t="inlineStr">
        <is>
          <t>PENDIENTE</t>
        </is>
      </c>
      <c r="M182" s="42" t="n">
        <v>46203</v>
      </c>
      <c r="N182" s="8" t="inlineStr"/>
    </row>
    <row r="183">
      <c r="A183" s="6" t="inlineStr">
        <is>
          <t>Morropón</t>
        </is>
      </c>
      <c r="B183" s="6" t="inlineStr">
        <is>
          <t>Yamango</t>
        </is>
      </c>
      <c r="C183" s="6" t="inlineStr">
        <is>
          <t>Flor De Agua</t>
        </is>
      </c>
      <c r="D183" s="6" t="inlineStr">
        <is>
          <t>M28B2</t>
        </is>
      </c>
      <c r="E183" s="9" t="n">
        <v>36</v>
      </c>
      <c r="F183" s="10" t="n">
        <v>1</v>
      </c>
      <c r="G183" s="10" t="n">
        <v>2</v>
      </c>
      <c r="H183" s="6" t="inlineStr">
        <is>
          <t>COMPLETO</t>
        </is>
      </c>
      <c r="I183" s="10" t="n">
        <v>1</v>
      </c>
      <c r="J183" s="6" t="inlineStr">
        <is>
          <t>COMPLETO</t>
        </is>
      </c>
      <c r="K183" s="10" t="n">
        <v>0</v>
      </c>
      <c r="L183" s="6" t="inlineStr">
        <is>
          <t>PENDIENTE</t>
        </is>
      </c>
      <c r="M183" s="41" t="n">
        <v>46204</v>
      </c>
      <c r="N183" s="6" t="inlineStr">
        <is>
          <t>Fichas en fechas 30/6 y 1/7</t>
        </is>
      </c>
    </row>
    <row r="184">
      <c r="A184" s="8" t="inlineStr">
        <is>
          <t>Morropón</t>
        </is>
      </c>
      <c r="B184" s="8" t="inlineStr">
        <is>
          <t>Yamango</t>
        </is>
      </c>
      <c r="C184" s="8" t="inlineStr">
        <is>
          <t>Las Huacas</t>
        </is>
      </c>
      <c r="D184" s="8" t="inlineStr">
        <is>
          <t>49</t>
        </is>
      </c>
      <c r="E184" s="13" t="n">
        <v>27</v>
      </c>
      <c r="F184" s="14" t="n">
        <v>1</v>
      </c>
      <c r="G184" s="14" t="n">
        <v>1</v>
      </c>
      <c r="H184" s="8" t="inlineStr">
        <is>
          <t>COMPLETO</t>
        </is>
      </c>
      <c r="I184" s="14" t="n">
        <v>1</v>
      </c>
      <c r="J184" s="8" t="inlineStr">
        <is>
          <t>COMPLETO</t>
        </is>
      </c>
      <c r="K184" s="14" t="n">
        <v>0</v>
      </c>
      <c r="L184" s="8" t="inlineStr">
        <is>
          <t>PENDIENTE</t>
        </is>
      </c>
      <c r="M184" s="42" t="n">
        <v>46204</v>
      </c>
      <c r="N184" s="8" t="inlineStr"/>
    </row>
    <row r="185">
      <c r="A185" s="6" t="inlineStr">
        <is>
          <t>Morropón</t>
        </is>
      </c>
      <c r="B185" s="6" t="inlineStr">
        <is>
          <t>Yamango</t>
        </is>
      </c>
      <c r="C185" s="6" t="inlineStr">
        <is>
          <t>Las Huacas</t>
        </is>
      </c>
      <c r="D185" s="6" t="inlineStr">
        <is>
          <t>55</t>
        </is>
      </c>
      <c r="E185" s="9" t="n">
        <v>27</v>
      </c>
      <c r="F185" s="10" t="n">
        <v>1</v>
      </c>
      <c r="G185" s="10" t="n">
        <v>1</v>
      </c>
      <c r="H185" s="6" t="inlineStr">
        <is>
          <t>COMPLETO</t>
        </is>
      </c>
      <c r="I185" s="10" t="n">
        <v>1</v>
      </c>
      <c r="J185" s="6" t="inlineStr">
        <is>
          <t>COMPLETO</t>
        </is>
      </c>
      <c r="K185" s="10" t="n">
        <v>0</v>
      </c>
      <c r="L185" s="6" t="inlineStr">
        <is>
          <t>PENDIENTE</t>
        </is>
      </c>
      <c r="M185" s="41" t="n">
        <v>46204</v>
      </c>
      <c r="N185" s="6" t="inlineStr"/>
    </row>
    <row r="186">
      <c r="A186" s="8" t="inlineStr">
        <is>
          <t>Morropón</t>
        </is>
      </c>
      <c r="B186" s="8" t="inlineStr">
        <is>
          <t>Yamango</t>
        </is>
      </c>
      <c r="C186" s="8" t="inlineStr">
        <is>
          <t>Mambluque</t>
        </is>
      </c>
      <c r="D186" s="8" t="inlineStr">
        <is>
          <t>M28B4</t>
        </is>
      </c>
      <c r="E186" s="13" t="n">
        <v>50</v>
      </c>
      <c r="F186" s="14" t="n">
        <v>2</v>
      </c>
      <c r="G186" s="14" t="n">
        <v>2</v>
      </c>
      <c r="H186" s="8" t="inlineStr">
        <is>
          <t>COMPLETO</t>
        </is>
      </c>
      <c r="I186" s="14" t="n">
        <v>1</v>
      </c>
      <c r="J186" s="8" t="inlineStr">
        <is>
          <t>COMPLETO</t>
        </is>
      </c>
      <c r="K186" s="14" t="n">
        <v>0</v>
      </c>
      <c r="L186" s="8" t="inlineStr">
        <is>
          <t>PENDIENTE</t>
        </is>
      </c>
      <c r="M186" s="42" t="n">
        <v>46203</v>
      </c>
      <c r="N186" s="8" t="inlineStr"/>
    </row>
    <row r="187">
      <c r="A187" s="6" t="inlineStr">
        <is>
          <t>Morropón</t>
        </is>
      </c>
      <c r="B187" s="6" t="inlineStr">
        <is>
          <t>Yamango</t>
        </is>
      </c>
      <c r="C187" s="6" t="inlineStr">
        <is>
          <t>Miraflores</t>
        </is>
      </c>
      <c r="D187" s="6" t="inlineStr">
        <is>
          <t>52</t>
        </is>
      </c>
      <c r="E187" s="9" t="n">
        <v>13</v>
      </c>
      <c r="F187" s="10" t="n">
        <v>1</v>
      </c>
      <c r="G187" s="10" t="n">
        <v>2</v>
      </c>
      <c r="H187" s="6" t="inlineStr">
        <is>
          <t>COMPLETO</t>
        </is>
      </c>
      <c r="I187" s="10" t="n">
        <v>1</v>
      </c>
      <c r="J187" s="6" t="inlineStr">
        <is>
          <t>COMPLETO</t>
        </is>
      </c>
      <c r="K187" s="10" t="n">
        <v>0</v>
      </c>
      <c r="L187" s="6" t="inlineStr">
        <is>
          <t>PENDIENTE</t>
        </is>
      </c>
      <c r="M187" s="41" t="n">
        <v>46204</v>
      </c>
      <c r="N187" s="6" t="inlineStr"/>
    </row>
    <row r="188">
      <c r="A188" s="8" t="inlineStr">
        <is>
          <t>Morropón</t>
        </is>
      </c>
      <c r="B188" s="8" t="inlineStr">
        <is>
          <t>Yamango</t>
        </is>
      </c>
      <c r="C188" s="8" t="inlineStr">
        <is>
          <t>Nueva Esperanza</t>
        </is>
      </c>
      <c r="D188" s="8" t="inlineStr">
        <is>
          <t>M28B4</t>
        </is>
      </c>
      <c r="E188" s="13" t="n">
        <v>88</v>
      </c>
      <c r="F188" s="14" t="n">
        <v>4</v>
      </c>
      <c r="G188" s="14" t="n">
        <v>4</v>
      </c>
      <c r="H188" s="8" t="inlineStr">
        <is>
          <t>COMPLETO</t>
        </is>
      </c>
      <c r="I188" s="14" t="n">
        <v>1</v>
      </c>
      <c r="J188" s="8" t="inlineStr">
        <is>
          <t>COMPLETO</t>
        </is>
      </c>
      <c r="K188" s="14" t="n">
        <v>0</v>
      </c>
      <c r="L188" s="8" t="inlineStr">
        <is>
          <t>PENDIENTE</t>
        </is>
      </c>
      <c r="M188" s="42" t="n">
        <v>46203</v>
      </c>
      <c r="N188" s="8" t="inlineStr"/>
    </row>
    <row r="189">
      <c r="A189" s="6" t="inlineStr">
        <is>
          <t>Morropón</t>
        </is>
      </c>
      <c r="B189" s="6" t="inlineStr">
        <is>
          <t>Yamango</t>
        </is>
      </c>
      <c r="C189" s="6" t="inlineStr">
        <is>
          <t>Ricardo Palma</t>
        </is>
      </c>
      <c r="D189" s="6" t="inlineStr">
        <is>
          <t>M28B3</t>
        </is>
      </c>
      <c r="E189" s="9" t="n">
        <v>20</v>
      </c>
      <c r="F189" s="10" t="n">
        <v>1</v>
      </c>
      <c r="G189" s="10" t="n">
        <v>4</v>
      </c>
      <c r="H189" s="6" t="inlineStr">
        <is>
          <t>COMPLETO</t>
        </is>
      </c>
      <c r="I189" s="10" t="n">
        <v>1</v>
      </c>
      <c r="J189" s="6" t="inlineStr">
        <is>
          <t>COMPLETO</t>
        </is>
      </c>
      <c r="K189" s="10" t="n">
        <v>0</v>
      </c>
      <c r="L189" s="6" t="inlineStr">
        <is>
          <t>PENDIENTE</t>
        </is>
      </c>
      <c r="M189" s="41" t="n">
        <v>46177</v>
      </c>
      <c r="N189" s="6" t="inlineStr"/>
    </row>
    <row r="190">
      <c r="A190" s="8" t="inlineStr">
        <is>
          <t>Morropón</t>
        </is>
      </c>
      <c r="B190" s="8" t="inlineStr">
        <is>
          <t>Yamango</t>
        </is>
      </c>
      <c r="C190" s="8" t="inlineStr">
        <is>
          <t>Victor Raul (El Checo)</t>
        </is>
      </c>
      <c r="D190" s="8" t="inlineStr">
        <is>
          <t>M28B2</t>
        </is>
      </c>
      <c r="E190" s="13" t="n">
        <v>39</v>
      </c>
      <c r="F190" s="14" t="n">
        <v>2</v>
      </c>
      <c r="G190" s="14" t="n">
        <v>2</v>
      </c>
      <c r="H190" s="8" t="inlineStr">
        <is>
          <t>COMPLETO</t>
        </is>
      </c>
      <c r="I190" s="14" t="n">
        <v>1</v>
      </c>
      <c r="J190" s="8" t="inlineStr">
        <is>
          <t>COMPLETO</t>
        </is>
      </c>
      <c r="K190" s="14" t="n">
        <v>0</v>
      </c>
      <c r="L190" s="8" t="inlineStr">
        <is>
          <t>PENDIENTE</t>
        </is>
      </c>
      <c r="M190" s="42" t="n">
        <v>46204</v>
      </c>
      <c r="N190" s="8" t="inlineStr"/>
    </row>
    <row r="191">
      <c r="A191" s="6" t="inlineStr">
        <is>
          <t>Morropón</t>
        </is>
      </c>
      <c r="B191" s="6" t="inlineStr">
        <is>
          <t>San Juan de Bigote</t>
        </is>
      </c>
      <c r="C191" s="6" t="inlineStr">
        <is>
          <t>Miguel Pampa</t>
        </is>
      </c>
      <c r="D191" s="6" t="inlineStr">
        <is>
          <t>83</t>
        </is>
      </c>
      <c r="E191" s="9" t="n"/>
      <c r="F191" s="10" t="n">
        <v>0</v>
      </c>
      <c r="G191" s="10" t="n">
        <v>2</v>
      </c>
      <c r="H191" s="6" t="inlineStr">
        <is>
          <t>COMPLETO</t>
        </is>
      </c>
      <c r="I191" s="10" t="n">
        <v>0</v>
      </c>
      <c r="J191" s="6" t="inlineStr">
        <is>
          <t>PENDIENTE</t>
        </is>
      </c>
      <c r="K191" s="10" t="n">
        <v>0</v>
      </c>
      <c r="L191" s="6" t="inlineStr">
        <is>
          <t>PENDIENTE</t>
        </is>
      </c>
      <c r="M191" s="41" t="n">
        <v>46268</v>
      </c>
      <c r="N191" s="6" t="inlineStr">
        <is>
          <t>Se socializó a la autoridad el día 07/07/2026 , cuando se socializó respecto al bloque 77</t>
        </is>
      </c>
    </row>
    <row r="192">
      <c r="A192" s="8" t="inlineStr">
        <is>
          <t>Morropón</t>
        </is>
      </c>
      <c r="B192" s="8" t="inlineStr">
        <is>
          <t>San Juan de Bigote</t>
        </is>
      </c>
      <c r="C192" s="8" t="inlineStr">
        <is>
          <t>Miguel Pampa</t>
        </is>
      </c>
      <c r="D192" s="8" t="inlineStr">
        <is>
          <t>84</t>
        </is>
      </c>
      <c r="E192" s="13" t="n"/>
      <c r="F192" s="14" t="n">
        <v>0</v>
      </c>
      <c r="G192" s="14" t="n">
        <v>2</v>
      </c>
      <c r="H192" s="8" t="inlineStr">
        <is>
          <t>COMPLETO</t>
        </is>
      </c>
      <c r="I192" s="14" t="n">
        <v>0</v>
      </c>
      <c r="J192" s="8" t="inlineStr">
        <is>
          <t>PENDIENTE</t>
        </is>
      </c>
      <c r="K192" s="14" t="n">
        <v>0</v>
      </c>
      <c r="L192" s="8" t="inlineStr">
        <is>
          <t>PENDIENTE</t>
        </is>
      </c>
      <c r="M192" s="42" t="n">
        <v>46268</v>
      </c>
      <c r="N192" s="8" t="inlineStr">
        <is>
          <t>Se socializó a la autoridad el día 07/07/2026 , cuando se socializó respecto al bloque 77</t>
        </is>
      </c>
    </row>
    <row r="193">
      <c r="A193" s="6" t="inlineStr">
        <is>
          <t>Morropón</t>
        </is>
      </c>
      <c r="B193" s="6" t="inlineStr">
        <is>
          <t>San Juan de Bigote</t>
        </is>
      </c>
      <c r="C193" s="6" t="inlineStr">
        <is>
          <t>Dotor</t>
        </is>
      </c>
      <c r="D193" s="6" t="inlineStr">
        <is>
          <t>85</t>
        </is>
      </c>
      <c r="E193" s="9" t="n"/>
      <c r="F193" s="10" t="n">
        <v>0</v>
      </c>
      <c r="G193" s="10" t="n">
        <v>4</v>
      </c>
      <c r="H193" s="6" t="inlineStr">
        <is>
          <t>COMPLETO</t>
        </is>
      </c>
      <c r="I193" s="10" t="n">
        <v>1</v>
      </c>
      <c r="J193" s="6" t="inlineStr">
        <is>
          <t>COMPLETO</t>
        </is>
      </c>
      <c r="K193" s="10" t="n">
        <v>0</v>
      </c>
      <c r="L193" s="6" t="inlineStr">
        <is>
          <t>PENDIENTE</t>
        </is>
      </c>
      <c r="M193" s="41" t="n">
        <v>46269</v>
      </c>
      <c r="N193" s="6" t="inlineStr"/>
    </row>
    <row r="194">
      <c r="A194" s="8" t="inlineStr">
        <is>
          <t>Morropón</t>
        </is>
      </c>
      <c r="B194" s="8" t="inlineStr">
        <is>
          <t>San Juan de Bigote</t>
        </is>
      </c>
      <c r="C194" s="8" t="inlineStr">
        <is>
          <t>Nueva Esperanza</t>
        </is>
      </c>
      <c r="D194" s="8" t="inlineStr">
        <is>
          <t>86</t>
        </is>
      </c>
      <c r="E194" s="13" t="n"/>
      <c r="F194" s="14" t="n">
        <v>0</v>
      </c>
      <c r="G194" s="14" t="n">
        <v>2</v>
      </c>
      <c r="H194" s="8" t="inlineStr">
        <is>
          <t>COMPLETO</t>
        </is>
      </c>
      <c r="I194" s="14" t="n">
        <v>1</v>
      </c>
      <c r="J194" s="8" t="inlineStr">
        <is>
          <t>COMPLETO</t>
        </is>
      </c>
      <c r="K194" s="14" t="n">
        <v>0</v>
      </c>
      <c r="L194" s="8" t="inlineStr">
        <is>
          <t>PENDIENTE</t>
        </is>
      </c>
      <c r="M194" s="42" t="n">
        <v>46269</v>
      </c>
      <c r="N194" s="8" t="inlineStr"/>
    </row>
    <row r="195">
      <c r="A195" s="6" t="inlineStr">
        <is>
          <t>Morropón</t>
        </is>
      </c>
      <c r="B195" s="6" t="inlineStr">
        <is>
          <t>San Juan de Bigote</t>
        </is>
      </c>
      <c r="C195" s="6" t="inlineStr">
        <is>
          <t>Cardal</t>
        </is>
      </c>
      <c r="D195" s="6" t="inlineStr">
        <is>
          <t>87</t>
        </is>
      </c>
      <c r="E195" s="9" t="n"/>
      <c r="F195" s="10" t="n">
        <v>0</v>
      </c>
      <c r="G195" s="10" t="n">
        <v>6</v>
      </c>
      <c r="H195" s="6" t="inlineStr">
        <is>
          <t>COMPLETO</t>
        </is>
      </c>
      <c r="I195" s="10" t="n">
        <v>1</v>
      </c>
      <c r="J195" s="6" t="inlineStr">
        <is>
          <t>COMPLETO</t>
        </is>
      </c>
      <c r="K195" s="10" t="n">
        <v>0</v>
      </c>
      <c r="L195" s="6" t="inlineStr">
        <is>
          <t>PENDIENTE</t>
        </is>
      </c>
      <c r="M195" s="41" t="n">
        <v>46269</v>
      </c>
      <c r="N195" s="6" t="inlineStr"/>
    </row>
    <row r="196">
      <c r="A196" s="17" t="inlineStr">
        <is>
          <t>TOTAL</t>
        </is>
      </c>
      <c r="B196" s="17" t="n"/>
      <c r="C196" s="17" t="n"/>
      <c r="D196" s="17" t="n"/>
      <c r="E196" s="17" t="n"/>
      <c r="F196" s="20">
        <f>SUM(F25:F195)</f>
        <v/>
      </c>
      <c r="G196" s="20">
        <f>SUM(G25:G195)</f>
        <v/>
      </c>
      <c r="H196" s="17" t="n"/>
      <c r="I196" s="20">
        <f>SUM(I25:I195)</f>
        <v/>
      </c>
      <c r="J196" s="17" t="n"/>
      <c r="K196" s="20">
        <f>SUM(K25:K195)</f>
        <v/>
      </c>
      <c r="L196" s="17" t="n"/>
      <c r="M196" s="17" t="n"/>
      <c r="N196" s="17" t="n"/>
    </row>
    <row r="198" ht="39" customHeight="1">
      <c r="A198" s="28" t="inlineStr">
        <is>
          <t>Estado «-» o «SIN REGISTRO»: centro poblado descartado o reemplazado por el equipo técnico (ver observaciones). El marco muestral (N) es el de la hoja de control del equipo social. Las fichas F-DS-02 (actores), F-DS-04 (talleres), F-DS-05 (conflictos), F-DS-06 (percepción de peligros) y F-DS-07 (consentimiento) se registran en el aplicativo IN Piura: [POR DEFINIR] adjuntar su consolidado exportado.</t>
        </is>
      </c>
    </row>
  </sheetData>
  <autoFilter ref="A24:N195"/>
  <mergeCells count="21">
    <mergeCell ref="A11:B11"/>
    <mergeCell ref="A1:N1"/>
    <mergeCell ref="A6:N6"/>
    <mergeCell ref="A16:H16"/>
    <mergeCell ref="A18:B18"/>
    <mergeCell ref="A12:B12"/>
    <mergeCell ref="A21:B21"/>
    <mergeCell ref="A3:N3"/>
    <mergeCell ref="A198:N198"/>
    <mergeCell ref="A2:N2"/>
    <mergeCell ref="A14:B14"/>
    <mergeCell ref="A17:B17"/>
    <mergeCell ref="A5:N5"/>
    <mergeCell ref="A8:H8"/>
    <mergeCell ref="A22:B22"/>
    <mergeCell ref="A20:B20"/>
    <mergeCell ref="A4:N4"/>
    <mergeCell ref="A19:B19"/>
    <mergeCell ref="A10:B10"/>
    <mergeCell ref="A13:B13"/>
    <mergeCell ref="A9:B9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  <col width="12" customWidth="1" min="4" max="4"/>
    <col width="18" customWidth="1" min="5" max="5"/>
    <col width="14" customWidth="1" min="6" max="6"/>
    <col width="20" customWidth="1" min="7" max="7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A4. UNIDAD PRODUCTORA — ECOSISTEMAS EN LOS 117 BLOQUES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Mapa Nacional de Ecosistemas del Perú, MINAM 2018 (R.M. N.° 440-2018-MINAM), recorte al ámbito. Bloques V6 (Bloques V6.kml) y catálogo V6 (datos/unidades_liberacion_areas.csv), ANIN-DIME-SESDI 2026</t>
        </is>
      </c>
    </row>
    <row r="8" ht="30" customHeight="1">
      <c r="A8" s="4" t="inlineStr">
        <is>
          <t>Ecosistema</t>
        </is>
      </c>
      <c r="B8" s="4" t="inlineStr">
        <is>
          <t>Símbolo</t>
        </is>
      </c>
      <c r="C8" s="4" t="inlineStr">
        <is>
          <t>Área en el ámbito (ha)</t>
        </is>
      </c>
      <c r="D8" s="4" t="inlineStr">
        <is>
          <t>N.° de bloques</t>
        </is>
      </c>
      <c r="E8" s="4" t="inlineStr">
        <is>
          <t>Área en bloques (ha)</t>
        </is>
      </c>
      <c r="F8" s="4" t="inlineStr">
        <is>
          <t>% de los bloques</t>
        </is>
      </c>
      <c r="G8" s="4" t="inlineStr">
        <is>
          <t>% del ecosistema en el ámbito intervenido</t>
        </is>
      </c>
    </row>
    <row r="9">
      <c r="A9" s="6" t="inlineStr">
        <is>
          <t>Bosque estacionalmente seco de colina y montaña</t>
        </is>
      </c>
      <c r="B9" s="6" t="inlineStr">
        <is>
          <t>Bes-cm</t>
        </is>
      </c>
      <c r="C9" s="11" t="n">
        <v>188280.249</v>
      </c>
      <c r="D9" s="10">
        <f>COUNTIFS('A4_UP_Eco_Bloque'!$E$9:$E$198,A9)</f>
        <v/>
      </c>
      <c r="E9" s="11">
        <f>SUMIFS('A4_UP_Eco_Bloque'!$H$9:$H$198,'A4_UP_Eco_Bloque'!$E$9:$E$198,A9)</f>
        <v/>
      </c>
      <c r="F9" s="12">
        <f>E9/$E$15</f>
        <v/>
      </c>
      <c r="G9" s="43">
        <f>IF(C9&gt;0,E9/C9,"—")</f>
        <v/>
      </c>
    </row>
    <row r="10">
      <c r="A10" s="8" t="inlineStr">
        <is>
          <t>Zona agrícola</t>
        </is>
      </c>
      <c r="B10" s="8" t="inlineStr">
        <is>
          <t>Agri</t>
        </is>
      </c>
      <c r="C10" s="15" t="n">
        <v>155867.895</v>
      </c>
      <c r="D10" s="14">
        <f>COUNTIFS('A4_UP_Eco_Bloque'!$E$9:$E$198,A10)</f>
        <v/>
      </c>
      <c r="E10" s="15">
        <f>SUMIFS('A4_UP_Eco_Bloque'!$H$9:$H$198,'A4_UP_Eco_Bloque'!$E$9:$E$198,A10)</f>
        <v/>
      </c>
      <c r="F10" s="16">
        <f>E10/$E$15</f>
        <v/>
      </c>
      <c r="G10" s="44">
        <f>IF(C10&gt;0,E10/C10,"—")</f>
        <v/>
      </c>
    </row>
    <row r="11">
      <c r="A11" s="6" t="inlineStr">
        <is>
          <t>Matorral andino</t>
        </is>
      </c>
      <c r="B11" s="6" t="inlineStr">
        <is>
          <t>Ma</t>
        </is>
      </c>
      <c r="C11" s="11" t="n">
        <v>31192.831</v>
      </c>
      <c r="D11" s="10">
        <f>COUNTIFS('A4_UP_Eco_Bloque'!$E$9:$E$198,A11)</f>
        <v/>
      </c>
      <c r="E11" s="11">
        <f>SUMIFS('A4_UP_Eco_Bloque'!$H$9:$H$198,'A4_UP_Eco_Bloque'!$E$9:$E$198,A11)</f>
        <v/>
      </c>
      <c r="F11" s="12">
        <f>E11/$E$15</f>
        <v/>
      </c>
      <c r="G11" s="43">
        <f>IF(C11&gt;0,E11/C11,"—")</f>
        <v/>
      </c>
    </row>
    <row r="12">
      <c r="A12" s="8" t="inlineStr">
        <is>
          <t>Bosque relicto montano de vertiente occidental</t>
        </is>
      </c>
      <c r="B12" s="8" t="inlineStr">
        <is>
          <t>Br-mvoc</t>
        </is>
      </c>
      <c r="C12" s="15" t="n">
        <v>6281.805</v>
      </c>
      <c r="D12" s="14">
        <f>COUNTIFS('A4_UP_Eco_Bloque'!$E$9:$E$198,A12)</f>
        <v/>
      </c>
      <c r="E12" s="15">
        <f>SUMIFS('A4_UP_Eco_Bloque'!$H$9:$H$198,'A4_UP_Eco_Bloque'!$E$9:$E$198,A12)</f>
        <v/>
      </c>
      <c r="F12" s="16">
        <f>E12/$E$15</f>
        <v/>
      </c>
      <c r="G12" s="44">
        <f>IF(C12&gt;0,E12/C12,"—")</f>
        <v/>
      </c>
    </row>
    <row r="13">
      <c r="A13" s="6" t="inlineStr">
        <is>
          <t>Páramo</t>
        </is>
      </c>
      <c r="B13" s="6" t="inlineStr">
        <is>
          <t>Pa</t>
        </is>
      </c>
      <c r="C13" s="11" t="n">
        <v>3843.332</v>
      </c>
      <c r="D13" s="10">
        <f>COUNTIFS('A4_UP_Eco_Bloque'!$E$9:$E$198,A13)</f>
        <v/>
      </c>
      <c r="E13" s="11">
        <f>SUMIFS('A4_UP_Eco_Bloque'!$H$9:$H$198,'A4_UP_Eco_Bloque'!$E$9:$E$198,A13)</f>
        <v/>
      </c>
      <c r="F13" s="12">
        <f>E13/$E$15</f>
        <v/>
      </c>
      <c r="G13" s="43">
        <f>IF(C13&gt;0,E13/C13,"—")</f>
        <v/>
      </c>
    </row>
    <row r="14">
      <c r="A14" s="8" t="inlineStr">
        <is>
          <t>Sin información de ecosistema</t>
        </is>
      </c>
      <c r="B14" s="8" t="inlineStr"/>
      <c r="C14" s="15" t="n"/>
      <c r="D14" s="14">
        <f>COUNTIFS('A4_UP_Eco_Bloque'!$E$9:$E$198,A14)</f>
        <v/>
      </c>
      <c r="E14" s="15">
        <f>SUMIFS('A4_UP_Eco_Bloque'!$H$9:$H$198,'A4_UP_Eco_Bloque'!$E$9:$E$198,A14)</f>
        <v/>
      </c>
      <c r="F14" s="16">
        <f>E14/$E$15</f>
        <v/>
      </c>
      <c r="G14" s="44">
        <f>IF(C14&gt;0,E14/C14,"—")</f>
        <v/>
      </c>
    </row>
    <row r="15">
      <c r="A15" s="17" t="inlineStr">
        <is>
          <t>TOTAL</t>
        </is>
      </c>
      <c r="B15" s="18" t="n"/>
      <c r="C15" s="45">
        <f>SUM(C9:C14)</f>
        <v/>
      </c>
      <c r="D15" s="20" t="n"/>
      <c r="E15" s="21">
        <f>SUM(E9:E14)</f>
        <v/>
      </c>
      <c r="F15" s="22">
        <f>SUM(F9:F14)</f>
        <v/>
      </c>
      <c r="G15" s="46" t="n"/>
    </row>
    <row r="17">
      <c r="A17" s="6" t="inlineStr">
        <is>
          <t>Control: área en bloques = 12,270.235 ha</t>
        </is>
      </c>
      <c r="B17" s="25" t="n"/>
      <c r="C17" s="26" t="n"/>
      <c r="D17" s="27">
        <f>IF(ABS(E15-12270.235)&lt;0.01,"OK","REVISAR")</f>
        <v/>
      </c>
    </row>
    <row r="19" ht="39" customHeight="1">
      <c r="A19" s="28" t="inlineStr">
        <is>
          <t>«Área en el ámbito» suma solo los ecosistemas presentes en los bloques; la capa recortada al ámbito cubre 388,809.780 ha e incluye además: Bosque estacionalmente seco de llanura, Bosque estacionalmente seco ribereño (Algarrobal), Río, Zona urbana.</t>
        </is>
      </c>
    </row>
    <row r="21" ht="52" customHeight="1">
      <c r="A21" s="28" t="inlineStr">
        <is>
          <t>La Unidad Productora es el ecosistema en su totalidad; los bloques de intervención se ubican dentro de él. El Mapa Nacional de Ecosistemas es de escala regional: el ecosistema de cada bloque se confirma en campo con la ficha F-DT-03. «Zona agrícola» identifica superficie con uso agropecuario dentro de los bloques, a revisar en el tamizaje predial y en la verificación de campo.</t>
        </is>
      </c>
    </row>
  </sheetData>
  <mergeCells count="9">
    <mergeCell ref="A1:H1"/>
    <mergeCell ref="A4:H4"/>
    <mergeCell ref="A3:H3"/>
    <mergeCell ref="A21:H21"/>
    <mergeCell ref="A2:H2"/>
    <mergeCell ref="A17:C17"/>
    <mergeCell ref="A19:H19"/>
    <mergeCell ref="A5:H5"/>
    <mergeCell ref="A6:H6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9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46" customWidth="1" min="5" max="5"/>
    <col width="14" customWidth="1" min="6" max="6"/>
    <col width="24" customWidth="1" min="7" max="7"/>
    <col width="40" customWidth="1" min="8" max="8"/>
    <col width="16" customWidth="1" min="9" max="9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A4. ECOSISTEMAS POR BLOQUE V6 (DETALLE)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Mapa Nacional de Ecosistemas del Perú, MINAM 2018 (R.M. N.° 440-2018-MINAM), recorte al ámbito; áreas prorrateadas al área oficial del catálogo V6</t>
        </is>
      </c>
    </row>
    <row r="8" ht="30" customHeight="1">
      <c r="A8" s="4" t="inlineStr">
        <is>
          <t>Bloque</t>
        </is>
      </c>
      <c r="B8" s="4" t="inlineStr">
        <is>
          <t>Microcuenca</t>
        </is>
      </c>
      <c r="C8" s="4" t="inlineStr">
        <is>
          <t>Provincia</t>
        </is>
      </c>
      <c r="D8" s="4" t="inlineStr">
        <is>
          <t>Distrito</t>
        </is>
      </c>
      <c r="E8" s="4" t="inlineStr">
        <is>
          <t>Ecosistema</t>
        </is>
      </c>
      <c r="F8" s="4" t="inlineStr">
        <is>
          <t>Símbolo</t>
        </is>
      </c>
      <c r="G8" s="4" t="inlineStr">
        <is>
          <t>Área del bloque (ha)</t>
        </is>
      </c>
      <c r="H8" s="4" t="inlineStr">
        <is>
          <t>Área del ecosistema en el bloque (ha)</t>
        </is>
      </c>
      <c r="I8" s="4" t="inlineStr">
        <is>
          <t>% del bloque</t>
        </is>
      </c>
    </row>
    <row r="9">
      <c r="A9" s="6" t="inlineStr">
        <is>
          <t>27</t>
        </is>
      </c>
      <c r="B9" s="6" t="inlineStr">
        <is>
          <t>C1096-Q9556</t>
        </is>
      </c>
      <c r="C9" s="6" t="inlineStr">
        <is>
          <t>Ayabaca</t>
        </is>
      </c>
      <c r="D9" s="6" t="inlineStr">
        <is>
          <t>Frías</t>
        </is>
      </c>
      <c r="E9" s="6" t="inlineStr">
        <is>
          <t>Zona agrícola</t>
        </is>
      </c>
      <c r="F9" s="6" t="inlineStr">
        <is>
          <t>Agri</t>
        </is>
      </c>
      <c r="G9" s="11" t="n">
        <v>78.154</v>
      </c>
      <c r="H9" s="11" t="n">
        <v>78.154</v>
      </c>
      <c r="I9" s="12">
        <f>H9/G9</f>
        <v/>
      </c>
    </row>
    <row r="10">
      <c r="A10" s="8" t="inlineStr">
        <is>
          <t>3</t>
        </is>
      </c>
      <c r="B10" s="8" t="inlineStr">
        <is>
          <t>C1096-Q9545</t>
        </is>
      </c>
      <c r="C10" s="8" t="inlineStr">
        <is>
          <t>Ayabaca</t>
        </is>
      </c>
      <c r="D10" s="8" t="inlineStr">
        <is>
          <t>Frías</t>
        </is>
      </c>
      <c r="E10" s="8" t="inlineStr">
        <is>
          <t>Zona agrícola</t>
        </is>
      </c>
      <c r="F10" s="8" t="inlineStr">
        <is>
          <t>Agri</t>
        </is>
      </c>
      <c r="G10" s="15" t="n">
        <v>459.295</v>
      </c>
      <c r="H10" s="15" t="n">
        <v>434.1975781426561</v>
      </c>
      <c r="I10" s="16">
        <f>H10/G10</f>
        <v/>
      </c>
    </row>
    <row r="11">
      <c r="A11" s="6" t="inlineStr">
        <is>
          <t>3</t>
        </is>
      </c>
      <c r="B11" s="6" t="inlineStr">
        <is>
          <t>C1096-Q9545</t>
        </is>
      </c>
      <c r="C11" s="6" t="inlineStr">
        <is>
          <t>Ayabaca</t>
        </is>
      </c>
      <c r="D11" s="6" t="inlineStr">
        <is>
          <t>Frías</t>
        </is>
      </c>
      <c r="E11" s="6" t="inlineStr">
        <is>
          <t>Bosque estacionalmente seco de colina y montaña</t>
        </is>
      </c>
      <c r="F11" s="6" t="inlineStr">
        <is>
          <t>Bes-cm</t>
        </is>
      </c>
      <c r="G11" s="11" t="n">
        <v>459.295</v>
      </c>
      <c r="H11" s="11" t="n">
        <v>25.09742185734385</v>
      </c>
      <c r="I11" s="12">
        <f>H11/G11</f>
        <v/>
      </c>
    </row>
    <row r="12">
      <c r="A12" s="8" t="inlineStr">
        <is>
          <t>36</t>
        </is>
      </c>
      <c r="B12" s="8" t="inlineStr">
        <is>
          <t>C1096-Q9547</t>
        </is>
      </c>
      <c r="C12" s="8" t="inlineStr">
        <is>
          <t>Ayabaca</t>
        </is>
      </c>
      <c r="D12" s="8" t="inlineStr">
        <is>
          <t>Frías</t>
        </is>
      </c>
      <c r="E12" s="8" t="inlineStr">
        <is>
          <t>Zona agrícola</t>
        </is>
      </c>
      <c r="F12" s="8" t="inlineStr">
        <is>
          <t>Agri</t>
        </is>
      </c>
      <c r="G12" s="15" t="n">
        <v>24.843</v>
      </c>
      <c r="H12" s="15" t="n">
        <v>24.843</v>
      </c>
      <c r="I12" s="16">
        <f>H12/G12</f>
        <v/>
      </c>
    </row>
    <row r="13">
      <c r="A13" s="6" t="inlineStr">
        <is>
          <t>39</t>
        </is>
      </c>
      <c r="B13" s="6" t="inlineStr">
        <is>
          <t>C1096-Q9564</t>
        </is>
      </c>
      <c r="C13" s="6" t="inlineStr">
        <is>
          <t>Ayabaca</t>
        </is>
      </c>
      <c r="D13" s="6" t="inlineStr">
        <is>
          <t>Frías</t>
        </is>
      </c>
      <c r="E13" s="6" t="inlineStr">
        <is>
          <t>Matorral andino</t>
        </is>
      </c>
      <c r="F13" s="6" t="inlineStr">
        <is>
          <t>Ma</t>
        </is>
      </c>
      <c r="G13" s="11" t="n">
        <v>68.569</v>
      </c>
      <c r="H13" s="11" t="n">
        <v>68.569</v>
      </c>
      <c r="I13" s="12">
        <f>H13/G13</f>
        <v/>
      </c>
    </row>
    <row r="14">
      <c r="A14" s="8" t="inlineStr">
        <is>
          <t>56</t>
        </is>
      </c>
      <c r="B14" s="8" t="inlineStr">
        <is>
          <t>C1096-Q9564</t>
        </is>
      </c>
      <c r="C14" s="8" t="inlineStr">
        <is>
          <t>Ayabaca</t>
        </is>
      </c>
      <c r="D14" s="8" t="inlineStr">
        <is>
          <t>Frías</t>
        </is>
      </c>
      <c r="E14" s="8" t="inlineStr">
        <is>
          <t>Bosque relicto montano de vertiente occidental</t>
        </is>
      </c>
      <c r="F14" s="8" t="inlineStr">
        <is>
          <t>Br-mvoc</t>
        </is>
      </c>
      <c r="G14" s="15" t="n">
        <v>77.666</v>
      </c>
      <c r="H14" s="15" t="n">
        <v>41.84891553274552</v>
      </c>
      <c r="I14" s="16">
        <f>H14/G14</f>
        <v/>
      </c>
    </row>
    <row r="15">
      <c r="A15" s="6" t="inlineStr">
        <is>
          <t>56</t>
        </is>
      </c>
      <c r="B15" s="6" t="inlineStr">
        <is>
          <t>C1096-Q9564</t>
        </is>
      </c>
      <c r="C15" s="6" t="inlineStr">
        <is>
          <t>Ayabaca</t>
        </is>
      </c>
      <c r="D15" s="6" t="inlineStr">
        <is>
          <t>Frías</t>
        </is>
      </c>
      <c r="E15" s="6" t="inlineStr">
        <is>
          <t>Zona agrícola</t>
        </is>
      </c>
      <c r="F15" s="6" t="inlineStr">
        <is>
          <t>Agri</t>
        </is>
      </c>
      <c r="G15" s="11" t="n">
        <v>77.666</v>
      </c>
      <c r="H15" s="11" t="n">
        <v>35.81708446725448</v>
      </c>
      <c r="I15" s="12">
        <f>H15/G15</f>
        <v/>
      </c>
    </row>
    <row r="16">
      <c r="A16" s="8" t="inlineStr">
        <is>
          <t>6</t>
        </is>
      </c>
      <c r="B16" s="8" t="inlineStr">
        <is>
          <t>C1096-Q9547</t>
        </is>
      </c>
      <c r="C16" s="8" t="inlineStr">
        <is>
          <t>Ayabaca</t>
        </is>
      </c>
      <c r="D16" s="8" t="inlineStr">
        <is>
          <t>Frías</t>
        </is>
      </c>
      <c r="E16" s="8" t="inlineStr">
        <is>
          <t>Zona agrícola</t>
        </is>
      </c>
      <c r="F16" s="8" t="inlineStr">
        <is>
          <t>Agri</t>
        </is>
      </c>
      <c r="G16" s="15" t="n">
        <v>168.411</v>
      </c>
      <c r="H16" s="15" t="n">
        <v>164.2362900844721</v>
      </c>
      <c r="I16" s="16">
        <f>H16/G16</f>
        <v/>
      </c>
    </row>
    <row r="17">
      <c r="A17" s="6" t="inlineStr">
        <is>
          <t>6</t>
        </is>
      </c>
      <c r="B17" s="6" t="inlineStr">
        <is>
          <t>C1096-Q9547</t>
        </is>
      </c>
      <c r="C17" s="6" t="inlineStr">
        <is>
          <t>Ayabaca</t>
        </is>
      </c>
      <c r="D17" s="6" t="inlineStr">
        <is>
          <t>Frías</t>
        </is>
      </c>
      <c r="E17" s="6" t="inlineStr">
        <is>
          <t>Bosque estacionalmente seco de colina y montaña</t>
        </is>
      </c>
      <c r="F17" s="6" t="inlineStr">
        <is>
          <t>Bes-cm</t>
        </is>
      </c>
      <c r="G17" s="11" t="n">
        <v>168.411</v>
      </c>
      <c r="H17" s="11" t="n">
        <v>4.174709915527883</v>
      </c>
      <c r="I17" s="12">
        <f>H17/G17</f>
        <v/>
      </c>
    </row>
    <row r="18">
      <c r="A18" s="8" t="inlineStr">
        <is>
          <t>M17B10</t>
        </is>
      </c>
      <c r="B18" s="8" t="inlineStr">
        <is>
          <t>C1096-Q9556</t>
        </is>
      </c>
      <c r="C18" s="8" t="inlineStr">
        <is>
          <t>Ayabaca</t>
        </is>
      </c>
      <c r="D18" s="8" t="inlineStr">
        <is>
          <t>Frías</t>
        </is>
      </c>
      <c r="E18" s="8" t="inlineStr">
        <is>
          <t>Zona agrícola</t>
        </is>
      </c>
      <c r="F18" s="8" t="inlineStr">
        <is>
          <t>Agri</t>
        </is>
      </c>
      <c r="G18" s="15" t="n">
        <v>75.363</v>
      </c>
      <c r="H18" s="15" t="n">
        <v>43.31737008680606</v>
      </c>
      <c r="I18" s="16">
        <f>H18/G18</f>
        <v/>
      </c>
    </row>
    <row r="19">
      <c r="A19" s="6" t="inlineStr">
        <is>
          <t>M17B10</t>
        </is>
      </c>
      <c r="B19" s="6" t="inlineStr">
        <is>
          <t>C1096-Q9556</t>
        </is>
      </c>
      <c r="C19" s="6" t="inlineStr">
        <is>
          <t>Ayabaca</t>
        </is>
      </c>
      <c r="D19" s="6" t="inlineStr">
        <is>
          <t>Frías</t>
        </is>
      </c>
      <c r="E19" s="6" t="inlineStr">
        <is>
          <t>Bosque estacionalmente seco de colina y montaña</t>
        </is>
      </c>
      <c r="F19" s="6" t="inlineStr">
        <is>
          <t>Bes-cm</t>
        </is>
      </c>
      <c r="G19" s="11" t="n">
        <v>75.363</v>
      </c>
      <c r="H19" s="11" t="n">
        <v>32.04562991319393</v>
      </c>
      <c r="I19" s="12">
        <f>H19/G19</f>
        <v/>
      </c>
    </row>
    <row r="20">
      <c r="A20" s="8" t="inlineStr">
        <is>
          <t>M17B5</t>
        </is>
      </c>
      <c r="B20" s="8" t="inlineStr">
        <is>
          <t>C1096-Q9556</t>
        </is>
      </c>
      <c r="C20" s="8" t="inlineStr">
        <is>
          <t>Ayabaca</t>
        </is>
      </c>
      <c r="D20" s="8" t="inlineStr">
        <is>
          <t>Frías</t>
        </is>
      </c>
      <c r="E20" s="8" t="inlineStr">
        <is>
          <t>Bosque estacionalmente seco de colina y montaña</t>
        </is>
      </c>
      <c r="F20" s="8" t="inlineStr">
        <is>
          <t>Bes-cm</t>
        </is>
      </c>
      <c r="G20" s="15" t="n">
        <v>74.02800000000001</v>
      </c>
      <c r="H20" s="15" t="n">
        <v>52.4588708635528</v>
      </c>
      <c r="I20" s="16">
        <f>H20/G20</f>
        <v/>
      </c>
    </row>
    <row r="21">
      <c r="A21" s="6" t="inlineStr">
        <is>
          <t>M17B5</t>
        </is>
      </c>
      <c r="B21" s="6" t="inlineStr">
        <is>
          <t>C1096-Q9556</t>
        </is>
      </c>
      <c r="C21" s="6" t="inlineStr">
        <is>
          <t>Ayabaca</t>
        </is>
      </c>
      <c r="D21" s="6" t="inlineStr">
        <is>
          <t>Frías</t>
        </is>
      </c>
      <c r="E21" s="6" t="inlineStr">
        <is>
          <t>Zona agrícola</t>
        </is>
      </c>
      <c r="F21" s="6" t="inlineStr">
        <is>
          <t>Agri</t>
        </is>
      </c>
      <c r="G21" s="11" t="n">
        <v>74.02800000000001</v>
      </c>
      <c r="H21" s="11" t="n">
        <v>21.56912913644721</v>
      </c>
      <c r="I21" s="12">
        <f>H21/G21</f>
        <v/>
      </c>
    </row>
    <row r="22">
      <c r="A22" s="8" t="inlineStr">
        <is>
          <t>M17B6</t>
        </is>
      </c>
      <c r="B22" s="8" t="inlineStr">
        <is>
          <t>C1096-Q9556</t>
        </is>
      </c>
      <c r="C22" s="8" t="inlineStr">
        <is>
          <t>Ayabaca</t>
        </is>
      </c>
      <c r="D22" s="8" t="inlineStr">
        <is>
          <t>Frías</t>
        </is>
      </c>
      <c r="E22" s="8" t="inlineStr">
        <is>
          <t>Bosque estacionalmente seco de colina y montaña</t>
        </is>
      </c>
      <c r="F22" s="8" t="inlineStr">
        <is>
          <t>Bes-cm</t>
        </is>
      </c>
      <c r="G22" s="15" t="n">
        <v>106.538</v>
      </c>
      <c r="H22" s="15" t="n">
        <v>106.538</v>
      </c>
      <c r="I22" s="16">
        <f>H22/G22</f>
        <v/>
      </c>
    </row>
    <row r="23">
      <c r="A23" s="6" t="inlineStr">
        <is>
          <t>M17B7</t>
        </is>
      </c>
      <c r="B23" s="6" t="inlineStr">
        <is>
          <t>C1096-Q9556</t>
        </is>
      </c>
      <c r="C23" s="6" t="inlineStr">
        <is>
          <t>Ayabaca</t>
        </is>
      </c>
      <c r="D23" s="6" t="inlineStr">
        <is>
          <t>Frías</t>
        </is>
      </c>
      <c r="E23" s="6" t="inlineStr">
        <is>
          <t>Zona agrícola</t>
        </is>
      </c>
      <c r="F23" s="6" t="inlineStr">
        <is>
          <t>Agri</t>
        </is>
      </c>
      <c r="G23" s="11" t="n">
        <v>258.837</v>
      </c>
      <c r="H23" s="11" t="n">
        <v>144.6788882084955</v>
      </c>
      <c r="I23" s="12">
        <f>H23/G23</f>
        <v/>
      </c>
    </row>
    <row r="24">
      <c r="A24" s="8" t="inlineStr">
        <is>
          <t>M17B7</t>
        </is>
      </c>
      <c r="B24" s="8" t="inlineStr">
        <is>
          <t>C1096-Q9556</t>
        </is>
      </c>
      <c r="C24" s="8" t="inlineStr">
        <is>
          <t>Ayabaca</t>
        </is>
      </c>
      <c r="D24" s="8" t="inlineStr">
        <is>
          <t>Frías</t>
        </is>
      </c>
      <c r="E24" s="8" t="inlineStr">
        <is>
          <t>Bosque estacionalmente seco de colina y montaña</t>
        </is>
      </c>
      <c r="F24" s="8" t="inlineStr">
        <is>
          <t>Bes-cm</t>
        </is>
      </c>
      <c r="G24" s="15" t="n">
        <v>258.837</v>
      </c>
      <c r="H24" s="15" t="n">
        <v>114.1581117915045</v>
      </c>
      <c r="I24" s="16">
        <f>H24/G24</f>
        <v/>
      </c>
    </row>
    <row r="25">
      <c r="A25" s="6" t="inlineStr">
        <is>
          <t>21</t>
        </is>
      </c>
      <c r="B25" s="6" t="inlineStr">
        <is>
          <t>C1081-Q9591</t>
        </is>
      </c>
      <c r="C25" s="6" t="inlineStr">
        <is>
          <t>Huancabamba</t>
        </is>
      </c>
      <c r="D25" s="6" t="inlineStr">
        <is>
          <t>Canchaque</t>
        </is>
      </c>
      <c r="E25" s="6" t="inlineStr">
        <is>
          <t>Zona agrícola</t>
        </is>
      </c>
      <c r="F25" s="6" t="inlineStr">
        <is>
          <t>Agri</t>
        </is>
      </c>
      <c r="G25" s="11" t="n">
        <v>84.227</v>
      </c>
      <c r="H25" s="11" t="n">
        <v>47.22492427451661</v>
      </c>
      <c r="I25" s="12">
        <f>H25/G25</f>
        <v/>
      </c>
    </row>
    <row r="26">
      <c r="A26" s="8" t="inlineStr">
        <is>
          <t>21</t>
        </is>
      </c>
      <c r="B26" s="8" t="inlineStr">
        <is>
          <t>C1081-Q9591</t>
        </is>
      </c>
      <c r="C26" s="8" t="inlineStr">
        <is>
          <t>Huancabamba</t>
        </is>
      </c>
      <c r="D26" s="8" t="inlineStr">
        <is>
          <t>Canchaque</t>
        </is>
      </c>
      <c r="E26" s="8" t="inlineStr">
        <is>
          <t>Matorral andino</t>
        </is>
      </c>
      <c r="F26" s="8" t="inlineStr">
        <is>
          <t>Ma</t>
        </is>
      </c>
      <c r="G26" s="15" t="n">
        <v>84.227</v>
      </c>
      <c r="H26" s="15" t="n">
        <v>37.00207572548341</v>
      </c>
      <c r="I26" s="16">
        <f>H26/G26</f>
        <v/>
      </c>
    </row>
    <row r="27">
      <c r="A27" s="6" t="inlineStr">
        <is>
          <t>24</t>
        </is>
      </c>
      <c r="B27" s="6" t="inlineStr">
        <is>
          <t>C1081-Q9583</t>
        </is>
      </c>
      <c r="C27" s="6" t="inlineStr">
        <is>
          <t>Huancabamba</t>
        </is>
      </c>
      <c r="D27" s="6" t="inlineStr">
        <is>
          <t>Canchaque</t>
        </is>
      </c>
      <c r="E27" s="6" t="inlineStr">
        <is>
          <t>Zona agrícola</t>
        </is>
      </c>
      <c r="F27" s="6" t="inlineStr">
        <is>
          <t>Agri</t>
        </is>
      </c>
      <c r="G27" s="11" t="n">
        <v>90.15900000000001</v>
      </c>
      <c r="H27" s="11" t="n">
        <v>59.57436961496015</v>
      </c>
      <c r="I27" s="12">
        <f>H27/G27</f>
        <v/>
      </c>
    </row>
    <row r="28">
      <c r="A28" s="8" t="inlineStr">
        <is>
          <t>24</t>
        </is>
      </c>
      <c r="B28" s="8" t="inlineStr">
        <is>
          <t>C1081-Q9583</t>
        </is>
      </c>
      <c r="C28" s="8" t="inlineStr">
        <is>
          <t>Huancabamba</t>
        </is>
      </c>
      <c r="D28" s="8" t="inlineStr">
        <is>
          <t>Canchaque</t>
        </is>
      </c>
      <c r="E28" s="8" t="inlineStr">
        <is>
          <t>Matorral andino</t>
        </is>
      </c>
      <c r="F28" s="8" t="inlineStr">
        <is>
          <t>Ma</t>
        </is>
      </c>
      <c r="G28" s="15" t="n">
        <v>90.15900000000001</v>
      </c>
      <c r="H28" s="15" t="n">
        <v>16.6127078699416</v>
      </c>
      <c r="I28" s="16">
        <f>H28/G28</f>
        <v/>
      </c>
    </row>
    <row r="29">
      <c r="A29" s="6" t="inlineStr">
        <is>
          <t>24</t>
        </is>
      </c>
      <c r="B29" s="6" t="inlineStr">
        <is>
          <t>C1081-Q9583</t>
        </is>
      </c>
      <c r="C29" s="6" t="inlineStr">
        <is>
          <t>Huancabamba</t>
        </is>
      </c>
      <c r="D29" s="6" t="inlineStr">
        <is>
          <t>Canchaque</t>
        </is>
      </c>
      <c r="E29" s="6" t="inlineStr">
        <is>
          <t>Bosque estacionalmente seco de colina y montaña</t>
        </is>
      </c>
      <c r="F29" s="6" t="inlineStr">
        <is>
          <t>Bes-cm</t>
        </is>
      </c>
      <c r="G29" s="11" t="n">
        <v>90.15900000000001</v>
      </c>
      <c r="H29" s="11" t="n">
        <v>13.97192251509824</v>
      </c>
      <c r="I29" s="12">
        <f>H29/G29</f>
        <v/>
      </c>
    </row>
    <row r="30">
      <c r="A30" s="8" t="inlineStr">
        <is>
          <t>28</t>
        </is>
      </c>
      <c r="B30" s="8" t="inlineStr">
        <is>
          <t>C1081-Q9591</t>
        </is>
      </c>
      <c r="C30" s="8" t="inlineStr">
        <is>
          <t>Huancabamba</t>
        </is>
      </c>
      <c r="D30" s="8" t="inlineStr">
        <is>
          <t>Canchaque</t>
        </is>
      </c>
      <c r="E30" s="8" t="inlineStr">
        <is>
          <t>Zona agrícola</t>
        </is>
      </c>
      <c r="F30" s="8" t="inlineStr">
        <is>
          <t>Agri</t>
        </is>
      </c>
      <c r="G30" s="15" t="n">
        <v>52.966</v>
      </c>
      <c r="H30" s="15" t="n">
        <v>31.95052064539759</v>
      </c>
      <c r="I30" s="16">
        <f>H30/G30</f>
        <v/>
      </c>
    </row>
    <row r="31">
      <c r="A31" s="6" t="inlineStr">
        <is>
          <t>28</t>
        </is>
      </c>
      <c r="B31" s="6" t="inlineStr">
        <is>
          <t>C1081-Q9591</t>
        </is>
      </c>
      <c r="C31" s="6" t="inlineStr">
        <is>
          <t>Huancabamba</t>
        </is>
      </c>
      <c r="D31" s="6" t="inlineStr">
        <is>
          <t>Canchaque</t>
        </is>
      </c>
      <c r="E31" s="6" t="inlineStr">
        <is>
          <t>Matorral andino</t>
        </is>
      </c>
      <c r="F31" s="6" t="inlineStr">
        <is>
          <t>Ma</t>
        </is>
      </c>
      <c r="G31" s="11" t="n">
        <v>52.966</v>
      </c>
      <c r="H31" s="11" t="n">
        <v>21.0154793546024</v>
      </c>
      <c r="I31" s="12">
        <f>H31/G31</f>
        <v/>
      </c>
    </row>
    <row r="32">
      <c r="A32" s="8" t="inlineStr">
        <is>
          <t>30</t>
        </is>
      </c>
      <c r="B32" s="8" t="inlineStr">
        <is>
          <t>C1081-Q9591</t>
        </is>
      </c>
      <c r="C32" s="8" t="inlineStr">
        <is>
          <t>Huancabamba</t>
        </is>
      </c>
      <c r="D32" s="8" t="inlineStr">
        <is>
          <t>Canchaque</t>
        </is>
      </c>
      <c r="E32" s="8" t="inlineStr">
        <is>
          <t>Zona agrícola</t>
        </is>
      </c>
      <c r="F32" s="8" t="inlineStr">
        <is>
          <t>Agri</t>
        </is>
      </c>
      <c r="G32" s="15" t="n">
        <v>34.874</v>
      </c>
      <c r="H32" s="15" t="n">
        <v>27.00445486869799</v>
      </c>
      <c r="I32" s="16">
        <f>H32/G32</f>
        <v/>
      </c>
    </row>
    <row r="33">
      <c r="A33" s="6" t="inlineStr">
        <is>
          <t>30</t>
        </is>
      </c>
      <c r="B33" s="6" t="inlineStr">
        <is>
          <t>C1081-Q9591</t>
        </is>
      </c>
      <c r="C33" s="6" t="inlineStr">
        <is>
          <t>Huancabamba</t>
        </is>
      </c>
      <c r="D33" s="6" t="inlineStr">
        <is>
          <t>Canchaque</t>
        </is>
      </c>
      <c r="E33" s="6" t="inlineStr">
        <is>
          <t>Matorral andino</t>
        </is>
      </c>
      <c r="F33" s="6" t="inlineStr">
        <is>
          <t>Ma</t>
        </is>
      </c>
      <c r="G33" s="11" t="n">
        <v>34.874</v>
      </c>
      <c r="H33" s="11" t="n">
        <v>7.869545131302009</v>
      </c>
      <c r="I33" s="12">
        <f>H33/G33</f>
        <v/>
      </c>
    </row>
    <row r="34">
      <c r="A34" s="8" t="inlineStr">
        <is>
          <t>40</t>
        </is>
      </c>
      <c r="B34" s="8" t="inlineStr">
        <is>
          <t>C1081-Q9591</t>
        </is>
      </c>
      <c r="C34" s="8" t="inlineStr">
        <is>
          <t>Huancabamba</t>
        </is>
      </c>
      <c r="D34" s="8" t="inlineStr">
        <is>
          <t>Canchaque</t>
        </is>
      </c>
      <c r="E34" s="8" t="inlineStr">
        <is>
          <t>Zona agrícola</t>
        </is>
      </c>
      <c r="F34" s="8" t="inlineStr">
        <is>
          <t>Agri</t>
        </is>
      </c>
      <c r="G34" s="15" t="n">
        <v>28.523</v>
      </c>
      <c r="H34" s="15" t="n">
        <v>16.98340228583449</v>
      </c>
      <c r="I34" s="16">
        <f>H34/G34</f>
        <v/>
      </c>
    </row>
    <row r="35">
      <c r="A35" s="6" t="inlineStr">
        <is>
          <t>40</t>
        </is>
      </c>
      <c r="B35" s="6" t="inlineStr">
        <is>
          <t>C1081-Q9591</t>
        </is>
      </c>
      <c r="C35" s="6" t="inlineStr">
        <is>
          <t>Huancabamba</t>
        </is>
      </c>
      <c r="D35" s="6" t="inlineStr">
        <is>
          <t>Canchaque</t>
        </is>
      </c>
      <c r="E35" s="6" t="inlineStr">
        <is>
          <t>Matorral andino</t>
        </is>
      </c>
      <c r="F35" s="6" t="inlineStr">
        <is>
          <t>Ma</t>
        </is>
      </c>
      <c r="G35" s="11" t="n">
        <v>28.523</v>
      </c>
      <c r="H35" s="11" t="n">
        <v>11.53959771416551</v>
      </c>
      <c r="I35" s="12">
        <f>H35/G35</f>
        <v/>
      </c>
    </row>
    <row r="36">
      <c r="A36" s="8" t="inlineStr">
        <is>
          <t>60</t>
        </is>
      </c>
      <c r="B36" s="8" t="inlineStr">
        <is>
          <t>C1081-Q9591</t>
        </is>
      </c>
      <c r="C36" s="8" t="inlineStr">
        <is>
          <t>Huancabamba</t>
        </is>
      </c>
      <c r="D36" s="8" t="inlineStr">
        <is>
          <t>Canchaque</t>
        </is>
      </c>
      <c r="E36" s="8" t="inlineStr">
        <is>
          <t>Matorral andino</t>
        </is>
      </c>
      <c r="F36" s="8" t="inlineStr">
        <is>
          <t>Ma</t>
        </is>
      </c>
      <c r="G36" s="15" t="n">
        <v>40.132</v>
      </c>
      <c r="H36" s="15" t="n">
        <v>23.721577326652</v>
      </c>
      <c r="I36" s="16">
        <f>H36/G36</f>
        <v/>
      </c>
    </row>
    <row r="37">
      <c r="A37" s="6" t="inlineStr">
        <is>
          <t>60</t>
        </is>
      </c>
      <c r="B37" s="6" t="inlineStr">
        <is>
          <t>C1081-Q9591</t>
        </is>
      </c>
      <c r="C37" s="6" t="inlineStr">
        <is>
          <t>Huancabamba</t>
        </is>
      </c>
      <c r="D37" s="6" t="inlineStr">
        <is>
          <t>Canchaque</t>
        </is>
      </c>
      <c r="E37" s="6" t="inlineStr">
        <is>
          <t>Zona agrícola</t>
        </is>
      </c>
      <c r="F37" s="6" t="inlineStr">
        <is>
          <t>Agri</t>
        </is>
      </c>
      <c r="G37" s="11" t="n">
        <v>40.132</v>
      </c>
      <c r="H37" s="11" t="n">
        <v>16.410422673348</v>
      </c>
      <c r="I37" s="12">
        <f>H37/G37</f>
        <v/>
      </c>
    </row>
    <row r="38">
      <c r="A38" s="8" t="inlineStr">
        <is>
          <t>63</t>
        </is>
      </c>
      <c r="B38" s="8" t="inlineStr">
        <is>
          <t>C1081-Q9583</t>
        </is>
      </c>
      <c r="C38" s="8" t="inlineStr">
        <is>
          <t>Huancabamba</t>
        </is>
      </c>
      <c r="D38" s="8" t="inlineStr">
        <is>
          <t>Canchaque</t>
        </is>
      </c>
      <c r="E38" s="8" t="inlineStr">
        <is>
          <t>Matorral andino</t>
        </is>
      </c>
      <c r="F38" s="8" t="inlineStr">
        <is>
          <t>Ma</t>
        </is>
      </c>
      <c r="G38" s="15" t="n">
        <v>50.459</v>
      </c>
      <c r="H38" s="15" t="n">
        <v>50.459</v>
      </c>
      <c r="I38" s="16">
        <f>H38/G38</f>
        <v/>
      </c>
    </row>
    <row r="39">
      <c r="A39" s="6" t="inlineStr">
        <is>
          <t>66</t>
        </is>
      </c>
      <c r="B39" s="6" t="inlineStr">
        <is>
          <t>C1081-Q9591</t>
        </is>
      </c>
      <c r="C39" s="6" t="inlineStr">
        <is>
          <t>Huancabamba</t>
        </is>
      </c>
      <c r="D39" s="6" t="inlineStr">
        <is>
          <t>Canchaque</t>
        </is>
      </c>
      <c r="E39" s="6" t="inlineStr">
        <is>
          <t>Zona agrícola</t>
        </is>
      </c>
      <c r="F39" s="6" t="inlineStr">
        <is>
          <t>Agri</t>
        </is>
      </c>
      <c r="G39" s="11" t="n">
        <v>102.335</v>
      </c>
      <c r="H39" s="11" t="n">
        <v>77.04964941681845</v>
      </c>
      <c r="I39" s="12">
        <f>H39/G39</f>
        <v/>
      </c>
    </row>
    <row r="40">
      <c r="A40" s="8" t="inlineStr">
        <is>
          <t>66</t>
        </is>
      </c>
      <c r="B40" s="8" t="inlineStr">
        <is>
          <t>C1081-Q9591</t>
        </is>
      </c>
      <c r="C40" s="8" t="inlineStr">
        <is>
          <t>Huancabamba</t>
        </is>
      </c>
      <c r="D40" s="8" t="inlineStr">
        <is>
          <t>Canchaque</t>
        </is>
      </c>
      <c r="E40" s="8" t="inlineStr">
        <is>
          <t>Bosque estacionalmente seco de colina y montaña</t>
        </is>
      </c>
      <c r="F40" s="8" t="inlineStr">
        <is>
          <t>Bes-cm</t>
        </is>
      </c>
      <c r="G40" s="15" t="n">
        <v>102.335</v>
      </c>
      <c r="H40" s="15" t="n">
        <v>19.24596238635386</v>
      </c>
      <c r="I40" s="16">
        <f>H40/G40</f>
        <v/>
      </c>
    </row>
    <row r="41">
      <c r="A41" s="6" t="inlineStr">
        <is>
          <t>66</t>
        </is>
      </c>
      <c r="B41" s="6" t="inlineStr">
        <is>
          <t>C1081-Q9591</t>
        </is>
      </c>
      <c r="C41" s="6" t="inlineStr">
        <is>
          <t>Huancabamba</t>
        </is>
      </c>
      <c r="D41" s="6" t="inlineStr">
        <is>
          <t>Canchaque</t>
        </is>
      </c>
      <c r="E41" s="6" t="inlineStr">
        <is>
          <t>Matorral andino</t>
        </is>
      </c>
      <c r="F41" s="6" t="inlineStr">
        <is>
          <t>Ma</t>
        </is>
      </c>
      <c r="G41" s="11" t="n">
        <v>102.335</v>
      </c>
      <c r="H41" s="11" t="n">
        <v>6.039388196827679</v>
      </c>
      <c r="I41" s="12">
        <f>H41/G41</f>
        <v/>
      </c>
    </row>
    <row r="42">
      <c r="A42" s="8" t="inlineStr">
        <is>
          <t>79</t>
        </is>
      </c>
      <c r="B42" s="8" t="inlineStr">
        <is>
          <t>C1076-Q9587</t>
        </is>
      </c>
      <c r="C42" s="8" t="inlineStr">
        <is>
          <t>Huancabamba</t>
        </is>
      </c>
      <c r="D42" s="8" t="inlineStr">
        <is>
          <t>Canchaque</t>
        </is>
      </c>
      <c r="E42" s="8" t="inlineStr">
        <is>
          <t>Bosque estacionalmente seco de colina y montaña</t>
        </is>
      </c>
      <c r="F42" s="8" t="inlineStr">
        <is>
          <t>Bes-cm</t>
        </is>
      </c>
      <c r="G42" s="15" t="n">
        <v>94.812</v>
      </c>
      <c r="H42" s="15" t="n">
        <v>94.812</v>
      </c>
      <c r="I42" s="16">
        <f>H42/G42</f>
        <v/>
      </c>
    </row>
    <row r="43">
      <c r="A43" s="6" t="inlineStr">
        <is>
          <t>81</t>
        </is>
      </c>
      <c r="B43" s="6" t="inlineStr">
        <is>
          <t>C1076-Q9585</t>
        </is>
      </c>
      <c r="C43" s="6" t="inlineStr">
        <is>
          <t>Huancabamba</t>
        </is>
      </c>
      <c r="D43" s="6" t="inlineStr">
        <is>
          <t>Canchaque</t>
        </is>
      </c>
      <c r="E43" s="6" t="inlineStr">
        <is>
          <t>Bosque estacionalmente seco de colina y montaña</t>
        </is>
      </c>
      <c r="F43" s="6" t="inlineStr">
        <is>
          <t>Bes-cm</t>
        </is>
      </c>
      <c r="G43" s="11" t="n">
        <v>8.929</v>
      </c>
      <c r="H43" s="11" t="n">
        <v>8.929</v>
      </c>
      <c r="I43" s="12">
        <f>H43/G43</f>
        <v/>
      </c>
    </row>
    <row r="44">
      <c r="A44" s="8" t="inlineStr">
        <is>
          <t>64</t>
        </is>
      </c>
      <c r="B44" s="8" t="inlineStr">
        <is>
          <t>C1081-Q9591</t>
        </is>
      </c>
      <c r="C44" s="8" t="inlineStr">
        <is>
          <t>Huancabamba</t>
        </is>
      </c>
      <c r="D44" s="8" t="inlineStr">
        <is>
          <t>Huancabamba</t>
        </is>
      </c>
      <c r="E44" s="8" t="inlineStr">
        <is>
          <t>Zona agrícola</t>
        </is>
      </c>
      <c r="F44" s="8" t="inlineStr">
        <is>
          <t>Agri</t>
        </is>
      </c>
      <c r="G44" s="15" t="n">
        <v>35.774</v>
      </c>
      <c r="H44" s="15" t="n">
        <v>35.774</v>
      </c>
      <c r="I44" s="16">
        <f>H44/G44</f>
        <v/>
      </c>
    </row>
    <row r="45">
      <c r="A45" s="6" t="inlineStr">
        <is>
          <t>M30B5</t>
        </is>
      </c>
      <c r="B45" s="6" t="inlineStr">
        <is>
          <t>C1081-Q9591</t>
        </is>
      </c>
      <c r="C45" s="6" t="inlineStr">
        <is>
          <t>Huancabamba</t>
        </is>
      </c>
      <c r="D45" s="6" t="inlineStr">
        <is>
          <t>Huancabamba</t>
        </is>
      </c>
      <c r="E45" s="6" t="inlineStr">
        <is>
          <t>Zona agrícola</t>
        </is>
      </c>
      <c r="F45" s="6" t="inlineStr">
        <is>
          <t>Agri</t>
        </is>
      </c>
      <c r="G45" s="11" t="n">
        <v>90.90300000000001</v>
      </c>
      <c r="H45" s="11" t="n">
        <v>74.63575368550977</v>
      </c>
      <c r="I45" s="12">
        <f>H45/G45</f>
        <v/>
      </c>
    </row>
    <row r="46">
      <c r="A46" s="8" t="inlineStr">
        <is>
          <t>M30B5</t>
        </is>
      </c>
      <c r="B46" s="8" t="inlineStr">
        <is>
          <t>C1081-Q9591</t>
        </is>
      </c>
      <c r="C46" s="8" t="inlineStr">
        <is>
          <t>Huancabamba</t>
        </is>
      </c>
      <c r="D46" s="8" t="inlineStr">
        <is>
          <t>Huancabamba</t>
        </is>
      </c>
      <c r="E46" s="8" t="inlineStr">
        <is>
          <t>Matorral andino</t>
        </is>
      </c>
      <c r="F46" s="8" t="inlineStr">
        <is>
          <t>Ma</t>
        </is>
      </c>
      <c r="G46" s="15" t="n">
        <v>90.90300000000001</v>
      </c>
      <c r="H46" s="15" t="n">
        <v>16.26724631449023</v>
      </c>
      <c r="I46" s="16">
        <f>H46/G46</f>
        <v/>
      </c>
    </row>
    <row r="47">
      <c r="A47" s="6" t="inlineStr">
        <is>
          <t>10</t>
        </is>
      </c>
      <c r="B47" s="6" t="inlineStr">
        <is>
          <t>C1076-Q9593</t>
        </is>
      </c>
      <c r="C47" s="6" t="inlineStr">
        <is>
          <t>Huancabamba</t>
        </is>
      </c>
      <c r="D47" s="6" t="inlineStr">
        <is>
          <t>Huarmaca</t>
        </is>
      </c>
      <c r="E47" s="6" t="inlineStr">
        <is>
          <t>Bosque estacionalmente seco de colina y montaña</t>
        </is>
      </c>
      <c r="F47" s="6" t="inlineStr">
        <is>
          <t>Bes-cm</t>
        </is>
      </c>
      <c r="G47" s="11" t="n">
        <v>150.214</v>
      </c>
      <c r="H47" s="11" t="n">
        <v>129.3855138658755</v>
      </c>
      <c r="I47" s="12">
        <f>H47/G47</f>
        <v/>
      </c>
    </row>
    <row r="48">
      <c r="A48" s="8" t="inlineStr">
        <is>
          <t>10</t>
        </is>
      </c>
      <c r="B48" s="8" t="inlineStr">
        <is>
          <t>C1076-Q9593</t>
        </is>
      </c>
      <c r="C48" s="8" t="inlineStr">
        <is>
          <t>Huancabamba</t>
        </is>
      </c>
      <c r="D48" s="8" t="inlineStr">
        <is>
          <t>Huarmaca</t>
        </is>
      </c>
      <c r="E48" s="8" t="inlineStr">
        <is>
          <t>Zona agrícola</t>
        </is>
      </c>
      <c r="F48" s="8" t="inlineStr">
        <is>
          <t>Agri</t>
        </is>
      </c>
      <c r="G48" s="15" t="n">
        <v>150.214</v>
      </c>
      <c r="H48" s="15" t="n">
        <v>20.82848613412456</v>
      </c>
      <c r="I48" s="16">
        <f>H48/G48</f>
        <v/>
      </c>
    </row>
    <row r="49">
      <c r="A49" s="6" t="inlineStr">
        <is>
          <t>16</t>
        </is>
      </c>
      <c r="B49" s="6" t="inlineStr">
        <is>
          <t>C1076-Q9593</t>
        </is>
      </c>
      <c r="C49" s="6" t="inlineStr">
        <is>
          <t>Huancabamba</t>
        </is>
      </c>
      <c r="D49" s="6" t="inlineStr">
        <is>
          <t>Huarmaca</t>
        </is>
      </c>
      <c r="E49" s="6" t="inlineStr">
        <is>
          <t>Zona agrícola</t>
        </is>
      </c>
      <c r="F49" s="6" t="inlineStr">
        <is>
          <t>Agri</t>
        </is>
      </c>
      <c r="G49" s="11" t="n">
        <v>83.327</v>
      </c>
      <c r="H49" s="11" t="n">
        <v>45.64052613602951</v>
      </c>
      <c r="I49" s="12">
        <f>H49/G49</f>
        <v/>
      </c>
    </row>
    <row r="50">
      <c r="A50" s="8" t="inlineStr">
        <is>
          <t>16</t>
        </is>
      </c>
      <c r="B50" s="8" t="inlineStr">
        <is>
          <t>C1076-Q9593</t>
        </is>
      </c>
      <c r="C50" s="8" t="inlineStr">
        <is>
          <t>Huancabamba</t>
        </is>
      </c>
      <c r="D50" s="8" t="inlineStr">
        <is>
          <t>Huarmaca</t>
        </is>
      </c>
      <c r="E50" s="8" t="inlineStr">
        <is>
          <t>Bosque estacionalmente seco de colina y montaña</t>
        </is>
      </c>
      <c r="F50" s="8" t="inlineStr">
        <is>
          <t>Bes-cm</t>
        </is>
      </c>
      <c r="G50" s="15" t="n">
        <v>83.327</v>
      </c>
      <c r="H50" s="15" t="n">
        <v>37.68647386397048</v>
      </c>
      <c r="I50" s="16">
        <f>H50/G50</f>
        <v/>
      </c>
    </row>
    <row r="51">
      <c r="A51" s="6" t="inlineStr">
        <is>
          <t>18</t>
        </is>
      </c>
      <c r="B51" s="6" t="inlineStr">
        <is>
          <t>C1076-Q9592</t>
        </is>
      </c>
      <c r="C51" s="6" t="inlineStr">
        <is>
          <t>Huancabamba</t>
        </is>
      </c>
      <c r="D51" s="6" t="inlineStr">
        <is>
          <t>Huarmaca</t>
        </is>
      </c>
      <c r="E51" s="6" t="inlineStr">
        <is>
          <t>Bosque estacionalmente seco de colina y montaña</t>
        </is>
      </c>
      <c r="F51" s="6" t="inlineStr">
        <is>
          <t>Bes-cm</t>
        </is>
      </c>
      <c r="G51" s="11" t="n">
        <v>103.617</v>
      </c>
      <c r="H51" s="11" t="n">
        <v>94.29810899359276</v>
      </c>
      <c r="I51" s="12">
        <f>H51/G51</f>
        <v/>
      </c>
    </row>
    <row r="52">
      <c r="A52" s="8" t="inlineStr">
        <is>
          <t>18</t>
        </is>
      </c>
      <c r="B52" s="8" t="inlineStr">
        <is>
          <t>C1076-Q9592</t>
        </is>
      </c>
      <c r="C52" s="8" t="inlineStr">
        <is>
          <t>Huancabamba</t>
        </is>
      </c>
      <c r="D52" s="8" t="inlineStr">
        <is>
          <t>Huarmaca</t>
        </is>
      </c>
      <c r="E52" s="8" t="inlineStr">
        <is>
          <t>Zona agrícola</t>
        </is>
      </c>
      <c r="F52" s="8" t="inlineStr">
        <is>
          <t>Agri</t>
        </is>
      </c>
      <c r="G52" s="15" t="n">
        <v>103.617</v>
      </c>
      <c r="H52" s="15" t="n">
        <v>9.318891006407243</v>
      </c>
      <c r="I52" s="16">
        <f>H52/G52</f>
        <v/>
      </c>
    </row>
    <row r="53">
      <c r="A53" s="6" t="inlineStr">
        <is>
          <t>19</t>
        </is>
      </c>
      <c r="B53" s="6" t="inlineStr">
        <is>
          <t>C1076-Q9592</t>
        </is>
      </c>
      <c r="C53" s="6" t="inlineStr">
        <is>
          <t>Huancabamba</t>
        </is>
      </c>
      <c r="D53" s="6" t="inlineStr">
        <is>
          <t>Huarmaca</t>
        </is>
      </c>
      <c r="E53" s="6" t="inlineStr">
        <is>
          <t>Matorral andino</t>
        </is>
      </c>
      <c r="F53" s="6" t="inlineStr">
        <is>
          <t>Ma</t>
        </is>
      </c>
      <c r="G53" s="11" t="n">
        <v>82.08799999999999</v>
      </c>
      <c r="H53" s="11" t="n">
        <v>42.2459514642231</v>
      </c>
      <c r="I53" s="12">
        <f>H53/G53</f>
        <v/>
      </c>
    </row>
    <row r="54">
      <c r="A54" s="8" t="inlineStr">
        <is>
          <t>19</t>
        </is>
      </c>
      <c r="B54" s="8" t="inlineStr">
        <is>
          <t>C1076-Q9592</t>
        </is>
      </c>
      <c r="C54" s="8" t="inlineStr">
        <is>
          <t>Huancabamba</t>
        </is>
      </c>
      <c r="D54" s="8" t="inlineStr">
        <is>
          <t>Huarmaca</t>
        </is>
      </c>
      <c r="E54" s="8" t="inlineStr">
        <is>
          <t>Zona agrícola</t>
        </is>
      </c>
      <c r="F54" s="8" t="inlineStr">
        <is>
          <t>Agri</t>
        </is>
      </c>
      <c r="G54" s="15" t="n">
        <v>82.08799999999999</v>
      </c>
      <c r="H54" s="15" t="n">
        <v>39.84204853577689</v>
      </c>
      <c r="I54" s="16">
        <f>H54/G54</f>
        <v/>
      </c>
    </row>
    <row r="55">
      <c r="A55" s="6" t="inlineStr">
        <is>
          <t>20</t>
        </is>
      </c>
      <c r="B55" s="6" t="inlineStr">
        <is>
          <t>C1076-Q9593</t>
        </is>
      </c>
      <c r="C55" s="6" t="inlineStr">
        <is>
          <t>Huancabamba</t>
        </is>
      </c>
      <c r="D55" s="6" t="inlineStr">
        <is>
          <t>Huarmaca</t>
        </is>
      </c>
      <c r="E55" s="6" t="inlineStr">
        <is>
          <t>Bosque estacionalmente seco de colina y montaña</t>
        </is>
      </c>
      <c r="F55" s="6" t="inlineStr">
        <is>
          <t>Bes-cm</t>
        </is>
      </c>
      <c r="G55" s="11" t="n">
        <v>81.334</v>
      </c>
      <c r="H55" s="11" t="n">
        <v>42.28410795292474</v>
      </c>
      <c r="I55" s="12">
        <f>H55/G55</f>
        <v/>
      </c>
    </row>
    <row r="56">
      <c r="A56" s="8" t="inlineStr">
        <is>
          <t>20</t>
        </is>
      </c>
      <c r="B56" s="8" t="inlineStr">
        <is>
          <t>C1076-Q9593</t>
        </is>
      </c>
      <c r="C56" s="8" t="inlineStr">
        <is>
          <t>Huancabamba</t>
        </is>
      </c>
      <c r="D56" s="8" t="inlineStr">
        <is>
          <t>Huarmaca</t>
        </is>
      </c>
      <c r="E56" s="8" t="inlineStr">
        <is>
          <t>Matorral andino</t>
        </is>
      </c>
      <c r="F56" s="8" t="inlineStr">
        <is>
          <t>Ma</t>
        </is>
      </c>
      <c r="G56" s="15" t="n">
        <v>81.334</v>
      </c>
      <c r="H56" s="15" t="n">
        <v>39.04989204707525</v>
      </c>
      <c r="I56" s="16">
        <f>H56/G56</f>
        <v/>
      </c>
    </row>
    <row r="57">
      <c r="A57" s="6" t="inlineStr">
        <is>
          <t>31</t>
        </is>
      </c>
      <c r="B57" s="6" t="inlineStr">
        <is>
          <t>C1076-Q9592</t>
        </is>
      </c>
      <c r="C57" s="6" t="inlineStr">
        <is>
          <t>Huancabamba</t>
        </is>
      </c>
      <c r="D57" s="6" t="inlineStr">
        <is>
          <t>Huarmaca</t>
        </is>
      </c>
      <c r="E57" s="6" t="inlineStr">
        <is>
          <t>Matorral andino</t>
        </is>
      </c>
      <c r="F57" s="6" t="inlineStr">
        <is>
          <t>Ma</t>
        </is>
      </c>
      <c r="G57" s="11" t="n">
        <v>47.581</v>
      </c>
      <c r="H57" s="11" t="n">
        <v>47.581</v>
      </c>
      <c r="I57" s="12">
        <f>H57/G57</f>
        <v/>
      </c>
    </row>
    <row r="58">
      <c r="A58" s="8" t="inlineStr">
        <is>
          <t>4</t>
        </is>
      </c>
      <c r="B58" s="8" t="inlineStr">
        <is>
          <t>C1076-Q9588</t>
        </is>
      </c>
      <c r="C58" s="8" t="inlineStr">
        <is>
          <t>Huancabamba</t>
        </is>
      </c>
      <c r="D58" s="8" t="inlineStr">
        <is>
          <t>Huarmaca</t>
        </is>
      </c>
      <c r="E58" s="8" t="inlineStr">
        <is>
          <t>Zona agrícola</t>
        </is>
      </c>
      <c r="F58" s="8" t="inlineStr">
        <is>
          <t>Agri</t>
        </is>
      </c>
      <c r="G58" s="15" t="n">
        <v>230.098</v>
      </c>
      <c r="H58" s="15" t="n">
        <v>230.098</v>
      </c>
      <c r="I58" s="16">
        <f>H58/G58</f>
        <v/>
      </c>
    </row>
    <row r="59">
      <c r="A59" s="6" t="inlineStr">
        <is>
          <t>41</t>
        </is>
      </c>
      <c r="B59" s="6" t="inlineStr">
        <is>
          <t>C1076-Q9592</t>
        </is>
      </c>
      <c r="C59" s="6" t="inlineStr">
        <is>
          <t>Huancabamba</t>
        </is>
      </c>
      <c r="D59" s="6" t="inlineStr">
        <is>
          <t>Huarmaca</t>
        </is>
      </c>
      <c r="E59" s="6" t="inlineStr">
        <is>
          <t>Zona agrícola</t>
        </is>
      </c>
      <c r="F59" s="6" t="inlineStr">
        <is>
          <t>Agri</t>
        </is>
      </c>
      <c r="G59" s="11" t="n">
        <v>64.923</v>
      </c>
      <c r="H59" s="11" t="n">
        <v>64.923</v>
      </c>
      <c r="I59" s="12">
        <f>H59/G59</f>
        <v/>
      </c>
    </row>
    <row r="60">
      <c r="A60" s="8" t="inlineStr">
        <is>
          <t>51</t>
        </is>
      </c>
      <c r="B60" s="8" t="inlineStr">
        <is>
          <t>C1076-Q9593</t>
        </is>
      </c>
      <c r="C60" s="8" t="inlineStr">
        <is>
          <t>Huancabamba</t>
        </is>
      </c>
      <c r="D60" s="8" t="inlineStr">
        <is>
          <t>Huarmaca</t>
        </is>
      </c>
      <c r="E60" s="8" t="inlineStr">
        <is>
          <t>Zona agrícola</t>
        </is>
      </c>
      <c r="F60" s="8" t="inlineStr">
        <is>
          <t>Agri</t>
        </is>
      </c>
      <c r="G60" s="15" t="n">
        <v>22.927</v>
      </c>
      <c r="H60" s="15" t="n">
        <v>20.2309</v>
      </c>
      <c r="I60" s="16">
        <f>H60/G60</f>
        <v/>
      </c>
    </row>
    <row r="61">
      <c r="A61" s="6" t="inlineStr">
        <is>
          <t>51</t>
        </is>
      </c>
      <c r="B61" s="6" t="inlineStr">
        <is>
          <t>C1076-Q9593</t>
        </is>
      </c>
      <c r="C61" s="6" t="inlineStr">
        <is>
          <t>Huancabamba</t>
        </is>
      </c>
      <c r="D61" s="6" t="inlineStr">
        <is>
          <t>Huarmaca</t>
        </is>
      </c>
      <c r="E61" s="6" t="inlineStr">
        <is>
          <t>Matorral andino</t>
        </is>
      </c>
      <c r="F61" s="6" t="inlineStr">
        <is>
          <t>Ma</t>
        </is>
      </c>
      <c r="G61" s="11" t="n">
        <v>22.927</v>
      </c>
      <c r="H61" s="11" t="n">
        <v>2.6961</v>
      </c>
      <c r="I61" s="12">
        <f>H61/G61</f>
        <v/>
      </c>
    </row>
    <row r="62">
      <c r="A62" s="8" t="inlineStr">
        <is>
          <t>53</t>
        </is>
      </c>
      <c r="B62" s="8" t="inlineStr">
        <is>
          <t>C1076-Q9592</t>
        </is>
      </c>
      <c r="C62" s="8" t="inlineStr">
        <is>
          <t>Huancabamba</t>
        </is>
      </c>
      <c r="D62" s="8" t="inlineStr">
        <is>
          <t>Huarmaca</t>
        </is>
      </c>
      <c r="E62" s="8" t="inlineStr">
        <is>
          <t>Matorral andino</t>
        </is>
      </c>
      <c r="F62" s="8" t="inlineStr">
        <is>
          <t>Ma</t>
        </is>
      </c>
      <c r="G62" s="15" t="n">
        <v>13.065</v>
      </c>
      <c r="H62" s="15" t="n">
        <v>13.065</v>
      </c>
      <c r="I62" s="16">
        <f>H62/G62</f>
        <v/>
      </c>
    </row>
    <row r="63">
      <c r="A63" s="6" t="inlineStr">
        <is>
          <t>69</t>
        </is>
      </c>
      <c r="B63" s="6" t="inlineStr">
        <is>
          <t>C1076-Q9592</t>
        </is>
      </c>
      <c r="C63" s="6" t="inlineStr">
        <is>
          <t>Huancabamba</t>
        </is>
      </c>
      <c r="D63" s="6" t="inlineStr">
        <is>
          <t>Huarmaca</t>
        </is>
      </c>
      <c r="E63" s="6" t="inlineStr">
        <is>
          <t>Matorral andino</t>
        </is>
      </c>
      <c r="F63" s="6" t="inlineStr">
        <is>
          <t>Ma</t>
        </is>
      </c>
      <c r="G63" s="11" t="n">
        <v>19.425</v>
      </c>
      <c r="H63" s="11" t="n">
        <v>19.02980610338064</v>
      </c>
      <c r="I63" s="12">
        <f>H63/G63</f>
        <v/>
      </c>
    </row>
    <row r="64">
      <c r="A64" s="8" t="inlineStr">
        <is>
          <t>69</t>
        </is>
      </c>
      <c r="B64" s="8" t="inlineStr">
        <is>
          <t>C1076-Q9592</t>
        </is>
      </c>
      <c r="C64" s="8" t="inlineStr">
        <is>
          <t>Huancabamba</t>
        </is>
      </c>
      <c r="D64" s="8" t="inlineStr">
        <is>
          <t>Huarmaca</t>
        </is>
      </c>
      <c r="E64" s="8" t="inlineStr">
        <is>
          <t>Zona agrícola</t>
        </is>
      </c>
      <c r="F64" s="8" t="inlineStr">
        <is>
          <t>Agri</t>
        </is>
      </c>
      <c r="G64" s="15" t="n">
        <v>19.425</v>
      </c>
      <c r="H64" s="15" t="n">
        <v>0.3951938966193572</v>
      </c>
      <c r="I64" s="16">
        <f>H64/G64</f>
        <v/>
      </c>
    </row>
    <row r="65">
      <c r="A65" s="6" t="inlineStr">
        <is>
          <t>70</t>
        </is>
      </c>
      <c r="B65" s="6" t="inlineStr">
        <is>
          <t>C1076-Q9592</t>
        </is>
      </c>
      <c r="C65" s="6" t="inlineStr">
        <is>
          <t>Huancabamba</t>
        </is>
      </c>
      <c r="D65" s="6" t="inlineStr">
        <is>
          <t>Huarmaca</t>
        </is>
      </c>
      <c r="E65" s="6" t="inlineStr">
        <is>
          <t>Matorral andino</t>
        </is>
      </c>
      <c r="F65" s="6" t="inlineStr">
        <is>
          <t>Ma</t>
        </is>
      </c>
      <c r="G65" s="11" t="n">
        <v>22.388</v>
      </c>
      <c r="H65" s="11" t="n">
        <v>22.12709883463836</v>
      </c>
      <c r="I65" s="12">
        <f>H65/G65</f>
        <v/>
      </c>
    </row>
    <row r="66">
      <c r="A66" s="8" t="inlineStr">
        <is>
          <t>70</t>
        </is>
      </c>
      <c r="B66" s="8" t="inlineStr">
        <is>
          <t>C1076-Q9592</t>
        </is>
      </c>
      <c r="C66" s="8" t="inlineStr">
        <is>
          <t>Huancabamba</t>
        </is>
      </c>
      <c r="D66" s="8" t="inlineStr">
        <is>
          <t>Huarmaca</t>
        </is>
      </c>
      <c r="E66" s="8" t="inlineStr">
        <is>
          <t>Zona agrícola</t>
        </is>
      </c>
      <c r="F66" s="8" t="inlineStr">
        <is>
          <t>Agri</t>
        </is>
      </c>
      <c r="G66" s="15" t="n">
        <v>22.388</v>
      </c>
      <c r="H66" s="15" t="n">
        <v>0.2609011653616463</v>
      </c>
      <c r="I66" s="16">
        <f>H66/G66</f>
        <v/>
      </c>
    </row>
    <row r="67">
      <c r="A67" s="6" t="inlineStr">
        <is>
          <t>71</t>
        </is>
      </c>
      <c r="B67" s="6" t="inlineStr">
        <is>
          <t>C1076-Q9593</t>
        </is>
      </c>
      <c r="C67" s="6" t="inlineStr">
        <is>
          <t>Huancabamba</t>
        </is>
      </c>
      <c r="D67" s="6" t="inlineStr">
        <is>
          <t>Huarmaca</t>
        </is>
      </c>
      <c r="E67" s="6" t="inlineStr">
        <is>
          <t>Matorral andino</t>
        </is>
      </c>
      <c r="F67" s="6" t="inlineStr">
        <is>
          <t>Ma</t>
        </is>
      </c>
      <c r="G67" s="11" t="n">
        <v>10.673</v>
      </c>
      <c r="H67" s="11" t="n">
        <v>10.673</v>
      </c>
      <c r="I67" s="12">
        <f>H67/G67</f>
        <v/>
      </c>
    </row>
    <row r="68">
      <c r="A68" s="8" t="inlineStr">
        <is>
          <t>72</t>
        </is>
      </c>
      <c r="B68" s="8" t="inlineStr">
        <is>
          <t>C1076-Q9592</t>
        </is>
      </c>
      <c r="C68" s="8" t="inlineStr">
        <is>
          <t>Huancabamba</t>
        </is>
      </c>
      <c r="D68" s="8" t="inlineStr">
        <is>
          <t>Huarmaca</t>
        </is>
      </c>
      <c r="E68" s="8" t="inlineStr">
        <is>
          <t>Zona agrícola</t>
        </is>
      </c>
      <c r="F68" s="8" t="inlineStr">
        <is>
          <t>Agri</t>
        </is>
      </c>
      <c r="G68" s="15" t="n">
        <v>12.398</v>
      </c>
      <c r="H68" s="15" t="n">
        <v>12.398</v>
      </c>
      <c r="I68" s="16">
        <f>H68/G68</f>
        <v/>
      </c>
    </row>
    <row r="69">
      <c r="A69" s="6" t="inlineStr">
        <is>
          <t>73</t>
        </is>
      </c>
      <c r="B69" s="6" t="inlineStr">
        <is>
          <t>C1076-Q9592</t>
        </is>
      </c>
      <c r="C69" s="6" t="inlineStr">
        <is>
          <t>Huancabamba</t>
        </is>
      </c>
      <c r="D69" s="6" t="inlineStr">
        <is>
          <t>Huarmaca</t>
        </is>
      </c>
      <c r="E69" s="6" t="inlineStr">
        <is>
          <t>Zona agrícola</t>
        </is>
      </c>
      <c r="F69" s="6" t="inlineStr">
        <is>
          <t>Agri</t>
        </is>
      </c>
      <c r="G69" s="11" t="n">
        <v>54.29</v>
      </c>
      <c r="H69" s="11" t="n">
        <v>54.29</v>
      </c>
      <c r="I69" s="12">
        <f>H69/G69</f>
        <v/>
      </c>
    </row>
    <row r="70">
      <c r="A70" s="8" t="inlineStr">
        <is>
          <t>76</t>
        </is>
      </c>
      <c r="B70" s="8" t="inlineStr">
        <is>
          <t>C1076-Q9593</t>
        </is>
      </c>
      <c r="C70" s="8" t="inlineStr">
        <is>
          <t>Huancabamba</t>
        </is>
      </c>
      <c r="D70" s="8" t="inlineStr">
        <is>
          <t>Huarmaca</t>
        </is>
      </c>
      <c r="E70" s="8" t="inlineStr">
        <is>
          <t>Zona agrícola</t>
        </is>
      </c>
      <c r="F70" s="8" t="inlineStr">
        <is>
          <t>Agri</t>
        </is>
      </c>
      <c r="G70" s="15" t="n">
        <v>19.615</v>
      </c>
      <c r="H70" s="15" t="n">
        <v>19.615</v>
      </c>
      <c r="I70" s="16">
        <f>H70/G70</f>
        <v/>
      </c>
    </row>
    <row r="71">
      <c r="A71" s="6" t="inlineStr">
        <is>
          <t>8</t>
        </is>
      </c>
      <c r="B71" s="6" t="inlineStr">
        <is>
          <t>C1076-Q9593</t>
        </is>
      </c>
      <c r="C71" s="6" t="inlineStr">
        <is>
          <t>Huancabamba</t>
        </is>
      </c>
      <c r="D71" s="6" t="inlineStr">
        <is>
          <t>Huarmaca</t>
        </is>
      </c>
      <c r="E71" s="6" t="inlineStr">
        <is>
          <t>Matorral andino</t>
        </is>
      </c>
      <c r="F71" s="6" t="inlineStr">
        <is>
          <t>Ma</t>
        </is>
      </c>
      <c r="G71" s="11" t="n">
        <v>126.952</v>
      </c>
      <c r="H71" s="11" t="n">
        <v>121.8167959550034</v>
      </c>
      <c r="I71" s="12">
        <f>H71/G71</f>
        <v/>
      </c>
    </row>
    <row r="72">
      <c r="A72" s="8" t="inlineStr">
        <is>
          <t>8</t>
        </is>
      </c>
      <c r="B72" s="8" t="inlineStr">
        <is>
          <t>C1076-Q9593</t>
        </is>
      </c>
      <c r="C72" s="8" t="inlineStr">
        <is>
          <t>Huancabamba</t>
        </is>
      </c>
      <c r="D72" s="8" t="inlineStr">
        <is>
          <t>Huarmaca</t>
        </is>
      </c>
      <c r="E72" s="8" t="inlineStr">
        <is>
          <t>Zona agrícola</t>
        </is>
      </c>
      <c r="F72" s="8" t="inlineStr">
        <is>
          <t>Agri</t>
        </is>
      </c>
      <c r="G72" s="15" t="n">
        <v>126.952</v>
      </c>
      <c r="H72" s="15" t="n">
        <v>5.13520404499657</v>
      </c>
      <c r="I72" s="16">
        <f>H72/G72</f>
        <v/>
      </c>
    </row>
    <row r="73">
      <c r="A73" s="6" t="inlineStr">
        <is>
          <t>80</t>
        </is>
      </c>
      <c r="B73" s="6" t="inlineStr">
        <is>
          <t>C1076-Q9593</t>
        </is>
      </c>
      <c r="C73" s="6" t="inlineStr">
        <is>
          <t>Huancabamba</t>
        </is>
      </c>
      <c r="D73" s="6" t="inlineStr">
        <is>
          <t>Huarmaca</t>
        </is>
      </c>
      <c r="E73" s="6" t="inlineStr">
        <is>
          <t>Zona agrícola</t>
        </is>
      </c>
      <c r="F73" s="6" t="inlineStr">
        <is>
          <t>Agri</t>
        </is>
      </c>
      <c r="G73" s="11" t="n">
        <v>28.83</v>
      </c>
      <c r="H73" s="11" t="n">
        <v>28.83</v>
      </c>
      <c r="I73" s="12">
        <f>H73/G73</f>
        <v/>
      </c>
    </row>
    <row r="74">
      <c r="A74" s="8" t="inlineStr">
        <is>
          <t>M12B1</t>
        </is>
      </c>
      <c r="B74" s="8" t="inlineStr">
        <is>
          <t>C1076-Q9588</t>
        </is>
      </c>
      <c r="C74" s="8" t="inlineStr">
        <is>
          <t>Huancabamba</t>
        </is>
      </c>
      <c r="D74" s="8" t="inlineStr">
        <is>
          <t>Huarmaca</t>
        </is>
      </c>
      <c r="E74" s="8" t="inlineStr">
        <is>
          <t>Bosque estacionalmente seco de colina y montaña</t>
        </is>
      </c>
      <c r="F74" s="8" t="inlineStr">
        <is>
          <t>Bes-cm</t>
        </is>
      </c>
      <c r="G74" s="15" t="n">
        <v>268.393</v>
      </c>
      <c r="H74" s="15" t="n">
        <v>268.34740001699</v>
      </c>
      <c r="I74" s="16">
        <f>H74/G74</f>
        <v/>
      </c>
    </row>
    <row r="75">
      <c r="A75" s="6" t="inlineStr">
        <is>
          <t>M12B1</t>
        </is>
      </c>
      <c r="B75" s="6" t="inlineStr">
        <is>
          <t>C1076-Q9588</t>
        </is>
      </c>
      <c r="C75" s="6" t="inlineStr">
        <is>
          <t>Huancabamba</t>
        </is>
      </c>
      <c r="D75" s="6" t="inlineStr">
        <is>
          <t>Huarmaca</t>
        </is>
      </c>
      <c r="E75" s="6" t="inlineStr">
        <is>
          <t>Zona agrícola</t>
        </is>
      </c>
      <c r="F75" s="6" t="inlineStr">
        <is>
          <t>Agri</t>
        </is>
      </c>
      <c r="G75" s="11" t="n">
        <v>268.393</v>
      </c>
      <c r="H75" s="11" t="n">
        <v>0.04559998300999541</v>
      </c>
      <c r="I75" s="12">
        <f>H75/G75</f>
        <v/>
      </c>
    </row>
    <row r="76">
      <c r="A76" s="8" t="inlineStr">
        <is>
          <t>M4B3</t>
        </is>
      </c>
      <c r="B76" s="8" t="inlineStr">
        <is>
          <t>C1076-Q9589</t>
        </is>
      </c>
      <c r="C76" s="8" t="inlineStr">
        <is>
          <t>Huancabamba</t>
        </is>
      </c>
      <c r="D76" s="8" t="inlineStr">
        <is>
          <t>Huarmaca</t>
        </is>
      </c>
      <c r="E76" s="8" t="inlineStr">
        <is>
          <t>Bosque estacionalmente seco de colina y montaña</t>
        </is>
      </c>
      <c r="F76" s="8" t="inlineStr">
        <is>
          <t>Bes-cm</t>
        </is>
      </c>
      <c r="G76" s="15" t="n">
        <v>234.069</v>
      </c>
      <c r="H76" s="15" t="n">
        <v>234.069</v>
      </c>
      <c r="I76" s="16">
        <f>H76/G76</f>
        <v/>
      </c>
    </row>
    <row r="77">
      <c r="A77" s="6" t="inlineStr">
        <is>
          <t>M4B4</t>
        </is>
      </c>
      <c r="B77" s="6" t="inlineStr">
        <is>
          <t>C1076-Q9589</t>
        </is>
      </c>
      <c r="C77" s="6" t="inlineStr">
        <is>
          <t>Huancabamba</t>
        </is>
      </c>
      <c r="D77" s="6" t="inlineStr">
        <is>
          <t>Huarmaca</t>
        </is>
      </c>
      <c r="E77" s="6" t="inlineStr">
        <is>
          <t>Bosque estacionalmente seco de colina y montaña</t>
        </is>
      </c>
      <c r="F77" s="6" t="inlineStr">
        <is>
          <t>Bes-cm</t>
        </is>
      </c>
      <c r="G77" s="11" t="n">
        <v>289.914</v>
      </c>
      <c r="H77" s="11" t="n">
        <v>289.914</v>
      </c>
      <c r="I77" s="12">
        <f>H77/G77</f>
        <v/>
      </c>
    </row>
    <row r="78">
      <c r="A78" s="8" t="inlineStr">
        <is>
          <t>26</t>
        </is>
      </c>
      <c r="B78" s="8" t="inlineStr">
        <is>
          <t>C1081-Q9591</t>
        </is>
      </c>
      <c r="C78" s="8" t="inlineStr">
        <is>
          <t>Huancabamba</t>
        </is>
      </c>
      <c r="D78" s="8" t="inlineStr">
        <is>
          <t>Lalaquiz</t>
        </is>
      </c>
      <c r="E78" s="8" t="inlineStr">
        <is>
          <t>Zona agrícola</t>
        </is>
      </c>
      <c r="F78" s="8" t="inlineStr">
        <is>
          <t>Agri</t>
        </is>
      </c>
      <c r="G78" s="15" t="n">
        <v>46.962</v>
      </c>
      <c r="H78" s="15" t="n">
        <v>46.962</v>
      </c>
      <c r="I78" s="16">
        <f>H78/G78</f>
        <v/>
      </c>
    </row>
    <row r="79">
      <c r="A79" s="6" t="inlineStr">
        <is>
          <t>34</t>
        </is>
      </c>
      <c r="B79" s="6" t="inlineStr">
        <is>
          <t>C1081-Q9590</t>
        </is>
      </c>
      <c r="C79" s="6" t="inlineStr">
        <is>
          <t>Huancabamba</t>
        </is>
      </c>
      <c r="D79" s="6" t="inlineStr">
        <is>
          <t>Lalaquiz</t>
        </is>
      </c>
      <c r="E79" s="6" t="inlineStr">
        <is>
          <t>Zona agrícola</t>
        </is>
      </c>
      <c r="F79" s="6" t="inlineStr">
        <is>
          <t>Agri</t>
        </is>
      </c>
      <c r="G79" s="11" t="n">
        <v>28.45</v>
      </c>
      <c r="H79" s="11" t="n">
        <v>26.9326213339707</v>
      </c>
      <c r="I79" s="12">
        <f>H79/G79</f>
        <v/>
      </c>
    </row>
    <row r="80">
      <c r="A80" s="8" t="inlineStr">
        <is>
          <t>34</t>
        </is>
      </c>
      <c r="B80" s="8" t="inlineStr">
        <is>
          <t>C1081-Q9590</t>
        </is>
      </c>
      <c r="C80" s="8" t="inlineStr">
        <is>
          <t>Huancabamba</t>
        </is>
      </c>
      <c r="D80" s="8" t="inlineStr">
        <is>
          <t>Lalaquiz</t>
        </is>
      </c>
      <c r="E80" s="8" t="inlineStr">
        <is>
          <t>Matorral andino</t>
        </is>
      </c>
      <c r="F80" s="8" t="inlineStr">
        <is>
          <t>Ma</t>
        </is>
      </c>
      <c r="G80" s="15" t="n">
        <v>28.45</v>
      </c>
      <c r="H80" s="15" t="n">
        <v>1.5173786660293</v>
      </c>
      <c r="I80" s="16">
        <f>H80/G80</f>
        <v/>
      </c>
    </row>
    <row r="81">
      <c r="A81" s="6" t="inlineStr">
        <is>
          <t>37</t>
        </is>
      </c>
      <c r="B81" s="6" t="inlineStr">
        <is>
          <t>C1081-Q9591</t>
        </is>
      </c>
      <c r="C81" s="6" t="inlineStr">
        <is>
          <t>Huancabamba</t>
        </is>
      </c>
      <c r="D81" s="6" t="inlineStr">
        <is>
          <t>Lalaquiz</t>
        </is>
      </c>
      <c r="E81" s="6" t="inlineStr">
        <is>
          <t>Matorral andino</t>
        </is>
      </c>
      <c r="F81" s="6" t="inlineStr">
        <is>
          <t>Ma</t>
        </is>
      </c>
      <c r="G81" s="11" t="n">
        <v>35.491</v>
      </c>
      <c r="H81" s="11" t="n">
        <v>21.2865</v>
      </c>
      <c r="I81" s="12">
        <f>H81/G81</f>
        <v/>
      </c>
    </row>
    <row r="82">
      <c r="A82" s="8" t="inlineStr">
        <is>
          <t>37</t>
        </is>
      </c>
      <c r="B82" s="8" t="inlineStr">
        <is>
          <t>C1081-Q9591</t>
        </is>
      </c>
      <c r="C82" s="8" t="inlineStr">
        <is>
          <t>Huancabamba</t>
        </is>
      </c>
      <c r="D82" s="8" t="inlineStr">
        <is>
          <t>Lalaquiz</t>
        </is>
      </c>
      <c r="E82" s="8" t="inlineStr">
        <is>
          <t>Zona agrícola</t>
        </is>
      </c>
      <c r="F82" s="8" t="inlineStr">
        <is>
          <t>Agri</t>
        </is>
      </c>
      <c r="G82" s="15" t="n">
        <v>35.491</v>
      </c>
      <c r="H82" s="15" t="n">
        <v>14.2045</v>
      </c>
      <c r="I82" s="16">
        <f>H82/G82</f>
        <v/>
      </c>
    </row>
    <row r="83">
      <c r="A83" s="6" t="inlineStr">
        <is>
          <t>38</t>
        </is>
      </c>
      <c r="B83" s="6" t="inlineStr">
        <is>
          <t>C1081-Q9590</t>
        </is>
      </c>
      <c r="C83" s="6" t="inlineStr">
        <is>
          <t>Huancabamba</t>
        </is>
      </c>
      <c r="D83" s="6" t="inlineStr">
        <is>
          <t>Lalaquiz</t>
        </is>
      </c>
      <c r="E83" s="6" t="inlineStr">
        <is>
          <t>Zona agrícola</t>
        </is>
      </c>
      <c r="F83" s="6" t="inlineStr">
        <is>
          <t>Agri</t>
        </is>
      </c>
      <c r="G83" s="11" t="n">
        <v>44.201</v>
      </c>
      <c r="H83" s="11" t="n">
        <v>39.69384901528264</v>
      </c>
      <c r="I83" s="12">
        <f>H83/G83</f>
        <v/>
      </c>
    </row>
    <row r="84">
      <c r="A84" s="8" t="inlineStr">
        <is>
          <t>38</t>
        </is>
      </c>
      <c r="B84" s="8" t="inlineStr">
        <is>
          <t>C1081-Q9590</t>
        </is>
      </c>
      <c r="C84" s="8" t="inlineStr">
        <is>
          <t>Huancabamba</t>
        </is>
      </c>
      <c r="D84" s="8" t="inlineStr">
        <is>
          <t>Lalaquiz</t>
        </is>
      </c>
      <c r="E84" s="8" t="inlineStr">
        <is>
          <t>Bosque estacionalmente seco de colina y montaña</t>
        </is>
      </c>
      <c r="F84" s="8" t="inlineStr">
        <is>
          <t>Bes-cm</t>
        </is>
      </c>
      <c r="G84" s="15" t="n">
        <v>44.201</v>
      </c>
      <c r="H84" s="15" t="n">
        <v>3.885443951991494</v>
      </c>
      <c r="I84" s="16">
        <f>H84/G84</f>
        <v/>
      </c>
    </row>
    <row r="85">
      <c r="A85" s="6" t="inlineStr">
        <is>
          <t>38</t>
        </is>
      </c>
      <c r="B85" s="6" t="inlineStr">
        <is>
          <t>C1081-Q9590</t>
        </is>
      </c>
      <c r="C85" s="6" t="inlineStr">
        <is>
          <t>Huancabamba</t>
        </is>
      </c>
      <c r="D85" s="6" t="inlineStr">
        <is>
          <t>Lalaquiz</t>
        </is>
      </c>
      <c r="E85" s="6" t="inlineStr">
        <is>
          <t>Matorral andino</t>
        </is>
      </c>
      <c r="F85" s="6" t="inlineStr">
        <is>
          <t>Ma</t>
        </is>
      </c>
      <c r="G85" s="11" t="n">
        <v>44.201</v>
      </c>
      <c r="H85" s="11" t="n">
        <v>0.6217070327258742</v>
      </c>
      <c r="I85" s="12">
        <f>H85/G85</f>
        <v/>
      </c>
    </row>
    <row r="86">
      <c r="A86" s="8" t="inlineStr">
        <is>
          <t>50</t>
        </is>
      </c>
      <c r="B86" s="8" t="inlineStr">
        <is>
          <t>C1081-Q9590</t>
        </is>
      </c>
      <c r="C86" s="8" t="inlineStr">
        <is>
          <t>Huancabamba</t>
        </is>
      </c>
      <c r="D86" s="8" t="inlineStr">
        <is>
          <t>Lalaquiz</t>
        </is>
      </c>
      <c r="E86" s="8" t="inlineStr">
        <is>
          <t>Matorral andino</t>
        </is>
      </c>
      <c r="F86" s="8" t="inlineStr">
        <is>
          <t>Ma</t>
        </is>
      </c>
      <c r="G86" s="15" t="n">
        <v>19.266</v>
      </c>
      <c r="H86" s="15" t="n">
        <v>18.44911696009633</v>
      </c>
      <c r="I86" s="16">
        <f>H86/G86</f>
        <v/>
      </c>
    </row>
    <row r="87">
      <c r="A87" s="6" t="inlineStr">
        <is>
          <t>50</t>
        </is>
      </c>
      <c r="B87" s="6" t="inlineStr">
        <is>
          <t>C1081-Q9590</t>
        </is>
      </c>
      <c r="C87" s="6" t="inlineStr">
        <is>
          <t>Huancabamba</t>
        </is>
      </c>
      <c r="D87" s="6" t="inlineStr">
        <is>
          <t>Lalaquiz</t>
        </is>
      </c>
      <c r="E87" s="6" t="inlineStr">
        <is>
          <t>Zona agrícola</t>
        </is>
      </c>
      <c r="F87" s="6" t="inlineStr">
        <is>
          <t>Agri</t>
        </is>
      </c>
      <c r="G87" s="11" t="n">
        <v>19.266</v>
      </c>
      <c r="H87" s="11" t="n">
        <v>0.8168830399036663</v>
      </c>
      <c r="I87" s="12">
        <f>H87/G87</f>
        <v/>
      </c>
    </row>
    <row r="88">
      <c r="A88" s="8" t="inlineStr">
        <is>
          <t>61</t>
        </is>
      </c>
      <c r="B88" s="8" t="inlineStr">
        <is>
          <t>C1081-Q9590</t>
        </is>
      </c>
      <c r="C88" s="8" t="inlineStr">
        <is>
          <t>Huancabamba</t>
        </is>
      </c>
      <c r="D88" s="8" t="inlineStr">
        <is>
          <t>Lalaquiz</t>
        </is>
      </c>
      <c r="E88" s="8" t="inlineStr">
        <is>
          <t>Zona agrícola</t>
        </is>
      </c>
      <c r="F88" s="8" t="inlineStr">
        <is>
          <t>Agri</t>
        </is>
      </c>
      <c r="G88" s="15" t="n">
        <v>26.826</v>
      </c>
      <c r="H88" s="15" t="n">
        <v>13.98795642984154</v>
      </c>
      <c r="I88" s="16">
        <f>H88/G88</f>
        <v/>
      </c>
    </row>
    <row r="89">
      <c r="A89" s="6" t="inlineStr">
        <is>
          <t>61</t>
        </is>
      </c>
      <c r="B89" s="6" t="inlineStr">
        <is>
          <t>C1081-Q9590</t>
        </is>
      </c>
      <c r="C89" s="6" t="inlineStr">
        <is>
          <t>Huancabamba</t>
        </is>
      </c>
      <c r="D89" s="6" t="inlineStr">
        <is>
          <t>Lalaquiz</t>
        </is>
      </c>
      <c r="E89" s="6" t="inlineStr">
        <is>
          <t>Matorral andino</t>
        </is>
      </c>
      <c r="F89" s="6" t="inlineStr">
        <is>
          <t>Ma</t>
        </is>
      </c>
      <c r="G89" s="11" t="n">
        <v>26.826</v>
      </c>
      <c r="H89" s="11" t="n">
        <v>12.83804357015847</v>
      </c>
      <c r="I89" s="12">
        <f>H89/G89</f>
        <v/>
      </c>
    </row>
    <row r="90">
      <c r="A90" s="8" t="inlineStr">
        <is>
          <t>35</t>
        </is>
      </c>
      <c r="B90" s="8" t="inlineStr">
        <is>
          <t>C1076-Q9586</t>
        </is>
      </c>
      <c r="C90" s="8" t="inlineStr">
        <is>
          <t>Huancabamba</t>
        </is>
      </c>
      <c r="D90" s="8" t="inlineStr">
        <is>
          <t>San Miguel de El Faique</t>
        </is>
      </c>
      <c r="E90" s="8" t="inlineStr">
        <is>
          <t>Zona agrícola</t>
        </is>
      </c>
      <c r="F90" s="8" t="inlineStr">
        <is>
          <t>Agri</t>
        </is>
      </c>
      <c r="G90" s="15" t="n">
        <v>30.804</v>
      </c>
      <c r="H90" s="15" t="n">
        <v>30.804</v>
      </c>
      <c r="I90" s="16">
        <f>H90/G90</f>
        <v/>
      </c>
    </row>
    <row r="91">
      <c r="A91" s="6" t="inlineStr">
        <is>
          <t>43</t>
        </is>
      </c>
      <c r="B91" s="6" t="inlineStr">
        <is>
          <t>C1076-Q9586</t>
        </is>
      </c>
      <c r="C91" s="6" t="inlineStr">
        <is>
          <t>Huancabamba</t>
        </is>
      </c>
      <c r="D91" s="6" t="inlineStr">
        <is>
          <t>San Miguel de El Faique</t>
        </is>
      </c>
      <c r="E91" s="6" t="inlineStr">
        <is>
          <t>Zona agrícola</t>
        </is>
      </c>
      <c r="F91" s="6" t="inlineStr">
        <is>
          <t>Agri</t>
        </is>
      </c>
      <c r="G91" s="11" t="n">
        <v>23.171</v>
      </c>
      <c r="H91" s="11" t="n">
        <v>23.171</v>
      </c>
      <c r="I91" s="12">
        <f>H91/G91</f>
        <v/>
      </c>
    </row>
    <row r="92">
      <c r="A92" s="8" t="inlineStr">
        <is>
          <t>44</t>
        </is>
      </c>
      <c r="B92" s="8" t="inlineStr">
        <is>
          <t>C1076-Q9586</t>
        </is>
      </c>
      <c r="C92" s="8" t="inlineStr">
        <is>
          <t>Huancabamba</t>
        </is>
      </c>
      <c r="D92" s="8" t="inlineStr">
        <is>
          <t>San Miguel de El Faique</t>
        </is>
      </c>
      <c r="E92" s="8" t="inlineStr">
        <is>
          <t>Páramo</t>
        </is>
      </c>
      <c r="F92" s="8" t="inlineStr">
        <is>
          <t>Pa</t>
        </is>
      </c>
      <c r="G92" s="15" t="n">
        <v>28.234</v>
      </c>
      <c r="H92" s="15" t="n">
        <v>26.89071427306503</v>
      </c>
      <c r="I92" s="16">
        <f>H92/G92</f>
        <v/>
      </c>
    </row>
    <row r="93">
      <c r="A93" s="6" t="inlineStr">
        <is>
          <t>44</t>
        </is>
      </c>
      <c r="B93" s="6" t="inlineStr">
        <is>
          <t>C1076-Q9586</t>
        </is>
      </c>
      <c r="C93" s="6" t="inlineStr">
        <is>
          <t>Huancabamba</t>
        </is>
      </c>
      <c r="D93" s="6" t="inlineStr">
        <is>
          <t>San Miguel de El Faique</t>
        </is>
      </c>
      <c r="E93" s="6" t="inlineStr">
        <is>
          <t>Matorral andino</t>
        </is>
      </c>
      <c r="F93" s="6" t="inlineStr">
        <is>
          <t>Ma</t>
        </is>
      </c>
      <c r="G93" s="11" t="n">
        <v>28.234</v>
      </c>
      <c r="H93" s="11" t="n">
        <v>1.343285726934969</v>
      </c>
      <c r="I93" s="12">
        <f>H93/G93</f>
        <v/>
      </c>
    </row>
    <row r="94">
      <c r="A94" s="8" t="inlineStr">
        <is>
          <t>47</t>
        </is>
      </c>
      <c r="B94" s="8" t="inlineStr">
        <is>
          <t>C1076-Q9586</t>
        </is>
      </c>
      <c r="C94" s="8" t="inlineStr">
        <is>
          <t>Huancabamba</t>
        </is>
      </c>
      <c r="D94" s="8" t="inlineStr">
        <is>
          <t>San Miguel de El Faique</t>
        </is>
      </c>
      <c r="E94" s="8" t="inlineStr">
        <is>
          <t>Matorral andino</t>
        </is>
      </c>
      <c r="F94" s="8" t="inlineStr">
        <is>
          <t>Ma</t>
        </is>
      </c>
      <c r="G94" s="15" t="n">
        <v>13.551</v>
      </c>
      <c r="H94" s="15" t="n">
        <v>7.325683759611552</v>
      </c>
      <c r="I94" s="16">
        <f>H94/G94</f>
        <v/>
      </c>
    </row>
    <row r="95">
      <c r="A95" s="6" t="inlineStr">
        <is>
          <t>47</t>
        </is>
      </c>
      <c r="B95" s="6" t="inlineStr">
        <is>
          <t>C1076-Q9586</t>
        </is>
      </c>
      <c r="C95" s="6" t="inlineStr">
        <is>
          <t>Huancabamba</t>
        </is>
      </c>
      <c r="D95" s="6" t="inlineStr">
        <is>
          <t>San Miguel de El Faique</t>
        </is>
      </c>
      <c r="E95" s="6" t="inlineStr">
        <is>
          <t>Zona agrícola</t>
        </is>
      </c>
      <c r="F95" s="6" t="inlineStr">
        <is>
          <t>Agri</t>
        </is>
      </c>
      <c r="G95" s="11" t="n">
        <v>13.551</v>
      </c>
      <c r="H95" s="11" t="n">
        <v>6.225316240388447</v>
      </c>
      <c r="I95" s="12">
        <f>H95/G95</f>
        <v/>
      </c>
    </row>
    <row r="96">
      <c r="A96" s="8" t="inlineStr">
        <is>
          <t>67</t>
        </is>
      </c>
      <c r="B96" s="8" t="inlineStr">
        <is>
          <t>C1076-Q9586</t>
        </is>
      </c>
      <c r="C96" s="8" t="inlineStr">
        <is>
          <t>Huancabamba</t>
        </is>
      </c>
      <c r="D96" s="8" t="inlineStr">
        <is>
          <t>San Miguel de El Faique</t>
        </is>
      </c>
      <c r="E96" s="8" t="inlineStr">
        <is>
          <t>Zona agrícola</t>
        </is>
      </c>
      <c r="F96" s="8" t="inlineStr">
        <is>
          <t>Agri</t>
        </is>
      </c>
      <c r="G96" s="15" t="n">
        <v>13.184</v>
      </c>
      <c r="H96" s="15" t="n">
        <v>12.26487908553744</v>
      </c>
      <c r="I96" s="16">
        <f>H96/G96</f>
        <v/>
      </c>
    </row>
    <row r="97">
      <c r="A97" s="6" t="inlineStr">
        <is>
          <t>67</t>
        </is>
      </c>
      <c r="B97" s="6" t="inlineStr">
        <is>
          <t>C1076-Q9586</t>
        </is>
      </c>
      <c r="C97" s="6" t="inlineStr">
        <is>
          <t>Huancabamba</t>
        </is>
      </c>
      <c r="D97" s="6" t="inlineStr">
        <is>
          <t>San Miguel de El Faique</t>
        </is>
      </c>
      <c r="E97" s="6" t="inlineStr">
        <is>
          <t>Bosque estacionalmente seco de colina y montaña</t>
        </is>
      </c>
      <c r="F97" s="6" t="inlineStr">
        <is>
          <t>Bes-cm</t>
        </is>
      </c>
      <c r="G97" s="11" t="n">
        <v>13.184</v>
      </c>
      <c r="H97" s="11" t="n">
        <v>0.9191209144625559</v>
      </c>
      <c r="I97" s="12">
        <f>H97/G97</f>
        <v/>
      </c>
    </row>
    <row r="98">
      <c r="A98" s="8" t="inlineStr">
        <is>
          <t>9</t>
        </is>
      </c>
      <c r="B98" s="8" t="inlineStr">
        <is>
          <t>C1076-Q9586</t>
        </is>
      </c>
      <c r="C98" s="8" t="inlineStr">
        <is>
          <t>Huancabamba</t>
        </is>
      </c>
      <c r="D98" s="8" t="inlineStr">
        <is>
          <t>San Miguel de El Faique</t>
        </is>
      </c>
      <c r="E98" s="8" t="inlineStr">
        <is>
          <t>Zona agrícola</t>
        </is>
      </c>
      <c r="F98" s="8" t="inlineStr">
        <is>
          <t>Agri</t>
        </is>
      </c>
      <c r="G98" s="15" t="n">
        <v>109.861</v>
      </c>
      <c r="H98" s="15" t="n">
        <v>109.861</v>
      </c>
      <c r="I98" s="16">
        <f>H98/G98</f>
        <v/>
      </c>
    </row>
    <row r="99">
      <c r="A99" s="6" t="inlineStr">
        <is>
          <t>M20B1</t>
        </is>
      </c>
      <c r="B99" s="6" t="inlineStr">
        <is>
          <t>C1076-Q9585</t>
        </is>
      </c>
      <c r="C99" s="6" t="inlineStr">
        <is>
          <t>Huancabamba</t>
        </is>
      </c>
      <c r="D99" s="6" t="inlineStr">
        <is>
          <t>San Miguel de El Faique</t>
        </is>
      </c>
      <c r="E99" s="6" t="inlineStr">
        <is>
          <t>Bosque estacionalmente seco de colina y montaña</t>
        </is>
      </c>
      <c r="F99" s="6" t="inlineStr">
        <is>
          <t>Bes-cm</t>
        </is>
      </c>
      <c r="G99" s="11" t="n">
        <v>279.68</v>
      </c>
      <c r="H99" s="11" t="n">
        <v>277.0977</v>
      </c>
      <c r="I99" s="12">
        <f>H99/G99</f>
        <v/>
      </c>
    </row>
    <row r="100">
      <c r="A100" s="8" t="inlineStr">
        <is>
          <t>M20B1</t>
        </is>
      </c>
      <c r="B100" s="8" t="inlineStr">
        <is>
          <t>C1076-Q9585</t>
        </is>
      </c>
      <c r="C100" s="8" t="inlineStr">
        <is>
          <t>Huancabamba</t>
        </is>
      </c>
      <c r="D100" s="8" t="inlineStr">
        <is>
          <t>San Miguel de El Faique</t>
        </is>
      </c>
      <c r="E100" s="8" t="inlineStr">
        <is>
          <t>Zona agrícola</t>
        </is>
      </c>
      <c r="F100" s="8" t="inlineStr">
        <is>
          <t>Agri</t>
        </is>
      </c>
      <c r="G100" s="15" t="n">
        <v>279.68</v>
      </c>
      <c r="H100" s="15" t="n">
        <v>2.5823</v>
      </c>
      <c r="I100" s="16">
        <f>H100/G100</f>
        <v/>
      </c>
    </row>
    <row r="101">
      <c r="A101" s="6" t="inlineStr">
        <is>
          <t>M22B1</t>
        </is>
      </c>
      <c r="B101" s="6" t="inlineStr">
        <is>
          <t>C1076-Q9586</t>
        </is>
      </c>
      <c r="C101" s="6" t="inlineStr">
        <is>
          <t>Huancabamba</t>
        </is>
      </c>
      <c r="D101" s="6" t="inlineStr">
        <is>
          <t>San Miguel de El Faique</t>
        </is>
      </c>
      <c r="E101" s="6" t="inlineStr">
        <is>
          <t>Páramo</t>
        </is>
      </c>
      <c r="F101" s="6" t="inlineStr">
        <is>
          <t>Pa</t>
        </is>
      </c>
      <c r="G101" s="11" t="n">
        <v>55.17</v>
      </c>
      <c r="H101" s="11" t="n">
        <v>44.89466275027279</v>
      </c>
      <c r="I101" s="12">
        <f>H101/G101</f>
        <v/>
      </c>
    </row>
    <row r="102">
      <c r="A102" s="8" t="inlineStr">
        <is>
          <t>M22B1</t>
        </is>
      </c>
      <c r="B102" s="8" t="inlineStr">
        <is>
          <t>C1076-Q9586</t>
        </is>
      </c>
      <c r="C102" s="8" t="inlineStr">
        <is>
          <t>Huancabamba</t>
        </is>
      </c>
      <c r="D102" s="8" t="inlineStr">
        <is>
          <t>San Miguel de El Faique</t>
        </is>
      </c>
      <c r="E102" s="8" t="inlineStr">
        <is>
          <t>Matorral andino</t>
        </is>
      </c>
      <c r="F102" s="8" t="inlineStr">
        <is>
          <t>Ma</t>
        </is>
      </c>
      <c r="G102" s="15" t="n">
        <v>55.17</v>
      </c>
      <c r="H102" s="15" t="n">
        <v>10.2753372497272</v>
      </c>
      <c r="I102" s="16">
        <f>H102/G102</f>
        <v/>
      </c>
    </row>
    <row r="103">
      <c r="A103" s="6" t="inlineStr">
        <is>
          <t>M2B8</t>
        </is>
      </c>
      <c r="B103" s="6" t="inlineStr">
        <is>
          <t>C1076-Q9584</t>
        </is>
      </c>
      <c r="C103" s="6" t="inlineStr">
        <is>
          <t>Huancabamba</t>
        </is>
      </c>
      <c r="D103" s="6" t="inlineStr">
        <is>
          <t>San Miguel de El Faique</t>
        </is>
      </c>
      <c r="E103" s="6" t="inlineStr">
        <is>
          <t>Bosque estacionalmente seco de colina y montaña</t>
        </is>
      </c>
      <c r="F103" s="6" t="inlineStr">
        <is>
          <t>Bes-cm</t>
        </is>
      </c>
      <c r="G103" s="11" t="n">
        <v>116.099</v>
      </c>
      <c r="H103" s="11" t="n">
        <v>116.099</v>
      </c>
      <c r="I103" s="12">
        <f>H103/G103</f>
        <v/>
      </c>
    </row>
    <row r="104">
      <c r="A104" s="8" t="inlineStr">
        <is>
          <t>5</t>
        </is>
      </c>
      <c r="B104" s="8" t="inlineStr">
        <is>
          <t>C1077-Q9566</t>
        </is>
      </c>
      <c r="C104" s="8" t="inlineStr">
        <is>
          <t>Morropón</t>
        </is>
      </c>
      <c r="D104" s="8" t="inlineStr">
        <is>
          <t>Buenos Aires</t>
        </is>
      </c>
      <c r="E104" s="8" t="inlineStr">
        <is>
          <t>Bosque estacionalmente seco de colina y montaña</t>
        </is>
      </c>
      <c r="F104" s="8" t="inlineStr">
        <is>
          <t>Bes-cm</t>
        </is>
      </c>
      <c r="G104" s="15" t="n">
        <v>295.726</v>
      </c>
      <c r="H104" s="15" t="n">
        <v>295.726</v>
      </c>
      <c r="I104" s="16">
        <f>H104/G104</f>
        <v/>
      </c>
    </row>
    <row r="105">
      <c r="A105" s="6" t="inlineStr">
        <is>
          <t>M18B1</t>
        </is>
      </c>
      <c r="B105" s="6" t="inlineStr">
        <is>
          <t>C1077-Q9579</t>
        </is>
      </c>
      <c r="C105" s="6" t="inlineStr">
        <is>
          <t>Morropón</t>
        </is>
      </c>
      <c r="D105" s="6" t="inlineStr">
        <is>
          <t>Buenos Aires</t>
        </is>
      </c>
      <c r="E105" s="6" t="inlineStr">
        <is>
          <t>Bosque estacionalmente seco de colina y montaña</t>
        </is>
      </c>
      <c r="F105" s="6" t="inlineStr">
        <is>
          <t>Bes-cm</t>
        </is>
      </c>
      <c r="G105" s="11" t="n">
        <v>160.36</v>
      </c>
      <c r="H105" s="11" t="n">
        <v>159.1413992400844</v>
      </c>
      <c r="I105" s="12">
        <f>H105/G105</f>
        <v/>
      </c>
    </row>
    <row r="106">
      <c r="A106" s="8" t="inlineStr">
        <is>
          <t>M18B1</t>
        </is>
      </c>
      <c r="B106" s="8" t="inlineStr">
        <is>
          <t>C1077-Q9579</t>
        </is>
      </c>
      <c r="C106" s="8" t="inlineStr">
        <is>
          <t>Morropón</t>
        </is>
      </c>
      <c r="D106" s="8" t="inlineStr">
        <is>
          <t>Buenos Aires</t>
        </is>
      </c>
      <c r="E106" s="8" t="inlineStr">
        <is>
          <t>Zona agrícola</t>
        </is>
      </c>
      <c r="F106" s="8" t="inlineStr">
        <is>
          <t>Agri</t>
        </is>
      </c>
      <c r="G106" s="15" t="n">
        <v>160.36</v>
      </c>
      <c r="H106" s="15" t="n">
        <v>1.218600759915665</v>
      </c>
      <c r="I106" s="16">
        <f>H106/G106</f>
        <v/>
      </c>
    </row>
    <row r="107">
      <c r="A107" s="6" t="inlineStr">
        <is>
          <t>M1B1</t>
        </is>
      </c>
      <c r="B107" s="6" t="inlineStr">
        <is>
          <t>C1077-Q9580</t>
        </is>
      </c>
      <c r="C107" s="6" t="inlineStr">
        <is>
          <t>Morropón</t>
        </is>
      </c>
      <c r="D107" s="6" t="inlineStr">
        <is>
          <t>Buenos Aires</t>
        </is>
      </c>
      <c r="E107" s="6" t="inlineStr">
        <is>
          <t>Bosque estacionalmente seco de colina y montaña</t>
        </is>
      </c>
      <c r="F107" s="6" t="inlineStr">
        <is>
          <t>Bes-cm</t>
        </is>
      </c>
      <c r="G107" s="11" t="n">
        <v>188.797</v>
      </c>
      <c r="H107" s="11" t="n">
        <v>188.797</v>
      </c>
      <c r="I107" s="12">
        <f>H107/G107</f>
        <v/>
      </c>
    </row>
    <row r="108">
      <c r="A108" s="8" t="inlineStr">
        <is>
          <t>M6B10</t>
        </is>
      </c>
      <c r="B108" s="8" t="inlineStr">
        <is>
          <t>C1077-Q9566</t>
        </is>
      </c>
      <c r="C108" s="8" t="inlineStr">
        <is>
          <t>Morropón</t>
        </is>
      </c>
      <c r="D108" s="8" t="inlineStr">
        <is>
          <t>Buenos Aires</t>
        </is>
      </c>
      <c r="E108" s="8" t="inlineStr">
        <is>
          <t>Bosque estacionalmente seco de colina y montaña</t>
        </is>
      </c>
      <c r="F108" s="8" t="inlineStr">
        <is>
          <t>Bes-cm</t>
        </is>
      </c>
      <c r="G108" s="15" t="n">
        <v>249.89</v>
      </c>
      <c r="H108" s="15" t="n">
        <v>249.89</v>
      </c>
      <c r="I108" s="16">
        <f>H108/G108</f>
        <v/>
      </c>
    </row>
    <row r="109">
      <c r="A109" s="6" t="inlineStr">
        <is>
          <t>M6B2-1</t>
        </is>
      </c>
      <c r="B109" s="6" t="inlineStr">
        <is>
          <t>C1077-Q9566</t>
        </is>
      </c>
      <c r="C109" s="6" t="inlineStr">
        <is>
          <t>Morropón</t>
        </is>
      </c>
      <c r="D109" s="6" t="inlineStr">
        <is>
          <t>Buenos Aires</t>
        </is>
      </c>
      <c r="E109" s="6" t="inlineStr">
        <is>
          <t>Bosque estacionalmente seco de colina y montaña</t>
        </is>
      </c>
      <c r="F109" s="6" t="inlineStr">
        <is>
          <t>Bes-cm</t>
        </is>
      </c>
      <c r="G109" s="11" t="n">
        <v>514.359</v>
      </c>
      <c r="H109" s="11" t="n">
        <v>514.359</v>
      </c>
      <c r="I109" s="12">
        <f>H109/G109</f>
        <v/>
      </c>
    </row>
    <row r="110">
      <c r="A110" s="8" t="inlineStr">
        <is>
          <t>M6B2-2</t>
        </is>
      </c>
      <c r="B110" s="8" t="inlineStr">
        <is>
          <t>C1077-Q9566</t>
        </is>
      </c>
      <c r="C110" s="8" t="inlineStr">
        <is>
          <t>Morropón</t>
        </is>
      </c>
      <c r="D110" s="8" t="inlineStr">
        <is>
          <t>Buenos Aires</t>
        </is>
      </c>
      <c r="E110" s="8" t="inlineStr">
        <is>
          <t>Bosque estacionalmente seco de colina y montaña</t>
        </is>
      </c>
      <c r="F110" s="8" t="inlineStr">
        <is>
          <t>Bes-cm</t>
        </is>
      </c>
      <c r="G110" s="15" t="n">
        <v>333.011</v>
      </c>
      <c r="H110" s="15" t="n">
        <v>333.011</v>
      </c>
      <c r="I110" s="16">
        <f>H110/G110</f>
        <v/>
      </c>
    </row>
    <row r="111">
      <c r="A111" s="6" t="inlineStr">
        <is>
          <t>M6B2-3</t>
        </is>
      </c>
      <c r="B111" s="6" t="inlineStr">
        <is>
          <t>C1077-Q9566</t>
        </is>
      </c>
      <c r="C111" s="6" t="inlineStr">
        <is>
          <t>Morropón</t>
        </is>
      </c>
      <c r="D111" s="6" t="inlineStr">
        <is>
          <t>Buenos Aires</t>
        </is>
      </c>
      <c r="E111" s="6" t="inlineStr">
        <is>
          <t>Bosque estacionalmente seco de colina y montaña</t>
        </is>
      </c>
      <c r="F111" s="6" t="inlineStr">
        <is>
          <t>Bes-cm</t>
        </is>
      </c>
      <c r="G111" s="11" t="n">
        <v>160.978</v>
      </c>
      <c r="H111" s="11" t="n">
        <v>160.6706007638292</v>
      </c>
      <c r="I111" s="12">
        <f>H111/G111</f>
        <v/>
      </c>
    </row>
    <row r="112">
      <c r="A112" s="8" t="inlineStr">
        <is>
          <t>M6B2-3</t>
        </is>
      </c>
      <c r="B112" s="8" t="inlineStr">
        <is>
          <t>C1077-Q9566</t>
        </is>
      </c>
      <c r="C112" s="8" t="inlineStr">
        <is>
          <t>Morropón</t>
        </is>
      </c>
      <c r="D112" s="8" t="inlineStr">
        <is>
          <t>Buenos Aires</t>
        </is>
      </c>
      <c r="E112" s="8" t="inlineStr">
        <is>
          <t>Sin información de ecosistema</t>
        </is>
      </c>
      <c r="F112" s="8" t="inlineStr"/>
      <c r="G112" s="15" t="n">
        <v>160.978</v>
      </c>
      <c r="H112" s="15" t="n">
        <v>0.3073992361708155</v>
      </c>
      <c r="I112" s="16">
        <f>H112/G112</f>
        <v/>
      </c>
    </row>
    <row r="113">
      <c r="A113" s="6" t="inlineStr">
        <is>
          <t>57</t>
        </is>
      </c>
      <c r="B113" s="6" t="inlineStr">
        <is>
          <t>C1086-Q9576</t>
        </is>
      </c>
      <c r="C113" s="6" t="inlineStr">
        <is>
          <t>Morropón</t>
        </is>
      </c>
      <c r="D113" s="6" t="inlineStr">
        <is>
          <t>Chalaco</t>
        </is>
      </c>
      <c r="E113" s="6" t="inlineStr">
        <is>
          <t>Matorral andino</t>
        </is>
      </c>
      <c r="F113" s="6" t="inlineStr">
        <is>
          <t>Ma</t>
        </is>
      </c>
      <c r="G113" s="11" t="n">
        <v>25.668</v>
      </c>
      <c r="H113" s="11" t="n">
        <v>21.26108283108474</v>
      </c>
      <c r="I113" s="12">
        <f>H113/G113</f>
        <v/>
      </c>
    </row>
    <row r="114">
      <c r="A114" s="8" t="inlineStr">
        <is>
          <t>57</t>
        </is>
      </c>
      <c r="B114" s="8" t="inlineStr">
        <is>
          <t>C1086-Q9576</t>
        </is>
      </c>
      <c r="C114" s="8" t="inlineStr">
        <is>
          <t>Morropón</t>
        </is>
      </c>
      <c r="D114" s="8" t="inlineStr">
        <is>
          <t>Chalaco</t>
        </is>
      </c>
      <c r="E114" s="8" t="inlineStr">
        <is>
          <t>Zona agrícola</t>
        </is>
      </c>
      <c r="F114" s="8" t="inlineStr">
        <is>
          <t>Agri</t>
        </is>
      </c>
      <c r="G114" s="15" t="n">
        <v>25.668</v>
      </c>
      <c r="H114" s="15" t="n">
        <v>4.40691716891526</v>
      </c>
      <c r="I114" s="16">
        <f>H114/G114</f>
        <v/>
      </c>
    </row>
    <row r="115">
      <c r="A115" s="6" t="inlineStr">
        <is>
          <t>59</t>
        </is>
      </c>
      <c r="B115" s="6" t="inlineStr">
        <is>
          <t>C1086-Q9570</t>
        </is>
      </c>
      <c r="C115" s="6" t="inlineStr">
        <is>
          <t>Morropón</t>
        </is>
      </c>
      <c r="D115" s="6" t="inlineStr">
        <is>
          <t>Chalaco</t>
        </is>
      </c>
      <c r="E115" s="6" t="inlineStr">
        <is>
          <t>Bosque relicto montano de vertiente occidental</t>
        </is>
      </c>
      <c r="F115" s="6" t="inlineStr">
        <is>
          <t>Br-mvoc</t>
        </is>
      </c>
      <c r="G115" s="11" t="n">
        <v>13.554</v>
      </c>
      <c r="H115" s="11" t="n">
        <v>8.1272</v>
      </c>
      <c r="I115" s="12">
        <f>H115/G115</f>
        <v/>
      </c>
    </row>
    <row r="116">
      <c r="A116" s="8" t="inlineStr">
        <is>
          <t>59</t>
        </is>
      </c>
      <c r="B116" s="8" t="inlineStr">
        <is>
          <t>C1086-Q9570</t>
        </is>
      </c>
      <c r="C116" s="8" t="inlineStr">
        <is>
          <t>Morropón</t>
        </is>
      </c>
      <c r="D116" s="8" t="inlineStr">
        <is>
          <t>Chalaco</t>
        </is>
      </c>
      <c r="E116" s="8" t="inlineStr">
        <is>
          <t>Zona agrícola</t>
        </is>
      </c>
      <c r="F116" s="8" t="inlineStr">
        <is>
          <t>Agri</t>
        </is>
      </c>
      <c r="G116" s="15" t="n">
        <v>13.554</v>
      </c>
      <c r="H116" s="15" t="n">
        <v>5.4268</v>
      </c>
      <c r="I116" s="16">
        <f>H116/G116</f>
        <v/>
      </c>
    </row>
    <row r="117">
      <c r="A117" s="6" t="inlineStr">
        <is>
          <t>2</t>
        </is>
      </c>
      <c r="B117" s="6" t="inlineStr">
        <is>
          <t>C1096-Q9558</t>
        </is>
      </c>
      <c r="C117" s="6" t="inlineStr">
        <is>
          <t>Morropón</t>
        </is>
      </c>
      <c r="D117" s="6" t="inlineStr">
        <is>
          <t>Chulucanas</t>
        </is>
      </c>
      <c r="E117" s="6" t="inlineStr">
        <is>
          <t>Bosque estacionalmente seco de colina y montaña</t>
        </is>
      </c>
      <c r="F117" s="6" t="inlineStr">
        <is>
          <t>Bes-cm</t>
        </is>
      </c>
      <c r="G117" s="11" t="n">
        <v>330.599</v>
      </c>
      <c r="H117" s="11" t="n">
        <v>330.599</v>
      </c>
      <c r="I117" s="12">
        <f>H117/G117</f>
        <v/>
      </c>
    </row>
    <row r="118">
      <c r="A118" s="8" t="inlineStr">
        <is>
          <t>22</t>
        </is>
      </c>
      <c r="B118" s="8" t="inlineStr">
        <is>
          <t>C1096-Q9556</t>
        </is>
      </c>
      <c r="C118" s="8" t="inlineStr">
        <is>
          <t>Morropón</t>
        </is>
      </c>
      <c r="D118" s="8" t="inlineStr">
        <is>
          <t>Chulucanas</t>
        </is>
      </c>
      <c r="E118" s="8" t="inlineStr">
        <is>
          <t>Bosque estacionalmente seco de colina y montaña</t>
        </is>
      </c>
      <c r="F118" s="8" t="inlineStr">
        <is>
          <t>Bes-cm</t>
        </is>
      </c>
      <c r="G118" s="15" t="n">
        <v>79.33</v>
      </c>
      <c r="H118" s="15" t="n">
        <v>79.33</v>
      </c>
      <c r="I118" s="16">
        <f>H118/G118</f>
        <v/>
      </c>
    </row>
    <row r="119">
      <c r="A119" s="6" t="inlineStr">
        <is>
          <t>M10B4</t>
        </is>
      </c>
      <c r="B119" s="6" t="inlineStr">
        <is>
          <t>C1096-Q9547</t>
        </is>
      </c>
      <c r="C119" s="6" t="inlineStr">
        <is>
          <t>Morropón</t>
        </is>
      </c>
      <c r="D119" s="6" t="inlineStr">
        <is>
          <t>Chulucanas</t>
        </is>
      </c>
      <c r="E119" s="6" t="inlineStr">
        <is>
          <t>Bosque estacionalmente seco de colina y montaña</t>
        </is>
      </c>
      <c r="F119" s="6" t="inlineStr">
        <is>
          <t>Bes-cm</t>
        </is>
      </c>
      <c r="G119" s="11" t="n">
        <v>68.887</v>
      </c>
      <c r="H119" s="11" t="n">
        <v>68.45829688835983</v>
      </c>
      <c r="I119" s="12">
        <f>H119/G119</f>
        <v/>
      </c>
    </row>
    <row r="120">
      <c r="A120" s="8" t="inlineStr">
        <is>
          <t>M10B4</t>
        </is>
      </c>
      <c r="B120" s="8" t="inlineStr">
        <is>
          <t>C1096-Q9547</t>
        </is>
      </c>
      <c r="C120" s="8" t="inlineStr">
        <is>
          <t>Morropón</t>
        </is>
      </c>
      <c r="D120" s="8" t="inlineStr">
        <is>
          <t>Chulucanas</t>
        </is>
      </c>
      <c r="E120" s="8" t="inlineStr">
        <is>
          <t>Sin información de ecosistema</t>
        </is>
      </c>
      <c r="F120" s="8" t="inlineStr"/>
      <c r="G120" s="15" t="n">
        <v>68.887</v>
      </c>
      <c r="H120" s="15" t="n">
        <v>0.4287031116401617</v>
      </c>
      <c r="I120" s="16">
        <f>H120/G120</f>
        <v/>
      </c>
    </row>
    <row r="121">
      <c r="A121" s="6" t="inlineStr">
        <is>
          <t>M17B1</t>
        </is>
      </c>
      <c r="B121" s="6" t="inlineStr">
        <is>
          <t>C1096-Q9556</t>
        </is>
      </c>
      <c r="C121" s="6" t="inlineStr">
        <is>
          <t>Morropón</t>
        </is>
      </c>
      <c r="D121" s="6" t="inlineStr">
        <is>
          <t>Chulucanas</t>
        </is>
      </c>
      <c r="E121" s="6" t="inlineStr">
        <is>
          <t>Bosque estacionalmente seco de colina y montaña</t>
        </is>
      </c>
      <c r="F121" s="6" t="inlineStr">
        <is>
          <t>Bes-cm</t>
        </is>
      </c>
      <c r="G121" s="11" t="n">
        <v>42.449</v>
      </c>
      <c r="H121" s="11" t="n">
        <v>42.449</v>
      </c>
      <c r="I121" s="12">
        <f>H121/G121</f>
        <v/>
      </c>
    </row>
    <row r="122">
      <c r="A122" s="8" t="inlineStr">
        <is>
          <t>M17B4</t>
        </is>
      </c>
      <c r="B122" s="8" t="inlineStr">
        <is>
          <t>C1096-Q9556</t>
        </is>
      </c>
      <c r="C122" s="8" t="inlineStr">
        <is>
          <t>Morropón</t>
        </is>
      </c>
      <c r="D122" s="8" t="inlineStr">
        <is>
          <t>Chulucanas</t>
        </is>
      </c>
      <c r="E122" s="8" t="inlineStr">
        <is>
          <t>Bosque estacionalmente seco de colina y montaña</t>
        </is>
      </c>
      <c r="F122" s="8" t="inlineStr">
        <is>
          <t>Bes-cm</t>
        </is>
      </c>
      <c r="G122" s="15" t="n">
        <v>124.709</v>
      </c>
      <c r="H122" s="15" t="n">
        <v>124.709</v>
      </c>
      <c r="I122" s="16">
        <f>H122/G122</f>
        <v/>
      </c>
    </row>
    <row r="123">
      <c r="A123" s="6" t="inlineStr">
        <is>
          <t>M27B1</t>
        </is>
      </c>
      <c r="B123" s="6" t="inlineStr">
        <is>
          <t>C1096-Q9557</t>
        </is>
      </c>
      <c r="C123" s="6" t="inlineStr">
        <is>
          <t>Morropón</t>
        </is>
      </c>
      <c r="D123" s="6" t="inlineStr">
        <is>
          <t>Chulucanas</t>
        </is>
      </c>
      <c r="E123" s="6" t="inlineStr">
        <is>
          <t>Bosque estacionalmente seco de colina y montaña</t>
        </is>
      </c>
      <c r="F123" s="6" t="inlineStr">
        <is>
          <t>Bes-cm</t>
        </is>
      </c>
      <c r="G123" s="11" t="n">
        <v>448.804</v>
      </c>
      <c r="H123" s="11" t="n">
        <v>443.8303966754285</v>
      </c>
      <c r="I123" s="12">
        <f>H123/G123</f>
        <v/>
      </c>
    </row>
    <row r="124">
      <c r="A124" s="8" t="inlineStr">
        <is>
          <t>M27B1</t>
        </is>
      </c>
      <c r="B124" s="8" t="inlineStr">
        <is>
          <t>C1096-Q9557</t>
        </is>
      </c>
      <c r="C124" s="8" t="inlineStr">
        <is>
          <t>Morropón</t>
        </is>
      </c>
      <c r="D124" s="8" t="inlineStr">
        <is>
          <t>Chulucanas</t>
        </is>
      </c>
      <c r="E124" s="8" t="inlineStr">
        <is>
          <t>Zona agrícola</t>
        </is>
      </c>
      <c r="F124" s="8" t="inlineStr">
        <is>
          <t>Agri</t>
        </is>
      </c>
      <c r="G124" s="15" t="n">
        <v>448.804</v>
      </c>
      <c r="H124" s="15" t="n">
        <v>4.973603324571522</v>
      </c>
      <c r="I124" s="16">
        <f>H124/G124</f>
        <v/>
      </c>
    </row>
    <row r="125">
      <c r="A125" s="6" t="inlineStr">
        <is>
          <t>M9B1</t>
        </is>
      </c>
      <c r="B125" s="6" t="inlineStr">
        <is>
          <t>C1096-Q9545</t>
        </is>
      </c>
      <c r="C125" s="6" t="inlineStr">
        <is>
          <t>Morropón</t>
        </is>
      </c>
      <c r="D125" s="6" t="inlineStr">
        <is>
          <t>Chulucanas</t>
        </is>
      </c>
      <c r="E125" s="6" t="inlineStr">
        <is>
          <t>Bosque estacionalmente seco de colina y montaña</t>
        </is>
      </c>
      <c r="F125" s="6" t="inlineStr">
        <is>
          <t>Bes-cm</t>
        </is>
      </c>
      <c r="G125" s="11" t="n">
        <v>355.364</v>
      </c>
      <c r="H125" s="11" t="n">
        <v>355.364</v>
      </c>
      <c r="I125" s="12">
        <f>H125/G125</f>
        <v/>
      </c>
    </row>
    <row r="126">
      <c r="A126" s="8" t="inlineStr">
        <is>
          <t>M19B2</t>
        </is>
      </c>
      <c r="B126" s="8" t="inlineStr">
        <is>
          <t>C1086-Q9570</t>
        </is>
      </c>
      <c r="C126" s="8" t="inlineStr">
        <is>
          <t>Morropón</t>
        </is>
      </c>
      <c r="D126" s="8" t="inlineStr">
        <is>
          <t>Morropón</t>
        </is>
      </c>
      <c r="E126" s="8" t="inlineStr">
        <is>
          <t>Bosque estacionalmente seco de colina y montaña</t>
        </is>
      </c>
      <c r="F126" s="8" t="inlineStr">
        <is>
          <t>Bes-cm</t>
        </is>
      </c>
      <c r="G126" s="15" t="n">
        <v>74.372</v>
      </c>
      <c r="H126" s="15" t="n">
        <v>74.372</v>
      </c>
      <c r="I126" s="16">
        <f>H126/G126</f>
        <v/>
      </c>
    </row>
    <row r="127">
      <c r="A127" s="6" t="inlineStr">
        <is>
          <t>M32B3</t>
        </is>
      </c>
      <c r="B127" s="6" t="inlineStr">
        <is>
          <t>C1086-Q9569</t>
        </is>
      </c>
      <c r="C127" s="6" t="inlineStr">
        <is>
          <t>Morropón</t>
        </is>
      </c>
      <c r="D127" s="6" t="inlineStr">
        <is>
          <t>Morropón</t>
        </is>
      </c>
      <c r="E127" s="6" t="inlineStr">
        <is>
          <t>Bosque estacionalmente seco de colina y montaña</t>
        </is>
      </c>
      <c r="F127" s="6" t="inlineStr">
        <is>
          <t>Bes-cm</t>
        </is>
      </c>
      <c r="G127" s="11" t="n">
        <v>50.972</v>
      </c>
      <c r="H127" s="11" t="n">
        <v>50.972</v>
      </c>
      <c r="I127" s="12">
        <f>H127/G127</f>
        <v/>
      </c>
    </row>
    <row r="128">
      <c r="A128" s="8" t="inlineStr">
        <is>
          <t>M18B3</t>
        </is>
      </c>
      <c r="B128" s="8" t="inlineStr">
        <is>
          <t>C1077-Q9579</t>
        </is>
      </c>
      <c r="C128" s="8" t="inlineStr">
        <is>
          <t>Morropón</t>
        </is>
      </c>
      <c r="D128" s="8" t="inlineStr">
        <is>
          <t>Salitral</t>
        </is>
      </c>
      <c r="E128" s="8" t="inlineStr">
        <is>
          <t>Bosque estacionalmente seco de colina y montaña</t>
        </is>
      </c>
      <c r="F128" s="8" t="inlineStr">
        <is>
          <t>Bes-cm</t>
        </is>
      </c>
      <c r="G128" s="15" t="n">
        <v>373.807</v>
      </c>
      <c r="H128" s="15" t="n">
        <v>373.6991</v>
      </c>
      <c r="I128" s="16">
        <f>H128/G128</f>
        <v/>
      </c>
    </row>
    <row r="129">
      <c r="A129" s="6" t="inlineStr">
        <is>
          <t>M18B3</t>
        </is>
      </c>
      <c r="B129" s="6" t="inlineStr">
        <is>
          <t>C1077-Q9579</t>
        </is>
      </c>
      <c r="C129" s="6" t="inlineStr">
        <is>
          <t>Morropón</t>
        </is>
      </c>
      <c r="D129" s="6" t="inlineStr">
        <is>
          <t>Salitral</t>
        </is>
      </c>
      <c r="E129" s="6" t="inlineStr">
        <is>
          <t>Zona agrícola</t>
        </is>
      </c>
      <c r="F129" s="6" t="inlineStr">
        <is>
          <t>Agri</t>
        </is>
      </c>
      <c r="G129" s="11" t="n">
        <v>373.807</v>
      </c>
      <c r="H129" s="11" t="n">
        <v>0.1079</v>
      </c>
      <c r="I129" s="12">
        <f>H129/G129</f>
        <v/>
      </c>
    </row>
    <row r="130">
      <c r="A130" s="8" t="inlineStr">
        <is>
          <t>M2B1</t>
        </is>
      </c>
      <c r="B130" s="8" t="inlineStr">
        <is>
          <t>C1076-Q9584</t>
        </is>
      </c>
      <c r="C130" s="8" t="inlineStr">
        <is>
          <t>Morropón</t>
        </is>
      </c>
      <c r="D130" s="8" t="inlineStr">
        <is>
          <t>Salitral</t>
        </is>
      </c>
      <c r="E130" s="8" t="inlineStr">
        <is>
          <t>Bosque estacionalmente seco de colina y montaña</t>
        </is>
      </c>
      <c r="F130" s="8" t="inlineStr">
        <is>
          <t>Bes-cm</t>
        </is>
      </c>
      <c r="G130" s="15" t="n">
        <v>81.795</v>
      </c>
      <c r="H130" s="15" t="n">
        <v>81.795</v>
      </c>
      <c r="I130" s="16">
        <f>H130/G130</f>
        <v/>
      </c>
    </row>
    <row r="131">
      <c r="A131" s="6" t="inlineStr">
        <is>
          <t>M2B5</t>
        </is>
      </c>
      <c r="B131" s="6" t="inlineStr">
        <is>
          <t>C1076-Q9584</t>
        </is>
      </c>
      <c r="C131" s="6" t="inlineStr">
        <is>
          <t>Morropón</t>
        </is>
      </c>
      <c r="D131" s="6" t="inlineStr">
        <is>
          <t>Salitral</t>
        </is>
      </c>
      <c r="E131" s="6" t="inlineStr">
        <is>
          <t>Bosque estacionalmente seco de colina y montaña</t>
        </is>
      </c>
      <c r="F131" s="6" t="inlineStr">
        <is>
          <t>Bes-cm</t>
        </is>
      </c>
      <c r="G131" s="11" t="n">
        <v>30.909</v>
      </c>
      <c r="H131" s="11" t="n">
        <v>30.37059303235992</v>
      </c>
      <c r="I131" s="12">
        <f>H131/G131</f>
        <v/>
      </c>
    </row>
    <row r="132">
      <c r="A132" s="8" t="inlineStr">
        <is>
          <t>M2B5</t>
        </is>
      </c>
      <c r="B132" s="8" t="inlineStr">
        <is>
          <t>C1076-Q9584</t>
        </is>
      </c>
      <c r="C132" s="8" t="inlineStr">
        <is>
          <t>Morropón</t>
        </is>
      </c>
      <c r="D132" s="8" t="inlineStr">
        <is>
          <t>Salitral</t>
        </is>
      </c>
      <c r="E132" s="8" t="inlineStr">
        <is>
          <t>Zona agrícola</t>
        </is>
      </c>
      <c r="F132" s="8" t="inlineStr">
        <is>
          <t>Agri</t>
        </is>
      </c>
      <c r="G132" s="15" t="n">
        <v>30.909</v>
      </c>
      <c r="H132" s="15" t="n">
        <v>0.5384069676400742</v>
      </c>
      <c r="I132" s="16">
        <f>H132/G132</f>
        <v/>
      </c>
    </row>
    <row r="133">
      <c r="A133" s="6" t="inlineStr">
        <is>
          <t>M3B1</t>
        </is>
      </c>
      <c r="B133" s="6" t="inlineStr">
        <is>
          <t>C1081-Q9582</t>
        </is>
      </c>
      <c r="C133" s="6" t="inlineStr">
        <is>
          <t>Morropón</t>
        </is>
      </c>
      <c r="D133" s="6" t="inlineStr">
        <is>
          <t>Salitral</t>
        </is>
      </c>
      <c r="E133" s="6" t="inlineStr">
        <is>
          <t>Bosque estacionalmente seco de colina y montaña</t>
        </is>
      </c>
      <c r="F133" s="6" t="inlineStr">
        <is>
          <t>Bes-cm</t>
        </is>
      </c>
      <c r="G133" s="11" t="n">
        <v>80.983</v>
      </c>
      <c r="H133" s="11" t="n">
        <v>80.9689</v>
      </c>
      <c r="I133" s="12">
        <f>H133/G133</f>
        <v/>
      </c>
    </row>
    <row r="134">
      <c r="A134" s="8" t="inlineStr">
        <is>
          <t>M3B1</t>
        </is>
      </c>
      <c r="B134" s="8" t="inlineStr">
        <is>
          <t>C1081-Q9582</t>
        </is>
      </c>
      <c r="C134" s="8" t="inlineStr">
        <is>
          <t>Morropón</t>
        </is>
      </c>
      <c r="D134" s="8" t="inlineStr">
        <is>
          <t>Salitral</t>
        </is>
      </c>
      <c r="E134" s="8" t="inlineStr">
        <is>
          <t>Zona agrícola</t>
        </is>
      </c>
      <c r="F134" s="8" t="inlineStr">
        <is>
          <t>Agri</t>
        </is>
      </c>
      <c r="G134" s="15" t="n">
        <v>80.983</v>
      </c>
      <c r="H134" s="15" t="n">
        <v>0.0141</v>
      </c>
      <c r="I134" s="16">
        <f>H134/G134</f>
        <v/>
      </c>
    </row>
    <row r="135">
      <c r="A135" s="6" t="inlineStr">
        <is>
          <t>M3B9</t>
        </is>
      </c>
      <c r="B135" s="6" t="inlineStr">
        <is>
          <t>C1081-Q9582</t>
        </is>
      </c>
      <c r="C135" s="6" t="inlineStr">
        <is>
          <t>Morropón</t>
        </is>
      </c>
      <c r="D135" s="6" t="inlineStr">
        <is>
          <t>Salitral</t>
        </is>
      </c>
      <c r="E135" s="6" t="inlineStr">
        <is>
          <t>Bosque estacionalmente seco de colina y montaña</t>
        </is>
      </c>
      <c r="F135" s="6" t="inlineStr">
        <is>
          <t>Bes-cm</t>
        </is>
      </c>
      <c r="G135" s="11" t="n">
        <v>294.204</v>
      </c>
      <c r="H135" s="11" t="n">
        <v>294.1011000699514</v>
      </c>
      <c r="I135" s="12">
        <f>H135/G135</f>
        <v/>
      </c>
    </row>
    <row r="136">
      <c r="A136" s="8" t="inlineStr">
        <is>
          <t>M3B9</t>
        </is>
      </c>
      <c r="B136" s="8" t="inlineStr">
        <is>
          <t>C1081-Q9582</t>
        </is>
      </c>
      <c r="C136" s="8" t="inlineStr">
        <is>
          <t>Morropón</t>
        </is>
      </c>
      <c r="D136" s="8" t="inlineStr">
        <is>
          <t>Salitral</t>
        </is>
      </c>
      <c r="E136" s="8" t="inlineStr">
        <is>
          <t>Zona agrícola</t>
        </is>
      </c>
      <c r="F136" s="8" t="inlineStr">
        <is>
          <t>Agri</t>
        </is>
      </c>
      <c r="G136" s="15" t="n">
        <v>294.204</v>
      </c>
      <c r="H136" s="15" t="n">
        <v>0.1028999300485853</v>
      </c>
      <c r="I136" s="16">
        <f>H136/G136</f>
        <v/>
      </c>
    </row>
    <row r="137">
      <c r="A137" s="6" t="inlineStr">
        <is>
          <t>M7B1</t>
        </is>
      </c>
      <c r="B137" s="6" t="inlineStr">
        <is>
          <t>C1076-Q9581</t>
        </is>
      </c>
      <c r="C137" s="6" t="inlineStr">
        <is>
          <t>Morropón</t>
        </is>
      </c>
      <c r="D137" s="6" t="inlineStr">
        <is>
          <t>Salitral</t>
        </is>
      </c>
      <c r="E137" s="6" t="inlineStr">
        <is>
          <t>Bosque estacionalmente seco de colina y montaña</t>
        </is>
      </c>
      <c r="F137" s="6" t="inlineStr">
        <is>
          <t>Bes-cm</t>
        </is>
      </c>
      <c r="G137" s="11" t="n">
        <v>130.425</v>
      </c>
      <c r="H137" s="11" t="n">
        <v>130.425</v>
      </c>
      <c r="I137" s="12">
        <f>H137/G137</f>
        <v/>
      </c>
    </row>
    <row r="138">
      <c r="A138" s="8" t="inlineStr">
        <is>
          <t>M7B2</t>
        </is>
      </c>
      <c r="B138" s="8" t="inlineStr">
        <is>
          <t>C1076-Q9581</t>
        </is>
      </c>
      <c r="C138" s="8" t="inlineStr">
        <is>
          <t>Morropón</t>
        </is>
      </c>
      <c r="D138" s="8" t="inlineStr">
        <is>
          <t>Salitral</t>
        </is>
      </c>
      <c r="E138" s="8" t="inlineStr">
        <is>
          <t>Bosque estacionalmente seco de colina y montaña</t>
        </is>
      </c>
      <c r="F138" s="8" t="inlineStr">
        <is>
          <t>Bes-cm</t>
        </is>
      </c>
      <c r="G138" s="15" t="n">
        <v>115.379</v>
      </c>
      <c r="H138" s="15" t="n">
        <v>114.4097983199687</v>
      </c>
      <c r="I138" s="16">
        <f>H138/G138</f>
        <v/>
      </c>
    </row>
    <row r="139">
      <c r="A139" s="6" t="inlineStr">
        <is>
          <t>M7B2</t>
        </is>
      </c>
      <c r="B139" s="6" t="inlineStr">
        <is>
          <t>C1076-Q9581</t>
        </is>
      </c>
      <c r="C139" s="6" t="inlineStr">
        <is>
          <t>Morropón</t>
        </is>
      </c>
      <c r="D139" s="6" t="inlineStr">
        <is>
          <t>Salitral</t>
        </is>
      </c>
      <c r="E139" s="6" t="inlineStr">
        <is>
          <t>Zona agrícola</t>
        </is>
      </c>
      <c r="F139" s="6" t="inlineStr">
        <is>
          <t>Agri</t>
        </is>
      </c>
      <c r="G139" s="11" t="n">
        <v>115.379</v>
      </c>
      <c r="H139" s="11" t="n">
        <v>0.9692016800313403</v>
      </c>
      <c r="I139" s="12">
        <f>H139/G139</f>
        <v/>
      </c>
    </row>
    <row r="140">
      <c r="A140" s="8" t="inlineStr">
        <is>
          <t>M7B3</t>
        </is>
      </c>
      <c r="B140" s="8" t="inlineStr">
        <is>
          <t>C1076-Q9581</t>
        </is>
      </c>
      <c r="C140" s="8" t="inlineStr">
        <is>
          <t>Morropón</t>
        </is>
      </c>
      <c r="D140" s="8" t="inlineStr">
        <is>
          <t>Salitral</t>
        </is>
      </c>
      <c r="E140" s="8" t="inlineStr">
        <is>
          <t>Bosque estacionalmente seco de colina y montaña</t>
        </is>
      </c>
      <c r="F140" s="8" t="inlineStr">
        <is>
          <t>Bes-cm</t>
        </is>
      </c>
      <c r="G140" s="15" t="n">
        <v>65.745</v>
      </c>
      <c r="H140" s="15" t="n">
        <v>65.47619795572254</v>
      </c>
      <c r="I140" s="16">
        <f>H140/G140</f>
        <v/>
      </c>
    </row>
    <row r="141">
      <c r="A141" s="6" t="inlineStr">
        <is>
          <t>M7B3</t>
        </is>
      </c>
      <c r="B141" s="6" t="inlineStr">
        <is>
          <t>C1076-Q9581</t>
        </is>
      </c>
      <c r="C141" s="6" t="inlineStr">
        <is>
          <t>Morropón</t>
        </is>
      </c>
      <c r="D141" s="6" t="inlineStr">
        <is>
          <t>Salitral</t>
        </is>
      </c>
      <c r="E141" s="6" t="inlineStr">
        <is>
          <t>Zona agrícola</t>
        </is>
      </c>
      <c r="F141" s="6" t="inlineStr">
        <is>
          <t>Agri</t>
        </is>
      </c>
      <c r="G141" s="11" t="n">
        <v>65.745</v>
      </c>
      <c r="H141" s="11" t="n">
        <v>0.2688020442774681</v>
      </c>
      <c r="I141" s="12">
        <f>H141/G141</f>
        <v/>
      </c>
    </row>
    <row r="142">
      <c r="A142" s="8" t="inlineStr">
        <is>
          <t>M7B6</t>
        </is>
      </c>
      <c r="B142" s="8" t="inlineStr">
        <is>
          <t>C1076-Q9581</t>
        </is>
      </c>
      <c r="C142" s="8" t="inlineStr">
        <is>
          <t>Morropón</t>
        </is>
      </c>
      <c r="D142" s="8" t="inlineStr">
        <is>
          <t>Salitral</t>
        </is>
      </c>
      <c r="E142" s="8" t="inlineStr">
        <is>
          <t>Bosque estacionalmente seco de colina y montaña</t>
        </is>
      </c>
      <c r="F142" s="8" t="inlineStr">
        <is>
          <t>Bes-cm</t>
        </is>
      </c>
      <c r="G142" s="15" t="n">
        <v>91.285</v>
      </c>
      <c r="H142" s="15" t="n">
        <v>91.285</v>
      </c>
      <c r="I142" s="16">
        <f>H142/G142</f>
        <v/>
      </c>
    </row>
    <row r="143">
      <c r="A143" s="6" t="inlineStr">
        <is>
          <t>77</t>
        </is>
      </c>
      <c r="B143" s="6" t="inlineStr">
        <is>
          <t>C1081-Q9583</t>
        </is>
      </c>
      <c r="C143" s="6" t="inlineStr">
        <is>
          <t>Morropón</t>
        </is>
      </c>
      <c r="D143" s="6" t="inlineStr">
        <is>
          <t>San Juan de Bigote</t>
        </is>
      </c>
      <c r="E143" s="6" t="inlineStr">
        <is>
          <t>Bosque estacionalmente seco de colina y montaña</t>
        </is>
      </c>
      <c r="F143" s="6" t="inlineStr">
        <is>
          <t>Bes-cm</t>
        </is>
      </c>
      <c r="G143" s="11" t="n">
        <v>17.821</v>
      </c>
      <c r="H143" s="11" t="n">
        <v>17.821</v>
      </c>
      <c r="I143" s="12">
        <f>H143/G143</f>
        <v/>
      </c>
    </row>
    <row r="144">
      <c r="A144" s="8" t="inlineStr">
        <is>
          <t>83</t>
        </is>
      </c>
      <c r="B144" s="8" t="inlineStr">
        <is>
          <t>C1081-Q9583</t>
        </is>
      </c>
      <c r="C144" s="8" t="inlineStr">
        <is>
          <t>Morropón</t>
        </is>
      </c>
      <c r="D144" s="8" t="inlineStr">
        <is>
          <t>San Juan de Bigote</t>
        </is>
      </c>
      <c r="E144" s="8" t="inlineStr">
        <is>
          <t>Bosque estacionalmente seco de colina y montaña</t>
        </is>
      </c>
      <c r="F144" s="8" t="inlineStr">
        <is>
          <t>Bes-cm</t>
        </is>
      </c>
      <c r="G144" s="15" t="n">
        <v>24.344</v>
      </c>
      <c r="H144" s="15" t="n">
        <v>24.344</v>
      </c>
      <c r="I144" s="16">
        <f>H144/G144</f>
        <v/>
      </c>
    </row>
    <row r="145">
      <c r="A145" s="6" t="inlineStr">
        <is>
          <t>84</t>
        </is>
      </c>
      <c r="B145" s="6" t="inlineStr">
        <is>
          <t>C1081-Q9583</t>
        </is>
      </c>
      <c r="C145" s="6" t="inlineStr">
        <is>
          <t>Morropón</t>
        </is>
      </c>
      <c r="D145" s="6" t="inlineStr">
        <is>
          <t>San Juan de Bigote</t>
        </is>
      </c>
      <c r="E145" s="6" t="inlineStr">
        <is>
          <t>Bosque estacionalmente seco de colina y montaña</t>
        </is>
      </c>
      <c r="F145" s="6" t="inlineStr">
        <is>
          <t>Bes-cm</t>
        </is>
      </c>
      <c r="G145" s="11" t="n">
        <v>5.097</v>
      </c>
      <c r="H145" s="11" t="n">
        <v>5.040601106511547</v>
      </c>
      <c r="I145" s="12">
        <f>H145/G145</f>
        <v/>
      </c>
    </row>
    <row r="146">
      <c r="A146" s="8" t="inlineStr">
        <is>
          <t>84</t>
        </is>
      </c>
      <c r="B146" s="8" t="inlineStr">
        <is>
          <t>C1081-Q9583</t>
        </is>
      </c>
      <c r="C146" s="8" t="inlineStr">
        <is>
          <t>Morropón</t>
        </is>
      </c>
      <c r="D146" s="8" t="inlineStr">
        <is>
          <t>San Juan de Bigote</t>
        </is>
      </c>
      <c r="E146" s="8" t="inlineStr">
        <is>
          <t>Zona agrícola</t>
        </is>
      </c>
      <c r="F146" s="8" t="inlineStr">
        <is>
          <t>Agri</t>
        </is>
      </c>
      <c r="G146" s="15" t="n">
        <v>5.097</v>
      </c>
      <c r="H146" s="15" t="n">
        <v>0.05639889348845421</v>
      </c>
      <c r="I146" s="16">
        <f>H146/G146</f>
        <v/>
      </c>
    </row>
    <row r="147">
      <c r="A147" s="6" t="inlineStr">
        <is>
          <t>85</t>
        </is>
      </c>
      <c r="B147" s="6" t="inlineStr">
        <is>
          <t>C1081-Q9583</t>
        </is>
      </c>
      <c r="C147" s="6" t="inlineStr">
        <is>
          <t>Morropón</t>
        </is>
      </c>
      <c r="D147" s="6" t="inlineStr">
        <is>
          <t>San Juan de Bigote</t>
        </is>
      </c>
      <c r="E147" s="6" t="inlineStr">
        <is>
          <t>Zona agrícola</t>
        </is>
      </c>
      <c r="F147" s="6" t="inlineStr">
        <is>
          <t>Agri</t>
        </is>
      </c>
      <c r="G147" s="11" t="n">
        <v>11.906</v>
      </c>
      <c r="H147" s="11" t="n">
        <v>11.83350121785288</v>
      </c>
      <c r="I147" s="12">
        <f>H147/G147</f>
        <v/>
      </c>
    </row>
    <row r="148">
      <c r="A148" s="8" t="inlineStr">
        <is>
          <t>85</t>
        </is>
      </c>
      <c r="B148" s="8" t="inlineStr">
        <is>
          <t>C1081-Q9583</t>
        </is>
      </c>
      <c r="C148" s="8" t="inlineStr">
        <is>
          <t>Morropón</t>
        </is>
      </c>
      <c r="D148" s="8" t="inlineStr">
        <is>
          <t>San Juan de Bigote</t>
        </is>
      </c>
      <c r="E148" s="8" t="inlineStr">
        <is>
          <t>Bosque estacionalmente seco de colina y montaña</t>
        </is>
      </c>
      <c r="F148" s="8" t="inlineStr">
        <is>
          <t>Bes-cm</t>
        </is>
      </c>
      <c r="G148" s="15" t="n">
        <v>11.906</v>
      </c>
      <c r="H148" s="15" t="n">
        <v>0.07249878214711662</v>
      </c>
      <c r="I148" s="16">
        <f>H148/G148</f>
        <v/>
      </c>
    </row>
    <row r="149">
      <c r="A149" s="6" t="inlineStr">
        <is>
          <t>86</t>
        </is>
      </c>
      <c r="B149" s="6" t="inlineStr">
        <is>
          <t>C1081-Q9583</t>
        </is>
      </c>
      <c r="C149" s="6" t="inlineStr">
        <is>
          <t>Morropón</t>
        </is>
      </c>
      <c r="D149" s="6" t="inlineStr">
        <is>
          <t>San Juan de Bigote</t>
        </is>
      </c>
      <c r="E149" s="6" t="inlineStr">
        <is>
          <t>Bosque estacionalmente seco de colina y montaña</t>
        </is>
      </c>
      <c r="F149" s="6" t="inlineStr">
        <is>
          <t>Bes-cm</t>
        </is>
      </c>
      <c r="G149" s="11" t="n">
        <v>30.001</v>
      </c>
      <c r="H149" s="11" t="n">
        <v>30.001</v>
      </c>
      <c r="I149" s="12">
        <f>H149/G149</f>
        <v/>
      </c>
    </row>
    <row r="150">
      <c r="A150" s="8" t="inlineStr">
        <is>
          <t>87</t>
        </is>
      </c>
      <c r="B150" s="8" t="inlineStr">
        <is>
          <t>C1081-Q9583</t>
        </is>
      </c>
      <c r="C150" s="8" t="inlineStr">
        <is>
          <t>Morropón</t>
        </is>
      </c>
      <c r="D150" s="8" t="inlineStr">
        <is>
          <t>San Juan de Bigote</t>
        </is>
      </c>
      <c r="E150" s="8" t="inlineStr">
        <is>
          <t>Bosque estacionalmente seco de colina y montaña</t>
        </is>
      </c>
      <c r="F150" s="8" t="inlineStr">
        <is>
          <t>Bes-cm</t>
        </is>
      </c>
      <c r="G150" s="15" t="n">
        <v>62.219</v>
      </c>
      <c r="H150" s="15" t="n">
        <v>62.0056003429815</v>
      </c>
      <c r="I150" s="16">
        <f>H150/G150</f>
        <v/>
      </c>
    </row>
    <row r="151">
      <c r="A151" s="6" t="inlineStr">
        <is>
          <t>87</t>
        </is>
      </c>
      <c r="B151" s="6" t="inlineStr">
        <is>
          <t>C1081-Q9583</t>
        </is>
      </c>
      <c r="C151" s="6" t="inlineStr">
        <is>
          <t>Morropón</t>
        </is>
      </c>
      <c r="D151" s="6" t="inlineStr">
        <is>
          <t>San Juan de Bigote</t>
        </is>
      </c>
      <c r="E151" s="6" t="inlineStr">
        <is>
          <t>Zona agrícola</t>
        </is>
      </c>
      <c r="F151" s="6" t="inlineStr">
        <is>
          <t>Agri</t>
        </is>
      </c>
      <c r="G151" s="11" t="n">
        <v>62.219</v>
      </c>
      <c r="H151" s="11" t="n">
        <v>0.213399657018504</v>
      </c>
      <c r="I151" s="12">
        <f>H151/G151</f>
        <v/>
      </c>
    </row>
    <row r="152">
      <c r="A152" s="8" t="inlineStr">
        <is>
          <t>M11B3</t>
        </is>
      </c>
      <c r="B152" s="8" t="inlineStr">
        <is>
          <t>C1081-Q9583</t>
        </is>
      </c>
      <c r="C152" s="8" t="inlineStr">
        <is>
          <t>Morropón</t>
        </is>
      </c>
      <c r="D152" s="8" t="inlineStr">
        <is>
          <t>San Juan de Bigote</t>
        </is>
      </c>
      <c r="E152" s="8" t="inlineStr">
        <is>
          <t>Bosque estacionalmente seco de colina y montaña</t>
        </is>
      </c>
      <c r="F152" s="8" t="inlineStr">
        <is>
          <t>Bes-cm</t>
        </is>
      </c>
      <c r="G152" s="15" t="n">
        <v>106.027</v>
      </c>
      <c r="H152" s="15" t="n">
        <v>105.9718999480321</v>
      </c>
      <c r="I152" s="16">
        <f>H152/G152</f>
        <v/>
      </c>
    </row>
    <row r="153">
      <c r="A153" s="6" t="inlineStr">
        <is>
          <t>M11B3</t>
        </is>
      </c>
      <c r="B153" s="6" t="inlineStr">
        <is>
          <t>C1081-Q9583</t>
        </is>
      </c>
      <c r="C153" s="6" t="inlineStr">
        <is>
          <t>Morropón</t>
        </is>
      </c>
      <c r="D153" s="6" t="inlineStr">
        <is>
          <t>San Juan de Bigote</t>
        </is>
      </c>
      <c r="E153" s="6" t="inlineStr">
        <is>
          <t>Zona agrícola</t>
        </is>
      </c>
      <c r="F153" s="6" t="inlineStr">
        <is>
          <t>Agri</t>
        </is>
      </c>
      <c r="G153" s="11" t="n">
        <v>106.027</v>
      </c>
      <c r="H153" s="11" t="n">
        <v>0.05510005196794399</v>
      </c>
      <c r="I153" s="12">
        <f>H153/G153</f>
        <v/>
      </c>
    </row>
    <row r="154">
      <c r="A154" s="8" t="inlineStr">
        <is>
          <t>M3B3</t>
        </is>
      </c>
      <c r="B154" s="8" t="inlineStr">
        <is>
          <t>C1081-Q9582</t>
        </is>
      </c>
      <c r="C154" s="8" t="inlineStr">
        <is>
          <t>Morropón</t>
        </is>
      </c>
      <c r="D154" s="8" t="inlineStr">
        <is>
          <t>San Juan de Bigote</t>
        </is>
      </c>
      <c r="E154" s="8" t="inlineStr">
        <is>
          <t>Bosque estacionalmente seco de colina y montaña</t>
        </is>
      </c>
      <c r="F154" s="8" t="inlineStr">
        <is>
          <t>Bes-cm</t>
        </is>
      </c>
      <c r="G154" s="15" t="n">
        <v>84.825</v>
      </c>
      <c r="H154" s="15" t="n">
        <v>84.825</v>
      </c>
      <c r="I154" s="16">
        <f>H154/G154</f>
        <v/>
      </c>
    </row>
    <row r="155">
      <c r="A155" s="6" t="inlineStr">
        <is>
          <t>M3B5</t>
        </is>
      </c>
      <c r="B155" s="6" t="inlineStr">
        <is>
          <t>C1081-Q9582</t>
        </is>
      </c>
      <c r="C155" s="6" t="inlineStr">
        <is>
          <t>Morropón</t>
        </is>
      </c>
      <c r="D155" s="6" t="inlineStr">
        <is>
          <t>San Juan de Bigote</t>
        </is>
      </c>
      <c r="E155" s="6" t="inlineStr">
        <is>
          <t>Bosque estacionalmente seco de colina y montaña</t>
        </is>
      </c>
      <c r="F155" s="6" t="inlineStr">
        <is>
          <t>Bes-cm</t>
        </is>
      </c>
      <c r="G155" s="11" t="n">
        <v>52.743</v>
      </c>
      <c r="H155" s="11" t="n">
        <v>52.743</v>
      </c>
      <c r="I155" s="12">
        <f>H155/G155</f>
        <v/>
      </c>
    </row>
    <row r="156">
      <c r="A156" s="8" t="inlineStr">
        <is>
          <t>M3B6</t>
        </is>
      </c>
      <c r="B156" s="8" t="inlineStr">
        <is>
          <t>C1081-Q9582</t>
        </is>
      </c>
      <c r="C156" s="8" t="inlineStr">
        <is>
          <t>Morropón</t>
        </is>
      </c>
      <c r="D156" s="8" t="inlineStr">
        <is>
          <t>San Juan de Bigote</t>
        </is>
      </c>
      <c r="E156" s="8" t="inlineStr">
        <is>
          <t>Bosque estacionalmente seco de colina y montaña</t>
        </is>
      </c>
      <c r="F156" s="8" t="inlineStr">
        <is>
          <t>Bes-cm</t>
        </is>
      </c>
      <c r="G156" s="15" t="n">
        <v>60.352</v>
      </c>
      <c r="H156" s="15" t="n">
        <v>60.352</v>
      </c>
      <c r="I156" s="16">
        <f>H156/G156</f>
        <v/>
      </c>
    </row>
    <row r="157">
      <c r="A157" s="6" t="inlineStr">
        <is>
          <t>M3B7</t>
        </is>
      </c>
      <c r="B157" s="6" t="inlineStr">
        <is>
          <t>C1081-Q9582</t>
        </is>
      </c>
      <c r="C157" s="6" t="inlineStr">
        <is>
          <t>Morropón</t>
        </is>
      </c>
      <c r="D157" s="6" t="inlineStr">
        <is>
          <t>San Juan de Bigote</t>
        </is>
      </c>
      <c r="E157" s="6" t="inlineStr">
        <is>
          <t>Bosque estacionalmente seco de colina y montaña</t>
        </is>
      </c>
      <c r="F157" s="6" t="inlineStr">
        <is>
          <t>Bes-cm</t>
        </is>
      </c>
      <c r="G157" s="11" t="n">
        <v>122.946</v>
      </c>
      <c r="H157" s="11" t="n">
        <v>122.8797002157037</v>
      </c>
      <c r="I157" s="12">
        <f>H157/G157</f>
        <v/>
      </c>
    </row>
    <row r="158">
      <c r="A158" s="8" t="inlineStr">
        <is>
          <t>M3B7</t>
        </is>
      </c>
      <c r="B158" s="8" t="inlineStr">
        <is>
          <t>C1081-Q9582</t>
        </is>
      </c>
      <c r="C158" s="8" t="inlineStr">
        <is>
          <t>Morropón</t>
        </is>
      </c>
      <c r="D158" s="8" t="inlineStr">
        <is>
          <t>San Juan de Bigote</t>
        </is>
      </c>
      <c r="E158" s="8" t="inlineStr">
        <is>
          <t>Zona agrícola</t>
        </is>
      </c>
      <c r="F158" s="8" t="inlineStr">
        <is>
          <t>Agri</t>
        </is>
      </c>
      <c r="G158" s="15" t="n">
        <v>122.946</v>
      </c>
      <c r="H158" s="15" t="n">
        <v>0.06629978429624617</v>
      </c>
      <c r="I158" s="16">
        <f>H158/G158</f>
        <v/>
      </c>
    </row>
    <row r="159">
      <c r="A159" s="6" t="inlineStr">
        <is>
          <t>M3B8</t>
        </is>
      </c>
      <c r="B159" s="6" t="inlineStr">
        <is>
          <t>C1081-Q9582</t>
        </is>
      </c>
      <c r="C159" s="6" t="inlineStr">
        <is>
          <t>Morropón</t>
        </is>
      </c>
      <c r="D159" s="6" t="inlineStr">
        <is>
          <t>San Juan de Bigote</t>
        </is>
      </c>
      <c r="E159" s="6" t="inlineStr">
        <is>
          <t>Bosque estacionalmente seco de colina y montaña</t>
        </is>
      </c>
      <c r="F159" s="6" t="inlineStr">
        <is>
          <t>Bes-cm</t>
        </is>
      </c>
      <c r="G159" s="11" t="n">
        <v>565.5839999999999</v>
      </c>
      <c r="H159" s="11" t="n">
        <v>565.4802999816649</v>
      </c>
      <c r="I159" s="12">
        <f>H159/G159</f>
        <v/>
      </c>
    </row>
    <row r="160">
      <c r="A160" s="8" t="inlineStr">
        <is>
          <t>M3B8</t>
        </is>
      </c>
      <c r="B160" s="8" t="inlineStr">
        <is>
          <t>C1081-Q9582</t>
        </is>
      </c>
      <c r="C160" s="8" t="inlineStr">
        <is>
          <t>Morropón</t>
        </is>
      </c>
      <c r="D160" s="8" t="inlineStr">
        <is>
          <t>San Juan de Bigote</t>
        </is>
      </c>
      <c r="E160" s="8" t="inlineStr">
        <is>
          <t>Zona agrícola</t>
        </is>
      </c>
      <c r="F160" s="8" t="inlineStr">
        <is>
          <t>Agri</t>
        </is>
      </c>
      <c r="G160" s="15" t="n">
        <v>565.5839999999999</v>
      </c>
      <c r="H160" s="15" t="n">
        <v>0.1037000183350339</v>
      </c>
      <c r="I160" s="16">
        <f>H160/G160</f>
        <v/>
      </c>
    </row>
    <row r="161">
      <c r="A161" s="6" t="inlineStr">
        <is>
          <t>14</t>
        </is>
      </c>
      <c r="B161" s="6" t="inlineStr">
        <is>
          <t>C1086-Q9570</t>
        </is>
      </c>
      <c r="C161" s="6" t="inlineStr">
        <is>
          <t>Morropón</t>
        </is>
      </c>
      <c r="D161" s="6" t="inlineStr">
        <is>
          <t>Santa Catalina de Mossa</t>
        </is>
      </c>
      <c r="E161" s="6" t="inlineStr">
        <is>
          <t>Matorral andino</t>
        </is>
      </c>
      <c r="F161" s="6" t="inlineStr">
        <is>
          <t>Ma</t>
        </is>
      </c>
      <c r="G161" s="11" t="n">
        <v>92.905</v>
      </c>
      <c r="H161" s="11" t="n">
        <v>69.6576</v>
      </c>
      <c r="I161" s="12">
        <f>H161/G161</f>
        <v/>
      </c>
    </row>
    <row r="162">
      <c r="A162" s="8" t="inlineStr">
        <is>
          <t>14</t>
        </is>
      </c>
      <c r="B162" s="8" t="inlineStr">
        <is>
          <t>C1086-Q9570</t>
        </is>
      </c>
      <c r="C162" s="8" t="inlineStr">
        <is>
          <t>Morropón</t>
        </is>
      </c>
      <c r="D162" s="8" t="inlineStr">
        <is>
          <t>Santa Catalina de Mossa</t>
        </is>
      </c>
      <c r="E162" s="8" t="inlineStr">
        <is>
          <t>Zona agrícola</t>
        </is>
      </c>
      <c r="F162" s="8" t="inlineStr">
        <is>
          <t>Agri</t>
        </is>
      </c>
      <c r="G162" s="15" t="n">
        <v>92.905</v>
      </c>
      <c r="H162" s="15" t="n">
        <v>23.2474</v>
      </c>
      <c r="I162" s="16">
        <f>H162/G162</f>
        <v/>
      </c>
    </row>
    <row r="163">
      <c r="A163" s="6" t="inlineStr">
        <is>
          <t>42</t>
        </is>
      </c>
      <c r="B163" s="6" t="inlineStr">
        <is>
          <t>C1086-Q9570</t>
        </is>
      </c>
      <c r="C163" s="6" t="inlineStr">
        <is>
          <t>Morropón</t>
        </is>
      </c>
      <c r="D163" s="6" t="inlineStr">
        <is>
          <t>Santa Catalina de Mossa</t>
        </is>
      </c>
      <c r="E163" s="6" t="inlineStr">
        <is>
          <t>Bosque estacionalmente seco de colina y montaña</t>
        </is>
      </c>
      <c r="F163" s="6" t="inlineStr">
        <is>
          <t>Bes-cm</t>
        </is>
      </c>
      <c r="G163" s="11" t="n">
        <v>80.616</v>
      </c>
      <c r="H163" s="11" t="n">
        <v>51.83332148284139</v>
      </c>
      <c r="I163" s="12">
        <f>H163/G163</f>
        <v/>
      </c>
    </row>
    <row r="164">
      <c r="A164" s="8" t="inlineStr">
        <is>
          <t>42</t>
        </is>
      </c>
      <c r="B164" s="8" t="inlineStr">
        <is>
          <t>C1086-Q9570</t>
        </is>
      </c>
      <c r="C164" s="8" t="inlineStr">
        <is>
          <t>Morropón</t>
        </is>
      </c>
      <c r="D164" s="8" t="inlineStr">
        <is>
          <t>Santa Catalina de Mossa</t>
        </is>
      </c>
      <c r="E164" s="8" t="inlineStr">
        <is>
          <t>Zona agrícola</t>
        </is>
      </c>
      <c r="F164" s="8" t="inlineStr">
        <is>
          <t>Agri</t>
        </is>
      </c>
      <c r="G164" s="15" t="n">
        <v>80.616</v>
      </c>
      <c r="H164" s="15" t="n">
        <v>28.78267851715861</v>
      </c>
      <c r="I164" s="16">
        <f>H164/G164</f>
        <v/>
      </c>
    </row>
    <row r="165">
      <c r="A165" s="6" t="inlineStr">
        <is>
          <t>58</t>
        </is>
      </c>
      <c r="B165" s="6" t="inlineStr">
        <is>
          <t>C1086-Q9569</t>
        </is>
      </c>
      <c r="C165" s="6" t="inlineStr">
        <is>
          <t>Morropón</t>
        </is>
      </c>
      <c r="D165" s="6" t="inlineStr">
        <is>
          <t>Santa Catalina de Mossa</t>
        </is>
      </c>
      <c r="E165" s="6" t="inlineStr">
        <is>
          <t>Bosque estacionalmente seco de colina y montaña</t>
        </is>
      </c>
      <c r="F165" s="6" t="inlineStr">
        <is>
          <t>Bes-cm</t>
        </is>
      </c>
      <c r="G165" s="11" t="n">
        <v>11.475</v>
      </c>
      <c r="H165" s="11" t="n">
        <v>11.475</v>
      </c>
      <c r="I165" s="12">
        <f>H165/G165</f>
        <v/>
      </c>
    </row>
    <row r="166">
      <c r="A166" s="8" t="inlineStr">
        <is>
          <t>M36B2</t>
        </is>
      </c>
      <c r="B166" s="8" t="inlineStr">
        <is>
          <t>C1086-Q9576</t>
        </is>
      </c>
      <c r="C166" s="8" t="inlineStr">
        <is>
          <t>Morropón</t>
        </is>
      </c>
      <c r="D166" s="8" t="inlineStr">
        <is>
          <t>Santa Catalina de Mossa</t>
        </is>
      </c>
      <c r="E166" s="8" t="inlineStr">
        <is>
          <t>Zona agrícola</t>
        </is>
      </c>
      <c r="F166" s="8" t="inlineStr">
        <is>
          <t>Agri</t>
        </is>
      </c>
      <c r="G166" s="15" t="n">
        <v>28.19</v>
      </c>
      <c r="H166" s="15" t="n">
        <v>28.19</v>
      </c>
      <c r="I166" s="16">
        <f>H166/G166</f>
        <v/>
      </c>
    </row>
    <row r="167">
      <c r="A167" s="6" t="inlineStr">
        <is>
          <t>11</t>
        </is>
      </c>
      <c r="B167" s="6" t="inlineStr">
        <is>
          <t>C1086-Q9570</t>
        </is>
      </c>
      <c r="C167" s="6" t="inlineStr">
        <is>
          <t>Morropón</t>
        </is>
      </c>
      <c r="D167" s="6" t="inlineStr">
        <is>
          <t>Santo Domingo</t>
        </is>
      </c>
      <c r="E167" s="6" t="inlineStr">
        <is>
          <t>Zona agrícola</t>
        </is>
      </c>
      <c r="F167" s="6" t="inlineStr">
        <is>
          <t>Agri</t>
        </is>
      </c>
      <c r="G167" s="11" t="n">
        <v>103.948</v>
      </c>
      <c r="H167" s="11" t="n">
        <v>80.0354849784747</v>
      </c>
      <c r="I167" s="12">
        <f>H167/G167</f>
        <v/>
      </c>
    </row>
    <row r="168">
      <c r="A168" s="8" t="inlineStr">
        <is>
          <t>11</t>
        </is>
      </c>
      <c r="B168" s="8" t="inlineStr">
        <is>
          <t>C1086-Q9570</t>
        </is>
      </c>
      <c r="C168" s="8" t="inlineStr">
        <is>
          <t>Morropón</t>
        </is>
      </c>
      <c r="D168" s="8" t="inlineStr">
        <is>
          <t>Santo Domingo</t>
        </is>
      </c>
      <c r="E168" s="8" t="inlineStr">
        <is>
          <t>Matorral andino</t>
        </is>
      </c>
      <c r="F168" s="8" t="inlineStr">
        <is>
          <t>Ma</t>
        </is>
      </c>
      <c r="G168" s="15" t="n">
        <v>103.948</v>
      </c>
      <c r="H168" s="15" t="n">
        <v>23.91251502152529</v>
      </c>
      <c r="I168" s="16">
        <f>H168/G168</f>
        <v/>
      </c>
    </row>
    <row r="169">
      <c r="A169" s="6" t="inlineStr">
        <is>
          <t>12</t>
        </is>
      </c>
      <c r="B169" s="6" t="inlineStr">
        <is>
          <t>C1086-Q9570</t>
        </is>
      </c>
      <c r="C169" s="6" t="inlineStr">
        <is>
          <t>Morropón</t>
        </is>
      </c>
      <c r="D169" s="6" t="inlineStr">
        <is>
          <t>Santo Domingo</t>
        </is>
      </c>
      <c r="E169" s="6" t="inlineStr">
        <is>
          <t>Zona agrícola</t>
        </is>
      </c>
      <c r="F169" s="6" t="inlineStr">
        <is>
          <t>Agri</t>
        </is>
      </c>
      <c r="G169" s="11" t="n">
        <v>119.538</v>
      </c>
      <c r="H169" s="11" t="n">
        <v>94.905</v>
      </c>
      <c r="I169" s="12">
        <f>H169/G169</f>
        <v/>
      </c>
    </row>
    <row r="170">
      <c r="A170" s="8" t="inlineStr">
        <is>
          <t>12</t>
        </is>
      </c>
      <c r="B170" s="8" t="inlineStr">
        <is>
          <t>C1086-Q9570</t>
        </is>
      </c>
      <c r="C170" s="8" t="inlineStr">
        <is>
          <t>Morropón</t>
        </is>
      </c>
      <c r="D170" s="8" t="inlineStr">
        <is>
          <t>Santo Domingo</t>
        </is>
      </c>
      <c r="E170" s="8" t="inlineStr">
        <is>
          <t>Bosque relicto montano de vertiente occidental</t>
        </is>
      </c>
      <c r="F170" s="8" t="inlineStr">
        <is>
          <t>Br-mvoc</t>
        </is>
      </c>
      <c r="G170" s="15" t="n">
        <v>119.538</v>
      </c>
      <c r="H170" s="15" t="n">
        <v>24.633</v>
      </c>
      <c r="I170" s="16">
        <f>H170/G170</f>
        <v/>
      </c>
    </row>
    <row r="171">
      <c r="A171" s="6" t="inlineStr">
        <is>
          <t>13</t>
        </is>
      </c>
      <c r="B171" s="6" t="inlineStr">
        <is>
          <t>C1096-Q9564</t>
        </is>
      </c>
      <c r="C171" s="6" t="inlineStr">
        <is>
          <t>Morropón</t>
        </is>
      </c>
      <c r="D171" s="6" t="inlineStr">
        <is>
          <t>Santo Domingo</t>
        </is>
      </c>
      <c r="E171" s="6" t="inlineStr">
        <is>
          <t>Matorral andino</t>
        </is>
      </c>
      <c r="F171" s="6" t="inlineStr">
        <is>
          <t>Ma</t>
        </is>
      </c>
      <c r="G171" s="11" t="n">
        <v>100.514</v>
      </c>
      <c r="H171" s="11" t="n">
        <v>60.35504018560672</v>
      </c>
      <c r="I171" s="12">
        <f>H171/G171</f>
        <v/>
      </c>
    </row>
    <row r="172">
      <c r="A172" s="8" t="inlineStr">
        <is>
          <t>13</t>
        </is>
      </c>
      <c r="B172" s="8" t="inlineStr">
        <is>
          <t>C1096-Q9564</t>
        </is>
      </c>
      <c r="C172" s="8" t="inlineStr">
        <is>
          <t>Morropón</t>
        </is>
      </c>
      <c r="D172" s="8" t="inlineStr">
        <is>
          <t>Santo Domingo</t>
        </is>
      </c>
      <c r="E172" s="8" t="inlineStr">
        <is>
          <t>Bosque relicto montano de vertiente occidental</t>
        </is>
      </c>
      <c r="F172" s="8" t="inlineStr">
        <is>
          <t>Br-mvoc</t>
        </is>
      </c>
      <c r="G172" s="15" t="n">
        <v>100.514</v>
      </c>
      <c r="H172" s="15" t="n">
        <v>26.22020434448672</v>
      </c>
      <c r="I172" s="16">
        <f>H172/G172</f>
        <v/>
      </c>
    </row>
    <row r="173">
      <c r="A173" s="6" t="inlineStr">
        <is>
          <t>13</t>
        </is>
      </c>
      <c r="B173" s="6" t="inlineStr">
        <is>
          <t>C1096-Q9564</t>
        </is>
      </c>
      <c r="C173" s="6" t="inlineStr">
        <is>
          <t>Morropón</t>
        </is>
      </c>
      <c r="D173" s="6" t="inlineStr">
        <is>
          <t>Santo Domingo</t>
        </is>
      </c>
      <c r="E173" s="6" t="inlineStr">
        <is>
          <t>Zona agrícola</t>
        </is>
      </c>
      <c r="F173" s="6" t="inlineStr">
        <is>
          <t>Agri</t>
        </is>
      </c>
      <c r="G173" s="11" t="n">
        <v>100.514</v>
      </c>
      <c r="H173" s="11" t="n">
        <v>13.93875546990656</v>
      </c>
      <c r="I173" s="12">
        <f>H173/G173</f>
        <v/>
      </c>
    </row>
    <row r="174">
      <c r="A174" s="8" t="inlineStr">
        <is>
          <t>15</t>
        </is>
      </c>
      <c r="B174" s="8" t="inlineStr">
        <is>
          <t>C1086-Q9570</t>
        </is>
      </c>
      <c r="C174" s="8" t="inlineStr">
        <is>
          <t>Morropón</t>
        </is>
      </c>
      <c r="D174" s="8" t="inlineStr">
        <is>
          <t>Santo Domingo</t>
        </is>
      </c>
      <c r="E174" s="8" t="inlineStr">
        <is>
          <t>Zona agrícola</t>
        </is>
      </c>
      <c r="F174" s="8" t="inlineStr">
        <is>
          <t>Agri</t>
        </is>
      </c>
      <c r="G174" s="15" t="n">
        <v>86.14700000000001</v>
      </c>
      <c r="H174" s="15" t="n">
        <v>82.46300855280265</v>
      </c>
      <c r="I174" s="16">
        <f>H174/G174</f>
        <v/>
      </c>
    </row>
    <row r="175">
      <c r="A175" s="6" t="inlineStr">
        <is>
          <t>15</t>
        </is>
      </c>
      <c r="B175" s="6" t="inlineStr">
        <is>
          <t>C1086-Q9570</t>
        </is>
      </c>
      <c r="C175" s="6" t="inlineStr">
        <is>
          <t>Morropón</t>
        </is>
      </c>
      <c r="D175" s="6" t="inlineStr">
        <is>
          <t>Santo Domingo</t>
        </is>
      </c>
      <c r="E175" s="6" t="inlineStr">
        <is>
          <t>Matorral andino</t>
        </is>
      </c>
      <c r="F175" s="6" t="inlineStr">
        <is>
          <t>Ma</t>
        </is>
      </c>
      <c r="G175" s="11" t="n">
        <v>86.14700000000001</v>
      </c>
      <c r="H175" s="11" t="n">
        <v>3.683991447197356</v>
      </c>
      <c r="I175" s="12">
        <f>H175/G175</f>
        <v/>
      </c>
    </row>
    <row r="176">
      <c r="A176" s="8" t="inlineStr">
        <is>
          <t>17</t>
        </is>
      </c>
      <c r="B176" s="8" t="inlineStr">
        <is>
          <t>C1086-Q9570</t>
        </is>
      </c>
      <c r="C176" s="8" t="inlineStr">
        <is>
          <t>Morropón</t>
        </is>
      </c>
      <c r="D176" s="8" t="inlineStr">
        <is>
          <t>Santo Domingo</t>
        </is>
      </c>
      <c r="E176" s="8" t="inlineStr">
        <is>
          <t>Zona agrícola</t>
        </is>
      </c>
      <c r="F176" s="8" t="inlineStr">
        <is>
          <t>Agri</t>
        </is>
      </c>
      <c r="G176" s="15" t="n">
        <v>96.07899999999999</v>
      </c>
      <c r="H176" s="15" t="n">
        <v>93.73521219719086</v>
      </c>
      <c r="I176" s="16">
        <f>H176/G176</f>
        <v/>
      </c>
    </row>
    <row r="177">
      <c r="A177" s="6" t="inlineStr">
        <is>
          <t>17</t>
        </is>
      </c>
      <c r="B177" s="6" t="inlineStr">
        <is>
          <t>C1086-Q9570</t>
        </is>
      </c>
      <c r="C177" s="6" t="inlineStr">
        <is>
          <t>Morropón</t>
        </is>
      </c>
      <c r="D177" s="6" t="inlineStr">
        <is>
          <t>Santo Domingo</t>
        </is>
      </c>
      <c r="E177" s="6" t="inlineStr">
        <is>
          <t>Matorral andino</t>
        </is>
      </c>
      <c r="F177" s="6" t="inlineStr">
        <is>
          <t>Ma</t>
        </is>
      </c>
      <c r="G177" s="11" t="n">
        <v>96.07899999999999</v>
      </c>
      <c r="H177" s="11" t="n">
        <v>2.343787802809132</v>
      </c>
      <c r="I177" s="12">
        <f>H177/G177</f>
        <v/>
      </c>
    </row>
    <row r="178">
      <c r="A178" s="8" t="inlineStr">
        <is>
          <t>23</t>
        </is>
      </c>
      <c r="B178" s="8" t="inlineStr">
        <is>
          <t>C1086-Q9570</t>
        </is>
      </c>
      <c r="C178" s="8" t="inlineStr">
        <is>
          <t>Morropón</t>
        </is>
      </c>
      <c r="D178" s="8" t="inlineStr">
        <is>
          <t>Santo Domingo</t>
        </is>
      </c>
      <c r="E178" s="8" t="inlineStr">
        <is>
          <t>Matorral andino</t>
        </is>
      </c>
      <c r="F178" s="8" t="inlineStr">
        <is>
          <t>Ma</t>
        </is>
      </c>
      <c r="G178" s="15" t="n">
        <v>81.776</v>
      </c>
      <c r="H178" s="15" t="n">
        <v>52.35352010320941</v>
      </c>
      <c r="I178" s="16">
        <f>H178/G178</f>
        <v/>
      </c>
    </row>
    <row r="179">
      <c r="A179" s="6" t="inlineStr">
        <is>
          <t>23</t>
        </is>
      </c>
      <c r="B179" s="6" t="inlineStr">
        <is>
          <t>C1086-Q9570</t>
        </is>
      </c>
      <c r="C179" s="6" t="inlineStr">
        <is>
          <t>Morropón</t>
        </is>
      </c>
      <c r="D179" s="6" t="inlineStr">
        <is>
          <t>Santo Domingo</t>
        </is>
      </c>
      <c r="E179" s="6" t="inlineStr">
        <is>
          <t>Zona agrícola</t>
        </is>
      </c>
      <c r="F179" s="6" t="inlineStr">
        <is>
          <t>Agri</t>
        </is>
      </c>
      <c r="G179" s="11" t="n">
        <v>81.776</v>
      </c>
      <c r="H179" s="11" t="n">
        <v>29.4224798967906</v>
      </c>
      <c r="I179" s="12">
        <f>H179/G179</f>
        <v/>
      </c>
    </row>
    <row r="180">
      <c r="A180" s="8" t="inlineStr">
        <is>
          <t>78</t>
        </is>
      </c>
      <c r="B180" s="8" t="inlineStr">
        <is>
          <t>C1086-Q9570</t>
        </is>
      </c>
      <c r="C180" s="8" t="inlineStr">
        <is>
          <t>Morropón</t>
        </is>
      </c>
      <c r="D180" s="8" t="inlineStr">
        <is>
          <t>Santo Domingo</t>
        </is>
      </c>
      <c r="E180" s="8" t="inlineStr">
        <is>
          <t>Matorral andino</t>
        </is>
      </c>
      <c r="F180" s="8" t="inlineStr">
        <is>
          <t>Ma</t>
        </is>
      </c>
      <c r="G180" s="15" t="n">
        <v>35.1</v>
      </c>
      <c r="H180" s="15" t="n">
        <v>26.98872310905098</v>
      </c>
      <c r="I180" s="16">
        <f>H180/G180</f>
        <v/>
      </c>
    </row>
    <row r="181">
      <c r="A181" s="6" t="inlineStr">
        <is>
          <t>78</t>
        </is>
      </c>
      <c r="B181" s="6" t="inlineStr">
        <is>
          <t>C1086-Q9570</t>
        </is>
      </c>
      <c r="C181" s="6" t="inlineStr">
        <is>
          <t>Morropón</t>
        </is>
      </c>
      <c r="D181" s="6" t="inlineStr">
        <is>
          <t>Santo Domingo</t>
        </is>
      </c>
      <c r="E181" s="6" t="inlineStr">
        <is>
          <t>Zona agrícola</t>
        </is>
      </c>
      <c r="F181" s="6" t="inlineStr">
        <is>
          <t>Agri</t>
        </is>
      </c>
      <c r="G181" s="11" t="n">
        <v>35.1</v>
      </c>
      <c r="H181" s="11" t="n">
        <v>8.11127689094903</v>
      </c>
      <c r="I181" s="12">
        <f>H181/G181</f>
        <v/>
      </c>
    </row>
    <row r="182">
      <c r="A182" s="8" t="inlineStr">
        <is>
          <t>82</t>
        </is>
      </c>
      <c r="B182" s="8" t="inlineStr">
        <is>
          <t>C1086-Q9570</t>
        </is>
      </c>
      <c r="C182" s="8" t="inlineStr">
        <is>
          <t>Morropón</t>
        </is>
      </c>
      <c r="D182" s="8" t="inlineStr">
        <is>
          <t>Santo Domingo</t>
        </is>
      </c>
      <c r="E182" s="8" t="inlineStr">
        <is>
          <t>Matorral andino</t>
        </is>
      </c>
      <c r="F182" s="8" t="inlineStr">
        <is>
          <t>Ma</t>
        </is>
      </c>
      <c r="G182" s="15" t="n">
        <v>35.661</v>
      </c>
      <c r="H182" s="15" t="n">
        <v>25.13575902942133</v>
      </c>
      <c r="I182" s="16">
        <f>H182/G182</f>
        <v/>
      </c>
    </row>
    <row r="183">
      <c r="A183" s="6" t="inlineStr">
        <is>
          <t>82</t>
        </is>
      </c>
      <c r="B183" s="6" t="inlineStr">
        <is>
          <t>C1086-Q9570</t>
        </is>
      </c>
      <c r="C183" s="6" t="inlineStr">
        <is>
          <t>Morropón</t>
        </is>
      </c>
      <c r="D183" s="6" t="inlineStr">
        <is>
          <t>Santo Domingo</t>
        </is>
      </c>
      <c r="E183" s="6" t="inlineStr">
        <is>
          <t>Zona agrícola</t>
        </is>
      </c>
      <c r="F183" s="6" t="inlineStr">
        <is>
          <t>Agri</t>
        </is>
      </c>
      <c r="G183" s="11" t="n">
        <v>35.661</v>
      </c>
      <c r="H183" s="11" t="n">
        <v>7.37235865310197</v>
      </c>
      <c r="I183" s="12">
        <f>H183/G183</f>
        <v/>
      </c>
    </row>
    <row r="184">
      <c r="A184" s="8" t="inlineStr">
        <is>
          <t>82</t>
        </is>
      </c>
      <c r="B184" s="8" t="inlineStr">
        <is>
          <t>C1086-Q9570</t>
        </is>
      </c>
      <c r="C184" s="8" t="inlineStr">
        <is>
          <t>Morropón</t>
        </is>
      </c>
      <c r="D184" s="8" t="inlineStr">
        <is>
          <t>Santo Domingo</t>
        </is>
      </c>
      <c r="E184" s="8" t="inlineStr">
        <is>
          <t>Bosque relicto montano de vertiente occidental</t>
        </is>
      </c>
      <c r="F184" s="8" t="inlineStr">
        <is>
          <t>Br-mvoc</t>
        </is>
      </c>
      <c r="G184" s="15" t="n">
        <v>35.661</v>
      </c>
      <c r="H184" s="15" t="n">
        <v>3.152882317476697</v>
      </c>
      <c r="I184" s="16">
        <f>H184/G184</f>
        <v/>
      </c>
    </row>
    <row r="185">
      <c r="A185" s="6" t="inlineStr">
        <is>
          <t>M19B7</t>
        </is>
      </c>
      <c r="B185" s="6" t="inlineStr">
        <is>
          <t>C1086-Q9570</t>
        </is>
      </c>
      <c r="C185" s="6" t="inlineStr">
        <is>
          <t>Morropón</t>
        </is>
      </c>
      <c r="D185" s="6" t="inlineStr">
        <is>
          <t>Santo Domingo</t>
        </is>
      </c>
      <c r="E185" s="6" t="inlineStr">
        <is>
          <t>Zona agrícola</t>
        </is>
      </c>
      <c r="F185" s="6" t="inlineStr">
        <is>
          <t>Agri</t>
        </is>
      </c>
      <c r="G185" s="11" t="n">
        <v>34.171</v>
      </c>
      <c r="H185" s="11" t="n">
        <v>29.97677545155513</v>
      </c>
      <c r="I185" s="12">
        <f>H185/G185</f>
        <v/>
      </c>
    </row>
    <row r="186">
      <c r="A186" s="8" t="inlineStr">
        <is>
          <t>M19B7</t>
        </is>
      </c>
      <c r="B186" s="8" t="inlineStr">
        <is>
          <t>C1086-Q9570</t>
        </is>
      </c>
      <c r="C186" s="8" t="inlineStr">
        <is>
          <t>Morropón</t>
        </is>
      </c>
      <c r="D186" s="8" t="inlineStr">
        <is>
          <t>Santo Domingo</t>
        </is>
      </c>
      <c r="E186" s="8" t="inlineStr">
        <is>
          <t>Bosque estacionalmente seco de colina y montaña</t>
        </is>
      </c>
      <c r="F186" s="8" t="inlineStr">
        <is>
          <t>Bes-cm</t>
        </is>
      </c>
      <c r="G186" s="15" t="n">
        <v>34.171</v>
      </c>
      <c r="H186" s="15" t="n">
        <v>4.194224548444871</v>
      </c>
      <c r="I186" s="16">
        <f>H186/G186</f>
        <v/>
      </c>
    </row>
    <row r="187">
      <c r="A187" s="6" t="inlineStr">
        <is>
          <t>M8B2</t>
        </is>
      </c>
      <c r="B187" s="6" t="inlineStr">
        <is>
          <t>C1096-Q9558</t>
        </is>
      </c>
      <c r="C187" s="6" t="inlineStr">
        <is>
          <t>Morropón</t>
        </is>
      </c>
      <c r="D187" s="6" t="inlineStr">
        <is>
          <t>Santo Domingo</t>
        </is>
      </c>
      <c r="E187" s="6" t="inlineStr">
        <is>
          <t>Bosque estacionalmente seco de colina y montaña</t>
        </is>
      </c>
      <c r="F187" s="6" t="inlineStr">
        <is>
          <t>Bes-cm</t>
        </is>
      </c>
      <c r="G187" s="11" t="n">
        <v>35.347</v>
      </c>
      <c r="H187" s="11" t="n">
        <v>20.42374221930512</v>
      </c>
      <c r="I187" s="12">
        <f>H187/G187</f>
        <v/>
      </c>
    </row>
    <row r="188">
      <c r="A188" s="8" t="inlineStr">
        <is>
          <t>M8B2</t>
        </is>
      </c>
      <c r="B188" s="8" t="inlineStr">
        <is>
          <t>C1096-Q9558</t>
        </is>
      </c>
      <c r="C188" s="8" t="inlineStr">
        <is>
          <t>Morropón</t>
        </is>
      </c>
      <c r="D188" s="8" t="inlineStr">
        <is>
          <t>Santo Domingo</t>
        </is>
      </c>
      <c r="E188" s="8" t="inlineStr">
        <is>
          <t>Zona agrícola</t>
        </is>
      </c>
      <c r="F188" s="8" t="inlineStr">
        <is>
          <t>Agri</t>
        </is>
      </c>
      <c r="G188" s="15" t="n">
        <v>35.347</v>
      </c>
      <c r="H188" s="15" t="n">
        <v>14.92325778069488</v>
      </c>
      <c r="I188" s="16">
        <f>H188/G188</f>
        <v/>
      </c>
    </row>
    <row r="189">
      <c r="A189" s="6" t="inlineStr">
        <is>
          <t>49</t>
        </is>
      </c>
      <c r="B189" s="6" t="inlineStr">
        <is>
          <t>C1086-Q9575</t>
        </is>
      </c>
      <c r="C189" s="6" t="inlineStr">
        <is>
          <t>Morropón</t>
        </is>
      </c>
      <c r="D189" s="6" t="inlineStr">
        <is>
          <t>Yamango</t>
        </is>
      </c>
      <c r="E189" s="6" t="inlineStr">
        <is>
          <t>Zona agrícola</t>
        </is>
      </c>
      <c r="F189" s="6" t="inlineStr">
        <is>
          <t>Agri</t>
        </is>
      </c>
      <c r="G189" s="11" t="n">
        <v>15.839</v>
      </c>
      <c r="H189" s="11" t="n">
        <v>11.03523032874343</v>
      </c>
      <c r="I189" s="12">
        <f>H189/G189</f>
        <v/>
      </c>
    </row>
    <row r="190">
      <c r="A190" s="8" t="inlineStr">
        <is>
          <t>49</t>
        </is>
      </c>
      <c r="B190" s="8" t="inlineStr">
        <is>
          <t>C1086-Q9575</t>
        </is>
      </c>
      <c r="C190" s="8" t="inlineStr">
        <is>
          <t>Morropón</t>
        </is>
      </c>
      <c r="D190" s="8" t="inlineStr">
        <is>
          <t>Yamango</t>
        </is>
      </c>
      <c r="E190" s="8" t="inlineStr">
        <is>
          <t>Matorral andino</t>
        </is>
      </c>
      <c r="F190" s="8" t="inlineStr">
        <is>
          <t>Ma</t>
        </is>
      </c>
      <c r="G190" s="15" t="n">
        <v>15.839</v>
      </c>
      <c r="H190" s="15" t="n">
        <v>4.803769671256574</v>
      </c>
      <c r="I190" s="16">
        <f>H190/G190</f>
        <v/>
      </c>
    </row>
    <row r="191">
      <c r="A191" s="6" t="inlineStr">
        <is>
          <t>52</t>
        </is>
      </c>
      <c r="B191" s="6" t="inlineStr">
        <is>
          <t>C1086-Q9575</t>
        </is>
      </c>
      <c r="C191" s="6" t="inlineStr">
        <is>
          <t>Morropón</t>
        </is>
      </c>
      <c r="D191" s="6" t="inlineStr">
        <is>
          <t>Yamango</t>
        </is>
      </c>
      <c r="E191" s="6" t="inlineStr">
        <is>
          <t>Zona agrícola</t>
        </is>
      </c>
      <c r="F191" s="6" t="inlineStr">
        <is>
          <t>Agri</t>
        </is>
      </c>
      <c r="G191" s="11" t="n">
        <v>11.059</v>
      </c>
      <c r="H191" s="11" t="n">
        <v>6.729456598007125</v>
      </c>
      <c r="I191" s="12">
        <f>H191/G191</f>
        <v/>
      </c>
    </row>
    <row r="192">
      <c r="A192" s="8" t="inlineStr">
        <is>
          <t>52</t>
        </is>
      </c>
      <c r="B192" s="8" t="inlineStr">
        <is>
          <t>C1086-Q9575</t>
        </is>
      </c>
      <c r="C192" s="8" t="inlineStr">
        <is>
          <t>Morropón</t>
        </is>
      </c>
      <c r="D192" s="8" t="inlineStr">
        <is>
          <t>Yamango</t>
        </is>
      </c>
      <c r="E192" s="8" t="inlineStr">
        <is>
          <t>Matorral andino</t>
        </is>
      </c>
      <c r="F192" s="8" t="inlineStr">
        <is>
          <t>Ma</t>
        </is>
      </c>
      <c r="G192" s="15" t="n">
        <v>11.059</v>
      </c>
      <c r="H192" s="15" t="n">
        <v>4.329543401992875</v>
      </c>
      <c r="I192" s="16">
        <f>H192/G192</f>
        <v/>
      </c>
    </row>
    <row r="193">
      <c r="A193" s="6" t="inlineStr">
        <is>
          <t>55</t>
        </is>
      </c>
      <c r="B193" s="6" t="inlineStr">
        <is>
          <t>C1086-Q9575</t>
        </is>
      </c>
      <c r="C193" s="6" t="inlineStr">
        <is>
          <t>Morropón</t>
        </is>
      </c>
      <c r="D193" s="6" t="inlineStr">
        <is>
          <t>Yamango</t>
        </is>
      </c>
      <c r="E193" s="6" t="inlineStr">
        <is>
          <t>Zona agrícola</t>
        </is>
      </c>
      <c r="F193" s="6" t="inlineStr">
        <is>
          <t>Agri</t>
        </is>
      </c>
      <c r="G193" s="11" t="n">
        <v>0.859</v>
      </c>
      <c r="H193" s="11" t="n">
        <v>0.859</v>
      </c>
      <c r="I193" s="12">
        <f>H193/G193</f>
        <v/>
      </c>
    </row>
    <row r="194">
      <c r="A194" s="8" t="inlineStr">
        <is>
          <t>M28B2</t>
        </is>
      </c>
      <c r="B194" s="8" t="inlineStr">
        <is>
          <t>C1086-Q9575</t>
        </is>
      </c>
      <c r="C194" s="8" t="inlineStr">
        <is>
          <t>Morropón</t>
        </is>
      </c>
      <c r="D194" s="8" t="inlineStr">
        <is>
          <t>Yamango</t>
        </is>
      </c>
      <c r="E194" s="8" t="inlineStr">
        <is>
          <t>Bosque estacionalmente seco de colina y montaña</t>
        </is>
      </c>
      <c r="F194" s="8" t="inlineStr">
        <is>
          <t>Bes-cm</t>
        </is>
      </c>
      <c r="G194" s="15" t="n">
        <v>90.197</v>
      </c>
      <c r="H194" s="15" t="n">
        <v>89.43320254043081</v>
      </c>
      <c r="I194" s="16">
        <f>H194/G194</f>
        <v/>
      </c>
    </row>
    <row r="195">
      <c r="A195" s="6" t="inlineStr">
        <is>
          <t>M28B2</t>
        </is>
      </c>
      <c r="B195" s="6" t="inlineStr">
        <is>
          <t>C1086-Q9575</t>
        </is>
      </c>
      <c r="C195" s="6" t="inlineStr">
        <is>
          <t>Morropón</t>
        </is>
      </c>
      <c r="D195" s="6" t="inlineStr">
        <is>
          <t>Yamango</t>
        </is>
      </c>
      <c r="E195" s="6" t="inlineStr">
        <is>
          <t>Zona agrícola</t>
        </is>
      </c>
      <c r="F195" s="6" t="inlineStr">
        <is>
          <t>Agri</t>
        </is>
      </c>
      <c r="G195" s="11" t="n">
        <v>90.197</v>
      </c>
      <c r="H195" s="11" t="n">
        <v>0.763797459569189</v>
      </c>
      <c r="I195" s="12">
        <f>H195/G195</f>
        <v/>
      </c>
    </row>
    <row r="196">
      <c r="A196" s="8" t="inlineStr">
        <is>
          <t>M28B3</t>
        </is>
      </c>
      <c r="B196" s="8" t="inlineStr">
        <is>
          <t>C1086-Q9575</t>
        </is>
      </c>
      <c r="C196" s="8" t="inlineStr">
        <is>
          <t>Morropón</t>
        </is>
      </c>
      <c r="D196" s="8" t="inlineStr">
        <is>
          <t>Yamango</t>
        </is>
      </c>
      <c r="E196" s="8" t="inlineStr">
        <is>
          <t>Bosque estacionalmente seco de colina y montaña</t>
        </is>
      </c>
      <c r="F196" s="8" t="inlineStr">
        <is>
          <t>Bes-cm</t>
        </is>
      </c>
      <c r="G196" s="15" t="n">
        <v>58.292</v>
      </c>
      <c r="H196" s="15" t="n">
        <v>54.72098162174031</v>
      </c>
      <c r="I196" s="16">
        <f>H196/G196</f>
        <v/>
      </c>
    </row>
    <row r="197">
      <c r="A197" s="6" t="inlineStr">
        <is>
          <t>M28B3</t>
        </is>
      </c>
      <c r="B197" s="6" t="inlineStr">
        <is>
          <t>C1086-Q9575</t>
        </is>
      </c>
      <c r="C197" s="6" t="inlineStr">
        <is>
          <t>Morropón</t>
        </is>
      </c>
      <c r="D197" s="6" t="inlineStr">
        <is>
          <t>Yamango</t>
        </is>
      </c>
      <c r="E197" s="6" t="inlineStr">
        <is>
          <t>Zona agrícola</t>
        </is>
      </c>
      <c r="F197" s="6" t="inlineStr">
        <is>
          <t>Agri</t>
        </is>
      </c>
      <c r="G197" s="11" t="n">
        <v>58.292</v>
      </c>
      <c r="H197" s="11" t="n">
        <v>3.571018378259684</v>
      </c>
      <c r="I197" s="12">
        <f>H197/G197</f>
        <v/>
      </c>
    </row>
    <row r="198">
      <c r="A198" s="8" t="inlineStr">
        <is>
          <t>M28B4</t>
        </is>
      </c>
      <c r="B198" s="8" t="inlineStr">
        <is>
          <t>C1086-Q9575</t>
        </is>
      </c>
      <c r="C198" s="8" t="inlineStr">
        <is>
          <t>Morropón</t>
        </is>
      </c>
      <c r="D198" s="8" t="inlineStr">
        <is>
          <t>Yamango</t>
        </is>
      </c>
      <c r="E198" s="8" t="inlineStr">
        <is>
          <t>Bosque estacionalmente seco de colina y montaña</t>
        </is>
      </c>
      <c r="F198" s="8" t="inlineStr">
        <is>
          <t>Bes-cm</t>
        </is>
      </c>
      <c r="G198" s="15" t="n">
        <v>283.428</v>
      </c>
      <c r="H198" s="15" t="n">
        <v>283.428</v>
      </c>
      <c r="I198" s="16">
        <f>H198/G198</f>
        <v/>
      </c>
    </row>
    <row r="199">
      <c r="A199" s="17" t="inlineStr">
        <is>
          <t>TOTAL</t>
        </is>
      </c>
      <c r="B199" s="17" t="n"/>
      <c r="C199" s="17" t="n"/>
      <c r="D199" s="17" t="n"/>
      <c r="E199" s="17" t="n"/>
      <c r="F199" s="17" t="n"/>
      <c r="G199" s="17" t="n"/>
      <c r="H199" s="21">
        <f>SUM(H9:H198)</f>
        <v/>
      </c>
      <c r="I199" s="17" t="n"/>
    </row>
  </sheetData>
  <autoFilter ref="A8:I198"/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1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27" customWidth="1" min="5" max="5"/>
    <col width="27" customWidth="1" min="6" max="6"/>
    <col width="27" customWidth="1" min="7" max="7"/>
    <col width="22" customWidth="1" min="8" max="8"/>
    <col width="20" customWidth="1" min="9" max="9"/>
    <col width="15" customWidth="1" min="10" max="10"/>
    <col width="16" customWidth="1" min="11" max="11"/>
    <col width="28" customWidth="1" min="12" max="12"/>
    <col width="17" customWidth="1" min="13" max="13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A4. COBERTURA VEGETAL — MSAVI 2024 POR CLASE (DN) Y BLOQUE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AREAS_MSAVI_BLOQUES_V6_REV_HSCM.xlsx (exportación SIG) y traspaso MSAVI V6 (datos/traspaso_msavi_117.json)</t>
        </is>
      </c>
    </row>
    <row r="8" ht="30" customHeight="1">
      <c r="A8" s="4" t="inlineStr">
        <is>
          <t>Bloque</t>
        </is>
      </c>
      <c r="B8" s="4" t="inlineStr">
        <is>
          <t>Provincia</t>
        </is>
      </c>
      <c r="C8" s="4" t="inlineStr">
        <is>
          <t>Distrito</t>
        </is>
      </c>
      <c r="D8" s="4" t="inlineStr">
        <is>
          <t>DN 1 ≤ 0.2650 (ha)</t>
        </is>
      </c>
      <c r="E8" s="4" t="inlineStr">
        <is>
          <t>DN 2 0.2650-0.3813 (ha)</t>
        </is>
      </c>
      <c r="F8" s="4" t="inlineStr">
        <is>
          <t>DN 3 0.3813-0.4976 (ha)</t>
        </is>
      </c>
      <c r="G8" s="4" t="inlineStr">
        <is>
          <t>DN 4 0.4976-0.6139 (ha)</t>
        </is>
      </c>
      <c r="H8" s="4" t="inlineStr">
        <is>
          <t>DN 5 &gt; 0.6139 (ha)</t>
        </is>
      </c>
      <c r="I8" s="4" t="inlineStr">
        <is>
          <t>Total MSAVI (ha)</t>
        </is>
      </c>
      <c r="J8" s="4" t="inlineStr">
        <is>
          <t>MSAVI media</t>
        </is>
      </c>
      <c r="K8" s="4" t="inlineStr">
        <is>
          <t>DN dominante</t>
        </is>
      </c>
      <c r="L8" s="4" t="inlineStr">
        <is>
          <t>Sup. MSAVI ≤ 0.4976 (ha)</t>
        </is>
      </c>
      <c r="M8" s="4" t="inlineStr">
        <is>
          <t>% bajo umbral</t>
        </is>
      </c>
    </row>
    <row r="9">
      <c r="A9" s="6" t="inlineStr">
        <is>
          <t>27</t>
        </is>
      </c>
      <c r="B9" s="6" t="inlineStr">
        <is>
          <t>Ayabaca</t>
        </is>
      </c>
      <c r="C9" s="6" t="inlineStr">
        <is>
          <t>Frías</t>
        </is>
      </c>
      <c r="D9" s="11" t="n">
        <v>0</v>
      </c>
      <c r="E9" s="11" t="n">
        <v>0.8038999999999999</v>
      </c>
      <c r="F9" s="11" t="n">
        <v>28.5017</v>
      </c>
      <c r="G9" s="11" t="n">
        <v>36.4791</v>
      </c>
      <c r="H9" s="11" t="n">
        <v>12.3693</v>
      </c>
      <c r="I9" s="11">
        <f>SUM(D9:H9)</f>
        <v/>
      </c>
      <c r="J9" s="29" t="n">
        <v>0.53228</v>
      </c>
      <c r="K9" s="6" t="n">
        <v>4</v>
      </c>
      <c r="L9" s="11">
        <f>SUM(D9:F9)</f>
        <v/>
      </c>
      <c r="M9" s="12">
        <f>L9/I9</f>
        <v/>
      </c>
    </row>
    <row r="10">
      <c r="A10" s="8" t="inlineStr">
        <is>
          <t>3</t>
        </is>
      </c>
      <c r="B10" s="8" t="inlineStr">
        <is>
          <t>Ayabaca</t>
        </is>
      </c>
      <c r="C10" s="8" t="inlineStr">
        <is>
          <t>Frías</t>
        </is>
      </c>
      <c r="D10" s="15" t="n">
        <v>0.0022</v>
      </c>
      <c r="E10" s="15" t="n">
        <v>5.6207</v>
      </c>
      <c r="F10" s="15" t="n">
        <v>127.8584</v>
      </c>
      <c r="G10" s="15" t="n">
        <v>174.9372</v>
      </c>
      <c r="H10" s="15" t="n">
        <v>150.8762</v>
      </c>
      <c r="I10" s="15">
        <f>SUM(D10:H10)</f>
        <v/>
      </c>
      <c r="J10" s="31" t="n">
        <v>0.567707</v>
      </c>
      <c r="K10" s="8" t="n">
        <v>4</v>
      </c>
      <c r="L10" s="15">
        <f>SUM(D10:F10)</f>
        <v/>
      </c>
      <c r="M10" s="16">
        <f>L10/I10</f>
        <v/>
      </c>
    </row>
    <row r="11">
      <c r="A11" s="6" t="inlineStr">
        <is>
          <t>36</t>
        </is>
      </c>
      <c r="B11" s="6" t="inlineStr">
        <is>
          <t>Ayabaca</t>
        </is>
      </c>
      <c r="C11" s="6" t="inlineStr">
        <is>
          <t>Frías</t>
        </is>
      </c>
      <c r="D11" s="11" t="n">
        <v>0</v>
      </c>
      <c r="E11" s="11" t="n">
        <v>0.3467</v>
      </c>
      <c r="F11" s="11" t="n">
        <v>8.5054</v>
      </c>
      <c r="G11" s="11" t="n">
        <v>11.2948</v>
      </c>
      <c r="H11" s="11" t="n">
        <v>4.6963</v>
      </c>
      <c r="I11" s="11">
        <f>SUM(D11:H11)</f>
        <v/>
      </c>
      <c r="J11" s="29" t="n">
        <v>0.539458</v>
      </c>
      <c r="K11" s="6" t="n">
        <v>4</v>
      </c>
      <c r="L11" s="11">
        <f>SUM(D11:F11)</f>
        <v/>
      </c>
      <c r="M11" s="12">
        <f>L11/I11</f>
        <v/>
      </c>
    </row>
    <row r="12">
      <c r="A12" s="8" t="inlineStr">
        <is>
          <t>39</t>
        </is>
      </c>
      <c r="B12" s="8" t="inlineStr">
        <is>
          <t>Ayabaca</t>
        </is>
      </c>
      <c r="C12" s="8" t="inlineStr">
        <is>
          <t>Frías</t>
        </is>
      </c>
      <c r="D12" s="15" t="n">
        <v>0</v>
      </c>
      <c r="E12" s="15" t="n">
        <v>0</v>
      </c>
      <c r="F12" s="15" t="n">
        <v>2.6356</v>
      </c>
      <c r="G12" s="15" t="n">
        <v>9.5146</v>
      </c>
      <c r="H12" s="15" t="n">
        <v>56.4189</v>
      </c>
      <c r="I12" s="15">
        <f>SUM(D12:H12)</f>
        <v/>
      </c>
      <c r="J12" s="31" t="n">
        <v>0.701601</v>
      </c>
      <c r="K12" s="8" t="n">
        <v>5</v>
      </c>
      <c r="L12" s="15">
        <f>SUM(D12:F12)</f>
        <v/>
      </c>
      <c r="M12" s="16">
        <f>L12/I12</f>
        <v/>
      </c>
    </row>
    <row r="13">
      <c r="A13" s="6" t="inlineStr">
        <is>
          <t>56</t>
        </is>
      </c>
      <c r="B13" s="6" t="inlineStr">
        <is>
          <t>Ayabaca</t>
        </is>
      </c>
      <c r="C13" s="6" t="inlineStr">
        <is>
          <t>Frías</t>
        </is>
      </c>
      <c r="D13" s="11" t="n">
        <v>0</v>
      </c>
      <c r="E13" s="11" t="n">
        <v>0.0198</v>
      </c>
      <c r="F13" s="11" t="n">
        <v>2.1511</v>
      </c>
      <c r="G13" s="11" t="n">
        <v>14.1789</v>
      </c>
      <c r="H13" s="11" t="n">
        <v>61.3158</v>
      </c>
      <c r="I13" s="11">
        <f>SUM(D13:H13)</f>
        <v/>
      </c>
      <c r="J13" s="29" t="n">
        <v>0.677658</v>
      </c>
      <c r="K13" s="6" t="n">
        <v>5</v>
      </c>
      <c r="L13" s="11">
        <f>SUM(D13:F13)</f>
        <v/>
      </c>
      <c r="M13" s="12">
        <f>L13/I13</f>
        <v/>
      </c>
    </row>
    <row r="14">
      <c r="A14" s="8" t="inlineStr">
        <is>
          <t>6</t>
        </is>
      </c>
      <c r="B14" s="8" t="inlineStr">
        <is>
          <t>Ayabaca</t>
        </is>
      </c>
      <c r="C14" s="8" t="inlineStr">
        <is>
          <t>Frías</t>
        </is>
      </c>
      <c r="D14" s="15" t="n">
        <v>0.0644</v>
      </c>
      <c r="E14" s="15" t="n">
        <v>4.2168</v>
      </c>
      <c r="F14" s="15" t="n">
        <v>55.3534</v>
      </c>
      <c r="G14" s="15" t="n">
        <v>77.1185</v>
      </c>
      <c r="H14" s="15" t="n">
        <v>31.6575</v>
      </c>
      <c r="I14" s="15">
        <f>SUM(D14:H14)</f>
        <v/>
      </c>
      <c r="J14" s="31" t="n">
        <v>0.538144</v>
      </c>
      <c r="K14" s="8" t="n">
        <v>4</v>
      </c>
      <c r="L14" s="15">
        <f>SUM(D14:F14)</f>
        <v/>
      </c>
      <c r="M14" s="16">
        <f>L14/I14</f>
        <v/>
      </c>
    </row>
    <row r="15">
      <c r="A15" s="6" t="inlineStr">
        <is>
          <t>M17B10</t>
        </is>
      </c>
      <c r="B15" s="6" t="inlineStr">
        <is>
          <t>Ayabaca</t>
        </is>
      </c>
      <c r="C15" s="6" t="inlineStr">
        <is>
          <t>Frías</t>
        </is>
      </c>
      <c r="D15" s="11" t="n">
        <v>0</v>
      </c>
      <c r="E15" s="11" t="n">
        <v>2.3459</v>
      </c>
      <c r="F15" s="11" t="n">
        <v>52.9188</v>
      </c>
      <c r="G15" s="11" t="n">
        <v>15.5782</v>
      </c>
      <c r="H15" s="11" t="n">
        <v>4.5205</v>
      </c>
      <c r="I15" s="11">
        <f>SUM(D15:H15)</f>
        <v/>
      </c>
      <c r="J15" s="29" t="n">
        <v>0.472466</v>
      </c>
      <c r="K15" s="6" t="n">
        <v>3</v>
      </c>
      <c r="L15" s="11">
        <f>SUM(D15:F15)</f>
        <v/>
      </c>
      <c r="M15" s="12">
        <f>L15/I15</f>
        <v/>
      </c>
    </row>
    <row r="16">
      <c r="A16" s="8" t="inlineStr">
        <is>
          <t>M17B5</t>
        </is>
      </c>
      <c r="B16" s="8" t="inlineStr">
        <is>
          <t>Ayabaca</t>
        </is>
      </c>
      <c r="C16" s="8" t="inlineStr">
        <is>
          <t>Frías</t>
        </is>
      </c>
      <c r="D16" s="15" t="n">
        <v>0</v>
      </c>
      <c r="E16" s="15" t="n">
        <v>0.4355</v>
      </c>
      <c r="F16" s="15" t="n">
        <v>20.9904</v>
      </c>
      <c r="G16" s="15" t="n">
        <v>36.7832</v>
      </c>
      <c r="H16" s="15" t="n">
        <v>15.8188</v>
      </c>
      <c r="I16" s="15">
        <f>SUM(D16:H16)</f>
        <v/>
      </c>
      <c r="J16" s="31" t="n">
        <v>0.54817</v>
      </c>
      <c r="K16" s="8" t="n">
        <v>4</v>
      </c>
      <c r="L16" s="15">
        <f>SUM(D16:F16)</f>
        <v/>
      </c>
      <c r="M16" s="16">
        <f>L16/I16</f>
        <v/>
      </c>
    </row>
    <row r="17">
      <c r="A17" s="6" t="inlineStr">
        <is>
          <t>M17B6</t>
        </is>
      </c>
      <c r="B17" s="6" t="inlineStr">
        <is>
          <t>Ayabaca</t>
        </is>
      </c>
      <c r="C17" s="6" t="inlineStr">
        <is>
          <t>Frías</t>
        </is>
      </c>
      <c r="D17" s="11" t="n">
        <v>0.0179</v>
      </c>
      <c r="E17" s="11" t="n">
        <v>13.3443</v>
      </c>
      <c r="F17" s="11" t="n">
        <v>73.8064</v>
      </c>
      <c r="G17" s="11" t="n">
        <v>17.6783</v>
      </c>
      <c r="H17" s="11" t="n">
        <v>1.6916</v>
      </c>
      <c r="I17" s="11">
        <f>SUM(D17:H17)</f>
        <v/>
      </c>
      <c r="J17" s="29" t="n">
        <v>0.446441</v>
      </c>
      <c r="K17" s="6" t="n">
        <v>3</v>
      </c>
      <c r="L17" s="11">
        <f>SUM(D17:F17)</f>
        <v/>
      </c>
      <c r="M17" s="12">
        <f>L17/I17</f>
        <v/>
      </c>
    </row>
    <row r="18">
      <c r="A18" s="8" t="inlineStr">
        <is>
          <t>M17B7</t>
        </is>
      </c>
      <c r="B18" s="8" t="inlineStr">
        <is>
          <t>Ayabaca</t>
        </is>
      </c>
      <c r="C18" s="8" t="inlineStr">
        <is>
          <t>Frías</t>
        </is>
      </c>
      <c r="D18" s="15" t="n">
        <v>0.0042</v>
      </c>
      <c r="E18" s="15" t="n">
        <v>15.0575</v>
      </c>
      <c r="F18" s="15" t="n">
        <v>110.2042</v>
      </c>
      <c r="G18" s="15" t="n">
        <v>97.99169999999999</v>
      </c>
      <c r="H18" s="15" t="n">
        <v>35.5796</v>
      </c>
      <c r="I18" s="15">
        <f>SUM(D18:H18)</f>
        <v/>
      </c>
      <c r="J18" s="31" t="n">
        <v>0.508715</v>
      </c>
      <c r="K18" s="8" t="n">
        <v>3</v>
      </c>
      <c r="L18" s="15">
        <f>SUM(D18:F18)</f>
        <v/>
      </c>
      <c r="M18" s="16">
        <f>L18/I18</f>
        <v/>
      </c>
    </row>
    <row r="19">
      <c r="A19" s="6" t="inlineStr">
        <is>
          <t>21</t>
        </is>
      </c>
      <c r="B19" s="6" t="inlineStr">
        <is>
          <t>Huancabamba</t>
        </is>
      </c>
      <c r="C19" s="6" t="inlineStr">
        <is>
          <t>Canchaque</t>
        </is>
      </c>
      <c r="D19" s="11" t="n">
        <v>0</v>
      </c>
      <c r="E19" s="11" t="n">
        <v>0.009900000000000001</v>
      </c>
      <c r="F19" s="11" t="n">
        <v>4.3472</v>
      </c>
      <c r="G19" s="11" t="n">
        <v>38.6852</v>
      </c>
      <c r="H19" s="11" t="n">
        <v>41.1843</v>
      </c>
      <c r="I19" s="11">
        <f>SUM(D19:H19)</f>
        <v/>
      </c>
      <c r="J19" s="29" t="n">
        <v>0.620078</v>
      </c>
      <c r="K19" s="6" t="n">
        <v>5</v>
      </c>
      <c r="L19" s="11">
        <f>SUM(D19:F19)</f>
        <v/>
      </c>
      <c r="M19" s="12">
        <f>L19/I19</f>
        <v/>
      </c>
    </row>
    <row r="20">
      <c r="A20" s="8" t="inlineStr">
        <is>
          <t>24</t>
        </is>
      </c>
      <c r="B20" s="8" t="inlineStr">
        <is>
          <t>Huancabamba</t>
        </is>
      </c>
      <c r="C20" s="8" t="inlineStr">
        <is>
          <t>Canchaque</t>
        </is>
      </c>
      <c r="D20" s="15" t="n">
        <v>0</v>
      </c>
      <c r="E20" s="15" t="n">
        <v>0</v>
      </c>
      <c r="F20" s="15" t="n">
        <v>2.0611</v>
      </c>
      <c r="G20" s="15" t="n">
        <v>20.0145</v>
      </c>
      <c r="H20" s="15" t="n">
        <v>68.0839</v>
      </c>
      <c r="I20" s="15">
        <f>SUM(D20:H20)</f>
        <v/>
      </c>
      <c r="J20" s="31" t="n">
        <v>0.674839</v>
      </c>
      <c r="K20" s="8" t="n">
        <v>5</v>
      </c>
      <c r="L20" s="15">
        <f>SUM(D20:F20)</f>
        <v/>
      </c>
      <c r="M20" s="16">
        <f>L20/I20</f>
        <v/>
      </c>
    </row>
    <row r="21">
      <c r="A21" s="6" t="inlineStr">
        <is>
          <t>28</t>
        </is>
      </c>
      <c r="B21" s="6" t="inlineStr">
        <is>
          <t>Huancabamba</t>
        </is>
      </c>
      <c r="C21" s="6" t="inlineStr">
        <is>
          <t>Canchaque</t>
        </is>
      </c>
      <c r="D21" s="11" t="n">
        <v>0</v>
      </c>
      <c r="E21" s="11" t="n">
        <v>0</v>
      </c>
      <c r="F21" s="11" t="n">
        <v>0.4949</v>
      </c>
      <c r="G21" s="11" t="n">
        <v>19.1924</v>
      </c>
      <c r="H21" s="11" t="n">
        <v>33.2785</v>
      </c>
      <c r="I21" s="11">
        <f>SUM(D21:H21)</f>
        <v/>
      </c>
      <c r="J21" s="29" t="n">
        <v>0.639425</v>
      </c>
      <c r="K21" s="6" t="n">
        <v>5</v>
      </c>
      <c r="L21" s="11">
        <f>SUM(D21:F21)</f>
        <v/>
      </c>
      <c r="M21" s="12">
        <f>L21/I21</f>
        <v/>
      </c>
    </row>
    <row r="22">
      <c r="A22" s="8" t="inlineStr">
        <is>
          <t>30</t>
        </is>
      </c>
      <c r="B22" s="8" t="inlineStr">
        <is>
          <t>Huancabamba</t>
        </is>
      </c>
      <c r="C22" s="8" t="inlineStr">
        <is>
          <t>Canchaque</t>
        </is>
      </c>
      <c r="D22" s="15" t="n">
        <v>0</v>
      </c>
      <c r="E22" s="15" t="n">
        <v>0</v>
      </c>
      <c r="F22" s="15" t="n">
        <v>0.4558</v>
      </c>
      <c r="G22" s="15" t="n">
        <v>9.617599999999999</v>
      </c>
      <c r="H22" s="15" t="n">
        <v>24.8004</v>
      </c>
      <c r="I22" s="15">
        <f>SUM(D22:H22)</f>
        <v/>
      </c>
      <c r="J22" s="31" t="n">
        <v>0.6638039999999999</v>
      </c>
      <c r="K22" s="8" t="n">
        <v>5</v>
      </c>
      <c r="L22" s="15">
        <f>SUM(D22:F22)</f>
        <v/>
      </c>
      <c r="M22" s="16">
        <f>L22/I22</f>
        <v/>
      </c>
    </row>
    <row r="23">
      <c r="A23" s="6" t="inlineStr">
        <is>
          <t>40</t>
        </is>
      </c>
      <c r="B23" s="6" t="inlineStr">
        <is>
          <t>Huancabamba</t>
        </is>
      </c>
      <c r="C23" s="6" t="inlineStr">
        <is>
          <t>Canchaque</t>
        </is>
      </c>
      <c r="D23" s="11" t="n">
        <v>0</v>
      </c>
      <c r="E23" s="11" t="n">
        <v>0</v>
      </c>
      <c r="F23" s="11" t="n">
        <v>0.8276</v>
      </c>
      <c r="G23" s="11" t="n">
        <v>9.4092</v>
      </c>
      <c r="H23" s="11" t="n">
        <v>18.2866</v>
      </c>
      <c r="I23" s="11">
        <f>SUM(D23:H23)</f>
        <v/>
      </c>
      <c r="J23" s="29" t="n">
        <v>0.640099</v>
      </c>
      <c r="K23" s="6" t="n">
        <v>5</v>
      </c>
      <c r="L23" s="11">
        <f>SUM(D23:F23)</f>
        <v/>
      </c>
      <c r="M23" s="12">
        <f>L23/I23</f>
        <v/>
      </c>
    </row>
    <row r="24">
      <c r="A24" s="8" t="inlineStr">
        <is>
          <t>60</t>
        </is>
      </c>
      <c r="B24" s="8" t="inlineStr">
        <is>
          <t>Huancabamba</t>
        </is>
      </c>
      <c r="C24" s="8" t="inlineStr">
        <is>
          <t>Canchaque</t>
        </is>
      </c>
      <c r="D24" s="15" t="n">
        <v>0</v>
      </c>
      <c r="E24" s="15" t="n">
        <v>0</v>
      </c>
      <c r="F24" s="15" t="n">
        <v>0.2447</v>
      </c>
      <c r="G24" s="15" t="n">
        <v>5.9858</v>
      </c>
      <c r="H24" s="15" t="n">
        <v>33.9012</v>
      </c>
      <c r="I24" s="15">
        <f>SUM(D24:H24)</f>
        <v/>
      </c>
      <c r="J24" s="31" t="n">
        <v>0.67447</v>
      </c>
      <c r="K24" s="8" t="n">
        <v>5</v>
      </c>
      <c r="L24" s="15">
        <f>SUM(D24:F24)</f>
        <v/>
      </c>
      <c r="M24" s="16">
        <f>L24/I24</f>
        <v/>
      </c>
    </row>
    <row r="25">
      <c r="A25" s="6" t="inlineStr">
        <is>
          <t>63</t>
        </is>
      </c>
      <c r="B25" s="6" t="inlineStr">
        <is>
          <t>Huancabamba</t>
        </is>
      </c>
      <c r="C25" s="6" t="inlineStr">
        <is>
          <t>Canchaque</t>
        </is>
      </c>
      <c r="D25" s="11" t="n">
        <v>0</v>
      </c>
      <c r="E25" s="11" t="n">
        <v>0</v>
      </c>
      <c r="F25" s="11" t="n">
        <v>1.4877</v>
      </c>
      <c r="G25" s="11" t="n">
        <v>30.6155</v>
      </c>
      <c r="H25" s="11" t="n">
        <v>18.3555</v>
      </c>
      <c r="I25" s="11">
        <f>SUM(D25:H25)</f>
        <v/>
      </c>
      <c r="J25" s="29" t="n">
        <v>0.603582</v>
      </c>
      <c r="K25" s="6" t="n">
        <v>4</v>
      </c>
      <c r="L25" s="11">
        <f>SUM(D25:F25)</f>
        <v/>
      </c>
      <c r="M25" s="12">
        <f>L25/I25</f>
        <v/>
      </c>
    </row>
    <row r="26">
      <c r="A26" s="8" t="inlineStr">
        <is>
          <t>66</t>
        </is>
      </c>
      <c r="B26" s="8" t="inlineStr">
        <is>
          <t>Huancabamba</t>
        </is>
      </c>
      <c r="C26" s="8" t="inlineStr">
        <is>
          <t>Canchaque</t>
        </is>
      </c>
      <c r="D26" s="15" t="n">
        <v>0.0198</v>
      </c>
      <c r="E26" s="15" t="n">
        <v>0.5303</v>
      </c>
      <c r="F26" s="15" t="n">
        <v>8.497400000000001</v>
      </c>
      <c r="G26" s="15" t="n">
        <v>32.2536</v>
      </c>
      <c r="H26" s="15" t="n">
        <v>61.0341</v>
      </c>
      <c r="I26" s="15">
        <f>SUM(D26:H26)</f>
        <v/>
      </c>
      <c r="J26" s="31" t="n">
        <v>0.640254</v>
      </c>
      <c r="K26" s="8" t="n">
        <v>5</v>
      </c>
      <c r="L26" s="15">
        <f>SUM(D26:F26)</f>
        <v/>
      </c>
      <c r="M26" s="16">
        <f>L26/I26</f>
        <v/>
      </c>
    </row>
    <row r="27">
      <c r="A27" s="6" t="inlineStr">
        <is>
          <t>79</t>
        </is>
      </c>
      <c r="B27" s="6" t="inlineStr">
        <is>
          <t>Huancabamba</t>
        </is>
      </c>
      <c r="C27" s="6" t="inlineStr">
        <is>
          <t>Canchaque</t>
        </is>
      </c>
      <c r="D27" s="11" t="n">
        <v>0</v>
      </c>
      <c r="E27" s="11" t="n">
        <v>0.3243</v>
      </c>
      <c r="F27" s="11" t="n">
        <v>27.8275</v>
      </c>
      <c r="G27" s="11" t="n">
        <v>44.9202</v>
      </c>
      <c r="H27" s="11" t="n">
        <v>21.7397</v>
      </c>
      <c r="I27" s="11">
        <f>SUM(D27:H27)</f>
        <v/>
      </c>
      <c r="J27" s="29" t="n">
        <v>0.547879</v>
      </c>
      <c r="K27" s="6" t="n">
        <v>4</v>
      </c>
      <c r="L27" s="11">
        <f>SUM(D27:F27)</f>
        <v/>
      </c>
      <c r="M27" s="12">
        <f>L27/I27</f>
        <v/>
      </c>
    </row>
    <row r="28">
      <c r="A28" s="8" t="inlineStr">
        <is>
          <t>81</t>
        </is>
      </c>
      <c r="B28" s="8" t="inlineStr">
        <is>
          <t>Huancabamba</t>
        </is>
      </c>
      <c r="C28" s="8" t="inlineStr">
        <is>
          <t>Canchaque</t>
        </is>
      </c>
      <c r="D28" s="15" t="n">
        <v>3.958</v>
      </c>
      <c r="E28" s="15" t="n">
        <v>4.8342</v>
      </c>
      <c r="F28" s="15" t="n">
        <v>0.1365</v>
      </c>
      <c r="G28" s="15" t="n">
        <v>0</v>
      </c>
      <c r="H28" s="15" t="n">
        <v>0</v>
      </c>
      <c r="I28" s="15">
        <f>SUM(D28:H28)</f>
        <v/>
      </c>
      <c r="J28" s="31" t="n">
        <v>0.274714</v>
      </c>
      <c r="K28" s="8" t="n">
        <v>2</v>
      </c>
      <c r="L28" s="15">
        <f>SUM(D28:F28)</f>
        <v/>
      </c>
      <c r="M28" s="16">
        <f>L28/I28</f>
        <v/>
      </c>
    </row>
    <row r="29">
      <c r="A29" s="6" t="inlineStr">
        <is>
          <t>64</t>
        </is>
      </c>
      <c r="B29" s="6" t="inlineStr">
        <is>
          <t>Huancabamba</t>
        </is>
      </c>
      <c r="C29" s="6" t="inlineStr">
        <is>
          <t>Huancabamba</t>
        </is>
      </c>
      <c r="D29" s="11" t="n">
        <v>0</v>
      </c>
      <c r="E29" s="11" t="n">
        <v>2.7145</v>
      </c>
      <c r="F29" s="11" t="n">
        <v>12.1259</v>
      </c>
      <c r="G29" s="11" t="n">
        <v>12.792</v>
      </c>
      <c r="H29" s="11" t="n">
        <v>8.141400000000001</v>
      </c>
      <c r="I29" s="11">
        <f>SUM(D29:H29)</f>
        <v/>
      </c>
      <c r="J29" s="29" t="n">
        <v>0.525448</v>
      </c>
      <c r="K29" s="6" t="n">
        <v>4</v>
      </c>
      <c r="L29" s="11">
        <f>SUM(D29:F29)</f>
        <v/>
      </c>
      <c r="M29" s="12">
        <f>L29/I29</f>
        <v/>
      </c>
    </row>
    <row r="30">
      <c r="A30" s="8" t="inlineStr">
        <is>
          <t>M30B5</t>
        </is>
      </c>
      <c r="B30" s="8" t="inlineStr">
        <is>
          <t>Huancabamba</t>
        </is>
      </c>
      <c r="C30" s="8" t="inlineStr">
        <is>
          <t>Huancabamba</t>
        </is>
      </c>
      <c r="D30" s="15" t="n">
        <v>0</v>
      </c>
      <c r="E30" s="15" t="n">
        <v>0.6493</v>
      </c>
      <c r="F30" s="15" t="n">
        <v>29.3772</v>
      </c>
      <c r="G30" s="15" t="n">
        <v>35.0273</v>
      </c>
      <c r="H30" s="15" t="n">
        <v>25.8497</v>
      </c>
      <c r="I30" s="15">
        <f>SUM(D30:H30)</f>
        <v/>
      </c>
      <c r="J30" s="31" t="n">
        <v>0.5564</v>
      </c>
      <c r="K30" s="8" t="n">
        <v>4</v>
      </c>
      <c r="L30" s="15">
        <f>SUM(D30:F30)</f>
        <v/>
      </c>
      <c r="M30" s="16">
        <f>L30/I30</f>
        <v/>
      </c>
    </row>
    <row r="31">
      <c r="A31" s="6" t="inlineStr">
        <is>
          <t>10</t>
        </is>
      </c>
      <c r="B31" s="6" t="inlineStr">
        <is>
          <t>Huancabamba</t>
        </is>
      </c>
      <c r="C31" s="6" t="inlineStr">
        <is>
          <t>Huarmaca</t>
        </is>
      </c>
      <c r="D31" s="11" t="n">
        <v>1.6331</v>
      </c>
      <c r="E31" s="11" t="n">
        <v>5.4455</v>
      </c>
      <c r="F31" s="11" t="n">
        <v>35.7511</v>
      </c>
      <c r="G31" s="11" t="n">
        <v>70.6617</v>
      </c>
      <c r="H31" s="11" t="n">
        <v>36.7229</v>
      </c>
      <c r="I31" s="11">
        <f>SUM(D31:H31)</f>
        <v/>
      </c>
      <c r="J31" s="29" t="n">
        <v>0.546492</v>
      </c>
      <c r="K31" s="6" t="n">
        <v>4</v>
      </c>
      <c r="L31" s="11">
        <f>SUM(D31:F31)</f>
        <v/>
      </c>
      <c r="M31" s="12">
        <f>L31/I31</f>
        <v/>
      </c>
    </row>
    <row r="32">
      <c r="A32" s="8" t="inlineStr">
        <is>
          <t>16</t>
        </is>
      </c>
      <c r="B32" s="8" t="inlineStr">
        <is>
          <t>Huancabamba</t>
        </is>
      </c>
      <c r="C32" s="8" t="inlineStr">
        <is>
          <t>Huarmaca</t>
        </is>
      </c>
      <c r="D32" s="15" t="n">
        <v>0</v>
      </c>
      <c r="E32" s="15" t="n">
        <v>0.1941</v>
      </c>
      <c r="F32" s="15" t="n">
        <v>5.8869</v>
      </c>
      <c r="G32" s="15" t="n">
        <v>29.3656</v>
      </c>
      <c r="H32" s="15" t="n">
        <v>47.8809</v>
      </c>
      <c r="I32" s="15">
        <f>SUM(D32:H32)</f>
        <v/>
      </c>
      <c r="J32" s="31" t="n">
        <v>0.628423</v>
      </c>
      <c r="K32" s="8" t="n">
        <v>5</v>
      </c>
      <c r="L32" s="15">
        <f>SUM(D32:F32)</f>
        <v/>
      </c>
      <c r="M32" s="16">
        <f>L32/I32</f>
        <v/>
      </c>
    </row>
    <row r="33">
      <c r="A33" s="6" t="inlineStr">
        <is>
          <t>18</t>
        </is>
      </c>
      <c r="B33" s="6" t="inlineStr">
        <is>
          <t>Huancabamba</t>
        </is>
      </c>
      <c r="C33" s="6" t="inlineStr">
        <is>
          <t>Huarmaca</t>
        </is>
      </c>
      <c r="D33" s="11" t="n">
        <v>0</v>
      </c>
      <c r="E33" s="11" t="n">
        <v>0</v>
      </c>
      <c r="F33" s="11" t="n">
        <v>3.1111</v>
      </c>
      <c r="G33" s="11" t="n">
        <v>31.4917</v>
      </c>
      <c r="H33" s="11" t="n">
        <v>69.01439999999999</v>
      </c>
      <c r="I33" s="11">
        <f>SUM(D33:H33)</f>
        <v/>
      </c>
      <c r="J33" s="29" t="n">
        <v>0.640219</v>
      </c>
      <c r="K33" s="6" t="n">
        <v>5</v>
      </c>
      <c r="L33" s="11">
        <f>SUM(D33:F33)</f>
        <v/>
      </c>
      <c r="M33" s="12">
        <f>L33/I33</f>
        <v/>
      </c>
    </row>
    <row r="34">
      <c r="A34" s="8" t="inlineStr">
        <is>
          <t>19</t>
        </is>
      </c>
      <c r="B34" s="8" t="inlineStr">
        <is>
          <t>Huancabamba</t>
        </is>
      </c>
      <c r="C34" s="8" t="inlineStr">
        <is>
          <t>Huarmaca</t>
        </is>
      </c>
      <c r="D34" s="15" t="n">
        <v>0.0061</v>
      </c>
      <c r="E34" s="15" t="n">
        <v>2.8818</v>
      </c>
      <c r="F34" s="15" t="n">
        <v>32.1089</v>
      </c>
      <c r="G34" s="15" t="n">
        <v>25.0883</v>
      </c>
      <c r="H34" s="15" t="n">
        <v>22.0028</v>
      </c>
      <c r="I34" s="15">
        <f>SUM(D34:H34)</f>
        <v/>
      </c>
      <c r="J34" s="31" t="n">
        <v>0.537184</v>
      </c>
      <c r="K34" s="8" t="n">
        <v>3</v>
      </c>
      <c r="L34" s="15">
        <f>SUM(D34:F34)</f>
        <v/>
      </c>
      <c r="M34" s="16">
        <f>L34/I34</f>
        <v/>
      </c>
    </row>
    <row r="35">
      <c r="A35" s="6" t="inlineStr">
        <is>
          <t>20</t>
        </is>
      </c>
      <c r="B35" s="6" t="inlineStr">
        <is>
          <t>Huancabamba</t>
        </is>
      </c>
      <c r="C35" s="6" t="inlineStr">
        <is>
          <t>Huarmaca</t>
        </is>
      </c>
      <c r="D35" s="11" t="n">
        <v>0</v>
      </c>
      <c r="E35" s="11" t="n">
        <v>5.6135</v>
      </c>
      <c r="F35" s="11" t="n">
        <v>42.5576</v>
      </c>
      <c r="G35" s="11" t="n">
        <v>28.1972</v>
      </c>
      <c r="H35" s="11" t="n">
        <v>4.9654</v>
      </c>
      <c r="I35" s="11">
        <f>SUM(D35:H35)</f>
        <v/>
      </c>
      <c r="J35" s="29" t="n">
        <v>0.48513</v>
      </c>
      <c r="K35" s="6" t="n">
        <v>3</v>
      </c>
      <c r="L35" s="11">
        <f>SUM(D35:F35)</f>
        <v/>
      </c>
      <c r="M35" s="12">
        <f>L35/I35</f>
        <v/>
      </c>
    </row>
    <row r="36">
      <c r="A36" s="8" t="inlineStr">
        <is>
          <t>31</t>
        </is>
      </c>
      <c r="B36" s="8" t="inlineStr">
        <is>
          <t>Huancabamba</t>
        </is>
      </c>
      <c r="C36" s="8" t="inlineStr">
        <is>
          <t>Huarmaca</t>
        </is>
      </c>
      <c r="D36" s="15" t="n">
        <v>0.5773</v>
      </c>
      <c r="E36" s="15" t="n">
        <v>11.0475</v>
      </c>
      <c r="F36" s="15" t="n">
        <v>25.6868</v>
      </c>
      <c r="G36" s="15" t="n">
        <v>7.4668</v>
      </c>
      <c r="H36" s="15" t="n">
        <v>2.8031</v>
      </c>
      <c r="I36" s="15">
        <f>SUM(D36:H36)</f>
        <v/>
      </c>
      <c r="J36" s="31" t="n">
        <v>0.435805</v>
      </c>
      <c r="K36" s="8" t="n">
        <v>3</v>
      </c>
      <c r="L36" s="15">
        <f>SUM(D36:F36)</f>
        <v/>
      </c>
      <c r="M36" s="16">
        <f>L36/I36</f>
        <v/>
      </c>
    </row>
    <row r="37">
      <c r="A37" s="6" t="inlineStr">
        <is>
          <t>4</t>
        </is>
      </c>
      <c r="B37" s="6" t="inlineStr">
        <is>
          <t>Huancabamba</t>
        </is>
      </c>
      <c r="C37" s="6" t="inlineStr">
        <is>
          <t>Huarmaca</t>
        </is>
      </c>
      <c r="D37" s="11" t="n">
        <v>0.6923</v>
      </c>
      <c r="E37" s="11" t="n">
        <v>2.2581</v>
      </c>
      <c r="F37" s="11" t="n">
        <v>18.2778</v>
      </c>
      <c r="G37" s="11" t="n">
        <v>43.7754</v>
      </c>
      <c r="H37" s="11" t="n">
        <v>165.0947</v>
      </c>
      <c r="I37" s="11">
        <f>SUM(D37:H37)</f>
        <v/>
      </c>
      <c r="J37" s="29" t="n">
        <v>0.660111</v>
      </c>
      <c r="K37" s="6" t="n">
        <v>5</v>
      </c>
      <c r="L37" s="11">
        <f>SUM(D37:F37)</f>
        <v/>
      </c>
      <c r="M37" s="12">
        <f>L37/I37</f>
        <v/>
      </c>
    </row>
    <row r="38">
      <c r="A38" s="8" t="inlineStr">
        <is>
          <t>41</t>
        </is>
      </c>
      <c r="B38" s="8" t="inlineStr">
        <is>
          <t>Huancabamba</t>
        </is>
      </c>
      <c r="C38" s="8" t="inlineStr">
        <is>
          <t>Huarmaca</t>
        </is>
      </c>
      <c r="D38" s="15" t="n">
        <v>0</v>
      </c>
      <c r="E38" s="15" t="n">
        <v>0.2425</v>
      </c>
      <c r="F38" s="15" t="n">
        <v>7.7184</v>
      </c>
      <c r="G38" s="15" t="n">
        <v>29.5389</v>
      </c>
      <c r="H38" s="15" t="n">
        <v>27.4228</v>
      </c>
      <c r="I38" s="15">
        <f>SUM(D38:H38)</f>
        <v/>
      </c>
      <c r="J38" s="31" t="n">
        <v>0.592669</v>
      </c>
      <c r="K38" s="8" t="n">
        <v>4</v>
      </c>
      <c r="L38" s="15">
        <f>SUM(D38:F38)</f>
        <v/>
      </c>
      <c r="M38" s="16">
        <f>L38/I38</f>
        <v/>
      </c>
    </row>
    <row r="39">
      <c r="A39" s="6" t="inlineStr">
        <is>
          <t>51</t>
        </is>
      </c>
      <c r="B39" s="6" t="inlineStr">
        <is>
          <t>Huancabamba</t>
        </is>
      </c>
      <c r="C39" s="6" t="inlineStr">
        <is>
          <t>Huarmaca</t>
        </is>
      </c>
      <c r="D39" s="11" t="n">
        <v>0</v>
      </c>
      <c r="E39" s="11" t="n">
        <v>1.5661</v>
      </c>
      <c r="F39" s="11" t="n">
        <v>6.3738</v>
      </c>
      <c r="G39" s="11" t="n">
        <v>11.4729</v>
      </c>
      <c r="H39" s="11" t="n">
        <v>3.5142</v>
      </c>
      <c r="I39" s="11">
        <f>SUM(D39:H39)</f>
        <v/>
      </c>
      <c r="J39" s="29" t="n">
        <v>0.523788</v>
      </c>
      <c r="K39" s="6" t="n">
        <v>4</v>
      </c>
      <c r="L39" s="11">
        <f>SUM(D39:F39)</f>
        <v/>
      </c>
      <c r="M39" s="12">
        <f>L39/I39</f>
        <v/>
      </c>
    </row>
    <row r="40">
      <c r="A40" s="8" t="inlineStr">
        <is>
          <t>53</t>
        </is>
      </c>
      <c r="B40" s="8" t="inlineStr">
        <is>
          <t>Huancabamba</t>
        </is>
      </c>
      <c r="C40" s="8" t="inlineStr">
        <is>
          <t>Huarmaca</t>
        </is>
      </c>
      <c r="D40" s="15" t="n">
        <v>0</v>
      </c>
      <c r="E40" s="15" t="n">
        <v>0.099</v>
      </c>
      <c r="F40" s="15" t="n">
        <v>1.5271</v>
      </c>
      <c r="G40" s="15" t="n">
        <v>5.8631</v>
      </c>
      <c r="H40" s="15" t="n">
        <v>5.5755</v>
      </c>
      <c r="I40" s="15">
        <f>SUM(D40:H40)</f>
        <v/>
      </c>
      <c r="J40" s="31" t="n">
        <v>0.5962769999999999</v>
      </c>
      <c r="K40" s="8" t="n">
        <v>4</v>
      </c>
      <c r="L40" s="15">
        <f>SUM(D40:F40)</f>
        <v/>
      </c>
      <c r="M40" s="16">
        <f>L40/I40</f>
        <v/>
      </c>
    </row>
    <row r="41">
      <c r="A41" s="6" t="inlineStr">
        <is>
          <t>69</t>
        </is>
      </c>
      <c r="B41" s="6" t="inlineStr">
        <is>
          <t>Huancabamba</t>
        </is>
      </c>
      <c r="C41" s="6" t="inlineStr">
        <is>
          <t>Huarmaca</t>
        </is>
      </c>
      <c r="D41" s="11" t="n">
        <v>0</v>
      </c>
      <c r="E41" s="11" t="n">
        <v>2.4764</v>
      </c>
      <c r="F41" s="11" t="n">
        <v>13.3116</v>
      </c>
      <c r="G41" s="11" t="n">
        <v>1.9698</v>
      </c>
      <c r="H41" s="11" t="n">
        <v>1.6675</v>
      </c>
      <c r="I41" s="11">
        <f>SUM(D41:H41)</f>
        <v/>
      </c>
      <c r="J41" s="29" t="n">
        <v>0.448926</v>
      </c>
      <c r="K41" s="6" t="n">
        <v>3</v>
      </c>
      <c r="L41" s="11">
        <f>SUM(D41:F41)</f>
        <v/>
      </c>
      <c r="M41" s="12">
        <f>L41/I41</f>
        <v/>
      </c>
    </row>
    <row r="42">
      <c r="A42" s="8" t="inlineStr">
        <is>
          <t>70</t>
        </is>
      </c>
      <c r="B42" s="8" t="inlineStr">
        <is>
          <t>Huancabamba</t>
        </is>
      </c>
      <c r="C42" s="8" t="inlineStr">
        <is>
          <t>Huarmaca</t>
        </is>
      </c>
      <c r="D42" s="15" t="n">
        <v>0</v>
      </c>
      <c r="E42" s="15" t="n">
        <v>0</v>
      </c>
      <c r="F42" s="15" t="n">
        <v>1.0898</v>
      </c>
      <c r="G42" s="15" t="n">
        <v>8.4328</v>
      </c>
      <c r="H42" s="15" t="n">
        <v>12.8653</v>
      </c>
      <c r="I42" s="15">
        <f>SUM(D42:H42)</f>
        <v/>
      </c>
      <c r="J42" s="31" t="n">
        <v>0.622295</v>
      </c>
      <c r="K42" s="8" t="n">
        <v>5</v>
      </c>
      <c r="L42" s="15">
        <f>SUM(D42:F42)</f>
        <v/>
      </c>
      <c r="M42" s="16">
        <f>L42/I42</f>
        <v/>
      </c>
    </row>
    <row r="43">
      <c r="A43" s="6" t="inlineStr">
        <is>
          <t>71</t>
        </is>
      </c>
      <c r="B43" s="6" t="inlineStr">
        <is>
          <t>Huancabamba</t>
        </is>
      </c>
      <c r="C43" s="6" t="inlineStr">
        <is>
          <t>Huarmaca</t>
        </is>
      </c>
      <c r="D43" s="11" t="n">
        <v>0</v>
      </c>
      <c r="E43" s="11" t="n">
        <v>0.08</v>
      </c>
      <c r="F43" s="11" t="n">
        <v>2.6885</v>
      </c>
      <c r="G43" s="11" t="n">
        <v>5.1139</v>
      </c>
      <c r="H43" s="11" t="n">
        <v>2.7909</v>
      </c>
      <c r="I43" s="11">
        <f>SUM(D43:H43)</f>
        <v/>
      </c>
      <c r="J43" s="29" t="n">
        <v>0.557066</v>
      </c>
      <c r="K43" s="6" t="n">
        <v>4</v>
      </c>
      <c r="L43" s="11">
        <f>SUM(D43:F43)</f>
        <v/>
      </c>
      <c r="M43" s="12">
        <f>L43/I43</f>
        <v/>
      </c>
    </row>
    <row r="44">
      <c r="A44" s="8" t="inlineStr">
        <is>
          <t>72</t>
        </is>
      </c>
      <c r="B44" s="8" t="inlineStr">
        <is>
          <t>Huancabamba</t>
        </is>
      </c>
      <c r="C44" s="8" t="inlineStr">
        <is>
          <t>Huarmaca</t>
        </is>
      </c>
      <c r="D44" s="15" t="n">
        <v>0</v>
      </c>
      <c r="E44" s="15" t="n">
        <v>0.081</v>
      </c>
      <c r="F44" s="15" t="n">
        <v>5.0463</v>
      </c>
      <c r="G44" s="15" t="n">
        <v>6.0765</v>
      </c>
      <c r="H44" s="15" t="n">
        <v>1.1946</v>
      </c>
      <c r="I44" s="15">
        <f>SUM(D44:H44)</f>
        <v/>
      </c>
      <c r="J44" s="31" t="n">
        <v>0.518477</v>
      </c>
      <c r="K44" s="8" t="n">
        <v>4</v>
      </c>
      <c r="L44" s="15">
        <f>SUM(D44:F44)</f>
        <v/>
      </c>
      <c r="M44" s="16">
        <f>L44/I44</f>
        <v/>
      </c>
    </row>
    <row r="45">
      <c r="A45" s="6" t="inlineStr">
        <is>
          <t>73</t>
        </is>
      </c>
      <c r="B45" s="6" t="inlineStr">
        <is>
          <t>Huancabamba</t>
        </is>
      </c>
      <c r="C45" s="6" t="inlineStr">
        <is>
          <t>Huarmaca</t>
        </is>
      </c>
      <c r="D45" s="11" t="n">
        <v>0</v>
      </c>
      <c r="E45" s="11" t="n">
        <v>0.962</v>
      </c>
      <c r="F45" s="11" t="n">
        <v>9.318300000000001</v>
      </c>
      <c r="G45" s="11" t="n">
        <v>32.8401</v>
      </c>
      <c r="H45" s="11" t="n">
        <v>11.1699</v>
      </c>
      <c r="I45" s="11">
        <f>SUM(D45:H45)</f>
        <v/>
      </c>
      <c r="J45" s="29" t="n">
        <v>0.554974</v>
      </c>
      <c r="K45" s="6" t="n">
        <v>4</v>
      </c>
      <c r="L45" s="11">
        <f>SUM(D45:F45)</f>
        <v/>
      </c>
      <c r="M45" s="12">
        <f>L45/I45</f>
        <v/>
      </c>
    </row>
    <row r="46">
      <c r="A46" s="8" t="inlineStr">
        <is>
          <t>76</t>
        </is>
      </c>
      <c r="B46" s="8" t="inlineStr">
        <is>
          <t>Huancabamba</t>
        </is>
      </c>
      <c r="C46" s="8" t="inlineStr">
        <is>
          <t>Huarmaca</t>
        </is>
      </c>
      <c r="D46" s="15" t="n">
        <v>0</v>
      </c>
      <c r="E46" s="15" t="n">
        <v>1.6138</v>
      </c>
      <c r="F46" s="15" t="n">
        <v>9.005699999999999</v>
      </c>
      <c r="G46" s="15" t="n">
        <v>7.1417</v>
      </c>
      <c r="H46" s="15" t="n">
        <v>1.8539</v>
      </c>
      <c r="I46" s="15">
        <f>SUM(D46:H46)</f>
        <v/>
      </c>
      <c r="J46" s="31" t="n">
        <v>0.492462</v>
      </c>
      <c r="K46" s="8" t="n">
        <v>3</v>
      </c>
      <c r="L46" s="15">
        <f>SUM(D46:F46)</f>
        <v/>
      </c>
      <c r="M46" s="16">
        <f>L46/I46</f>
        <v/>
      </c>
    </row>
    <row r="47">
      <c r="A47" s="6" t="inlineStr">
        <is>
          <t>8</t>
        </is>
      </c>
      <c r="B47" s="6" t="inlineStr">
        <is>
          <t>Huancabamba</t>
        </is>
      </c>
      <c r="C47" s="6" t="inlineStr">
        <is>
          <t>Huarmaca</t>
        </is>
      </c>
      <c r="D47" s="11" t="n">
        <v>0.053</v>
      </c>
      <c r="E47" s="11" t="n">
        <v>4.36</v>
      </c>
      <c r="F47" s="11" t="n">
        <v>31.6455</v>
      </c>
      <c r="G47" s="11" t="n">
        <v>54.0181</v>
      </c>
      <c r="H47" s="11" t="n">
        <v>36.8754</v>
      </c>
      <c r="I47" s="11">
        <f>SUM(D47:H47)</f>
        <v/>
      </c>
      <c r="J47" s="29" t="n">
        <v>0.554802</v>
      </c>
      <c r="K47" s="6" t="n">
        <v>4</v>
      </c>
      <c r="L47" s="11">
        <f>SUM(D47:F47)</f>
        <v/>
      </c>
      <c r="M47" s="12">
        <f>L47/I47</f>
        <v/>
      </c>
    </row>
    <row r="48">
      <c r="A48" s="8" t="inlineStr">
        <is>
          <t>80</t>
        </is>
      </c>
      <c r="B48" s="8" t="inlineStr">
        <is>
          <t>Huancabamba</t>
        </is>
      </c>
      <c r="C48" s="8" t="inlineStr">
        <is>
          <t>Huarmaca</t>
        </is>
      </c>
      <c r="D48" s="15" t="n">
        <v>0.0594</v>
      </c>
      <c r="E48" s="15" t="n">
        <v>0.8687</v>
      </c>
      <c r="F48" s="15" t="n">
        <v>3.9394</v>
      </c>
      <c r="G48" s="15" t="n">
        <v>9.667</v>
      </c>
      <c r="H48" s="15" t="n">
        <v>14.2956</v>
      </c>
      <c r="I48" s="15">
        <f>SUM(D48:H48)</f>
        <v/>
      </c>
      <c r="J48" s="31" t="n">
        <v>0.593069</v>
      </c>
      <c r="K48" s="8" t="n">
        <v>5</v>
      </c>
      <c r="L48" s="15">
        <f>SUM(D48:F48)</f>
        <v/>
      </c>
      <c r="M48" s="16">
        <f>L48/I48</f>
        <v/>
      </c>
    </row>
    <row r="49">
      <c r="A49" s="6" t="inlineStr">
        <is>
          <t>M12B1</t>
        </is>
      </c>
      <c r="B49" s="6" t="inlineStr">
        <is>
          <t>Huancabamba</t>
        </is>
      </c>
      <c r="C49" s="6" t="inlineStr">
        <is>
          <t>Huarmaca</t>
        </is>
      </c>
      <c r="D49" s="11" t="n">
        <v>42.1349</v>
      </c>
      <c r="E49" s="11" t="n">
        <v>139.215</v>
      </c>
      <c r="F49" s="11" t="n">
        <v>77.95950000000001</v>
      </c>
      <c r="G49" s="11" t="n">
        <v>8.965</v>
      </c>
      <c r="H49" s="11" t="n">
        <v>0.1188</v>
      </c>
      <c r="I49" s="11">
        <f>SUM(D49:H49)</f>
        <v/>
      </c>
      <c r="J49" s="29" t="n">
        <v>0.34753</v>
      </c>
      <c r="K49" s="6" t="n">
        <v>2</v>
      </c>
      <c r="L49" s="11">
        <f>SUM(D49:F49)</f>
        <v/>
      </c>
      <c r="M49" s="12">
        <f>L49/I49</f>
        <v/>
      </c>
    </row>
    <row r="50">
      <c r="A50" s="8" t="inlineStr">
        <is>
          <t>M4B3</t>
        </is>
      </c>
      <c r="B50" s="8" t="inlineStr">
        <is>
          <t>Huancabamba</t>
        </is>
      </c>
      <c r="C50" s="8" t="inlineStr">
        <is>
          <t>Huarmaca</t>
        </is>
      </c>
      <c r="D50" s="15" t="n">
        <v>51.8677</v>
      </c>
      <c r="E50" s="15" t="n">
        <v>138.4584</v>
      </c>
      <c r="F50" s="15" t="n">
        <v>40.4482</v>
      </c>
      <c r="G50" s="15" t="n">
        <v>3.2654</v>
      </c>
      <c r="H50" s="15" t="n">
        <v>0.0297</v>
      </c>
      <c r="I50" s="15">
        <f>SUM(D50:H50)</f>
        <v/>
      </c>
      <c r="J50" s="31" t="n">
        <v>0.322153</v>
      </c>
      <c r="K50" s="8" t="n">
        <v>2</v>
      </c>
      <c r="L50" s="15">
        <f>SUM(D50:F50)</f>
        <v/>
      </c>
      <c r="M50" s="16">
        <f>L50/I50</f>
        <v/>
      </c>
    </row>
    <row r="51">
      <c r="A51" s="6" t="inlineStr">
        <is>
          <t>M4B4</t>
        </is>
      </c>
      <c r="B51" s="6" t="inlineStr">
        <is>
          <t>Huancabamba</t>
        </is>
      </c>
      <c r="C51" s="6" t="inlineStr">
        <is>
          <t>Huarmaca</t>
        </is>
      </c>
      <c r="D51" s="11" t="n">
        <v>60.4158</v>
      </c>
      <c r="E51" s="11" t="n">
        <v>182.6038</v>
      </c>
      <c r="F51" s="11" t="n">
        <v>44.6767</v>
      </c>
      <c r="G51" s="11" t="n">
        <v>2.2083</v>
      </c>
      <c r="H51" s="11" t="n">
        <v>0.009900000000000001</v>
      </c>
      <c r="I51" s="11">
        <f>SUM(D51:H51)</f>
        <v/>
      </c>
      <c r="J51" s="29" t="n">
        <v>0.319788</v>
      </c>
      <c r="K51" s="6" t="n">
        <v>2</v>
      </c>
      <c r="L51" s="11">
        <f>SUM(D51:F51)</f>
        <v/>
      </c>
      <c r="M51" s="12">
        <f>L51/I51</f>
        <v/>
      </c>
    </row>
    <row r="52">
      <c r="A52" s="8" t="inlineStr">
        <is>
          <t>26</t>
        </is>
      </c>
      <c r="B52" s="8" t="inlineStr">
        <is>
          <t>Huancabamba</t>
        </is>
      </c>
      <c r="C52" s="8" t="inlineStr">
        <is>
          <t>Lalaquiz</t>
        </is>
      </c>
      <c r="D52" s="15" t="n">
        <v>0</v>
      </c>
      <c r="E52" s="15" t="n">
        <v>0</v>
      </c>
      <c r="F52" s="15" t="n">
        <v>1.1022</v>
      </c>
      <c r="G52" s="15" t="n">
        <v>9.743600000000001</v>
      </c>
      <c r="H52" s="15" t="n">
        <v>36.1159</v>
      </c>
      <c r="I52" s="15">
        <f>SUM(D52:H52)</f>
        <v/>
      </c>
      <c r="J52" s="31" t="n">
        <v>0.673303</v>
      </c>
      <c r="K52" s="8" t="n">
        <v>5</v>
      </c>
      <c r="L52" s="15">
        <f>SUM(D52:F52)</f>
        <v/>
      </c>
      <c r="M52" s="16">
        <f>L52/I52</f>
        <v/>
      </c>
    </row>
    <row r="53">
      <c r="A53" s="6" t="inlineStr">
        <is>
          <t>34</t>
        </is>
      </c>
      <c r="B53" s="6" t="inlineStr">
        <is>
          <t>Huancabamba</t>
        </is>
      </c>
      <c r="C53" s="6" t="inlineStr">
        <is>
          <t>Lalaquiz</t>
        </is>
      </c>
      <c r="D53" s="11" t="n">
        <v>0</v>
      </c>
      <c r="E53" s="11" t="n">
        <v>0</v>
      </c>
      <c r="F53" s="11" t="n">
        <v>0.0495</v>
      </c>
      <c r="G53" s="11" t="n">
        <v>10.4422</v>
      </c>
      <c r="H53" s="11" t="n">
        <v>17.9588</v>
      </c>
      <c r="I53" s="11">
        <f>SUM(D53:H53)</f>
        <v/>
      </c>
      <c r="J53" s="29" t="n">
        <v>0.648975</v>
      </c>
      <c r="K53" s="6" t="n">
        <v>5</v>
      </c>
      <c r="L53" s="11">
        <f>SUM(D53:F53)</f>
        <v/>
      </c>
      <c r="M53" s="12">
        <f>L53/I53</f>
        <v/>
      </c>
    </row>
    <row r="54">
      <c r="A54" s="8" t="inlineStr">
        <is>
          <t>37</t>
        </is>
      </c>
      <c r="B54" s="8" t="inlineStr">
        <is>
          <t>Huancabamba</t>
        </is>
      </c>
      <c r="C54" s="8" t="inlineStr">
        <is>
          <t>Lalaquiz</t>
        </is>
      </c>
      <c r="D54" s="15" t="n">
        <v>0</v>
      </c>
      <c r="E54" s="15" t="n">
        <v>0</v>
      </c>
      <c r="F54" s="15" t="n">
        <v>0.6802</v>
      </c>
      <c r="G54" s="15" t="n">
        <v>8.0466</v>
      </c>
      <c r="H54" s="15" t="n">
        <v>26.7643</v>
      </c>
      <c r="I54" s="15">
        <f>SUM(D54:H54)</f>
        <v/>
      </c>
      <c r="J54" s="31" t="n">
        <v>0.658846</v>
      </c>
      <c r="K54" s="8" t="n">
        <v>5</v>
      </c>
      <c r="L54" s="15">
        <f>SUM(D54:F54)</f>
        <v/>
      </c>
      <c r="M54" s="16">
        <f>L54/I54</f>
        <v/>
      </c>
    </row>
    <row r="55">
      <c r="A55" s="6" t="inlineStr">
        <is>
          <t>38</t>
        </is>
      </c>
      <c r="B55" s="6" t="inlineStr">
        <is>
          <t>Huancabamba</t>
        </is>
      </c>
      <c r="C55" s="6" t="inlineStr">
        <is>
          <t>Lalaquiz</t>
        </is>
      </c>
      <c r="D55" s="11" t="n">
        <v>0</v>
      </c>
      <c r="E55" s="11" t="n">
        <v>0</v>
      </c>
      <c r="F55" s="11" t="n">
        <v>0.1807</v>
      </c>
      <c r="G55" s="11" t="n">
        <v>11.5427</v>
      </c>
      <c r="H55" s="11" t="n">
        <v>32.4772</v>
      </c>
      <c r="I55" s="11">
        <f>SUM(D55:H55)</f>
        <v/>
      </c>
      <c r="J55" s="29" t="n">
        <v>0.6724869999999999</v>
      </c>
      <c r="K55" s="6" t="n">
        <v>5</v>
      </c>
      <c r="L55" s="11">
        <f>SUM(D55:F55)</f>
        <v/>
      </c>
      <c r="M55" s="12">
        <f>L55/I55</f>
        <v/>
      </c>
    </row>
    <row r="56">
      <c r="A56" s="8" t="inlineStr">
        <is>
          <t>50</t>
        </is>
      </c>
      <c r="B56" s="8" t="inlineStr">
        <is>
          <t>Huancabamba</t>
        </is>
      </c>
      <c r="C56" s="8" t="inlineStr">
        <is>
          <t>Lalaquiz</t>
        </is>
      </c>
      <c r="D56" s="15" t="n">
        <v>0</v>
      </c>
      <c r="E56" s="15" t="n">
        <v>0</v>
      </c>
      <c r="F56" s="15" t="n">
        <v>0.0693</v>
      </c>
      <c r="G56" s="15" t="n">
        <v>3.5532</v>
      </c>
      <c r="H56" s="15" t="n">
        <v>15.644</v>
      </c>
      <c r="I56" s="15">
        <f>SUM(D56:H56)</f>
        <v/>
      </c>
      <c r="J56" s="31" t="n">
        <v>0.68307</v>
      </c>
      <c r="K56" s="8" t="n">
        <v>5</v>
      </c>
      <c r="L56" s="15">
        <f>SUM(D56:F56)</f>
        <v/>
      </c>
      <c r="M56" s="16">
        <f>L56/I56</f>
        <v/>
      </c>
    </row>
    <row r="57">
      <c r="A57" s="6" t="inlineStr">
        <is>
          <t>61</t>
        </is>
      </c>
      <c r="B57" s="6" t="inlineStr">
        <is>
          <t>Huancabamba</t>
        </is>
      </c>
      <c r="C57" s="6" t="inlineStr">
        <is>
          <t>Lalaquiz</t>
        </is>
      </c>
      <c r="D57" s="11" t="n">
        <v>0</v>
      </c>
      <c r="E57" s="11" t="n">
        <v>0.218</v>
      </c>
      <c r="F57" s="11" t="n">
        <v>5.4416</v>
      </c>
      <c r="G57" s="11" t="n">
        <v>8.8194</v>
      </c>
      <c r="H57" s="11" t="n">
        <v>12.3466</v>
      </c>
      <c r="I57" s="11">
        <f>SUM(D57:H57)</f>
        <v/>
      </c>
      <c r="J57" s="29" t="n">
        <v>0.611186</v>
      </c>
      <c r="K57" s="6" t="n">
        <v>5</v>
      </c>
      <c r="L57" s="11">
        <f>SUM(D57:F57)</f>
        <v/>
      </c>
      <c r="M57" s="12">
        <f>L57/I57</f>
        <v/>
      </c>
    </row>
    <row r="58">
      <c r="A58" s="8" t="inlineStr">
        <is>
          <t>35</t>
        </is>
      </c>
      <c r="B58" s="8" t="inlineStr">
        <is>
          <t>Huancabamba</t>
        </is>
      </c>
      <c r="C58" s="8" t="inlineStr">
        <is>
          <t>San Miguel de El Faique</t>
        </is>
      </c>
      <c r="D58" s="15" t="n">
        <v>0</v>
      </c>
      <c r="E58" s="15" t="n">
        <v>0.0072</v>
      </c>
      <c r="F58" s="15" t="n">
        <v>0.3589</v>
      </c>
      <c r="G58" s="15" t="n">
        <v>12.5836</v>
      </c>
      <c r="H58" s="15" t="n">
        <v>17.8544</v>
      </c>
      <c r="I58" s="15">
        <f>SUM(D58:H58)</f>
        <v/>
      </c>
      <c r="J58" s="31" t="n">
        <v>0.6244769999999999</v>
      </c>
      <c r="K58" s="8" t="n">
        <v>5</v>
      </c>
      <c r="L58" s="15">
        <f>SUM(D58:F58)</f>
        <v/>
      </c>
      <c r="M58" s="16">
        <f>L58/I58</f>
        <v/>
      </c>
    </row>
    <row r="59">
      <c r="A59" s="6" t="inlineStr">
        <is>
          <t>43</t>
        </is>
      </c>
      <c r="B59" s="6" t="inlineStr">
        <is>
          <t>Huancabamba</t>
        </is>
      </c>
      <c r="C59" s="6" t="inlineStr">
        <is>
          <t>San Miguel de El Faique</t>
        </is>
      </c>
      <c r="D59" s="11" t="n">
        <v>0.1386</v>
      </c>
      <c r="E59" s="11" t="n">
        <v>0.7522</v>
      </c>
      <c r="F59" s="11" t="n">
        <v>4.0401</v>
      </c>
      <c r="G59" s="11" t="n">
        <v>13.4277</v>
      </c>
      <c r="H59" s="11" t="n">
        <v>4.8128</v>
      </c>
      <c r="I59" s="11">
        <f>SUM(D59:H59)</f>
        <v/>
      </c>
      <c r="J59" s="29" t="n">
        <v>0.551525</v>
      </c>
      <c r="K59" s="6" t="n">
        <v>4</v>
      </c>
      <c r="L59" s="11">
        <f>SUM(D59:F59)</f>
        <v/>
      </c>
      <c r="M59" s="12">
        <f>L59/I59</f>
        <v/>
      </c>
    </row>
    <row r="60">
      <c r="A60" s="8" t="inlineStr">
        <is>
          <t>44</t>
        </is>
      </c>
      <c r="B60" s="8" t="inlineStr">
        <is>
          <t>Huancabamba</t>
        </is>
      </c>
      <c r="C60" s="8" t="inlineStr">
        <is>
          <t>San Miguel de El Faique</t>
        </is>
      </c>
      <c r="D60" s="15" t="n">
        <v>0</v>
      </c>
      <c r="E60" s="15" t="n">
        <v>0</v>
      </c>
      <c r="F60" s="15" t="n">
        <v>14.6992</v>
      </c>
      <c r="G60" s="15" t="n">
        <v>11.3894</v>
      </c>
      <c r="H60" s="15" t="n">
        <v>2.1458</v>
      </c>
      <c r="I60" s="15">
        <f>SUM(D60:H60)</f>
        <v/>
      </c>
      <c r="J60" s="31" t="n">
        <v>0.511324</v>
      </c>
      <c r="K60" s="8" t="n">
        <v>3</v>
      </c>
      <c r="L60" s="15">
        <f>SUM(D60:F60)</f>
        <v/>
      </c>
      <c r="M60" s="16">
        <f>L60/I60</f>
        <v/>
      </c>
    </row>
    <row r="61">
      <c r="A61" s="6" t="inlineStr">
        <is>
          <t>47</t>
        </is>
      </c>
      <c r="B61" s="6" t="inlineStr">
        <is>
          <t>Huancabamba</t>
        </is>
      </c>
      <c r="C61" s="6" t="inlineStr">
        <is>
          <t>San Miguel de El Faique</t>
        </is>
      </c>
      <c r="D61" s="11" t="n">
        <v>0</v>
      </c>
      <c r="E61" s="11" t="n">
        <v>0</v>
      </c>
      <c r="F61" s="11" t="n">
        <v>1.3336</v>
      </c>
      <c r="G61" s="11" t="n">
        <v>6.6276</v>
      </c>
      <c r="H61" s="11" t="n">
        <v>5.5901</v>
      </c>
      <c r="I61" s="11">
        <f>SUM(D61:H61)</f>
        <v/>
      </c>
      <c r="J61" s="29" t="n">
        <v>0.593628</v>
      </c>
      <c r="K61" s="6" t="n">
        <v>4</v>
      </c>
      <c r="L61" s="11">
        <f>SUM(D61:F61)</f>
        <v/>
      </c>
      <c r="M61" s="12">
        <f>L61/I61</f>
        <v/>
      </c>
    </row>
    <row r="62">
      <c r="A62" s="8" t="inlineStr">
        <is>
          <t>67</t>
        </is>
      </c>
      <c r="B62" s="8" t="inlineStr">
        <is>
          <t>Huancabamba</t>
        </is>
      </c>
      <c r="C62" s="8" t="inlineStr">
        <is>
          <t>San Miguel de El Faique</t>
        </is>
      </c>
      <c r="D62" s="15" t="n">
        <v>0</v>
      </c>
      <c r="E62" s="15" t="n">
        <v>0</v>
      </c>
      <c r="F62" s="15" t="n">
        <v>0.2793</v>
      </c>
      <c r="G62" s="15" t="n">
        <v>6.398</v>
      </c>
      <c r="H62" s="15" t="n">
        <v>6.5065</v>
      </c>
      <c r="I62" s="15">
        <f>SUM(D62:H62)</f>
        <v/>
      </c>
      <c r="J62" s="31" t="n">
        <v>0.605293</v>
      </c>
      <c r="K62" s="8" t="n">
        <v>5</v>
      </c>
      <c r="L62" s="15">
        <f>SUM(D62:F62)</f>
        <v/>
      </c>
      <c r="M62" s="16">
        <f>L62/I62</f>
        <v/>
      </c>
    </row>
    <row r="63">
      <c r="A63" s="6" t="inlineStr">
        <is>
          <t>9</t>
        </is>
      </c>
      <c r="B63" s="6" t="inlineStr">
        <is>
          <t>Huancabamba</t>
        </is>
      </c>
      <c r="C63" s="6" t="inlineStr">
        <is>
          <t>San Miguel de El Faique</t>
        </is>
      </c>
      <c r="D63" s="11" t="n">
        <v>0</v>
      </c>
      <c r="E63" s="11" t="n">
        <v>0.4146</v>
      </c>
      <c r="F63" s="11" t="n">
        <v>12.4212</v>
      </c>
      <c r="G63" s="11" t="n">
        <v>67.18810000000001</v>
      </c>
      <c r="H63" s="11" t="n">
        <v>29.8373</v>
      </c>
      <c r="I63" s="11">
        <f>SUM(D63:H63)</f>
        <v/>
      </c>
      <c r="J63" s="29" t="n">
        <v>0.574527</v>
      </c>
      <c r="K63" s="6" t="n">
        <v>4</v>
      </c>
      <c r="L63" s="11">
        <f>SUM(D63:F63)</f>
        <v/>
      </c>
      <c r="M63" s="12">
        <f>L63/I63</f>
        <v/>
      </c>
    </row>
    <row r="64">
      <c r="A64" s="8" t="inlineStr">
        <is>
          <t>M20B1</t>
        </is>
      </c>
      <c r="B64" s="8" t="inlineStr">
        <is>
          <t>Huancabamba</t>
        </is>
      </c>
      <c r="C64" s="8" t="inlineStr">
        <is>
          <t>San Miguel de El Faique</t>
        </is>
      </c>
      <c r="D64" s="15" t="n">
        <v>15.5494</v>
      </c>
      <c r="E64" s="15" t="n">
        <v>174.7069</v>
      </c>
      <c r="F64" s="15" t="n">
        <v>81.5479</v>
      </c>
      <c r="G64" s="15" t="n">
        <v>7.608</v>
      </c>
      <c r="H64" s="15" t="n">
        <v>0.268</v>
      </c>
      <c r="I64" s="15">
        <f>SUM(D64:H64)</f>
        <v/>
      </c>
      <c r="J64" s="31" t="n">
        <v>0.355329</v>
      </c>
      <c r="K64" s="8" t="n">
        <v>2</v>
      </c>
      <c r="L64" s="15">
        <f>SUM(D64:F64)</f>
        <v/>
      </c>
      <c r="M64" s="16">
        <f>L64/I64</f>
        <v/>
      </c>
    </row>
    <row r="65">
      <c r="A65" s="6" t="inlineStr">
        <is>
          <t>M22B1</t>
        </is>
      </c>
      <c r="B65" s="6" t="inlineStr">
        <is>
          <t>Huancabamba</t>
        </is>
      </c>
      <c r="C65" s="6" t="inlineStr">
        <is>
          <t>San Miguel de El Faique</t>
        </is>
      </c>
      <c r="D65" s="11" t="n">
        <v>0</v>
      </c>
      <c r="E65" s="11" t="n">
        <v>0</v>
      </c>
      <c r="F65" s="11" t="n">
        <v>2.2642</v>
      </c>
      <c r="G65" s="11" t="n">
        <v>34.4959</v>
      </c>
      <c r="H65" s="11" t="n">
        <v>18.4097</v>
      </c>
      <c r="I65" s="11">
        <f>SUM(D65:H65)</f>
        <v/>
      </c>
      <c r="J65" s="29" t="n">
        <v>0.594025</v>
      </c>
      <c r="K65" s="6" t="n">
        <v>4</v>
      </c>
      <c r="L65" s="11">
        <f>SUM(D65:F65)</f>
        <v/>
      </c>
      <c r="M65" s="12">
        <f>L65/I65</f>
        <v/>
      </c>
    </row>
    <row r="66">
      <c r="A66" s="8" t="inlineStr">
        <is>
          <t>M2B8</t>
        </is>
      </c>
      <c r="B66" s="8" t="inlineStr">
        <is>
          <t>Huancabamba</t>
        </is>
      </c>
      <c r="C66" s="8" t="inlineStr">
        <is>
          <t>San Miguel de El Faique</t>
        </is>
      </c>
      <c r="D66" s="15" t="n">
        <v>8.7272</v>
      </c>
      <c r="E66" s="15" t="n">
        <v>54.4479</v>
      </c>
      <c r="F66" s="15" t="n">
        <v>43.9985</v>
      </c>
      <c r="G66" s="15" t="n">
        <v>8.9056</v>
      </c>
      <c r="H66" s="15" t="n">
        <v>0.0198</v>
      </c>
      <c r="I66" s="15">
        <f>SUM(D66:H66)</f>
        <v/>
      </c>
      <c r="J66" s="31" t="n">
        <v>0.375171</v>
      </c>
      <c r="K66" s="8" t="n">
        <v>2</v>
      </c>
      <c r="L66" s="15">
        <f>SUM(D66:F66)</f>
        <v/>
      </c>
      <c r="M66" s="16">
        <f>L66/I66</f>
        <v/>
      </c>
    </row>
    <row r="67">
      <c r="A67" s="6" t="inlineStr">
        <is>
          <t>5</t>
        </is>
      </c>
      <c r="B67" s="6" t="inlineStr">
        <is>
          <t>Morropón</t>
        </is>
      </c>
      <c r="C67" s="6" t="inlineStr">
        <is>
          <t>Buenos Aires</t>
        </is>
      </c>
      <c r="D67" s="11" t="n">
        <v>33.4763</v>
      </c>
      <c r="E67" s="11" t="n">
        <v>186.949</v>
      </c>
      <c r="F67" s="11" t="n">
        <v>74.8554</v>
      </c>
      <c r="G67" s="11" t="n">
        <v>0.4454</v>
      </c>
      <c r="H67" s="11" t="n">
        <v>0</v>
      </c>
      <c r="I67" s="11">
        <f>SUM(D67:H67)</f>
        <v/>
      </c>
      <c r="J67" s="29" t="n">
        <v>0.3394</v>
      </c>
      <c r="K67" s="6" t="n">
        <v>2</v>
      </c>
      <c r="L67" s="11">
        <f>SUM(D67:F67)</f>
        <v/>
      </c>
      <c r="M67" s="12">
        <f>L67/I67</f>
        <v/>
      </c>
    </row>
    <row r="68">
      <c r="A68" s="8" t="inlineStr">
        <is>
          <t>M18B1</t>
        </is>
      </c>
      <c r="B68" s="8" t="inlineStr">
        <is>
          <t>Morropón</t>
        </is>
      </c>
      <c r="C68" s="8" t="inlineStr">
        <is>
          <t>Buenos Aires</t>
        </is>
      </c>
      <c r="D68" s="15" t="n">
        <v>25.9366</v>
      </c>
      <c r="E68" s="15" t="n">
        <v>95.749</v>
      </c>
      <c r="F68" s="15" t="n">
        <v>38.1498</v>
      </c>
      <c r="G68" s="15" t="n">
        <v>0.5246</v>
      </c>
      <c r="H68" s="15" t="n">
        <v>0</v>
      </c>
      <c r="I68" s="15">
        <f>SUM(D68:H68)</f>
        <v/>
      </c>
      <c r="J68" s="31" t="n">
        <v>0.334299</v>
      </c>
      <c r="K68" s="8" t="n">
        <v>2</v>
      </c>
      <c r="L68" s="15">
        <f>SUM(D68:F68)</f>
        <v/>
      </c>
      <c r="M68" s="16">
        <f>L68/I68</f>
        <v/>
      </c>
    </row>
    <row r="69">
      <c r="A69" s="6" t="inlineStr">
        <is>
          <t>M1B1</t>
        </is>
      </c>
      <c r="B69" s="6" t="inlineStr">
        <is>
          <t>Morropón</t>
        </is>
      </c>
      <c r="C69" s="6" t="inlineStr">
        <is>
          <t>Buenos Aires</t>
        </is>
      </c>
      <c r="D69" s="11" t="n">
        <v>38.9022</v>
      </c>
      <c r="E69" s="11" t="n">
        <v>124.7542</v>
      </c>
      <c r="F69" s="11" t="n">
        <v>23.9701</v>
      </c>
      <c r="G69" s="11" t="n">
        <v>1.0516</v>
      </c>
      <c r="H69" s="11" t="n">
        <v>0.1188</v>
      </c>
      <c r="I69" s="11">
        <f>SUM(D69:H69)</f>
        <v/>
      </c>
      <c r="J69" s="29" t="n">
        <v>0.319305</v>
      </c>
      <c r="K69" s="6" t="n">
        <v>2</v>
      </c>
      <c r="L69" s="11">
        <f>SUM(D69:F69)</f>
        <v/>
      </c>
      <c r="M69" s="12">
        <f>L69/I69</f>
        <v/>
      </c>
    </row>
    <row r="70">
      <c r="A70" s="8" t="inlineStr">
        <is>
          <t>M6B10</t>
        </is>
      </c>
      <c r="B70" s="8" t="inlineStr">
        <is>
          <t>Morropón</t>
        </is>
      </c>
      <c r="C70" s="8" t="inlineStr">
        <is>
          <t>Buenos Aires</t>
        </is>
      </c>
      <c r="D70" s="15" t="n">
        <v>75.824</v>
      </c>
      <c r="E70" s="15" t="n">
        <v>127.182</v>
      </c>
      <c r="F70" s="15" t="n">
        <v>46.448</v>
      </c>
      <c r="G70" s="15" t="n">
        <v>0.4365</v>
      </c>
      <c r="H70" s="15" t="n">
        <v>0</v>
      </c>
      <c r="I70" s="15">
        <f>SUM(D70:H70)</f>
        <v/>
      </c>
      <c r="J70" s="31" t="n">
        <v>0.30989</v>
      </c>
      <c r="K70" s="8" t="n">
        <v>2</v>
      </c>
      <c r="L70" s="15">
        <f>SUM(D70:F70)</f>
        <v/>
      </c>
      <c r="M70" s="16">
        <f>L70/I70</f>
        <v/>
      </c>
    </row>
    <row r="71">
      <c r="A71" s="6" t="inlineStr">
        <is>
          <t>M6B2-1</t>
        </is>
      </c>
      <c r="B71" s="6" t="inlineStr">
        <is>
          <t>Morropón</t>
        </is>
      </c>
      <c r="C71" s="6" t="inlineStr">
        <is>
          <t>Buenos Aires</t>
        </is>
      </c>
      <c r="D71" s="11" t="n">
        <v>63.4381</v>
      </c>
      <c r="E71" s="11" t="n">
        <v>328.7026</v>
      </c>
      <c r="F71" s="11" t="n">
        <v>117.0072</v>
      </c>
      <c r="G71" s="11" t="n">
        <v>5.0625</v>
      </c>
      <c r="H71" s="11" t="n">
        <v>0.1485</v>
      </c>
      <c r="I71" s="11">
        <f>SUM(D71:H71)</f>
        <v/>
      </c>
      <c r="J71" s="29" t="n">
        <v>0.3381</v>
      </c>
      <c r="K71" s="6" t="n">
        <v>2</v>
      </c>
      <c r="L71" s="11">
        <f>SUM(D71:F71)</f>
        <v/>
      </c>
      <c r="M71" s="12">
        <f>L71/I71</f>
        <v/>
      </c>
    </row>
    <row r="72">
      <c r="A72" s="8" t="inlineStr">
        <is>
          <t>M6B2-2</t>
        </is>
      </c>
      <c r="B72" s="8" t="inlineStr">
        <is>
          <t>Morropón</t>
        </is>
      </c>
      <c r="C72" s="8" t="inlineStr">
        <is>
          <t>Buenos Aires</t>
        </is>
      </c>
      <c r="D72" s="15" t="n">
        <v>90.2428</v>
      </c>
      <c r="E72" s="15" t="n">
        <v>214.4296</v>
      </c>
      <c r="F72" s="15" t="n">
        <v>25.0184</v>
      </c>
      <c r="G72" s="15" t="n">
        <v>2.579</v>
      </c>
      <c r="H72" s="15" t="n">
        <v>0.7418</v>
      </c>
      <c r="I72" s="15">
        <f>SUM(D72:H72)</f>
        <v/>
      </c>
      <c r="J72" s="31" t="n">
        <v>0.302636</v>
      </c>
      <c r="K72" s="8" t="n">
        <v>2</v>
      </c>
      <c r="L72" s="15">
        <f>SUM(D72:F72)</f>
        <v/>
      </c>
      <c r="M72" s="16">
        <f>L72/I72</f>
        <v/>
      </c>
    </row>
    <row r="73">
      <c r="A73" s="6" t="inlineStr">
        <is>
          <t>M6B2-3</t>
        </is>
      </c>
      <c r="B73" s="6" t="inlineStr">
        <is>
          <t>Morropón</t>
        </is>
      </c>
      <c r="C73" s="6" t="inlineStr">
        <is>
          <t>Buenos Aires</t>
        </is>
      </c>
      <c r="D73" s="11" t="n">
        <v>4.6841</v>
      </c>
      <c r="E73" s="11" t="n">
        <v>53.8538</v>
      </c>
      <c r="F73" s="11" t="n">
        <v>87.13630000000001</v>
      </c>
      <c r="G73" s="11" t="n">
        <v>14.9282</v>
      </c>
      <c r="H73" s="11" t="n">
        <v>0.3761</v>
      </c>
      <c r="I73" s="11">
        <f>SUM(D73:H73)</f>
        <v/>
      </c>
      <c r="J73" s="29" t="n">
        <v>0.406259</v>
      </c>
      <c r="K73" s="6" t="n">
        <v>3</v>
      </c>
      <c r="L73" s="11">
        <f>SUM(D73:F73)</f>
        <v/>
      </c>
      <c r="M73" s="12">
        <f>L73/I73</f>
        <v/>
      </c>
    </row>
    <row r="74">
      <c r="A74" s="8" t="inlineStr">
        <is>
          <t>57</t>
        </is>
      </c>
      <c r="B74" s="8" t="inlineStr">
        <is>
          <t>Morropón</t>
        </is>
      </c>
      <c r="C74" s="8" t="inlineStr">
        <is>
          <t>Chalaco</t>
        </is>
      </c>
      <c r="D74" s="15" t="n">
        <v>0</v>
      </c>
      <c r="E74" s="15" t="n">
        <v>0</v>
      </c>
      <c r="F74" s="15" t="n">
        <v>1.1762</v>
      </c>
      <c r="G74" s="15" t="n">
        <v>14.342</v>
      </c>
      <c r="H74" s="15" t="n">
        <v>10.1498</v>
      </c>
      <c r="I74" s="15">
        <f>SUM(D74:H74)</f>
        <v/>
      </c>
      <c r="J74" s="31" t="n">
        <v>0.603055</v>
      </c>
      <c r="K74" s="8" t="n">
        <v>4</v>
      </c>
      <c r="L74" s="15">
        <f>SUM(D74:F74)</f>
        <v/>
      </c>
      <c r="M74" s="16">
        <f>L74/I74</f>
        <v/>
      </c>
    </row>
    <row r="75">
      <c r="A75" s="6" t="inlineStr">
        <is>
          <t>59</t>
        </is>
      </c>
      <c r="B75" s="6" t="inlineStr">
        <is>
          <t>Morropón</t>
        </is>
      </c>
      <c r="C75" s="6" t="inlineStr">
        <is>
          <t>Chalaco</t>
        </is>
      </c>
      <c r="D75" s="11" t="n">
        <v>0.2474</v>
      </c>
      <c r="E75" s="11" t="n">
        <v>0.485</v>
      </c>
      <c r="F75" s="11" t="n">
        <v>1.1273</v>
      </c>
      <c r="G75" s="11" t="n">
        <v>3.9905</v>
      </c>
      <c r="H75" s="11" t="n">
        <v>7.7038</v>
      </c>
      <c r="I75" s="11">
        <f>SUM(D75:H75)</f>
        <v/>
      </c>
      <c r="J75" s="29" t="n">
        <v>0.614739</v>
      </c>
      <c r="K75" s="6" t="n">
        <v>5</v>
      </c>
      <c r="L75" s="11">
        <f>SUM(D75:F75)</f>
        <v/>
      </c>
      <c r="M75" s="12">
        <f>L75/I75</f>
        <v/>
      </c>
    </row>
    <row r="76">
      <c r="A76" s="8" t="inlineStr">
        <is>
          <t>2</t>
        </is>
      </c>
      <c r="B76" s="8" t="inlineStr">
        <is>
          <t>Morropón</t>
        </is>
      </c>
      <c r="C76" s="8" t="inlineStr">
        <is>
          <t>Chulucanas</t>
        </is>
      </c>
      <c r="D76" s="15" t="n">
        <v>9.8223</v>
      </c>
      <c r="E76" s="15" t="n">
        <v>213.4429</v>
      </c>
      <c r="F76" s="15" t="n">
        <v>104.623</v>
      </c>
      <c r="G76" s="15" t="n">
        <v>2.6537</v>
      </c>
      <c r="H76" s="15" t="n">
        <v>0.0572</v>
      </c>
      <c r="I76" s="15">
        <f>SUM(D76:H76)</f>
        <v/>
      </c>
      <c r="J76" s="31" t="n">
        <v>0.358601</v>
      </c>
      <c r="K76" s="8" t="n">
        <v>2</v>
      </c>
      <c r="L76" s="15">
        <f>SUM(D76:F76)</f>
        <v/>
      </c>
      <c r="M76" s="16">
        <f>L76/I76</f>
        <v/>
      </c>
    </row>
    <row r="77">
      <c r="A77" s="6" t="inlineStr">
        <is>
          <t>22</t>
        </is>
      </c>
      <c r="B77" s="6" t="inlineStr">
        <is>
          <t>Morropón</t>
        </is>
      </c>
      <c r="C77" s="6" t="inlineStr">
        <is>
          <t>Chulucanas</t>
        </is>
      </c>
      <c r="D77" s="11" t="n">
        <v>0</v>
      </c>
      <c r="E77" s="11" t="n">
        <v>15.6779</v>
      </c>
      <c r="F77" s="11" t="n">
        <v>58.3306</v>
      </c>
      <c r="G77" s="11" t="n">
        <v>5.2242</v>
      </c>
      <c r="H77" s="11" t="n">
        <v>0.0977</v>
      </c>
      <c r="I77" s="11">
        <f>SUM(D77:H77)</f>
        <v/>
      </c>
      <c r="J77" s="29" t="n">
        <v>0.42317</v>
      </c>
      <c r="K77" s="6" t="n">
        <v>3</v>
      </c>
      <c r="L77" s="11">
        <f>SUM(D77:F77)</f>
        <v/>
      </c>
      <c r="M77" s="12">
        <f>L77/I77</f>
        <v/>
      </c>
    </row>
    <row r="78">
      <c r="A78" s="8" t="inlineStr">
        <is>
          <t>M10B4</t>
        </is>
      </c>
      <c r="B78" s="8" t="inlineStr">
        <is>
          <t>Morropón</t>
        </is>
      </c>
      <c r="C78" s="8" t="inlineStr">
        <is>
          <t>Chulucanas</t>
        </is>
      </c>
      <c r="D78" s="15" t="n">
        <v>11.5466</v>
      </c>
      <c r="E78" s="15" t="n">
        <v>51.4644</v>
      </c>
      <c r="F78" s="15" t="n">
        <v>5.7469</v>
      </c>
      <c r="G78" s="15" t="n">
        <v>0.1287</v>
      </c>
      <c r="H78" s="15" t="n">
        <v>0</v>
      </c>
      <c r="I78" s="15">
        <f>SUM(D78:H78)</f>
        <v/>
      </c>
      <c r="J78" s="31" t="n">
        <v>0.313301</v>
      </c>
      <c r="K78" s="8" t="n">
        <v>2</v>
      </c>
      <c r="L78" s="15">
        <f>SUM(D78:F78)</f>
        <v/>
      </c>
      <c r="M78" s="16">
        <f>L78/I78</f>
        <v/>
      </c>
    </row>
    <row r="79">
      <c r="A79" s="6" t="inlineStr">
        <is>
          <t>M17B1</t>
        </is>
      </c>
      <c r="B79" s="6" t="inlineStr">
        <is>
          <t>Morropón</t>
        </is>
      </c>
      <c r="C79" s="6" t="inlineStr">
        <is>
          <t>Chulucanas</t>
        </is>
      </c>
      <c r="D79" s="11" t="n">
        <v>3.9915</v>
      </c>
      <c r="E79" s="11" t="n">
        <v>30.741</v>
      </c>
      <c r="F79" s="11" t="n">
        <v>7.6468</v>
      </c>
      <c r="G79" s="11" t="n">
        <v>0.0693</v>
      </c>
      <c r="H79" s="11" t="n">
        <v>0</v>
      </c>
      <c r="I79" s="11">
        <f>SUM(D79:H79)</f>
        <v/>
      </c>
      <c r="J79" s="29" t="n">
        <v>0.332263</v>
      </c>
      <c r="K79" s="6" t="n">
        <v>2</v>
      </c>
      <c r="L79" s="11">
        <f>SUM(D79:F79)</f>
        <v/>
      </c>
      <c r="M79" s="12">
        <f>L79/I79</f>
        <v/>
      </c>
    </row>
    <row r="80">
      <c r="A80" s="8" t="inlineStr">
        <is>
          <t>M17B4</t>
        </is>
      </c>
      <c r="B80" s="8" t="inlineStr">
        <is>
          <t>Morropón</t>
        </is>
      </c>
      <c r="C80" s="8" t="inlineStr">
        <is>
          <t>Chulucanas</t>
        </is>
      </c>
      <c r="D80" s="15" t="n">
        <v>0.009900000000000001</v>
      </c>
      <c r="E80" s="15" t="n">
        <v>28.8936</v>
      </c>
      <c r="F80" s="15" t="n">
        <v>85.7548</v>
      </c>
      <c r="G80" s="15" t="n">
        <v>8.248200000000001</v>
      </c>
      <c r="H80" s="15" t="n">
        <v>1.8023</v>
      </c>
      <c r="I80" s="15">
        <f>SUM(D80:H80)</f>
        <v/>
      </c>
      <c r="J80" s="31" t="n">
        <v>0.423543</v>
      </c>
      <c r="K80" s="8" t="n">
        <v>3</v>
      </c>
      <c r="L80" s="15">
        <f>SUM(D80:F80)</f>
        <v/>
      </c>
      <c r="M80" s="16">
        <f>L80/I80</f>
        <v/>
      </c>
    </row>
    <row r="81">
      <c r="A81" s="6" t="inlineStr">
        <is>
          <t>M27B1</t>
        </is>
      </c>
      <c r="B81" s="6" t="inlineStr">
        <is>
          <t>Morropón</t>
        </is>
      </c>
      <c r="C81" s="6" t="inlineStr">
        <is>
          <t>Chulucanas</t>
        </is>
      </c>
      <c r="D81" s="11" t="n">
        <v>38.9789</v>
      </c>
      <c r="E81" s="11" t="n">
        <v>224.662</v>
      </c>
      <c r="F81" s="11" t="n">
        <v>171.4647</v>
      </c>
      <c r="G81" s="11" t="n">
        <v>13.6586</v>
      </c>
      <c r="H81" s="11" t="n">
        <v>0.0396</v>
      </c>
      <c r="I81" s="11">
        <f>SUM(D81:H81)</f>
        <v/>
      </c>
      <c r="J81" s="29" t="n">
        <v>0.363228</v>
      </c>
      <c r="K81" s="6" t="n">
        <v>2</v>
      </c>
      <c r="L81" s="11">
        <f>SUM(D81:F81)</f>
        <v/>
      </c>
      <c r="M81" s="12">
        <f>L81/I81</f>
        <v/>
      </c>
    </row>
    <row r="82">
      <c r="A82" s="8" t="inlineStr">
        <is>
          <t>M9B1</t>
        </is>
      </c>
      <c r="B82" s="8" t="inlineStr">
        <is>
          <t>Morropón</t>
        </is>
      </c>
      <c r="C82" s="8" t="inlineStr">
        <is>
          <t>Chulucanas</t>
        </is>
      </c>
      <c r="D82" s="15" t="n">
        <v>77.7475</v>
      </c>
      <c r="E82" s="15" t="n">
        <v>232.6345</v>
      </c>
      <c r="F82" s="15" t="n">
        <v>42.6009</v>
      </c>
      <c r="G82" s="15" t="n">
        <v>2.148</v>
      </c>
      <c r="H82" s="15" t="n">
        <v>0.2329</v>
      </c>
      <c r="I82" s="15">
        <f>SUM(D82:H82)</f>
        <v/>
      </c>
      <c r="J82" s="31" t="n">
        <v>0.314312</v>
      </c>
      <c r="K82" s="8" t="n">
        <v>2</v>
      </c>
      <c r="L82" s="15">
        <f>SUM(D82:F82)</f>
        <v/>
      </c>
      <c r="M82" s="16">
        <f>L82/I82</f>
        <v/>
      </c>
    </row>
    <row r="83">
      <c r="A83" s="6" t="inlineStr">
        <is>
          <t>M19B2</t>
        </is>
      </c>
      <c r="B83" s="6" t="inlineStr">
        <is>
          <t>Morropón</t>
        </is>
      </c>
      <c r="C83" s="6" t="inlineStr">
        <is>
          <t>Morropón</t>
        </is>
      </c>
      <c r="D83" s="11" t="n">
        <v>0.3321</v>
      </c>
      <c r="E83" s="11" t="n">
        <v>23.3919</v>
      </c>
      <c r="F83" s="11" t="n">
        <v>47.8495</v>
      </c>
      <c r="G83" s="11" t="n">
        <v>2.799</v>
      </c>
      <c r="H83" s="11" t="n">
        <v>0</v>
      </c>
      <c r="I83" s="11">
        <f>SUM(D83:H83)</f>
        <v/>
      </c>
      <c r="J83" s="29" t="n">
        <v>0.401185</v>
      </c>
      <c r="K83" s="6" t="n">
        <v>3</v>
      </c>
      <c r="L83" s="11">
        <f>SUM(D83:F83)</f>
        <v/>
      </c>
      <c r="M83" s="12">
        <f>L83/I83</f>
        <v/>
      </c>
    </row>
    <row r="84">
      <c r="A84" s="8" t="inlineStr">
        <is>
          <t>M32B3</t>
        </is>
      </c>
      <c r="B84" s="8" t="inlineStr">
        <is>
          <t>Morropón</t>
        </is>
      </c>
      <c r="C84" s="8" t="inlineStr">
        <is>
          <t>Morropón</t>
        </is>
      </c>
      <c r="D84" s="15" t="n">
        <v>1.1636</v>
      </c>
      <c r="E84" s="15" t="n">
        <v>23.3136</v>
      </c>
      <c r="F84" s="15" t="n">
        <v>23.374</v>
      </c>
      <c r="G84" s="15" t="n">
        <v>3.1211</v>
      </c>
      <c r="H84" s="15" t="n">
        <v>0</v>
      </c>
      <c r="I84" s="15">
        <f>SUM(D84:H84)</f>
        <v/>
      </c>
      <c r="J84" s="31" t="n">
        <v>0.385213</v>
      </c>
      <c r="K84" s="8" t="n">
        <v>3</v>
      </c>
      <c r="L84" s="15">
        <f>SUM(D84:F84)</f>
        <v/>
      </c>
      <c r="M84" s="16">
        <f>L84/I84</f>
        <v/>
      </c>
    </row>
    <row r="85">
      <c r="A85" s="6" t="inlineStr">
        <is>
          <t>M18B3</t>
        </is>
      </c>
      <c r="B85" s="6" t="inlineStr">
        <is>
          <t>Morropón</t>
        </is>
      </c>
      <c r="C85" s="6" t="inlineStr">
        <is>
          <t>Salitral</t>
        </is>
      </c>
      <c r="D85" s="11" t="n">
        <v>17.985</v>
      </c>
      <c r="E85" s="11" t="n">
        <v>193.319</v>
      </c>
      <c r="F85" s="11" t="n">
        <v>156.435</v>
      </c>
      <c r="G85" s="11" t="n">
        <v>5.9616</v>
      </c>
      <c r="H85" s="11" t="n">
        <v>0.1067</v>
      </c>
      <c r="I85" s="11">
        <f>SUM(D85:H85)</f>
        <v/>
      </c>
      <c r="J85" s="29" t="n">
        <v>0.369424</v>
      </c>
      <c r="K85" s="6" t="n">
        <v>2</v>
      </c>
      <c r="L85" s="11">
        <f>SUM(D85:F85)</f>
        <v/>
      </c>
      <c r="M85" s="12">
        <f>L85/I85</f>
        <v/>
      </c>
    </row>
    <row r="86">
      <c r="A86" s="8" t="inlineStr">
        <is>
          <t>M2B1</t>
        </is>
      </c>
      <c r="B86" s="8" t="inlineStr">
        <is>
          <t>Morropón</t>
        </is>
      </c>
      <c r="C86" s="8" t="inlineStr">
        <is>
          <t>Salitral</t>
        </is>
      </c>
      <c r="D86" s="15" t="n">
        <v>22.2104</v>
      </c>
      <c r="E86" s="15" t="n">
        <v>56.1201</v>
      </c>
      <c r="F86" s="15" t="n">
        <v>3.4644</v>
      </c>
      <c r="G86" s="15" t="n">
        <v>0</v>
      </c>
      <c r="H86" s="15" t="n">
        <v>0</v>
      </c>
      <c r="I86" s="15">
        <f>SUM(D86:H86)</f>
        <v/>
      </c>
      <c r="J86" s="31" t="n">
        <v>0.29836</v>
      </c>
      <c r="K86" s="8" t="n">
        <v>2</v>
      </c>
      <c r="L86" s="15">
        <f>SUM(D86:F86)</f>
        <v/>
      </c>
      <c r="M86" s="16">
        <f>L86/I86</f>
        <v/>
      </c>
    </row>
    <row r="87">
      <c r="A87" s="6" t="inlineStr">
        <is>
          <t>M2B5</t>
        </is>
      </c>
      <c r="B87" s="6" t="inlineStr">
        <is>
          <t>Morropón</t>
        </is>
      </c>
      <c r="C87" s="6" t="inlineStr">
        <is>
          <t>Salitral</t>
        </is>
      </c>
      <c r="D87" s="11" t="n">
        <v>9.080299999999999</v>
      </c>
      <c r="E87" s="11" t="n">
        <v>18.3122</v>
      </c>
      <c r="F87" s="11" t="n">
        <v>3.2173</v>
      </c>
      <c r="G87" s="11" t="n">
        <v>0.2984</v>
      </c>
      <c r="H87" s="11" t="n">
        <v>0.0003</v>
      </c>
      <c r="I87" s="11">
        <f>SUM(D87:H87)</f>
        <v/>
      </c>
      <c r="J87" s="29" t="n">
        <v>0.304733</v>
      </c>
      <c r="K87" s="6" t="n">
        <v>2</v>
      </c>
      <c r="L87" s="11">
        <f>SUM(D87:F87)</f>
        <v/>
      </c>
      <c r="M87" s="12">
        <f>L87/I87</f>
        <v/>
      </c>
    </row>
    <row r="88">
      <c r="A88" s="8" t="inlineStr">
        <is>
          <t>M3B1</t>
        </is>
      </c>
      <c r="B88" s="8" t="inlineStr">
        <is>
          <t>Morropón</t>
        </is>
      </c>
      <c r="C88" s="8" t="inlineStr">
        <is>
          <t>Salitral</t>
        </is>
      </c>
      <c r="D88" s="15" t="n">
        <v>13.8759</v>
      </c>
      <c r="E88" s="15" t="n">
        <v>53.7933</v>
      </c>
      <c r="F88" s="15" t="n">
        <v>13.1739</v>
      </c>
      <c r="G88" s="15" t="n">
        <v>0.1399</v>
      </c>
      <c r="H88" s="15" t="n">
        <v>0</v>
      </c>
      <c r="I88" s="15">
        <f>SUM(D88:H88)</f>
        <v/>
      </c>
      <c r="J88" s="31" t="n">
        <v>0.323882</v>
      </c>
      <c r="K88" s="8" t="n">
        <v>2</v>
      </c>
      <c r="L88" s="15">
        <f>SUM(D88:F88)</f>
        <v/>
      </c>
      <c r="M88" s="16">
        <f>L88/I88</f>
        <v/>
      </c>
    </row>
    <row r="89">
      <c r="A89" s="6" t="inlineStr">
        <is>
          <t>M3B9</t>
        </is>
      </c>
      <c r="B89" s="6" t="inlineStr">
        <is>
          <t>Morropón</t>
        </is>
      </c>
      <c r="C89" s="6" t="inlineStr">
        <is>
          <t>Salitral</t>
        </is>
      </c>
      <c r="D89" s="11" t="n">
        <v>63.658</v>
      </c>
      <c r="E89" s="11" t="n">
        <v>177.7869</v>
      </c>
      <c r="F89" s="11" t="n">
        <v>50.9822</v>
      </c>
      <c r="G89" s="11" t="n">
        <v>1.6881</v>
      </c>
      <c r="H89" s="11" t="n">
        <v>0.0891</v>
      </c>
      <c r="I89" s="11">
        <f>SUM(D89:H89)</f>
        <v/>
      </c>
      <c r="J89" s="29" t="n">
        <v>0.321386</v>
      </c>
      <c r="K89" s="6" t="n">
        <v>2</v>
      </c>
      <c r="L89" s="11">
        <f>SUM(D89:F89)</f>
        <v/>
      </c>
      <c r="M89" s="12">
        <f>L89/I89</f>
        <v/>
      </c>
    </row>
    <row r="90">
      <c r="A90" s="8" t="inlineStr">
        <is>
          <t>M7B1</t>
        </is>
      </c>
      <c r="B90" s="8" t="inlineStr">
        <is>
          <t>Morropón</t>
        </is>
      </c>
      <c r="C90" s="8" t="inlineStr">
        <is>
          <t>Salitral</t>
        </is>
      </c>
      <c r="D90" s="15" t="n">
        <v>21.0515</v>
      </c>
      <c r="E90" s="15" t="n">
        <v>97.9795</v>
      </c>
      <c r="F90" s="15" t="n">
        <v>11.1016</v>
      </c>
      <c r="G90" s="15" t="n">
        <v>0.2925</v>
      </c>
      <c r="H90" s="15" t="n">
        <v>0</v>
      </c>
      <c r="I90" s="15">
        <f>SUM(D90:H90)</f>
        <v/>
      </c>
      <c r="J90" s="31" t="n">
        <v>0.313647</v>
      </c>
      <c r="K90" s="8" t="n">
        <v>2</v>
      </c>
      <c r="L90" s="15">
        <f>SUM(D90:F90)</f>
        <v/>
      </c>
      <c r="M90" s="16">
        <f>L90/I90</f>
        <v/>
      </c>
    </row>
    <row r="91">
      <c r="A91" s="6" t="inlineStr">
        <is>
          <t>M7B2</t>
        </is>
      </c>
      <c r="B91" s="6" t="inlineStr">
        <is>
          <t>Morropón</t>
        </is>
      </c>
      <c r="C91" s="6" t="inlineStr">
        <is>
          <t>Salitral</t>
        </is>
      </c>
      <c r="D91" s="11" t="n">
        <v>34.5222</v>
      </c>
      <c r="E91" s="11" t="n">
        <v>78.1974</v>
      </c>
      <c r="F91" s="11" t="n">
        <v>2.1794</v>
      </c>
      <c r="G91" s="11" t="n">
        <v>0.4799</v>
      </c>
      <c r="H91" s="11" t="n">
        <v>0</v>
      </c>
      <c r="I91" s="11">
        <f>SUM(D91:H91)</f>
        <v/>
      </c>
      <c r="J91" s="29" t="n">
        <v>0.287689</v>
      </c>
      <c r="K91" s="6" t="n">
        <v>2</v>
      </c>
      <c r="L91" s="11">
        <f>SUM(D91:F91)</f>
        <v/>
      </c>
      <c r="M91" s="12">
        <f>L91/I91</f>
        <v/>
      </c>
    </row>
    <row r="92">
      <c r="A92" s="8" t="inlineStr">
        <is>
          <t>M7B3</t>
        </is>
      </c>
      <c r="B92" s="8" t="inlineStr">
        <is>
          <t>Morropón</t>
        </is>
      </c>
      <c r="C92" s="8" t="inlineStr">
        <is>
          <t>Salitral</t>
        </is>
      </c>
      <c r="D92" s="15" t="n">
        <v>14.4965</v>
      </c>
      <c r="E92" s="15" t="n">
        <v>47.8887</v>
      </c>
      <c r="F92" s="15" t="n">
        <v>3.2595</v>
      </c>
      <c r="G92" s="15" t="n">
        <v>0.0999</v>
      </c>
      <c r="H92" s="15" t="n">
        <v>0</v>
      </c>
      <c r="I92" s="15">
        <f>SUM(D92:H92)</f>
        <v/>
      </c>
      <c r="J92" s="31" t="n">
        <v>0.298017</v>
      </c>
      <c r="K92" s="8" t="n">
        <v>2</v>
      </c>
      <c r="L92" s="15">
        <f>SUM(D92:F92)</f>
        <v/>
      </c>
      <c r="M92" s="16">
        <f>L92/I92</f>
        <v/>
      </c>
    </row>
    <row r="93">
      <c r="A93" s="6" t="inlineStr">
        <is>
          <t>M7B6</t>
        </is>
      </c>
      <c r="B93" s="6" t="inlineStr">
        <is>
          <t>Morropón</t>
        </is>
      </c>
      <c r="C93" s="6" t="inlineStr">
        <is>
          <t>Salitral</t>
        </is>
      </c>
      <c r="D93" s="11" t="n">
        <v>34.3544</v>
      </c>
      <c r="E93" s="11" t="n">
        <v>52.2419</v>
      </c>
      <c r="F93" s="11" t="n">
        <v>4.6564</v>
      </c>
      <c r="G93" s="11" t="n">
        <v>0.0325</v>
      </c>
      <c r="H93" s="11" t="n">
        <v>0</v>
      </c>
      <c r="I93" s="11">
        <f>SUM(D93:H93)</f>
        <v/>
      </c>
      <c r="J93" s="29" t="n">
        <v>0.287833</v>
      </c>
      <c r="K93" s="6" t="n">
        <v>2</v>
      </c>
      <c r="L93" s="11">
        <f>SUM(D93:F93)</f>
        <v/>
      </c>
      <c r="M93" s="12">
        <f>L93/I93</f>
        <v/>
      </c>
    </row>
    <row r="94">
      <c r="A94" s="8" t="inlineStr">
        <is>
          <t>77</t>
        </is>
      </c>
      <c r="B94" s="8" t="inlineStr">
        <is>
          <t>Morropón</t>
        </is>
      </c>
      <c r="C94" s="8" t="inlineStr">
        <is>
          <t>San Juan de Bigote</t>
        </is>
      </c>
      <c r="D94" s="15" t="n">
        <v>8.704800000000001</v>
      </c>
      <c r="E94" s="15" t="n">
        <v>8.4437</v>
      </c>
      <c r="F94" s="15" t="n">
        <v>0.6328</v>
      </c>
      <c r="G94" s="15" t="n">
        <v>0.0396</v>
      </c>
      <c r="H94" s="15" t="n">
        <v>0</v>
      </c>
      <c r="I94" s="15">
        <f>SUM(D94:H94)</f>
        <v/>
      </c>
      <c r="J94" s="31" t="n">
        <v>0.272488</v>
      </c>
      <c r="K94" s="8" t="n">
        <v>1</v>
      </c>
      <c r="L94" s="15">
        <f>SUM(D94:F94)</f>
        <v/>
      </c>
      <c r="M94" s="16">
        <f>L94/I94</f>
        <v/>
      </c>
    </row>
    <row r="95">
      <c r="A95" s="6" t="inlineStr">
        <is>
          <t>83</t>
        </is>
      </c>
      <c r="B95" s="6" t="inlineStr">
        <is>
          <t>Morropón</t>
        </is>
      </c>
      <c r="C95" s="6" t="inlineStr">
        <is>
          <t>San Juan de Bigote</t>
        </is>
      </c>
      <c r="D95" s="11" t="n">
        <v>7.2044</v>
      </c>
      <c r="E95" s="11" t="n">
        <v>13.6452</v>
      </c>
      <c r="F95" s="11" t="n">
        <v>3.3463</v>
      </c>
      <c r="G95" s="11" t="n">
        <v>0.1485</v>
      </c>
      <c r="H95" s="11" t="n">
        <v>0</v>
      </c>
      <c r="I95" s="11">
        <f>SUM(D95:H95)</f>
        <v/>
      </c>
      <c r="J95" s="29" t="n">
        <v>0.305456</v>
      </c>
      <c r="K95" s="6" t="n">
        <v>2</v>
      </c>
      <c r="L95" s="11">
        <f>SUM(D95:F95)</f>
        <v/>
      </c>
      <c r="M95" s="12">
        <f>L95/I95</f>
        <v/>
      </c>
    </row>
    <row r="96">
      <c r="A96" s="8" t="inlineStr">
        <is>
          <t>84</t>
        </is>
      </c>
      <c r="B96" s="8" t="inlineStr">
        <is>
          <t>Morropón</t>
        </is>
      </c>
      <c r="C96" s="8" t="inlineStr">
        <is>
          <t>San Juan de Bigote</t>
        </is>
      </c>
      <c r="D96" s="15" t="n">
        <v>3.3293</v>
      </c>
      <c r="E96" s="15" t="n">
        <v>1.7504</v>
      </c>
      <c r="F96" s="15" t="n">
        <v>0.0174</v>
      </c>
      <c r="G96" s="15" t="n">
        <v>0</v>
      </c>
      <c r="H96" s="15" t="n">
        <v>0</v>
      </c>
      <c r="I96" s="15">
        <f>SUM(D96:H96)</f>
        <v/>
      </c>
      <c r="J96" s="31" t="n">
        <v>0.251596</v>
      </c>
      <c r="K96" s="8" t="n">
        <v>1</v>
      </c>
      <c r="L96" s="15">
        <f>SUM(D96:F96)</f>
        <v/>
      </c>
      <c r="M96" s="16">
        <f>L96/I96</f>
        <v/>
      </c>
    </row>
    <row r="97">
      <c r="A97" s="6" t="inlineStr">
        <is>
          <t>85</t>
        </is>
      </c>
      <c r="B97" s="6" t="inlineStr">
        <is>
          <t>Morropón</t>
        </is>
      </c>
      <c r="C97" s="6" t="inlineStr">
        <is>
          <t>San Juan de Bigote</t>
        </is>
      </c>
      <c r="D97" s="11" t="n">
        <v>10.0216</v>
      </c>
      <c r="E97" s="11" t="n">
        <v>1.8463</v>
      </c>
      <c r="F97" s="11" t="n">
        <v>0.0382</v>
      </c>
      <c r="G97" s="11" t="n">
        <v>0</v>
      </c>
      <c r="H97" s="11" t="n">
        <v>0</v>
      </c>
      <c r="I97" s="11">
        <f>SUM(D97:H97)</f>
        <v/>
      </c>
      <c r="J97" s="29" t="n">
        <v>0.228928</v>
      </c>
      <c r="K97" s="6" t="n">
        <v>1</v>
      </c>
      <c r="L97" s="11">
        <f>SUM(D97:F97)</f>
        <v/>
      </c>
      <c r="M97" s="12">
        <f>L97/I97</f>
        <v/>
      </c>
    </row>
    <row r="98">
      <c r="A98" s="8" t="inlineStr">
        <is>
          <t>86</t>
        </is>
      </c>
      <c r="B98" s="8" t="inlineStr">
        <is>
          <t>Morropón</t>
        </is>
      </c>
      <c r="C98" s="8" t="inlineStr">
        <is>
          <t>San Juan de Bigote</t>
        </is>
      </c>
      <c r="D98" s="15" t="n">
        <v>15.0011</v>
      </c>
      <c r="E98" s="15" t="n">
        <v>13.4206</v>
      </c>
      <c r="F98" s="15" t="n">
        <v>1.4653</v>
      </c>
      <c r="G98" s="15" t="n">
        <v>0.1143</v>
      </c>
      <c r="H98" s="15" t="n">
        <v>0</v>
      </c>
      <c r="I98" s="15">
        <f>SUM(D98:H98)</f>
        <v/>
      </c>
      <c r="J98" s="31" t="n">
        <v>0.273472</v>
      </c>
      <c r="K98" s="8" t="n">
        <v>1</v>
      </c>
      <c r="L98" s="15">
        <f>SUM(D98:F98)</f>
        <v/>
      </c>
      <c r="M98" s="16">
        <f>L98/I98</f>
        <v/>
      </c>
    </row>
    <row r="99">
      <c r="A99" s="6" t="inlineStr">
        <is>
          <t>87</t>
        </is>
      </c>
      <c r="B99" s="6" t="inlineStr">
        <is>
          <t>Morropón</t>
        </is>
      </c>
      <c r="C99" s="6" t="inlineStr">
        <is>
          <t>San Juan de Bigote</t>
        </is>
      </c>
      <c r="D99" s="11" t="n">
        <v>50.8714</v>
      </c>
      <c r="E99" s="11" t="n">
        <v>10.3668</v>
      </c>
      <c r="F99" s="11" t="n">
        <v>0.8069</v>
      </c>
      <c r="G99" s="11" t="n">
        <v>0.1741</v>
      </c>
      <c r="H99" s="11" t="n">
        <v>0</v>
      </c>
      <c r="I99" s="11">
        <f>SUM(D99:H99)</f>
        <v/>
      </c>
      <c r="J99" s="29" t="n">
        <v>0.248718</v>
      </c>
      <c r="K99" s="6" t="n">
        <v>1</v>
      </c>
      <c r="L99" s="11">
        <f>SUM(D99:F99)</f>
        <v/>
      </c>
      <c r="M99" s="12">
        <f>L99/I99</f>
        <v/>
      </c>
    </row>
    <row r="100">
      <c r="A100" s="8" t="inlineStr">
        <is>
          <t>M11B3</t>
        </is>
      </c>
      <c r="B100" s="8" t="inlineStr">
        <is>
          <t>Morropón</t>
        </is>
      </c>
      <c r="C100" s="8" t="inlineStr">
        <is>
          <t>San Juan de Bigote</t>
        </is>
      </c>
      <c r="D100" s="15" t="n">
        <v>3.9623</v>
      </c>
      <c r="E100" s="15" t="n">
        <v>43.1431</v>
      </c>
      <c r="F100" s="15" t="n">
        <v>47.1236</v>
      </c>
      <c r="G100" s="15" t="n">
        <v>11.6313</v>
      </c>
      <c r="H100" s="15" t="n">
        <v>0.1667</v>
      </c>
      <c r="I100" s="15">
        <f>SUM(D100:H100)</f>
        <v/>
      </c>
      <c r="J100" s="31" t="n">
        <v>0.395609</v>
      </c>
      <c r="K100" s="8" t="n">
        <v>3</v>
      </c>
      <c r="L100" s="15">
        <f>SUM(D100:F100)</f>
        <v/>
      </c>
      <c r="M100" s="16">
        <f>L100/I100</f>
        <v/>
      </c>
    </row>
    <row r="101">
      <c r="A101" s="6" t="inlineStr">
        <is>
          <t>M3B3</t>
        </is>
      </c>
      <c r="B101" s="6" t="inlineStr">
        <is>
          <t>Morropón</t>
        </is>
      </c>
      <c r="C101" s="6" t="inlineStr">
        <is>
          <t>San Juan de Bigote</t>
        </is>
      </c>
      <c r="D101" s="11" t="n">
        <v>23.0704</v>
      </c>
      <c r="E101" s="11" t="n">
        <v>56.7675</v>
      </c>
      <c r="F101" s="11" t="n">
        <v>4.8976</v>
      </c>
      <c r="G101" s="11" t="n">
        <v>0.0891</v>
      </c>
      <c r="H101" s="11" t="n">
        <v>0</v>
      </c>
      <c r="I101" s="11">
        <f>SUM(D101:H101)</f>
        <v/>
      </c>
      <c r="J101" s="29" t="n">
        <v>0.298483</v>
      </c>
      <c r="K101" s="6" t="n">
        <v>2</v>
      </c>
      <c r="L101" s="11">
        <f>SUM(D101:F101)</f>
        <v/>
      </c>
      <c r="M101" s="12">
        <f>L101/I101</f>
        <v/>
      </c>
    </row>
    <row r="102">
      <c r="A102" s="8" t="inlineStr">
        <is>
          <t>M3B5</t>
        </is>
      </c>
      <c r="B102" s="8" t="inlineStr">
        <is>
          <t>Morropón</t>
        </is>
      </c>
      <c r="C102" s="8" t="inlineStr">
        <is>
          <t>San Juan de Bigote</t>
        </is>
      </c>
      <c r="D102" s="15" t="n">
        <v>21.5596</v>
      </c>
      <c r="E102" s="15" t="n">
        <v>28.9353</v>
      </c>
      <c r="F102" s="15" t="n">
        <v>2.1888</v>
      </c>
      <c r="G102" s="15" t="n">
        <v>0.0594</v>
      </c>
      <c r="H102" s="15" t="n">
        <v>0</v>
      </c>
      <c r="I102" s="15">
        <f>SUM(D102:H102)</f>
        <v/>
      </c>
      <c r="J102" s="31" t="n">
        <v>0.283016</v>
      </c>
      <c r="K102" s="8" t="n">
        <v>2</v>
      </c>
      <c r="L102" s="15">
        <f>SUM(D102:F102)</f>
        <v/>
      </c>
      <c r="M102" s="16">
        <f>L102/I102</f>
        <v/>
      </c>
    </row>
    <row r="103">
      <c r="A103" s="6" t="inlineStr">
        <is>
          <t>M3B6</t>
        </is>
      </c>
      <c r="B103" s="6" t="inlineStr">
        <is>
          <t>Morropón</t>
        </is>
      </c>
      <c r="C103" s="6" t="inlineStr">
        <is>
          <t>San Juan de Bigote</t>
        </is>
      </c>
      <c r="D103" s="11" t="n">
        <v>6.3144</v>
      </c>
      <c r="E103" s="11" t="n">
        <v>36.5064</v>
      </c>
      <c r="F103" s="11" t="n">
        <v>17.3769</v>
      </c>
      <c r="G103" s="11" t="n">
        <v>0.1545</v>
      </c>
      <c r="H103" s="11" t="n">
        <v>0</v>
      </c>
      <c r="I103" s="11">
        <f>SUM(D103:H103)</f>
        <v/>
      </c>
      <c r="J103" s="29" t="n">
        <v>0.342535</v>
      </c>
      <c r="K103" s="6" t="n">
        <v>2</v>
      </c>
      <c r="L103" s="11">
        <f>SUM(D103:F103)</f>
        <v/>
      </c>
      <c r="M103" s="12">
        <f>L103/I103</f>
        <v/>
      </c>
    </row>
    <row r="104">
      <c r="A104" s="8" t="inlineStr">
        <is>
          <t>M3B7</t>
        </is>
      </c>
      <c r="B104" s="8" t="inlineStr">
        <is>
          <t>Morropón</t>
        </is>
      </c>
      <c r="C104" s="8" t="inlineStr">
        <is>
          <t>San Juan de Bigote</t>
        </is>
      </c>
      <c r="D104" s="15" t="n">
        <v>2.5205</v>
      </c>
      <c r="E104" s="15" t="n">
        <v>73.3038</v>
      </c>
      <c r="F104" s="15" t="n">
        <v>42.1183</v>
      </c>
      <c r="G104" s="15" t="n">
        <v>4.994</v>
      </c>
      <c r="H104" s="15" t="n">
        <v>0.009900000000000001</v>
      </c>
      <c r="I104" s="15">
        <f>SUM(D104:H104)</f>
        <v/>
      </c>
      <c r="J104" s="31" t="n">
        <v>0.370678</v>
      </c>
      <c r="K104" s="8" t="n">
        <v>2</v>
      </c>
      <c r="L104" s="15">
        <f>SUM(D104:F104)</f>
        <v/>
      </c>
      <c r="M104" s="16">
        <f>L104/I104</f>
        <v/>
      </c>
    </row>
    <row r="105">
      <c r="A105" s="6" t="inlineStr">
        <is>
          <t>M3B8</t>
        </is>
      </c>
      <c r="B105" s="6" t="inlineStr">
        <is>
          <t>Morropón</t>
        </is>
      </c>
      <c r="C105" s="6" t="inlineStr">
        <is>
          <t>San Juan de Bigote</t>
        </is>
      </c>
      <c r="D105" s="11" t="n">
        <v>198.2846</v>
      </c>
      <c r="E105" s="11" t="n">
        <v>307.7686</v>
      </c>
      <c r="F105" s="11" t="n">
        <v>56.1326</v>
      </c>
      <c r="G105" s="11" t="n">
        <v>3.3984</v>
      </c>
      <c r="H105" s="11" t="n">
        <v>0</v>
      </c>
      <c r="I105" s="11">
        <f>SUM(D105:H105)</f>
        <v/>
      </c>
      <c r="J105" s="29" t="n">
        <v>0.293351</v>
      </c>
      <c r="K105" s="6" t="n">
        <v>2</v>
      </c>
      <c r="L105" s="11">
        <f>SUM(D105:F105)</f>
        <v/>
      </c>
      <c r="M105" s="12">
        <f>L105/I105</f>
        <v/>
      </c>
    </row>
    <row r="106">
      <c r="A106" s="8" t="inlineStr">
        <is>
          <t>14</t>
        </is>
      </c>
      <c r="B106" s="8" t="inlineStr">
        <is>
          <t>Morropón</t>
        </is>
      </c>
      <c r="C106" s="8" t="inlineStr">
        <is>
          <t>Santa Catalina de Mossa</t>
        </is>
      </c>
      <c r="D106" s="15" t="n">
        <v>0</v>
      </c>
      <c r="E106" s="15" t="n">
        <v>4.8011</v>
      </c>
      <c r="F106" s="15" t="n">
        <v>31.4516</v>
      </c>
      <c r="G106" s="15" t="n">
        <v>43.8355</v>
      </c>
      <c r="H106" s="15" t="n">
        <v>12.8168</v>
      </c>
      <c r="I106" s="15">
        <f>SUM(D106:H106)</f>
        <v/>
      </c>
      <c r="J106" s="31" t="n">
        <v>0.51974</v>
      </c>
      <c r="K106" s="8" t="n">
        <v>4</v>
      </c>
      <c r="L106" s="15">
        <f>SUM(D106:F106)</f>
        <v/>
      </c>
      <c r="M106" s="16">
        <f>L106/I106</f>
        <v/>
      </c>
    </row>
    <row r="107">
      <c r="A107" s="6" t="inlineStr">
        <is>
          <t>42</t>
        </is>
      </c>
      <c r="B107" s="6" t="inlineStr">
        <is>
          <t>Morropón</t>
        </is>
      </c>
      <c r="C107" s="6" t="inlineStr">
        <is>
          <t>Santa Catalina de Mossa</t>
        </is>
      </c>
      <c r="D107" s="11" t="n">
        <v>0</v>
      </c>
      <c r="E107" s="11" t="n">
        <v>0.0198</v>
      </c>
      <c r="F107" s="11" t="n">
        <v>4.5234</v>
      </c>
      <c r="G107" s="11" t="n">
        <v>22.9715</v>
      </c>
      <c r="H107" s="11" t="n">
        <v>53.1008</v>
      </c>
      <c r="I107" s="11">
        <f>SUM(D107:H107)</f>
        <v/>
      </c>
      <c r="J107" s="29" t="n">
        <v>0.634841</v>
      </c>
      <c r="K107" s="6" t="n">
        <v>5</v>
      </c>
      <c r="L107" s="11">
        <f>SUM(D107:F107)</f>
        <v/>
      </c>
      <c r="M107" s="12">
        <f>L107/I107</f>
        <v/>
      </c>
    </row>
    <row r="108">
      <c r="A108" s="8" t="inlineStr">
        <is>
          <t>58</t>
        </is>
      </c>
      <c r="B108" s="8" t="inlineStr">
        <is>
          <t>Morropón</t>
        </is>
      </c>
      <c r="C108" s="8" t="inlineStr">
        <is>
          <t>Santa Catalina de Mossa</t>
        </is>
      </c>
      <c r="D108" s="15" t="n">
        <v>0</v>
      </c>
      <c r="E108" s="15" t="n">
        <v>1.897</v>
      </c>
      <c r="F108" s="15" t="n">
        <v>9.285399999999999</v>
      </c>
      <c r="G108" s="15" t="n">
        <v>0.2924</v>
      </c>
      <c r="H108" s="15" t="n">
        <v>0</v>
      </c>
      <c r="I108" s="15">
        <f>SUM(D108:H108)</f>
        <v/>
      </c>
      <c r="J108" s="31" t="n">
        <v>0.420325</v>
      </c>
      <c r="K108" s="8" t="n">
        <v>3</v>
      </c>
      <c r="L108" s="15">
        <f>SUM(D108:F108)</f>
        <v/>
      </c>
      <c r="M108" s="16">
        <f>L108/I108</f>
        <v/>
      </c>
    </row>
    <row r="109">
      <c r="A109" s="6" t="inlineStr">
        <is>
          <t>M36B2</t>
        </is>
      </c>
      <c r="B109" s="6" t="inlineStr">
        <is>
          <t>Morropón</t>
        </is>
      </c>
      <c r="C109" s="6" t="inlineStr">
        <is>
          <t>Santa Catalina de Mossa</t>
        </is>
      </c>
      <c r="D109" s="11" t="n">
        <v>0</v>
      </c>
      <c r="E109" s="11" t="n">
        <v>0.1881</v>
      </c>
      <c r="F109" s="11" t="n">
        <v>1.2133</v>
      </c>
      <c r="G109" s="11" t="n">
        <v>15.9436</v>
      </c>
      <c r="H109" s="11" t="n">
        <v>10.8453</v>
      </c>
      <c r="I109" s="11">
        <f>SUM(D109:H109)</f>
        <v/>
      </c>
      <c r="J109" s="29" t="n">
        <v>0.597433</v>
      </c>
      <c r="K109" s="6" t="n">
        <v>4</v>
      </c>
      <c r="L109" s="11">
        <f>SUM(D109:F109)</f>
        <v/>
      </c>
      <c r="M109" s="12">
        <f>L109/I109</f>
        <v/>
      </c>
    </row>
    <row r="110">
      <c r="A110" s="8" t="inlineStr">
        <is>
          <t>11</t>
        </is>
      </c>
      <c r="B110" s="8" t="inlineStr">
        <is>
          <t>Morropón</t>
        </is>
      </c>
      <c r="C110" s="8" t="inlineStr">
        <is>
          <t>Santo Domingo</t>
        </is>
      </c>
      <c r="D110" s="15" t="n">
        <v>0</v>
      </c>
      <c r="E110" s="15" t="n">
        <v>0.06469999999999999</v>
      </c>
      <c r="F110" s="15" t="n">
        <v>11.7243</v>
      </c>
      <c r="G110" s="15" t="n">
        <v>46.2287</v>
      </c>
      <c r="H110" s="15" t="n">
        <v>45.9298</v>
      </c>
      <c r="I110" s="15">
        <f>SUM(D110:H110)</f>
        <v/>
      </c>
      <c r="J110" s="31" t="n">
        <v>0.604743</v>
      </c>
      <c r="K110" s="8" t="n">
        <v>4</v>
      </c>
      <c r="L110" s="15">
        <f>SUM(D110:F110)</f>
        <v/>
      </c>
      <c r="M110" s="16">
        <f>L110/I110</f>
        <v/>
      </c>
    </row>
    <row r="111">
      <c r="A111" s="6" t="inlineStr">
        <is>
          <t>12</t>
        </is>
      </c>
      <c r="B111" s="6" t="inlineStr">
        <is>
          <t>Morropón</t>
        </is>
      </c>
      <c r="C111" s="6" t="inlineStr">
        <is>
          <t>Santo Domingo</t>
        </is>
      </c>
      <c r="D111" s="11" t="n">
        <v>0</v>
      </c>
      <c r="E111" s="11" t="n">
        <v>0</v>
      </c>
      <c r="F111" s="11" t="n">
        <v>0.07920000000000001</v>
      </c>
      <c r="G111" s="11" t="n">
        <v>12.4651</v>
      </c>
      <c r="H111" s="11" t="n">
        <v>106.9938</v>
      </c>
      <c r="I111" s="11">
        <f>SUM(D111:H111)</f>
        <v/>
      </c>
      <c r="J111" s="29" t="n">
        <v>0.706689</v>
      </c>
      <c r="K111" s="6" t="n">
        <v>5</v>
      </c>
      <c r="L111" s="11">
        <f>SUM(D111:F111)</f>
        <v/>
      </c>
      <c r="M111" s="12">
        <f>L111/I111</f>
        <v/>
      </c>
    </row>
    <row r="112">
      <c r="A112" s="8" t="inlineStr">
        <is>
          <t>13</t>
        </is>
      </c>
      <c r="B112" s="8" t="inlineStr">
        <is>
          <t>Morropón</t>
        </is>
      </c>
      <c r="C112" s="8" t="inlineStr">
        <is>
          <t>Santo Domingo</t>
        </is>
      </c>
      <c r="D112" s="15" t="n">
        <v>0</v>
      </c>
      <c r="E112" s="15" t="n">
        <v>0</v>
      </c>
      <c r="F112" s="15" t="n">
        <v>5.2394</v>
      </c>
      <c r="G112" s="15" t="n">
        <v>24.0178</v>
      </c>
      <c r="H112" s="15" t="n">
        <v>71.2564</v>
      </c>
      <c r="I112" s="15">
        <f>SUM(D112:H112)</f>
        <v/>
      </c>
      <c r="J112" s="31" t="n">
        <v>0.671094</v>
      </c>
      <c r="K112" s="8" t="n">
        <v>5</v>
      </c>
      <c r="L112" s="15">
        <f>SUM(D112:F112)</f>
        <v/>
      </c>
      <c r="M112" s="16">
        <f>L112/I112</f>
        <v/>
      </c>
    </row>
    <row r="113">
      <c r="A113" s="6" t="inlineStr">
        <is>
          <t>15</t>
        </is>
      </c>
      <c r="B113" s="6" t="inlineStr">
        <is>
          <t>Morropón</t>
        </is>
      </c>
      <c r="C113" s="6" t="inlineStr">
        <is>
          <t>Santo Domingo</t>
        </is>
      </c>
      <c r="D113" s="11" t="n">
        <v>0</v>
      </c>
      <c r="E113" s="11" t="n">
        <v>0.3688</v>
      </c>
      <c r="F113" s="11" t="n">
        <v>18.9986</v>
      </c>
      <c r="G113" s="11" t="n">
        <v>44.1256</v>
      </c>
      <c r="H113" s="11" t="n">
        <v>22.6542</v>
      </c>
      <c r="I113" s="11">
        <f>SUM(D113:H113)</f>
        <v/>
      </c>
      <c r="J113" s="29" t="n">
        <v>0.560518</v>
      </c>
      <c r="K113" s="6" t="n">
        <v>4</v>
      </c>
      <c r="L113" s="11">
        <f>SUM(D113:F113)</f>
        <v/>
      </c>
      <c r="M113" s="12">
        <f>L113/I113</f>
        <v/>
      </c>
    </row>
    <row r="114">
      <c r="A114" s="8" t="inlineStr">
        <is>
          <t>17</t>
        </is>
      </c>
      <c r="B114" s="8" t="inlineStr">
        <is>
          <t>Morropón</t>
        </is>
      </c>
      <c r="C114" s="8" t="inlineStr">
        <is>
          <t>Santo Domingo</t>
        </is>
      </c>
      <c r="D114" s="15" t="n">
        <v>0</v>
      </c>
      <c r="E114" s="15" t="n">
        <v>0</v>
      </c>
      <c r="F114" s="15" t="n">
        <v>2.0078</v>
      </c>
      <c r="G114" s="15" t="n">
        <v>27.7205</v>
      </c>
      <c r="H114" s="15" t="n">
        <v>66.35120000000001</v>
      </c>
      <c r="I114" s="15">
        <f>SUM(D114:H114)</f>
        <v/>
      </c>
      <c r="J114" s="31" t="n">
        <v>0.647895</v>
      </c>
      <c r="K114" s="8" t="n">
        <v>5</v>
      </c>
      <c r="L114" s="15">
        <f>SUM(D114:F114)</f>
        <v/>
      </c>
      <c r="M114" s="16">
        <f>L114/I114</f>
        <v/>
      </c>
    </row>
    <row r="115">
      <c r="A115" s="6" t="inlineStr">
        <is>
          <t>23</t>
        </is>
      </c>
      <c r="B115" s="6" t="inlineStr">
        <is>
          <t>Morropón</t>
        </is>
      </c>
      <c r="C115" s="6" t="inlineStr">
        <is>
          <t>Santo Domingo</t>
        </is>
      </c>
      <c r="D115" s="11" t="n">
        <v>0</v>
      </c>
      <c r="E115" s="11" t="n">
        <v>0.5385</v>
      </c>
      <c r="F115" s="11" t="n">
        <v>14.7915</v>
      </c>
      <c r="G115" s="11" t="n">
        <v>40.3014</v>
      </c>
      <c r="H115" s="11" t="n">
        <v>26.1441</v>
      </c>
      <c r="I115" s="11">
        <f>SUM(D115:H115)</f>
        <v/>
      </c>
      <c r="J115" s="29" t="n">
        <v>0.573141</v>
      </c>
      <c r="K115" s="6" t="n">
        <v>4</v>
      </c>
      <c r="L115" s="11">
        <f>SUM(D115:F115)</f>
        <v/>
      </c>
      <c r="M115" s="12">
        <f>L115/I115</f>
        <v/>
      </c>
    </row>
    <row r="116">
      <c r="A116" s="8" t="inlineStr">
        <is>
          <t>78</t>
        </is>
      </c>
      <c r="B116" s="8" t="inlineStr">
        <is>
          <t>Morropón</t>
        </is>
      </c>
      <c r="C116" s="8" t="inlineStr">
        <is>
          <t>Santo Domingo</t>
        </is>
      </c>
      <c r="D116" s="15" t="n">
        <v>0</v>
      </c>
      <c r="E116" s="15" t="n">
        <v>0.0198</v>
      </c>
      <c r="F116" s="15" t="n">
        <v>0.5998</v>
      </c>
      <c r="G116" s="15" t="n">
        <v>4.8451</v>
      </c>
      <c r="H116" s="15" t="n">
        <v>29.6353</v>
      </c>
      <c r="I116" s="15">
        <f>SUM(D116:H116)</f>
        <v/>
      </c>
      <c r="J116" s="31" t="n">
        <v>0.707402</v>
      </c>
      <c r="K116" s="8" t="n">
        <v>5</v>
      </c>
      <c r="L116" s="15">
        <f>SUM(D116:F116)</f>
        <v/>
      </c>
      <c r="M116" s="16">
        <f>L116/I116</f>
        <v/>
      </c>
    </row>
    <row r="117">
      <c r="A117" s="6" t="inlineStr">
        <is>
          <t>82</t>
        </is>
      </c>
      <c r="B117" s="6" t="inlineStr">
        <is>
          <t>Morropón</t>
        </is>
      </c>
      <c r="C117" s="6" t="inlineStr">
        <is>
          <t>Santo Domingo</t>
        </is>
      </c>
      <c r="D117" s="11" t="n">
        <v>0</v>
      </c>
      <c r="E117" s="11" t="n">
        <v>0</v>
      </c>
      <c r="F117" s="11" t="n">
        <v>4.5199</v>
      </c>
      <c r="G117" s="11" t="n">
        <v>14.1057</v>
      </c>
      <c r="H117" s="11" t="n">
        <v>17.0356</v>
      </c>
      <c r="I117" s="11">
        <f>SUM(D117:H117)</f>
        <v/>
      </c>
      <c r="J117" s="29" t="n">
        <v>0.62835</v>
      </c>
      <c r="K117" s="6" t="n">
        <v>5</v>
      </c>
      <c r="L117" s="11">
        <f>SUM(D117:F117)</f>
        <v/>
      </c>
      <c r="M117" s="12">
        <f>L117/I117</f>
        <v/>
      </c>
    </row>
    <row r="118">
      <c r="A118" s="8" t="inlineStr">
        <is>
          <t>M19B7</t>
        </is>
      </c>
      <c r="B118" s="8" t="inlineStr">
        <is>
          <t>Morropón</t>
        </is>
      </c>
      <c r="C118" s="8" t="inlineStr">
        <is>
          <t>Santo Domingo</t>
        </is>
      </c>
      <c r="D118" s="15" t="n">
        <v>0</v>
      </c>
      <c r="E118" s="15" t="n">
        <v>0</v>
      </c>
      <c r="F118" s="15" t="n">
        <v>1.9983</v>
      </c>
      <c r="G118" s="15" t="n">
        <v>20.2785</v>
      </c>
      <c r="H118" s="15" t="n">
        <v>11.894</v>
      </c>
      <c r="I118" s="15">
        <f>SUM(D118:H118)</f>
        <v/>
      </c>
      <c r="J118" s="31" t="n">
        <v>0.591921</v>
      </c>
      <c r="K118" s="8" t="n">
        <v>4</v>
      </c>
      <c r="L118" s="15">
        <f>SUM(D118:F118)</f>
        <v/>
      </c>
      <c r="M118" s="16">
        <f>L118/I118</f>
        <v/>
      </c>
    </row>
    <row r="119">
      <c r="A119" s="6" t="inlineStr">
        <is>
          <t>M8B2</t>
        </is>
      </c>
      <c r="B119" s="6" t="inlineStr">
        <is>
          <t>Morropón</t>
        </is>
      </c>
      <c r="C119" s="6" t="inlineStr">
        <is>
          <t>Santo Domingo</t>
        </is>
      </c>
      <c r="D119" s="11" t="n">
        <v>0.0297</v>
      </c>
      <c r="E119" s="11" t="n">
        <v>1.6435</v>
      </c>
      <c r="F119" s="11" t="n">
        <v>9.363300000000001</v>
      </c>
      <c r="G119" s="11" t="n">
        <v>19.0898</v>
      </c>
      <c r="H119" s="11" t="n">
        <v>5.2208</v>
      </c>
      <c r="I119" s="11">
        <f>SUM(D119:H119)</f>
        <v/>
      </c>
      <c r="J119" s="29" t="n">
        <v>0.530453</v>
      </c>
      <c r="K119" s="6" t="n">
        <v>4</v>
      </c>
      <c r="L119" s="11">
        <f>SUM(D119:F119)</f>
        <v/>
      </c>
      <c r="M119" s="12">
        <f>L119/I119</f>
        <v/>
      </c>
    </row>
    <row r="120">
      <c r="A120" s="8" t="inlineStr">
        <is>
          <t>49</t>
        </is>
      </c>
      <c r="B120" s="8" t="inlineStr">
        <is>
          <t>Morropón</t>
        </is>
      </c>
      <c r="C120" s="8" t="inlineStr">
        <is>
          <t>Yamango</t>
        </is>
      </c>
      <c r="D120" s="15" t="n">
        <v>0</v>
      </c>
      <c r="E120" s="15" t="n">
        <v>0</v>
      </c>
      <c r="F120" s="15" t="n">
        <v>0.5766</v>
      </c>
      <c r="G120" s="15" t="n">
        <v>2.8014</v>
      </c>
      <c r="H120" s="15" t="n">
        <v>12.4611</v>
      </c>
      <c r="I120" s="15">
        <f>SUM(D120:H120)</f>
        <v/>
      </c>
      <c r="J120" s="31" t="n">
        <v>0.686036</v>
      </c>
      <c r="K120" s="8" t="n">
        <v>5</v>
      </c>
      <c r="L120" s="15">
        <f>SUM(D120:F120)</f>
        <v/>
      </c>
      <c r="M120" s="16">
        <f>L120/I120</f>
        <v/>
      </c>
    </row>
    <row r="121">
      <c r="A121" s="6" t="inlineStr">
        <is>
          <t>52</t>
        </is>
      </c>
      <c r="B121" s="6" t="inlineStr">
        <is>
          <t>Morropón</t>
        </is>
      </c>
      <c r="C121" s="6" t="inlineStr">
        <is>
          <t>Yamango</t>
        </is>
      </c>
      <c r="D121" s="11" t="n">
        <v>0</v>
      </c>
      <c r="E121" s="11" t="n">
        <v>0</v>
      </c>
      <c r="F121" s="11" t="n">
        <v>0.4199</v>
      </c>
      <c r="G121" s="11" t="n">
        <v>2.9107</v>
      </c>
      <c r="H121" s="11" t="n">
        <v>7.7288</v>
      </c>
      <c r="I121" s="11">
        <f>SUM(D121:H121)</f>
        <v/>
      </c>
      <c r="J121" s="29" t="n">
        <v>0.66855</v>
      </c>
      <c r="K121" s="6" t="n">
        <v>5</v>
      </c>
      <c r="L121" s="11">
        <f>SUM(D121:F121)</f>
        <v/>
      </c>
      <c r="M121" s="12">
        <f>L121/I121</f>
        <v/>
      </c>
    </row>
    <row r="122">
      <c r="A122" s="8" t="inlineStr">
        <is>
          <t>55</t>
        </is>
      </c>
      <c r="B122" s="8" t="inlineStr">
        <is>
          <t>Morropón</t>
        </is>
      </c>
      <c r="C122" s="8" t="inlineStr">
        <is>
          <t>Yamango</t>
        </is>
      </c>
      <c r="D122" s="15" t="n">
        <v>0</v>
      </c>
      <c r="E122" s="15" t="n">
        <v>0</v>
      </c>
      <c r="F122" s="15" t="n">
        <v>0.0151</v>
      </c>
      <c r="G122" s="15" t="n">
        <v>0.367</v>
      </c>
      <c r="H122" s="15" t="n">
        <v>0.4771</v>
      </c>
      <c r="I122" s="15">
        <f>SUM(D122:H122)</f>
        <v/>
      </c>
      <c r="J122" s="31" t="n">
        <v>0.630032</v>
      </c>
      <c r="K122" s="8" t="n">
        <v>5</v>
      </c>
      <c r="L122" s="15">
        <f>SUM(D122:F122)</f>
        <v/>
      </c>
      <c r="M122" s="16">
        <f>L122/I122</f>
        <v/>
      </c>
    </row>
    <row r="123">
      <c r="A123" s="6" t="inlineStr">
        <is>
          <t>M28B2</t>
        </is>
      </c>
      <c r="B123" s="6" t="inlineStr">
        <is>
          <t>Morropón</t>
        </is>
      </c>
      <c r="C123" s="6" t="inlineStr">
        <is>
          <t>Yamango</t>
        </is>
      </c>
      <c r="D123" s="11" t="n">
        <v>1.2867</v>
      </c>
      <c r="E123" s="11" t="n">
        <v>7.9309</v>
      </c>
      <c r="F123" s="11" t="n">
        <v>46.878</v>
      </c>
      <c r="G123" s="11" t="n">
        <v>30.4185</v>
      </c>
      <c r="H123" s="11" t="n">
        <v>3.6833</v>
      </c>
      <c r="I123" s="11">
        <f>SUM(D123:H123)</f>
        <v/>
      </c>
      <c r="J123" s="29" t="n">
        <v>0.475342</v>
      </c>
      <c r="K123" s="6" t="n">
        <v>3</v>
      </c>
      <c r="L123" s="11">
        <f>SUM(D123:F123)</f>
        <v/>
      </c>
      <c r="M123" s="12">
        <f>L123/I123</f>
        <v/>
      </c>
    </row>
    <row r="124">
      <c r="A124" s="8" t="inlineStr">
        <is>
          <t>M28B3</t>
        </is>
      </c>
      <c r="B124" s="8" t="inlineStr">
        <is>
          <t>Morropón</t>
        </is>
      </c>
      <c r="C124" s="8" t="inlineStr">
        <is>
          <t>Yamango</t>
        </is>
      </c>
      <c r="D124" s="15" t="n">
        <v>0.08790000000000001</v>
      </c>
      <c r="E124" s="15" t="n">
        <v>6.0368</v>
      </c>
      <c r="F124" s="15" t="n">
        <v>22.8277</v>
      </c>
      <c r="G124" s="15" t="n">
        <v>20.3742</v>
      </c>
      <c r="H124" s="15" t="n">
        <v>8.965299999999999</v>
      </c>
      <c r="I124" s="15">
        <f>SUM(D124:H124)</f>
        <v/>
      </c>
      <c r="J124" s="31" t="n">
        <v>0.507529</v>
      </c>
      <c r="K124" s="8" t="n">
        <v>3</v>
      </c>
      <c r="L124" s="15">
        <f>SUM(D124:F124)</f>
        <v/>
      </c>
      <c r="M124" s="16">
        <f>L124/I124</f>
        <v/>
      </c>
    </row>
    <row r="125">
      <c r="A125" s="6" t="inlineStr">
        <is>
          <t>M28B4</t>
        </is>
      </c>
      <c r="B125" s="6" t="inlineStr">
        <is>
          <t>Morropón</t>
        </is>
      </c>
      <c r="C125" s="6" t="inlineStr">
        <is>
          <t>Yamango</t>
        </is>
      </c>
      <c r="D125" s="11" t="n">
        <v>0.4355</v>
      </c>
      <c r="E125" s="11" t="n">
        <v>103.9897</v>
      </c>
      <c r="F125" s="11" t="n">
        <v>107.5985</v>
      </c>
      <c r="G125" s="11" t="n">
        <v>69.2422</v>
      </c>
      <c r="H125" s="11" t="n">
        <v>2.1624</v>
      </c>
      <c r="I125" s="11">
        <f>SUM(D125:H125)</f>
        <v/>
      </c>
      <c r="J125" s="29" t="n">
        <v>0.42751</v>
      </c>
      <c r="K125" s="6" t="n">
        <v>3</v>
      </c>
      <c r="L125" s="11">
        <f>SUM(D125:F125)</f>
        <v/>
      </c>
      <c r="M125" s="12">
        <f>L125/I125</f>
        <v/>
      </c>
    </row>
    <row r="126">
      <c r="A126" s="17" t="inlineStr">
        <is>
          <t>TOTAL</t>
        </is>
      </c>
      <c r="B126" s="17" t="n"/>
      <c r="C126" s="17" t="n"/>
      <c r="D126" s="21">
        <f>SUM(D9:D125)</f>
        <v/>
      </c>
      <c r="E126" s="21">
        <f>SUM(E9:E125)</f>
        <v/>
      </c>
      <c r="F126" s="21">
        <f>SUM(F9:F125)</f>
        <v/>
      </c>
      <c r="G126" s="21">
        <f>SUM(G9:G125)</f>
        <v/>
      </c>
      <c r="H126" s="21">
        <f>SUM(H9:H125)</f>
        <v/>
      </c>
      <c r="I126" s="21">
        <f>SUM(I9:I125)</f>
        <v/>
      </c>
      <c r="J126" s="17" t="n"/>
      <c r="K126" s="17" t="n"/>
      <c r="L126" s="21">
        <f>SUM(L9:L125)</f>
        <v/>
      </c>
      <c r="M126" s="22">
        <f>L126/I126</f>
        <v/>
      </c>
    </row>
    <row r="128" ht="52" customHeight="1">
      <c r="A128" s="28" t="inlineStr">
        <is>
          <t>MSAVI: índice de vegetación ajustado al suelo modificado (Sentinel-2, 2024). Clases DN 1 (menor cobertura) a DN 5 (mayor cobertura) con los cortes indicados; verificación de la equivalencia DN→clase sobre 117 bloques: r = 0.9965, error absoluto medio = 0.0091. «Sup. MSAVI ≤ 0.4976» (clases DN 1 a 3) es un indicador preliminar de baja cobertura vegetal; la condición de degradación se confirma con la ficha F-DT-04 y el procedimiento MINAM de áreas degradadas. El total MSAVI puede diferir ligeramente del área del catálogo por el borde del ráster.</t>
        </is>
      </c>
    </row>
  </sheetData>
  <autoFilter ref="A8:M125"/>
  <mergeCells count="7">
    <mergeCell ref="A128:M128"/>
    <mergeCell ref="A1:M1"/>
    <mergeCell ref="A5:M5"/>
    <mergeCell ref="A6:M6"/>
    <mergeCell ref="A4:M4"/>
    <mergeCell ref="A3:M3"/>
    <mergeCell ref="A2:M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  <col width="14" customWidth="1" min="6" max="6"/>
    <col width="14" customWidth="1" min="7" max="7"/>
    <col width="16" customWidth="1" min="8" max="8"/>
    <col width="23" customWidth="1" min="9" max="9"/>
    <col width="23" customWidth="1" min="10" max="10"/>
    <col width="24" customWidth="1" min="11" max="11"/>
    <col width="23" customWidth="1" min="12" max="12"/>
    <col width="27" customWidth="1" min="13" max="13"/>
    <col width="14" customWidth="1" min="14" max="14"/>
    <col width="20" customWidth="1" min="15" max="15"/>
    <col width="24" customWidth="1" min="16" max="16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A4. CÁRCAVAS CARACTERIZADAS EN LOS BLOQUES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Caracterización de cárcavas (gabinete SIG: DEM y NDVI), ANIN-DIME-SESDI 2026</t>
        </is>
      </c>
    </row>
    <row r="8" ht="30" customHeight="1">
      <c r="A8" s="4" t="inlineStr">
        <is>
          <t>Código</t>
        </is>
      </c>
      <c r="B8" s="4" t="inlineStr">
        <is>
          <t>Bloque</t>
        </is>
      </c>
      <c r="C8" s="4" t="inlineStr">
        <is>
          <t>Microcuenca</t>
        </is>
      </c>
      <c r="D8" s="4" t="inlineStr">
        <is>
          <t>Provincia</t>
        </is>
      </c>
      <c r="E8" s="4" t="inlineStr">
        <is>
          <t>Distrito</t>
        </is>
      </c>
      <c r="F8" s="4" t="inlineStr">
        <is>
          <t>ESTE (m)</t>
        </is>
      </c>
      <c r="G8" s="4" t="inlineStr">
        <is>
          <t>NORTE (m)</t>
        </is>
      </c>
      <c r="H8" s="4" t="inlineStr">
        <is>
          <t>Longitud (m)</t>
        </is>
      </c>
      <c r="I8" s="4" t="inlineStr">
        <is>
          <t>Altitud mín. (msnm)</t>
        </is>
      </c>
      <c r="J8" s="4" t="inlineStr">
        <is>
          <t>Altitud máx. (msnm)</t>
        </is>
      </c>
      <c r="K8" s="4" t="inlineStr">
        <is>
          <t>Altitud media (msnm)</t>
        </is>
      </c>
      <c r="L8" s="4" t="inlineStr">
        <is>
          <t>Pendiente media (%)</t>
        </is>
      </c>
      <c r="M8" s="4" t="inlineStr">
        <is>
          <t>Índice de irregularidad</t>
        </is>
      </c>
      <c r="N8" s="4" t="inlineStr">
        <is>
          <t>NDVI medio</t>
        </is>
      </c>
      <c r="O8" s="4" t="inlineStr">
        <is>
          <t>Clase morfológica</t>
        </is>
      </c>
      <c r="P8" s="4" t="inlineStr">
        <is>
          <t>Clase de vegetación (NDVI)</t>
        </is>
      </c>
    </row>
    <row r="9">
      <c r="A9" s="6" t="inlineStr">
        <is>
          <t>CV 1 - 56</t>
        </is>
      </c>
      <c r="B9" s="6" t="inlineStr">
        <is>
          <t>56</t>
        </is>
      </c>
      <c r="C9" s="6" t="inlineStr">
        <is>
          <t>C1096-Q9564</t>
        </is>
      </c>
      <c r="D9" s="6" t="inlineStr">
        <is>
          <t>Ayabaca</t>
        </is>
      </c>
      <c r="E9" s="6" t="inlineStr">
        <is>
          <t>Frías</t>
        </is>
      </c>
      <c r="F9" s="30" t="n">
        <v>621265.3100000001</v>
      </c>
      <c r="G9" s="30" t="n">
        <v>9452783</v>
      </c>
      <c r="H9" s="30" t="n">
        <v>5.82</v>
      </c>
      <c r="I9" s="6" t="n">
        <v>2342</v>
      </c>
      <c r="J9" s="6" t="n">
        <v>2345</v>
      </c>
      <c r="K9" s="9" t="n">
        <v>2344.46</v>
      </c>
      <c r="L9" s="38" t="n">
        <v>16.89</v>
      </c>
      <c r="M9" s="38" t="n">
        <v>10.03</v>
      </c>
      <c r="N9" s="38" t="n">
        <v>0.6899999999999999</v>
      </c>
      <c r="O9" s="6" t="inlineStr">
        <is>
          <t>Pendiente moderada</t>
        </is>
      </c>
      <c r="P9" s="6" t="inlineStr">
        <is>
          <t>Vegetación alta</t>
        </is>
      </c>
    </row>
    <row r="10">
      <c r="A10" s="8" t="inlineStr">
        <is>
          <t>CV 2 - M2B8</t>
        </is>
      </c>
      <c r="B10" s="8" t="inlineStr">
        <is>
          <t>M2B8</t>
        </is>
      </c>
      <c r="C10" s="8" t="inlineStr">
        <is>
          <t>C1076-Q9584</t>
        </is>
      </c>
      <c r="D10" s="8" t="inlineStr">
        <is>
          <t>Huancabamba</t>
        </is>
      </c>
      <c r="E10" s="8" t="inlineStr">
        <is>
          <t>San Miguel de El Faique</t>
        </is>
      </c>
      <c r="F10" s="32" t="n">
        <v>638208.15</v>
      </c>
      <c r="G10" s="32" t="n">
        <v>9398133</v>
      </c>
      <c r="H10" s="32" t="n">
        <v>20.13</v>
      </c>
      <c r="I10" s="8" t="n">
        <v>248</v>
      </c>
      <c r="J10" s="8" t="n">
        <v>249</v>
      </c>
      <c r="K10" s="13" t="n">
        <v>248.5</v>
      </c>
      <c r="L10" s="47" t="n">
        <v>5.17</v>
      </c>
      <c r="M10" s="47" t="n">
        <v>3.08</v>
      </c>
      <c r="N10" s="47" t="n">
        <v>0.34</v>
      </c>
      <c r="O10" s="8" t="inlineStr">
        <is>
          <t>Pendiente suave</t>
        </is>
      </c>
      <c r="P10" s="8" t="inlineStr">
        <is>
          <t>Vegetación mediana</t>
        </is>
      </c>
    </row>
    <row r="11">
      <c r="A11" s="6" t="inlineStr">
        <is>
          <t>CV 3 - M17B5</t>
        </is>
      </c>
      <c r="B11" s="6" t="inlineStr">
        <is>
          <t>M17B5</t>
        </is>
      </c>
      <c r="C11" s="6" t="inlineStr">
        <is>
          <t>C1096-Q9556</t>
        </is>
      </c>
      <c r="D11" s="6" t="inlineStr">
        <is>
          <t>Ayabaca</t>
        </is>
      </c>
      <c r="E11" s="6" t="inlineStr">
        <is>
          <t>Frías</t>
        </is>
      </c>
      <c r="F11" s="30" t="n">
        <v>608596.92</v>
      </c>
      <c r="G11" s="30" t="n">
        <v>9445929.300000001</v>
      </c>
      <c r="H11" s="30" t="n">
        <v>24.9</v>
      </c>
      <c r="I11" s="6" t="n">
        <v>836</v>
      </c>
      <c r="J11" s="6" t="n">
        <v>837</v>
      </c>
      <c r="K11" s="9" t="n">
        <v>836.5</v>
      </c>
      <c r="L11" s="38" t="n">
        <v>6.66</v>
      </c>
      <c r="M11" s="38" t="n">
        <v>5.04</v>
      </c>
      <c r="N11" s="38" t="n">
        <v>0.54</v>
      </c>
      <c r="O11" s="6" t="inlineStr">
        <is>
          <t>Pendiente moderada</t>
        </is>
      </c>
      <c r="P11" s="6" t="inlineStr">
        <is>
          <t>Vegetación alta</t>
        </is>
      </c>
    </row>
    <row r="12">
      <c r="A12" s="8" t="inlineStr">
        <is>
          <t>CV 4 - M6B2-1</t>
        </is>
      </c>
      <c r="B12" s="8" t="inlineStr">
        <is>
          <t>M6B2-1</t>
        </is>
      </c>
      <c r="C12" s="8" t="inlineStr">
        <is>
          <t>C1077-Q9566</t>
        </is>
      </c>
      <c r="D12" s="8" t="inlineStr">
        <is>
          <t>Morropón</t>
        </is>
      </c>
      <c r="E12" s="8" t="inlineStr">
        <is>
          <t>Buenos Aires</t>
        </is>
      </c>
      <c r="F12" s="32" t="n">
        <v>613884.7</v>
      </c>
      <c r="G12" s="32" t="n">
        <v>9411595.5</v>
      </c>
      <c r="H12" s="32" t="n">
        <v>32.97</v>
      </c>
      <c r="I12" s="8" t="n">
        <v>265</v>
      </c>
      <c r="J12" s="8" t="n">
        <v>268</v>
      </c>
      <c r="K12" s="13" t="n">
        <v>266.33</v>
      </c>
      <c r="L12" s="47" t="n">
        <v>7.82</v>
      </c>
      <c r="M12" s="47" t="n">
        <v>4.87</v>
      </c>
      <c r="N12" s="47" t="n">
        <v>0.2</v>
      </c>
      <c r="O12" s="8" t="inlineStr">
        <is>
          <t>Pendiente moderada</t>
        </is>
      </c>
      <c r="P12" s="8" t="inlineStr">
        <is>
          <t>Vegetación ligera</t>
        </is>
      </c>
    </row>
    <row r="13">
      <c r="A13" s="6" t="inlineStr">
        <is>
          <t>CV 5 - M2B8</t>
        </is>
      </c>
      <c r="B13" s="6" t="inlineStr">
        <is>
          <t>M2B8</t>
        </is>
      </c>
      <c r="C13" s="6" t="inlineStr">
        <is>
          <t>C1076-Q9584</t>
        </is>
      </c>
      <c r="D13" s="6" t="inlineStr">
        <is>
          <t>Huancabamba</t>
        </is>
      </c>
      <c r="E13" s="6" t="inlineStr">
        <is>
          <t>San Miguel de El Faique</t>
        </is>
      </c>
      <c r="F13" s="30" t="n">
        <v>638998.5699999999</v>
      </c>
      <c r="G13" s="30" t="n">
        <v>9398855.35</v>
      </c>
      <c r="H13" s="30" t="n">
        <v>50.61</v>
      </c>
      <c r="I13" s="6" t="n">
        <v>249</v>
      </c>
      <c r="J13" s="6" t="n">
        <v>252</v>
      </c>
      <c r="K13" s="9" t="n">
        <v>250.5</v>
      </c>
      <c r="L13" s="38" t="n">
        <v>4.36</v>
      </c>
      <c r="M13" s="38" t="n">
        <v>2.71</v>
      </c>
      <c r="N13" s="38" t="n">
        <v>0.25</v>
      </c>
      <c r="O13" s="6" t="inlineStr">
        <is>
          <t>Pendiente suave</t>
        </is>
      </c>
      <c r="P13" s="6" t="inlineStr">
        <is>
          <t>Vegetación ligera</t>
        </is>
      </c>
    </row>
    <row r="14">
      <c r="A14" s="8" t="inlineStr">
        <is>
          <t>CV 6 - M6B2-2</t>
        </is>
      </c>
      <c r="B14" s="8" t="inlineStr">
        <is>
          <t>M6B2-2</t>
        </is>
      </c>
      <c r="C14" s="8" t="inlineStr">
        <is>
          <t>C1077-Q9566</t>
        </is>
      </c>
      <c r="D14" s="8" t="inlineStr">
        <is>
          <t>Morropón</t>
        </is>
      </c>
      <c r="E14" s="8" t="inlineStr">
        <is>
          <t>Buenos Aires</t>
        </is>
      </c>
      <c r="F14" s="32" t="n">
        <v>611538.51</v>
      </c>
      <c r="G14" s="32" t="n">
        <v>9417753.460000001</v>
      </c>
      <c r="H14" s="32" t="n">
        <v>54.76</v>
      </c>
      <c r="I14" s="8" t="n">
        <v>237</v>
      </c>
      <c r="J14" s="8" t="n">
        <v>243</v>
      </c>
      <c r="K14" s="13" t="n">
        <v>240</v>
      </c>
      <c r="L14" s="47" t="n">
        <v>8.550000000000001</v>
      </c>
      <c r="M14" s="47" t="n">
        <v>5.27</v>
      </c>
      <c r="N14" s="47" t="n">
        <v>0.15</v>
      </c>
      <c r="O14" s="8" t="inlineStr">
        <is>
          <t>Pendiente moderada</t>
        </is>
      </c>
      <c r="P14" s="8" t="inlineStr">
        <is>
          <t>Tierra desnuda</t>
        </is>
      </c>
    </row>
    <row r="15">
      <c r="A15" s="6" t="inlineStr">
        <is>
          <t>CV 7 - M17B7</t>
        </is>
      </c>
      <c r="B15" s="6" t="inlineStr">
        <is>
          <t>M17B7</t>
        </is>
      </c>
      <c r="C15" s="6" t="inlineStr">
        <is>
          <t>C1096-Q9556</t>
        </is>
      </c>
      <c r="D15" s="6" t="inlineStr">
        <is>
          <t>Ayabaca</t>
        </is>
      </c>
      <c r="E15" s="6" t="inlineStr">
        <is>
          <t>Frías</t>
        </is>
      </c>
      <c r="F15" s="30" t="n">
        <v>608652.95</v>
      </c>
      <c r="G15" s="30" t="n">
        <v>9448359.51</v>
      </c>
      <c r="H15" s="30" t="n">
        <v>64.8</v>
      </c>
      <c r="I15" s="6" t="n">
        <v>799</v>
      </c>
      <c r="J15" s="6" t="n">
        <v>816</v>
      </c>
      <c r="K15" s="9" t="n">
        <v>807.4</v>
      </c>
      <c r="L15" s="38" t="n">
        <v>16.59</v>
      </c>
      <c r="M15" s="38" t="n">
        <v>9.949999999999999</v>
      </c>
      <c r="N15" s="38" t="n">
        <v>0.51</v>
      </c>
      <c r="O15" s="6" t="inlineStr">
        <is>
          <t>Pendiente moderada</t>
        </is>
      </c>
      <c r="P15" s="6" t="inlineStr">
        <is>
          <t>Vegetación alta</t>
        </is>
      </c>
    </row>
    <row r="16">
      <c r="A16" s="8" t="inlineStr">
        <is>
          <t>CV 8 - M11B3</t>
        </is>
      </c>
      <c r="B16" s="8" t="inlineStr">
        <is>
          <t>M11B3</t>
        </is>
      </c>
      <c r="C16" s="8" t="inlineStr">
        <is>
          <t>C1081-Q9583</t>
        </is>
      </c>
      <c r="D16" s="8" t="inlineStr">
        <is>
          <t>Morropón</t>
        </is>
      </c>
      <c r="E16" s="8" t="inlineStr">
        <is>
          <t>San Juan de Bigote</t>
        </is>
      </c>
      <c r="F16" s="32" t="n">
        <v>641568.33</v>
      </c>
      <c r="G16" s="32" t="n">
        <v>9413262.880000001</v>
      </c>
      <c r="H16" s="32" t="n">
        <v>65.38</v>
      </c>
      <c r="I16" s="8" t="n">
        <v>279</v>
      </c>
      <c r="J16" s="8" t="n">
        <v>286</v>
      </c>
      <c r="K16" s="13" t="n">
        <v>282.33</v>
      </c>
      <c r="L16" s="47" t="n">
        <v>6.44</v>
      </c>
      <c r="M16" s="47" t="n">
        <v>3.75</v>
      </c>
      <c r="N16" s="47" t="n">
        <v>0.3</v>
      </c>
      <c r="O16" s="8" t="inlineStr">
        <is>
          <t>Pendiente moderada</t>
        </is>
      </c>
      <c r="P16" s="8" t="inlineStr">
        <is>
          <t>Vegetación mediana</t>
        </is>
      </c>
    </row>
    <row r="17">
      <c r="A17" s="6" t="inlineStr">
        <is>
          <t>CV 9 - M3B8</t>
        </is>
      </c>
      <c r="B17" s="6" t="inlineStr">
        <is>
          <t>M3B8</t>
        </is>
      </c>
      <c r="C17" s="6" t="inlineStr">
        <is>
          <t>C1081-Q9582</t>
        </is>
      </c>
      <c r="D17" s="6" t="inlineStr">
        <is>
          <t>Morropón</t>
        </is>
      </c>
      <c r="E17" s="6" t="inlineStr">
        <is>
          <t>San Juan de Bigote</t>
        </is>
      </c>
      <c r="F17" s="30" t="n">
        <v>632155.23</v>
      </c>
      <c r="G17" s="30" t="n">
        <v>9414995.99</v>
      </c>
      <c r="H17" s="30" t="n">
        <v>69.33</v>
      </c>
      <c r="I17" s="6" t="n">
        <v>221</v>
      </c>
      <c r="J17" s="6" t="n">
        <v>222</v>
      </c>
      <c r="K17" s="9" t="n">
        <v>221.6</v>
      </c>
      <c r="L17" s="38" t="n">
        <v>3.57</v>
      </c>
      <c r="M17" s="38" t="n">
        <v>2.27</v>
      </c>
      <c r="N17" s="38" t="n">
        <v>0.19</v>
      </c>
      <c r="O17" s="6" t="inlineStr">
        <is>
          <t>Pendiente suave</t>
        </is>
      </c>
      <c r="P17" s="6" t="inlineStr">
        <is>
          <t>Vegetación ligera</t>
        </is>
      </c>
    </row>
    <row r="18">
      <c r="A18" s="8" t="inlineStr">
        <is>
          <t>CV 10 - M17B10</t>
        </is>
      </c>
      <c r="B18" s="8" t="inlineStr">
        <is>
          <t>M17B10</t>
        </is>
      </c>
      <c r="C18" s="8" t="inlineStr">
        <is>
          <t>C1096-Q9556</t>
        </is>
      </c>
      <c r="D18" s="8" t="inlineStr">
        <is>
          <t>Ayabaca</t>
        </is>
      </c>
      <c r="E18" s="8" t="inlineStr">
        <is>
          <t>Frías</t>
        </is>
      </c>
      <c r="F18" s="32" t="n">
        <v>606168.28</v>
      </c>
      <c r="G18" s="32" t="n">
        <v>9446969.43</v>
      </c>
      <c r="H18" s="32" t="n">
        <v>77.25</v>
      </c>
      <c r="I18" s="8" t="n">
        <v>513</v>
      </c>
      <c r="J18" s="8" t="n">
        <v>526</v>
      </c>
      <c r="K18" s="13" t="n">
        <v>517.86</v>
      </c>
      <c r="L18" s="47" t="n">
        <v>11.83</v>
      </c>
      <c r="M18" s="47" t="n">
        <v>7.31</v>
      </c>
      <c r="N18" s="47" t="n">
        <v>0.36</v>
      </c>
      <c r="O18" s="8" t="inlineStr">
        <is>
          <t>Pendiente moderada</t>
        </is>
      </c>
      <c r="P18" s="8" t="inlineStr">
        <is>
          <t>Vegetación mediana</t>
        </is>
      </c>
    </row>
    <row r="19">
      <c r="A19" s="6" t="inlineStr">
        <is>
          <t>CV 11 - M6B2-1</t>
        </is>
      </c>
      <c r="B19" s="6" t="inlineStr">
        <is>
          <t>M6B2-1</t>
        </is>
      </c>
      <c r="C19" s="6" t="inlineStr">
        <is>
          <t>C1077-Q9566</t>
        </is>
      </c>
      <c r="D19" s="6" t="inlineStr">
        <is>
          <t>Morropón</t>
        </is>
      </c>
      <c r="E19" s="6" t="inlineStr">
        <is>
          <t>Buenos Aires</t>
        </is>
      </c>
      <c r="F19" s="30" t="n">
        <v>613350.67</v>
      </c>
      <c r="G19" s="30" t="n">
        <v>9412026.67</v>
      </c>
      <c r="H19" s="30" t="n">
        <v>78.84999999999999</v>
      </c>
      <c r="I19" s="6" t="n">
        <v>258</v>
      </c>
      <c r="J19" s="6" t="n">
        <v>264</v>
      </c>
      <c r="K19" s="9" t="n">
        <v>261.4</v>
      </c>
      <c r="L19" s="38" t="n">
        <v>6.74</v>
      </c>
      <c r="M19" s="38" t="n">
        <v>4.33</v>
      </c>
      <c r="N19" s="38" t="n">
        <v>0.24</v>
      </c>
      <c r="O19" s="6" t="inlineStr">
        <is>
          <t>Pendiente moderada</t>
        </is>
      </c>
      <c r="P19" s="6" t="inlineStr">
        <is>
          <t>Vegetación ligera</t>
        </is>
      </c>
    </row>
    <row r="20">
      <c r="A20" s="8" t="inlineStr">
        <is>
          <t>CV 12 - M28B4</t>
        </is>
      </c>
      <c r="B20" s="8" t="inlineStr">
        <is>
          <t>M28B4</t>
        </is>
      </c>
      <c r="C20" s="8" t="inlineStr">
        <is>
          <t>C1086-Q9575</t>
        </is>
      </c>
      <c r="D20" s="8" t="inlineStr">
        <is>
          <t>Morropón</t>
        </is>
      </c>
      <c r="E20" s="8" t="inlineStr">
        <is>
          <t>Yamango</t>
        </is>
      </c>
      <c r="F20" s="32" t="n">
        <v>625464.1899999999</v>
      </c>
      <c r="G20" s="32" t="n">
        <v>9427053.970000001</v>
      </c>
      <c r="H20" s="32" t="n">
        <v>82.13</v>
      </c>
      <c r="I20" s="8" t="n">
        <v>326</v>
      </c>
      <c r="J20" s="8" t="n">
        <v>334</v>
      </c>
      <c r="K20" s="13" t="n">
        <v>330</v>
      </c>
      <c r="L20" s="47" t="n">
        <v>7.41</v>
      </c>
      <c r="M20" s="47" t="n">
        <v>4.19</v>
      </c>
      <c r="N20" s="47" t="n">
        <v>0.21</v>
      </c>
      <c r="O20" s="8" t="inlineStr">
        <is>
          <t>Pendiente moderada</t>
        </is>
      </c>
      <c r="P20" s="8" t="inlineStr">
        <is>
          <t>Vegetación ligera</t>
        </is>
      </c>
    </row>
    <row r="21">
      <c r="A21" s="6" t="inlineStr">
        <is>
          <t>CV 13 - M9B1</t>
        </is>
      </c>
      <c r="B21" s="6" t="inlineStr">
        <is>
          <t>M9B1</t>
        </is>
      </c>
      <c r="C21" s="6" t="inlineStr">
        <is>
          <t>C1096-Q9545</t>
        </is>
      </c>
      <c r="D21" s="6" t="inlineStr">
        <is>
          <t>Morropón</t>
        </is>
      </c>
      <c r="E21" s="6" t="inlineStr">
        <is>
          <t>Chulucanas</t>
        </is>
      </c>
      <c r="F21" s="30" t="n">
        <v>595413.61</v>
      </c>
      <c r="G21" s="30" t="n">
        <v>9450553.27</v>
      </c>
      <c r="H21" s="30" t="n">
        <v>101.04</v>
      </c>
      <c r="I21" s="6" t="n">
        <v>148</v>
      </c>
      <c r="J21" s="6" t="n">
        <v>150</v>
      </c>
      <c r="K21" s="9" t="n">
        <v>148.63</v>
      </c>
      <c r="L21" s="38" t="n">
        <v>2.04</v>
      </c>
      <c r="M21" s="38" t="n">
        <v>1.71</v>
      </c>
      <c r="N21" s="38" t="n">
        <v>0.24</v>
      </c>
      <c r="O21" s="6" t="inlineStr">
        <is>
          <t>Pendiente suave</t>
        </is>
      </c>
      <c r="P21" s="6" t="inlineStr">
        <is>
          <t>Vegetación ligera</t>
        </is>
      </c>
    </row>
    <row r="22">
      <c r="A22" s="8" t="inlineStr">
        <is>
          <t>CV 14 - M3B8</t>
        </is>
      </c>
      <c r="B22" s="8" t="inlineStr">
        <is>
          <t>M3B8</t>
        </is>
      </c>
      <c r="C22" s="8" t="inlineStr">
        <is>
          <t>C1081-Q9582</t>
        </is>
      </c>
      <c r="D22" s="8" t="inlineStr">
        <is>
          <t>Morropón</t>
        </is>
      </c>
      <c r="E22" s="8" t="inlineStr">
        <is>
          <t>San Juan de Bigote</t>
        </is>
      </c>
      <c r="F22" s="32" t="n">
        <v>633430.99</v>
      </c>
      <c r="G22" s="32" t="n">
        <v>9416475.890000001</v>
      </c>
      <c r="H22" s="32" t="n">
        <v>116.8</v>
      </c>
      <c r="I22" s="8" t="n">
        <v>224</v>
      </c>
      <c r="J22" s="8" t="n">
        <v>227</v>
      </c>
      <c r="K22" s="13" t="n">
        <v>225.11</v>
      </c>
      <c r="L22" s="47" t="n">
        <v>2.3</v>
      </c>
      <c r="M22" s="47" t="n">
        <v>1.96</v>
      </c>
      <c r="N22" s="47" t="n">
        <v>0.27</v>
      </c>
      <c r="O22" s="8" t="inlineStr">
        <is>
          <t>Pendiente suave</t>
        </is>
      </c>
      <c r="P22" s="8" t="inlineStr">
        <is>
          <t>Vegetación mediana</t>
        </is>
      </c>
    </row>
    <row r="23">
      <c r="A23" s="6" t="inlineStr">
        <is>
          <t>CV 15 - M28B2</t>
        </is>
      </c>
      <c r="B23" s="6" t="inlineStr">
        <is>
          <t>M28B2</t>
        </is>
      </c>
      <c r="C23" s="6" t="inlineStr">
        <is>
          <t>C1086-Q9575</t>
        </is>
      </c>
      <c r="D23" s="6" t="inlineStr">
        <is>
          <t>Morropón</t>
        </is>
      </c>
      <c r="E23" s="6" t="inlineStr">
        <is>
          <t>Yamango</t>
        </is>
      </c>
      <c r="F23" s="30" t="n">
        <v>636432.27</v>
      </c>
      <c r="G23" s="30" t="n">
        <v>9424791.189999999</v>
      </c>
      <c r="H23" s="30" t="n">
        <v>117.77</v>
      </c>
      <c r="I23" s="6" t="n">
        <v>754</v>
      </c>
      <c r="J23" s="6" t="n">
        <v>764</v>
      </c>
      <c r="K23" s="9" t="n">
        <v>760</v>
      </c>
      <c r="L23" s="38" t="n">
        <v>5.83</v>
      </c>
      <c r="M23" s="38" t="n">
        <v>4.43</v>
      </c>
      <c r="N23" s="38" t="n">
        <v>0.48</v>
      </c>
      <c r="O23" s="6" t="inlineStr">
        <is>
          <t>Pendiente suave</t>
        </is>
      </c>
      <c r="P23" s="6" t="inlineStr">
        <is>
          <t>Vegetación alta</t>
        </is>
      </c>
    </row>
    <row r="24">
      <c r="A24" s="8" t="inlineStr">
        <is>
          <t>CV 16 - M6B2-1</t>
        </is>
      </c>
      <c r="B24" s="8" t="inlineStr">
        <is>
          <t>M6B2-1</t>
        </is>
      </c>
      <c r="C24" s="8" t="inlineStr">
        <is>
          <t>C1077-Q9566</t>
        </is>
      </c>
      <c r="D24" s="8" t="inlineStr">
        <is>
          <t>Morropón</t>
        </is>
      </c>
      <c r="E24" s="8" t="inlineStr">
        <is>
          <t>Buenos Aires</t>
        </is>
      </c>
      <c r="F24" s="32" t="n">
        <v>613980.08</v>
      </c>
      <c r="G24" s="32" t="n">
        <v>9413656.34</v>
      </c>
      <c r="H24" s="32" t="n">
        <v>128.44</v>
      </c>
      <c r="I24" s="8" t="n">
        <v>185</v>
      </c>
      <c r="J24" s="8" t="n">
        <v>193</v>
      </c>
      <c r="K24" s="13" t="n">
        <v>189</v>
      </c>
      <c r="L24" s="47" t="n">
        <v>3.88</v>
      </c>
      <c r="M24" s="47" t="n">
        <v>2.5</v>
      </c>
      <c r="N24" s="47" t="n">
        <v>0.2</v>
      </c>
      <c r="O24" s="8" t="inlineStr">
        <is>
          <t>Pendiente suave</t>
        </is>
      </c>
      <c r="P24" s="8" t="inlineStr">
        <is>
          <t>Vegetación ligera</t>
        </is>
      </c>
    </row>
    <row r="25">
      <c r="A25" s="6" t="inlineStr">
        <is>
          <t>CV 17 - M28B4</t>
        </is>
      </c>
      <c r="B25" s="6" t="inlineStr">
        <is>
          <t>M28B4</t>
        </is>
      </c>
      <c r="C25" s="6" t="inlineStr">
        <is>
          <t>C1086-Q9575</t>
        </is>
      </c>
      <c r="D25" s="6" t="inlineStr">
        <is>
          <t>Morropón</t>
        </is>
      </c>
      <c r="E25" s="6" t="inlineStr">
        <is>
          <t>Yamango</t>
        </is>
      </c>
      <c r="F25" s="30" t="n">
        <v>626015.46</v>
      </c>
      <c r="G25" s="30" t="n">
        <v>9426532.1</v>
      </c>
      <c r="H25" s="30" t="n">
        <v>139.45</v>
      </c>
      <c r="I25" s="6" t="n">
        <v>303</v>
      </c>
      <c r="J25" s="6" t="n">
        <v>314</v>
      </c>
      <c r="K25" s="9" t="n">
        <v>309.9</v>
      </c>
      <c r="L25" s="38" t="n">
        <v>6.3</v>
      </c>
      <c r="M25" s="38" t="n">
        <v>3.87</v>
      </c>
      <c r="N25" s="38" t="n">
        <v>0.28</v>
      </c>
      <c r="O25" s="6" t="inlineStr">
        <is>
          <t>Pendiente moderada</t>
        </is>
      </c>
      <c r="P25" s="6" t="inlineStr">
        <is>
          <t>Vegetación mediana</t>
        </is>
      </c>
    </row>
    <row r="26">
      <c r="A26" s="8" t="inlineStr">
        <is>
          <t>CV 18 - 11</t>
        </is>
      </c>
      <c r="B26" s="8" t="inlineStr">
        <is>
          <t>11</t>
        </is>
      </c>
      <c r="C26" s="8" t="inlineStr">
        <is>
          <t>C1086-Q9570</t>
        </is>
      </c>
      <c r="D26" s="8" t="inlineStr">
        <is>
          <t>Morropón</t>
        </is>
      </c>
      <c r="E26" s="8" t="inlineStr">
        <is>
          <t>Santo Domingo</t>
        </is>
      </c>
      <c r="F26" s="32" t="n">
        <v>621009.1899999999</v>
      </c>
      <c r="G26" s="32" t="n">
        <v>9439825.24</v>
      </c>
      <c r="H26" s="32" t="n">
        <v>148.73</v>
      </c>
      <c r="I26" s="8" t="n">
        <v>1378</v>
      </c>
      <c r="J26" s="8" t="n">
        <v>1422</v>
      </c>
      <c r="K26" s="13" t="n">
        <v>1398.45</v>
      </c>
      <c r="L26" s="47" t="n">
        <v>20.01</v>
      </c>
      <c r="M26" s="47" t="n">
        <v>11.55</v>
      </c>
      <c r="N26" s="47" t="n">
        <v>0.67</v>
      </c>
      <c r="O26" s="8" t="inlineStr">
        <is>
          <t>Pendiente moderada</t>
        </is>
      </c>
      <c r="P26" s="8" t="inlineStr">
        <is>
          <t>Vegetación alta</t>
        </is>
      </c>
    </row>
    <row r="27">
      <c r="A27" s="6" t="inlineStr">
        <is>
          <t>CV 19 - M3B8</t>
        </is>
      </c>
      <c r="B27" s="6" t="inlineStr">
        <is>
          <t>M3B8</t>
        </is>
      </c>
      <c r="C27" s="6" t="inlineStr">
        <is>
          <t>C1081-Q9582</t>
        </is>
      </c>
      <c r="D27" s="6" t="inlineStr">
        <is>
          <t>Morropón</t>
        </is>
      </c>
      <c r="E27" s="6" t="inlineStr">
        <is>
          <t>San Juan de Bigote</t>
        </is>
      </c>
      <c r="F27" s="30" t="n">
        <v>633223.12</v>
      </c>
      <c r="G27" s="30" t="n">
        <v>9415397.73</v>
      </c>
      <c r="H27" s="30" t="n">
        <v>185.51</v>
      </c>
      <c r="I27" s="6" t="n">
        <v>211</v>
      </c>
      <c r="J27" s="6" t="n">
        <v>216</v>
      </c>
      <c r="K27" s="9" t="n">
        <v>214.62</v>
      </c>
      <c r="L27" s="38" t="n">
        <v>2.9</v>
      </c>
      <c r="M27" s="38" t="n">
        <v>1.97</v>
      </c>
      <c r="N27" s="38" t="n">
        <v>0.22</v>
      </c>
      <c r="O27" s="6" t="inlineStr">
        <is>
          <t>Pendiente suave</t>
        </is>
      </c>
      <c r="P27" s="6" t="inlineStr">
        <is>
          <t>Vegetación ligera</t>
        </is>
      </c>
    </row>
    <row r="28">
      <c r="A28" s="8" t="inlineStr">
        <is>
          <t>CV 20 - M6B2-2</t>
        </is>
      </c>
      <c r="B28" s="8" t="inlineStr">
        <is>
          <t>M6B2-2</t>
        </is>
      </c>
      <c r="C28" s="8" t="inlineStr">
        <is>
          <t>C1077-Q9566</t>
        </is>
      </c>
      <c r="D28" s="8" t="inlineStr">
        <is>
          <t>Morropón</t>
        </is>
      </c>
      <c r="E28" s="8" t="inlineStr">
        <is>
          <t>Buenos Aires</t>
        </is>
      </c>
      <c r="F28" s="32" t="n">
        <v>611438.17</v>
      </c>
      <c r="G28" s="32" t="n">
        <v>9417105.060000001</v>
      </c>
      <c r="H28" s="32" t="n">
        <v>208.26</v>
      </c>
      <c r="I28" s="8" t="n">
        <v>217</v>
      </c>
      <c r="J28" s="8" t="n">
        <v>231</v>
      </c>
      <c r="K28" s="13" t="n">
        <v>222.69</v>
      </c>
      <c r="L28" s="47" t="n">
        <v>5.18</v>
      </c>
      <c r="M28" s="47" t="n">
        <v>3.8</v>
      </c>
      <c r="N28" s="47" t="n">
        <v>0.15</v>
      </c>
      <c r="O28" s="8" t="inlineStr">
        <is>
          <t>Pendiente suave</t>
        </is>
      </c>
      <c r="P28" s="8" t="inlineStr">
        <is>
          <t>Vegetación ligera</t>
        </is>
      </c>
    </row>
    <row r="29">
      <c r="A29" s="6" t="inlineStr">
        <is>
          <t>CV 21 - 3</t>
        </is>
      </c>
      <c r="B29" s="6" t="inlineStr">
        <is>
          <t>3</t>
        </is>
      </c>
      <c r="C29" s="6" t="inlineStr">
        <is>
          <t>C1096-Q9545</t>
        </is>
      </c>
      <c r="D29" s="6" t="inlineStr">
        <is>
          <t>Ayabaca</t>
        </is>
      </c>
      <c r="E29" s="6" t="inlineStr">
        <is>
          <t>Frías</t>
        </is>
      </c>
      <c r="F29" s="30" t="n">
        <v>607641.39</v>
      </c>
      <c r="G29" s="30" t="n">
        <v>9458937.310000001</v>
      </c>
      <c r="H29" s="30" t="n">
        <v>217.71</v>
      </c>
      <c r="I29" s="6" t="n">
        <v>1382</v>
      </c>
      <c r="J29" s="6" t="n">
        <v>1450</v>
      </c>
      <c r="K29" s="9" t="n">
        <v>1415.88</v>
      </c>
      <c r="L29" s="38" t="n">
        <v>19.27</v>
      </c>
      <c r="M29" s="38" t="n">
        <v>13.02</v>
      </c>
      <c r="N29" s="38" t="n">
        <v>0.63</v>
      </c>
      <c r="O29" s="6" t="inlineStr">
        <is>
          <t>Pendiente moderada</t>
        </is>
      </c>
      <c r="P29" s="6" t="inlineStr">
        <is>
          <t>Vegetación alta</t>
        </is>
      </c>
    </row>
    <row r="30">
      <c r="A30" s="8" t="inlineStr">
        <is>
          <t>CV 22 - M6B2-2</t>
        </is>
      </c>
      <c r="B30" s="8" t="inlineStr">
        <is>
          <t>M6B2-2</t>
        </is>
      </c>
      <c r="C30" s="8" t="inlineStr">
        <is>
          <t>C1077-Q9566</t>
        </is>
      </c>
      <c r="D30" s="8" t="inlineStr">
        <is>
          <t>Morropón</t>
        </is>
      </c>
      <c r="E30" s="8" t="inlineStr">
        <is>
          <t>Buenos Aires</t>
        </is>
      </c>
      <c r="F30" s="32" t="n">
        <v>611618.46</v>
      </c>
      <c r="G30" s="32" t="n">
        <v>9417193.91</v>
      </c>
      <c r="H30" s="32" t="n">
        <v>226.02</v>
      </c>
      <c r="I30" s="8" t="n">
        <v>211</v>
      </c>
      <c r="J30" s="8" t="n">
        <v>218</v>
      </c>
      <c r="K30" s="13" t="n">
        <v>213.67</v>
      </c>
      <c r="L30" s="47" t="n">
        <v>3.29</v>
      </c>
      <c r="M30" s="47" t="n">
        <v>3</v>
      </c>
      <c r="N30" s="47" t="n">
        <v>0.12</v>
      </c>
      <c r="O30" s="8" t="inlineStr">
        <is>
          <t>Pendiente suave</t>
        </is>
      </c>
      <c r="P30" s="8" t="inlineStr">
        <is>
          <t>Tierra desnuda</t>
        </is>
      </c>
    </row>
    <row r="31">
      <c r="A31" s="6" t="inlineStr">
        <is>
          <t>CV 23 - 36</t>
        </is>
      </c>
      <c r="B31" s="6" t="inlineStr">
        <is>
          <t>36</t>
        </is>
      </c>
      <c r="C31" s="6" t="inlineStr">
        <is>
          <t>C1096-Q9547</t>
        </is>
      </c>
      <c r="D31" s="6" t="inlineStr">
        <is>
          <t>Ayabaca</t>
        </is>
      </c>
      <c r="E31" s="6" t="inlineStr">
        <is>
          <t>Frías</t>
        </is>
      </c>
      <c r="F31" s="30" t="n">
        <v>606177.4300000001</v>
      </c>
      <c r="G31" s="30" t="n">
        <v>9454795.970000001</v>
      </c>
      <c r="H31" s="30" t="n">
        <v>258.35</v>
      </c>
      <c r="I31" s="6" t="n">
        <v>1253</v>
      </c>
      <c r="J31" s="6" t="n">
        <v>1389</v>
      </c>
      <c r="K31" s="9" t="n">
        <v>1300.53</v>
      </c>
      <c r="L31" s="38" t="n">
        <v>19.26</v>
      </c>
      <c r="M31" s="38" t="n">
        <v>11.41</v>
      </c>
      <c r="N31" s="38" t="n">
        <v>0.62</v>
      </c>
      <c r="O31" s="6" t="inlineStr">
        <is>
          <t>Pendiente moderada</t>
        </is>
      </c>
      <c r="P31" s="6" t="inlineStr">
        <is>
          <t>Vegetación alta</t>
        </is>
      </c>
    </row>
    <row r="32">
      <c r="A32" s="8" t="inlineStr">
        <is>
          <t>CV 24 - 5</t>
        </is>
      </c>
      <c r="B32" s="8" t="inlineStr">
        <is>
          <t>5</t>
        </is>
      </c>
      <c r="C32" s="8" t="inlineStr">
        <is>
          <t>C1077-Q9566</t>
        </is>
      </c>
      <c r="D32" s="8" t="inlineStr">
        <is>
          <t>Morropón</t>
        </is>
      </c>
      <c r="E32" s="8" t="inlineStr">
        <is>
          <t>Buenos Aires</t>
        </is>
      </c>
      <c r="F32" s="32" t="n">
        <v>617630.67</v>
      </c>
      <c r="G32" s="32" t="n">
        <v>9413510.57</v>
      </c>
      <c r="H32" s="32" t="n">
        <v>261.68</v>
      </c>
      <c r="I32" s="8" t="n">
        <v>165</v>
      </c>
      <c r="J32" s="8" t="n">
        <v>178</v>
      </c>
      <c r="K32" s="13" t="n">
        <v>170.44</v>
      </c>
      <c r="L32" s="47" t="n">
        <v>4.31</v>
      </c>
      <c r="M32" s="47" t="n">
        <v>2.92</v>
      </c>
      <c r="N32" s="47" t="n">
        <v>0.24</v>
      </c>
      <c r="O32" s="8" t="inlineStr">
        <is>
          <t>Pendiente suave</t>
        </is>
      </c>
      <c r="P32" s="8" t="inlineStr">
        <is>
          <t>Vegetación ligera</t>
        </is>
      </c>
    </row>
    <row r="33">
      <c r="A33" s="6" t="inlineStr">
        <is>
          <t>CV 25 - M4B3</t>
        </is>
      </c>
      <c r="B33" s="6" t="inlineStr">
        <is>
          <t>M4B3</t>
        </is>
      </c>
      <c r="C33" s="6" t="inlineStr">
        <is>
          <t>C1076-Q9589</t>
        </is>
      </c>
      <c r="D33" s="6" t="inlineStr">
        <is>
          <t>Huancabamba</t>
        </is>
      </c>
      <c r="E33" s="6" t="inlineStr">
        <is>
          <t>Huarmaca</t>
        </is>
      </c>
      <c r="F33" s="30" t="n">
        <v>643095.8100000001</v>
      </c>
      <c r="G33" s="30" t="n">
        <v>9385197.67</v>
      </c>
      <c r="H33" s="30" t="n">
        <v>270.27</v>
      </c>
      <c r="I33" s="6" t="n">
        <v>380</v>
      </c>
      <c r="J33" s="6" t="n">
        <v>408</v>
      </c>
      <c r="K33" s="9" t="n">
        <v>392.83</v>
      </c>
      <c r="L33" s="38" t="n">
        <v>6.49</v>
      </c>
      <c r="M33" s="38" t="n">
        <v>3.92</v>
      </c>
      <c r="N33" s="38" t="n">
        <v>0.15</v>
      </c>
      <c r="O33" s="6" t="inlineStr">
        <is>
          <t>Pendiente moderada</t>
        </is>
      </c>
      <c r="P33" s="6" t="inlineStr">
        <is>
          <t>Vegetación ligera</t>
        </is>
      </c>
    </row>
    <row r="34">
      <c r="A34" s="8" t="inlineStr">
        <is>
          <t>CV 26 - M18B3</t>
        </is>
      </c>
      <c r="B34" s="8" t="inlineStr">
        <is>
          <t>M18B3</t>
        </is>
      </c>
      <c r="C34" s="8" t="inlineStr">
        <is>
          <t>C1077-Q9579</t>
        </is>
      </c>
      <c r="D34" s="8" t="inlineStr">
        <is>
          <t>Morropón</t>
        </is>
      </c>
      <c r="E34" s="8" t="inlineStr">
        <is>
          <t>Salitral</t>
        </is>
      </c>
      <c r="F34" s="32" t="n">
        <v>625440.9399999999</v>
      </c>
      <c r="G34" s="32" t="n">
        <v>9411611</v>
      </c>
      <c r="H34" s="32" t="n">
        <v>273.22</v>
      </c>
      <c r="I34" s="8" t="n">
        <v>188</v>
      </c>
      <c r="J34" s="8" t="n">
        <v>223</v>
      </c>
      <c r="K34" s="13" t="n">
        <v>205.2</v>
      </c>
      <c r="L34" s="47" t="n">
        <v>7.82</v>
      </c>
      <c r="M34" s="47" t="n">
        <v>4.57</v>
      </c>
      <c r="N34" s="47" t="n">
        <v>0.29</v>
      </c>
      <c r="O34" s="8" t="inlineStr">
        <is>
          <t>Pendiente moderada</t>
        </is>
      </c>
      <c r="P34" s="8" t="inlineStr">
        <is>
          <t>Vegetación mediana</t>
        </is>
      </c>
    </row>
    <row r="35">
      <c r="A35" s="6" t="inlineStr">
        <is>
          <t>CV 27 - M6B2-1</t>
        </is>
      </c>
      <c r="B35" s="6" t="inlineStr">
        <is>
          <t>M6B2-1</t>
        </is>
      </c>
      <c r="C35" s="6" t="inlineStr">
        <is>
          <t>C1077-Q9566</t>
        </is>
      </c>
      <c r="D35" s="6" t="inlineStr">
        <is>
          <t>Morropón</t>
        </is>
      </c>
      <c r="E35" s="6" t="inlineStr">
        <is>
          <t>Buenos Aires</t>
        </is>
      </c>
      <c r="F35" s="30" t="n">
        <v>612439</v>
      </c>
      <c r="G35" s="30" t="n">
        <v>9414620.039999999</v>
      </c>
      <c r="H35" s="30" t="n">
        <v>276.67</v>
      </c>
      <c r="I35" s="6" t="n">
        <v>262</v>
      </c>
      <c r="J35" s="6" t="n">
        <v>306</v>
      </c>
      <c r="K35" s="9" t="n">
        <v>283.86</v>
      </c>
      <c r="L35" s="38" t="n">
        <v>9.59</v>
      </c>
      <c r="M35" s="38" t="n">
        <v>5.58</v>
      </c>
      <c r="N35" s="38" t="n">
        <v>0.2</v>
      </c>
      <c r="O35" s="6" t="inlineStr">
        <is>
          <t>Pendiente moderada</t>
        </is>
      </c>
      <c r="P35" s="6" t="inlineStr">
        <is>
          <t>Vegetación ligera</t>
        </is>
      </c>
    </row>
    <row r="36">
      <c r="A36" s="8" t="inlineStr">
        <is>
          <t>CV 28 - 18</t>
        </is>
      </c>
      <c r="B36" s="8" t="inlineStr">
        <is>
          <t>18</t>
        </is>
      </c>
      <c r="C36" s="8" t="inlineStr">
        <is>
          <t>C1076-Q9592</t>
        </is>
      </c>
      <c r="D36" s="8" t="inlineStr">
        <is>
          <t>Huancabamba</t>
        </is>
      </c>
      <c r="E36" s="8" t="inlineStr">
        <is>
          <t>Huarmaca</t>
        </is>
      </c>
      <c r="F36" s="32" t="n">
        <v>656667.83</v>
      </c>
      <c r="G36" s="32" t="n">
        <v>9393365.439999999</v>
      </c>
      <c r="H36" s="32" t="n">
        <v>283.99</v>
      </c>
      <c r="I36" s="8" t="n">
        <v>1322</v>
      </c>
      <c r="J36" s="8" t="n">
        <v>1388</v>
      </c>
      <c r="K36" s="13" t="n">
        <v>1353.89</v>
      </c>
      <c r="L36" s="47" t="n">
        <v>14.59</v>
      </c>
      <c r="M36" s="47" t="n">
        <v>8.69</v>
      </c>
      <c r="N36" s="47" t="n">
        <v>0.71</v>
      </c>
      <c r="O36" s="8" t="inlineStr">
        <is>
          <t>Pendiente moderada</t>
        </is>
      </c>
      <c r="P36" s="8" t="inlineStr">
        <is>
          <t>Vegetación alta</t>
        </is>
      </c>
    </row>
    <row r="37">
      <c r="A37" s="6" t="inlineStr">
        <is>
          <t>CV 29 - M2B1</t>
        </is>
      </c>
      <c r="B37" s="6" t="inlineStr">
        <is>
          <t>M2B1</t>
        </is>
      </c>
      <c r="C37" s="6" t="inlineStr">
        <is>
          <t>C1076-Q9584</t>
        </is>
      </c>
      <c r="D37" s="6" t="inlineStr">
        <is>
          <t>Morropón</t>
        </is>
      </c>
      <c r="E37" s="6" t="inlineStr">
        <is>
          <t>Salitral</t>
        </is>
      </c>
      <c r="F37" s="30" t="n">
        <v>635914.2</v>
      </c>
      <c r="G37" s="30" t="n">
        <v>9397818.73</v>
      </c>
      <c r="H37" s="30" t="n">
        <v>301.59</v>
      </c>
      <c r="I37" s="6" t="n">
        <v>243</v>
      </c>
      <c r="J37" s="6" t="n">
        <v>264</v>
      </c>
      <c r="K37" s="9" t="n">
        <v>254.04</v>
      </c>
      <c r="L37" s="38" t="n">
        <v>4.61</v>
      </c>
      <c r="M37" s="38" t="n">
        <v>3.64</v>
      </c>
      <c r="N37" s="38" t="n">
        <v>0.26</v>
      </c>
      <c r="O37" s="6" t="inlineStr">
        <is>
          <t>Pendiente suave</t>
        </is>
      </c>
      <c r="P37" s="6" t="inlineStr">
        <is>
          <t>Vegetación mediana</t>
        </is>
      </c>
    </row>
    <row r="38">
      <c r="A38" s="8" t="inlineStr">
        <is>
          <t>CV 30 - M6B2-2</t>
        </is>
      </c>
      <c r="B38" s="8" t="inlineStr">
        <is>
          <t>M6B2-2</t>
        </is>
      </c>
      <c r="C38" s="8" t="inlineStr">
        <is>
          <t>C1077-Q9566</t>
        </is>
      </c>
      <c r="D38" s="8" t="inlineStr">
        <is>
          <t>Morropón</t>
        </is>
      </c>
      <c r="E38" s="8" t="inlineStr">
        <is>
          <t>Buenos Aires</t>
        </is>
      </c>
      <c r="F38" s="32" t="n">
        <v>611455.67</v>
      </c>
      <c r="G38" s="32" t="n">
        <v>9415925.189999999</v>
      </c>
      <c r="H38" s="32" t="n">
        <v>316.82</v>
      </c>
      <c r="I38" s="8" t="n">
        <v>250</v>
      </c>
      <c r="J38" s="8" t="n">
        <v>294</v>
      </c>
      <c r="K38" s="13" t="n">
        <v>270.58</v>
      </c>
      <c r="L38" s="47" t="n">
        <v>8.85</v>
      </c>
      <c r="M38" s="47" t="n">
        <v>5.18</v>
      </c>
      <c r="N38" s="47" t="n">
        <v>0.23</v>
      </c>
      <c r="O38" s="8" t="inlineStr">
        <is>
          <t>Pendiente moderada</t>
        </is>
      </c>
      <c r="P38" s="8" t="inlineStr">
        <is>
          <t>Vegetación ligera</t>
        </is>
      </c>
    </row>
    <row r="39">
      <c r="A39" s="6" t="inlineStr">
        <is>
          <t>CV 31 - 10</t>
        </is>
      </c>
      <c r="B39" s="6" t="inlineStr">
        <is>
          <t>10</t>
        </is>
      </c>
      <c r="C39" s="6" t="inlineStr">
        <is>
          <t>C1076-Q9593</t>
        </is>
      </c>
      <c r="D39" s="6" t="inlineStr">
        <is>
          <t>Huancabamba</t>
        </is>
      </c>
      <c r="E39" s="6" t="inlineStr">
        <is>
          <t>Huarmaca</t>
        </is>
      </c>
      <c r="F39" s="30" t="n">
        <v>650960.46</v>
      </c>
      <c r="G39" s="30" t="n">
        <v>9381923.449999999</v>
      </c>
      <c r="H39" s="30" t="n">
        <v>343.97</v>
      </c>
      <c r="I39" s="6" t="n">
        <v>915</v>
      </c>
      <c r="J39" s="6" t="n">
        <v>1133</v>
      </c>
      <c r="K39" s="9" t="n">
        <v>1072.46</v>
      </c>
      <c r="L39" s="38" t="n">
        <v>11.68</v>
      </c>
      <c r="M39" s="38" t="n">
        <v>7.52</v>
      </c>
      <c r="N39" s="38" t="n">
        <v>0.48</v>
      </c>
      <c r="O39" s="6" t="inlineStr">
        <is>
          <t>Pendiente moderada</t>
        </is>
      </c>
      <c r="P39" s="6" t="inlineStr">
        <is>
          <t>Vegetación alta</t>
        </is>
      </c>
    </row>
    <row r="40">
      <c r="A40" s="8" t="inlineStr">
        <is>
          <t>CV 32 - M1B1</t>
        </is>
      </c>
      <c r="B40" s="8" t="inlineStr">
        <is>
          <t>M1B1</t>
        </is>
      </c>
      <c r="C40" s="8" t="inlineStr">
        <is>
          <t>C1077-Q9580</t>
        </is>
      </c>
      <c r="D40" s="8" t="inlineStr">
        <is>
          <t>Morropón</t>
        </is>
      </c>
      <c r="E40" s="8" t="inlineStr">
        <is>
          <t>Buenos Aires</t>
        </is>
      </c>
      <c r="F40" s="32" t="n">
        <v>617588.51</v>
      </c>
      <c r="G40" s="32" t="n">
        <v>9408453.09</v>
      </c>
      <c r="H40" s="32" t="n">
        <v>407.23</v>
      </c>
      <c r="I40" s="8" t="n">
        <v>220</v>
      </c>
      <c r="J40" s="8" t="n">
        <v>264</v>
      </c>
      <c r="K40" s="13" t="n">
        <v>240.04</v>
      </c>
      <c r="L40" s="47" t="n">
        <v>6.94</v>
      </c>
      <c r="M40" s="47" t="n">
        <v>4.25</v>
      </c>
      <c r="N40" s="47" t="n">
        <v>0.18</v>
      </c>
      <c r="O40" s="8" t="inlineStr">
        <is>
          <t>Pendiente moderada</t>
        </is>
      </c>
      <c r="P40" s="8" t="inlineStr">
        <is>
          <t>Vegetación ligera</t>
        </is>
      </c>
    </row>
    <row r="41">
      <c r="A41" s="6" t="inlineStr">
        <is>
          <t>CV 33 - M7B2</t>
        </is>
      </c>
      <c r="B41" s="6" t="inlineStr">
        <is>
          <t>M7B2</t>
        </is>
      </c>
      <c r="C41" s="6" t="inlineStr">
        <is>
          <t>C1076-Q9581</t>
        </is>
      </c>
      <c r="D41" s="6" t="inlineStr">
        <is>
          <t>Morropón</t>
        </is>
      </c>
      <c r="E41" s="6" t="inlineStr">
        <is>
          <t>Salitral</t>
        </is>
      </c>
      <c r="F41" s="30" t="n">
        <v>631995.29</v>
      </c>
      <c r="G41" s="30" t="n">
        <v>9402768.67</v>
      </c>
      <c r="H41" s="30" t="n">
        <v>448.62</v>
      </c>
      <c r="I41" s="6" t="n">
        <v>204</v>
      </c>
      <c r="J41" s="6" t="n">
        <v>217</v>
      </c>
      <c r="K41" s="9" t="n">
        <v>211.06</v>
      </c>
      <c r="L41" s="38" t="n">
        <v>2.77</v>
      </c>
      <c r="M41" s="38" t="n">
        <v>2.12</v>
      </c>
      <c r="N41" s="38" t="n">
        <v>0.24</v>
      </c>
      <c r="O41" s="6" t="inlineStr">
        <is>
          <t>Pendiente suave</t>
        </is>
      </c>
      <c r="P41" s="6" t="inlineStr">
        <is>
          <t>Vegetación ligera</t>
        </is>
      </c>
    </row>
    <row r="42">
      <c r="A42" s="8" t="inlineStr">
        <is>
          <t>CV 34 - M18B1</t>
        </is>
      </c>
      <c r="B42" s="8" t="inlineStr">
        <is>
          <t>M18B1</t>
        </is>
      </c>
      <c r="C42" s="8" t="inlineStr">
        <is>
          <t>C1077-Q9579</t>
        </is>
      </c>
      <c r="D42" s="8" t="inlineStr">
        <is>
          <t>Morropón</t>
        </is>
      </c>
      <c r="E42" s="8" t="inlineStr">
        <is>
          <t>Buenos Aires</t>
        </is>
      </c>
      <c r="F42" s="32" t="n">
        <v>621552.0600000001</v>
      </c>
      <c r="G42" s="32" t="n">
        <v>9410446.869999999</v>
      </c>
      <c r="H42" s="32" t="n">
        <v>471.7</v>
      </c>
      <c r="I42" s="8" t="n">
        <v>156</v>
      </c>
      <c r="J42" s="8" t="n">
        <v>185</v>
      </c>
      <c r="K42" s="13" t="n">
        <v>168.25</v>
      </c>
      <c r="L42" s="47" t="n">
        <v>4.55</v>
      </c>
      <c r="M42" s="47" t="n">
        <v>3.39</v>
      </c>
      <c r="N42" s="47" t="n">
        <v>0.2</v>
      </c>
      <c r="O42" s="8" t="inlineStr">
        <is>
          <t>Pendiente suave</t>
        </is>
      </c>
      <c r="P42" s="8" t="inlineStr">
        <is>
          <t>Vegetación ligera</t>
        </is>
      </c>
    </row>
    <row r="43">
      <c r="A43" s="6" t="inlineStr">
        <is>
          <t>CV 35 - M30B5</t>
        </is>
      </c>
      <c r="B43" s="6" t="inlineStr">
        <is>
          <t>M30B5</t>
        </is>
      </c>
      <c r="C43" s="6" t="inlineStr">
        <is>
          <t>C1081-Q9591</t>
        </is>
      </c>
      <c r="D43" s="6" t="inlineStr">
        <is>
          <t>Huancabamba</t>
        </is>
      </c>
      <c r="E43" s="6" t="inlineStr">
        <is>
          <t>Huancabamba</t>
        </is>
      </c>
      <c r="F43" s="30" t="n">
        <v>654844.35</v>
      </c>
      <c r="G43" s="30" t="n">
        <v>9427696.630000001</v>
      </c>
      <c r="H43" s="30" t="n">
        <v>478.48</v>
      </c>
      <c r="I43" s="6" t="n">
        <v>1782</v>
      </c>
      <c r="J43" s="6" t="n">
        <v>1933</v>
      </c>
      <c r="K43" s="9" t="n">
        <v>1860.37</v>
      </c>
      <c r="L43" s="38" t="n">
        <v>15.92</v>
      </c>
      <c r="M43" s="38" t="n">
        <v>10.2</v>
      </c>
      <c r="N43" s="38" t="n">
        <v>0.59</v>
      </c>
      <c r="O43" s="6" t="inlineStr">
        <is>
          <t>Pendiente moderada</t>
        </is>
      </c>
      <c r="P43" s="6" t="inlineStr">
        <is>
          <t>Vegetación alta</t>
        </is>
      </c>
    </row>
    <row r="44">
      <c r="A44" s="8" t="inlineStr">
        <is>
          <t>CV 36 - M17B7</t>
        </is>
      </c>
      <c r="B44" s="8" t="inlineStr">
        <is>
          <t>M17B7</t>
        </is>
      </c>
      <c r="C44" s="8" t="inlineStr">
        <is>
          <t>C1096-Q9556</t>
        </is>
      </c>
      <c r="D44" s="8" t="inlineStr">
        <is>
          <t>Ayabaca</t>
        </is>
      </c>
      <c r="E44" s="8" t="inlineStr">
        <is>
          <t>Frías</t>
        </is>
      </c>
      <c r="F44" s="32" t="n">
        <v>609107.09</v>
      </c>
      <c r="G44" s="32" t="n">
        <v>9448951.75</v>
      </c>
      <c r="H44" s="32" t="n">
        <v>506.11</v>
      </c>
      <c r="I44" s="8" t="n">
        <v>771</v>
      </c>
      <c r="J44" s="8" t="n">
        <v>938</v>
      </c>
      <c r="K44" s="13" t="n">
        <v>844.21</v>
      </c>
      <c r="L44" s="47" t="n">
        <v>18.38</v>
      </c>
      <c r="M44" s="47" t="n">
        <v>11.09</v>
      </c>
      <c r="N44" s="47" t="n">
        <v>0.42</v>
      </c>
      <c r="O44" s="8" t="inlineStr">
        <is>
          <t>Pendiente moderada</t>
        </is>
      </c>
      <c r="P44" s="8" t="inlineStr">
        <is>
          <t>Vegetación alta</t>
        </is>
      </c>
    </row>
    <row r="45">
      <c r="A45" s="6" t="inlineStr">
        <is>
          <t>CV 37 - M9B1</t>
        </is>
      </c>
      <c r="B45" s="6" t="inlineStr">
        <is>
          <t>M9B1</t>
        </is>
      </c>
      <c r="C45" s="6" t="inlineStr">
        <is>
          <t>C1096-Q9545</t>
        </is>
      </c>
      <c r="D45" s="6" t="inlineStr">
        <is>
          <t>Morropón</t>
        </is>
      </c>
      <c r="E45" s="6" t="inlineStr">
        <is>
          <t>Chulucanas</t>
        </is>
      </c>
      <c r="F45" s="30" t="n">
        <v>596109.6</v>
      </c>
      <c r="G45" s="30" t="n">
        <v>9451315.210000001</v>
      </c>
      <c r="H45" s="30" t="n">
        <v>525.67</v>
      </c>
      <c r="I45" s="6" t="n">
        <v>161</v>
      </c>
      <c r="J45" s="6" t="n">
        <v>179</v>
      </c>
      <c r="K45" s="9" t="n">
        <v>170.81</v>
      </c>
      <c r="L45" s="38" t="n">
        <v>3.08</v>
      </c>
      <c r="M45" s="38" t="n">
        <v>2.33</v>
      </c>
      <c r="N45" s="38" t="n">
        <v>0.21</v>
      </c>
      <c r="O45" s="6" t="inlineStr">
        <is>
          <t>Pendiente suave</t>
        </is>
      </c>
      <c r="P45" s="6" t="inlineStr">
        <is>
          <t>Vegetación ligera</t>
        </is>
      </c>
    </row>
    <row r="46">
      <c r="A46" s="8" t="inlineStr">
        <is>
          <t>CV 38 - M6B2-1</t>
        </is>
      </c>
      <c r="B46" s="8" t="inlineStr">
        <is>
          <t>M6B2-1</t>
        </is>
      </c>
      <c r="C46" s="8" t="inlineStr">
        <is>
          <t>C1077-Q9566</t>
        </is>
      </c>
      <c r="D46" s="8" t="inlineStr">
        <is>
          <t>Morropón</t>
        </is>
      </c>
      <c r="E46" s="8" t="inlineStr">
        <is>
          <t>Buenos Aires</t>
        </is>
      </c>
      <c r="F46" s="32" t="n">
        <v>613489.86</v>
      </c>
      <c r="G46" s="32" t="n">
        <v>9414234.01</v>
      </c>
      <c r="H46" s="32" t="n">
        <v>537.72</v>
      </c>
      <c r="I46" s="8" t="n">
        <v>183</v>
      </c>
      <c r="J46" s="8" t="n">
        <v>216</v>
      </c>
      <c r="K46" s="13" t="n">
        <v>200.05</v>
      </c>
      <c r="L46" s="47" t="n">
        <v>4.4</v>
      </c>
      <c r="M46" s="47" t="n">
        <v>3.13</v>
      </c>
      <c r="N46" s="47" t="n">
        <v>0.24</v>
      </c>
      <c r="O46" s="8" t="inlineStr">
        <is>
          <t>Pendiente suave</t>
        </is>
      </c>
      <c r="P46" s="8" t="inlineStr">
        <is>
          <t>Vegetación ligera</t>
        </is>
      </c>
    </row>
    <row r="47">
      <c r="A47" s="6" t="inlineStr">
        <is>
          <t>CV 39 - M9B1</t>
        </is>
      </c>
      <c r="B47" s="6" t="inlineStr">
        <is>
          <t>M9B1</t>
        </is>
      </c>
      <c r="C47" s="6" t="inlineStr">
        <is>
          <t>C1096-Q9545</t>
        </is>
      </c>
      <c r="D47" s="6" t="inlineStr">
        <is>
          <t>Morropón</t>
        </is>
      </c>
      <c r="E47" s="6" t="inlineStr">
        <is>
          <t>Chulucanas</t>
        </is>
      </c>
      <c r="F47" s="30" t="n">
        <v>596253.42</v>
      </c>
      <c r="G47" s="30" t="n">
        <v>9451100.9</v>
      </c>
      <c r="H47" s="30" t="n">
        <v>551.9299999999999</v>
      </c>
      <c r="I47" s="6" t="n">
        <v>161</v>
      </c>
      <c r="J47" s="6" t="n">
        <v>195</v>
      </c>
      <c r="K47" s="9" t="n">
        <v>176.88</v>
      </c>
      <c r="L47" s="38" t="n">
        <v>4.1</v>
      </c>
      <c r="M47" s="38" t="n">
        <v>3</v>
      </c>
      <c r="N47" s="38" t="n">
        <v>0.21</v>
      </c>
      <c r="O47" s="6" t="inlineStr">
        <is>
          <t>Pendiente suave</t>
        </is>
      </c>
      <c r="P47" s="6" t="inlineStr">
        <is>
          <t>Vegetación ligera</t>
        </is>
      </c>
    </row>
    <row r="48">
      <c r="A48" s="8" t="inlineStr">
        <is>
          <t>CV 40 - M6B2-3</t>
        </is>
      </c>
      <c r="B48" s="8" t="inlineStr">
        <is>
          <t>M6B2-3</t>
        </is>
      </c>
      <c r="C48" s="8" t="inlineStr">
        <is>
          <t>C1077-Q9566</t>
        </is>
      </c>
      <c r="D48" s="8" t="inlineStr">
        <is>
          <t>Morropón</t>
        </is>
      </c>
      <c r="E48" s="8" t="inlineStr">
        <is>
          <t>Buenos Aires</t>
        </is>
      </c>
      <c r="F48" s="32" t="n">
        <v>611857.48</v>
      </c>
      <c r="G48" s="32" t="n">
        <v>9419284.189999999</v>
      </c>
      <c r="H48" s="32" t="n">
        <v>567.05</v>
      </c>
      <c r="I48" s="8" t="n">
        <v>166</v>
      </c>
      <c r="J48" s="8" t="n">
        <v>306</v>
      </c>
      <c r="K48" s="13" t="n">
        <v>226.18</v>
      </c>
      <c r="L48" s="47" t="n">
        <v>14.05</v>
      </c>
      <c r="M48" s="47" t="n">
        <v>8.16</v>
      </c>
      <c r="N48" s="47" t="n">
        <v>0.37</v>
      </c>
      <c r="O48" s="8" t="inlineStr">
        <is>
          <t>Pendiente moderada</t>
        </is>
      </c>
      <c r="P48" s="8" t="inlineStr">
        <is>
          <t>Vegetación mediana</t>
        </is>
      </c>
    </row>
    <row r="49">
      <c r="A49" s="6" t="inlineStr">
        <is>
          <t>CV 41 - M6B2-2</t>
        </is>
      </c>
      <c r="B49" s="6" t="inlineStr">
        <is>
          <t>M6B2-2</t>
        </is>
      </c>
      <c r="C49" s="6" t="inlineStr">
        <is>
          <t>C1077-Q9566</t>
        </is>
      </c>
      <c r="D49" s="6" t="inlineStr">
        <is>
          <t>Morropón</t>
        </is>
      </c>
      <c r="E49" s="6" t="inlineStr">
        <is>
          <t>Buenos Aires</t>
        </is>
      </c>
      <c r="F49" s="30" t="n">
        <v>611755.24</v>
      </c>
      <c r="G49" s="30" t="n">
        <v>9416385.5</v>
      </c>
      <c r="H49" s="30" t="n">
        <v>700</v>
      </c>
      <c r="I49" s="6" t="n">
        <v>200</v>
      </c>
      <c r="J49" s="6" t="n">
        <v>251</v>
      </c>
      <c r="K49" s="9" t="n">
        <v>220.67</v>
      </c>
      <c r="L49" s="38" t="n">
        <v>5.17</v>
      </c>
      <c r="M49" s="38" t="n">
        <v>3.59</v>
      </c>
      <c r="N49" s="38" t="n">
        <v>0.17</v>
      </c>
      <c r="O49" s="6" t="inlineStr">
        <is>
          <t>Pendiente suave</t>
        </is>
      </c>
      <c r="P49" s="6" t="inlineStr">
        <is>
          <t>Vegetación ligera</t>
        </is>
      </c>
    </row>
    <row r="50">
      <c r="A50" s="8" t="inlineStr">
        <is>
          <t>CV 42 - 15</t>
        </is>
      </c>
      <c r="B50" s="8" t="inlineStr">
        <is>
          <t>15</t>
        </is>
      </c>
      <c r="C50" s="8" t="inlineStr">
        <is>
          <t>C1086-Q9570</t>
        </is>
      </c>
      <c r="D50" s="8" t="inlineStr">
        <is>
          <t>Morropón</t>
        </is>
      </c>
      <c r="E50" s="8" t="inlineStr">
        <is>
          <t>Santo Domingo</t>
        </is>
      </c>
      <c r="F50" s="32" t="n">
        <v>620066.34</v>
      </c>
      <c r="G50" s="32" t="n">
        <v>9438071.050000001</v>
      </c>
      <c r="H50" s="32" t="n">
        <v>705.91</v>
      </c>
      <c r="I50" s="8" t="n">
        <v>1199</v>
      </c>
      <c r="J50" s="8" t="n">
        <v>1379</v>
      </c>
      <c r="K50" s="13" t="n">
        <v>1277.13</v>
      </c>
      <c r="L50" s="47" t="n">
        <v>15.18</v>
      </c>
      <c r="M50" s="47" t="n">
        <v>8.77</v>
      </c>
      <c r="N50" s="47" t="n">
        <v>0.57</v>
      </c>
      <c r="O50" s="8" t="inlineStr">
        <is>
          <t>Pendiente moderada</t>
        </is>
      </c>
      <c r="P50" s="8" t="inlineStr">
        <is>
          <t>Vegetación alta</t>
        </is>
      </c>
    </row>
    <row r="51">
      <c r="A51" s="6" t="inlineStr">
        <is>
          <t>CV 43 - M3B8</t>
        </is>
      </c>
      <c r="B51" s="6" t="inlineStr">
        <is>
          <t>M3B8</t>
        </is>
      </c>
      <c r="C51" s="6" t="inlineStr">
        <is>
          <t>C1081-Q9582</t>
        </is>
      </c>
      <c r="D51" s="6" t="inlineStr">
        <is>
          <t>Morropón</t>
        </is>
      </c>
      <c r="E51" s="6" t="inlineStr">
        <is>
          <t>San Juan de Bigote</t>
        </is>
      </c>
      <c r="F51" s="30" t="n">
        <v>631949.9300000001</v>
      </c>
      <c r="G51" s="30" t="n">
        <v>9415280.85</v>
      </c>
      <c r="H51" s="30" t="n">
        <v>719.22</v>
      </c>
      <c r="I51" s="6" t="n">
        <v>221</v>
      </c>
      <c r="J51" s="6" t="n">
        <v>250</v>
      </c>
      <c r="K51" s="9" t="n">
        <v>235</v>
      </c>
      <c r="L51" s="38" t="n">
        <v>2.89</v>
      </c>
      <c r="M51" s="38" t="n">
        <v>2.02</v>
      </c>
      <c r="N51" s="38" t="n">
        <v>0.24</v>
      </c>
      <c r="O51" s="6" t="inlineStr">
        <is>
          <t>Pendiente suave</t>
        </is>
      </c>
      <c r="P51" s="6" t="inlineStr">
        <is>
          <t>Vegetación ligera</t>
        </is>
      </c>
    </row>
    <row r="52">
      <c r="A52" s="8" t="inlineStr">
        <is>
          <t>CV 44 - M6B2-1</t>
        </is>
      </c>
      <c r="B52" s="8" t="inlineStr">
        <is>
          <t>M6B2-1</t>
        </is>
      </c>
      <c r="C52" s="8" t="inlineStr">
        <is>
          <t>C1077-Q9566</t>
        </is>
      </c>
      <c r="D52" s="8" t="inlineStr">
        <is>
          <t>Morropón</t>
        </is>
      </c>
      <c r="E52" s="8" t="inlineStr">
        <is>
          <t>Buenos Aires</t>
        </is>
      </c>
      <c r="F52" s="32" t="n">
        <v>612127.53</v>
      </c>
      <c r="G52" s="32" t="n">
        <v>9415170.609999999</v>
      </c>
      <c r="H52" s="32" t="n">
        <v>742.87</v>
      </c>
      <c r="I52" s="8" t="n">
        <v>200</v>
      </c>
      <c r="J52" s="8" t="n">
        <v>283</v>
      </c>
      <c r="K52" s="13" t="n">
        <v>233.18</v>
      </c>
      <c r="L52" s="47" t="n">
        <v>6.86</v>
      </c>
      <c r="M52" s="47" t="n">
        <v>4.38</v>
      </c>
      <c r="N52" s="47" t="n">
        <v>0.24</v>
      </c>
      <c r="O52" s="8" t="inlineStr">
        <is>
          <t>Pendiente moderada</t>
        </is>
      </c>
      <c r="P52" s="8" t="inlineStr">
        <is>
          <t>Vegetación ligera</t>
        </is>
      </c>
    </row>
    <row r="53">
      <c r="A53" s="6" t="inlineStr">
        <is>
          <t>CV 45 - M3B8</t>
        </is>
      </c>
      <c r="B53" s="6" t="inlineStr">
        <is>
          <t>M3B8</t>
        </is>
      </c>
      <c r="C53" s="6" t="inlineStr">
        <is>
          <t>C1081-Q9582</t>
        </is>
      </c>
      <c r="D53" s="6" t="inlineStr">
        <is>
          <t>Morropón</t>
        </is>
      </c>
      <c r="E53" s="6" t="inlineStr">
        <is>
          <t>San Juan de Bigote</t>
        </is>
      </c>
      <c r="F53" s="30" t="n">
        <v>631796.03</v>
      </c>
      <c r="G53" s="30" t="n">
        <v>9415080.43</v>
      </c>
      <c r="H53" s="30" t="n">
        <v>747.63</v>
      </c>
      <c r="I53" s="6" t="n">
        <v>221</v>
      </c>
      <c r="J53" s="6" t="n">
        <v>258</v>
      </c>
      <c r="K53" s="9" t="n">
        <v>235.82</v>
      </c>
      <c r="L53" s="38" t="n">
        <v>3.47</v>
      </c>
      <c r="M53" s="38" t="n">
        <v>2.37</v>
      </c>
      <c r="N53" s="38" t="n">
        <v>0.24</v>
      </c>
      <c r="O53" s="6" t="inlineStr">
        <is>
          <t>Pendiente suave</t>
        </is>
      </c>
      <c r="P53" s="6" t="inlineStr">
        <is>
          <t>Vegetación ligera</t>
        </is>
      </c>
    </row>
    <row r="54">
      <c r="A54" s="8" t="inlineStr">
        <is>
          <t>CV 46 - M4B4</t>
        </is>
      </c>
      <c r="B54" s="8" t="inlineStr">
        <is>
          <t>M4B4</t>
        </is>
      </c>
      <c r="C54" s="8" t="inlineStr">
        <is>
          <t>C1076-Q9589</t>
        </is>
      </c>
      <c r="D54" s="8" t="inlineStr">
        <is>
          <t>Huancabamba</t>
        </is>
      </c>
      <c r="E54" s="8" t="inlineStr">
        <is>
          <t>Huarmaca</t>
        </is>
      </c>
      <c r="F54" s="32" t="n">
        <v>643540.15</v>
      </c>
      <c r="G54" s="32" t="n">
        <v>9389760.560000001</v>
      </c>
      <c r="H54" s="32" t="n">
        <v>748.96</v>
      </c>
      <c r="I54" s="8" t="n">
        <v>320</v>
      </c>
      <c r="J54" s="8" t="n">
        <v>358</v>
      </c>
      <c r="K54" s="13" t="n">
        <v>338.98</v>
      </c>
      <c r="L54" s="47" t="n">
        <v>5.03</v>
      </c>
      <c r="M54" s="47" t="n">
        <v>3.62</v>
      </c>
      <c r="N54" s="47" t="n">
        <v>0.26</v>
      </c>
      <c r="O54" s="8" t="inlineStr">
        <is>
          <t>Pendiente suave</t>
        </is>
      </c>
      <c r="P54" s="8" t="inlineStr">
        <is>
          <t>Vegetación mediana</t>
        </is>
      </c>
    </row>
    <row r="55">
      <c r="A55" s="6" t="inlineStr">
        <is>
          <t>CV 47 - M20B1</t>
        </is>
      </c>
      <c r="B55" s="6" t="inlineStr">
        <is>
          <t>M20B1</t>
        </is>
      </c>
      <c r="C55" s="6" t="inlineStr">
        <is>
          <t>C1076-Q9585</t>
        </is>
      </c>
      <c r="D55" s="6" t="inlineStr">
        <is>
          <t>Huancabamba</t>
        </is>
      </c>
      <c r="E55" s="6" t="inlineStr">
        <is>
          <t>San Miguel de El Faique</t>
        </is>
      </c>
      <c r="F55" s="30" t="n">
        <v>641425.47</v>
      </c>
      <c r="G55" s="30" t="n">
        <v>9399084.949999999</v>
      </c>
      <c r="H55" s="30" t="n">
        <v>758.1</v>
      </c>
      <c r="I55" s="6" t="n">
        <v>268</v>
      </c>
      <c r="J55" s="6" t="n">
        <v>305</v>
      </c>
      <c r="K55" s="9" t="n">
        <v>285.53</v>
      </c>
      <c r="L55" s="38" t="n">
        <v>3.54</v>
      </c>
      <c r="M55" s="38" t="n">
        <v>2.36</v>
      </c>
      <c r="N55" s="38" t="n">
        <v>0.33</v>
      </c>
      <c r="O55" s="6" t="inlineStr">
        <is>
          <t>Pendiente suave</t>
        </is>
      </c>
      <c r="P55" s="6" t="inlineStr">
        <is>
          <t>Vegetación mediana</t>
        </is>
      </c>
    </row>
    <row r="56">
      <c r="A56" s="8" t="inlineStr">
        <is>
          <t>CV 48 - M6B2-2</t>
        </is>
      </c>
      <c r="B56" s="8" t="inlineStr">
        <is>
          <t>M6B2-2</t>
        </is>
      </c>
      <c r="C56" s="8" t="inlineStr">
        <is>
          <t>C1077-Q9566</t>
        </is>
      </c>
      <c r="D56" s="8" t="inlineStr">
        <is>
          <t>Morropón</t>
        </is>
      </c>
      <c r="E56" s="8" t="inlineStr">
        <is>
          <t>Buenos Aires</t>
        </is>
      </c>
      <c r="F56" s="32" t="n">
        <v>611151.73</v>
      </c>
      <c r="G56" s="32" t="n">
        <v>9417270.67</v>
      </c>
      <c r="H56" s="32" t="n">
        <v>901.63</v>
      </c>
      <c r="I56" s="8" t="n">
        <v>217</v>
      </c>
      <c r="J56" s="8" t="n">
        <v>280</v>
      </c>
      <c r="K56" s="13" t="n">
        <v>247.06</v>
      </c>
      <c r="L56" s="47" t="n">
        <v>5.24</v>
      </c>
      <c r="M56" s="47" t="n">
        <v>3.62</v>
      </c>
      <c r="N56" s="47" t="n">
        <v>0.28</v>
      </c>
      <c r="O56" s="8" t="inlineStr">
        <is>
          <t>Pendiente suave</t>
        </is>
      </c>
      <c r="P56" s="8" t="inlineStr">
        <is>
          <t>Vegetación mediana</t>
        </is>
      </c>
    </row>
    <row r="57">
      <c r="A57" s="6" t="inlineStr">
        <is>
          <t>CV 49 - M6B2-3</t>
        </is>
      </c>
      <c r="B57" s="6" t="inlineStr">
        <is>
          <t>M6B2-3</t>
        </is>
      </c>
      <c r="C57" s="6" t="inlineStr">
        <is>
          <t>C1077-Q9566</t>
        </is>
      </c>
      <c r="D57" s="6" t="inlineStr">
        <is>
          <t>Morropón</t>
        </is>
      </c>
      <c r="E57" s="6" t="inlineStr">
        <is>
          <t>Buenos Aires</t>
        </is>
      </c>
      <c r="F57" s="30" t="n">
        <v>611486.6899999999</v>
      </c>
      <c r="G57" s="30" t="n">
        <v>9419604.029999999</v>
      </c>
      <c r="H57" s="30" t="n">
        <v>919.21</v>
      </c>
      <c r="I57" s="6" t="n">
        <v>197</v>
      </c>
      <c r="J57" s="6" t="n">
        <v>323</v>
      </c>
      <c r="K57" s="9" t="n">
        <v>249.25</v>
      </c>
      <c r="L57" s="38" t="n">
        <v>8.58</v>
      </c>
      <c r="M57" s="38" t="n">
        <v>5.28</v>
      </c>
      <c r="N57" s="38" t="n">
        <v>0.2</v>
      </c>
      <c r="O57" s="6" t="inlineStr">
        <is>
          <t>Pendiente moderada</t>
        </is>
      </c>
      <c r="P57" s="6" t="inlineStr">
        <is>
          <t>Vegetación ligera</t>
        </is>
      </c>
    </row>
    <row r="58">
      <c r="A58" s="8" t="inlineStr">
        <is>
          <t>CV 50 - M9B1</t>
        </is>
      </c>
      <c r="B58" s="8" t="inlineStr">
        <is>
          <t>M9B1</t>
        </is>
      </c>
      <c r="C58" s="8" t="inlineStr">
        <is>
          <t>C1096-Q9545</t>
        </is>
      </c>
      <c r="D58" s="8" t="inlineStr">
        <is>
          <t>Morropón</t>
        </is>
      </c>
      <c r="E58" s="8" t="inlineStr">
        <is>
          <t>Chulucanas</t>
        </is>
      </c>
      <c r="F58" s="32" t="n">
        <v>595662.64</v>
      </c>
      <c r="G58" s="32" t="n">
        <v>9450851.939999999</v>
      </c>
      <c r="H58" s="32" t="n">
        <v>922.04</v>
      </c>
      <c r="I58" s="8" t="n">
        <v>147</v>
      </c>
      <c r="J58" s="8" t="n">
        <v>162</v>
      </c>
      <c r="K58" s="13" t="n">
        <v>155.92</v>
      </c>
      <c r="L58" s="47" t="n">
        <v>2.03</v>
      </c>
      <c r="M58" s="47" t="n">
        <v>1.64</v>
      </c>
      <c r="N58" s="47" t="n">
        <v>0.14</v>
      </c>
      <c r="O58" s="8" t="inlineStr">
        <is>
          <t>Pendiente suave</t>
        </is>
      </c>
      <c r="P58" s="8" t="inlineStr">
        <is>
          <t>Tierra desnuda</t>
        </is>
      </c>
    </row>
    <row r="59">
      <c r="A59" s="6" t="inlineStr">
        <is>
          <t>CV 51 - 2</t>
        </is>
      </c>
      <c r="B59" s="6" t="inlineStr">
        <is>
          <t>2</t>
        </is>
      </c>
      <c r="C59" s="6" t="inlineStr">
        <is>
          <t>C1096-Q9558</t>
        </is>
      </c>
      <c r="D59" s="6" t="inlineStr">
        <is>
          <t>Morropón</t>
        </is>
      </c>
      <c r="E59" s="6" t="inlineStr">
        <is>
          <t>Chulucanas</t>
        </is>
      </c>
      <c r="F59" s="30" t="n">
        <v>602990.83</v>
      </c>
      <c r="G59" s="30" t="n">
        <v>9438959.92</v>
      </c>
      <c r="H59" s="30" t="n">
        <v>933.78</v>
      </c>
      <c r="I59" s="6" t="n">
        <v>154</v>
      </c>
      <c r="J59" s="6" t="n">
        <v>208</v>
      </c>
      <c r="K59" s="9" t="n">
        <v>176.97</v>
      </c>
      <c r="L59" s="38" t="n">
        <v>3.94</v>
      </c>
      <c r="M59" s="38" t="n">
        <v>2.72</v>
      </c>
      <c r="N59" s="38" t="n">
        <v>0.21</v>
      </c>
      <c r="O59" s="6" t="inlineStr">
        <is>
          <t>Pendiente suave</t>
        </is>
      </c>
      <c r="P59" s="6" t="inlineStr">
        <is>
          <t>Vegetación ligera</t>
        </is>
      </c>
    </row>
    <row r="60">
      <c r="A60" s="8" t="inlineStr">
        <is>
          <t>CV 52 - 4</t>
        </is>
      </c>
      <c r="B60" s="8" t="inlineStr">
        <is>
          <t>4</t>
        </is>
      </c>
      <c r="C60" s="8" t="inlineStr">
        <is>
          <t>C1076-Q9588</t>
        </is>
      </c>
      <c r="D60" s="8" t="inlineStr">
        <is>
          <t>Huancabamba</t>
        </is>
      </c>
      <c r="E60" s="8" t="inlineStr">
        <is>
          <t>Huarmaca</t>
        </is>
      </c>
      <c r="F60" s="32" t="n">
        <v>656408.1899999999</v>
      </c>
      <c r="G60" s="32" t="n">
        <v>9382262.380000001</v>
      </c>
      <c r="H60" s="32" t="n">
        <v>948.64</v>
      </c>
      <c r="I60" s="8" t="n">
        <v>1381</v>
      </c>
      <c r="J60" s="8" t="n">
        <v>1688</v>
      </c>
      <c r="K60" s="13" t="n">
        <v>1519.54</v>
      </c>
      <c r="L60" s="47" t="n">
        <v>18.94</v>
      </c>
      <c r="M60" s="47" t="n">
        <v>11.2</v>
      </c>
      <c r="N60" s="47" t="n">
        <v>0.59</v>
      </c>
      <c r="O60" s="8" t="inlineStr">
        <is>
          <t>Pendiente moderada</t>
        </is>
      </c>
      <c r="P60" s="8" t="inlineStr">
        <is>
          <t>Vegetación alta</t>
        </is>
      </c>
    </row>
    <row r="61">
      <c r="A61" s="6" t="inlineStr">
        <is>
          <t>CV 53 - M3B9</t>
        </is>
      </c>
      <c r="B61" s="6" t="inlineStr">
        <is>
          <t>M3B9</t>
        </is>
      </c>
      <c r="C61" s="6" t="inlineStr">
        <is>
          <t>C1081-Q9582</t>
        </is>
      </c>
      <c r="D61" s="6" t="inlineStr">
        <is>
          <t>Morropón</t>
        </is>
      </c>
      <c r="E61" s="6" t="inlineStr">
        <is>
          <t>Salitral</t>
        </is>
      </c>
      <c r="F61" s="30" t="n">
        <v>630092.61</v>
      </c>
      <c r="G61" s="30" t="n">
        <v>9413940.16</v>
      </c>
      <c r="H61" s="30" t="n">
        <v>1143.05</v>
      </c>
      <c r="I61" s="6" t="n">
        <v>223</v>
      </c>
      <c r="J61" s="6" t="n">
        <v>312</v>
      </c>
      <c r="K61" s="9" t="n">
        <v>259.24</v>
      </c>
      <c r="L61" s="38" t="n">
        <v>5.44</v>
      </c>
      <c r="M61" s="38" t="n">
        <v>3.56</v>
      </c>
      <c r="N61" s="38" t="n">
        <v>0.28</v>
      </c>
      <c r="O61" s="6" t="inlineStr">
        <is>
          <t>Pendiente suave</t>
        </is>
      </c>
      <c r="P61" s="6" t="inlineStr">
        <is>
          <t>Vegetación mediana</t>
        </is>
      </c>
    </row>
    <row r="62">
      <c r="A62" s="8" t="inlineStr">
        <is>
          <t>CV 54 - M9B1</t>
        </is>
      </c>
      <c r="B62" s="8" t="inlineStr">
        <is>
          <t>M9B1</t>
        </is>
      </c>
      <c r="C62" s="8" t="inlineStr">
        <is>
          <t>C1096-Q9545</t>
        </is>
      </c>
      <c r="D62" s="8" t="inlineStr">
        <is>
          <t>Morropón</t>
        </is>
      </c>
      <c r="E62" s="8" t="inlineStr">
        <is>
          <t>Chulucanas</t>
        </is>
      </c>
      <c r="F62" s="32" t="n">
        <v>595284.49</v>
      </c>
      <c r="G62" s="32" t="n">
        <v>9451528.140000001</v>
      </c>
      <c r="H62" s="32" t="n">
        <v>1386.44</v>
      </c>
      <c r="I62" s="8" t="n">
        <v>148</v>
      </c>
      <c r="J62" s="8" t="n">
        <v>191</v>
      </c>
      <c r="K62" s="13" t="n">
        <v>165.99</v>
      </c>
      <c r="L62" s="47" t="n">
        <v>4.08</v>
      </c>
      <c r="M62" s="47" t="n">
        <v>2.99</v>
      </c>
      <c r="N62" s="47" t="n">
        <v>0.19</v>
      </c>
      <c r="O62" s="8" t="inlineStr">
        <is>
          <t>Pendiente suave</t>
        </is>
      </c>
      <c r="P62" s="8" t="inlineStr">
        <is>
          <t>Vegetación ligera</t>
        </is>
      </c>
    </row>
    <row r="63">
      <c r="A63" s="6" t="inlineStr">
        <is>
          <t>CV 55 - M3B8</t>
        </is>
      </c>
      <c r="B63" s="6" t="inlineStr">
        <is>
          <t>M3B8</t>
        </is>
      </c>
      <c r="C63" s="6" t="inlineStr">
        <is>
          <t>C1081-Q9582</t>
        </is>
      </c>
      <c r="D63" s="6" t="inlineStr">
        <is>
          <t>Morropón</t>
        </is>
      </c>
      <c r="E63" s="6" t="inlineStr">
        <is>
          <t>San Juan de Bigote</t>
        </is>
      </c>
      <c r="F63" s="30" t="n">
        <v>632440.72</v>
      </c>
      <c r="G63" s="30" t="n">
        <v>9415295.57</v>
      </c>
      <c r="H63" s="30" t="n">
        <v>1505.43</v>
      </c>
      <c r="I63" s="6" t="n">
        <v>209</v>
      </c>
      <c r="J63" s="6" t="n">
        <v>244</v>
      </c>
      <c r="K63" s="9" t="n">
        <v>224.76</v>
      </c>
      <c r="L63" s="38" t="n">
        <v>2.6</v>
      </c>
      <c r="M63" s="38" t="n">
        <v>1.91</v>
      </c>
      <c r="N63" s="38" t="n">
        <v>0.25</v>
      </c>
      <c r="O63" s="6" t="inlineStr">
        <is>
          <t>Pendiente suave</t>
        </is>
      </c>
      <c r="P63" s="6" t="inlineStr">
        <is>
          <t>Vegetación mediana</t>
        </is>
      </c>
    </row>
    <row r="64">
      <c r="A64" s="17" t="inlineStr">
        <is>
          <t>TOTAL</t>
        </is>
      </c>
      <c r="B64" s="17" t="n"/>
      <c r="C64" s="17" t="n"/>
      <c r="D64" s="17" t="n"/>
      <c r="E64" s="17" t="n"/>
      <c r="F64" s="17" t="n"/>
      <c r="G64" s="17" t="n"/>
      <c r="H64" s="48">
        <f>SUM(H9:H63)</f>
        <v/>
      </c>
      <c r="I64" s="17" t="n"/>
      <c r="J64" s="17" t="n"/>
      <c r="K64" s="17" t="n"/>
      <c r="L64" s="17" t="n"/>
      <c r="M64" s="17" t="n"/>
      <c r="N64" s="17" t="n"/>
      <c r="O64" s="17" t="n"/>
      <c r="P64" s="17" t="n"/>
    </row>
    <row r="66" ht="15" customHeight="1">
      <c r="A66" s="28" t="inlineStr">
        <is>
          <t>Unidad de la pendiente media según la fuente: [POR DEFINIR] confirmar (% o grados) con el especialista SIG. El inventario de cárcavas en campo se registra en la ficha F-DT-02.</t>
        </is>
      </c>
    </row>
  </sheetData>
  <autoFilter ref="A8:P63"/>
  <mergeCells count="7">
    <mergeCell ref="A5:P5"/>
    <mergeCell ref="A66:P66"/>
    <mergeCell ref="A1:P1"/>
    <mergeCell ref="A6:P6"/>
    <mergeCell ref="A4:P4"/>
    <mergeCell ref="A3:P3"/>
    <mergeCell ref="A2:P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40" customWidth="1" min="5" max="5"/>
    <col width="36" customWidth="1" min="6" max="6"/>
    <col width="16" customWidth="1" min="7" max="7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A5. MATRIZ PRELIMINAR DE INVOLUCRADOS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Gabinete del equipo formulador y avance de campo F-DS (versión preliminar, a validar con los registros F-DS-02 del aplicativo IN Piura)</t>
        </is>
      </c>
    </row>
    <row r="8" ht="30" customHeight="1">
      <c r="A8" s="4" t="inlineStr">
        <is>
          <t>Grupo de involucrados</t>
        </is>
      </c>
      <c r="B8" s="4" t="inlineStr">
        <is>
          <t>Actores identificados</t>
        </is>
      </c>
      <c r="C8" s="4" t="inlineStr">
        <is>
          <t>Problemas percibidos</t>
        </is>
      </c>
      <c r="D8" s="4" t="inlineStr">
        <is>
          <t>Intereses</t>
        </is>
      </c>
      <c r="E8" s="4" t="inlineStr">
        <is>
          <t>Estrategias</t>
        </is>
      </c>
      <c r="F8" s="4" t="inlineStr">
        <is>
          <t>Acuerdos y compromisos</t>
        </is>
      </c>
      <c r="G8" s="4" t="inlineStr">
        <is>
          <t>Posición preliminar</t>
        </is>
      </c>
    </row>
    <row r="9">
      <c r="A9" s="33" t="inlineStr">
        <is>
          <t>Población de los centros poblados asociados a los bloques</t>
        </is>
      </c>
      <c r="B9" s="33" t="inlineStr">
        <is>
          <t>Habitantes de los centros poblados rurales vinculados a los 117 bloques (ver A3); autoridades de caserío (tenientes gobernadores, agentes municipales) entrevistadas con la ficha F-DS-03</t>
        </is>
      </c>
      <c r="C9" s="33" t="inlineStr">
        <is>
          <t>Pérdida de cobertura vegetal y de suelos; erosión y cárcavas; movimientos en masa que afectan caminos, viviendas y terrenos; menor disponibilidad de agua en estiaje</t>
        </is>
      </c>
      <c r="D9" s="33" t="inlineStr">
        <is>
          <t>Reducir la exposición a peligros; mantener o mejorar la disponibilidad de agua y de pastos; empleo local</t>
        </is>
      </c>
      <c r="E9" s="33" t="inlineStr">
        <is>
          <t>Diagnóstico socioeconómico (F-DS-01), talleres participativos (F-DS-04), consulta de disposición a participar y consentimiento (F-DS-07)</t>
        </is>
      </c>
      <c r="F9" s="33" t="inlineStr">
        <is>
          <t>Socialización con autoridades de caserío en curso. Acuerdos formales: [POR DEFINIR]</t>
        </is>
      </c>
      <c r="G9" s="33" t="inlineStr">
        <is>
          <t>A favor / por confirmar</t>
        </is>
      </c>
    </row>
    <row r="10">
      <c r="A10" s="34" t="inlineStr">
        <is>
          <t>Titulares y posesionarios de predios en los bloques</t>
        </is>
      </c>
      <c r="B10" s="34" t="inlineStr">
        <is>
          <t>Propietarios, posesionarios, sucesiones, ocupantes y comunidades con tierras dentro de los bloques (registro F-LA de liberación de áreas)</t>
        </is>
      </c>
      <c r="C10" s="34" t="inlineStr">
        <is>
          <t>Incertidumbre sobre el uso futuro del predio; restricción temporal del pastoreo durante la clausura</t>
        </is>
      </c>
      <c r="D10" s="34" t="inlineStr">
        <is>
          <t>Conservar derechos sobre el predio; recibir beneficios de la recuperación del ecosistema</t>
        </is>
      </c>
      <c r="E10" s="34" t="inlineStr">
        <is>
          <t>Liberación de áreas con identificación de prediantes y actas de libre disponibilidad (F-LA-01 a F-LA-06)</t>
        </is>
      </c>
      <c r="F10" s="34" t="inlineStr">
        <is>
          <t>Actas de disponibilidad en proceso: [POR DEFINIR] número suscrito</t>
        </is>
      </c>
      <c r="G10" s="34" t="inlineStr">
        <is>
          <t>Por confirmar</t>
        </is>
      </c>
    </row>
    <row r="11">
      <c r="A11" s="33" t="inlineStr">
        <is>
          <t>Organizaciones comunales y de productores</t>
        </is>
      </c>
      <c r="B11" s="33" t="inlineStr">
        <is>
          <t>Comunidades campesinas, rondas campesinas, asociaciones de ganaderos y productores, JASS</t>
        </is>
      </c>
      <c r="C11" s="33" t="inlineStr">
        <is>
          <t>Degradación de pastos y fuentes de agua; conflictos por uso de tierras y agua</t>
        </is>
      </c>
      <c r="D11" s="33" t="inlineStr">
        <is>
          <t>Manejo de pastizales, protección de fuentes de agua, fortalecimiento organizativo</t>
        </is>
      </c>
      <c r="E11" s="33" t="inlineStr">
        <is>
          <t>Planes de manejo comunitario; capacitación en GdR; mecanismos MERESE</t>
        </is>
      </c>
      <c r="F11" s="33" t="inlineStr">
        <is>
          <t>[POR DEFINIR] (se consolida con F-DS-02 y F-DS-05)</t>
        </is>
      </c>
      <c r="G11" s="33" t="inlineStr">
        <is>
          <t>Por confirmar</t>
        </is>
      </c>
    </row>
    <row r="12">
      <c r="A12" s="34" t="inlineStr">
        <is>
          <t>Gobiernos locales</t>
        </is>
      </c>
      <c r="B12" s="34" t="inlineStr">
        <is>
          <t>Municipalidades provinciales de Ayabaca, Huancabamba y Morropón y municipalidades de los 15 distritos</t>
        </is>
      </c>
      <c r="C12" s="34" t="inlineStr">
        <is>
          <t>Daños recurrentes en vías y servicios por huaicos y erosión; limitada capacidad de gestión del riesgo</t>
        </is>
      </c>
      <c r="D12" s="34" t="inlineStr">
        <is>
          <t>Reducir daños y gastos de rehabilitación; articular el proyecto con planes locales</t>
        </is>
      </c>
      <c r="E12" s="34" t="inlineStr">
        <is>
          <t>Coordinación institucional; participación en operación y mantenimiento y en alerta temprana comunitaria</t>
        </is>
      </c>
      <c r="F12" s="34" t="inlineStr">
        <is>
          <t>[POR DEFINIR] convenios o actas de compromiso de O&amp;M</t>
        </is>
      </c>
      <c r="G12" s="34" t="inlineStr">
        <is>
          <t>Por confirmar</t>
        </is>
      </c>
    </row>
    <row r="13">
      <c r="A13" s="33" t="inlineStr">
        <is>
          <t>Gobierno Regional de Piura</t>
        </is>
      </c>
      <c r="B13" s="33" t="inlineStr">
        <is>
          <t>Órganos competentes en agricultura, recursos naturales, gestión ambiental y gestión del riesgo</t>
        </is>
      </c>
      <c r="C13" s="33" t="inlineStr">
        <is>
          <t>Degradación de ecosistemas de la cuenca alta y su efecto en la cuenca media y baja</t>
        </is>
      </c>
      <c r="D13" s="33" t="inlineStr">
        <is>
          <t>Recuperación de ecosistemas y articulación con la gestión integral de la cuenca</t>
        </is>
      </c>
      <c r="E13" s="33" t="inlineStr">
        <is>
          <t>Coordinación técnica; opiniones y autorizaciones en el ámbito de su competencia</t>
        </is>
      </c>
      <c r="F13" s="33" t="inlineStr">
        <is>
          <t>[POR DEFINIR]</t>
        </is>
      </c>
      <c r="G13" s="33" t="inlineStr">
        <is>
          <t>Por confirmar</t>
        </is>
      </c>
    </row>
    <row r="14">
      <c r="A14" s="34" t="inlineStr">
        <is>
          <t>Entidades del Gobierno Nacional</t>
        </is>
      </c>
      <c r="B14" s="34" t="inlineStr">
        <is>
          <t>MINAM (rector de la infraestructura natural; indicador de brecha R.M. N.° 00213-2024-MINAM), SERFOR, ANA y sus órganos desconcentrados, SERNANP, Ministerio de Cultura, INGEMMET, SENAMHI, CENEPRED, INDECI</t>
        </is>
      </c>
      <c r="C14" s="34" t="inlineStr">
        <is>
          <t>Brecha de ecosistemas degradados que requieren recuperación; riesgo de desastres en la cuenca</t>
        </is>
      </c>
      <c r="D14" s="34" t="inlineStr">
        <is>
          <t>Cumplimiento de lineamientos sectoriales; información para la gestión del riesgo y del agua</t>
        </is>
      </c>
      <c r="E14" s="34" t="inlineStr">
        <is>
          <t>Uso de información oficial; coordinación de opiniones técnicas cuando corresponda</t>
        </is>
      </c>
      <c r="F14" s="34" t="inlineStr">
        <is>
          <t>No requiere acuerdos en esta fase</t>
        </is>
      </c>
      <c r="G14" s="34" t="inlineStr">
        <is>
          <t>Neutral / normativo</t>
        </is>
      </c>
    </row>
    <row r="15">
      <c r="A15" s="33" t="inlineStr">
        <is>
          <t>Usuarios de agua y población de la cuenca media y baja</t>
        </is>
      </c>
      <c r="B15" s="33" t="inlineStr">
        <is>
          <t>Juntas y comisiones de usuarios de agua de riego; población del valle del río Piura expuesta a inundaciones</t>
        </is>
      </c>
      <c r="C15" s="33" t="inlineStr">
        <is>
          <t>Sedimentos e incremento de escorrentía desde la cuenca alta; variabilidad de la disponibilidad hídrica</t>
        </is>
      </c>
      <c r="D15" s="33" t="inlineStr">
        <is>
          <t>Regulación hídrica y menor aporte de sedimentos y escorrentía</t>
        </is>
      </c>
      <c r="E15" s="33" t="inlineStr">
        <is>
          <t>Difusión de resultados; exploración de mecanismos MERESE</t>
        </is>
      </c>
      <c r="F15" s="33" t="inlineStr">
        <is>
          <t>[POR DEFINIR]</t>
        </is>
      </c>
      <c r="G15" s="33" t="inlineStr">
        <is>
          <t>A favor (beneficiario indirecto)</t>
        </is>
      </c>
    </row>
    <row r="16">
      <c r="A16" s="34" t="inlineStr">
        <is>
          <t>Programa de Inversión del Río Piura</t>
        </is>
      </c>
      <c r="B16" s="34" t="inlineStr">
        <is>
          <t>Dependencia solicitante de la información</t>
        </is>
      </c>
      <c r="C16" s="34" t="inlineStr">
        <is>
          <t>Necesidad de integrar el alcance de la infraestructura natural de la cuenca alta en el programa de inversión</t>
        </is>
      </c>
      <c r="D16" s="34" t="inlineStr">
        <is>
          <t>Articular el Perfil IN Piura con el programa; evitar duplicidad de intervenciones</t>
        </is>
      </c>
      <c r="E16" s="34" t="inlineStr">
        <is>
          <t>Intercambio de información técnica y geoespacial (este informe); coordinación de alcances</t>
        </is>
      </c>
      <c r="F16" s="34" t="inlineStr">
        <is>
          <t>Remisión de la información de avance (este informe)</t>
        </is>
      </c>
      <c r="G16" s="34" t="inlineStr">
        <is>
          <t>A favor</t>
        </is>
      </c>
    </row>
    <row r="17">
      <c r="A17" s="33" t="inlineStr">
        <is>
          <t>Entidad formuladora</t>
        </is>
      </c>
      <c r="B17" s="33" t="inlineStr">
        <is>
          <t>ANIN — DIME — SESDI (Unidad Formuladora del Perfil, CUI 2669244)</t>
        </is>
      </c>
      <c r="C17" s="33" t="inlineStr">
        <is>
          <t>Brecha de información de campo para el diagnóstico; plazos de formulación</t>
        </is>
      </c>
      <c r="D17" s="33" t="inlineStr">
        <is>
          <t>Formular un perfil viable y articulado; asegurar la sostenibilidad</t>
        </is>
      </c>
      <c r="E17" s="33" t="inlineStr">
        <is>
          <t>Trabajo de campo (F-DT, F-EE, F-DS, F-LA); coordinación interinstitucional</t>
        </is>
      </c>
      <c r="F17" s="33" t="inlineStr">
        <is>
          <t>Ejecución por Administración Directa</t>
        </is>
      </c>
      <c r="G17" s="33" t="inlineStr">
        <is>
          <t>A favor</t>
        </is>
      </c>
    </row>
  </sheetData>
  <autoFilter ref="A8:G17"/>
  <mergeCells count="6">
    <mergeCell ref="A1:G1"/>
    <mergeCell ref="A3:G3"/>
    <mergeCell ref="A6:G6"/>
    <mergeCell ref="A4:G4"/>
    <mergeCell ref="A2:G2"/>
    <mergeCell ref="A5:G5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12" customWidth="1" min="4" max="4"/>
    <col width="11" customWidth="1" min="5" max="5"/>
    <col width="15" customWidth="1" min="6" max="6"/>
    <col width="26" customWidth="1" min="7" max="7"/>
    <col width="46" customWidth="1" min="8" max="8"/>
    <col width="18" customWidth="1" min="9" max="9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A6. INVENTARIO DE INFORMACIÓN GEORREFERENCIADA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Paquete IN_Piura_Paquete_SIG_Avance_Perfil.zip</t>
        </is>
      </c>
    </row>
    <row r="8" ht="30" customHeight="1">
      <c r="A8" s="4" t="inlineStr">
        <is>
          <t>N.°</t>
        </is>
      </c>
      <c r="B8" s="4" t="inlineStr">
        <is>
          <t>Capa / producto</t>
        </is>
      </c>
      <c r="C8" s="4" t="inlineStr">
        <is>
          <t>Contenido</t>
        </is>
      </c>
      <c r="D8" s="4" t="inlineStr">
        <is>
          <t>Geometría</t>
        </is>
      </c>
      <c r="E8" s="4" t="inlineStr">
        <is>
          <t>Registros</t>
        </is>
      </c>
      <c r="F8" s="4" t="inlineStr">
        <is>
          <t>Superficie (ha)</t>
        </is>
      </c>
      <c r="G8" s="4" t="inlineStr">
        <is>
          <t>Formatos entregados</t>
        </is>
      </c>
      <c r="H8" s="4" t="inlineStr">
        <is>
          <t>Fuente</t>
        </is>
      </c>
      <c r="I8" s="4" t="inlineStr">
        <is>
          <t>Estado</t>
        </is>
      </c>
    </row>
    <row r="9">
      <c r="A9" s="33" t="n">
        <v>1</v>
      </c>
      <c r="B9" s="33" t="inlineStr">
        <is>
          <t>01_ambito_estudio_distritos</t>
        </is>
      </c>
      <c r="C9" s="33" t="inlineStr">
        <is>
          <t>Ámbito de estudio: 15 distritos (INEI, referencial)</t>
        </is>
      </c>
      <c r="D9" s="33" t="inlineStr">
        <is>
          <t>Polígono</t>
        </is>
      </c>
      <c r="E9" s="49" t="n">
        <v>15</v>
      </c>
      <c r="F9" s="50" t="n">
        <v>642927.8</v>
      </c>
      <c r="G9" s="33" t="inlineStr">
        <is>
          <t>SHP, GPKG, KMZ</t>
        </is>
      </c>
      <c r="H9" s="33" t="inlineStr">
        <is>
          <t>Límites distritales INEI (capa simplificada); área referencial</t>
        </is>
      </c>
      <c r="I9" s="33" t="inlineStr">
        <is>
          <t>Entregado</t>
        </is>
      </c>
    </row>
    <row r="10">
      <c r="A10" s="34" t="n">
        <v>2</v>
      </c>
      <c r="B10" s="34" t="inlineStr">
        <is>
          <t>02_bloques_intervencion_v6</t>
        </is>
      </c>
      <c r="C10" s="34" t="inlineStr">
        <is>
          <t>Bloques de intervención V6 (117)</t>
        </is>
      </c>
      <c r="D10" s="34" t="inlineStr">
        <is>
          <t>Polígono</t>
        </is>
      </c>
      <c r="E10" s="51" t="n">
        <v>117</v>
      </c>
      <c r="F10" s="52" t="n">
        <v>12270.235</v>
      </c>
      <c r="G10" s="34" t="inlineStr">
        <is>
          <t>SHP, GPKG, KMZ</t>
        </is>
      </c>
      <c r="H10" s="34" t="inlineStr">
        <is>
          <t>Bloques V6 (Bloques V6.kml) y catálogo V6 (datos/unidades_liberacion_areas.csv), ANIN-DIME-SESDI 2026</t>
        </is>
      </c>
      <c r="I10" s="34" t="inlineStr">
        <is>
          <t>Entregado</t>
        </is>
      </c>
    </row>
    <row r="11">
      <c r="A11" s="33" t="n">
        <v>3</v>
      </c>
      <c r="B11" s="33" t="inlineStr">
        <is>
          <t>03_area_influencia_v6</t>
        </is>
      </c>
      <c r="C11" s="33" t="inlineStr">
        <is>
          <t>Área de influencia aprobada (130 polígonos)</t>
        </is>
      </c>
      <c r="D11" s="33" t="inlineStr">
        <is>
          <t>Polígono</t>
        </is>
      </c>
      <c r="E11" s="49" t="n">
        <v>130</v>
      </c>
      <c r="F11" s="50" t="n">
        <v>17139.655</v>
      </c>
      <c r="G11" s="33" t="inlineStr">
        <is>
          <t>SHP, GPKG, KMZ</t>
        </is>
      </c>
      <c r="H11" s="33" t="inlineStr">
        <is>
          <t>Área de influencia aprobada (AI_aprobado_2.shp), ANIN-DIME-SESDI 2026; sin los AI de los bloques retirados 74 y 75</t>
        </is>
      </c>
      <c r="I11" s="33" t="inlineStr">
        <is>
          <t>Entregado</t>
        </is>
      </c>
    </row>
    <row r="12">
      <c r="A12" s="34" t="n">
        <v>4</v>
      </c>
      <c r="B12" s="34" t="inlineStr">
        <is>
          <t>04_centros_poblados_asociados</t>
        </is>
      </c>
      <c r="C12" s="34" t="inlineStr">
        <is>
          <t>Centros poblados asociados a los bloques V6</t>
        </is>
      </c>
      <c r="D12" s="34" t="inlineStr">
        <is>
          <t>Punto</t>
        </is>
      </c>
      <c r="E12" s="51" t="n">
        <v>149</v>
      </c>
      <c r="F12" s="52" t="n"/>
      <c r="G12" s="34" t="inlineStr">
        <is>
          <t>SHP, GPKG, KMZ</t>
        </is>
      </c>
      <c r="H12" s="34" t="inlineStr">
        <is>
          <t>INEI, capa de centros poblados con población censal; asociación centro poblado–bloque del equipo social (CentrosPoblados-INEI-Bloques_v5, 24.09.2026, y bloques adicionales 83-87)</t>
        </is>
      </c>
      <c r="I12" s="34" t="inlineStr">
        <is>
          <t>Entregado (3 CCPP sin coordenadas, solo en A3)</t>
        </is>
      </c>
    </row>
    <row r="13">
      <c r="A13" s="33" t="n">
        <v>5</v>
      </c>
      <c r="B13" s="33" t="inlineStr">
        <is>
          <t>05_ecosistemas_ambito</t>
        </is>
      </c>
      <c r="C13" s="33" t="inlineStr">
        <is>
          <t>Ecosistemas en el ámbito (MINAM 2018)</t>
        </is>
      </c>
      <c r="D13" s="33" t="inlineStr">
        <is>
          <t>Polígono</t>
        </is>
      </c>
      <c r="E13" s="49" t="n">
        <v>9</v>
      </c>
      <c r="F13" s="50" t="n">
        <v>388809.78</v>
      </c>
      <c r="G13" s="33" t="inlineStr">
        <is>
          <t>SHP, GPKG, KMZ</t>
        </is>
      </c>
      <c r="H13" s="33" t="inlineStr">
        <is>
          <t>Mapa Nacional de Ecosistemas del Perú, MINAM 2018 (R.M. N.° 440-2018-MINAM), recorte al ámbito</t>
        </is>
      </c>
      <c r="I13" s="33" t="inlineStr">
        <is>
          <t>Entregado</t>
        </is>
      </c>
    </row>
    <row r="14">
      <c r="A14" s="34" t="n">
        <v>6</v>
      </c>
      <c r="B14" s="34" t="inlineStr">
        <is>
          <t>06_ecosistemas_bloques_v6</t>
        </is>
      </c>
      <c r="C14" s="34" t="inlineStr">
        <is>
          <t>Ecosistemas dentro de los bloques V6</t>
        </is>
      </c>
      <c r="D14" s="34" t="inlineStr">
        <is>
          <t>Polígono</t>
        </is>
      </c>
      <c r="E14" s="51" t="n">
        <v>190</v>
      </c>
      <c r="F14" s="52" t="n">
        <v>12270.235</v>
      </c>
      <c r="G14" s="34" t="inlineStr">
        <is>
          <t>SHP, GPKG, KMZ</t>
        </is>
      </c>
      <c r="H14" s="34" t="inlineStr">
        <is>
          <t>Mapa Nacional de Ecosistemas del Perú, MINAM 2018 (R.M. N.° 440-2018-MINAM), recorte al ámbito; intersección con bloques V6</t>
        </is>
      </c>
      <c r="I14" s="34" t="inlineStr">
        <is>
          <t>Entregado</t>
        </is>
      </c>
    </row>
    <row r="15">
      <c r="A15" s="33" t="n">
        <v>7</v>
      </c>
      <c r="B15" s="33" t="inlineStr">
        <is>
          <t>07_carcavas_caracterizadas</t>
        </is>
      </c>
      <c r="C15" s="33" t="inlineStr">
        <is>
          <t>Cárcavas caracterizadas (55)</t>
        </is>
      </c>
      <c r="D15" s="33" t="inlineStr">
        <is>
          <t>Punto</t>
        </is>
      </c>
      <c r="E15" s="49" t="n">
        <v>55</v>
      </c>
      <c r="F15" s="50" t="n"/>
      <c r="G15" s="33" t="inlineStr">
        <is>
          <t>SHP, GPKG, KMZ</t>
        </is>
      </c>
      <c r="H15" s="33" t="inlineStr">
        <is>
          <t>Caracterización de cárcavas (gabinete SIG), ANIN-DIME-SESDI 2026</t>
        </is>
      </c>
      <c r="I15" s="33" t="inlineStr">
        <is>
          <t>Entregado</t>
        </is>
      </c>
    </row>
    <row r="16">
      <c r="A16" s="34" t="n">
        <v>8</v>
      </c>
      <c r="B16" s="34" t="inlineStr">
        <is>
          <t>08_limites_distritales_contexto</t>
        </is>
      </c>
      <c r="C16" s="34" t="inlineStr">
        <is>
          <t>Límites distritales de contexto (INEI, simplificado)</t>
        </is>
      </c>
      <c r="D16" s="34" t="inlineStr">
        <is>
          <t>Polígono</t>
        </is>
      </c>
      <c r="E16" s="51" t="n">
        <v>326</v>
      </c>
      <c r="F16" s="52" t="n"/>
      <c r="G16" s="34" t="inlineStr">
        <is>
          <t>SHP, GPKG</t>
        </is>
      </c>
      <c r="H16" s="34" t="inlineStr">
        <is>
          <t>INEI (capa simplificada), base de contexto</t>
        </is>
      </c>
      <c r="I16" s="34" t="inlineStr">
        <is>
          <t>Entregado</t>
        </is>
      </c>
    </row>
    <row r="17">
      <c r="A17" s="33" t="n">
        <v>9</v>
      </c>
      <c r="B17" s="33" t="inlineStr">
        <is>
          <t>Mapas temáticos (PDF A3)</t>
        </is>
      </c>
      <c r="C17" s="33" t="inlineStr">
        <is>
          <t>Área de influencia y bloques V6 (4 láminas); ecosistemas y bloques V6 (4 láminas); centros poblados asociados (1 lámina)</t>
        </is>
      </c>
      <c r="D17" s="33" t="inlineStr">
        <is>
          <t>—</t>
        </is>
      </c>
      <c r="E17" s="49" t="n">
        <v>9</v>
      </c>
      <c r="F17" s="50" t="n"/>
      <c r="G17" s="33" t="inlineStr">
        <is>
          <t>PDF</t>
        </is>
      </c>
      <c r="H17" s="33" t="inlineStr">
        <is>
          <t>ANIN-DIME-SESDI 2026</t>
        </is>
      </c>
      <c r="I17" s="33" t="inlineStr">
        <is>
          <t>Entregado</t>
        </is>
      </c>
    </row>
    <row r="18">
      <c r="A18" s="34" t="n">
        <v>10</v>
      </c>
      <c r="B18" s="34" t="inlineStr">
        <is>
          <t>Peligro integrado y componentes</t>
        </is>
      </c>
      <c r="C18" s="34" t="inlineStr">
        <is>
          <t>PMM, EPH, PGI y PI (5 niveles)</t>
        </is>
      </c>
      <c r="D18" s="34" t="inlineStr">
        <is>
          <t>Ráster / polígono</t>
        </is>
      </c>
      <c r="E18" s="51" t="n"/>
      <c r="F18" s="52" t="n"/>
      <c r="G18" s="34" t="inlineStr">
        <is>
          <t>[POR DEFINIR]</t>
        </is>
      </c>
      <c r="H18" s="34" t="inlineStr">
        <is>
          <t>Modelamiento MCA-AHP (mesolocalización)</t>
        </is>
      </c>
      <c r="I18" s="34" t="inlineStr">
        <is>
          <t>Pendiente de remisión</t>
        </is>
      </c>
    </row>
    <row r="19">
      <c r="A19" s="33" t="n">
        <v>11</v>
      </c>
      <c r="B19" s="33" t="inlineStr">
        <is>
          <t>Microcuencas priorizadas</t>
        </is>
      </c>
      <c r="C19" s="33" t="inlineStr">
        <is>
          <t>Límites de las 26 microcuencas con bloques V6</t>
        </is>
      </c>
      <c r="D19" s="33" t="inlineStr">
        <is>
          <t>Polígono</t>
        </is>
      </c>
      <c r="E19" s="49" t="n"/>
      <c r="F19" s="50" t="n"/>
      <c r="G19" s="33" t="inlineStr">
        <is>
          <t>[POR DEFINIR]</t>
        </is>
      </c>
      <c r="H19" s="33" t="inlineStr">
        <is>
          <t>Delimitación hidrográfica del proyecto</t>
        </is>
      </c>
      <c r="I19" s="33" t="inlineStr">
        <is>
          <t>Pendiente de remisión</t>
        </is>
      </c>
    </row>
    <row r="20">
      <c r="A20" s="34" t="n">
        <v>12</v>
      </c>
      <c r="B20" s="34" t="inlineStr">
        <is>
          <t>Capas de exclusión e idoneidad</t>
        </is>
      </c>
      <c r="C20" s="34" t="inlineStr">
        <is>
          <t>Arqueología, concesiones mineras, infraestructura eléctrica, ANP, accesibilidad, pendiente, déficit hídrico</t>
        </is>
      </c>
      <c r="D20" s="34" t="inlineStr">
        <is>
          <t>Varios</t>
        </is>
      </c>
      <c r="E20" s="51" t="n"/>
      <c r="F20" s="52" t="n"/>
      <c r="G20" s="34" t="inlineStr">
        <is>
          <t>[POR DEFINIR]</t>
        </is>
      </c>
      <c r="H20" s="34" t="inlineStr">
        <is>
          <t>SIGDA, INGEMMET, OSINERGMIN, SERNANP, MTC, CMIP6</t>
        </is>
      </c>
      <c r="I20" s="34" t="inlineStr">
        <is>
          <t>Pendiente de remisión</t>
        </is>
      </c>
    </row>
    <row r="21">
      <c r="A21" s="33" t="n">
        <v>13</v>
      </c>
      <c r="B21" s="33" t="inlineStr">
        <is>
          <t>Ráster MSAVI 2024 clasificado</t>
        </is>
      </c>
      <c r="C21" s="33" t="inlineStr">
        <is>
          <t>Clases DN 1-5 (resumen por bloque en A4_UP_MSAVI)</t>
        </is>
      </c>
      <c r="D21" s="33" t="inlineStr">
        <is>
          <t>Ráster</t>
        </is>
      </c>
      <c r="E21" s="49" t="n"/>
      <c r="F21" s="50" t="n"/>
      <c r="G21" s="33" t="inlineStr">
        <is>
          <t>[POR DEFINIR]</t>
        </is>
      </c>
      <c r="H21" s="33" t="inlineStr">
        <is>
          <t>Sentinel-2 (2024)</t>
        </is>
      </c>
      <c r="I21" s="33" t="inlineStr">
        <is>
          <t>Pendiente de remisión</t>
        </is>
      </c>
    </row>
    <row r="22">
      <c r="A22" s="34" t="n">
        <v>14</v>
      </c>
      <c r="B22" s="34" t="inlineStr">
        <is>
          <t>Registros de campo georreferenciados</t>
        </is>
      </c>
      <c r="C22" s="34" t="inlineStr">
        <is>
          <t>Fichas F-DT, F-EE, F-DS y F-LA con coordenadas y fotos</t>
        </is>
      </c>
      <c r="D22" s="34" t="inlineStr">
        <is>
          <t>Punto</t>
        </is>
      </c>
      <c r="E22" s="51" t="n"/>
      <c r="F22" s="52" t="n"/>
      <c r="G22" s="34" t="inlineStr">
        <is>
          <t>[POR DEFINIR] (exportación del aplicativo)</t>
        </is>
      </c>
      <c r="H22" s="34" t="inlineStr">
        <is>
          <t>Aplicativo IN Piura / KoboToolbox</t>
        </is>
      </c>
      <c r="I22" s="34" t="inlineStr">
        <is>
          <t>Pendiente de remisión</t>
        </is>
      </c>
    </row>
    <row r="23">
      <c r="A23" s="33" t="n">
        <v>15</v>
      </c>
      <c r="B23" s="33" t="inlineStr">
        <is>
          <t>Vuelos de dron</t>
        </is>
      </c>
      <c r="C23" s="33" t="inlineStr">
        <is>
          <t>Ortomosaicos de verificación aérea por bloque</t>
        </is>
      </c>
      <c r="D23" s="33" t="inlineStr">
        <is>
          <t>Ráster</t>
        </is>
      </c>
      <c r="E23" s="49" t="n"/>
      <c r="F23" s="50" t="n"/>
      <c r="G23" s="33" t="inlineStr">
        <is>
          <t>[POR DEFINIR]</t>
        </is>
      </c>
      <c r="H23" s="33" t="inlineStr">
        <is>
          <t>Verificación aérea con dron (MSAVI V6 rev. 1)</t>
        </is>
      </c>
      <c r="I23" s="33" t="inlineStr">
        <is>
          <t>Pendiente de remisión</t>
        </is>
      </c>
    </row>
  </sheetData>
  <autoFilter ref="A8:I23"/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NOTAS, CONTROLES Y DATOS PENDIENTES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7" ht="45" customHeight="1">
      <c r="A7" s="53" t="inlineStr">
        <is>
          <t>Fuentes: catálogo V6 (datos/unidades_liberacion_areas.csv), capas datos/gis/IN_Piura_area_influencia_bloques_v6.gpkg y mapas/salidas/IN_Piura_ecosistemas_bloques_v6.gpkg, centros_poblados.py, CentrosPoblados-INEI-Bloques_v5 (24.09.2026), traspaso MSAVI V6 y caracterización de cárcavas.</t>
        </is>
      </c>
    </row>
    <row r="8" ht="30" customHeight="1">
      <c r="A8" s="53" t="inlineStr">
        <is>
          <t>Bloques vigentes: 117 bloques V6 con 12,270.235 ha. Se excluyen los 12 códigos retirados del catálogo (1, 7, 25, 29, 32, 33, 46, 48, 68, 74, 75, M18B5) y sus registros asociados.</t>
        </is>
      </c>
    </row>
    <row r="9" ht="30" customHeight="1">
      <c r="A9" s="53" t="inlineStr">
        <is>
          <t>El área de intervención directa del proyecto es un rango de 10,000 a 15,000 ha; 12,270.235 ha es la suma de los 117 bloques preliminares.</t>
        </is>
      </c>
    </row>
    <row r="10" ht="30" customHeight="1">
      <c r="A10" s="53" t="inlineStr">
        <is>
          <t>Sistema de coordenadas: UTM WGS 84 Zona 17S (EPSG:32717); controles de rango ESTE 450,000–750,000 m y NORTE 9,300,000–9,600,000 m.</t>
        </is>
      </c>
    </row>
    <row r="11" ht="15" customHeight="1">
      <c r="A11" s="53" t="inlineStr">
        <is>
          <t>Los totales y resúmenes de este libro son fórmulas (SUM, COUNTIFS, SUMIFS) sobre las hojas de detalle.</t>
        </is>
      </c>
    </row>
    <row r="12" ht="15" customHeight="1">
      <c r="A12" s="54" t="inlineStr">
        <is>
          <t>[POR DEFINIR] Criterio técnico de delimitación del área de influencia aprobada (AI_aprobado_2.shp).</t>
        </is>
      </c>
    </row>
    <row r="13" ht="15" customHeight="1">
      <c r="A13" s="54" t="inlineStr">
        <is>
          <t>[POR DEFINIR] Resultados del modelamiento de peligro (PMM, EPH, PGI y PI) por microcuenca y bloque, y sus capas.</t>
        </is>
      </c>
    </row>
    <row r="14" ht="15" customHeight="1">
      <c r="A14" s="54" t="inlineStr">
        <is>
          <t>[POR DEFINIR] Capa de límites de las 26 microcuencas priorizadas.</t>
        </is>
      </c>
    </row>
    <row r="15" ht="30" customHeight="1">
      <c r="A15" s="54" t="inlineStr">
        <is>
          <t>[POR DEFINIR] Centros poblados de los bloques 31, 50, M6B2-1, M17B10, M30B5; coordenadas y desagregación de los centros poblados de los bloques 83 a 87; año censal de la capa INEI.</t>
        </is>
      </c>
    </row>
    <row r="16" ht="30" customHeight="1">
      <c r="A16" s="54" t="inlineStr">
        <is>
          <t>[POR DEFINIR] Consolidado de las fichas F-DT, F-EE, F-DS-02 a F-DS-07 y F-LA registradas en el aplicativo IN Piura (base de datos del aplicativo, no incluida en este corte).</t>
        </is>
      </c>
    </row>
    <row r="17" ht="15" customHeight="1">
      <c r="A17" s="54" t="inlineStr">
        <is>
          <t>[POR DEFINIR] Matriz de involucrados definitiva y acuerdos suscritos (la de la hoja A5 es preliminar).</t>
        </is>
      </c>
    </row>
  </sheetData>
  <mergeCells count="16">
    <mergeCell ref="A4:B4"/>
    <mergeCell ref="A2:B2"/>
    <mergeCell ref="A16:B16"/>
    <mergeCell ref="A15:B15"/>
    <mergeCell ref="A7:B7"/>
    <mergeCell ref="A11:B11"/>
    <mergeCell ref="A10:B10"/>
    <mergeCell ref="A5:B5"/>
    <mergeCell ref="A13:B13"/>
    <mergeCell ref="A14:B14"/>
    <mergeCell ref="A1:B1"/>
    <mergeCell ref="A17:B17"/>
    <mergeCell ref="A9:B9"/>
    <mergeCell ref="A8:B8"/>
    <mergeCell ref="A3:B3"/>
    <mergeCell ref="A12:B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2026-10-23T17:52:48Z</dcterms:created>
  <dcterms:modified xmlns:dcterms="http://purl.org/dc/terms/" xmlns:xsi="http://www.w3.org/2001/XMLSchema-instance" xsi:type="dcterms:W3CDTF">2026-10-23T17:52:50Z</dcterms:modified>
</cp:coreProperties>
</file>