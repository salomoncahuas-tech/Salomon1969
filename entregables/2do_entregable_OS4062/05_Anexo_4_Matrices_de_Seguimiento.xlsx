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loques_107" sheetId="2" state="visible" r:id="rId2"/>
    <sheet xmlns:r="http://schemas.openxmlformats.org/officeDocument/2006/relationships" name="Distritos" sheetId="3" state="visible" r:id="rId3"/>
    <sheet xmlns:r="http://schemas.openxmlformats.org/officeDocument/2006/relationships" name="Situacion_predial" sheetId="4" state="visible" r:id="rId4"/>
    <sheet xmlns:r="http://schemas.openxmlformats.org/officeDocument/2006/relationships" name="Obs_Suelos_E2" sheetId="5" state="visible" r:id="rId5"/>
    <sheet xmlns:r="http://schemas.openxmlformats.org/officeDocument/2006/relationships" name="Obs_E6_Ecosistemas" sheetId="6" state="visible" r:id="rId6"/>
    <sheet xmlns:r="http://schemas.openxmlformats.org/officeDocument/2006/relationships" name="Obs_E6_Material_vegetal" sheetId="7" state="visible" r:id="rId7"/>
    <sheet xmlns:r="http://schemas.openxmlformats.org/officeDocument/2006/relationships" name="Medios_verificadores" sheetId="8" state="visible" r:id="rId8"/>
    <sheet xmlns:r="http://schemas.openxmlformats.org/officeDocument/2006/relationships" name="Notas" sheetId="9" state="visible" r:id="rId9"/>
  </sheets>
  <definedNames>
    <definedName name="_xlnm._FilterDatabase" localSheetId="0" hidden="1">'Indice'!$A$8:$C$16</definedName>
    <definedName name="_xlnm._FilterDatabase" localSheetId="1" hidden="1">'Bloques_107'!$A$8:$V$115</definedName>
    <definedName name="_xlnm._FilterDatabase" localSheetId="2" hidden="1">'Distritos'!$A$8:$N$22</definedName>
    <definedName name="_xlnm._FilterDatabase" localSheetId="3" hidden="1">'Situacion_predial'!$A$8:$N$115</definedName>
    <definedName name="_xlnm._FilterDatabase" localSheetId="4" hidden="1">'Obs_Suelos_E2'!$A$8:$G$22</definedName>
    <definedName name="_xlnm._FilterDatabase" localSheetId="5" hidden="1">'Obs_E6_Ecosistemas'!$A$8:$E$21</definedName>
    <definedName name="_xlnm._FilterDatabase" localSheetId="6" hidden="1">'Obs_E6_Material_vegetal'!$A$8:$E$16</definedName>
    <definedName name="_xlnm._FilterDatabase" localSheetId="7" hidden="1">'Medios_verificadores'!$A$8:$E$35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4" fontId="6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166" fontId="6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0" customWidth="1" min="3" max="3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ANEXO N° 4 — MATRICES DE SEGUIMIENTO DEL SEGUNDO ENTREGABLE (OS N° 4062-2026 · Informe N° 008-2026-HSCM)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Elaboración: Ing. Héctor Salomón Cahuas Miller – Especialista en Infraestructura Verde. Lima, octubre de 2026</t>
        </is>
      </c>
    </row>
    <row r="8" ht="30" customHeight="1">
      <c r="A8" s="4" t="inlineStr">
        <is>
          <t>Hoja</t>
        </is>
      </c>
      <c r="B8" s="4" t="inlineStr">
        <is>
          <t>Actividad del TdR</t>
        </is>
      </c>
      <c r="C8" s="4" t="inlineStr">
        <is>
          <t>Contenido</t>
        </is>
      </c>
    </row>
    <row r="9">
      <c r="A9" s="5" t="inlineStr">
        <is>
          <t>Bloques_107</t>
        </is>
      </c>
      <c r="B9" s="5" t="inlineStr">
        <is>
          <t>Actividad b)</t>
        </is>
      </c>
      <c r="C9" s="5" t="inlineStr">
        <is>
          <t>Consolidado por bloque de Huancabamba y Morropón (Versión 5)</t>
        </is>
      </c>
    </row>
    <row r="10">
      <c r="A10" s="6" t="inlineStr">
        <is>
          <t>Distritos</t>
        </is>
      </c>
      <c r="B10" s="6" t="inlineStr">
        <is>
          <t>Actividad b)</t>
        </is>
      </c>
      <c r="C10" s="6" t="inlineStr">
        <is>
          <t>Consolidado por distrito, con totales por fórmula</t>
        </is>
      </c>
    </row>
    <row r="11">
      <c r="A11" s="5" t="inlineStr">
        <is>
          <t>Situacion_predial</t>
        </is>
      </c>
      <c r="B11" s="5" t="inlineStr">
        <is>
          <t>Actividad b)</t>
        </is>
      </c>
      <c r="C11" s="5" t="inlineStr">
        <is>
          <t>Situación predial de gabinete por bloque (mapas SP v2)</t>
        </is>
      </c>
    </row>
    <row r="12">
      <c r="A12" s="6" t="inlineStr">
        <is>
          <t>Obs_Suelos_E2</t>
        </is>
      </c>
      <c r="B12" s="6" t="inlineStr">
        <is>
          <t>Actividad c)</t>
        </is>
      </c>
      <c r="C12" s="6" t="inlineStr">
        <is>
          <t>Matriz de observaciones al Entregable N° 2 del Estudio de Suelos</t>
        </is>
      </c>
    </row>
    <row r="13">
      <c r="A13" s="5" t="inlineStr">
        <is>
          <t>Obs_E6_Ecosistemas</t>
        </is>
      </c>
      <c r="B13" s="5" t="inlineStr">
        <is>
          <t>Actividad d)</t>
        </is>
      </c>
      <c r="C13" s="5" t="inlineStr">
        <is>
          <t>Observaciones al Diagnóstico del Estado de los Ecosistemas</t>
        </is>
      </c>
    </row>
    <row r="14">
      <c r="A14" s="6" t="inlineStr">
        <is>
          <t>Obs_E6_Material_vegetal</t>
        </is>
      </c>
      <c r="B14" s="6" t="inlineStr">
        <is>
          <t>Actividad d)</t>
        </is>
      </c>
      <c r="C14" s="6" t="inlineStr">
        <is>
          <t>Observaciones al Estudio de Oferta de Material Vegetal</t>
        </is>
      </c>
    </row>
    <row r="15">
      <c r="A15" s="5" t="inlineStr">
        <is>
          <t>Medios_verificadores</t>
        </is>
      </c>
      <c r="B15" s="5" t="inlineStr">
        <is>
          <t>b), c), d)</t>
        </is>
      </c>
      <c r="C15" s="5" t="inlineStr">
        <is>
          <t>Registro de medios verificadores</t>
        </is>
      </c>
    </row>
    <row r="16">
      <c r="A16" s="6" t="inlineStr">
        <is>
          <t>Notas</t>
        </is>
      </c>
      <c r="B16" s="6" t="inlineStr">
        <is>
          <t>—</t>
        </is>
      </c>
      <c r="C16" s="6" t="inlineStr">
        <is>
          <t>Reglas de dato y advertencias</t>
        </is>
      </c>
    </row>
  </sheetData>
  <autoFilter ref="A8:C16"/>
  <mergeCells count="6">
    <mergeCell ref="A1:C1"/>
    <mergeCell ref="A5:C5"/>
    <mergeCell ref="A6:C6"/>
    <mergeCell ref="A3:C3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5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4" customWidth="1" min="14" max="14"/>
    <col width="23" customWidth="1" min="15" max="15"/>
    <col width="30" customWidth="1" min="16" max="16"/>
    <col width="19" customWidth="1" min="17" max="17"/>
    <col width="15" customWidth="1" min="18" max="18"/>
    <col width="14" customWidth="1" min="19" max="19"/>
    <col width="21" customWidth="1" min="20" max="20"/>
    <col width="14" customWidth="1" min="21" max="21"/>
    <col width="15" customWidth="1" min="22" max="2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CONSOLIDADO DE LOS 107 BLOQUES — HUANCABAMBA Y MORROPÓN (VERSIÓN 5)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Volúmenes I y II, Versión 5; Tablero E6; índice de mapas de situación predial v2; Informe de Avance E5; consolidado DS 17/10/2026. UTM WGS 84 Zona 17S.</t>
        </is>
      </c>
    </row>
    <row r="8" ht="30" customHeight="1">
      <c r="A8" s="4" t="inlineStr">
        <is>
          <t>Provincia</t>
        </is>
      </c>
      <c r="B8" s="4" t="inlineStr">
        <is>
          <t>Distrito</t>
        </is>
      </c>
      <c r="C8" s="4" t="inlineStr">
        <is>
          <t>Bloque</t>
        </is>
      </c>
      <c r="D8" s="4" t="inlineStr">
        <is>
          <t>Microcuenca</t>
        </is>
      </c>
      <c r="E8" s="4" t="inlineStr">
        <is>
          <t>Superficie (ha)</t>
        </is>
      </c>
      <c r="F8" s="4" t="inlineStr">
        <is>
          <t>Este (m)</t>
        </is>
      </c>
      <c r="G8" s="4" t="inlineStr">
        <is>
          <t>Norte (m)</t>
        </is>
      </c>
      <c r="H8" s="4" t="inlineStr">
        <is>
          <t>Régimen</t>
        </is>
      </c>
      <c r="I8" s="4" t="inlineStr">
        <is>
          <t>MSAVI 2024</t>
        </is>
      </c>
      <c r="J8" s="4" t="inlineStr">
        <is>
          <t>Clase PI</t>
        </is>
      </c>
      <c r="K8" s="4" t="inlineStr">
        <is>
          <t>Índice PI</t>
        </is>
      </c>
      <c r="L8" s="4" t="inlineStr">
        <is>
          <t>IC (E6)</t>
        </is>
      </c>
      <c r="M8" s="4" t="inlineStr">
        <is>
          <t>Clase de estado (E6)</t>
        </is>
      </c>
      <c r="N8" s="4" t="inlineStr">
        <is>
          <t>Tipología MSAVI–NDVI</t>
        </is>
      </c>
      <c r="O8" s="4" t="inlineStr">
        <is>
          <t>% bajo umbral MSAVI</t>
        </is>
      </c>
      <c r="P8" s="4" t="inlineStr">
        <is>
          <t>Situación predial</t>
        </is>
      </c>
      <c r="Q8" s="4" t="inlineStr">
        <is>
          <t>Predios COFOPRI</t>
        </is>
      </c>
      <c r="R8" s="4" t="inlineStr">
        <is>
          <t>Calicata E5</t>
        </is>
      </c>
      <c r="S8" s="4" t="inlineStr">
        <is>
          <t>Ficha F-DS</t>
        </is>
      </c>
      <c r="T8" s="4" t="inlineStr">
        <is>
          <t>Riesgo (gabinete)</t>
        </is>
      </c>
      <c r="U8" s="4" t="inlineStr">
        <is>
          <t>Lámina SP</t>
        </is>
      </c>
      <c r="V8" s="4" t="inlineStr">
        <is>
          <t>N° cárcavas</t>
        </is>
      </c>
    </row>
    <row r="9">
      <c r="A9" s="7" t="inlineStr">
        <is>
          <t>Huancabamba</t>
        </is>
      </c>
      <c r="B9" s="7" t="inlineStr">
        <is>
          <t>Canchaque</t>
        </is>
      </c>
      <c r="C9" s="7" t="inlineStr">
        <is>
          <t>21</t>
        </is>
      </c>
      <c r="D9" s="7" t="inlineStr">
        <is>
          <t>C1081-Q9591</t>
        </is>
      </c>
      <c r="E9" s="8" t="n">
        <v>84.23</v>
      </c>
      <c r="F9" s="9" t="n">
        <v>654604</v>
      </c>
      <c r="G9" s="9" t="n">
        <v>9417736</v>
      </c>
      <c r="H9" s="7" t="inlineStr">
        <is>
          <t>B</t>
        </is>
      </c>
      <c r="I9" s="10" t="n">
        <v>0.6201</v>
      </c>
      <c r="J9" s="7" t="inlineStr">
        <is>
          <t>Medio</t>
        </is>
      </c>
      <c r="K9" s="10" t="n">
        <v>3.394</v>
      </c>
      <c r="L9" s="10" t="n">
        <v>0.765</v>
      </c>
      <c r="M9" s="7" t="inlineStr">
        <is>
          <t>Leve</t>
        </is>
      </c>
      <c r="N9" s="7" t="inlineStr">
        <is>
          <t>D</t>
        </is>
      </c>
      <c r="O9" s="11" t="n">
        <v>5.173</v>
      </c>
      <c r="P9" s="7" t="inlineStr">
        <is>
          <t>Tierras del Estado y/o posesionarios</t>
        </is>
      </c>
      <c r="Q9" s="7" t="n">
        <v>0</v>
      </c>
      <c r="R9" s="7" t="inlineStr">
        <is>
          <t>No</t>
        </is>
      </c>
      <c r="S9" s="7" t="inlineStr">
        <is>
          <t>Sí</t>
        </is>
      </c>
      <c r="T9" s="7" t="inlineStr">
        <is>
          <t>Medio</t>
        </is>
      </c>
      <c r="U9" s="7" t="inlineStr">
        <is>
          <t>SP-011</t>
        </is>
      </c>
      <c r="V9" s="7" t="n">
        <v>0</v>
      </c>
    </row>
    <row r="10">
      <c r="A10" s="12" t="inlineStr">
        <is>
          <t>Huancabamba</t>
        </is>
      </c>
      <c r="B10" s="12" t="inlineStr">
        <is>
          <t>Canchaque</t>
        </is>
      </c>
      <c r="C10" s="12" t="inlineStr">
        <is>
          <t>24</t>
        </is>
      </c>
      <c r="D10" s="12" t="inlineStr">
        <is>
          <t>C1081-Q9583</t>
        </is>
      </c>
      <c r="E10" s="13" t="n">
        <v>90.16</v>
      </c>
      <c r="F10" s="14" t="n">
        <v>652191</v>
      </c>
      <c r="G10" s="14" t="n">
        <v>9414358</v>
      </c>
      <c r="H10" s="12" t="inlineStr">
        <is>
          <t>B</t>
        </is>
      </c>
      <c r="I10" s="15" t="n">
        <v>0.6748</v>
      </c>
      <c r="J10" s="12" t="inlineStr">
        <is>
          <t>Medio</t>
        </is>
      </c>
      <c r="K10" s="15" t="n">
        <v>3.29</v>
      </c>
      <c r="L10" s="15" t="n">
        <v>0.915</v>
      </c>
      <c r="M10" s="12" t="inlineStr">
        <is>
          <t>No degradado</t>
        </is>
      </c>
      <c r="N10" s="12" t="inlineStr">
        <is>
          <t>D</t>
        </is>
      </c>
      <c r="O10" s="16" t="n">
        <v>2.286</v>
      </c>
      <c r="P10" s="12" t="inlineStr">
        <is>
          <t>Tierras del Estado y/o posesionarios</t>
        </is>
      </c>
      <c r="Q10" s="12" t="n">
        <v>0</v>
      </c>
      <c r="R10" s="12" t="inlineStr">
        <is>
          <t>Sí</t>
        </is>
      </c>
      <c r="S10" s="12" t="inlineStr">
        <is>
          <t>Sí</t>
        </is>
      </c>
      <c r="T10" s="12" t="inlineStr">
        <is>
          <t>Medio</t>
        </is>
      </c>
      <c r="U10" s="12" t="inlineStr">
        <is>
          <t>SP-012</t>
        </is>
      </c>
      <c r="V10" s="12" t="n">
        <v>0</v>
      </c>
    </row>
    <row r="11">
      <c r="A11" s="7" t="inlineStr">
        <is>
          <t>Huancabamba</t>
        </is>
      </c>
      <c r="B11" s="7" t="inlineStr">
        <is>
          <t>Canchaque</t>
        </is>
      </c>
      <c r="C11" s="7" t="inlineStr">
        <is>
          <t>28</t>
        </is>
      </c>
      <c r="D11" s="7" t="inlineStr">
        <is>
          <t>C1081-Q9591</t>
        </is>
      </c>
      <c r="E11" s="8" t="n">
        <v>52.97</v>
      </c>
      <c r="F11" s="9" t="n">
        <v>654188</v>
      </c>
      <c r="G11" s="9" t="n">
        <v>9422849</v>
      </c>
      <c r="H11" s="7" t="inlineStr">
        <is>
          <t>B</t>
        </is>
      </c>
      <c r="I11" s="10" t="n">
        <v>0.6394</v>
      </c>
      <c r="J11" s="7" t="inlineStr">
        <is>
          <t>Medio</t>
        </is>
      </c>
      <c r="K11" s="10" t="n">
        <v>3.332</v>
      </c>
      <c r="L11" s="10" t="n">
        <v>0.893</v>
      </c>
      <c r="M11" s="7" t="inlineStr">
        <is>
          <t>No degradado</t>
        </is>
      </c>
      <c r="N11" s="7" t="inlineStr">
        <is>
          <t>D</t>
        </is>
      </c>
      <c r="O11" s="11" t="n">
        <v>0.9340000000000001</v>
      </c>
      <c r="P11" s="7" t="inlineStr">
        <is>
          <t>Parcialmente privada</t>
        </is>
      </c>
      <c r="Q11" s="7" t="n">
        <v>17</v>
      </c>
      <c r="R11" s="7" t="inlineStr">
        <is>
          <t>No</t>
        </is>
      </c>
      <c r="S11" s="7" t="inlineStr">
        <is>
          <t>Sí</t>
        </is>
      </c>
      <c r="T11" s="7" t="inlineStr">
        <is>
          <t>Medio</t>
        </is>
      </c>
      <c r="U11" s="7" t="inlineStr">
        <is>
          <t>SP-013</t>
        </is>
      </c>
      <c r="V11" s="7" t="n">
        <v>0</v>
      </c>
    </row>
    <row r="12">
      <c r="A12" s="12" t="inlineStr">
        <is>
          <t>Huancabamba</t>
        </is>
      </c>
      <c r="B12" s="12" t="inlineStr">
        <is>
          <t>Canchaque</t>
        </is>
      </c>
      <c r="C12" s="12" t="inlineStr">
        <is>
          <t>30</t>
        </is>
      </c>
      <c r="D12" s="12" t="inlineStr">
        <is>
          <t>C1081-Q9591</t>
        </is>
      </c>
      <c r="E12" s="13" t="n">
        <v>34.87</v>
      </c>
      <c r="F12" s="14" t="n">
        <v>652758</v>
      </c>
      <c r="G12" s="14" t="n">
        <v>9424380</v>
      </c>
      <c r="H12" s="12" t="inlineStr">
        <is>
          <t>B</t>
        </is>
      </c>
      <c r="I12" s="15" t="n">
        <v>0.6637999999999999</v>
      </c>
      <c r="J12" s="12" t="inlineStr">
        <is>
          <t>Alto</t>
        </is>
      </c>
      <c r="K12" s="15" t="n">
        <v>3.404</v>
      </c>
      <c r="L12" s="15" t="n">
        <v>0.877</v>
      </c>
      <c r="M12" s="12" t="inlineStr">
        <is>
          <t>No degradado</t>
        </is>
      </c>
      <c r="N12" s="12" t="inlineStr">
        <is>
          <t>D</t>
        </is>
      </c>
      <c r="O12" s="16" t="n">
        <v>1.307</v>
      </c>
      <c r="P12" s="12" t="inlineStr">
        <is>
          <t>Privada</t>
        </is>
      </c>
      <c r="Q12" s="12" t="n">
        <v>10</v>
      </c>
      <c r="R12" s="12" t="inlineStr">
        <is>
          <t>No</t>
        </is>
      </c>
      <c r="S12" s="12" t="inlineStr">
        <is>
          <t>Sí</t>
        </is>
      </c>
      <c r="T12" s="12" t="inlineStr">
        <is>
          <t>Alto</t>
        </is>
      </c>
      <c r="U12" s="12" t="inlineStr">
        <is>
          <t>SP-014</t>
        </is>
      </c>
      <c r="V12" s="12" t="n">
        <v>0</v>
      </c>
    </row>
    <row r="13">
      <c r="A13" s="7" t="inlineStr">
        <is>
          <t>Huancabamba</t>
        </is>
      </c>
      <c r="B13" s="7" t="inlineStr">
        <is>
          <t>Canchaque</t>
        </is>
      </c>
      <c r="C13" s="7" t="inlineStr">
        <is>
          <t>40</t>
        </is>
      </c>
      <c r="D13" s="7" t="inlineStr">
        <is>
          <t>C1081-Q9591</t>
        </is>
      </c>
      <c r="E13" s="8" t="n">
        <v>28.52</v>
      </c>
      <c r="F13" s="9" t="n">
        <v>654137</v>
      </c>
      <c r="G13" s="9" t="n">
        <v>9424425</v>
      </c>
      <c r="H13" s="7" t="inlineStr">
        <is>
          <t>B</t>
        </is>
      </c>
      <c r="I13" s="10" t="n">
        <v>0.6401</v>
      </c>
      <c r="J13" s="7" t="inlineStr">
        <is>
          <t>Alto</t>
        </is>
      </c>
      <c r="K13" s="10" t="n">
        <v>3.593</v>
      </c>
      <c r="L13" s="10" t="n">
        <v>0.837</v>
      </c>
      <c r="M13" s="7" t="inlineStr">
        <is>
          <t>No degradado</t>
        </is>
      </c>
      <c r="N13" s="7" t="inlineStr">
        <is>
          <t>D</t>
        </is>
      </c>
      <c r="O13" s="11" t="n">
        <v>2.902</v>
      </c>
      <c r="P13" s="7" t="inlineStr">
        <is>
          <t>Parcialmente privada</t>
        </is>
      </c>
      <c r="Q13" s="7" t="n">
        <v>12</v>
      </c>
      <c r="R13" s="7" t="inlineStr">
        <is>
          <t>No</t>
        </is>
      </c>
      <c r="S13" s="7" t="inlineStr">
        <is>
          <t>Sí</t>
        </is>
      </c>
      <c r="T13" s="7" t="inlineStr">
        <is>
          <t>Alto</t>
        </is>
      </c>
      <c r="U13" s="7" t="inlineStr">
        <is>
          <t>SP-015</t>
        </is>
      </c>
      <c r="V13" s="7" t="n">
        <v>0</v>
      </c>
    </row>
    <row r="14">
      <c r="A14" s="12" t="inlineStr">
        <is>
          <t>Huancabamba</t>
        </is>
      </c>
      <c r="B14" s="12" t="inlineStr">
        <is>
          <t>Canchaque</t>
        </is>
      </c>
      <c r="C14" s="12" t="inlineStr">
        <is>
          <t>60</t>
        </is>
      </c>
      <c r="D14" s="12" t="inlineStr">
        <is>
          <t>C1081-Q9591</t>
        </is>
      </c>
      <c r="E14" s="13" t="n">
        <v>40.13</v>
      </c>
      <c r="F14" s="14" t="n">
        <v>653850</v>
      </c>
      <c r="G14" s="14" t="n">
        <v>9426236</v>
      </c>
      <c r="H14" s="12" t="inlineStr">
        <is>
          <t>B</t>
        </is>
      </c>
      <c r="I14" s="15" t="n">
        <v>0.6745</v>
      </c>
      <c r="J14" s="12" t="inlineStr">
        <is>
          <t>Alto</t>
        </is>
      </c>
      <c r="K14" s="15" t="n">
        <v>3.612</v>
      </c>
      <c r="L14" s="15" t="n">
        <v>0.883</v>
      </c>
      <c r="M14" s="12" t="inlineStr">
        <is>
          <t>No degradado</t>
        </is>
      </c>
      <c r="N14" s="12" t="inlineStr">
        <is>
          <t>D</t>
        </is>
      </c>
      <c r="O14" s="16" t="n">
        <v>0.61</v>
      </c>
      <c r="P14" s="12" t="inlineStr">
        <is>
          <t>Privada</t>
        </is>
      </c>
      <c r="Q14" s="12" t="n">
        <v>14</v>
      </c>
      <c r="R14" s="12" t="inlineStr">
        <is>
          <t>Sí</t>
        </is>
      </c>
      <c r="S14" s="12" t="inlineStr">
        <is>
          <t>Sí</t>
        </is>
      </c>
      <c r="T14" s="12" t="inlineStr">
        <is>
          <t>Alto</t>
        </is>
      </c>
      <c r="U14" s="12" t="inlineStr">
        <is>
          <t>SP-016</t>
        </is>
      </c>
      <c r="V14" s="12" t="n">
        <v>0</v>
      </c>
    </row>
    <row r="15">
      <c r="A15" s="7" t="inlineStr">
        <is>
          <t>Huancabamba</t>
        </is>
      </c>
      <c r="B15" s="7" t="inlineStr">
        <is>
          <t>Canchaque</t>
        </is>
      </c>
      <c r="C15" s="7" t="inlineStr">
        <is>
          <t>63</t>
        </is>
      </c>
      <c r="D15" s="7" t="inlineStr">
        <is>
          <t>C1081-Q9583</t>
        </is>
      </c>
      <c r="E15" s="8" t="n">
        <v>50.46</v>
      </c>
      <c r="F15" s="9" t="n">
        <v>655059</v>
      </c>
      <c r="G15" s="9" t="n">
        <v>9413845</v>
      </c>
      <c r="H15" s="7" t="inlineStr">
        <is>
          <t>B</t>
        </is>
      </c>
      <c r="I15" s="10" t="n">
        <v>0.6036</v>
      </c>
      <c r="J15" s="7" t="inlineStr">
        <is>
          <t>Medio</t>
        </is>
      </c>
      <c r="K15" s="10" t="n">
        <v>3.183</v>
      </c>
      <c r="L15" s="10" t="n">
        <v>0.859</v>
      </c>
      <c r="M15" s="7" t="inlineStr">
        <is>
          <t>No degradado</t>
        </is>
      </c>
      <c r="N15" s="7" t="inlineStr">
        <is>
          <t>D</t>
        </is>
      </c>
      <c r="O15" s="11" t="n">
        <v>2.948</v>
      </c>
      <c r="P15" s="7" t="inlineStr">
        <is>
          <t>Comunal</t>
        </is>
      </c>
      <c r="Q15" s="7" t="n">
        <v>0</v>
      </c>
      <c r="R15" s="7" t="inlineStr">
        <is>
          <t>No</t>
        </is>
      </c>
      <c r="S15" s="7" t="inlineStr">
        <is>
          <t>Sí</t>
        </is>
      </c>
      <c r="T15" s="7" t="inlineStr">
        <is>
          <t>Medio</t>
        </is>
      </c>
      <c r="U15" s="7" t="inlineStr">
        <is>
          <t>SP-017</t>
        </is>
      </c>
      <c r="V15" s="7" t="n">
        <v>0</v>
      </c>
    </row>
    <row r="16">
      <c r="A16" s="12" t="inlineStr">
        <is>
          <t>Huancabamba</t>
        </is>
      </c>
      <c r="B16" s="12" t="inlineStr">
        <is>
          <t>Canchaque</t>
        </is>
      </c>
      <c r="C16" s="12" t="inlineStr">
        <is>
          <t>66</t>
        </is>
      </c>
      <c r="D16" s="12" t="inlineStr">
        <is>
          <t>C1081-Q9591</t>
        </is>
      </c>
      <c r="E16" s="13" t="n">
        <v>102.34</v>
      </c>
      <c r="F16" s="14" t="n">
        <v>652566</v>
      </c>
      <c r="G16" s="14" t="n">
        <v>9417311</v>
      </c>
      <c r="H16" s="12" t="inlineStr">
        <is>
          <t>B</t>
        </is>
      </c>
      <c r="I16" s="15" t="n">
        <v>0.6403</v>
      </c>
      <c r="J16" s="12" t="inlineStr">
        <is>
          <t>Alto</t>
        </is>
      </c>
      <c r="K16" s="15" t="n">
        <v>3.645</v>
      </c>
      <c r="L16" s="15" t="n">
        <v>0.8169999999999999</v>
      </c>
      <c r="M16" s="12" t="inlineStr">
        <is>
          <t>No degradado</t>
        </is>
      </c>
      <c r="N16" s="12" t="inlineStr">
        <is>
          <t>D</t>
        </is>
      </c>
      <c r="O16" s="16" t="n">
        <v>8.840999999999999</v>
      </c>
      <c r="P16" s="12" t="inlineStr">
        <is>
          <t>Tierras del Estado y/o posesionarios</t>
        </is>
      </c>
      <c r="Q16" s="12" t="n">
        <v>0</v>
      </c>
      <c r="R16" s="12" t="inlineStr">
        <is>
          <t>No</t>
        </is>
      </c>
      <c r="S16" s="12" t="inlineStr">
        <is>
          <t>Sí</t>
        </is>
      </c>
      <c r="T16" s="12" t="inlineStr">
        <is>
          <t>Alto</t>
        </is>
      </c>
      <c r="U16" s="12" t="inlineStr">
        <is>
          <t>SP-018</t>
        </is>
      </c>
      <c r="V16" s="12" t="n">
        <v>0</v>
      </c>
    </row>
    <row r="17">
      <c r="A17" s="7" t="inlineStr">
        <is>
          <t>Huancabamba</t>
        </is>
      </c>
      <c r="B17" s="7" t="inlineStr">
        <is>
          <t>Canchaque</t>
        </is>
      </c>
      <c r="C17" s="7" t="inlineStr">
        <is>
          <t>79</t>
        </is>
      </c>
      <c r="D17" s="7" t="inlineStr">
        <is>
          <t>C1076-Q9587</t>
        </is>
      </c>
      <c r="E17" s="8" t="n">
        <v>94.81</v>
      </c>
      <c r="F17" s="9" t="n">
        <v>650305</v>
      </c>
      <c r="G17" s="9" t="n">
        <v>9402785</v>
      </c>
      <c r="H17" s="7" t="inlineStr">
        <is>
          <t>A</t>
        </is>
      </c>
      <c r="I17" s="10" t="n">
        <v>0.5479000000000001</v>
      </c>
      <c r="J17" s="7" t="inlineStr">
        <is>
          <t>Alto</t>
        </is>
      </c>
      <c r="K17" s="10" t="n">
        <v>4.123</v>
      </c>
      <c r="L17" s="10" t="n">
        <v>0.92</v>
      </c>
      <c r="M17" s="7" t="inlineStr">
        <is>
          <t>No degradado</t>
        </is>
      </c>
      <c r="N17" s="7" t="inlineStr">
        <is>
          <t>D</t>
        </is>
      </c>
      <c r="O17" s="11" t="n">
        <v>29.692</v>
      </c>
      <c r="P17" s="7" t="inlineStr">
        <is>
          <t>Comunal</t>
        </is>
      </c>
      <c r="Q17" s="7" t="n">
        <v>0</v>
      </c>
      <c r="R17" s="7" t="inlineStr">
        <is>
          <t>Sí</t>
        </is>
      </c>
      <c r="S17" s="7" t="inlineStr">
        <is>
          <t>Sí</t>
        </is>
      </c>
      <c r="T17" s="7" t="inlineStr">
        <is>
          <t>Alto</t>
        </is>
      </c>
      <c r="U17" s="7" t="inlineStr">
        <is>
          <t>SP-019</t>
        </is>
      </c>
      <c r="V17" s="7" t="n">
        <v>0</v>
      </c>
    </row>
    <row r="18">
      <c r="A18" s="12" t="inlineStr">
        <is>
          <t>Huancabamba</t>
        </is>
      </c>
      <c r="B18" s="12" t="inlineStr">
        <is>
          <t>Canchaque</t>
        </is>
      </c>
      <c r="C18" s="12" t="inlineStr">
        <is>
          <t>81</t>
        </is>
      </c>
      <c r="D18" s="12" t="inlineStr">
        <is>
          <t>C1076-Q9585</t>
        </is>
      </c>
      <c r="E18" s="13" t="n">
        <v>8.93</v>
      </c>
      <c r="F18" s="14" t="n">
        <v>641538</v>
      </c>
      <c r="G18" s="14" t="n">
        <v>9401360</v>
      </c>
      <c r="H18" s="12" t="inlineStr">
        <is>
          <t>A</t>
        </is>
      </c>
      <c r="I18" s="15" t="n">
        <v>0.2747</v>
      </c>
      <c r="J18" s="12" t="inlineStr">
        <is>
          <t>Muy alto</t>
        </is>
      </c>
      <c r="K18" s="15" t="n">
        <v>4.577</v>
      </c>
      <c r="L18" s="15" t="n">
        <v>0.407</v>
      </c>
      <c r="M18" s="12" t="inlineStr">
        <is>
          <t>Moderado</t>
        </is>
      </c>
      <c r="N18" s="12" t="inlineStr">
        <is>
          <t>A</t>
        </is>
      </c>
      <c r="O18" s="16" t="n">
        <v>100</v>
      </c>
      <c r="P18" s="12" t="inlineStr">
        <is>
          <t>Comunal</t>
        </is>
      </c>
      <c r="Q18" s="12" t="n">
        <v>0</v>
      </c>
      <c r="R18" s="12" t="inlineStr">
        <is>
          <t>No</t>
        </is>
      </c>
      <c r="S18" s="12" t="inlineStr">
        <is>
          <t>Sí</t>
        </is>
      </c>
      <c r="T18" s="12" t="inlineStr">
        <is>
          <t>Alto</t>
        </is>
      </c>
      <c r="U18" s="12" t="inlineStr">
        <is>
          <t>SP-020</t>
        </is>
      </c>
      <c r="V18" s="12" t="n">
        <v>0</v>
      </c>
    </row>
    <row r="19">
      <c r="A19" s="7" t="inlineStr">
        <is>
          <t>Huancabamba</t>
        </is>
      </c>
      <c r="B19" s="7" t="inlineStr">
        <is>
          <t>Huancabamba</t>
        </is>
      </c>
      <c r="C19" s="7" t="inlineStr">
        <is>
          <t>64</t>
        </is>
      </c>
      <c r="D19" s="7" t="inlineStr">
        <is>
          <t>C1081-Q9591</t>
        </is>
      </c>
      <c r="E19" s="8" t="n">
        <v>35.77</v>
      </c>
      <c r="F19" s="9" t="n">
        <v>657819</v>
      </c>
      <c r="G19" s="9" t="n">
        <v>9428541</v>
      </c>
      <c r="H19" s="7" t="inlineStr">
        <is>
          <t>B</t>
        </is>
      </c>
      <c r="I19" s="10" t="n">
        <v>0.5254</v>
      </c>
      <c r="J19" s="7" t="inlineStr">
        <is>
          <t>Alto</t>
        </is>
      </c>
      <c r="K19" s="10" t="n">
        <v>3.821</v>
      </c>
      <c r="L19" s="10" t="n">
        <v>0.607</v>
      </c>
      <c r="M19" s="7" t="inlineStr">
        <is>
          <t>Leve</t>
        </is>
      </c>
      <c r="N19" s="7" t="inlineStr">
        <is>
          <t>D</t>
        </is>
      </c>
      <c r="O19" s="11" t="n">
        <v>41.484</v>
      </c>
      <c r="P19" s="7" t="inlineStr">
        <is>
          <t>Tierras del Estado y/o posesionarios</t>
        </is>
      </c>
      <c r="Q19" s="7" t="n">
        <v>0</v>
      </c>
      <c r="R19" s="7" t="inlineStr">
        <is>
          <t>No</t>
        </is>
      </c>
      <c r="S19" s="7" t="inlineStr">
        <is>
          <t>Sí</t>
        </is>
      </c>
      <c r="T19" s="7" t="inlineStr">
        <is>
          <t>Alto</t>
        </is>
      </c>
      <c r="U19" s="7" t="inlineStr">
        <is>
          <t>SP-021</t>
        </is>
      </c>
      <c r="V19" s="7" t="n">
        <v>0</v>
      </c>
    </row>
    <row r="20">
      <c r="A20" s="12" t="inlineStr">
        <is>
          <t>Huancabamba</t>
        </is>
      </c>
      <c r="B20" s="12" t="inlineStr">
        <is>
          <t>Huancabamba</t>
        </is>
      </c>
      <c r="C20" s="12" t="inlineStr">
        <is>
          <t>M30B5</t>
        </is>
      </c>
      <c r="D20" s="12" t="inlineStr">
        <is>
          <t>C1081-Q9591</t>
        </is>
      </c>
      <c r="E20" s="13" t="n">
        <v>90.90000000000001</v>
      </c>
      <c r="F20" s="14" t="n">
        <v>655263</v>
      </c>
      <c r="G20" s="14" t="n">
        <v>9427340</v>
      </c>
      <c r="H20" s="12" t="inlineStr">
        <is>
          <t>B</t>
        </is>
      </c>
      <c r="I20" s="15" t="n">
        <v>0.5564</v>
      </c>
      <c r="J20" s="12" t="inlineStr">
        <is>
          <t>Alto</t>
        </is>
      </c>
      <c r="K20" s="15" t="n">
        <v>3.797</v>
      </c>
      <c r="L20" s="15" t="n">
        <v>0.717</v>
      </c>
      <c r="M20" s="12" t="inlineStr">
        <is>
          <t>Leve</t>
        </is>
      </c>
      <c r="N20" s="12" t="inlineStr">
        <is>
          <t>D</t>
        </is>
      </c>
      <c r="O20" s="16" t="n">
        <v>33.031</v>
      </c>
      <c r="P20" s="12" t="inlineStr">
        <is>
          <t>Tierras del Estado y/o posesionarios</t>
        </is>
      </c>
      <c r="Q20" s="12" t="n">
        <v>0</v>
      </c>
      <c r="R20" s="12" t="inlineStr">
        <is>
          <t>Ref.</t>
        </is>
      </c>
      <c r="S20" s="12" t="inlineStr">
        <is>
          <t>No</t>
        </is>
      </c>
      <c r="T20" s="12" t="inlineStr">
        <is>
          <t>Alto</t>
        </is>
      </c>
      <c r="U20" s="12" t="inlineStr">
        <is>
          <t>SP-022</t>
        </is>
      </c>
      <c r="V20" s="12" t="n">
        <v>1</v>
      </c>
    </row>
    <row r="21">
      <c r="A21" s="7" t="inlineStr">
        <is>
          <t>Huancabamba</t>
        </is>
      </c>
      <c r="B21" s="7" t="inlineStr">
        <is>
          <t>Huarmaca</t>
        </is>
      </c>
      <c r="C21" s="7" t="inlineStr">
        <is>
          <t>10</t>
        </is>
      </c>
      <c r="D21" s="7" t="inlineStr">
        <is>
          <t>C1076-Q9593</t>
        </is>
      </c>
      <c r="E21" s="8" t="n">
        <v>150.21</v>
      </c>
      <c r="F21" s="9" t="n">
        <v>650830</v>
      </c>
      <c r="G21" s="9" t="n">
        <v>9382303</v>
      </c>
      <c r="H21" s="7" t="inlineStr">
        <is>
          <t>B</t>
        </is>
      </c>
      <c r="I21" s="10" t="n">
        <v>0.5465</v>
      </c>
      <c r="J21" s="7" t="inlineStr">
        <is>
          <t>Muy alto</t>
        </is>
      </c>
      <c r="K21" s="10" t="n">
        <v>4.218</v>
      </c>
      <c r="L21" s="10" t="n">
        <v>0.781</v>
      </c>
      <c r="M21" s="7" t="inlineStr">
        <is>
          <t>Leve</t>
        </is>
      </c>
      <c r="N21" s="7" t="inlineStr">
        <is>
          <t>D</t>
        </is>
      </c>
      <c r="O21" s="11" t="n">
        <v>28.512</v>
      </c>
      <c r="P21" s="7" t="inlineStr">
        <is>
          <t>Tierras del Estado y/o posesionarios</t>
        </is>
      </c>
      <c r="Q21" s="7" t="n">
        <v>0</v>
      </c>
      <c r="R21" s="7" t="inlineStr">
        <is>
          <t>Sí</t>
        </is>
      </c>
      <c r="S21" s="7" t="inlineStr">
        <is>
          <t>No</t>
        </is>
      </c>
      <c r="T21" s="7" t="inlineStr">
        <is>
          <t>Alto</t>
        </is>
      </c>
      <c r="U21" s="7" t="inlineStr">
        <is>
          <t>SP-025</t>
        </is>
      </c>
      <c r="V21" s="7" t="n">
        <v>1</v>
      </c>
    </row>
    <row r="22">
      <c r="A22" s="12" t="inlineStr">
        <is>
          <t>Huancabamba</t>
        </is>
      </c>
      <c r="B22" s="12" t="inlineStr">
        <is>
          <t>Huarmaca</t>
        </is>
      </c>
      <c r="C22" s="12" t="inlineStr">
        <is>
          <t>16</t>
        </is>
      </c>
      <c r="D22" s="12" t="inlineStr">
        <is>
          <t>C1076-Q9593</t>
        </is>
      </c>
      <c r="E22" s="13" t="n">
        <v>83.33</v>
      </c>
      <c r="F22" s="14" t="n">
        <v>652939</v>
      </c>
      <c r="G22" s="14" t="n">
        <v>9382105</v>
      </c>
      <c r="H22" s="12" t="inlineStr">
        <is>
          <t>B</t>
        </is>
      </c>
      <c r="I22" s="15" t="n">
        <v>0.6284</v>
      </c>
      <c r="J22" s="12" t="inlineStr">
        <is>
          <t>Bajo</t>
        </is>
      </c>
      <c r="K22" s="15" t="n">
        <v>2.476</v>
      </c>
      <c r="L22" s="15" t="n">
        <v>0.887</v>
      </c>
      <c r="M22" s="12" t="inlineStr">
        <is>
          <t>No degradado</t>
        </is>
      </c>
      <c r="N22" s="12" t="inlineStr">
        <is>
          <t>D</t>
        </is>
      </c>
      <c r="O22" s="16" t="n">
        <v>7.298</v>
      </c>
      <c r="P22" s="12" t="inlineStr">
        <is>
          <t>Tierras del Estado y/o posesionarios</t>
        </is>
      </c>
      <c r="Q22" s="12" t="n">
        <v>0</v>
      </c>
      <c r="R22" s="12" t="inlineStr">
        <is>
          <t>Ref.</t>
        </is>
      </c>
      <c r="S22" s="12" t="inlineStr">
        <is>
          <t>No</t>
        </is>
      </c>
      <c r="T22" s="12" t="inlineStr">
        <is>
          <t>Bajo</t>
        </is>
      </c>
      <c r="U22" s="12" t="inlineStr">
        <is>
          <t>SP-026</t>
        </is>
      </c>
      <c r="V22" s="12" t="n">
        <v>0</v>
      </c>
    </row>
    <row r="23">
      <c r="A23" s="7" t="inlineStr">
        <is>
          <t>Huancabamba</t>
        </is>
      </c>
      <c r="B23" s="7" t="inlineStr">
        <is>
          <t>Huarmaca</t>
        </is>
      </c>
      <c r="C23" s="7" t="inlineStr">
        <is>
          <t>18</t>
        </is>
      </c>
      <c r="D23" s="7" t="inlineStr">
        <is>
          <t>C1076-Q9592</t>
        </is>
      </c>
      <c r="E23" s="8" t="n">
        <v>103.62</v>
      </c>
      <c r="F23" s="9" t="n">
        <v>656445</v>
      </c>
      <c r="G23" s="9" t="n">
        <v>9393180</v>
      </c>
      <c r="H23" s="7" t="inlineStr">
        <is>
          <t>B</t>
        </is>
      </c>
      <c r="I23" s="10" t="n">
        <v>0.6402</v>
      </c>
      <c r="J23" s="7" t="inlineStr">
        <is>
          <t>Alto</t>
        </is>
      </c>
      <c r="K23" s="10" t="n">
        <v>3.771</v>
      </c>
      <c r="L23" s="10" t="n">
        <v>0.851</v>
      </c>
      <c r="M23" s="7" t="inlineStr">
        <is>
          <t>No degradado</t>
        </is>
      </c>
      <c r="N23" s="7" t="inlineStr">
        <is>
          <t>D</t>
        </is>
      </c>
      <c r="O23" s="11" t="n">
        <v>3.002</v>
      </c>
      <c r="P23" s="7" t="inlineStr">
        <is>
          <t>Parcialmente privada</t>
        </is>
      </c>
      <c r="Q23" s="7" t="n">
        <v>7</v>
      </c>
      <c r="R23" s="7" t="inlineStr">
        <is>
          <t>No</t>
        </is>
      </c>
      <c r="S23" s="7" t="inlineStr">
        <is>
          <t>No</t>
        </is>
      </c>
      <c r="T23" s="7" t="inlineStr">
        <is>
          <t>Alto</t>
        </is>
      </c>
      <c r="U23" s="7" t="inlineStr">
        <is>
          <t>SP-027</t>
        </is>
      </c>
      <c r="V23" s="7" t="n">
        <v>1</v>
      </c>
    </row>
    <row r="24">
      <c r="A24" s="12" t="inlineStr">
        <is>
          <t>Huancabamba</t>
        </is>
      </c>
      <c r="B24" s="12" t="inlineStr">
        <is>
          <t>Huarmaca</t>
        </is>
      </c>
      <c r="C24" s="12" t="inlineStr">
        <is>
          <t>19</t>
        </is>
      </c>
      <c r="D24" s="12" t="inlineStr">
        <is>
          <t>C1076-Q9592</t>
        </is>
      </c>
      <c r="E24" s="13" t="n">
        <v>82.09</v>
      </c>
      <c r="F24" s="14" t="n">
        <v>665942</v>
      </c>
      <c r="G24" s="14" t="n">
        <v>9391144</v>
      </c>
      <c r="H24" s="12" t="inlineStr">
        <is>
          <t>B</t>
        </is>
      </c>
      <c r="I24" s="15" t="n">
        <v>0.5372</v>
      </c>
      <c r="J24" s="12" t="inlineStr">
        <is>
          <t>Muy alto</t>
        </is>
      </c>
      <c r="K24" s="15" t="n">
        <v>4.337</v>
      </c>
      <c r="L24" s="15" t="n">
        <v>0.6840000000000001</v>
      </c>
      <c r="M24" s="12" t="inlineStr">
        <is>
          <t>Leve</t>
        </is>
      </c>
      <c r="N24" s="12" t="inlineStr">
        <is>
          <t>D</t>
        </is>
      </c>
      <c r="O24" s="16" t="n">
        <v>42.633</v>
      </c>
      <c r="P24" s="12" t="inlineStr">
        <is>
          <t>Comunal</t>
        </is>
      </c>
      <c r="Q24" s="12" t="n">
        <v>0</v>
      </c>
      <c r="R24" s="12" t="inlineStr">
        <is>
          <t>Sí</t>
        </is>
      </c>
      <c r="S24" s="12" t="inlineStr">
        <is>
          <t>No</t>
        </is>
      </c>
      <c r="T24" s="12" t="inlineStr">
        <is>
          <t>Alto</t>
        </is>
      </c>
      <c r="U24" s="12" t="inlineStr">
        <is>
          <t>SP-028</t>
        </is>
      </c>
      <c r="V24" s="12" t="n">
        <v>0</v>
      </c>
    </row>
    <row r="25">
      <c r="A25" s="7" t="inlineStr">
        <is>
          <t>Huancabamba</t>
        </is>
      </c>
      <c r="B25" s="7" t="inlineStr">
        <is>
          <t>Huarmaca</t>
        </is>
      </c>
      <c r="C25" s="7" t="inlineStr">
        <is>
          <t>20</t>
        </is>
      </c>
      <c r="D25" s="7" t="inlineStr">
        <is>
          <t>C1076-Q9593</t>
        </is>
      </c>
      <c r="E25" s="8" t="n">
        <v>81.33</v>
      </c>
      <c r="F25" s="9" t="n">
        <v>649847</v>
      </c>
      <c r="G25" s="9" t="n">
        <v>9376260</v>
      </c>
      <c r="H25" s="7" t="inlineStr">
        <is>
          <t>B</t>
        </is>
      </c>
      <c r="I25" s="10" t="n">
        <v>0.4851</v>
      </c>
      <c r="J25" s="7" t="inlineStr">
        <is>
          <t>Alto</t>
        </is>
      </c>
      <c r="K25" s="10" t="n">
        <v>3.913</v>
      </c>
      <c r="L25" s="10" t="n">
        <v>0.631</v>
      </c>
      <c r="M25" s="7" t="inlineStr">
        <is>
          <t>Leve</t>
        </is>
      </c>
      <c r="N25" s="7" t="inlineStr">
        <is>
          <t>D</t>
        </is>
      </c>
      <c r="O25" s="11" t="n">
        <v>59.226</v>
      </c>
      <c r="P25" s="7" t="inlineStr">
        <is>
          <t>Tierras del Estado y/o posesionarios</t>
        </is>
      </c>
      <c r="Q25" s="7" t="n">
        <v>0</v>
      </c>
      <c r="R25" s="7" t="inlineStr">
        <is>
          <t>No</t>
        </is>
      </c>
      <c r="S25" s="7" t="inlineStr">
        <is>
          <t>Sí</t>
        </is>
      </c>
      <c r="T25" s="7" t="inlineStr">
        <is>
          <t>Alto</t>
        </is>
      </c>
      <c r="U25" s="7" t="inlineStr">
        <is>
          <t>SP-029</t>
        </is>
      </c>
      <c r="V25" s="7" t="n">
        <v>0</v>
      </c>
    </row>
    <row r="26">
      <c r="A26" s="12" t="inlineStr">
        <is>
          <t>Huancabamba</t>
        </is>
      </c>
      <c r="B26" s="12" t="inlineStr">
        <is>
          <t>Huarmaca</t>
        </is>
      </c>
      <c r="C26" s="12" t="inlineStr">
        <is>
          <t>31</t>
        </is>
      </c>
      <c r="D26" s="12" t="inlineStr">
        <is>
          <t>C1076-Q9592</t>
        </is>
      </c>
      <c r="E26" s="13" t="n">
        <v>47.58</v>
      </c>
      <c r="F26" s="14" t="n">
        <v>663334</v>
      </c>
      <c r="G26" s="14" t="n">
        <v>9392820</v>
      </c>
      <c r="H26" s="12" t="inlineStr">
        <is>
          <t>B</t>
        </is>
      </c>
      <c r="I26" s="15" t="n">
        <v>0.4358</v>
      </c>
      <c r="J26" s="12" t="inlineStr">
        <is>
          <t>Alto</t>
        </is>
      </c>
      <c r="K26" s="15" t="n">
        <v>3.725</v>
      </c>
      <c r="L26" s="15" t="n">
        <v>0.515</v>
      </c>
      <c r="M26" s="12" t="inlineStr">
        <is>
          <t>Moderado</t>
        </is>
      </c>
      <c r="N26" s="12" t="inlineStr">
        <is>
          <t>C</t>
        </is>
      </c>
      <c r="O26" s="16" t="n">
        <v>78.416</v>
      </c>
      <c r="P26" s="12" t="inlineStr">
        <is>
          <t>Tierras del Estado y/o posesionarios</t>
        </is>
      </c>
      <c r="Q26" s="12" t="n">
        <v>7</v>
      </c>
      <c r="R26" s="12" t="inlineStr">
        <is>
          <t>Sí</t>
        </is>
      </c>
      <c r="S26" s="12" t="inlineStr">
        <is>
          <t>No</t>
        </is>
      </c>
      <c r="T26" s="12" t="inlineStr">
        <is>
          <t>Alto</t>
        </is>
      </c>
      <c r="U26" s="12" t="inlineStr">
        <is>
          <t>SP-030</t>
        </is>
      </c>
      <c r="V26" s="12" t="n">
        <v>0</v>
      </c>
    </row>
    <row r="27">
      <c r="A27" s="7" t="inlineStr">
        <is>
          <t>Huancabamba</t>
        </is>
      </c>
      <c r="B27" s="7" t="inlineStr">
        <is>
          <t>Huarmaca</t>
        </is>
      </c>
      <c r="C27" s="7" t="inlineStr">
        <is>
          <t>4</t>
        </is>
      </c>
      <c r="D27" s="7" t="inlineStr">
        <is>
          <t>C1076-Q9588</t>
        </is>
      </c>
      <c r="E27" s="8" t="n">
        <v>230.1</v>
      </c>
      <c r="F27" s="9" t="n">
        <v>656549</v>
      </c>
      <c r="G27" s="9" t="n">
        <v>9382009</v>
      </c>
      <c r="H27" s="7" t="inlineStr">
        <is>
          <t>B</t>
        </is>
      </c>
      <c r="I27" s="10" t="n">
        <v>0.6601</v>
      </c>
      <c r="J27" s="7" t="inlineStr">
        <is>
          <t>Medio</t>
        </is>
      </c>
      <c r="K27" s="10" t="n">
        <v>3.327</v>
      </c>
      <c r="L27" s="10" t="n">
        <v>0.839</v>
      </c>
      <c r="M27" s="7" t="inlineStr">
        <is>
          <t>No degradado</t>
        </is>
      </c>
      <c r="N27" s="7" t="inlineStr">
        <is>
          <t>D</t>
        </is>
      </c>
      <c r="O27" s="11" t="n">
        <v>9.226000000000001</v>
      </c>
      <c r="P27" s="7" t="inlineStr">
        <is>
          <t>Parcialmente privada</t>
        </is>
      </c>
      <c r="Q27" s="7" t="n">
        <v>37</v>
      </c>
      <c r="R27" s="7" t="inlineStr">
        <is>
          <t>No</t>
        </is>
      </c>
      <c r="S27" s="7" t="inlineStr">
        <is>
          <t>No</t>
        </is>
      </c>
      <c r="T27" s="7" t="inlineStr">
        <is>
          <t>Medio</t>
        </is>
      </c>
      <c r="U27" s="7" t="inlineStr">
        <is>
          <t>SP-023</t>
        </is>
      </c>
      <c r="V27" s="7" t="n">
        <v>1</v>
      </c>
    </row>
    <row r="28">
      <c r="A28" s="12" t="inlineStr">
        <is>
          <t>Huancabamba</t>
        </is>
      </c>
      <c r="B28" s="12" t="inlineStr">
        <is>
          <t>Huarmaca</t>
        </is>
      </c>
      <c r="C28" s="12" t="inlineStr">
        <is>
          <t>41</t>
        </is>
      </c>
      <c r="D28" s="12" t="inlineStr">
        <is>
          <t>C1076-Q9592</t>
        </is>
      </c>
      <c r="E28" s="13" t="n">
        <v>64.92</v>
      </c>
      <c r="F28" s="14" t="n">
        <v>660525</v>
      </c>
      <c r="G28" s="14" t="n">
        <v>9394327</v>
      </c>
      <c r="H28" s="12" t="inlineStr">
        <is>
          <t>B</t>
        </is>
      </c>
      <c r="I28" s="15" t="n">
        <v>0.5927</v>
      </c>
      <c r="J28" s="12" t="inlineStr">
        <is>
          <t>Alto</t>
        </is>
      </c>
      <c r="K28" s="15" t="n">
        <v>3.684</v>
      </c>
      <c r="L28" s="15" t="n">
        <v>0.874</v>
      </c>
      <c r="M28" s="12" t="inlineStr">
        <is>
          <t>No degradado</t>
        </is>
      </c>
      <c r="N28" s="12" t="inlineStr">
        <is>
          <t>D</t>
        </is>
      </c>
      <c r="O28" s="16" t="n">
        <v>12.262</v>
      </c>
      <c r="P28" s="12" t="inlineStr">
        <is>
          <t>Parcialmente privada</t>
        </is>
      </c>
      <c r="Q28" s="12" t="n">
        <v>10</v>
      </c>
      <c r="R28" s="12" t="inlineStr">
        <is>
          <t>No</t>
        </is>
      </c>
      <c r="S28" s="12" t="inlineStr">
        <is>
          <t>No</t>
        </is>
      </c>
      <c r="T28" s="12" t="inlineStr">
        <is>
          <t>Alto</t>
        </is>
      </c>
      <c r="U28" s="12" t="inlineStr">
        <is>
          <t>SP-031</t>
        </is>
      </c>
      <c r="V28" s="12" t="n">
        <v>0</v>
      </c>
    </row>
    <row r="29">
      <c r="A29" s="7" t="inlineStr">
        <is>
          <t>Huancabamba</t>
        </is>
      </c>
      <c r="B29" s="7" t="inlineStr">
        <is>
          <t>Huarmaca</t>
        </is>
      </c>
      <c r="C29" s="7" t="inlineStr">
        <is>
          <t>51</t>
        </is>
      </c>
      <c r="D29" s="7" t="inlineStr">
        <is>
          <t>C1076-Q9593</t>
        </is>
      </c>
      <c r="E29" s="8" t="n">
        <v>22.93</v>
      </c>
      <c r="F29" s="9" t="n">
        <v>656291</v>
      </c>
      <c r="G29" s="9" t="n">
        <v>9379096</v>
      </c>
      <c r="H29" s="7" t="inlineStr">
        <is>
          <t>B</t>
        </is>
      </c>
      <c r="I29" s="10" t="n">
        <v>0.5238</v>
      </c>
      <c r="J29" s="7" t="inlineStr">
        <is>
          <t>Alto</t>
        </is>
      </c>
      <c r="K29" s="10" t="n">
        <v>3.946</v>
      </c>
      <c r="L29" s="10" t="n">
        <v>0.8129999999999999</v>
      </c>
      <c r="M29" s="7" t="inlineStr">
        <is>
          <t>No degradado</t>
        </is>
      </c>
      <c r="N29" s="7" t="inlineStr">
        <is>
          <t>D</t>
        </is>
      </c>
      <c r="O29" s="11" t="n">
        <v>34.631</v>
      </c>
      <c r="P29" s="7" t="inlineStr">
        <is>
          <t>Parcialmente privada</t>
        </is>
      </c>
      <c r="Q29" s="7" t="n">
        <v>12</v>
      </c>
      <c r="R29" s="7" t="inlineStr">
        <is>
          <t>No</t>
        </is>
      </c>
      <c r="S29" s="7" t="inlineStr">
        <is>
          <t>No</t>
        </is>
      </c>
      <c r="T29" s="7" t="inlineStr">
        <is>
          <t>Alto</t>
        </is>
      </c>
      <c r="U29" s="7" t="inlineStr">
        <is>
          <t>SP-032</t>
        </is>
      </c>
      <c r="V29" s="7" t="n">
        <v>0</v>
      </c>
    </row>
    <row r="30">
      <c r="A30" s="12" t="inlineStr">
        <is>
          <t>Huancabamba</t>
        </is>
      </c>
      <c r="B30" s="12" t="inlineStr">
        <is>
          <t>Huarmaca</t>
        </is>
      </c>
      <c r="C30" s="12" t="inlineStr">
        <is>
          <t>53</t>
        </is>
      </c>
      <c r="D30" s="12" t="inlineStr">
        <is>
          <t>C1076-Q9592</t>
        </is>
      </c>
      <c r="E30" s="13" t="n">
        <v>13.06</v>
      </c>
      <c r="F30" s="14" t="n">
        <v>666537</v>
      </c>
      <c r="G30" s="14" t="n">
        <v>9395918</v>
      </c>
      <c r="H30" s="12" t="inlineStr">
        <is>
          <t>B</t>
        </is>
      </c>
      <c r="I30" s="15" t="n">
        <v>0.5963000000000001</v>
      </c>
      <c r="J30" s="12" t="inlineStr">
        <is>
          <t>Alto</t>
        </is>
      </c>
      <c r="K30" s="15" t="n">
        <v>3.615</v>
      </c>
      <c r="L30" s="15" t="n">
        <v>0.784</v>
      </c>
      <c r="M30" s="12" t="inlineStr">
        <is>
          <t>Leve</t>
        </is>
      </c>
      <c r="N30" s="12" t="inlineStr">
        <is>
          <t>D</t>
        </is>
      </c>
      <c r="O30" s="16" t="n">
        <v>12.447</v>
      </c>
      <c r="P30" s="12" t="inlineStr">
        <is>
          <t>Parcialmente privada</t>
        </is>
      </c>
      <c r="Q30" s="12" t="n">
        <v>5</v>
      </c>
      <c r="R30" s="12" t="inlineStr">
        <is>
          <t>No</t>
        </is>
      </c>
      <c r="S30" s="12" t="inlineStr">
        <is>
          <t>No</t>
        </is>
      </c>
      <c r="T30" s="12" t="inlineStr">
        <is>
          <t>Alto</t>
        </is>
      </c>
      <c r="U30" s="12" t="inlineStr">
        <is>
          <t>SP-033</t>
        </is>
      </c>
      <c r="V30" s="12" t="n">
        <v>0</v>
      </c>
    </row>
    <row r="31">
      <c r="A31" s="7" t="inlineStr">
        <is>
          <t>Huancabamba</t>
        </is>
      </c>
      <c r="B31" s="7" t="inlineStr">
        <is>
          <t>Huarmaca</t>
        </is>
      </c>
      <c r="C31" s="7" t="inlineStr">
        <is>
          <t>69</t>
        </is>
      </c>
      <c r="D31" s="7" t="inlineStr">
        <is>
          <t>C1076-Q9592</t>
        </is>
      </c>
      <c r="E31" s="8" t="n">
        <v>19.43</v>
      </c>
      <c r="F31" s="9" t="n">
        <v>663291</v>
      </c>
      <c r="G31" s="9" t="n">
        <v>9392332</v>
      </c>
      <c r="H31" s="7" t="inlineStr">
        <is>
          <t>B</t>
        </is>
      </c>
      <c r="I31" s="10" t="n">
        <v>0.4489</v>
      </c>
      <c r="J31" s="7" t="inlineStr">
        <is>
          <t>Alto</t>
        </is>
      </c>
      <c r="K31" s="10" t="n">
        <v>3.487</v>
      </c>
      <c r="L31" s="10" t="n">
        <v>0.588</v>
      </c>
      <c r="M31" s="7" t="inlineStr">
        <is>
          <t>Moderado</t>
        </is>
      </c>
      <c r="N31" s="7" t="inlineStr">
        <is>
          <t>C</t>
        </is>
      </c>
      <c r="O31" s="11" t="n">
        <v>81.276</v>
      </c>
      <c r="P31" s="7" t="inlineStr">
        <is>
          <t>Parcialmente privada</t>
        </is>
      </c>
      <c r="Q31" s="7" t="n">
        <v>3</v>
      </c>
      <c r="R31" s="7" t="inlineStr">
        <is>
          <t>No</t>
        </is>
      </c>
      <c r="S31" s="7" t="inlineStr">
        <is>
          <t>No</t>
        </is>
      </c>
      <c r="T31" s="7" t="inlineStr">
        <is>
          <t>Alto</t>
        </is>
      </c>
      <c r="U31" s="7" t="inlineStr">
        <is>
          <t>SP-034</t>
        </is>
      </c>
      <c r="V31" s="7" t="n">
        <v>0</v>
      </c>
    </row>
    <row r="32">
      <c r="A32" s="12" t="inlineStr">
        <is>
          <t>Huancabamba</t>
        </is>
      </c>
      <c r="B32" s="12" t="inlineStr">
        <is>
          <t>Huarmaca</t>
        </is>
      </c>
      <c r="C32" s="12" t="inlineStr">
        <is>
          <t>70</t>
        </is>
      </c>
      <c r="D32" s="12" t="inlineStr">
        <is>
          <t>C1076-Q9592</t>
        </is>
      </c>
      <c r="E32" s="13" t="n">
        <v>22.39</v>
      </c>
      <c r="F32" s="14" t="n">
        <v>666781</v>
      </c>
      <c r="G32" s="14" t="n">
        <v>9395573</v>
      </c>
      <c r="H32" s="12" t="inlineStr">
        <is>
          <t>B</t>
        </is>
      </c>
      <c r="I32" s="15" t="n">
        <v>0.6223</v>
      </c>
      <c r="J32" s="12" t="inlineStr">
        <is>
          <t>Medio</t>
        </is>
      </c>
      <c r="K32" s="15" t="n">
        <v>3.369</v>
      </c>
      <c r="L32" s="15" t="n">
        <v>0.819</v>
      </c>
      <c r="M32" s="12" t="inlineStr">
        <is>
          <t>No degradado</t>
        </is>
      </c>
      <c r="N32" s="12" t="inlineStr">
        <is>
          <t>D</t>
        </is>
      </c>
      <c r="O32" s="16" t="n">
        <v>4.868</v>
      </c>
      <c r="P32" s="12" t="inlineStr">
        <is>
          <t>Parcialmente privada</t>
        </is>
      </c>
      <c r="Q32" s="12" t="n">
        <v>6</v>
      </c>
      <c r="R32" s="12" t="inlineStr">
        <is>
          <t>No</t>
        </is>
      </c>
      <c r="S32" s="12" t="inlineStr">
        <is>
          <t>No</t>
        </is>
      </c>
      <c r="T32" s="12" t="inlineStr">
        <is>
          <t>Medio</t>
        </is>
      </c>
      <c r="U32" s="12" t="inlineStr">
        <is>
          <t>SP-035</t>
        </is>
      </c>
      <c r="V32" s="12" t="n">
        <v>0</v>
      </c>
    </row>
    <row r="33">
      <c r="A33" s="7" t="inlineStr">
        <is>
          <t>Huancabamba</t>
        </is>
      </c>
      <c r="B33" s="7" t="inlineStr">
        <is>
          <t>Huarmaca</t>
        </is>
      </c>
      <c r="C33" s="7" t="inlineStr">
        <is>
          <t>71</t>
        </is>
      </c>
      <c r="D33" s="7" t="inlineStr">
        <is>
          <t>C1076-Q9593</t>
        </is>
      </c>
      <c r="E33" s="8" t="n">
        <v>10.67</v>
      </c>
      <c r="F33" s="9" t="n">
        <v>652104</v>
      </c>
      <c r="G33" s="9" t="n">
        <v>9373045</v>
      </c>
      <c r="H33" s="7" t="inlineStr">
        <is>
          <t>B</t>
        </is>
      </c>
      <c r="I33" s="10" t="n">
        <v>0.5571</v>
      </c>
      <c r="J33" s="7" t="inlineStr">
        <is>
          <t>Medio</t>
        </is>
      </c>
      <c r="K33" s="10" t="n">
        <v>3.256</v>
      </c>
      <c r="L33" s="10" t="n">
        <v>0.736</v>
      </c>
      <c r="M33" s="7" t="inlineStr">
        <is>
          <t>Leve</t>
        </is>
      </c>
      <c r="N33" s="7" t="inlineStr">
        <is>
          <t>D</t>
        </is>
      </c>
      <c r="O33" s="11" t="n">
        <v>25.938</v>
      </c>
      <c r="P33" s="7" t="inlineStr">
        <is>
          <t>Tierras del Estado y/o posesionarios</t>
        </is>
      </c>
      <c r="Q33" s="7" t="n">
        <v>0</v>
      </c>
      <c r="R33" s="7" t="inlineStr">
        <is>
          <t>No</t>
        </is>
      </c>
      <c r="S33" s="7" t="inlineStr">
        <is>
          <t>Sí</t>
        </is>
      </c>
      <c r="T33" s="7" t="inlineStr">
        <is>
          <t>Alto</t>
        </is>
      </c>
      <c r="U33" s="7" t="inlineStr">
        <is>
          <t>SP-036</t>
        </is>
      </c>
      <c r="V33" s="7" t="n">
        <v>0</v>
      </c>
    </row>
    <row r="34">
      <c r="A34" s="12" t="inlineStr">
        <is>
          <t>Huancabamba</t>
        </is>
      </c>
      <c r="B34" s="12" t="inlineStr">
        <is>
          <t>Huarmaca</t>
        </is>
      </c>
      <c r="C34" s="12" t="inlineStr">
        <is>
          <t>72</t>
        </is>
      </c>
      <c r="D34" s="12" t="inlineStr">
        <is>
          <t>C1076-Q9592</t>
        </is>
      </c>
      <c r="E34" s="13" t="n">
        <v>12.4</v>
      </c>
      <c r="F34" s="14" t="n">
        <v>662236</v>
      </c>
      <c r="G34" s="14" t="n">
        <v>9391211</v>
      </c>
      <c r="H34" s="12" t="inlineStr">
        <is>
          <t>B</t>
        </is>
      </c>
      <c r="I34" s="15" t="n">
        <v>0.5185</v>
      </c>
      <c r="J34" s="12" t="inlineStr">
        <is>
          <t>Alto</t>
        </is>
      </c>
      <c r="K34" s="15" t="n">
        <v>4.062</v>
      </c>
      <c r="L34" s="15" t="n">
        <v>0.762</v>
      </c>
      <c r="M34" s="12" t="inlineStr">
        <is>
          <t>Leve</t>
        </is>
      </c>
      <c r="N34" s="12" t="inlineStr">
        <is>
          <t>D</t>
        </is>
      </c>
      <c r="O34" s="16" t="n">
        <v>41.354</v>
      </c>
      <c r="P34" s="12" t="inlineStr">
        <is>
          <t>Privada</t>
        </is>
      </c>
      <c r="Q34" s="12" t="n">
        <v>17</v>
      </c>
      <c r="R34" s="12" t="inlineStr">
        <is>
          <t>No</t>
        </is>
      </c>
      <c r="S34" s="12" t="inlineStr">
        <is>
          <t>No</t>
        </is>
      </c>
      <c r="T34" s="12" t="inlineStr">
        <is>
          <t>Alto</t>
        </is>
      </c>
      <c r="U34" s="12" t="inlineStr">
        <is>
          <t>SP-037</t>
        </is>
      </c>
      <c r="V34" s="12" t="n">
        <v>0</v>
      </c>
    </row>
    <row r="35">
      <c r="A35" s="7" t="inlineStr">
        <is>
          <t>Huancabamba</t>
        </is>
      </c>
      <c r="B35" s="7" t="inlineStr">
        <is>
          <t>Huarmaca</t>
        </is>
      </c>
      <c r="C35" s="7" t="inlineStr">
        <is>
          <t>73</t>
        </is>
      </c>
      <c r="D35" s="7" t="inlineStr">
        <is>
          <t>C1076-Q9592</t>
        </is>
      </c>
      <c r="E35" s="8" t="n">
        <v>54.29</v>
      </c>
      <c r="F35" s="9" t="n">
        <v>658547</v>
      </c>
      <c r="G35" s="9" t="n">
        <v>9395594</v>
      </c>
      <c r="H35" s="7" t="inlineStr">
        <is>
          <t>B</t>
        </is>
      </c>
      <c r="I35" s="10" t="n">
        <v>0.555</v>
      </c>
      <c r="J35" s="7" t="inlineStr">
        <is>
          <t>Alto</t>
        </is>
      </c>
      <c r="K35" s="10" t="n">
        <v>3.789</v>
      </c>
      <c r="L35" s="10" t="n">
        <v>0.843</v>
      </c>
      <c r="M35" s="7" t="inlineStr">
        <is>
          <t>No degradado</t>
        </is>
      </c>
      <c r="N35" s="7" t="inlineStr">
        <is>
          <t>D</t>
        </is>
      </c>
      <c r="O35" s="11" t="n">
        <v>18.936</v>
      </c>
      <c r="P35" s="7" t="inlineStr">
        <is>
          <t>Parcialmente privada</t>
        </is>
      </c>
      <c r="Q35" s="7" t="n">
        <v>15</v>
      </c>
      <c r="R35" s="7" t="inlineStr">
        <is>
          <t>No</t>
        </is>
      </c>
      <c r="S35" s="7" t="inlineStr">
        <is>
          <t>No</t>
        </is>
      </c>
      <c r="T35" s="7" t="inlineStr">
        <is>
          <t>Alto</t>
        </is>
      </c>
      <c r="U35" s="7" t="inlineStr">
        <is>
          <t>SP-038</t>
        </is>
      </c>
      <c r="V35" s="7" t="n">
        <v>0</v>
      </c>
    </row>
    <row r="36">
      <c r="A36" s="12" t="inlineStr">
        <is>
          <t>Huancabamba</t>
        </is>
      </c>
      <c r="B36" s="12" t="inlineStr">
        <is>
          <t>Huarmaca</t>
        </is>
      </c>
      <c r="C36" s="12" t="inlineStr">
        <is>
          <t>76</t>
        </is>
      </c>
      <c r="D36" s="12" t="inlineStr">
        <is>
          <t>C1076-Q9593</t>
        </is>
      </c>
      <c r="E36" s="13" t="n">
        <v>19.62</v>
      </c>
      <c r="F36" s="14" t="n">
        <v>657922</v>
      </c>
      <c r="G36" s="14" t="n">
        <v>9377477</v>
      </c>
      <c r="H36" s="12" t="inlineStr">
        <is>
          <t>B</t>
        </is>
      </c>
      <c r="I36" s="15" t="n">
        <v>0.4925</v>
      </c>
      <c r="J36" s="12" t="inlineStr">
        <is>
          <t>Muy alto</t>
        </is>
      </c>
      <c r="K36" s="15" t="n">
        <v>4.32</v>
      </c>
      <c r="L36" s="15" t="n">
        <v>0.592</v>
      </c>
      <c r="M36" s="12" t="inlineStr">
        <is>
          <t>Moderado</t>
        </is>
      </c>
      <c r="N36" s="12" t="inlineStr">
        <is>
          <t>D</t>
        </is>
      </c>
      <c r="O36" s="16" t="n">
        <v>54.139</v>
      </c>
      <c r="P36" s="12" t="inlineStr">
        <is>
          <t>Parcialmente privada</t>
        </is>
      </c>
      <c r="Q36" s="12" t="n">
        <v>10</v>
      </c>
      <c r="R36" s="12" t="inlineStr">
        <is>
          <t>Sí</t>
        </is>
      </c>
      <c r="S36" s="12" t="inlineStr">
        <is>
          <t>No</t>
        </is>
      </c>
      <c r="T36" s="12" t="inlineStr">
        <is>
          <t>Alto</t>
        </is>
      </c>
      <c r="U36" s="12" t="inlineStr">
        <is>
          <t>SP-039</t>
        </is>
      </c>
      <c r="V36" s="12" t="n">
        <v>0</v>
      </c>
    </row>
    <row r="37">
      <c r="A37" s="7" t="inlineStr">
        <is>
          <t>Huancabamba</t>
        </is>
      </c>
      <c r="B37" s="7" t="inlineStr">
        <is>
          <t>Huarmaca</t>
        </is>
      </c>
      <c r="C37" s="7" t="inlineStr">
        <is>
          <t>8</t>
        </is>
      </c>
      <c r="D37" s="7" t="inlineStr">
        <is>
          <t>C1076-Q9593</t>
        </is>
      </c>
      <c r="E37" s="8" t="n">
        <v>126.95</v>
      </c>
      <c r="F37" s="9" t="n">
        <v>651673</v>
      </c>
      <c r="G37" s="9" t="n">
        <v>9373383</v>
      </c>
      <c r="H37" s="7" t="inlineStr">
        <is>
          <t>B</t>
        </is>
      </c>
      <c r="I37" s="10" t="n">
        <v>0.5548</v>
      </c>
      <c r="J37" s="7" t="inlineStr">
        <is>
          <t>Medio</t>
        </is>
      </c>
      <c r="K37" s="10" t="n">
        <v>3.327</v>
      </c>
      <c r="L37" s="10" t="n">
        <v>0.746</v>
      </c>
      <c r="M37" s="7" t="inlineStr">
        <is>
          <t>Leve</t>
        </is>
      </c>
      <c r="N37" s="7" t="inlineStr">
        <is>
          <t>D</t>
        </is>
      </c>
      <c r="O37" s="11" t="n">
        <v>28.403</v>
      </c>
      <c r="P37" s="7" t="inlineStr">
        <is>
          <t>Tierras del Estado y/o posesionarios</t>
        </is>
      </c>
      <c r="Q37" s="7" t="n">
        <v>0</v>
      </c>
      <c r="R37" s="7" t="inlineStr">
        <is>
          <t>Sí</t>
        </is>
      </c>
      <c r="S37" s="7" t="inlineStr">
        <is>
          <t>No</t>
        </is>
      </c>
      <c r="T37" s="7" t="inlineStr">
        <is>
          <t>Alto</t>
        </is>
      </c>
      <c r="U37" s="7" t="inlineStr">
        <is>
          <t>SP-024</t>
        </is>
      </c>
      <c r="V37" s="7" t="n">
        <v>0</v>
      </c>
    </row>
    <row r="38">
      <c r="A38" s="12" t="inlineStr">
        <is>
          <t>Huancabamba</t>
        </is>
      </c>
      <c r="B38" s="12" t="inlineStr">
        <is>
          <t>Huarmaca</t>
        </is>
      </c>
      <c r="C38" s="12" t="inlineStr">
        <is>
          <t>80</t>
        </is>
      </c>
      <c r="D38" s="12" t="inlineStr">
        <is>
          <t>C1076-Q9593</t>
        </is>
      </c>
      <c r="E38" s="13" t="n">
        <v>28.83</v>
      </c>
      <c r="F38" s="14" t="n">
        <v>657160</v>
      </c>
      <c r="G38" s="14" t="n">
        <v>9373050</v>
      </c>
      <c r="H38" s="12" t="inlineStr">
        <is>
          <t>B</t>
        </is>
      </c>
      <c r="I38" s="15" t="n">
        <v>0.5931</v>
      </c>
      <c r="J38" s="12" t="inlineStr">
        <is>
          <t>Alto</t>
        </is>
      </c>
      <c r="K38" s="15" t="n">
        <v>3.52</v>
      </c>
      <c r="L38" s="15" t="n">
        <v>0.745</v>
      </c>
      <c r="M38" s="12" t="inlineStr">
        <is>
          <t>Leve</t>
        </is>
      </c>
      <c r="N38" s="12" t="inlineStr">
        <is>
          <t>D</t>
        </is>
      </c>
      <c r="O38" s="16" t="n">
        <v>16.883</v>
      </c>
      <c r="P38" s="12" t="inlineStr">
        <is>
          <t>Tierras del Estado y/o posesionarios</t>
        </is>
      </c>
      <c r="Q38" s="12" t="n">
        <v>2</v>
      </c>
      <c r="R38" s="12" t="inlineStr">
        <is>
          <t>No</t>
        </is>
      </c>
      <c r="S38" s="12" t="inlineStr">
        <is>
          <t>Sí</t>
        </is>
      </c>
      <c r="T38" s="12" t="inlineStr">
        <is>
          <t>Alto</t>
        </is>
      </c>
      <c r="U38" s="12" t="inlineStr">
        <is>
          <t>SP-040</t>
        </is>
      </c>
      <c r="V38" s="12" t="n">
        <v>0</v>
      </c>
    </row>
    <row r="39">
      <c r="A39" s="7" t="inlineStr">
        <is>
          <t>Huancabamba</t>
        </is>
      </c>
      <c r="B39" s="7" t="inlineStr">
        <is>
          <t>Huarmaca</t>
        </is>
      </c>
      <c r="C39" s="7" t="inlineStr">
        <is>
          <t>M12B1</t>
        </is>
      </c>
      <c r="D39" s="7" t="inlineStr">
        <is>
          <t>C1076-Q9588</t>
        </is>
      </c>
      <c r="E39" s="8" t="n">
        <v>268.39</v>
      </c>
      <c r="F39" s="9" t="n">
        <v>644546</v>
      </c>
      <c r="G39" s="9" t="n">
        <v>9389106</v>
      </c>
      <c r="H39" s="7" t="inlineStr">
        <is>
          <t>A</t>
        </is>
      </c>
      <c r="I39" s="10" t="n">
        <v>0.3475</v>
      </c>
      <c r="J39" s="7" t="inlineStr">
        <is>
          <t>Muy alto</t>
        </is>
      </c>
      <c r="K39" s="10" t="n">
        <v>4.574</v>
      </c>
      <c r="L39" s="10" t="n">
        <v>0.622</v>
      </c>
      <c r="M39" s="7" t="inlineStr">
        <is>
          <t>Leve</t>
        </is>
      </c>
      <c r="N39" s="7" t="inlineStr">
        <is>
          <t>A</t>
        </is>
      </c>
      <c r="O39" s="11" t="n">
        <v>96.616</v>
      </c>
      <c r="P39" s="7" t="inlineStr">
        <is>
          <t>Parcialmente comunal</t>
        </is>
      </c>
      <c r="Q39" s="7" t="n">
        <v>0</v>
      </c>
      <c r="R39" s="7" t="inlineStr">
        <is>
          <t>Sí</t>
        </is>
      </c>
      <c r="S39" s="7" t="inlineStr">
        <is>
          <t>No</t>
        </is>
      </c>
      <c r="T39" s="7" t="inlineStr">
        <is>
          <t>Alto</t>
        </is>
      </c>
      <c r="U39" s="7" t="inlineStr">
        <is>
          <t>SP-043</t>
        </is>
      </c>
      <c r="V39" s="7" t="n">
        <v>0</v>
      </c>
    </row>
    <row r="40">
      <c r="A40" s="12" t="inlineStr">
        <is>
          <t>Huancabamba</t>
        </is>
      </c>
      <c r="B40" s="12" t="inlineStr">
        <is>
          <t>Huarmaca</t>
        </is>
      </c>
      <c r="C40" s="12" t="inlineStr">
        <is>
          <t>M4B3</t>
        </is>
      </c>
      <c r="D40" s="12" t="inlineStr">
        <is>
          <t>C1076-Q9589</t>
        </is>
      </c>
      <c r="E40" s="13" t="n">
        <v>234.07</v>
      </c>
      <c r="F40" s="14" t="n">
        <v>643474</v>
      </c>
      <c r="G40" s="14" t="n">
        <v>9385620</v>
      </c>
      <c r="H40" s="12" t="inlineStr">
        <is>
          <t>A</t>
        </is>
      </c>
      <c r="I40" s="15" t="n">
        <v>0.3222</v>
      </c>
      <c r="J40" s="12" t="inlineStr">
        <is>
          <t>Muy alto</t>
        </is>
      </c>
      <c r="K40" s="15" t="n">
        <v>4.713</v>
      </c>
      <c r="L40" s="15" t="n">
        <v>0.517</v>
      </c>
      <c r="M40" s="12" t="inlineStr">
        <is>
          <t>Moderado</t>
        </is>
      </c>
      <c r="N40" s="12" t="inlineStr">
        <is>
          <t>A</t>
        </is>
      </c>
      <c r="O40" s="16" t="n">
        <v>98.592</v>
      </c>
      <c r="P40" s="12" t="inlineStr">
        <is>
          <t>Parcialmente comunal</t>
        </is>
      </c>
      <c r="Q40" s="12" t="n">
        <v>0</v>
      </c>
      <c r="R40" s="12" t="inlineStr">
        <is>
          <t>No</t>
        </is>
      </c>
      <c r="S40" s="12" t="inlineStr">
        <is>
          <t>No</t>
        </is>
      </c>
      <c r="T40" s="12" t="inlineStr">
        <is>
          <t>Alto</t>
        </is>
      </c>
      <c r="U40" s="12" t="inlineStr">
        <is>
          <t>SP-041</t>
        </is>
      </c>
      <c r="V40" s="12" t="n">
        <v>1</v>
      </c>
    </row>
    <row r="41">
      <c r="A41" s="7" t="inlineStr">
        <is>
          <t>Huancabamba</t>
        </is>
      </c>
      <c r="B41" s="7" t="inlineStr">
        <is>
          <t>Huarmaca</t>
        </is>
      </c>
      <c r="C41" s="7" t="inlineStr">
        <is>
          <t>M4B4</t>
        </is>
      </c>
      <c r="D41" s="7" t="inlineStr">
        <is>
          <t>C1076-Q9589</t>
        </is>
      </c>
      <c r="E41" s="8" t="n">
        <v>289.91</v>
      </c>
      <c r="F41" s="9" t="n">
        <v>642775</v>
      </c>
      <c r="G41" s="9" t="n">
        <v>9388574</v>
      </c>
      <c r="H41" s="7" t="inlineStr">
        <is>
          <t>A</t>
        </is>
      </c>
      <c r="I41" s="10" t="n">
        <v>0.3198</v>
      </c>
      <c r="J41" s="7" t="inlineStr">
        <is>
          <t>Muy alto</t>
        </is>
      </c>
      <c r="K41" s="10" t="n">
        <v>4.505</v>
      </c>
      <c r="L41" s="10" t="n">
        <v>0.495</v>
      </c>
      <c r="M41" s="7" t="inlineStr">
        <is>
          <t>Moderado</t>
        </is>
      </c>
      <c r="N41" s="7" t="inlineStr">
        <is>
          <t>A</t>
        </is>
      </c>
      <c r="O41" s="11" t="n">
        <v>99.235</v>
      </c>
      <c r="P41" s="7" t="inlineStr">
        <is>
          <t>Comunal</t>
        </is>
      </c>
      <c r="Q41" s="7" t="n">
        <v>0</v>
      </c>
      <c r="R41" s="7" t="inlineStr">
        <is>
          <t>No</t>
        </is>
      </c>
      <c r="S41" s="7" t="inlineStr">
        <is>
          <t>No</t>
        </is>
      </c>
      <c r="T41" s="7" t="inlineStr">
        <is>
          <t>Alto</t>
        </is>
      </c>
      <c r="U41" s="7" t="inlineStr">
        <is>
          <t>SP-042</t>
        </is>
      </c>
      <c r="V41" s="7" t="n">
        <v>1</v>
      </c>
    </row>
    <row r="42">
      <c r="A42" s="12" t="inlineStr">
        <is>
          <t>Huancabamba</t>
        </is>
      </c>
      <c r="B42" s="12" t="inlineStr">
        <is>
          <t>Lalaquiz</t>
        </is>
      </c>
      <c r="C42" s="12" t="inlineStr">
        <is>
          <t>26</t>
        </is>
      </c>
      <c r="D42" s="12" t="inlineStr">
        <is>
          <t>C1081-Q9591</t>
        </is>
      </c>
      <c r="E42" s="13" t="n">
        <v>46.96</v>
      </c>
      <c r="F42" s="14" t="n">
        <v>649472</v>
      </c>
      <c r="G42" s="14" t="n">
        <v>9425705</v>
      </c>
      <c r="H42" s="12" t="inlineStr">
        <is>
          <t>B</t>
        </is>
      </c>
      <c r="I42" s="15" t="n">
        <v>0.6733</v>
      </c>
      <c r="J42" s="12" t="inlineStr">
        <is>
          <t>Medio</t>
        </is>
      </c>
      <c r="K42" s="15" t="n">
        <v>3.279</v>
      </c>
      <c r="L42" s="15" t="n">
        <v>0.92</v>
      </c>
      <c r="M42" s="12" t="inlineStr">
        <is>
          <t>No degradado</t>
        </is>
      </c>
      <c r="N42" s="12" t="inlineStr">
        <is>
          <t>D</t>
        </is>
      </c>
      <c r="O42" s="16" t="n">
        <v>2.347</v>
      </c>
      <c r="P42" s="12" t="inlineStr">
        <is>
          <t>Tierras del Estado y/o posesionarios</t>
        </is>
      </c>
      <c r="Q42" s="12" t="n">
        <v>1</v>
      </c>
      <c r="R42" s="12" t="inlineStr">
        <is>
          <t>Sí</t>
        </is>
      </c>
      <c r="S42" s="12" t="inlineStr">
        <is>
          <t>Sí</t>
        </is>
      </c>
      <c r="T42" s="12" t="inlineStr">
        <is>
          <t>Medio</t>
        </is>
      </c>
      <c r="U42" s="12" t="inlineStr">
        <is>
          <t>SP-044</t>
        </is>
      </c>
      <c r="V42" s="12" t="n">
        <v>0</v>
      </c>
    </row>
    <row r="43">
      <c r="A43" s="7" t="inlineStr">
        <is>
          <t>Huancabamba</t>
        </is>
      </c>
      <c r="B43" s="7" t="inlineStr">
        <is>
          <t>Lalaquiz</t>
        </is>
      </c>
      <c r="C43" s="7" t="inlineStr">
        <is>
          <t>34</t>
        </is>
      </c>
      <c r="D43" s="7" t="inlineStr">
        <is>
          <t>C1081-Q9590</t>
        </is>
      </c>
      <c r="E43" s="8" t="n">
        <v>28.45</v>
      </c>
      <c r="F43" s="9" t="n">
        <v>646483</v>
      </c>
      <c r="G43" s="9" t="n">
        <v>9426305</v>
      </c>
      <c r="H43" s="7" t="inlineStr">
        <is>
          <t>B</t>
        </is>
      </c>
      <c r="I43" s="10" t="n">
        <v>0.649</v>
      </c>
      <c r="J43" s="7" t="inlineStr">
        <is>
          <t>Bajo</t>
        </is>
      </c>
      <c r="K43" s="10" t="n">
        <v>2.564</v>
      </c>
      <c r="L43" s="10" t="n">
        <v>0.907</v>
      </c>
      <c r="M43" s="7" t="inlineStr">
        <is>
          <t>No degradado</t>
        </is>
      </c>
      <c r="N43" s="7" t="inlineStr">
        <is>
          <t>D</t>
        </is>
      </c>
      <c r="O43" s="11" t="n">
        <v>0.174</v>
      </c>
      <c r="P43" s="7" t="inlineStr">
        <is>
          <t>Tierras del Estado y/o posesionarios</t>
        </is>
      </c>
      <c r="Q43" s="7" t="n">
        <v>3</v>
      </c>
      <c r="R43" s="7" t="inlineStr">
        <is>
          <t>No</t>
        </is>
      </c>
      <c r="S43" s="7" t="inlineStr">
        <is>
          <t>Sí</t>
        </is>
      </c>
      <c r="T43" s="7" t="inlineStr">
        <is>
          <t>Bajo</t>
        </is>
      </c>
      <c r="U43" s="7" t="inlineStr">
        <is>
          <t>SP-045</t>
        </is>
      </c>
      <c r="V43" s="7" t="n">
        <v>0</v>
      </c>
    </row>
    <row r="44">
      <c r="A44" s="12" t="inlineStr">
        <is>
          <t>Huancabamba</t>
        </is>
      </c>
      <c r="B44" s="12" t="inlineStr">
        <is>
          <t>Lalaquiz</t>
        </is>
      </c>
      <c r="C44" s="12" t="inlineStr">
        <is>
          <t>37</t>
        </is>
      </c>
      <c r="D44" s="12" t="inlineStr">
        <is>
          <t>C1081-Q9591</t>
        </is>
      </c>
      <c r="E44" s="13" t="n">
        <v>35.49</v>
      </c>
      <c r="F44" s="14" t="n">
        <v>649081</v>
      </c>
      <c r="G44" s="14" t="n">
        <v>9424506</v>
      </c>
      <c r="H44" s="12" t="inlineStr">
        <is>
          <t>B</t>
        </is>
      </c>
      <c r="I44" s="15" t="n">
        <v>0.6588000000000001</v>
      </c>
      <c r="J44" s="12" t="inlineStr">
        <is>
          <t>Medio</t>
        </is>
      </c>
      <c r="K44" s="15" t="n">
        <v>3.234</v>
      </c>
      <c r="L44" s="15" t="n">
        <v>0.916</v>
      </c>
      <c r="M44" s="12" t="inlineStr">
        <is>
          <t>No degradado</t>
        </is>
      </c>
      <c r="N44" s="12" t="inlineStr">
        <is>
          <t>D</t>
        </is>
      </c>
      <c r="O44" s="16" t="n">
        <v>1.917</v>
      </c>
      <c r="P44" s="12" t="inlineStr">
        <is>
          <t>Parcialmente privada</t>
        </is>
      </c>
      <c r="Q44" s="12" t="n">
        <v>3</v>
      </c>
      <c r="R44" s="12" t="inlineStr">
        <is>
          <t>No</t>
        </is>
      </c>
      <c r="S44" s="12" t="inlineStr">
        <is>
          <t>Sí</t>
        </is>
      </c>
      <c r="T44" s="12" t="inlineStr">
        <is>
          <t>Alto</t>
        </is>
      </c>
      <c r="U44" s="12" t="inlineStr">
        <is>
          <t>SP-046</t>
        </is>
      </c>
      <c r="V44" s="12" t="n">
        <v>0</v>
      </c>
    </row>
    <row r="45">
      <c r="A45" s="7" t="inlineStr">
        <is>
          <t>Huancabamba</t>
        </is>
      </c>
      <c r="B45" s="7" t="inlineStr">
        <is>
          <t>Lalaquiz</t>
        </is>
      </c>
      <c r="C45" s="7" t="inlineStr">
        <is>
          <t>38</t>
        </is>
      </c>
      <c r="D45" s="7" t="inlineStr">
        <is>
          <t>C1081-Q9590</t>
        </is>
      </c>
      <c r="E45" s="8" t="n">
        <v>44.2</v>
      </c>
      <c r="F45" s="9" t="n">
        <v>647123</v>
      </c>
      <c r="G45" s="9" t="n">
        <v>9427602</v>
      </c>
      <c r="H45" s="7" t="inlineStr">
        <is>
          <t>B</t>
        </is>
      </c>
      <c r="I45" s="10" t="n">
        <v>0.6725</v>
      </c>
      <c r="J45" s="7" t="inlineStr">
        <is>
          <t>Medio</t>
        </is>
      </c>
      <c r="K45" s="10" t="n">
        <v>3</v>
      </c>
      <c r="L45" s="10" t="n">
        <v>0.831</v>
      </c>
      <c r="M45" s="7" t="inlineStr">
        <is>
          <t>No degradado</t>
        </is>
      </c>
      <c r="N45" s="7" t="inlineStr">
        <is>
          <t>D</t>
        </is>
      </c>
      <c r="O45" s="11" t="n">
        <v>0.409</v>
      </c>
      <c r="P45" s="7" t="inlineStr">
        <is>
          <t>Parcialmente privada</t>
        </is>
      </c>
      <c r="Q45" s="7" t="n">
        <v>39</v>
      </c>
      <c r="R45" s="7" t="inlineStr">
        <is>
          <t>No</t>
        </is>
      </c>
      <c r="S45" s="7" t="inlineStr">
        <is>
          <t>Sí</t>
        </is>
      </c>
      <c r="T45" s="7" t="inlineStr">
        <is>
          <t>Medio</t>
        </is>
      </c>
      <c r="U45" s="7" t="inlineStr">
        <is>
          <t>SP-047</t>
        </is>
      </c>
      <c r="V45" s="7" t="n">
        <v>0</v>
      </c>
    </row>
    <row r="46">
      <c r="A46" s="12" t="inlineStr">
        <is>
          <t>Huancabamba</t>
        </is>
      </c>
      <c r="B46" s="12" t="inlineStr">
        <is>
          <t>Lalaquiz</t>
        </is>
      </c>
      <c r="C46" s="12" t="inlineStr">
        <is>
          <t>50</t>
        </is>
      </c>
      <c r="D46" s="12" t="inlineStr">
        <is>
          <t>C1081-Q9590</t>
        </is>
      </c>
      <c r="E46" s="13" t="n">
        <v>19.27</v>
      </c>
      <c r="F46" s="14" t="n">
        <v>647350</v>
      </c>
      <c r="G46" s="14" t="n">
        <v>9427252</v>
      </c>
      <c r="H46" s="12" t="inlineStr">
        <is>
          <t>B</t>
        </is>
      </c>
      <c r="I46" s="15" t="n">
        <v>0.6831</v>
      </c>
      <c r="J46" s="12" t="inlineStr">
        <is>
          <t>Bajo</t>
        </is>
      </c>
      <c r="K46" s="15" t="n">
        <v>2.25</v>
      </c>
      <c r="L46" s="15" t="n">
        <v>0.903</v>
      </c>
      <c r="M46" s="12" t="inlineStr">
        <is>
          <t>No degradado</t>
        </is>
      </c>
      <c r="N46" s="12" t="inlineStr">
        <is>
          <t>D</t>
        </is>
      </c>
      <c r="O46" s="16" t="n">
        <v>0.36</v>
      </c>
      <c r="P46" s="12" t="inlineStr">
        <is>
          <t>Tierras del Estado y/o posesionarios</t>
        </is>
      </c>
      <c r="Q46" s="12" t="n">
        <v>0</v>
      </c>
      <c r="R46" s="12" t="inlineStr">
        <is>
          <t>No</t>
        </is>
      </c>
      <c r="S46" s="12" t="inlineStr">
        <is>
          <t>No</t>
        </is>
      </c>
      <c r="T46" s="12" t="inlineStr">
        <is>
          <t>Bajo</t>
        </is>
      </c>
      <c r="U46" s="12" t="inlineStr">
        <is>
          <t>SP-048</t>
        </is>
      </c>
      <c r="V46" s="12" t="n">
        <v>0</v>
      </c>
    </row>
    <row r="47">
      <c r="A47" s="7" t="inlineStr">
        <is>
          <t>Huancabamba</t>
        </is>
      </c>
      <c r="B47" s="7" t="inlineStr">
        <is>
          <t>Lalaquiz</t>
        </is>
      </c>
      <c r="C47" s="7" t="inlineStr">
        <is>
          <t>61</t>
        </is>
      </c>
      <c r="D47" s="7" t="inlineStr">
        <is>
          <t>C1081-Q9590</t>
        </is>
      </c>
      <c r="E47" s="8" t="n">
        <v>26.83</v>
      </c>
      <c r="F47" s="9" t="n">
        <v>646236</v>
      </c>
      <c r="G47" s="9" t="n">
        <v>9425052</v>
      </c>
      <c r="H47" s="7" t="inlineStr">
        <is>
          <t>B</t>
        </is>
      </c>
      <c r="I47" s="10" t="n">
        <v>0.6112</v>
      </c>
      <c r="J47" s="7" t="inlineStr">
        <is>
          <t>Medio</t>
        </is>
      </c>
      <c r="K47" s="10" t="n">
        <v>2.79</v>
      </c>
      <c r="L47" s="10" t="n">
        <v>0.901</v>
      </c>
      <c r="M47" s="7" t="inlineStr">
        <is>
          <t>No degradado</t>
        </is>
      </c>
      <c r="N47" s="7" t="inlineStr">
        <is>
          <t>D</t>
        </is>
      </c>
      <c r="O47" s="11" t="n">
        <v>21.098</v>
      </c>
      <c r="P47" s="7" t="inlineStr">
        <is>
          <t>Tierras del Estado y/o posesionarios</t>
        </is>
      </c>
      <c r="Q47" s="7" t="n">
        <v>0</v>
      </c>
      <c r="R47" s="7" t="inlineStr">
        <is>
          <t>No</t>
        </is>
      </c>
      <c r="S47" s="7" t="inlineStr">
        <is>
          <t>Sí</t>
        </is>
      </c>
      <c r="T47" s="7" t="inlineStr">
        <is>
          <t>Medio</t>
        </is>
      </c>
      <c r="U47" s="7" t="inlineStr">
        <is>
          <t>SP-049</t>
        </is>
      </c>
      <c r="V47" s="7" t="n">
        <v>0</v>
      </c>
    </row>
    <row r="48">
      <c r="A48" s="12" t="inlineStr">
        <is>
          <t>Huancabamba</t>
        </is>
      </c>
      <c r="B48" s="12" t="inlineStr">
        <is>
          <t>San Miguel de El Faique</t>
        </is>
      </c>
      <c r="C48" s="12" t="inlineStr">
        <is>
          <t>35</t>
        </is>
      </c>
      <c r="D48" s="12" t="inlineStr">
        <is>
          <t>C1076-Q9586</t>
        </is>
      </c>
      <c r="E48" s="13" t="n">
        <v>30.8</v>
      </c>
      <c r="F48" s="14" t="n">
        <v>654607</v>
      </c>
      <c r="G48" s="14" t="n">
        <v>9395038</v>
      </c>
      <c r="H48" s="12" t="inlineStr">
        <is>
          <t>B</t>
        </is>
      </c>
      <c r="I48" s="15" t="n">
        <v>0.6245000000000001</v>
      </c>
      <c r="J48" s="12" t="inlineStr">
        <is>
          <t>Medio</t>
        </is>
      </c>
      <c r="K48" s="15" t="n">
        <v>3.092</v>
      </c>
      <c r="L48" s="15" t="n">
        <v>0.872</v>
      </c>
      <c r="M48" s="12" t="inlineStr">
        <is>
          <t>No degradado</t>
        </is>
      </c>
      <c r="N48" s="12" t="inlineStr">
        <is>
          <t>D</t>
        </is>
      </c>
      <c r="O48" s="16" t="n">
        <v>1.188</v>
      </c>
      <c r="P48" s="12" t="inlineStr">
        <is>
          <t>Parcialmente privada</t>
        </is>
      </c>
      <c r="Q48" s="12" t="n">
        <v>23</v>
      </c>
      <c r="R48" s="12" t="inlineStr">
        <is>
          <t>No</t>
        </is>
      </c>
      <c r="S48" s="12" t="inlineStr">
        <is>
          <t>Sí</t>
        </is>
      </c>
      <c r="T48" s="12" t="inlineStr">
        <is>
          <t>Alto</t>
        </is>
      </c>
      <c r="U48" s="12" t="inlineStr">
        <is>
          <t>SP-051</t>
        </is>
      </c>
      <c r="V48" s="12" t="n">
        <v>0</v>
      </c>
    </row>
    <row r="49">
      <c r="A49" s="7" t="inlineStr">
        <is>
          <t>Huancabamba</t>
        </is>
      </c>
      <c r="B49" s="7" t="inlineStr">
        <is>
          <t>San Miguel de El Faique</t>
        </is>
      </c>
      <c r="C49" s="7" t="inlineStr">
        <is>
          <t>43</t>
        </is>
      </c>
      <c r="D49" s="7" t="inlineStr">
        <is>
          <t>C1076-Q9586</t>
        </is>
      </c>
      <c r="E49" s="8" t="n">
        <v>23.17</v>
      </c>
      <c r="F49" s="9" t="n">
        <v>656489</v>
      </c>
      <c r="G49" s="9" t="n">
        <v>9395403</v>
      </c>
      <c r="H49" s="7" t="inlineStr">
        <is>
          <t>A</t>
        </is>
      </c>
      <c r="I49" s="10" t="n">
        <v>0.5515</v>
      </c>
      <c r="J49" s="7" t="inlineStr">
        <is>
          <t>Alto</t>
        </is>
      </c>
      <c r="K49" s="10" t="n">
        <v>3.686</v>
      </c>
      <c r="L49" s="10" t="n">
        <v>0.6879999999999999</v>
      </c>
      <c r="M49" s="7" t="inlineStr">
        <is>
          <t>Leve</t>
        </is>
      </c>
      <c r="N49" s="7" t="inlineStr">
        <is>
          <t>D</t>
        </is>
      </c>
      <c r="O49" s="11" t="n">
        <v>21.28</v>
      </c>
      <c r="P49" s="7" t="inlineStr">
        <is>
          <t>Parcialmente privada</t>
        </is>
      </c>
      <c r="Q49" s="7" t="n">
        <v>20</v>
      </c>
      <c r="R49" s="7" t="inlineStr">
        <is>
          <t>No</t>
        </is>
      </c>
      <c r="S49" s="7" t="inlineStr">
        <is>
          <t>Sí</t>
        </is>
      </c>
      <c r="T49" s="7" t="inlineStr">
        <is>
          <t>Alto</t>
        </is>
      </c>
      <c r="U49" s="7" t="inlineStr">
        <is>
          <t>SP-052</t>
        </is>
      </c>
      <c r="V49" s="7" t="n">
        <v>0</v>
      </c>
    </row>
    <row r="50">
      <c r="A50" s="12" t="inlineStr">
        <is>
          <t>Huancabamba</t>
        </is>
      </c>
      <c r="B50" s="12" t="inlineStr">
        <is>
          <t>San Miguel de El Faique</t>
        </is>
      </c>
      <c r="C50" s="12" t="inlineStr">
        <is>
          <t>44</t>
        </is>
      </c>
      <c r="D50" s="12" t="inlineStr">
        <is>
          <t>C1076-Q9586</t>
        </is>
      </c>
      <c r="E50" s="13" t="n">
        <v>28.23</v>
      </c>
      <c r="F50" s="14" t="n">
        <v>663637</v>
      </c>
      <c r="G50" s="14" t="n">
        <v>9400618</v>
      </c>
      <c r="H50" s="12" t="inlineStr">
        <is>
          <t>B</t>
        </is>
      </c>
      <c r="I50" s="15" t="n">
        <v>0.5113</v>
      </c>
      <c r="J50" s="12" t="inlineStr">
        <is>
          <t>Alto</t>
        </is>
      </c>
      <c r="K50" s="15" t="n">
        <v>3.541</v>
      </c>
      <c r="L50" s="15" t="n">
        <v>0.705</v>
      </c>
      <c r="M50" s="12" t="inlineStr">
        <is>
          <t>Leve</t>
        </is>
      </c>
      <c r="N50" s="12" t="inlineStr">
        <is>
          <t>C</t>
        </is>
      </c>
      <c r="O50" s="16" t="n">
        <v>52.061</v>
      </c>
      <c r="P50" s="12" t="inlineStr">
        <is>
          <t>Tierras del Estado y/o posesionarios</t>
        </is>
      </c>
      <c r="Q50" s="12" t="n">
        <v>0</v>
      </c>
      <c r="R50" s="12" t="inlineStr">
        <is>
          <t>Sí</t>
        </is>
      </c>
      <c r="S50" s="12" t="inlineStr">
        <is>
          <t>Sí</t>
        </is>
      </c>
      <c r="T50" s="12" t="inlineStr">
        <is>
          <t>Alto</t>
        </is>
      </c>
      <c r="U50" s="12" t="inlineStr">
        <is>
          <t>SP-053</t>
        </is>
      </c>
      <c r="V50" s="12" t="n">
        <v>0</v>
      </c>
    </row>
    <row r="51">
      <c r="A51" s="7" t="inlineStr">
        <is>
          <t>Huancabamba</t>
        </is>
      </c>
      <c r="B51" s="7" t="inlineStr">
        <is>
          <t>San Miguel de El Faique</t>
        </is>
      </c>
      <c r="C51" s="7" t="inlineStr">
        <is>
          <t>47</t>
        </is>
      </c>
      <c r="D51" s="7" t="inlineStr">
        <is>
          <t>C1076-Q9586</t>
        </is>
      </c>
      <c r="E51" s="8" t="n">
        <v>13.55</v>
      </c>
      <c r="F51" s="9" t="n">
        <v>659649</v>
      </c>
      <c r="G51" s="9" t="n">
        <v>9401436</v>
      </c>
      <c r="H51" s="7" t="inlineStr">
        <is>
          <t>B</t>
        </is>
      </c>
      <c r="I51" s="10" t="n">
        <v>0.5936</v>
      </c>
      <c r="J51" s="7" t="inlineStr">
        <is>
          <t>Medio</t>
        </is>
      </c>
      <c r="K51" s="10" t="n">
        <v>3.305</v>
      </c>
      <c r="L51" s="10" t="n">
        <v>0.725</v>
      </c>
      <c r="M51" s="7" t="inlineStr">
        <is>
          <t>Leve</t>
        </is>
      </c>
      <c r="N51" s="7" t="inlineStr">
        <is>
          <t>D</t>
        </is>
      </c>
      <c r="O51" s="11" t="n">
        <v>9.840999999999999</v>
      </c>
      <c r="P51" s="7" t="inlineStr">
        <is>
          <t>Parcialmente privada</t>
        </is>
      </c>
      <c r="Q51" s="7" t="n">
        <v>4</v>
      </c>
      <c r="R51" s="7" t="inlineStr">
        <is>
          <t>No</t>
        </is>
      </c>
      <c r="S51" s="7" t="inlineStr">
        <is>
          <t>No</t>
        </is>
      </c>
      <c r="T51" s="7" t="inlineStr">
        <is>
          <t>Medio</t>
        </is>
      </c>
      <c r="U51" s="7" t="inlineStr">
        <is>
          <t>SP-054</t>
        </is>
      </c>
      <c r="V51" s="7" t="n">
        <v>0</v>
      </c>
    </row>
    <row r="52">
      <c r="A52" s="12" t="inlineStr">
        <is>
          <t>Huancabamba</t>
        </is>
      </c>
      <c r="B52" s="12" t="inlineStr">
        <is>
          <t>San Miguel de El Faique</t>
        </is>
      </c>
      <c r="C52" s="12" t="inlineStr">
        <is>
          <t>67</t>
        </is>
      </c>
      <c r="D52" s="12" t="inlineStr">
        <is>
          <t>C1076-Q9586</t>
        </is>
      </c>
      <c r="E52" s="13" t="n">
        <v>13.18</v>
      </c>
      <c r="F52" s="14" t="n">
        <v>654207</v>
      </c>
      <c r="G52" s="14" t="n">
        <v>9394210</v>
      </c>
      <c r="H52" s="12" t="inlineStr">
        <is>
          <t>B</t>
        </is>
      </c>
      <c r="I52" s="15" t="n">
        <v>0.6052999999999999</v>
      </c>
      <c r="J52" s="12" t="inlineStr">
        <is>
          <t>Medio</t>
        </is>
      </c>
      <c r="K52" s="15" t="n">
        <v>3.369</v>
      </c>
      <c r="L52" s="15" t="n">
        <v>0.834</v>
      </c>
      <c r="M52" s="12" t="inlineStr">
        <is>
          <t>No degradado</t>
        </is>
      </c>
      <c r="N52" s="12" t="inlineStr">
        <is>
          <t>D</t>
        </is>
      </c>
      <c r="O52" s="16" t="n">
        <v>2.118</v>
      </c>
      <c r="P52" s="12" t="inlineStr">
        <is>
          <t>Tierras del Estado y/o posesionarios</t>
        </is>
      </c>
      <c r="Q52" s="12" t="n">
        <v>0</v>
      </c>
      <c r="R52" s="12" t="inlineStr">
        <is>
          <t>No</t>
        </is>
      </c>
      <c r="S52" s="12" t="inlineStr">
        <is>
          <t>No</t>
        </is>
      </c>
      <c r="T52" s="12" t="inlineStr">
        <is>
          <t>Alto</t>
        </is>
      </c>
      <c r="U52" s="12" t="inlineStr">
        <is>
          <t>SP-055</t>
        </is>
      </c>
      <c r="V52" s="12" t="n">
        <v>0</v>
      </c>
    </row>
    <row r="53">
      <c r="A53" s="7" t="inlineStr">
        <is>
          <t>Huancabamba</t>
        </is>
      </c>
      <c r="B53" s="7" t="inlineStr">
        <is>
          <t>San Miguel de El Faique</t>
        </is>
      </c>
      <c r="C53" s="7" t="inlineStr">
        <is>
          <t>9</t>
        </is>
      </c>
      <c r="D53" s="7" t="inlineStr">
        <is>
          <t>C1076-Q9586</t>
        </is>
      </c>
      <c r="E53" s="8" t="n">
        <v>109.86</v>
      </c>
      <c r="F53" s="9" t="n">
        <v>656578</v>
      </c>
      <c r="G53" s="9" t="n">
        <v>9397762</v>
      </c>
      <c r="H53" s="7" t="inlineStr">
        <is>
          <t>B</t>
        </is>
      </c>
      <c r="I53" s="10" t="n">
        <v>0.5745</v>
      </c>
      <c r="J53" s="7" t="inlineStr">
        <is>
          <t>Alto</t>
        </is>
      </c>
      <c r="K53" s="10" t="n">
        <v>3.64</v>
      </c>
      <c r="L53" s="10" t="n">
        <v>0.788</v>
      </c>
      <c r="M53" s="7" t="inlineStr">
        <is>
          <t>Leve</t>
        </is>
      </c>
      <c r="N53" s="7" t="inlineStr">
        <is>
          <t>D</t>
        </is>
      </c>
      <c r="O53" s="11" t="n">
        <v>11.684</v>
      </c>
      <c r="P53" s="7" t="inlineStr">
        <is>
          <t>Parcialmente privada</t>
        </is>
      </c>
      <c r="Q53" s="7" t="n">
        <v>27</v>
      </c>
      <c r="R53" s="7" t="inlineStr">
        <is>
          <t>No</t>
        </is>
      </c>
      <c r="S53" s="7" t="inlineStr">
        <is>
          <t>Sí</t>
        </is>
      </c>
      <c r="T53" s="7" t="inlineStr">
        <is>
          <t>Alto</t>
        </is>
      </c>
      <c r="U53" s="7" t="inlineStr">
        <is>
          <t>SP-050</t>
        </is>
      </c>
      <c r="V53" s="7" t="n">
        <v>0</v>
      </c>
    </row>
    <row r="54">
      <c r="A54" s="12" t="inlineStr">
        <is>
          <t>Huancabamba</t>
        </is>
      </c>
      <c r="B54" s="12" t="inlineStr">
        <is>
          <t>San Miguel de El Faique</t>
        </is>
      </c>
      <c r="C54" s="12" t="inlineStr">
        <is>
          <t>M20B1</t>
        </is>
      </c>
      <c r="D54" s="12" t="inlineStr">
        <is>
          <t>C1076-Q9585</t>
        </is>
      </c>
      <c r="E54" s="13" t="n">
        <v>279.68</v>
      </c>
      <c r="F54" s="14" t="n">
        <v>641196</v>
      </c>
      <c r="G54" s="14" t="n">
        <v>9398710</v>
      </c>
      <c r="H54" s="12" t="inlineStr">
        <is>
          <t>A</t>
        </is>
      </c>
      <c r="I54" s="15" t="n">
        <v>0.3553</v>
      </c>
      <c r="J54" s="12" t="inlineStr">
        <is>
          <t>Muy alto</t>
        </is>
      </c>
      <c r="K54" s="15" t="n">
        <v>4.63</v>
      </c>
      <c r="L54" s="15" t="n">
        <v>0.697</v>
      </c>
      <c r="M54" s="12" t="inlineStr">
        <is>
          <t>Leve</t>
        </is>
      </c>
      <c r="N54" s="12" t="inlineStr">
        <is>
          <t>A</t>
        </is>
      </c>
      <c r="O54" s="16" t="n">
        <v>97.184</v>
      </c>
      <c r="P54" s="12" t="inlineStr">
        <is>
          <t>Tierras del Estado y/o posesionarios</t>
        </is>
      </c>
      <c r="Q54" s="12" t="n">
        <v>0</v>
      </c>
      <c r="R54" s="12" t="inlineStr">
        <is>
          <t>Sí</t>
        </is>
      </c>
      <c r="S54" s="12" t="inlineStr">
        <is>
          <t>No</t>
        </is>
      </c>
      <c r="T54" s="12" t="inlineStr">
        <is>
          <t>Alto</t>
        </is>
      </c>
      <c r="U54" s="12" t="inlineStr">
        <is>
          <t>SP-057</t>
        </is>
      </c>
      <c r="V54" s="12" t="n">
        <v>1</v>
      </c>
    </row>
    <row r="55">
      <c r="A55" s="7" t="inlineStr">
        <is>
          <t>Huancabamba</t>
        </is>
      </c>
      <c r="B55" s="7" t="inlineStr">
        <is>
          <t>San Miguel de El Faique</t>
        </is>
      </c>
      <c r="C55" s="7" t="inlineStr">
        <is>
          <t>M22B1</t>
        </is>
      </c>
      <c r="D55" s="7" t="inlineStr">
        <is>
          <t>C1076-Q9586</t>
        </is>
      </c>
      <c r="E55" s="8" t="n">
        <v>55.17</v>
      </c>
      <c r="F55" s="9" t="n">
        <v>664082</v>
      </c>
      <c r="G55" s="9" t="n">
        <v>9404172</v>
      </c>
      <c r="H55" s="7" t="inlineStr">
        <is>
          <t>B</t>
        </is>
      </c>
      <c r="I55" s="10" t="n">
        <v>0.594</v>
      </c>
      <c r="J55" s="7" t="inlineStr">
        <is>
          <t>Medio</t>
        </is>
      </c>
      <c r="K55" s="10" t="n">
        <v>2.803</v>
      </c>
      <c r="L55" s="10" t="n">
        <v>0.849</v>
      </c>
      <c r="M55" s="7" t="inlineStr">
        <is>
          <t>No degradado</t>
        </is>
      </c>
      <c r="N55" s="7" t="inlineStr">
        <is>
          <t>D</t>
        </is>
      </c>
      <c r="O55" s="11" t="n">
        <v>4.104</v>
      </c>
      <c r="P55" s="7" t="inlineStr">
        <is>
          <t>Tierras del Estado y/o posesionarios</t>
        </is>
      </c>
      <c r="Q55" s="7" t="n">
        <v>3</v>
      </c>
      <c r="R55" s="7" t="inlineStr">
        <is>
          <t>Sí</t>
        </is>
      </c>
      <c r="S55" s="7" t="inlineStr">
        <is>
          <t>Sí</t>
        </is>
      </c>
      <c r="T55" s="7" t="inlineStr">
        <is>
          <t>Alto</t>
        </is>
      </c>
      <c r="U55" s="7" t="inlineStr">
        <is>
          <t>SP-058</t>
        </is>
      </c>
      <c r="V55" s="7" t="n">
        <v>0</v>
      </c>
    </row>
    <row r="56">
      <c r="A56" s="12" t="inlineStr">
        <is>
          <t>Huancabamba</t>
        </is>
      </c>
      <c r="B56" s="12" t="inlineStr">
        <is>
          <t>San Miguel de El Faique</t>
        </is>
      </c>
      <c r="C56" s="12" t="inlineStr">
        <is>
          <t>M2B8</t>
        </is>
      </c>
      <c r="D56" s="12" t="inlineStr">
        <is>
          <t>C1076-Q9584</t>
        </is>
      </c>
      <c r="E56" s="13" t="n">
        <v>116.1</v>
      </c>
      <c r="F56" s="14" t="n">
        <v>639059</v>
      </c>
      <c r="G56" s="14" t="n">
        <v>9398295</v>
      </c>
      <c r="H56" s="12" t="inlineStr">
        <is>
          <t>A</t>
        </is>
      </c>
      <c r="I56" s="15" t="n">
        <v>0.3752</v>
      </c>
      <c r="J56" s="12" t="inlineStr">
        <is>
          <t>Muy alto</t>
        </is>
      </c>
      <c r="K56" s="15" t="n">
        <v>4.751</v>
      </c>
      <c r="L56" s="15" t="n">
        <v>0.6879999999999999</v>
      </c>
      <c r="M56" s="12" t="inlineStr">
        <is>
          <t>Leve</t>
        </is>
      </c>
      <c r="N56" s="12" t="inlineStr">
        <is>
          <t>A</t>
        </is>
      </c>
      <c r="O56" s="16" t="n">
        <v>92.312</v>
      </c>
      <c r="P56" s="12" t="inlineStr">
        <is>
          <t>Tierras del Estado y/o posesionarios</t>
        </is>
      </c>
      <c r="Q56" s="12" t="n">
        <v>0</v>
      </c>
      <c r="R56" s="12" t="inlineStr">
        <is>
          <t>No</t>
        </is>
      </c>
      <c r="S56" s="12" t="inlineStr">
        <is>
          <t>No</t>
        </is>
      </c>
      <c r="T56" s="12" t="inlineStr">
        <is>
          <t>Alto</t>
        </is>
      </c>
      <c r="U56" s="12" t="inlineStr">
        <is>
          <t>SP-056</t>
        </is>
      </c>
      <c r="V56" s="12" t="n">
        <v>2</v>
      </c>
    </row>
    <row r="57">
      <c r="A57" s="7" t="inlineStr">
        <is>
          <t>Morropón</t>
        </is>
      </c>
      <c r="B57" s="7" t="inlineStr">
        <is>
          <t>Buenos Aires</t>
        </is>
      </c>
      <c r="C57" s="7" t="inlineStr">
        <is>
          <t>5</t>
        </is>
      </c>
      <c r="D57" s="7" t="inlineStr">
        <is>
          <t>C1077-Q9566</t>
        </is>
      </c>
      <c r="E57" s="8" t="n">
        <v>295.73</v>
      </c>
      <c r="F57" s="9" t="n">
        <v>617860</v>
      </c>
      <c r="G57" s="9" t="n">
        <v>9413182</v>
      </c>
      <c r="H57" s="7" t="inlineStr">
        <is>
          <t>A</t>
        </is>
      </c>
      <c r="I57" s="10" t="n">
        <v>0.3394</v>
      </c>
      <c r="J57" s="7" t="inlineStr">
        <is>
          <t>Alto</t>
        </is>
      </c>
      <c r="K57" s="10" t="n">
        <v>3.717</v>
      </c>
      <c r="L57" s="10" t="n">
        <v>0.744</v>
      </c>
      <c r="M57" s="7" t="inlineStr">
        <is>
          <t>Leve</t>
        </is>
      </c>
      <c r="N57" s="7" t="inlineStr">
        <is>
          <t>A</t>
        </is>
      </c>
      <c r="O57" s="11" t="n">
        <v>99.849</v>
      </c>
      <c r="P57" s="7" t="inlineStr">
        <is>
          <t>Tierras del Estado y/o posesionarios</t>
        </is>
      </c>
      <c r="Q57" s="7" t="n">
        <v>0</v>
      </c>
      <c r="R57" s="7" t="inlineStr">
        <is>
          <t>Sí</t>
        </is>
      </c>
      <c r="S57" s="7" t="inlineStr">
        <is>
          <t>Sí</t>
        </is>
      </c>
      <c r="T57" s="7" t="inlineStr">
        <is>
          <t>Alto</t>
        </is>
      </c>
      <c r="U57" s="7" t="inlineStr">
        <is>
          <t>SP-059</t>
        </is>
      </c>
      <c r="V57" s="7" t="n">
        <v>1</v>
      </c>
    </row>
    <row r="58">
      <c r="A58" s="12" t="inlineStr">
        <is>
          <t>Morropón</t>
        </is>
      </c>
      <c r="B58" s="12" t="inlineStr">
        <is>
          <t>Buenos Aires</t>
        </is>
      </c>
      <c r="C58" s="12" t="inlineStr">
        <is>
          <t>M18B1</t>
        </is>
      </c>
      <c r="D58" s="12" t="inlineStr">
        <is>
          <t>C1077-Q9579</t>
        </is>
      </c>
      <c r="E58" s="13" t="n">
        <v>160.36</v>
      </c>
      <c r="F58" s="14" t="n">
        <v>621058</v>
      </c>
      <c r="G58" s="14" t="n">
        <v>9410427</v>
      </c>
      <c r="H58" s="12" t="inlineStr">
        <is>
          <t>A</t>
        </is>
      </c>
      <c r="I58" s="15" t="n">
        <v>0.3343</v>
      </c>
      <c r="J58" s="12" t="inlineStr">
        <is>
          <t>Alto</t>
        </is>
      </c>
      <c r="K58" s="15" t="n">
        <v>4.19</v>
      </c>
      <c r="L58" s="15" t="n">
        <v>0.759</v>
      </c>
      <c r="M58" s="12" t="inlineStr">
        <is>
          <t>Leve</t>
        </is>
      </c>
      <c r="N58" s="12" t="inlineStr">
        <is>
          <t>A</t>
        </is>
      </c>
      <c r="O58" s="16" t="n">
        <v>99.673</v>
      </c>
      <c r="P58" s="12" t="inlineStr">
        <is>
          <t>Tierras del Estado y/o posesionarios</t>
        </is>
      </c>
      <c r="Q58" s="12" t="n">
        <v>0</v>
      </c>
      <c r="R58" s="12" t="inlineStr">
        <is>
          <t>Sí</t>
        </is>
      </c>
      <c r="S58" s="12" t="inlineStr">
        <is>
          <t>Sí</t>
        </is>
      </c>
      <c r="T58" s="12" t="inlineStr">
        <is>
          <t>Alto</t>
        </is>
      </c>
      <c r="U58" s="12" t="inlineStr">
        <is>
          <t>SP-065</t>
        </is>
      </c>
      <c r="V58" s="12" t="n">
        <v>1</v>
      </c>
    </row>
    <row r="59">
      <c r="A59" s="7" t="inlineStr">
        <is>
          <t>Morropón</t>
        </is>
      </c>
      <c r="B59" s="7" t="inlineStr">
        <is>
          <t>Buenos Aires</t>
        </is>
      </c>
      <c r="C59" s="7" t="inlineStr">
        <is>
          <t>M1B1</t>
        </is>
      </c>
      <c r="D59" s="7" t="inlineStr">
        <is>
          <t>C1077-Q9580</t>
        </is>
      </c>
      <c r="E59" s="8" t="n">
        <v>188.8</v>
      </c>
      <c r="F59" s="9" t="n">
        <v>617695</v>
      </c>
      <c r="G59" s="9" t="n">
        <v>9409136</v>
      </c>
      <c r="H59" s="7" t="inlineStr">
        <is>
          <t>A</t>
        </is>
      </c>
      <c r="I59" s="10" t="n">
        <v>0.3193</v>
      </c>
      <c r="J59" s="7" t="inlineStr">
        <is>
          <t>Alto</t>
        </is>
      </c>
      <c r="K59" s="10" t="n">
        <v>4.009</v>
      </c>
      <c r="L59" s="10" t="n">
        <v>0.766</v>
      </c>
      <c r="M59" s="7" t="inlineStr">
        <is>
          <t>Leve</t>
        </is>
      </c>
      <c r="N59" s="7" t="inlineStr">
        <is>
          <t>B</t>
        </is>
      </c>
      <c r="O59" s="11" t="n">
        <v>99.38</v>
      </c>
      <c r="P59" s="7" t="inlineStr">
        <is>
          <t>Tierras del Estado y/o posesionarios</t>
        </is>
      </c>
      <c r="Q59" s="7" t="n">
        <v>0</v>
      </c>
      <c r="R59" s="7" t="inlineStr">
        <is>
          <t>No</t>
        </is>
      </c>
      <c r="S59" s="7" t="inlineStr">
        <is>
          <t>Sí</t>
        </is>
      </c>
      <c r="T59" s="7" t="inlineStr">
        <is>
          <t>Alto</t>
        </is>
      </c>
      <c r="U59" s="7" t="inlineStr">
        <is>
          <t>SP-060</t>
        </is>
      </c>
      <c r="V59" s="7" t="n">
        <v>1</v>
      </c>
    </row>
    <row r="60">
      <c r="A60" s="12" t="inlineStr">
        <is>
          <t>Morropón</t>
        </is>
      </c>
      <c r="B60" s="12" t="inlineStr">
        <is>
          <t>Buenos Aires</t>
        </is>
      </c>
      <c r="C60" s="12" t="inlineStr">
        <is>
          <t>M6B10</t>
        </is>
      </c>
      <c r="D60" s="12" t="inlineStr">
        <is>
          <t>C1077-Q9566</t>
        </is>
      </c>
      <c r="E60" s="13" t="n">
        <v>249.89</v>
      </c>
      <c r="F60" s="14" t="n">
        <v>618299</v>
      </c>
      <c r="G60" s="14" t="n">
        <v>9423119</v>
      </c>
      <c r="H60" s="12" t="inlineStr">
        <is>
          <t>A</t>
        </is>
      </c>
      <c r="I60" s="15" t="n">
        <v>0.3099</v>
      </c>
      <c r="J60" s="12" t="inlineStr">
        <is>
          <t>Muy alto</t>
        </is>
      </c>
      <c r="K60" s="15" t="n">
        <v>4.424</v>
      </c>
      <c r="L60" s="15" t="n">
        <v>0.668</v>
      </c>
      <c r="M60" s="12" t="inlineStr">
        <is>
          <t>Leve</t>
        </is>
      </c>
      <c r="N60" s="12" t="inlineStr">
        <is>
          <t>A</t>
        </is>
      </c>
      <c r="O60" s="16" t="n">
        <v>99.825</v>
      </c>
      <c r="P60" s="12" t="inlineStr">
        <is>
          <t>Tierras del Estado y/o posesionarios</t>
        </is>
      </c>
      <c r="Q60" s="12" t="n">
        <v>0</v>
      </c>
      <c r="R60" s="12" t="inlineStr">
        <is>
          <t>No</t>
        </is>
      </c>
      <c r="S60" s="12" t="inlineStr">
        <is>
          <t>Sí</t>
        </is>
      </c>
      <c r="T60" s="12" t="inlineStr">
        <is>
          <t>Alto</t>
        </is>
      </c>
      <c r="U60" s="12" t="inlineStr">
        <is>
          <t>SP-064</t>
        </is>
      </c>
      <c r="V60" s="12" t="n">
        <v>0</v>
      </c>
    </row>
    <row r="61">
      <c r="A61" s="7" t="inlineStr">
        <is>
          <t>Morropón</t>
        </is>
      </c>
      <c r="B61" s="7" t="inlineStr">
        <is>
          <t>Buenos Aires</t>
        </is>
      </c>
      <c r="C61" s="7" t="inlineStr">
        <is>
          <t>M6B2-1</t>
        </is>
      </c>
      <c r="D61" s="7" t="inlineStr">
        <is>
          <t>C1077-Q9566</t>
        </is>
      </c>
      <c r="E61" s="8" t="n">
        <v>514.36</v>
      </c>
      <c r="F61" s="9" t="n">
        <v>612864</v>
      </c>
      <c r="G61" s="9" t="n">
        <v>9413345</v>
      </c>
      <c r="H61" s="7" t="inlineStr">
        <is>
          <t>A</t>
        </is>
      </c>
      <c r="I61" s="10" t="n">
        <v>0.3381</v>
      </c>
      <c r="J61" s="7" t="inlineStr">
        <is>
          <t>Alto</t>
        </is>
      </c>
      <c r="K61" s="10" t="n">
        <v>3.481</v>
      </c>
      <c r="L61" s="10" t="n">
        <v>0.752</v>
      </c>
      <c r="M61" s="7" t="inlineStr">
        <is>
          <t>Leve</t>
        </is>
      </c>
      <c r="N61" s="7" t="inlineStr">
        <is>
          <t>A</t>
        </is>
      </c>
      <c r="O61" s="11" t="n">
        <v>98.98699999999999</v>
      </c>
      <c r="P61" s="7" t="inlineStr">
        <is>
          <t>Tierras del Estado y/o posesionarios</t>
        </is>
      </c>
      <c r="Q61" s="7" t="n">
        <v>0</v>
      </c>
      <c r="R61" s="7" t="inlineStr">
        <is>
          <t>No</t>
        </is>
      </c>
      <c r="S61" s="7" t="inlineStr">
        <is>
          <t>No</t>
        </is>
      </c>
      <c r="T61" s="7" t="inlineStr">
        <is>
          <t>Alto</t>
        </is>
      </c>
      <c r="U61" s="7" t="inlineStr">
        <is>
          <t>SP-061</t>
        </is>
      </c>
      <c r="V61" s="7" t="n">
        <v>6</v>
      </c>
    </row>
    <row r="62">
      <c r="A62" s="12" t="inlineStr">
        <is>
          <t>Morropón</t>
        </is>
      </c>
      <c r="B62" s="12" t="inlineStr">
        <is>
          <t>Buenos Aires</t>
        </is>
      </c>
      <c r="C62" s="12" t="inlineStr">
        <is>
          <t>M6B2-2</t>
        </is>
      </c>
      <c r="D62" s="12" t="inlineStr">
        <is>
          <t>C1077-Q9566</t>
        </is>
      </c>
      <c r="E62" s="13" t="n">
        <v>333.01</v>
      </c>
      <c r="F62" s="14" t="n">
        <v>611196</v>
      </c>
      <c r="G62" s="14" t="n">
        <v>9416725</v>
      </c>
      <c r="H62" s="12" t="inlineStr">
        <is>
          <t>A</t>
        </is>
      </c>
      <c r="I62" s="15" t="n">
        <v>0.3026</v>
      </c>
      <c r="J62" s="12" t="inlineStr">
        <is>
          <t>Alto</t>
        </is>
      </c>
      <c r="K62" s="15" t="n">
        <v>3.719</v>
      </c>
      <c r="L62" s="15" t="n">
        <v>0.65</v>
      </c>
      <c r="M62" s="12" t="inlineStr">
        <is>
          <t>Leve</t>
        </is>
      </c>
      <c r="N62" s="12" t="inlineStr">
        <is>
          <t>A</t>
        </is>
      </c>
      <c r="O62" s="16" t="n">
        <v>99.003</v>
      </c>
      <c r="P62" s="12" t="inlineStr">
        <is>
          <t>Tierras del Estado y/o posesionarios</t>
        </is>
      </c>
      <c r="Q62" s="12" t="n">
        <v>0</v>
      </c>
      <c r="R62" s="12" t="inlineStr">
        <is>
          <t>No</t>
        </is>
      </c>
      <c r="S62" s="12" t="inlineStr">
        <is>
          <t>Sí</t>
        </is>
      </c>
      <c r="T62" s="12" t="inlineStr">
        <is>
          <t>Alto</t>
        </is>
      </c>
      <c r="U62" s="12" t="inlineStr">
        <is>
          <t>SP-062</t>
        </is>
      </c>
      <c r="V62" s="12" t="n">
        <v>6</v>
      </c>
    </row>
    <row r="63">
      <c r="A63" s="7" t="inlineStr">
        <is>
          <t>Morropón</t>
        </is>
      </c>
      <c r="B63" s="7" t="inlineStr">
        <is>
          <t>Buenos Aires</t>
        </is>
      </c>
      <c r="C63" s="7" t="inlineStr">
        <is>
          <t>M6B2-3</t>
        </is>
      </c>
      <c r="D63" s="7" t="inlineStr">
        <is>
          <t>C1077-Q9566</t>
        </is>
      </c>
      <c r="E63" s="8" t="n">
        <v>160.98</v>
      </c>
      <c r="F63" s="9" t="n">
        <v>611305</v>
      </c>
      <c r="G63" s="9" t="n">
        <v>9419274</v>
      </c>
      <c r="H63" s="7" t="inlineStr">
        <is>
          <t>A</t>
        </is>
      </c>
      <c r="I63" s="10" t="n">
        <v>0.4063</v>
      </c>
      <c r="J63" s="7" t="inlineStr">
        <is>
          <t>Medio</t>
        </is>
      </c>
      <c r="K63" s="10" t="n">
        <v>3.321</v>
      </c>
      <c r="L63" s="10" t="n">
        <v>0.705</v>
      </c>
      <c r="M63" s="7" t="inlineStr">
        <is>
          <t>Leve</t>
        </is>
      </c>
      <c r="N63" s="7" t="inlineStr">
        <is>
          <t>C</t>
        </is>
      </c>
      <c r="O63" s="11" t="n">
        <v>90.49299999999999</v>
      </c>
      <c r="P63" s="7" t="inlineStr">
        <is>
          <t>Tierras del Estado y/o posesionarios</t>
        </is>
      </c>
      <c r="Q63" s="7" t="n">
        <v>0</v>
      </c>
      <c r="R63" s="7" t="inlineStr">
        <is>
          <t>Sí</t>
        </is>
      </c>
      <c r="S63" s="7" t="inlineStr">
        <is>
          <t>No</t>
        </is>
      </c>
      <c r="T63" s="7" t="inlineStr">
        <is>
          <t>Medio</t>
        </is>
      </c>
      <c r="U63" s="7" t="inlineStr">
        <is>
          <t>SP-063</t>
        </is>
      </c>
      <c r="V63" s="7" t="n">
        <v>2</v>
      </c>
    </row>
    <row r="64">
      <c r="A64" s="12" t="inlineStr">
        <is>
          <t>Morropón</t>
        </is>
      </c>
      <c r="B64" s="12" t="inlineStr">
        <is>
          <t>Chalaco</t>
        </is>
      </c>
      <c r="C64" s="12" t="inlineStr">
        <is>
          <t>57</t>
        </is>
      </c>
      <c r="D64" s="12" t="inlineStr">
        <is>
          <t>C1086-Q9576</t>
        </is>
      </c>
      <c r="E64" s="13" t="n">
        <v>25.67</v>
      </c>
      <c r="F64" s="14" t="n">
        <v>631195</v>
      </c>
      <c r="G64" s="14" t="n">
        <v>9441777</v>
      </c>
      <c r="H64" s="12" t="inlineStr">
        <is>
          <t>B</t>
        </is>
      </c>
      <c r="I64" s="15" t="n">
        <v>0.6031</v>
      </c>
      <c r="J64" s="12" t="inlineStr">
        <is>
          <t>Medio</t>
        </is>
      </c>
      <c r="K64" s="15" t="n">
        <v>3.296</v>
      </c>
      <c r="L64" s="15" t="n">
        <v>0.861</v>
      </c>
      <c r="M64" s="12" t="inlineStr">
        <is>
          <t>No degradado</t>
        </is>
      </c>
      <c r="N64" s="12" t="inlineStr">
        <is>
          <t>D</t>
        </is>
      </c>
      <c r="O64" s="16" t="n">
        <v>4.582</v>
      </c>
      <c r="P64" s="12" t="inlineStr">
        <is>
          <t>Comunal</t>
        </is>
      </c>
      <c r="Q64" s="12" t="n">
        <v>0</v>
      </c>
      <c r="R64" s="12" t="inlineStr">
        <is>
          <t>No</t>
        </is>
      </c>
      <c r="S64" s="12" t="inlineStr">
        <is>
          <t>Sí</t>
        </is>
      </c>
      <c r="T64" s="12" t="inlineStr">
        <is>
          <t>Medio</t>
        </is>
      </c>
      <c r="U64" s="12" t="inlineStr">
        <is>
          <t>SP-066</t>
        </is>
      </c>
      <c r="V64" s="12" t="n">
        <v>0</v>
      </c>
    </row>
    <row r="65">
      <c r="A65" s="7" t="inlineStr">
        <is>
          <t>Morropón</t>
        </is>
      </c>
      <c r="B65" s="7" t="inlineStr">
        <is>
          <t>Chalaco</t>
        </is>
      </c>
      <c r="C65" s="7" t="inlineStr">
        <is>
          <t>59</t>
        </is>
      </c>
      <c r="D65" s="7" t="inlineStr">
        <is>
          <t>C1086-Q9570</t>
        </is>
      </c>
      <c r="E65" s="8" t="n">
        <v>13.55</v>
      </c>
      <c r="F65" s="9" t="n">
        <v>631195</v>
      </c>
      <c r="G65" s="9" t="n">
        <v>9441777</v>
      </c>
      <c r="H65" s="7" t="inlineStr">
        <is>
          <t>B</t>
        </is>
      </c>
      <c r="I65" s="10" t="n">
        <v>0.6147</v>
      </c>
      <c r="J65" s="7" t="inlineStr">
        <is>
          <t>Alto</t>
        </is>
      </c>
      <c r="K65" s="10" t="n">
        <v>3.48</v>
      </c>
      <c r="L65" s="10" t="n">
        <v>0.8090000000000001</v>
      </c>
      <c r="M65" s="7" t="inlineStr">
        <is>
          <t>No degradado</t>
        </is>
      </c>
      <c r="N65" s="7" t="inlineStr">
        <is>
          <t>D</t>
        </is>
      </c>
      <c r="O65" s="11" t="n">
        <v>13.721</v>
      </c>
      <c r="P65" s="7" t="inlineStr">
        <is>
          <t>Comunal</t>
        </is>
      </c>
      <c r="Q65" s="7" t="n">
        <v>0</v>
      </c>
      <c r="R65" s="7" t="inlineStr">
        <is>
          <t>No</t>
        </is>
      </c>
      <c r="S65" s="7" t="inlineStr">
        <is>
          <t>Sí</t>
        </is>
      </c>
      <c r="T65" s="7" t="inlineStr">
        <is>
          <t>Alto</t>
        </is>
      </c>
      <c r="U65" s="7" t="inlineStr">
        <is>
          <t>SP-067</t>
        </is>
      </c>
      <c r="V65" s="7" t="n">
        <v>0</v>
      </c>
    </row>
    <row r="66">
      <c r="A66" s="12" t="inlineStr">
        <is>
          <t>Morropón</t>
        </is>
      </c>
      <c r="B66" s="12" t="inlineStr">
        <is>
          <t>Chulucanas</t>
        </is>
      </c>
      <c r="C66" s="12" t="inlineStr">
        <is>
          <t>2</t>
        </is>
      </c>
      <c r="D66" s="12" t="inlineStr">
        <is>
          <t>C1096-Q9558</t>
        </is>
      </c>
      <c r="E66" s="13" t="n">
        <v>330.6</v>
      </c>
      <c r="F66" s="14" t="n">
        <v>603653</v>
      </c>
      <c r="G66" s="14" t="n">
        <v>9439351</v>
      </c>
      <c r="H66" s="12" t="inlineStr">
        <is>
          <t>A</t>
        </is>
      </c>
      <c r="I66" s="15" t="n">
        <v>0.3586</v>
      </c>
      <c r="J66" s="12" t="inlineStr">
        <is>
          <t>Muy alto</t>
        </is>
      </c>
      <c r="K66" s="15" t="n">
        <v>4.354</v>
      </c>
      <c r="L66" s="15" t="n">
        <v>0.698</v>
      </c>
      <c r="M66" s="12" t="inlineStr">
        <is>
          <t>Leve</t>
        </is>
      </c>
      <c r="N66" s="12" t="inlineStr">
        <is>
          <t>A</t>
        </is>
      </c>
      <c r="O66" s="16" t="n">
        <v>99.18000000000001</v>
      </c>
      <c r="P66" s="12" t="inlineStr">
        <is>
          <t>Tierras del Estado y/o posesionarios</t>
        </is>
      </c>
      <c r="Q66" s="12" t="n">
        <v>0</v>
      </c>
      <c r="R66" s="12" t="inlineStr">
        <is>
          <t>No</t>
        </is>
      </c>
      <c r="S66" s="12" t="inlineStr">
        <is>
          <t>Sí</t>
        </is>
      </c>
      <c r="T66" s="12" t="inlineStr">
        <is>
          <t>Alto</t>
        </is>
      </c>
      <c r="U66" s="12" t="inlineStr">
        <is>
          <t>SP-068</t>
        </is>
      </c>
      <c r="V66" s="12" t="n">
        <v>1</v>
      </c>
    </row>
    <row r="67">
      <c r="A67" s="7" t="inlineStr">
        <is>
          <t>Morropón</t>
        </is>
      </c>
      <c r="B67" s="7" t="inlineStr">
        <is>
          <t>Chulucanas</t>
        </is>
      </c>
      <c r="C67" s="7" t="inlineStr">
        <is>
          <t>22</t>
        </is>
      </c>
      <c r="D67" s="7" t="inlineStr">
        <is>
          <t>C1096-Q9556</t>
        </is>
      </c>
      <c r="E67" s="8" t="n">
        <v>79.33</v>
      </c>
      <c r="F67" s="9" t="n">
        <v>601122</v>
      </c>
      <c r="G67" s="9" t="n">
        <v>9443651</v>
      </c>
      <c r="H67" s="7" t="inlineStr">
        <is>
          <t>A</t>
        </is>
      </c>
      <c r="I67" s="10" t="n">
        <v>0.4232</v>
      </c>
      <c r="J67" s="7" t="inlineStr">
        <is>
          <t>Muy alto</t>
        </is>
      </c>
      <c r="K67" s="10" t="n">
        <v>4.788</v>
      </c>
      <c r="L67" s="10" t="n">
        <v>0.704</v>
      </c>
      <c r="M67" s="7" t="inlineStr">
        <is>
          <t>Leve</t>
        </is>
      </c>
      <c r="N67" s="7" t="inlineStr">
        <is>
          <t>C</t>
        </is>
      </c>
      <c r="O67" s="11" t="n">
        <v>93.291</v>
      </c>
      <c r="P67" s="7" t="inlineStr">
        <is>
          <t>Tierras del Estado y/o posesionarios</t>
        </is>
      </c>
      <c r="Q67" s="7" t="n">
        <v>0</v>
      </c>
      <c r="R67" s="7" t="inlineStr">
        <is>
          <t>Sí</t>
        </is>
      </c>
      <c r="S67" s="7" t="inlineStr">
        <is>
          <t>Sí</t>
        </is>
      </c>
      <c r="T67" s="7" t="inlineStr">
        <is>
          <t>Alto</t>
        </is>
      </c>
      <c r="U67" s="7" t="inlineStr">
        <is>
          <t>SP-069</t>
        </is>
      </c>
      <c r="V67" s="7" t="n">
        <v>0</v>
      </c>
    </row>
    <row r="68">
      <c r="A68" s="12" t="inlineStr">
        <is>
          <t>Morropón</t>
        </is>
      </c>
      <c r="B68" s="12" t="inlineStr">
        <is>
          <t>Chulucanas</t>
        </is>
      </c>
      <c r="C68" s="12" t="inlineStr">
        <is>
          <t>M10B4</t>
        </is>
      </c>
      <c r="D68" s="12" t="inlineStr">
        <is>
          <t>C1096-Q9547</t>
        </is>
      </c>
      <c r="E68" s="13" t="n">
        <v>68.89</v>
      </c>
      <c r="F68" s="14" t="n">
        <v>596773</v>
      </c>
      <c r="G68" s="14" t="n">
        <v>9448273</v>
      </c>
      <c r="H68" s="12" t="inlineStr">
        <is>
          <t>A</t>
        </is>
      </c>
      <c r="I68" s="15" t="n">
        <v>0.3133</v>
      </c>
      <c r="J68" s="12" t="inlineStr">
        <is>
          <t>Muy alto</t>
        </is>
      </c>
      <c r="K68" s="15" t="n">
        <v>4.565</v>
      </c>
      <c r="L68" s="15" t="n">
        <v>0.715</v>
      </c>
      <c r="M68" s="12" t="inlineStr">
        <is>
          <t>Leve</t>
        </is>
      </c>
      <c r="N68" s="12" t="inlineStr">
        <is>
          <t>A</t>
        </is>
      </c>
      <c r="O68" s="16" t="n">
        <v>99.813</v>
      </c>
      <c r="P68" s="12" t="inlineStr">
        <is>
          <t>Tierras del Estado y/o posesionarios</t>
        </is>
      </c>
      <c r="Q68" s="12" t="n">
        <v>0</v>
      </c>
      <c r="R68" s="12" t="inlineStr">
        <is>
          <t>No</t>
        </is>
      </c>
      <c r="S68" s="12" t="inlineStr">
        <is>
          <t>Sí</t>
        </is>
      </c>
      <c r="T68" s="12" t="inlineStr">
        <is>
          <t>Alto</t>
        </is>
      </c>
      <c r="U68" s="12" t="inlineStr">
        <is>
          <t>SP-071</t>
        </is>
      </c>
      <c r="V68" s="12" t="n">
        <v>0</v>
      </c>
    </row>
    <row r="69">
      <c r="A69" s="7" t="inlineStr">
        <is>
          <t>Morropón</t>
        </is>
      </c>
      <c r="B69" s="7" t="inlineStr">
        <is>
          <t>Chulucanas</t>
        </is>
      </c>
      <c r="C69" s="7" t="inlineStr">
        <is>
          <t>M17B1</t>
        </is>
      </c>
      <c r="D69" s="7" t="inlineStr">
        <is>
          <t>C1096-Q9556</t>
        </is>
      </c>
      <c r="E69" s="8" t="n">
        <v>42.45</v>
      </c>
      <c r="F69" s="9" t="n">
        <v>600644</v>
      </c>
      <c r="G69" s="9" t="n">
        <v>9440436</v>
      </c>
      <c r="H69" s="7" t="inlineStr">
        <is>
          <t>A</t>
        </is>
      </c>
      <c r="I69" s="10" t="n">
        <v>0.3323</v>
      </c>
      <c r="J69" s="7" t="inlineStr">
        <is>
          <t>Alto</t>
        </is>
      </c>
      <c r="K69" s="10" t="n">
        <v>4.112</v>
      </c>
      <c r="L69" s="10" t="n">
        <v>0.504</v>
      </c>
      <c r="M69" s="7" t="inlineStr">
        <is>
          <t>Moderado</t>
        </is>
      </c>
      <c r="N69" s="7" t="inlineStr">
        <is>
          <t>A</t>
        </is>
      </c>
      <c r="O69" s="11" t="n">
        <v>99.837</v>
      </c>
      <c r="P69" s="7" t="inlineStr">
        <is>
          <t>Tierras del Estado y/o posesionarios</t>
        </is>
      </c>
      <c r="Q69" s="7" t="n">
        <v>0</v>
      </c>
      <c r="R69" s="7" t="inlineStr">
        <is>
          <t>Sí</t>
        </is>
      </c>
      <c r="S69" s="7" t="inlineStr">
        <is>
          <t>Sí</t>
        </is>
      </c>
      <c r="T69" s="7" t="inlineStr">
        <is>
          <t>Alto</t>
        </is>
      </c>
      <c r="U69" s="7" t="inlineStr">
        <is>
          <t>SP-072</t>
        </is>
      </c>
      <c r="V69" s="7" t="n">
        <v>0</v>
      </c>
    </row>
    <row r="70">
      <c r="A70" s="12" t="inlineStr">
        <is>
          <t>Morropón</t>
        </is>
      </c>
      <c r="B70" s="12" t="inlineStr">
        <is>
          <t>Chulucanas</t>
        </is>
      </c>
      <c r="C70" s="12" t="inlineStr">
        <is>
          <t>M17B4</t>
        </is>
      </c>
      <c r="D70" s="12" t="inlineStr">
        <is>
          <t>C1096-Q9556</t>
        </is>
      </c>
      <c r="E70" s="13" t="n">
        <v>124.71</v>
      </c>
      <c r="F70" s="14" t="n">
        <v>604926</v>
      </c>
      <c r="G70" s="14" t="n">
        <v>9444327</v>
      </c>
      <c r="H70" s="12" t="inlineStr">
        <is>
          <t>A</t>
        </is>
      </c>
      <c r="I70" s="15" t="n">
        <v>0.4235</v>
      </c>
      <c r="J70" s="12" t="inlineStr">
        <is>
          <t>Alto</t>
        </is>
      </c>
      <c r="K70" s="15" t="n">
        <v>3.853</v>
      </c>
      <c r="L70" s="15" t="n">
        <v>0.822</v>
      </c>
      <c r="M70" s="12" t="inlineStr">
        <is>
          <t>No degradado</t>
        </is>
      </c>
      <c r="N70" s="12" t="inlineStr">
        <is>
          <t>C</t>
        </is>
      </c>
      <c r="O70" s="16" t="n">
        <v>91.941</v>
      </c>
      <c r="P70" s="12" t="inlineStr">
        <is>
          <t>Parcialmente comunal</t>
        </is>
      </c>
      <c r="Q70" s="12" t="n">
        <v>0</v>
      </c>
      <c r="R70" s="12" t="inlineStr">
        <is>
          <t>Sí</t>
        </is>
      </c>
      <c r="S70" s="12" t="inlineStr">
        <is>
          <t>No</t>
        </is>
      </c>
      <c r="T70" s="12" t="inlineStr">
        <is>
          <t>Alto</t>
        </is>
      </c>
      <c r="U70" s="12" t="inlineStr">
        <is>
          <t>SP-073</t>
        </is>
      </c>
      <c r="V70" s="12" t="n">
        <v>0</v>
      </c>
    </row>
    <row r="71">
      <c r="A71" s="7" t="inlineStr">
        <is>
          <t>Morropón</t>
        </is>
      </c>
      <c r="B71" s="7" t="inlineStr">
        <is>
          <t>Chulucanas</t>
        </is>
      </c>
      <c r="C71" s="7" t="inlineStr">
        <is>
          <t>M27B1</t>
        </is>
      </c>
      <c r="D71" s="7" t="inlineStr">
        <is>
          <t>C1096-Q9557</t>
        </is>
      </c>
      <c r="E71" s="8" t="n">
        <v>448.8</v>
      </c>
      <c r="F71" s="9" t="n">
        <v>593246</v>
      </c>
      <c r="G71" s="9" t="n">
        <v>9430139</v>
      </c>
      <c r="H71" s="7" t="inlineStr">
        <is>
          <t>A</t>
        </is>
      </c>
      <c r="I71" s="10" t="n">
        <v>0.3632</v>
      </c>
      <c r="J71" s="7" t="inlineStr">
        <is>
          <t>Medio</t>
        </is>
      </c>
      <c r="K71" s="10" t="n">
        <v>3.292</v>
      </c>
      <c r="L71" s="10" t="n">
        <v>0.57</v>
      </c>
      <c r="M71" s="7" t="inlineStr">
        <is>
          <t>Moderado</t>
        </is>
      </c>
      <c r="N71" s="7" t="inlineStr">
        <is>
          <t>A</t>
        </is>
      </c>
      <c r="O71" s="11" t="n">
        <v>96.94799999999999</v>
      </c>
      <c r="P71" s="7" t="inlineStr">
        <is>
          <t>Tierras del Estado y/o posesionarios</t>
        </is>
      </c>
      <c r="Q71" s="7" t="n">
        <v>0</v>
      </c>
      <c r="R71" s="7" t="inlineStr">
        <is>
          <t>Sí</t>
        </is>
      </c>
      <c r="S71" s="7" t="inlineStr">
        <is>
          <t>Sí</t>
        </is>
      </c>
      <c r="T71" s="7" t="inlineStr">
        <is>
          <t>Medio</t>
        </is>
      </c>
      <c r="U71" s="7" t="inlineStr">
        <is>
          <t>SP-074</t>
        </is>
      </c>
      <c r="V71" s="7" t="n">
        <v>0</v>
      </c>
    </row>
    <row r="72">
      <c r="A72" s="12" t="inlineStr">
        <is>
          <t>Morropón</t>
        </is>
      </c>
      <c r="B72" s="12" t="inlineStr">
        <is>
          <t>Chulucanas</t>
        </is>
      </c>
      <c r="C72" s="12" t="inlineStr">
        <is>
          <t>M9B1</t>
        </is>
      </c>
      <c r="D72" s="12" t="inlineStr">
        <is>
          <t>C1096-Q9545</t>
        </is>
      </c>
      <c r="E72" s="13" t="n">
        <v>355.36</v>
      </c>
      <c r="F72" s="14" t="n">
        <v>595552</v>
      </c>
      <c r="G72" s="14" t="n">
        <v>9451222</v>
      </c>
      <c r="H72" s="12" t="inlineStr">
        <is>
          <t>A</t>
        </is>
      </c>
      <c r="I72" s="15" t="n">
        <v>0.3143</v>
      </c>
      <c r="J72" s="12" t="inlineStr">
        <is>
          <t>Muy alto</t>
        </is>
      </c>
      <c r="K72" s="15" t="n">
        <v>4.705</v>
      </c>
      <c r="L72" s="15" t="n">
        <v>0.6830000000000001</v>
      </c>
      <c r="M72" s="12" t="inlineStr">
        <is>
          <t>Leve</t>
        </is>
      </c>
      <c r="N72" s="12" t="inlineStr">
        <is>
          <t>A</t>
        </is>
      </c>
      <c r="O72" s="16" t="n">
        <v>99.33</v>
      </c>
      <c r="P72" s="12" t="inlineStr">
        <is>
          <t>Comunal</t>
        </is>
      </c>
      <c r="Q72" s="12" t="n">
        <v>0</v>
      </c>
      <c r="R72" s="12" t="inlineStr">
        <is>
          <t>Sí</t>
        </is>
      </c>
      <c r="S72" s="12" t="inlineStr">
        <is>
          <t>Sí</t>
        </is>
      </c>
      <c r="T72" s="12" t="inlineStr">
        <is>
          <t>Alto</t>
        </is>
      </c>
      <c r="U72" s="12" t="inlineStr">
        <is>
          <t>SP-070</t>
        </is>
      </c>
      <c r="V72" s="12" t="n">
        <v>5</v>
      </c>
    </row>
    <row r="73">
      <c r="A73" s="7" t="inlineStr">
        <is>
          <t>Morropón</t>
        </is>
      </c>
      <c r="B73" s="7" t="inlineStr">
        <is>
          <t>Morropón</t>
        </is>
      </c>
      <c r="C73" s="7" t="inlineStr">
        <is>
          <t>M19B2</t>
        </is>
      </c>
      <c r="D73" s="7" t="inlineStr">
        <is>
          <t>C1086-Q9570</t>
        </is>
      </c>
      <c r="E73" s="8" t="n">
        <v>74.37</v>
      </c>
      <c r="F73" s="9" t="n">
        <v>617715</v>
      </c>
      <c r="G73" s="9" t="n">
        <v>9427284</v>
      </c>
      <c r="H73" s="7" t="inlineStr">
        <is>
          <t>A</t>
        </is>
      </c>
      <c r="I73" s="10" t="n">
        <v>0.4012</v>
      </c>
      <c r="J73" s="7" t="inlineStr">
        <is>
          <t>Alto</t>
        </is>
      </c>
      <c r="K73" s="10" t="n">
        <v>4.078</v>
      </c>
      <c r="L73" s="10" t="n">
        <v>0.8110000000000001</v>
      </c>
      <c r="M73" s="7" t="inlineStr">
        <is>
          <t>No degradado</t>
        </is>
      </c>
      <c r="N73" s="7" t="inlineStr">
        <is>
          <t>C</t>
        </is>
      </c>
      <c r="O73" s="11" t="n">
        <v>96.23699999999999</v>
      </c>
      <c r="P73" s="7" t="inlineStr">
        <is>
          <t>Tierras del Estado y/o posesionarios</t>
        </is>
      </c>
      <c r="Q73" s="7" t="n">
        <v>0</v>
      </c>
      <c r="R73" s="7" t="inlineStr">
        <is>
          <t>No</t>
        </is>
      </c>
      <c r="S73" s="7" t="inlineStr">
        <is>
          <t>Sí</t>
        </is>
      </c>
      <c r="T73" s="7" t="inlineStr">
        <is>
          <t>Alto</t>
        </is>
      </c>
      <c r="U73" s="7" t="inlineStr">
        <is>
          <t>SP-075</t>
        </is>
      </c>
      <c r="V73" s="7" t="n">
        <v>0</v>
      </c>
    </row>
    <row r="74">
      <c r="A74" s="12" t="inlineStr">
        <is>
          <t>Morropón</t>
        </is>
      </c>
      <c r="B74" s="12" t="inlineStr">
        <is>
          <t>Morropón</t>
        </is>
      </c>
      <c r="C74" s="12" t="inlineStr">
        <is>
          <t>M32B3</t>
        </is>
      </c>
      <c r="D74" s="12" t="inlineStr">
        <is>
          <t>C1086-Q9569</t>
        </is>
      </c>
      <c r="E74" s="13" t="n">
        <v>50.97</v>
      </c>
      <c r="F74" s="14" t="n">
        <v>618248</v>
      </c>
      <c r="G74" s="14" t="n">
        <v>9426493</v>
      </c>
      <c r="H74" s="12" t="inlineStr">
        <is>
          <t>A</t>
        </is>
      </c>
      <c r="I74" s="15" t="n">
        <v>0.3852</v>
      </c>
      <c r="J74" s="12" t="inlineStr">
        <is>
          <t>Alto</t>
        </is>
      </c>
      <c r="K74" s="15" t="n">
        <v>3.931</v>
      </c>
      <c r="L74" s="15" t="n">
        <v>0.772</v>
      </c>
      <c r="M74" s="12" t="inlineStr">
        <is>
          <t>Leve</t>
        </is>
      </c>
      <c r="N74" s="12" t="inlineStr">
        <is>
          <t>C</t>
        </is>
      </c>
      <c r="O74" s="16" t="n">
        <v>93.877</v>
      </c>
      <c r="P74" s="12" t="inlineStr">
        <is>
          <t>Tierras del Estado y/o posesionarios</t>
        </is>
      </c>
      <c r="Q74" s="12" t="n">
        <v>0</v>
      </c>
      <c r="R74" s="12" t="inlineStr">
        <is>
          <t>Sí</t>
        </is>
      </c>
      <c r="S74" s="12" t="inlineStr">
        <is>
          <t>Sí</t>
        </is>
      </c>
      <c r="T74" s="12" t="inlineStr">
        <is>
          <t>Alto</t>
        </is>
      </c>
      <c r="U74" s="12" t="inlineStr">
        <is>
          <t>SP-076</t>
        </is>
      </c>
      <c r="V74" s="12" t="n">
        <v>0</v>
      </c>
    </row>
    <row r="75">
      <c r="A75" s="7" t="inlineStr">
        <is>
          <t>Morropón</t>
        </is>
      </c>
      <c r="B75" s="7" t="inlineStr">
        <is>
          <t>Salitral</t>
        </is>
      </c>
      <c r="C75" s="7" t="inlineStr">
        <is>
          <t>M18B3</t>
        </is>
      </c>
      <c r="D75" s="7" t="inlineStr">
        <is>
          <t>C1077-Q9579</t>
        </is>
      </c>
      <c r="E75" s="8" t="n">
        <v>373.81</v>
      </c>
      <c r="F75" s="9" t="n">
        <v>625311</v>
      </c>
      <c r="G75" s="9" t="n">
        <v>9412195</v>
      </c>
      <c r="H75" s="7" t="inlineStr">
        <is>
          <t>A</t>
        </is>
      </c>
      <c r="I75" s="10" t="n">
        <v>0.3694</v>
      </c>
      <c r="J75" s="7" t="inlineStr">
        <is>
          <t>Muy alto</t>
        </is>
      </c>
      <c r="K75" s="10" t="n">
        <v>4.416</v>
      </c>
      <c r="L75" s="10" t="n">
        <v>0.779</v>
      </c>
      <c r="M75" s="7" t="inlineStr">
        <is>
          <t>Leve</t>
        </is>
      </c>
      <c r="N75" s="7" t="inlineStr">
        <is>
          <t>A</t>
        </is>
      </c>
      <c r="O75" s="11" t="n">
        <v>98.377</v>
      </c>
      <c r="P75" s="7" t="inlineStr">
        <is>
          <t>Tierras del Estado y/o posesionarios</t>
        </is>
      </c>
      <c r="Q75" s="7" t="n">
        <v>4</v>
      </c>
      <c r="R75" s="7" t="inlineStr">
        <is>
          <t>No</t>
        </is>
      </c>
      <c r="S75" s="7" t="inlineStr">
        <is>
          <t>Sí</t>
        </is>
      </c>
      <c r="T75" s="7" t="inlineStr">
        <is>
          <t>Alto</t>
        </is>
      </c>
      <c r="U75" s="7" t="inlineStr">
        <is>
          <t>SP-085</t>
        </is>
      </c>
      <c r="V75" s="7" t="n">
        <v>1</v>
      </c>
    </row>
    <row r="76">
      <c r="A76" s="12" t="inlineStr">
        <is>
          <t>Morropón</t>
        </is>
      </c>
      <c r="B76" s="12" t="inlineStr">
        <is>
          <t>Salitral</t>
        </is>
      </c>
      <c r="C76" s="12" t="inlineStr">
        <is>
          <t>M2B1</t>
        </is>
      </c>
      <c r="D76" s="12" t="inlineStr">
        <is>
          <t>C1076-Q9584</t>
        </is>
      </c>
      <c r="E76" s="13" t="n">
        <v>81.79000000000001</v>
      </c>
      <c r="F76" s="14" t="n">
        <v>635876</v>
      </c>
      <c r="G76" s="14" t="n">
        <v>9397941</v>
      </c>
      <c r="H76" s="12" t="inlineStr">
        <is>
          <t>A</t>
        </is>
      </c>
      <c r="I76" s="15" t="n">
        <v>0.2984</v>
      </c>
      <c r="J76" s="12" t="inlineStr">
        <is>
          <t>Muy alto</t>
        </is>
      </c>
      <c r="K76" s="15" t="n">
        <v>4.724</v>
      </c>
      <c r="L76" s="15" t="n">
        <v>0.582</v>
      </c>
      <c r="M76" s="12" t="inlineStr">
        <is>
          <t>Moderado</t>
        </is>
      </c>
      <c r="N76" s="12" t="inlineStr">
        <is>
          <t>A</t>
        </is>
      </c>
      <c r="O76" s="16" t="n">
        <v>100</v>
      </c>
      <c r="P76" s="12" t="inlineStr">
        <is>
          <t>Tierras del Estado y/o posesionarios</t>
        </is>
      </c>
      <c r="Q76" s="12" t="n">
        <v>0</v>
      </c>
      <c r="R76" s="12" t="inlineStr">
        <is>
          <t>No</t>
        </is>
      </c>
      <c r="S76" s="12" t="inlineStr">
        <is>
          <t>No</t>
        </is>
      </c>
      <c r="T76" s="12" t="inlineStr">
        <is>
          <t>Alto</t>
        </is>
      </c>
      <c r="U76" s="12" t="inlineStr">
        <is>
          <t>SP-077</t>
        </is>
      </c>
      <c r="V76" s="12" t="n">
        <v>1</v>
      </c>
    </row>
    <row r="77">
      <c r="A77" s="7" t="inlineStr">
        <is>
          <t>Morropón</t>
        </is>
      </c>
      <c r="B77" s="7" t="inlineStr">
        <is>
          <t>Salitral</t>
        </is>
      </c>
      <c r="C77" s="7" t="inlineStr">
        <is>
          <t>M2B5</t>
        </is>
      </c>
      <c r="D77" s="7" t="inlineStr">
        <is>
          <t>C1076-Q9584</t>
        </is>
      </c>
      <c r="E77" s="8" t="n">
        <v>30.91</v>
      </c>
      <c r="F77" s="9" t="n">
        <v>639987</v>
      </c>
      <c r="G77" s="9" t="n">
        <v>9394392</v>
      </c>
      <c r="H77" s="7" t="inlineStr">
        <is>
          <t>A</t>
        </is>
      </c>
      <c r="I77" s="10" t="n">
        <v>0.3047</v>
      </c>
      <c r="J77" s="7" t="inlineStr">
        <is>
          <t>Muy alto</t>
        </is>
      </c>
      <c r="K77" s="10" t="n">
        <v>4.327</v>
      </c>
      <c r="L77" s="10" t="n">
        <v>0.467</v>
      </c>
      <c r="M77" s="7" t="inlineStr">
        <is>
          <t>Moderado</t>
        </is>
      </c>
      <c r="N77" s="7" t="inlineStr">
        <is>
          <t>A</t>
        </is>
      </c>
      <c r="O77" s="11" t="n">
        <v>99.033</v>
      </c>
      <c r="P77" s="7" t="inlineStr">
        <is>
          <t>Tierras del Estado y/o posesionarios</t>
        </is>
      </c>
      <c r="Q77" s="7" t="n">
        <v>0</v>
      </c>
      <c r="R77" s="7" t="inlineStr">
        <is>
          <t>No</t>
        </is>
      </c>
      <c r="S77" s="7" t="inlineStr">
        <is>
          <t>Sí</t>
        </is>
      </c>
      <c r="T77" s="7" t="inlineStr">
        <is>
          <t>Alto</t>
        </is>
      </c>
      <c r="U77" s="7" t="inlineStr">
        <is>
          <t>SP-078</t>
        </is>
      </c>
      <c r="V77" s="7" t="n">
        <v>0</v>
      </c>
    </row>
    <row r="78">
      <c r="A78" s="12" t="inlineStr">
        <is>
          <t>Morropón</t>
        </is>
      </c>
      <c r="B78" s="12" t="inlineStr">
        <is>
          <t>Salitral</t>
        </is>
      </c>
      <c r="C78" s="12" t="inlineStr">
        <is>
          <t>M3B1</t>
        </is>
      </c>
      <c r="D78" s="12" t="inlineStr">
        <is>
          <t>C1081-Q9582</t>
        </is>
      </c>
      <c r="E78" s="13" t="n">
        <v>80.98</v>
      </c>
      <c r="F78" s="14" t="n">
        <v>630685</v>
      </c>
      <c r="G78" s="14" t="n">
        <v>9410800</v>
      </c>
      <c r="H78" s="12" t="inlineStr">
        <is>
          <t>A</t>
        </is>
      </c>
      <c r="I78" s="15" t="n">
        <v>0.3239</v>
      </c>
      <c r="J78" s="12" t="inlineStr">
        <is>
          <t>Muy alto</t>
        </is>
      </c>
      <c r="K78" s="15" t="n">
        <v>4.242</v>
      </c>
      <c r="L78" s="15" t="n">
        <v>0.7</v>
      </c>
      <c r="M78" s="12" t="inlineStr">
        <is>
          <t>Leve</t>
        </is>
      </c>
      <c r="N78" s="12" t="inlineStr">
        <is>
          <t>A</t>
        </is>
      </c>
      <c r="O78" s="16" t="n">
        <v>99.827</v>
      </c>
      <c r="P78" s="12" t="inlineStr">
        <is>
          <t>Comunal</t>
        </is>
      </c>
      <c r="Q78" s="12" t="n">
        <v>0</v>
      </c>
      <c r="R78" s="12" t="inlineStr">
        <is>
          <t>No</t>
        </is>
      </c>
      <c r="S78" s="12" t="inlineStr">
        <is>
          <t>Sí</t>
        </is>
      </c>
      <c r="T78" s="12" t="inlineStr">
        <is>
          <t>Alto</t>
        </is>
      </c>
      <c r="U78" s="12" t="inlineStr">
        <is>
          <t>SP-079</t>
        </is>
      </c>
      <c r="V78" s="12" t="n">
        <v>0</v>
      </c>
    </row>
    <row r="79">
      <c r="A79" s="7" t="inlineStr">
        <is>
          <t>Morropón</t>
        </is>
      </c>
      <c r="B79" s="7" t="inlineStr">
        <is>
          <t>Salitral</t>
        </is>
      </c>
      <c r="C79" s="7" t="inlineStr">
        <is>
          <t>M3B9</t>
        </is>
      </c>
      <c r="D79" s="7" t="inlineStr">
        <is>
          <t>C1081-Q9582</t>
        </is>
      </c>
      <c r="E79" s="8" t="n">
        <v>294.2</v>
      </c>
      <c r="F79" s="9" t="n">
        <v>629338</v>
      </c>
      <c r="G79" s="9" t="n">
        <v>9413305</v>
      </c>
      <c r="H79" s="7" t="inlineStr">
        <is>
          <t>A</t>
        </is>
      </c>
      <c r="I79" s="10" t="n">
        <v>0.3214</v>
      </c>
      <c r="J79" s="7" t="inlineStr">
        <is>
          <t>Muy alto</t>
        </is>
      </c>
      <c r="K79" s="10" t="n">
        <v>4.533</v>
      </c>
      <c r="L79" s="10" t="n">
        <v>0.6909999999999999</v>
      </c>
      <c r="M79" s="7" t="inlineStr">
        <is>
          <t>Leve</t>
        </is>
      </c>
      <c r="N79" s="7" t="inlineStr">
        <is>
          <t>A</t>
        </is>
      </c>
      <c r="O79" s="11" t="n">
        <v>99.396</v>
      </c>
      <c r="P79" s="7" t="inlineStr">
        <is>
          <t>Tierras del Estado y/o posesionarios</t>
        </is>
      </c>
      <c r="Q79" s="7" t="n">
        <v>0</v>
      </c>
      <c r="R79" s="7" t="inlineStr">
        <is>
          <t>Sí</t>
        </is>
      </c>
      <c r="S79" s="7" t="inlineStr">
        <is>
          <t>Sí</t>
        </is>
      </c>
      <c r="T79" s="7" t="inlineStr">
        <is>
          <t>Alto</t>
        </is>
      </c>
      <c r="U79" s="7" t="inlineStr">
        <is>
          <t>SP-080</t>
        </is>
      </c>
      <c r="V79" s="7" t="n">
        <v>1</v>
      </c>
    </row>
    <row r="80">
      <c r="A80" s="12" t="inlineStr">
        <is>
          <t>Morropón</t>
        </is>
      </c>
      <c r="B80" s="12" t="inlineStr">
        <is>
          <t>Salitral</t>
        </is>
      </c>
      <c r="C80" s="12" t="inlineStr">
        <is>
          <t>M7B1</t>
        </is>
      </c>
      <c r="D80" s="12" t="inlineStr">
        <is>
          <t>C1076-Q9581</t>
        </is>
      </c>
      <c r="E80" s="13" t="n">
        <v>130.43</v>
      </c>
      <c r="F80" s="14" t="n">
        <v>629006</v>
      </c>
      <c r="G80" s="14" t="n">
        <v>9407536</v>
      </c>
      <c r="H80" s="12" t="inlineStr">
        <is>
          <t>A</t>
        </is>
      </c>
      <c r="I80" s="15" t="n">
        <v>0.3136</v>
      </c>
      <c r="J80" s="12" t="inlineStr">
        <is>
          <t>Muy alto</t>
        </is>
      </c>
      <c r="K80" s="15" t="n">
        <v>4.38</v>
      </c>
      <c r="L80" s="15" t="n">
        <v>0.783</v>
      </c>
      <c r="M80" s="12" t="inlineStr">
        <is>
          <t>Leve</t>
        </is>
      </c>
      <c r="N80" s="12" t="inlineStr">
        <is>
          <t>A</t>
        </is>
      </c>
      <c r="O80" s="16" t="n">
        <v>99.776</v>
      </c>
      <c r="P80" s="12" t="inlineStr">
        <is>
          <t>Tierras del Estado y/o posesionarios</t>
        </is>
      </c>
      <c r="Q80" s="12" t="n">
        <v>0</v>
      </c>
      <c r="R80" s="12" t="inlineStr">
        <is>
          <t>Sí</t>
        </is>
      </c>
      <c r="S80" s="12" t="inlineStr">
        <is>
          <t>Sí</t>
        </is>
      </c>
      <c r="T80" s="12" t="inlineStr">
        <is>
          <t>Alto</t>
        </is>
      </c>
      <c r="U80" s="12" t="inlineStr">
        <is>
          <t>SP-081</t>
        </is>
      </c>
      <c r="V80" s="12" t="n">
        <v>0</v>
      </c>
    </row>
    <row r="81">
      <c r="A81" s="7" t="inlineStr">
        <is>
          <t>Morropón</t>
        </is>
      </c>
      <c r="B81" s="7" t="inlineStr">
        <is>
          <t>Salitral</t>
        </is>
      </c>
      <c r="C81" s="7" t="inlineStr">
        <is>
          <t>M7B2</t>
        </is>
      </c>
      <c r="D81" s="7" t="inlineStr">
        <is>
          <t>C1076-Q9581</t>
        </is>
      </c>
      <c r="E81" s="8" t="n">
        <v>115.38</v>
      </c>
      <c r="F81" s="9" t="n">
        <v>631438</v>
      </c>
      <c r="G81" s="9" t="n">
        <v>9403547</v>
      </c>
      <c r="H81" s="7" t="inlineStr">
        <is>
          <t>A</t>
        </is>
      </c>
      <c r="I81" s="10" t="n">
        <v>0.2877</v>
      </c>
      <c r="J81" s="7" t="inlineStr">
        <is>
          <t>Muy alto</t>
        </is>
      </c>
      <c r="K81" s="10" t="n">
        <v>4.494</v>
      </c>
      <c r="L81" s="10" t="n">
        <v>0.609</v>
      </c>
      <c r="M81" s="7" t="inlineStr">
        <is>
          <t>Leve</t>
        </is>
      </c>
      <c r="N81" s="7" t="inlineStr">
        <is>
          <t>A</t>
        </is>
      </c>
      <c r="O81" s="11" t="n">
        <v>99.584</v>
      </c>
      <c r="P81" s="7" t="inlineStr">
        <is>
          <t>Tierras del Estado y/o posesionarios</t>
        </is>
      </c>
      <c r="Q81" s="7" t="n">
        <v>0</v>
      </c>
      <c r="R81" s="7" t="inlineStr">
        <is>
          <t>Ref.</t>
        </is>
      </c>
      <c r="S81" s="7" t="inlineStr">
        <is>
          <t>Sí</t>
        </is>
      </c>
      <c r="T81" s="7" t="inlineStr">
        <is>
          <t>Alto</t>
        </is>
      </c>
      <c r="U81" s="7" t="inlineStr">
        <is>
          <t>SP-082</t>
        </is>
      </c>
      <c r="V81" s="7" t="n">
        <v>1</v>
      </c>
    </row>
    <row r="82">
      <c r="A82" s="12" t="inlineStr">
        <is>
          <t>Morropón</t>
        </is>
      </c>
      <c r="B82" s="12" t="inlineStr">
        <is>
          <t>Salitral</t>
        </is>
      </c>
      <c r="C82" s="12" t="inlineStr">
        <is>
          <t>M7B3</t>
        </is>
      </c>
      <c r="D82" s="12" t="inlineStr">
        <is>
          <t>C1076-Q9581</t>
        </is>
      </c>
      <c r="E82" s="13" t="n">
        <v>65.73999999999999</v>
      </c>
      <c r="F82" s="14" t="n">
        <v>633232</v>
      </c>
      <c r="G82" s="14" t="n">
        <v>9401227</v>
      </c>
      <c r="H82" s="12" t="inlineStr">
        <is>
          <t>A</t>
        </is>
      </c>
      <c r="I82" s="15" t="n">
        <v>0.298</v>
      </c>
      <c r="J82" s="12" t="inlineStr">
        <is>
          <t>Muy alto</t>
        </is>
      </c>
      <c r="K82" s="15" t="n">
        <v>4.376</v>
      </c>
      <c r="L82" s="15" t="n">
        <v>0.532</v>
      </c>
      <c r="M82" s="12" t="inlineStr">
        <is>
          <t>Moderado</t>
        </is>
      </c>
      <c r="N82" s="12" t="inlineStr">
        <is>
          <t>A</t>
        </is>
      </c>
      <c r="O82" s="16" t="n">
        <v>99.848</v>
      </c>
      <c r="P82" s="12" t="inlineStr">
        <is>
          <t>Tierras del Estado y/o posesionarios</t>
        </is>
      </c>
      <c r="Q82" s="12" t="n">
        <v>0</v>
      </c>
      <c r="R82" s="12" t="inlineStr">
        <is>
          <t>No</t>
        </is>
      </c>
      <c r="S82" s="12" t="inlineStr">
        <is>
          <t>Sí</t>
        </is>
      </c>
      <c r="T82" s="12" t="inlineStr">
        <is>
          <t>Alto</t>
        </is>
      </c>
      <c r="U82" s="12" t="inlineStr">
        <is>
          <t>SP-083</t>
        </is>
      </c>
      <c r="V82" s="12" t="n">
        <v>0</v>
      </c>
    </row>
    <row r="83">
      <c r="A83" s="7" t="inlineStr">
        <is>
          <t>Morropón</t>
        </is>
      </c>
      <c r="B83" s="7" t="inlineStr">
        <is>
          <t>Salitral</t>
        </is>
      </c>
      <c r="C83" s="7" t="inlineStr">
        <is>
          <t>M7B6</t>
        </is>
      </c>
      <c r="D83" s="7" t="inlineStr">
        <is>
          <t>C1076-Q9581</t>
        </is>
      </c>
      <c r="E83" s="8" t="n">
        <v>91.29000000000001</v>
      </c>
      <c r="F83" s="9" t="n">
        <v>635110</v>
      </c>
      <c r="G83" s="9" t="n">
        <v>9399092</v>
      </c>
      <c r="H83" s="7" t="inlineStr">
        <is>
          <t>A</t>
        </is>
      </c>
      <c r="I83" s="10" t="n">
        <v>0.2878</v>
      </c>
      <c r="J83" s="7" t="inlineStr">
        <is>
          <t>Muy alto</t>
        </is>
      </c>
      <c r="K83" s="10" t="n">
        <v>4.585</v>
      </c>
      <c r="L83" s="10" t="n">
        <v>0.581</v>
      </c>
      <c r="M83" s="7" t="inlineStr">
        <is>
          <t>Moderado</t>
        </is>
      </c>
      <c r="N83" s="7" t="inlineStr">
        <is>
          <t>A</t>
        </is>
      </c>
      <c r="O83" s="11" t="n">
        <v>99.964</v>
      </c>
      <c r="P83" s="7" t="inlineStr">
        <is>
          <t>Tierras del Estado y/o posesionarios</t>
        </is>
      </c>
      <c r="Q83" s="7" t="n">
        <v>0</v>
      </c>
      <c r="R83" s="7" t="inlineStr">
        <is>
          <t>No</t>
        </is>
      </c>
      <c r="S83" s="7" t="inlineStr">
        <is>
          <t>Sí</t>
        </is>
      </c>
      <c r="T83" s="7" t="inlineStr">
        <is>
          <t>Alto</t>
        </is>
      </c>
      <c r="U83" s="7" t="inlineStr">
        <is>
          <t>SP-084</t>
        </is>
      </c>
      <c r="V83" s="7" t="n">
        <v>0</v>
      </c>
    </row>
    <row r="84">
      <c r="A84" s="12" t="inlineStr">
        <is>
          <t>Morropón</t>
        </is>
      </c>
      <c r="B84" s="12" t="inlineStr">
        <is>
          <t>San Juan de Bigote</t>
        </is>
      </c>
      <c r="C84" s="12" t="inlineStr">
        <is>
          <t>77</t>
        </is>
      </c>
      <c r="D84" s="12" t="inlineStr">
        <is>
          <t>C1081-Q9583</t>
        </is>
      </c>
      <c r="E84" s="13" t="n">
        <v>17.82</v>
      </c>
      <c r="F84" s="14" t="n">
        <v>638648</v>
      </c>
      <c r="G84" s="14" t="n">
        <v>9411370</v>
      </c>
      <c r="H84" s="12" t="inlineStr">
        <is>
          <t>A</t>
        </is>
      </c>
      <c r="I84" s="15" t="n">
        <v>0.2725</v>
      </c>
      <c r="J84" s="12" t="inlineStr">
        <is>
          <t>Muy alto</t>
        </is>
      </c>
      <c r="K84" s="15" t="n">
        <v>4.588</v>
      </c>
      <c r="L84" s="15" t="n">
        <v>0.299</v>
      </c>
      <c r="M84" s="12" t="inlineStr">
        <is>
          <t>Severo</t>
        </is>
      </c>
      <c r="N84" s="12" t="inlineStr">
        <is>
          <t>A</t>
        </is>
      </c>
      <c r="O84" s="16" t="n">
        <v>99.77800000000001</v>
      </c>
      <c r="P84" s="12" t="inlineStr">
        <is>
          <t>Comunal</t>
        </is>
      </c>
      <c r="Q84" s="12" t="n">
        <v>0</v>
      </c>
      <c r="R84" s="12" t="inlineStr">
        <is>
          <t>No</t>
        </is>
      </c>
      <c r="S84" s="12" t="inlineStr">
        <is>
          <t>Sí</t>
        </is>
      </c>
      <c r="T84" s="12" t="inlineStr">
        <is>
          <t>Alto</t>
        </is>
      </c>
      <c r="U84" s="12" t="inlineStr">
        <is>
          <t>SP-086</t>
        </is>
      </c>
      <c r="V84" s="12" t="n">
        <v>0</v>
      </c>
    </row>
    <row r="85">
      <c r="A85" s="7" t="inlineStr">
        <is>
          <t>Morropón</t>
        </is>
      </c>
      <c r="B85" s="7" t="inlineStr">
        <is>
          <t>San Juan de Bigote</t>
        </is>
      </c>
      <c r="C85" s="7" t="inlineStr">
        <is>
          <t>83</t>
        </is>
      </c>
      <c r="D85" s="7" t="inlineStr">
        <is>
          <t>C1081-Q9583</t>
        </is>
      </c>
      <c r="E85" s="8" t="n">
        <v>24.34</v>
      </c>
      <c r="F85" s="9" t="n">
        <v>639720</v>
      </c>
      <c r="G85" s="9" t="n">
        <v>9410622</v>
      </c>
      <c r="H85" s="7" t="inlineStr">
        <is>
          <t>A</t>
        </is>
      </c>
      <c r="I85" s="10" t="n">
        <v>0.3055</v>
      </c>
      <c r="J85" s="7" t="inlineStr">
        <is>
          <t>Muy alto</t>
        </is>
      </c>
      <c r="K85" s="10" t="n">
        <v>4.665</v>
      </c>
      <c r="L85" s="10" t="n">
        <v>0.396</v>
      </c>
      <c r="M85" s="7" t="inlineStr">
        <is>
          <t>Severo</t>
        </is>
      </c>
      <c r="N85" s="7" t="inlineStr">
        <is>
          <t>A</t>
        </is>
      </c>
      <c r="O85" s="11" t="n">
        <v>99.39</v>
      </c>
      <c r="P85" s="7" t="inlineStr">
        <is>
          <t>Comunal</t>
        </is>
      </c>
      <c r="Q85" s="7" t="n">
        <v>0</v>
      </c>
      <c r="R85" s="7" t="inlineStr">
        <is>
          <t>No</t>
        </is>
      </c>
      <c r="S85" s="7" t="inlineStr">
        <is>
          <t>Sí</t>
        </is>
      </c>
      <c r="T85" s="7" t="inlineStr">
        <is>
          <t>Alto</t>
        </is>
      </c>
      <c r="U85" s="7" t="inlineStr">
        <is>
          <t>SP-087</t>
        </is>
      </c>
      <c r="V85" s="7" t="n">
        <v>0</v>
      </c>
    </row>
    <row r="86">
      <c r="A86" s="12" t="inlineStr">
        <is>
          <t>Morropón</t>
        </is>
      </c>
      <c r="B86" s="12" t="inlineStr">
        <is>
          <t>San Juan de Bigote</t>
        </is>
      </c>
      <c r="C86" s="12" t="inlineStr">
        <is>
          <t>84</t>
        </is>
      </c>
      <c r="D86" s="12" t="inlineStr">
        <is>
          <t>C1081-Q9583</t>
        </is>
      </c>
      <c r="E86" s="13" t="n">
        <v>5.097</v>
      </c>
      <c r="F86" s="14" t="n">
        <v>640237</v>
      </c>
      <c r="G86" s="14" t="n">
        <v>9410714</v>
      </c>
      <c r="H86" s="12" t="inlineStr">
        <is>
          <t>A</t>
        </is>
      </c>
      <c r="I86" s="15" t="n">
        <v>0.2516</v>
      </c>
      <c r="J86" s="12" t="inlineStr">
        <is>
          <t>Muy alto</t>
        </is>
      </c>
      <c r="K86" s="15" t="n">
        <v>4.615</v>
      </c>
      <c r="L86" s="15" t="n">
        <v>0.239</v>
      </c>
      <c r="M86" s="12" t="inlineStr">
        <is>
          <t>Severo</t>
        </is>
      </c>
      <c r="N86" s="12" t="inlineStr">
        <is>
          <t>A</t>
        </is>
      </c>
      <c r="O86" s="16" t="n">
        <v>100</v>
      </c>
      <c r="P86" s="12" t="inlineStr">
        <is>
          <t>Comunal</t>
        </is>
      </c>
      <c r="Q86" s="12" t="n">
        <v>0</v>
      </c>
      <c r="R86" s="12" t="inlineStr">
        <is>
          <t>No</t>
        </is>
      </c>
      <c r="S86" s="12" t="inlineStr">
        <is>
          <t>Sí</t>
        </is>
      </c>
      <c r="T86" s="12" t="inlineStr">
        <is>
          <t>Alto</t>
        </is>
      </c>
      <c r="U86" s="12" t="inlineStr">
        <is>
          <t>SP-088</t>
        </is>
      </c>
      <c r="V86" s="12" t="n">
        <v>0</v>
      </c>
    </row>
    <row r="87">
      <c r="A87" s="7" t="inlineStr">
        <is>
          <t>Morropón</t>
        </is>
      </c>
      <c r="B87" s="7" t="inlineStr">
        <is>
          <t>San Juan de Bigote</t>
        </is>
      </c>
      <c r="C87" s="7" t="inlineStr">
        <is>
          <t>85</t>
        </is>
      </c>
      <c r="D87" s="7" t="inlineStr">
        <is>
          <t>C1081-Q9583</t>
        </is>
      </c>
      <c r="E87" s="8" t="n">
        <v>11.91</v>
      </c>
      <c r="F87" s="9" t="n">
        <v>642200</v>
      </c>
      <c r="G87" s="9" t="n">
        <v>9411072</v>
      </c>
      <c r="H87" s="7" t="inlineStr">
        <is>
          <t>A</t>
        </is>
      </c>
      <c r="I87" s="10" t="n">
        <v>0.2289</v>
      </c>
      <c r="J87" s="7" t="inlineStr">
        <is>
          <t>Muy alto</t>
        </is>
      </c>
      <c r="K87" s="10" t="n">
        <v>4.491</v>
      </c>
      <c r="L87" s="10" t="n">
        <v>0.218</v>
      </c>
      <c r="M87" s="7" t="inlineStr">
        <is>
          <t>Severo</t>
        </is>
      </c>
      <c r="N87" s="7" t="inlineStr">
        <is>
          <t>A</t>
        </is>
      </c>
      <c r="O87" s="11" t="n">
        <v>100</v>
      </c>
      <c r="P87" s="7" t="inlineStr">
        <is>
          <t>Comunal</t>
        </is>
      </c>
      <c r="Q87" s="7" t="n">
        <v>0</v>
      </c>
      <c r="R87" s="7" t="inlineStr">
        <is>
          <t>No</t>
        </is>
      </c>
      <c r="S87" s="7" t="inlineStr">
        <is>
          <t>Sí</t>
        </is>
      </c>
      <c r="T87" s="7" t="inlineStr">
        <is>
          <t>Alto</t>
        </is>
      </c>
      <c r="U87" s="7" t="inlineStr">
        <is>
          <t>SP-089</t>
        </is>
      </c>
      <c r="V87" s="7" t="n">
        <v>0</v>
      </c>
    </row>
    <row r="88">
      <c r="A88" s="12" t="inlineStr">
        <is>
          <t>Morropón</t>
        </is>
      </c>
      <c r="B88" s="12" t="inlineStr">
        <is>
          <t>San Juan de Bigote</t>
        </is>
      </c>
      <c r="C88" s="12" t="inlineStr">
        <is>
          <t>86</t>
        </is>
      </c>
      <c r="D88" s="12" t="inlineStr">
        <is>
          <t>C1081-Q9583</t>
        </is>
      </c>
      <c r="E88" s="13" t="n">
        <v>30</v>
      </c>
      <c r="F88" s="14" t="n">
        <v>642415</v>
      </c>
      <c r="G88" s="14" t="n">
        <v>9410216</v>
      </c>
      <c r="H88" s="12" t="inlineStr">
        <is>
          <t>A</t>
        </is>
      </c>
      <c r="I88" s="15" t="n">
        <v>0.2735</v>
      </c>
      <c r="J88" s="12" t="inlineStr">
        <is>
          <t>Muy alto</t>
        </is>
      </c>
      <c r="K88" s="15" t="n">
        <v>4.498</v>
      </c>
      <c r="L88" s="15" t="n">
        <v>0.273</v>
      </c>
      <c r="M88" s="12" t="inlineStr">
        <is>
          <t>Severo</t>
        </is>
      </c>
      <c r="N88" s="12" t="inlineStr">
        <is>
          <t>A</t>
        </is>
      </c>
      <c r="O88" s="16" t="n">
        <v>99.619</v>
      </c>
      <c r="P88" s="12" t="inlineStr">
        <is>
          <t>Comunal</t>
        </is>
      </c>
      <c r="Q88" s="12" t="n">
        <v>0</v>
      </c>
      <c r="R88" s="12" t="inlineStr">
        <is>
          <t>No</t>
        </is>
      </c>
      <c r="S88" s="12" t="inlineStr">
        <is>
          <t>Sí</t>
        </is>
      </c>
      <c r="T88" s="12" t="inlineStr">
        <is>
          <t>Alto</t>
        </is>
      </c>
      <c r="U88" s="12" t="inlineStr">
        <is>
          <t>SP-090</t>
        </is>
      </c>
      <c r="V88" s="12" t="n">
        <v>0</v>
      </c>
    </row>
    <row r="89">
      <c r="A89" s="7" t="inlineStr">
        <is>
          <t>Morropón</t>
        </is>
      </c>
      <c r="B89" s="7" t="inlineStr">
        <is>
          <t>San Juan de Bigote</t>
        </is>
      </c>
      <c r="C89" s="7" t="inlineStr">
        <is>
          <t>87</t>
        </is>
      </c>
      <c r="D89" s="7" t="inlineStr">
        <is>
          <t>C1081-Q9583</t>
        </is>
      </c>
      <c r="E89" s="8" t="n">
        <v>62.22</v>
      </c>
      <c r="F89" s="9" t="n">
        <v>642882</v>
      </c>
      <c r="G89" s="9" t="n">
        <v>9411123</v>
      </c>
      <c r="H89" s="7" t="inlineStr">
        <is>
          <t>A</t>
        </is>
      </c>
      <c r="I89" s="10" t="n">
        <v>0.2487</v>
      </c>
      <c r="J89" s="7" t="inlineStr">
        <is>
          <t>Muy alto</t>
        </is>
      </c>
      <c r="K89" s="10" t="n">
        <v>4.444</v>
      </c>
      <c r="L89" s="10" t="n">
        <v>0.262</v>
      </c>
      <c r="M89" s="7" t="inlineStr">
        <is>
          <t>Severo</t>
        </is>
      </c>
      <c r="N89" s="7" t="inlineStr">
        <is>
          <t>A</t>
        </is>
      </c>
      <c r="O89" s="11" t="n">
        <v>99.72</v>
      </c>
      <c r="P89" s="7" t="inlineStr">
        <is>
          <t>Comunal</t>
        </is>
      </c>
      <c r="Q89" s="7" t="n">
        <v>1</v>
      </c>
      <c r="R89" s="7" t="inlineStr">
        <is>
          <t>No</t>
        </is>
      </c>
      <c r="S89" s="7" t="inlineStr">
        <is>
          <t>Sí</t>
        </is>
      </c>
      <c r="T89" s="7" t="inlineStr">
        <is>
          <t>Alto</t>
        </is>
      </c>
      <c r="U89" s="7" t="inlineStr">
        <is>
          <t>SP-091</t>
        </is>
      </c>
      <c r="V89" s="7" t="n">
        <v>0</v>
      </c>
    </row>
    <row r="90">
      <c r="A90" s="12" t="inlineStr">
        <is>
          <t>Morropón</t>
        </is>
      </c>
      <c r="B90" s="12" t="inlineStr">
        <is>
          <t>San Juan de Bigote</t>
        </is>
      </c>
      <c r="C90" s="12" t="inlineStr">
        <is>
          <t>M11B3</t>
        </is>
      </c>
      <c r="D90" s="12" t="inlineStr">
        <is>
          <t>C1081-Q9583</t>
        </is>
      </c>
      <c r="E90" s="13" t="n">
        <v>106.03</v>
      </c>
      <c r="F90" s="14" t="n">
        <v>642079</v>
      </c>
      <c r="G90" s="14" t="n">
        <v>9413823</v>
      </c>
      <c r="H90" s="12" t="inlineStr">
        <is>
          <t>A</t>
        </is>
      </c>
      <c r="I90" s="15" t="n">
        <v>0.3956</v>
      </c>
      <c r="J90" s="12" t="inlineStr">
        <is>
          <t>Muy alto</t>
        </is>
      </c>
      <c r="K90" s="15" t="n">
        <v>4.888</v>
      </c>
      <c r="L90" s="15" t="n">
        <v>0.832</v>
      </c>
      <c r="M90" s="12" t="inlineStr">
        <is>
          <t>No degradado</t>
        </is>
      </c>
      <c r="N90" s="12" t="inlineStr">
        <is>
          <t>C</t>
        </is>
      </c>
      <c r="O90" s="16" t="n">
        <v>88.873</v>
      </c>
      <c r="P90" s="12" t="inlineStr">
        <is>
          <t>Tierras del Estado y/o posesionarios</t>
        </is>
      </c>
      <c r="Q90" s="12" t="n">
        <v>0</v>
      </c>
      <c r="R90" s="12" t="inlineStr">
        <is>
          <t>Sí</t>
        </is>
      </c>
      <c r="S90" s="12" t="inlineStr">
        <is>
          <t>Sí</t>
        </is>
      </c>
      <c r="T90" s="12" t="inlineStr">
        <is>
          <t>Alto</t>
        </is>
      </c>
      <c r="U90" s="12" t="inlineStr">
        <is>
          <t>SP-097</t>
        </is>
      </c>
      <c r="V90" s="12" t="n">
        <v>1</v>
      </c>
    </row>
    <row r="91">
      <c r="A91" s="7" t="inlineStr">
        <is>
          <t>Morropón</t>
        </is>
      </c>
      <c r="B91" s="7" t="inlineStr">
        <is>
          <t>San Juan de Bigote</t>
        </is>
      </c>
      <c r="C91" s="7" t="inlineStr">
        <is>
          <t>M3B3</t>
        </is>
      </c>
      <c r="D91" s="7" t="inlineStr">
        <is>
          <t>C1081-Q9582</t>
        </is>
      </c>
      <c r="E91" s="8" t="n">
        <v>84.81999999999999</v>
      </c>
      <c r="F91" s="9" t="n">
        <v>633015</v>
      </c>
      <c r="G91" s="9" t="n">
        <v>9411483</v>
      </c>
      <c r="H91" s="7" t="inlineStr">
        <is>
          <t>A</t>
        </is>
      </c>
      <c r="I91" s="10" t="n">
        <v>0.2985</v>
      </c>
      <c r="J91" s="7" t="inlineStr">
        <is>
          <t>Muy alto</t>
        </is>
      </c>
      <c r="K91" s="10" t="n">
        <v>4.832</v>
      </c>
      <c r="L91" s="10" t="n">
        <v>0.638</v>
      </c>
      <c r="M91" s="7" t="inlineStr">
        <is>
          <t>Leve</t>
        </is>
      </c>
      <c r="N91" s="7" t="inlineStr">
        <is>
          <t>A</t>
        </is>
      </c>
      <c r="O91" s="11" t="n">
        <v>99.895</v>
      </c>
      <c r="P91" s="7" t="inlineStr">
        <is>
          <t>Comunal</t>
        </is>
      </c>
      <c r="Q91" s="7" t="n">
        <v>0</v>
      </c>
      <c r="R91" s="7" t="inlineStr">
        <is>
          <t>No</t>
        </is>
      </c>
      <c r="S91" s="7" t="inlineStr">
        <is>
          <t>Sí</t>
        </is>
      </c>
      <c r="T91" s="7" t="inlineStr">
        <is>
          <t>Alto</t>
        </is>
      </c>
      <c r="U91" s="7" t="inlineStr">
        <is>
          <t>SP-092</t>
        </is>
      </c>
      <c r="V91" s="7" t="n">
        <v>0</v>
      </c>
    </row>
    <row r="92">
      <c r="A92" s="12" t="inlineStr">
        <is>
          <t>Morropón</t>
        </is>
      </c>
      <c r="B92" s="12" t="inlineStr">
        <is>
          <t>San Juan de Bigote</t>
        </is>
      </c>
      <c r="C92" s="12" t="inlineStr">
        <is>
          <t>M3B5</t>
        </is>
      </c>
      <c r="D92" s="12" t="inlineStr">
        <is>
          <t>C1081-Q9582</t>
        </is>
      </c>
      <c r="E92" s="13" t="n">
        <v>52.74</v>
      </c>
      <c r="F92" s="14" t="n">
        <v>635887</v>
      </c>
      <c r="G92" s="14" t="n">
        <v>9411738</v>
      </c>
      <c r="H92" s="12" t="inlineStr">
        <is>
          <t>A</t>
        </is>
      </c>
      <c r="I92" s="15" t="n">
        <v>0.283</v>
      </c>
      <c r="J92" s="12" t="inlineStr">
        <is>
          <t>Muy alto</t>
        </is>
      </c>
      <c r="K92" s="15" t="n">
        <v>4.803</v>
      </c>
      <c r="L92" s="15" t="n">
        <v>0.427</v>
      </c>
      <c r="M92" s="12" t="inlineStr">
        <is>
          <t>Moderado</t>
        </is>
      </c>
      <c r="N92" s="12" t="inlineStr">
        <is>
          <t>A</t>
        </is>
      </c>
      <c r="O92" s="16" t="n">
        <v>99.887</v>
      </c>
      <c r="P92" s="12" t="inlineStr">
        <is>
          <t>Comunal</t>
        </is>
      </c>
      <c r="Q92" s="12" t="n">
        <v>0</v>
      </c>
      <c r="R92" s="12" t="inlineStr">
        <is>
          <t>Sí</t>
        </is>
      </c>
      <c r="S92" s="12" t="inlineStr">
        <is>
          <t>Sí</t>
        </is>
      </c>
      <c r="T92" s="12" t="inlineStr">
        <is>
          <t>Alto</t>
        </is>
      </c>
      <c r="U92" s="12" t="inlineStr">
        <is>
          <t>SP-093</t>
        </is>
      </c>
      <c r="V92" s="12" t="n">
        <v>0</v>
      </c>
    </row>
    <row r="93">
      <c r="A93" s="7" t="inlineStr">
        <is>
          <t>Morropón</t>
        </is>
      </c>
      <c r="B93" s="7" t="inlineStr">
        <is>
          <t>San Juan de Bigote</t>
        </is>
      </c>
      <c r="C93" s="7" t="inlineStr">
        <is>
          <t>M3B6</t>
        </is>
      </c>
      <c r="D93" s="7" t="inlineStr">
        <is>
          <t>C1081-Q9582</t>
        </is>
      </c>
      <c r="E93" s="8" t="n">
        <v>60.35</v>
      </c>
      <c r="F93" s="9" t="n">
        <v>637918</v>
      </c>
      <c r="G93" s="9" t="n">
        <v>9412134</v>
      </c>
      <c r="H93" s="7" t="inlineStr">
        <is>
          <t>A</t>
        </is>
      </c>
      <c r="I93" s="10" t="n">
        <v>0.3425</v>
      </c>
      <c r="J93" s="7" t="inlineStr">
        <is>
          <t>Muy alto</t>
        </is>
      </c>
      <c r="K93" s="10" t="n">
        <v>4.849</v>
      </c>
      <c r="L93" s="10" t="n">
        <v>0.577</v>
      </c>
      <c r="M93" s="7" t="inlineStr">
        <is>
          <t>Moderado</t>
        </is>
      </c>
      <c r="N93" s="7" t="inlineStr">
        <is>
          <t>A</t>
        </is>
      </c>
      <c r="O93" s="11" t="n">
        <v>99.744</v>
      </c>
      <c r="P93" s="7" t="inlineStr">
        <is>
          <t>Comunal</t>
        </is>
      </c>
      <c r="Q93" s="7" t="n">
        <v>0</v>
      </c>
      <c r="R93" s="7" t="inlineStr">
        <is>
          <t>No</t>
        </is>
      </c>
      <c r="S93" s="7" t="inlineStr">
        <is>
          <t>Sí</t>
        </is>
      </c>
      <c r="T93" s="7" t="inlineStr">
        <is>
          <t>Alto</t>
        </is>
      </c>
      <c r="U93" s="7" t="inlineStr">
        <is>
          <t>SP-094</t>
        </is>
      </c>
      <c r="V93" s="7" t="n">
        <v>0</v>
      </c>
    </row>
    <row r="94">
      <c r="A94" s="12" t="inlineStr">
        <is>
          <t>Morropón</t>
        </is>
      </c>
      <c r="B94" s="12" t="inlineStr">
        <is>
          <t>San Juan de Bigote</t>
        </is>
      </c>
      <c r="C94" s="12" t="inlineStr">
        <is>
          <t>M3B7</t>
        </is>
      </c>
      <c r="D94" s="12" t="inlineStr">
        <is>
          <t>C1081-Q9582</t>
        </is>
      </c>
      <c r="E94" s="13" t="n">
        <v>122.95</v>
      </c>
      <c r="F94" s="14" t="n">
        <v>638309</v>
      </c>
      <c r="G94" s="14" t="n">
        <v>9415217</v>
      </c>
      <c r="H94" s="12" t="inlineStr">
        <is>
          <t>A</t>
        </is>
      </c>
      <c r="I94" s="15" t="n">
        <v>0.3707</v>
      </c>
      <c r="J94" s="12" t="inlineStr">
        <is>
          <t>Muy alto</t>
        </is>
      </c>
      <c r="K94" s="15" t="n">
        <v>4.694</v>
      </c>
      <c r="L94" s="15" t="n">
        <v>0.695</v>
      </c>
      <c r="M94" s="12" t="inlineStr">
        <is>
          <t>Leve</t>
        </is>
      </c>
      <c r="N94" s="12" t="inlineStr">
        <is>
          <t>A</t>
        </is>
      </c>
      <c r="O94" s="16" t="n">
        <v>95.93000000000001</v>
      </c>
      <c r="P94" s="12" t="inlineStr">
        <is>
          <t>Tierras del Estado y/o posesionarios</t>
        </is>
      </c>
      <c r="Q94" s="12" t="n">
        <v>0</v>
      </c>
      <c r="R94" s="12" t="inlineStr">
        <is>
          <t>No</t>
        </is>
      </c>
      <c r="S94" s="12" t="inlineStr">
        <is>
          <t>Sí</t>
        </is>
      </c>
      <c r="T94" s="12" t="inlineStr">
        <is>
          <t>Alto</t>
        </is>
      </c>
      <c r="U94" s="12" t="inlineStr">
        <is>
          <t>SP-095</t>
        </is>
      </c>
      <c r="V94" s="12" t="n">
        <v>0</v>
      </c>
    </row>
    <row r="95">
      <c r="A95" s="7" t="inlineStr">
        <is>
          <t>Morropón</t>
        </is>
      </c>
      <c r="B95" s="7" t="inlineStr">
        <is>
          <t>San Juan de Bigote</t>
        </is>
      </c>
      <c r="C95" s="7" t="inlineStr">
        <is>
          <t>M3B8</t>
        </is>
      </c>
      <c r="D95" s="7" t="inlineStr">
        <is>
          <t>C1081-Q9582</t>
        </is>
      </c>
      <c r="E95" s="8" t="n">
        <v>565.58</v>
      </c>
      <c r="F95" s="9" t="n">
        <v>632119</v>
      </c>
      <c r="G95" s="9" t="n">
        <v>9415141</v>
      </c>
      <c r="H95" s="7" t="inlineStr">
        <is>
          <t>A</t>
        </is>
      </c>
      <c r="I95" s="10" t="n">
        <v>0.2934</v>
      </c>
      <c r="J95" s="7" t="inlineStr">
        <is>
          <t>Muy alto</t>
        </is>
      </c>
      <c r="K95" s="10" t="n">
        <v>4.637</v>
      </c>
      <c r="L95" s="10" t="n">
        <v>0.612</v>
      </c>
      <c r="M95" s="7" t="inlineStr">
        <is>
          <t>Leve</t>
        </is>
      </c>
      <c r="N95" s="7" t="inlineStr">
        <is>
          <t>A</t>
        </is>
      </c>
      <c r="O95" s="11" t="n">
        <v>99.399</v>
      </c>
      <c r="P95" s="7" t="inlineStr">
        <is>
          <t>Tierras del Estado y/o posesionarios</t>
        </is>
      </c>
      <c r="Q95" s="7" t="n">
        <v>0</v>
      </c>
      <c r="R95" s="7" t="inlineStr">
        <is>
          <t>Sí</t>
        </is>
      </c>
      <c r="S95" s="7" t="inlineStr">
        <is>
          <t>Sí</t>
        </is>
      </c>
      <c r="T95" s="7" t="inlineStr">
        <is>
          <t>Alto</t>
        </is>
      </c>
      <c r="U95" s="7" t="inlineStr">
        <is>
          <t>SP-096</t>
        </is>
      </c>
      <c r="V95" s="7" t="n">
        <v>6</v>
      </c>
    </row>
    <row r="96">
      <c r="A96" s="12" t="inlineStr">
        <is>
          <t>Morropón</t>
        </is>
      </c>
      <c r="B96" s="12" t="inlineStr">
        <is>
          <t>Santa Catalina de Mossa</t>
        </is>
      </c>
      <c r="C96" s="12" t="inlineStr">
        <is>
          <t>14</t>
        </is>
      </c>
      <c r="D96" s="12" t="inlineStr">
        <is>
          <t>C1086-Q9570</t>
        </is>
      </c>
      <c r="E96" s="13" t="n">
        <v>92.90000000000001</v>
      </c>
      <c r="F96" s="14" t="n">
        <v>624397</v>
      </c>
      <c r="G96" s="14" t="n">
        <v>9437085</v>
      </c>
      <c r="H96" s="12" t="inlineStr">
        <is>
          <t>B</t>
        </is>
      </c>
      <c r="I96" s="15" t="n">
        <v>0.5197000000000001</v>
      </c>
      <c r="J96" s="12" t="inlineStr">
        <is>
          <t>Alto</t>
        </is>
      </c>
      <c r="K96" s="15" t="n">
        <v>3.915</v>
      </c>
      <c r="L96" s="15" t="n">
        <v>0.822</v>
      </c>
      <c r="M96" s="12" t="inlineStr">
        <is>
          <t>No degradado</t>
        </is>
      </c>
      <c r="N96" s="12" t="inlineStr">
        <is>
          <t>D</t>
        </is>
      </c>
      <c r="O96" s="16" t="n">
        <v>39.021</v>
      </c>
      <c r="P96" s="12" t="inlineStr">
        <is>
          <t>Comunal</t>
        </is>
      </c>
      <c r="Q96" s="12" t="n">
        <v>0</v>
      </c>
      <c r="R96" s="12" t="inlineStr">
        <is>
          <t>Sí</t>
        </is>
      </c>
      <c r="S96" s="12" t="inlineStr">
        <is>
          <t>Sí</t>
        </is>
      </c>
      <c r="T96" s="12" t="inlineStr">
        <is>
          <t>Alto</t>
        </is>
      </c>
      <c r="U96" s="12" t="inlineStr">
        <is>
          <t>SP-098</t>
        </is>
      </c>
      <c r="V96" s="12" t="n">
        <v>0</v>
      </c>
    </row>
    <row r="97">
      <c r="A97" s="7" t="inlineStr">
        <is>
          <t>Morropón</t>
        </is>
      </c>
      <c r="B97" s="7" t="inlineStr">
        <is>
          <t>Santa Catalina de Mossa</t>
        </is>
      </c>
      <c r="C97" s="7" t="inlineStr">
        <is>
          <t>42</t>
        </is>
      </c>
      <c r="D97" s="7" t="inlineStr">
        <is>
          <t>C1086-Q9570</t>
        </is>
      </c>
      <c r="E97" s="8" t="n">
        <v>80.62</v>
      </c>
      <c r="F97" s="9" t="n">
        <v>625152</v>
      </c>
      <c r="G97" s="9" t="n">
        <v>9435011</v>
      </c>
      <c r="H97" s="7" t="inlineStr">
        <is>
          <t>B</t>
        </is>
      </c>
      <c r="I97" s="10" t="n">
        <v>0.6348</v>
      </c>
      <c r="J97" s="7" t="inlineStr">
        <is>
          <t>Medio</t>
        </is>
      </c>
      <c r="K97" s="10" t="n">
        <v>3.04</v>
      </c>
      <c r="L97" s="10" t="n">
        <v>0.867</v>
      </c>
      <c r="M97" s="7" t="inlineStr">
        <is>
          <t>No degradado</t>
        </is>
      </c>
      <c r="N97" s="7" t="inlineStr">
        <is>
          <t>D</t>
        </is>
      </c>
      <c r="O97" s="11" t="n">
        <v>5.636</v>
      </c>
      <c r="P97" s="7" t="inlineStr">
        <is>
          <t>Comunal</t>
        </is>
      </c>
      <c r="Q97" s="7" t="n">
        <v>0</v>
      </c>
      <c r="R97" s="7" t="inlineStr">
        <is>
          <t>No</t>
        </is>
      </c>
      <c r="S97" s="7" t="inlineStr">
        <is>
          <t>Sí</t>
        </is>
      </c>
      <c r="T97" s="7" t="inlineStr">
        <is>
          <t>Medio</t>
        </is>
      </c>
      <c r="U97" s="7" t="inlineStr">
        <is>
          <t>SP-099</t>
        </is>
      </c>
      <c r="V97" s="7" t="n">
        <v>0</v>
      </c>
    </row>
    <row r="98">
      <c r="A98" s="12" t="inlineStr">
        <is>
          <t>Morropón</t>
        </is>
      </c>
      <c r="B98" s="12" t="inlineStr">
        <is>
          <t>Santa Catalina de Mossa</t>
        </is>
      </c>
      <c r="C98" s="12" t="inlineStr">
        <is>
          <t>58</t>
        </is>
      </c>
      <c r="D98" s="12" t="inlineStr">
        <is>
          <t>C1086-Q9569</t>
        </is>
      </c>
      <c r="E98" s="13" t="n">
        <v>11.47</v>
      </c>
      <c r="F98" s="14" t="n">
        <v>619094</v>
      </c>
      <c r="G98" s="14" t="n">
        <v>9426406</v>
      </c>
      <c r="H98" s="12" t="inlineStr">
        <is>
          <t>B</t>
        </is>
      </c>
      <c r="I98" s="15" t="n">
        <v>0.4203</v>
      </c>
      <c r="J98" s="12" t="inlineStr">
        <is>
          <t>Alto</t>
        </is>
      </c>
      <c r="K98" s="15" t="n">
        <v>3.884</v>
      </c>
      <c r="L98" s="15" t="n">
        <v>0.8100000000000001</v>
      </c>
      <c r="M98" s="12" t="inlineStr">
        <is>
          <t>No degradado</t>
        </is>
      </c>
      <c r="N98" s="12" t="inlineStr">
        <is>
          <t>C</t>
        </is>
      </c>
      <c r="O98" s="16" t="n">
        <v>97.452</v>
      </c>
      <c r="P98" s="12" t="inlineStr">
        <is>
          <t>Tierras del Estado y/o posesionarios</t>
        </is>
      </c>
      <c r="Q98" s="12" t="n">
        <v>0</v>
      </c>
      <c r="R98" s="12" t="inlineStr">
        <is>
          <t>No</t>
        </is>
      </c>
      <c r="S98" s="12" t="inlineStr">
        <is>
          <t>No</t>
        </is>
      </c>
      <c r="T98" s="12" t="inlineStr">
        <is>
          <t>Alto</t>
        </is>
      </c>
      <c r="U98" s="12" t="inlineStr">
        <is>
          <t>SP-100</t>
        </is>
      </c>
      <c r="V98" s="12" t="n">
        <v>0</v>
      </c>
    </row>
    <row r="99">
      <c r="A99" s="7" t="inlineStr">
        <is>
          <t>Morropón</t>
        </is>
      </c>
      <c r="B99" s="7" t="inlineStr">
        <is>
          <t>Santa Catalina de Mossa</t>
        </is>
      </c>
      <c r="C99" s="7" t="inlineStr">
        <is>
          <t>M36B2</t>
        </is>
      </c>
      <c r="D99" s="7" t="inlineStr">
        <is>
          <t>C1086-Q9576</t>
        </is>
      </c>
      <c r="E99" s="8" t="n">
        <v>28.19</v>
      </c>
      <c r="F99" s="9" t="n">
        <v>626438</v>
      </c>
      <c r="G99" s="9" t="n">
        <v>9435060</v>
      </c>
      <c r="H99" s="7" t="inlineStr">
        <is>
          <t>B</t>
        </is>
      </c>
      <c r="I99" s="10" t="n">
        <v>0.5974</v>
      </c>
      <c r="J99" s="7" t="inlineStr">
        <is>
          <t>Medio</t>
        </is>
      </c>
      <c r="K99" s="10" t="n">
        <v>3.113</v>
      </c>
      <c r="L99" s="10" t="n">
        <v>0.893</v>
      </c>
      <c r="M99" s="7" t="inlineStr">
        <is>
          <t>No degradado</t>
        </is>
      </c>
      <c r="N99" s="7" t="inlineStr">
        <is>
          <t>D</t>
        </is>
      </c>
      <c r="O99" s="11" t="n">
        <v>4.971</v>
      </c>
      <c r="P99" s="7" t="inlineStr">
        <is>
          <t>Comunal</t>
        </is>
      </c>
      <c r="Q99" s="7" t="n">
        <v>0</v>
      </c>
      <c r="R99" s="7" t="inlineStr">
        <is>
          <t>Sí</t>
        </is>
      </c>
      <c r="S99" s="7" t="inlineStr">
        <is>
          <t>No</t>
        </is>
      </c>
      <c r="T99" s="7" t="inlineStr">
        <is>
          <t>Medio</t>
        </is>
      </c>
      <c r="U99" s="7" t="inlineStr">
        <is>
          <t>SP-101</t>
        </is>
      </c>
      <c r="V99" s="7" t="n">
        <v>0</v>
      </c>
    </row>
    <row r="100">
      <c r="A100" s="12" t="inlineStr">
        <is>
          <t>Morropón</t>
        </is>
      </c>
      <c r="B100" s="12" t="inlineStr">
        <is>
          <t>Santo Domingo</t>
        </is>
      </c>
      <c r="C100" s="12" t="inlineStr">
        <is>
          <t>11</t>
        </is>
      </c>
      <c r="D100" s="12" t="inlineStr">
        <is>
          <t>C1086-Q9570</t>
        </is>
      </c>
      <c r="E100" s="13" t="n">
        <v>103.95</v>
      </c>
      <c r="F100" s="14" t="n">
        <v>620759</v>
      </c>
      <c r="G100" s="14" t="n">
        <v>9439988</v>
      </c>
      <c r="H100" s="12" t="inlineStr">
        <is>
          <t>B</t>
        </is>
      </c>
      <c r="I100" s="15" t="n">
        <v>0.6047</v>
      </c>
      <c r="J100" s="12" t="inlineStr">
        <is>
          <t>Medio</t>
        </is>
      </c>
      <c r="K100" s="15" t="n">
        <v>3.08</v>
      </c>
      <c r="L100" s="15" t="n">
        <v>0.77</v>
      </c>
      <c r="M100" s="12" t="inlineStr">
        <is>
          <t>Leve</t>
        </is>
      </c>
      <c r="N100" s="12" t="inlineStr">
        <is>
          <t>D</t>
        </is>
      </c>
      <c r="O100" s="16" t="n">
        <v>11.341</v>
      </c>
      <c r="P100" s="12" t="inlineStr">
        <is>
          <t>Tierras del Estado y/o posesionarios</t>
        </is>
      </c>
      <c r="Q100" s="12" t="n">
        <v>0</v>
      </c>
      <c r="R100" s="12" t="inlineStr">
        <is>
          <t>Sí</t>
        </is>
      </c>
      <c r="S100" s="12" t="inlineStr">
        <is>
          <t>Sí</t>
        </is>
      </c>
      <c r="T100" s="12" t="inlineStr">
        <is>
          <t>Medio</t>
        </is>
      </c>
      <c r="U100" s="12" t="inlineStr">
        <is>
          <t>SP-102</t>
        </is>
      </c>
      <c r="V100" s="12" t="n">
        <v>1</v>
      </c>
    </row>
    <row r="101">
      <c r="A101" s="7" t="inlineStr">
        <is>
          <t>Morropón</t>
        </is>
      </c>
      <c r="B101" s="7" t="inlineStr">
        <is>
          <t>Santo Domingo</t>
        </is>
      </c>
      <c r="C101" s="7" t="inlineStr">
        <is>
          <t>12</t>
        </is>
      </c>
      <c r="D101" s="7" t="inlineStr">
        <is>
          <t>C1086-Q9570</t>
        </is>
      </c>
      <c r="E101" s="8" t="n">
        <v>119.54</v>
      </c>
      <c r="F101" s="9" t="n">
        <v>625419</v>
      </c>
      <c r="G101" s="9" t="n">
        <v>9444932</v>
      </c>
      <c r="H101" s="7" t="inlineStr">
        <is>
          <t>B</t>
        </is>
      </c>
      <c r="I101" s="10" t="n">
        <v>0.7067</v>
      </c>
      <c r="J101" s="7" t="inlineStr">
        <is>
          <t>Medio</t>
        </is>
      </c>
      <c r="K101" s="10" t="n">
        <v>2.941</v>
      </c>
      <c r="L101" s="10" t="n">
        <v>0.877</v>
      </c>
      <c r="M101" s="7" t="inlineStr">
        <is>
          <t>No degradado</t>
        </is>
      </c>
      <c r="N101" s="7" t="inlineStr">
        <is>
          <t>D</t>
        </is>
      </c>
      <c r="O101" s="11" t="n">
        <v>0.066</v>
      </c>
      <c r="P101" s="7" t="inlineStr">
        <is>
          <t>Parcialmente privada</t>
        </is>
      </c>
      <c r="Q101" s="7" t="n">
        <v>16</v>
      </c>
      <c r="R101" s="7" t="inlineStr">
        <is>
          <t>Ref.</t>
        </is>
      </c>
      <c r="S101" s="7" t="inlineStr">
        <is>
          <t>Sí</t>
        </is>
      </c>
      <c r="T101" s="7" t="inlineStr">
        <is>
          <t>Medio</t>
        </is>
      </c>
      <c r="U101" s="7" t="inlineStr">
        <is>
          <t>SP-103</t>
        </is>
      </c>
      <c r="V101" s="7" t="n">
        <v>0</v>
      </c>
    </row>
    <row r="102">
      <c r="A102" s="12" t="inlineStr">
        <is>
          <t>Morropón</t>
        </is>
      </c>
      <c r="B102" s="12" t="inlineStr">
        <is>
          <t>Santo Domingo</t>
        </is>
      </c>
      <c r="C102" s="12" t="inlineStr">
        <is>
          <t>13</t>
        </is>
      </c>
      <c r="D102" s="12" t="inlineStr">
        <is>
          <t>C1096-Q9564</t>
        </is>
      </c>
      <c r="E102" s="13" t="n">
        <v>100.51</v>
      </c>
      <c r="F102" s="14" t="n">
        <v>620263</v>
      </c>
      <c r="G102" s="14" t="n">
        <v>9442343</v>
      </c>
      <c r="H102" s="12" t="inlineStr">
        <is>
          <t>B</t>
        </is>
      </c>
      <c r="I102" s="15" t="n">
        <v>0.6711</v>
      </c>
      <c r="J102" s="12" t="inlineStr">
        <is>
          <t>Medio</t>
        </is>
      </c>
      <c r="K102" s="15" t="n">
        <v>2.896</v>
      </c>
      <c r="L102" s="15" t="n">
        <v>0.828</v>
      </c>
      <c r="M102" s="12" t="inlineStr">
        <is>
          <t>No degradado</t>
        </is>
      </c>
      <c r="N102" s="12" t="inlineStr">
        <is>
          <t>D</t>
        </is>
      </c>
      <c r="O102" s="16" t="n">
        <v>5.213</v>
      </c>
      <c r="P102" s="12" t="inlineStr">
        <is>
          <t>Comunal</t>
        </is>
      </c>
      <c r="Q102" s="12" t="n">
        <v>0</v>
      </c>
      <c r="R102" s="12" t="inlineStr">
        <is>
          <t>No</t>
        </is>
      </c>
      <c r="S102" s="12" t="inlineStr">
        <is>
          <t>Sí</t>
        </is>
      </c>
      <c r="T102" s="12" t="inlineStr">
        <is>
          <t>Medio</t>
        </is>
      </c>
      <c r="U102" s="12" t="inlineStr">
        <is>
          <t>SP-104</t>
        </is>
      </c>
      <c r="V102" s="12" t="n">
        <v>0</v>
      </c>
    </row>
    <row r="103">
      <c r="A103" s="7" t="inlineStr">
        <is>
          <t>Morropón</t>
        </is>
      </c>
      <c r="B103" s="7" t="inlineStr">
        <is>
          <t>Santo Domingo</t>
        </is>
      </c>
      <c r="C103" s="7" t="inlineStr">
        <is>
          <t>15</t>
        </is>
      </c>
      <c r="D103" s="7" t="inlineStr">
        <is>
          <t>C1086-Q9570</t>
        </is>
      </c>
      <c r="E103" s="8" t="n">
        <v>86.15000000000001</v>
      </c>
      <c r="F103" s="9" t="n">
        <v>620200</v>
      </c>
      <c r="G103" s="9" t="n">
        <v>9437862</v>
      </c>
      <c r="H103" s="7" t="inlineStr">
        <is>
          <t>B</t>
        </is>
      </c>
      <c r="I103" s="10" t="n">
        <v>0.5605</v>
      </c>
      <c r="J103" s="7" t="inlineStr">
        <is>
          <t>Alto</t>
        </is>
      </c>
      <c r="K103" s="10" t="n">
        <v>3.605</v>
      </c>
      <c r="L103" s="10" t="n">
        <v>0.79</v>
      </c>
      <c r="M103" s="7" t="inlineStr">
        <is>
          <t>Leve</t>
        </is>
      </c>
      <c r="N103" s="7" t="inlineStr">
        <is>
          <t>D</t>
        </is>
      </c>
      <c r="O103" s="11" t="n">
        <v>22.482</v>
      </c>
      <c r="P103" s="7" t="inlineStr">
        <is>
          <t>Comunal</t>
        </is>
      </c>
      <c r="Q103" s="7" t="n">
        <v>0</v>
      </c>
      <c r="R103" s="7" t="inlineStr">
        <is>
          <t>No</t>
        </is>
      </c>
      <c r="S103" s="7" t="inlineStr">
        <is>
          <t>Sí</t>
        </is>
      </c>
      <c r="T103" s="7" t="inlineStr">
        <is>
          <t>Alto</t>
        </is>
      </c>
      <c r="U103" s="7" t="inlineStr">
        <is>
          <t>SP-105</t>
        </is>
      </c>
      <c r="V103" s="7" t="n">
        <v>1</v>
      </c>
    </row>
    <row r="104">
      <c r="A104" s="12" t="inlineStr">
        <is>
          <t>Morropón</t>
        </is>
      </c>
      <c r="B104" s="12" t="inlineStr">
        <is>
          <t>Santo Domingo</t>
        </is>
      </c>
      <c r="C104" s="12" t="inlineStr">
        <is>
          <t>17</t>
        </is>
      </c>
      <c r="D104" s="12" t="inlineStr">
        <is>
          <t>C1086-Q9570</t>
        </is>
      </c>
      <c r="E104" s="13" t="n">
        <v>96.08</v>
      </c>
      <c r="F104" s="14" t="n">
        <v>618661</v>
      </c>
      <c r="G104" s="14" t="n">
        <v>9438267</v>
      </c>
      <c r="H104" s="12" t="inlineStr">
        <is>
          <t>B</t>
        </is>
      </c>
      <c r="I104" s="15" t="n">
        <v>0.6479</v>
      </c>
      <c r="J104" s="12" t="inlineStr">
        <is>
          <t>Medio</t>
        </is>
      </c>
      <c r="K104" s="15" t="n">
        <v>3.282</v>
      </c>
      <c r="L104" s="15" t="n">
        <v>0.896</v>
      </c>
      <c r="M104" s="12" t="inlineStr">
        <is>
          <t>No degradado</t>
        </is>
      </c>
      <c r="N104" s="12" t="inlineStr">
        <is>
          <t>D</t>
        </is>
      </c>
      <c r="O104" s="16" t="n">
        <v>2.09</v>
      </c>
      <c r="P104" s="12" t="inlineStr">
        <is>
          <t>Comunal</t>
        </is>
      </c>
      <c r="Q104" s="12" t="n">
        <v>0</v>
      </c>
      <c r="R104" s="12" t="inlineStr">
        <is>
          <t>No</t>
        </is>
      </c>
      <c r="S104" s="12" t="inlineStr">
        <is>
          <t>Sí</t>
        </is>
      </c>
      <c r="T104" s="12" t="inlineStr">
        <is>
          <t>Medio</t>
        </is>
      </c>
      <c r="U104" s="12" t="inlineStr">
        <is>
          <t>SP-106</t>
        </is>
      </c>
      <c r="V104" s="12" t="n">
        <v>0</v>
      </c>
    </row>
    <row r="105">
      <c r="A105" s="7" t="inlineStr">
        <is>
          <t>Morropón</t>
        </is>
      </c>
      <c r="B105" s="7" t="inlineStr">
        <is>
          <t>Santo Domingo</t>
        </is>
      </c>
      <c r="C105" s="7" t="inlineStr">
        <is>
          <t>23</t>
        </is>
      </c>
      <c r="D105" s="7" t="inlineStr">
        <is>
          <t>C1086-Q9570</t>
        </is>
      </c>
      <c r="E105" s="8" t="n">
        <v>81.78</v>
      </c>
      <c r="F105" s="9" t="n">
        <v>619939</v>
      </c>
      <c r="G105" s="9" t="n">
        <v>9438544</v>
      </c>
      <c r="H105" s="7" t="inlineStr">
        <is>
          <t>B</t>
        </is>
      </c>
      <c r="I105" s="10" t="n">
        <v>0.5731000000000001</v>
      </c>
      <c r="J105" s="7" t="inlineStr">
        <is>
          <t>Alto</t>
        </is>
      </c>
      <c r="K105" s="10" t="n">
        <v>3.599</v>
      </c>
      <c r="L105" s="10" t="n">
        <v>0.824</v>
      </c>
      <c r="M105" s="7" t="inlineStr">
        <is>
          <t>No degradado</t>
        </is>
      </c>
      <c r="N105" s="7" t="inlineStr">
        <is>
          <t>D</t>
        </is>
      </c>
      <c r="O105" s="11" t="n">
        <v>18.746</v>
      </c>
      <c r="P105" s="7" t="inlineStr">
        <is>
          <t>Comunal</t>
        </is>
      </c>
      <c r="Q105" s="7" t="n">
        <v>0</v>
      </c>
      <c r="R105" s="7" t="inlineStr">
        <is>
          <t>No</t>
        </is>
      </c>
      <c r="S105" s="7" t="inlineStr">
        <is>
          <t>Sí</t>
        </is>
      </c>
      <c r="T105" s="7" t="inlineStr">
        <is>
          <t>Alto</t>
        </is>
      </c>
      <c r="U105" s="7" t="inlineStr">
        <is>
          <t>SP-107</t>
        </is>
      </c>
      <c r="V105" s="7" t="n">
        <v>0</v>
      </c>
    </row>
    <row r="106">
      <c r="A106" s="12" t="inlineStr">
        <is>
          <t>Morropón</t>
        </is>
      </c>
      <c r="B106" s="12" t="inlineStr">
        <is>
          <t>Santo Domingo</t>
        </is>
      </c>
      <c r="C106" s="12" t="inlineStr">
        <is>
          <t>78</t>
        </is>
      </c>
      <c r="D106" s="12" t="inlineStr">
        <is>
          <t>C1086-Q9570</t>
        </is>
      </c>
      <c r="E106" s="13" t="n">
        <v>35.1</v>
      </c>
      <c r="F106" s="14" t="n">
        <v>619630</v>
      </c>
      <c r="G106" s="14" t="n">
        <v>9440043</v>
      </c>
      <c r="H106" s="12" t="inlineStr">
        <is>
          <t>B</t>
        </is>
      </c>
      <c r="I106" s="15" t="n">
        <v>0.7074</v>
      </c>
      <c r="J106" s="12" t="inlineStr">
        <is>
          <t>Medio</t>
        </is>
      </c>
      <c r="K106" s="15" t="n">
        <v>2.985</v>
      </c>
      <c r="L106" s="15" t="n">
        <v>0.847</v>
      </c>
      <c r="M106" s="12" t="inlineStr">
        <is>
          <t>No degradado</t>
        </is>
      </c>
      <c r="N106" s="12" t="inlineStr">
        <is>
          <t>D</t>
        </is>
      </c>
      <c r="O106" s="16" t="n">
        <v>1.765</v>
      </c>
      <c r="P106" s="12" t="inlineStr">
        <is>
          <t>Comunal</t>
        </is>
      </c>
      <c r="Q106" s="12" t="n">
        <v>0</v>
      </c>
      <c r="R106" s="12" t="inlineStr">
        <is>
          <t>No</t>
        </is>
      </c>
      <c r="S106" s="12" t="inlineStr">
        <is>
          <t>Sí</t>
        </is>
      </c>
      <c r="T106" s="12" t="inlineStr">
        <is>
          <t>Medio</t>
        </is>
      </c>
      <c r="U106" s="12" t="inlineStr">
        <is>
          <t>SP-108</t>
        </is>
      </c>
      <c r="V106" s="12" t="n">
        <v>0</v>
      </c>
    </row>
    <row r="107">
      <c r="A107" s="7" t="inlineStr">
        <is>
          <t>Morropón</t>
        </is>
      </c>
      <c r="B107" s="7" t="inlineStr">
        <is>
          <t>Santo Domingo</t>
        </is>
      </c>
      <c r="C107" s="7" t="inlineStr">
        <is>
          <t>82</t>
        </is>
      </c>
      <c r="D107" s="7" t="inlineStr">
        <is>
          <t>C1086-Q9570</t>
        </is>
      </c>
      <c r="E107" s="8" t="n">
        <v>35.66</v>
      </c>
      <c r="F107" s="9" t="n">
        <v>621452</v>
      </c>
      <c r="G107" s="9" t="n">
        <v>9443855</v>
      </c>
      <c r="H107" s="7" t="inlineStr">
        <is>
          <t>B</t>
        </is>
      </c>
      <c r="I107" s="10" t="n">
        <v>0.6283</v>
      </c>
      <c r="J107" s="7" t="inlineStr">
        <is>
          <t>Medio</t>
        </is>
      </c>
      <c r="K107" s="10" t="n">
        <v>2.807</v>
      </c>
      <c r="L107" s="10" t="n">
        <v>0.83</v>
      </c>
      <c r="M107" s="7" t="inlineStr">
        <is>
          <t>No degradado</t>
        </is>
      </c>
      <c r="N107" s="7" t="inlineStr">
        <is>
          <t>D</t>
        </is>
      </c>
      <c r="O107" s="11" t="n">
        <v>12.675</v>
      </c>
      <c r="P107" s="7" t="inlineStr">
        <is>
          <t>Parcialmente comunal</t>
        </is>
      </c>
      <c r="Q107" s="7" t="n">
        <v>0</v>
      </c>
      <c r="R107" s="7" t="inlineStr">
        <is>
          <t>No</t>
        </is>
      </c>
      <c r="S107" s="7" t="inlineStr">
        <is>
          <t>Sí</t>
        </is>
      </c>
      <c r="T107" s="7" t="inlineStr">
        <is>
          <t>Medio</t>
        </is>
      </c>
      <c r="U107" s="7" t="inlineStr">
        <is>
          <t>SP-109</t>
        </is>
      </c>
      <c r="V107" s="7" t="n">
        <v>0</v>
      </c>
    </row>
    <row r="108">
      <c r="A108" s="12" t="inlineStr">
        <is>
          <t>Morropón</t>
        </is>
      </c>
      <c r="B108" s="12" t="inlineStr">
        <is>
          <t>Santo Domingo</t>
        </is>
      </c>
      <c r="C108" s="12" t="inlineStr">
        <is>
          <t>M19B7</t>
        </is>
      </c>
      <c r="D108" s="12" t="inlineStr">
        <is>
          <t>C1086-Q9570</t>
        </is>
      </c>
      <c r="E108" s="13" t="n">
        <v>34.17</v>
      </c>
      <c r="F108" s="14" t="n">
        <v>620770</v>
      </c>
      <c r="G108" s="14" t="n">
        <v>9436562</v>
      </c>
      <c r="H108" s="12" t="inlineStr">
        <is>
          <t>B</t>
        </is>
      </c>
      <c r="I108" s="15" t="n">
        <v>0.5919</v>
      </c>
      <c r="J108" s="12" t="inlineStr">
        <is>
          <t>Alto</t>
        </is>
      </c>
      <c r="K108" s="15" t="n">
        <v>3.816</v>
      </c>
      <c r="L108" s="15" t="n">
        <v>0.865</v>
      </c>
      <c r="M108" s="12" t="inlineStr">
        <is>
          <t>No degradado</t>
        </is>
      </c>
      <c r="N108" s="12" t="inlineStr">
        <is>
          <t>D</t>
        </is>
      </c>
      <c r="O108" s="16" t="n">
        <v>5.848</v>
      </c>
      <c r="P108" s="12" t="inlineStr">
        <is>
          <t>Comunal</t>
        </is>
      </c>
      <c r="Q108" s="12" t="n">
        <v>0</v>
      </c>
      <c r="R108" s="12" t="inlineStr">
        <is>
          <t>No</t>
        </is>
      </c>
      <c r="S108" s="12" t="inlineStr">
        <is>
          <t>Sí</t>
        </is>
      </c>
      <c r="T108" s="12" t="inlineStr">
        <is>
          <t>Alto</t>
        </is>
      </c>
      <c r="U108" s="12" t="inlineStr">
        <is>
          <t>SP-111</t>
        </is>
      </c>
      <c r="V108" s="12" t="n">
        <v>0</v>
      </c>
    </row>
    <row r="109">
      <c r="A109" s="7" t="inlineStr">
        <is>
          <t>Morropón</t>
        </is>
      </c>
      <c r="B109" s="7" t="inlineStr">
        <is>
          <t>Santo Domingo</t>
        </is>
      </c>
      <c r="C109" s="7" t="inlineStr">
        <is>
          <t>M8B2</t>
        </is>
      </c>
      <c r="D109" s="7" t="inlineStr">
        <is>
          <t>C1096-Q9558</t>
        </is>
      </c>
      <c r="E109" s="8" t="n">
        <v>35.35</v>
      </c>
      <c r="F109" s="9" t="n">
        <v>617596</v>
      </c>
      <c r="G109" s="9" t="n">
        <v>9436227</v>
      </c>
      <c r="H109" s="7" t="inlineStr">
        <is>
          <t>B</t>
        </is>
      </c>
      <c r="I109" s="10" t="n">
        <v>0.5305</v>
      </c>
      <c r="J109" s="7" t="inlineStr">
        <is>
          <t>Alto</t>
        </is>
      </c>
      <c r="K109" s="10" t="n">
        <v>3.923</v>
      </c>
      <c r="L109" s="10" t="n">
        <v>0.8120000000000001</v>
      </c>
      <c r="M109" s="7" t="inlineStr">
        <is>
          <t>No degradado</t>
        </is>
      </c>
      <c r="N109" s="7" t="inlineStr">
        <is>
          <t>D</t>
        </is>
      </c>
      <c r="O109" s="11" t="n">
        <v>31.223</v>
      </c>
      <c r="P109" s="7" t="inlineStr">
        <is>
          <t>Comunal</t>
        </is>
      </c>
      <c r="Q109" s="7" t="n">
        <v>0</v>
      </c>
      <c r="R109" s="7" t="inlineStr">
        <is>
          <t>No</t>
        </is>
      </c>
      <c r="S109" s="7" t="inlineStr">
        <is>
          <t>Sí</t>
        </is>
      </c>
      <c r="T109" s="7" t="inlineStr">
        <is>
          <t>Alto</t>
        </is>
      </c>
      <c r="U109" s="7" t="inlineStr">
        <is>
          <t>SP-110</t>
        </is>
      </c>
      <c r="V109" s="7" t="n">
        <v>0</v>
      </c>
    </row>
    <row r="110">
      <c r="A110" s="12" t="inlineStr">
        <is>
          <t>Morropón</t>
        </is>
      </c>
      <c r="B110" s="12" t="inlineStr">
        <is>
          <t>Yamango</t>
        </is>
      </c>
      <c r="C110" s="12" t="inlineStr">
        <is>
          <t>49</t>
        </is>
      </c>
      <c r="D110" s="12" t="inlineStr">
        <is>
          <t>C1086-Q9575</t>
        </is>
      </c>
      <c r="E110" s="13" t="n">
        <v>15.84</v>
      </c>
      <c r="F110" s="14" t="n">
        <v>642334</v>
      </c>
      <c r="G110" s="14" t="n">
        <v>9438263</v>
      </c>
      <c r="H110" s="12" t="inlineStr">
        <is>
          <t>B</t>
        </is>
      </c>
      <c r="I110" s="15" t="n">
        <v>0.6860000000000001</v>
      </c>
      <c r="J110" s="12" t="inlineStr">
        <is>
          <t>Bajo</t>
        </is>
      </c>
      <c r="K110" s="15" t="n">
        <v>2.028</v>
      </c>
      <c r="L110" s="15" t="n">
        <v>0.834</v>
      </c>
      <c r="M110" s="12" t="inlineStr">
        <is>
          <t>No degradado</t>
        </is>
      </c>
      <c r="N110" s="12" t="inlineStr">
        <is>
          <t>D</t>
        </is>
      </c>
      <c r="O110" s="16" t="n">
        <v>3.64</v>
      </c>
      <c r="P110" s="12" t="inlineStr">
        <is>
          <t>Comunal</t>
        </is>
      </c>
      <c r="Q110" s="12" t="n">
        <v>0</v>
      </c>
      <c r="R110" s="12" t="inlineStr">
        <is>
          <t>No</t>
        </is>
      </c>
      <c r="S110" s="12" t="inlineStr">
        <is>
          <t>Sí</t>
        </is>
      </c>
      <c r="T110" s="12" t="inlineStr">
        <is>
          <t>Bajo</t>
        </is>
      </c>
      <c r="U110" s="12" t="inlineStr">
        <is>
          <t>SP-112</t>
        </is>
      </c>
      <c r="V110" s="12" t="n">
        <v>0</v>
      </c>
    </row>
    <row r="111">
      <c r="A111" s="7" t="inlineStr">
        <is>
          <t>Morropón</t>
        </is>
      </c>
      <c r="B111" s="7" t="inlineStr">
        <is>
          <t>Yamango</t>
        </is>
      </c>
      <c r="C111" s="7" t="inlineStr">
        <is>
          <t>52</t>
        </is>
      </c>
      <c r="D111" s="7" t="inlineStr">
        <is>
          <t>C1086-Q9575</t>
        </is>
      </c>
      <c r="E111" s="8" t="n">
        <v>11.06</v>
      </c>
      <c r="F111" s="9" t="n">
        <v>641522</v>
      </c>
      <c r="G111" s="9" t="n">
        <v>9438064</v>
      </c>
      <c r="H111" s="7" t="inlineStr">
        <is>
          <t>B</t>
        </is>
      </c>
      <c r="I111" s="10" t="n">
        <v>0.6685</v>
      </c>
      <c r="J111" s="7" t="inlineStr">
        <is>
          <t>Medio</t>
        </is>
      </c>
      <c r="K111" s="10" t="n">
        <v>2.646</v>
      </c>
      <c r="L111" s="10" t="n">
        <v>0.792</v>
      </c>
      <c r="M111" s="7" t="inlineStr">
        <is>
          <t>Leve</t>
        </is>
      </c>
      <c r="N111" s="7" t="inlineStr">
        <is>
          <t>D</t>
        </is>
      </c>
      <c r="O111" s="11" t="n">
        <v>3.796</v>
      </c>
      <c r="P111" s="7" t="inlineStr">
        <is>
          <t>Comunal</t>
        </is>
      </c>
      <c r="Q111" s="7" t="n">
        <v>0</v>
      </c>
      <c r="R111" s="7" t="inlineStr">
        <is>
          <t>No</t>
        </is>
      </c>
      <c r="S111" s="7" t="inlineStr">
        <is>
          <t>Sí</t>
        </is>
      </c>
      <c r="T111" s="7" t="inlineStr">
        <is>
          <t>Medio</t>
        </is>
      </c>
      <c r="U111" s="7" t="inlineStr">
        <is>
          <t>SP-113</t>
        </is>
      </c>
      <c r="V111" s="7" t="n">
        <v>0</v>
      </c>
    </row>
    <row r="112">
      <c r="A112" s="12" t="inlineStr">
        <is>
          <t>Morropón</t>
        </is>
      </c>
      <c r="B112" s="12" t="inlineStr">
        <is>
          <t>Yamango</t>
        </is>
      </c>
      <c r="C112" s="12" t="inlineStr">
        <is>
          <t>55</t>
        </is>
      </c>
      <c r="D112" s="12" t="inlineStr">
        <is>
          <t>C1086-Q9575</t>
        </is>
      </c>
      <c r="E112" s="13" t="n">
        <v>0.86</v>
      </c>
      <c r="F112" s="14" t="n">
        <v>642690</v>
      </c>
      <c r="G112" s="14" t="n">
        <v>9438409</v>
      </c>
      <c r="H112" s="12" t="inlineStr">
        <is>
          <t>B</t>
        </is>
      </c>
      <c r="I112" s="15" t="n">
        <v>0.63</v>
      </c>
      <c r="J112" s="12" t="inlineStr">
        <is>
          <t>Medio</t>
        </is>
      </c>
      <c r="K112" s="15" t="n">
        <v>2.838</v>
      </c>
      <c r="L112" s="15" t="n">
        <v>0.71</v>
      </c>
      <c r="M112" s="12" t="inlineStr">
        <is>
          <t>Leve</t>
        </is>
      </c>
      <c r="N112" s="12" t="inlineStr">
        <is>
          <t>D</t>
        </is>
      </c>
      <c r="O112" s="16" t="n">
        <v>1.761</v>
      </c>
      <c r="P112" s="12" t="inlineStr">
        <is>
          <t>Comunal</t>
        </is>
      </c>
      <c r="Q112" s="12" t="n">
        <v>0</v>
      </c>
      <c r="R112" s="12" t="inlineStr">
        <is>
          <t>No</t>
        </is>
      </c>
      <c r="S112" s="12" t="inlineStr">
        <is>
          <t>No</t>
        </is>
      </c>
      <c r="T112" s="12" t="inlineStr">
        <is>
          <t>Medio</t>
        </is>
      </c>
      <c r="U112" s="12" t="inlineStr">
        <is>
          <t>SP-114</t>
        </is>
      </c>
      <c r="V112" s="12" t="n">
        <v>0</v>
      </c>
    </row>
    <row r="113">
      <c r="A113" s="7" t="inlineStr">
        <is>
          <t>Morropón</t>
        </is>
      </c>
      <c r="B113" s="7" t="inlineStr">
        <is>
          <t>Yamango</t>
        </is>
      </c>
      <c r="C113" s="7" t="inlineStr">
        <is>
          <t>M28B2</t>
        </is>
      </c>
      <c r="D113" s="7" t="inlineStr">
        <is>
          <t>C1086-Q9575</t>
        </is>
      </c>
      <c r="E113" s="8" t="n">
        <v>90.2</v>
      </c>
      <c r="F113" s="9" t="n">
        <v>636249</v>
      </c>
      <c r="G113" s="9" t="n">
        <v>9425665</v>
      </c>
      <c r="H113" s="7" t="inlineStr">
        <is>
          <t>B</t>
        </is>
      </c>
      <c r="I113" s="10" t="n">
        <v>0.4753</v>
      </c>
      <c r="J113" s="7" t="inlineStr">
        <is>
          <t>Alto</t>
        </is>
      </c>
      <c r="K113" s="10" t="n">
        <v>3.713</v>
      </c>
      <c r="L113" s="10" t="n">
        <v>0.92</v>
      </c>
      <c r="M113" s="7" t="inlineStr">
        <is>
          <t>No degradado</t>
        </is>
      </c>
      <c r="N113" s="7" t="inlineStr">
        <is>
          <t>D</t>
        </is>
      </c>
      <c r="O113" s="11" t="n">
        <v>62.192</v>
      </c>
      <c r="P113" s="7" t="inlineStr">
        <is>
          <t>Comunal</t>
        </is>
      </c>
      <c r="Q113" s="7" t="n">
        <v>0</v>
      </c>
      <c r="R113" s="7" t="inlineStr">
        <is>
          <t>No</t>
        </is>
      </c>
      <c r="S113" s="7" t="inlineStr">
        <is>
          <t>Sí</t>
        </is>
      </c>
      <c r="T113" s="7" t="inlineStr">
        <is>
          <t>Alto</t>
        </is>
      </c>
      <c r="U113" s="7" t="inlineStr">
        <is>
          <t>SP-115</t>
        </is>
      </c>
      <c r="V113" s="7" t="n">
        <v>1</v>
      </c>
    </row>
    <row r="114">
      <c r="A114" s="12" t="inlineStr">
        <is>
          <t>Morropón</t>
        </is>
      </c>
      <c r="B114" s="12" t="inlineStr">
        <is>
          <t>Yamango</t>
        </is>
      </c>
      <c r="C114" s="12" t="inlineStr">
        <is>
          <t>M28B3</t>
        </is>
      </c>
      <c r="D114" s="12" t="inlineStr">
        <is>
          <t>C1086-Q9575</t>
        </is>
      </c>
      <c r="E114" s="13" t="n">
        <v>58.29</v>
      </c>
      <c r="F114" s="14" t="n">
        <v>634061</v>
      </c>
      <c r="G114" s="14" t="n">
        <v>9426778</v>
      </c>
      <c r="H114" s="12" t="inlineStr">
        <is>
          <t>B</t>
        </is>
      </c>
      <c r="I114" s="15" t="n">
        <v>0.5075</v>
      </c>
      <c r="J114" s="12" t="inlineStr">
        <is>
          <t>Alto</t>
        </is>
      </c>
      <c r="K114" s="15" t="n">
        <v>3.754</v>
      </c>
      <c r="L114" s="15" t="n">
        <v>0.92</v>
      </c>
      <c r="M114" s="12" t="inlineStr">
        <is>
          <t>No degradado</t>
        </is>
      </c>
      <c r="N114" s="12" t="inlineStr">
        <is>
          <t>D</t>
        </is>
      </c>
      <c r="O114" s="16" t="n">
        <v>49.668</v>
      </c>
      <c r="P114" s="12" t="inlineStr">
        <is>
          <t>Comunal</t>
        </is>
      </c>
      <c r="Q114" s="12" t="n">
        <v>0</v>
      </c>
      <c r="R114" s="12" t="inlineStr">
        <is>
          <t>Sí</t>
        </is>
      </c>
      <c r="S114" s="12" t="inlineStr">
        <is>
          <t>Sí</t>
        </is>
      </c>
      <c r="T114" s="12" t="inlineStr">
        <is>
          <t>Alto</t>
        </is>
      </c>
      <c r="U114" s="12" t="inlineStr">
        <is>
          <t>SP-116</t>
        </is>
      </c>
      <c r="V114" s="12" t="n">
        <v>0</v>
      </c>
    </row>
    <row r="115">
      <c r="A115" s="7" t="inlineStr">
        <is>
          <t>Morropón</t>
        </is>
      </c>
      <c r="B115" s="7" t="inlineStr">
        <is>
          <t>Yamango</t>
        </is>
      </c>
      <c r="C115" s="7" t="inlineStr">
        <is>
          <t>M28B4</t>
        </is>
      </c>
      <c r="D115" s="7" t="inlineStr">
        <is>
          <t>C1086-Q9575</t>
        </is>
      </c>
      <c r="E115" s="8" t="n">
        <v>283.43</v>
      </c>
      <c r="F115" s="9" t="n">
        <v>626078</v>
      </c>
      <c r="G115" s="9" t="n">
        <v>9427110</v>
      </c>
      <c r="H115" s="7" t="inlineStr">
        <is>
          <t>B</t>
        </is>
      </c>
      <c r="I115" s="10" t="n">
        <v>0.4275</v>
      </c>
      <c r="J115" s="7" t="inlineStr">
        <is>
          <t>Alto</t>
        </is>
      </c>
      <c r="K115" s="10" t="n">
        <v>3.424</v>
      </c>
      <c r="L115" s="10" t="n">
        <v>0.765</v>
      </c>
      <c r="M115" s="7" t="inlineStr">
        <is>
          <t>Leve</t>
        </is>
      </c>
      <c r="N115" s="7" t="inlineStr">
        <is>
          <t>C</t>
        </is>
      </c>
      <c r="O115" s="11" t="n">
        <v>74.807</v>
      </c>
      <c r="P115" s="7" t="inlineStr">
        <is>
          <t>Comunal</t>
        </is>
      </c>
      <c r="Q115" s="7" t="n">
        <v>0</v>
      </c>
      <c r="R115" s="7" t="inlineStr">
        <is>
          <t>Sí</t>
        </is>
      </c>
      <c r="S115" s="7" t="inlineStr">
        <is>
          <t>Sí</t>
        </is>
      </c>
      <c r="T115" s="7" t="inlineStr">
        <is>
          <t>Alto</t>
        </is>
      </c>
      <c r="U115" s="7" t="inlineStr">
        <is>
          <t>SP-117</t>
        </is>
      </c>
      <c r="V115" s="7" t="n">
        <v>2</v>
      </c>
    </row>
    <row r="116">
      <c r="A116" s="17" t="inlineStr">
        <is>
          <t>TOTAL</t>
        </is>
      </c>
      <c r="B116" s="17" t="n"/>
      <c r="C116" s="17">
        <f>COUNTA(C9:C115)</f>
        <v/>
      </c>
      <c r="D116" s="17" t="n"/>
      <c r="E116" s="18">
        <f>SUM(E9:E115)</f>
        <v/>
      </c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>
        <f>SUM(Q9:Q115)</f>
        <v/>
      </c>
      <c r="R116" s="17" t="n"/>
      <c r="S116" s="17" t="n"/>
      <c r="T116" s="17" t="n"/>
      <c r="U116" s="17" t="n"/>
      <c r="V116" s="17">
        <f>SUM(V9:V115)</f>
        <v/>
      </c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</row>
  </sheetData>
  <autoFilter ref="A8:V115"/>
  <mergeCells count="6">
    <mergeCell ref="A2:V2"/>
    <mergeCell ref="A5:V5"/>
    <mergeCell ref="A1:V1"/>
    <mergeCell ref="A6:V6"/>
    <mergeCell ref="A3:V3"/>
    <mergeCell ref="A4:V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9" customWidth="1" min="4" max="4"/>
    <col width="31" customWidth="1" min="5" max="5"/>
    <col width="34" customWidth="1" min="6" max="6"/>
    <col width="27" customWidth="1" min="7" max="7"/>
    <col width="16" customWidth="1" min="8" max="8"/>
    <col width="27" customWidth="1" min="9" max="9"/>
    <col width="23" customWidth="1" min="10" max="10"/>
    <col width="14" customWidth="1" min="11" max="11"/>
    <col width="16" customWidth="1" min="12" max="12"/>
    <col width="21" customWidth="1" min="13" max="13"/>
    <col width="19" customWidth="1" min="14" max="14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CONSOLIDADO POR DISTRITO — HUANCABAMBA Y MORROPÓN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Volúmenes I y II, Versión 5; Tablero E6; índice de mapas de situación predial v2.</t>
        </is>
      </c>
    </row>
    <row r="8" ht="30" customHeight="1">
      <c r="A8" s="4" t="inlineStr">
        <is>
          <t>Provincia</t>
        </is>
      </c>
      <c r="B8" s="4" t="inlineStr">
        <is>
          <t>Distrito</t>
        </is>
      </c>
      <c r="C8" s="4" t="inlineStr">
        <is>
          <t>Bloques</t>
        </is>
      </c>
      <c r="D8" s="4" t="inlineStr">
        <is>
          <t>Superficie (ha)</t>
        </is>
      </c>
      <c r="E8" s="4" t="inlineStr">
        <is>
          <t>Bloques bajo umbral (media)</t>
        </is>
      </c>
      <c r="F8" s="4" t="inlineStr">
        <is>
          <t>Superficie bajo umbral E6 (ha)</t>
        </is>
      </c>
      <c r="G8" s="4" t="inlineStr">
        <is>
          <t>PI Alto + Muy alto (ha)</t>
        </is>
      </c>
      <c r="H8" s="4" t="inlineStr">
        <is>
          <t>IC ponderado</t>
        </is>
      </c>
      <c r="I8" s="4" t="inlineStr">
        <is>
          <t>Bloques Moderado/Severo</t>
        </is>
      </c>
      <c r="J8" s="4" t="inlineStr">
        <is>
          <t>Calicatas de bloque</t>
        </is>
      </c>
      <c r="K8" s="4" t="inlineStr">
        <is>
          <t>C. C. (ha)</t>
        </is>
      </c>
      <c r="L8" s="4" t="inlineStr">
        <is>
          <t>COFOPRI (ha)</t>
        </is>
      </c>
      <c r="M8" s="4" t="inlineStr">
        <is>
          <t>Sin registro (ha)</t>
        </is>
      </c>
      <c r="N8" s="4" t="inlineStr">
        <is>
          <t>Predios COFOPRI</t>
        </is>
      </c>
    </row>
    <row r="9">
      <c r="A9" s="7" t="inlineStr">
        <is>
          <t>Huancabamba</t>
        </is>
      </c>
      <c r="B9" s="7" t="inlineStr">
        <is>
          <t>Huarmaca</t>
        </is>
      </c>
      <c r="C9" s="7" t="n">
        <v>21</v>
      </c>
      <c r="D9" s="8" t="n">
        <v>1966.12</v>
      </c>
      <c r="E9" s="7" t="n">
        <v>7</v>
      </c>
      <c r="F9" s="8" t="n">
        <v>1075.634</v>
      </c>
      <c r="G9" s="8" t="n">
        <v>1424.293</v>
      </c>
      <c r="H9" s="10" t="n">
        <v>0.682635</v>
      </c>
      <c r="I9" s="7" t="n">
        <v>5</v>
      </c>
      <c r="J9" s="7" t="n">
        <v>6</v>
      </c>
      <c r="K9" s="8" t="n">
        <v>561.58</v>
      </c>
      <c r="L9" s="8" t="n">
        <v>105.644</v>
      </c>
      <c r="M9" s="8" t="n">
        <v>1298.897</v>
      </c>
      <c r="N9" s="7" t="n">
        <v>131</v>
      </c>
    </row>
    <row r="10">
      <c r="A10" s="12" t="inlineStr">
        <is>
          <t>Huancabamba</t>
        </is>
      </c>
      <c r="B10" s="12" t="inlineStr">
        <is>
          <t>San Miguel de El Faique</t>
        </is>
      </c>
      <c r="C10" s="12" t="n">
        <v>9</v>
      </c>
      <c r="D10" s="13" t="n">
        <v>669.74</v>
      </c>
      <c r="E10" s="12" t="n">
        <v>2</v>
      </c>
      <c r="F10" s="13" t="n">
        <v>415.687</v>
      </c>
      <c r="G10" s="13" t="n">
        <v>496.151</v>
      </c>
      <c r="H10" s="15" t="n">
        <v>0.734226</v>
      </c>
      <c r="I10" s="12" t="n">
        <v>0</v>
      </c>
      <c r="J10" s="12" t="n">
        <v>3</v>
      </c>
      <c r="K10" s="13" t="n">
        <v>0</v>
      </c>
      <c r="L10" s="13" t="n">
        <v>65.301</v>
      </c>
      <c r="M10" s="13" t="n">
        <v>604.453</v>
      </c>
      <c r="N10" s="12" t="n">
        <v>77</v>
      </c>
    </row>
    <row r="11">
      <c r="A11" s="7" t="inlineStr">
        <is>
          <t>Huancabamba</t>
        </is>
      </c>
      <c r="B11" s="7" t="inlineStr">
        <is>
          <t>Canchaque</t>
        </is>
      </c>
      <c r="C11" s="7" t="n">
        <v>10</v>
      </c>
      <c r="D11" s="8" t="n">
        <v>587.42</v>
      </c>
      <c r="E11" s="7" t="n">
        <v>1</v>
      </c>
      <c r="F11" s="8" t="n">
        <v>56.058</v>
      </c>
      <c r="G11" s="8" t="n">
        <v>300.94</v>
      </c>
      <c r="H11" s="10" t="n">
        <v>0.854481</v>
      </c>
      <c r="I11" s="7" t="n">
        <v>1</v>
      </c>
      <c r="J11" s="7" t="n">
        <v>3</v>
      </c>
      <c r="K11" s="8" t="n">
        <v>156.267</v>
      </c>
      <c r="L11" s="8" t="n">
        <v>102.61</v>
      </c>
      <c r="M11" s="8" t="n">
        <v>328.539</v>
      </c>
      <c r="N11" s="7" t="n">
        <v>53</v>
      </c>
    </row>
    <row r="12">
      <c r="A12" s="12" t="inlineStr">
        <is>
          <t>Huancabamba</t>
        </is>
      </c>
      <c r="B12" s="12" t="inlineStr">
        <is>
          <t>Lalaquiz</t>
        </is>
      </c>
      <c r="C12" s="12" t="n">
        <v>6</v>
      </c>
      <c r="D12" s="13" t="n">
        <v>201.2</v>
      </c>
      <c r="E12" s="12" t="n">
        <v>0</v>
      </c>
      <c r="F12" s="13" t="n">
        <v>7.741</v>
      </c>
      <c r="G12" s="13" t="n">
        <v>56.845</v>
      </c>
      <c r="H12" s="15" t="n">
        <v>0.893742</v>
      </c>
      <c r="I12" s="12" t="n">
        <v>0</v>
      </c>
      <c r="J12" s="12" t="n">
        <v>1</v>
      </c>
      <c r="K12" s="13" t="n">
        <v>0</v>
      </c>
      <c r="L12" s="13" t="n">
        <v>9.638</v>
      </c>
      <c r="M12" s="13" t="n">
        <v>191.558</v>
      </c>
      <c r="N12" s="12" t="n">
        <v>46</v>
      </c>
    </row>
    <row r="13">
      <c r="A13" s="7" t="inlineStr">
        <is>
          <t>Huancabamba</t>
        </is>
      </c>
      <c r="B13" s="7" t="inlineStr">
        <is>
          <t>Huancabamba</t>
        </is>
      </c>
      <c r="C13" s="7" t="n">
        <v>2</v>
      </c>
      <c r="D13" s="8" t="n">
        <v>126.67</v>
      </c>
      <c r="E13" s="7" t="n">
        <v>0</v>
      </c>
      <c r="F13" s="8" t="n">
        <v>44.866</v>
      </c>
      <c r="G13" s="8" t="n">
        <v>75.504</v>
      </c>
      <c r="H13" s="10" t="n">
        <v>0.685936</v>
      </c>
      <c r="I13" s="7" t="n">
        <v>0</v>
      </c>
      <c r="J13" s="7" t="n">
        <v>0</v>
      </c>
      <c r="K13" s="8" t="n">
        <v>0</v>
      </c>
      <c r="L13" s="8" t="n">
        <v>0</v>
      </c>
      <c r="M13" s="8" t="n">
        <v>126.677</v>
      </c>
      <c r="N13" s="7" t="n">
        <v>0</v>
      </c>
    </row>
    <row r="14">
      <c r="A14" s="12" t="inlineStr">
        <is>
          <t>Morropón</t>
        </is>
      </c>
      <c r="B14" s="12" t="inlineStr">
        <is>
          <t>Buenos Aires</t>
        </is>
      </c>
      <c r="C14" s="12" t="n">
        <v>7</v>
      </c>
      <c r="D14" s="13" t="n">
        <v>1903.13</v>
      </c>
      <c r="E14" s="12" t="n">
        <v>7</v>
      </c>
      <c r="F14" s="13" t="n">
        <v>1876.71</v>
      </c>
      <c r="G14" s="13" t="n">
        <v>1263.152</v>
      </c>
      <c r="H14" s="15" t="n">
        <v>0.719882</v>
      </c>
      <c r="I14" s="12" t="n">
        <v>0</v>
      </c>
      <c r="J14" s="12" t="n">
        <v>3</v>
      </c>
      <c r="K14" s="13" t="n">
        <v>0</v>
      </c>
      <c r="L14" s="13" t="n">
        <v>0</v>
      </c>
      <c r="M14" s="13" t="n">
        <v>1903.121</v>
      </c>
      <c r="N14" s="12" t="n">
        <v>0</v>
      </c>
    </row>
    <row r="15">
      <c r="A15" s="7" t="inlineStr">
        <is>
          <t>Morropón</t>
        </is>
      </c>
      <c r="B15" s="7" t="inlineStr">
        <is>
          <t>Chulucanas</t>
        </is>
      </c>
      <c r="C15" s="7" t="n">
        <v>7</v>
      </c>
      <c r="D15" s="8" t="n">
        <v>1450.14</v>
      </c>
      <c r="E15" s="7" t="n">
        <v>7</v>
      </c>
      <c r="F15" s="8" t="n">
        <v>1415.781</v>
      </c>
      <c r="G15" s="8" t="n">
        <v>1073.891</v>
      </c>
      <c r="H15" s="10" t="n">
        <v>0.66083</v>
      </c>
      <c r="I15" s="7" t="n">
        <v>2</v>
      </c>
      <c r="J15" s="7" t="n">
        <v>5</v>
      </c>
      <c r="K15" s="8" t="n">
        <v>424.44</v>
      </c>
      <c r="L15" s="8" t="n">
        <v>0</v>
      </c>
      <c r="M15" s="8" t="n">
        <v>1025.702</v>
      </c>
      <c r="N15" s="7" t="n">
        <v>0</v>
      </c>
    </row>
    <row r="16">
      <c r="A16" s="12" t="inlineStr">
        <is>
          <t>Morropón</t>
        </is>
      </c>
      <c r="B16" s="12" t="inlineStr">
        <is>
          <t>Salitral</t>
        </is>
      </c>
      <c r="C16" s="12" t="n">
        <v>9</v>
      </c>
      <c r="D16" s="13" t="n">
        <v>1264.53</v>
      </c>
      <c r="E16" s="12" t="n">
        <v>9</v>
      </c>
      <c r="F16" s="13" t="n">
        <v>1255.344</v>
      </c>
      <c r="G16" s="13" t="n">
        <v>1191.003</v>
      </c>
      <c r="H16" s="15" t="n">
        <v>0.690864</v>
      </c>
      <c r="I16" s="12" t="n">
        <v>4</v>
      </c>
      <c r="J16" s="12" t="n">
        <v>2</v>
      </c>
      <c r="K16" s="13" t="n">
        <v>80.983</v>
      </c>
      <c r="L16" s="13" t="n">
        <v>1.952</v>
      </c>
      <c r="M16" s="13" t="n">
        <v>1181.597</v>
      </c>
      <c r="N16" s="12" t="n">
        <v>4</v>
      </c>
    </row>
    <row r="17">
      <c r="A17" s="7" t="inlineStr">
        <is>
          <t>Morropón</t>
        </is>
      </c>
      <c r="B17" s="7" t="inlineStr">
        <is>
          <t>San Juan de Bigote</t>
        </is>
      </c>
      <c r="C17" s="7" t="n">
        <v>12</v>
      </c>
      <c r="D17" s="8" t="n">
        <v>1143.857</v>
      </c>
      <c r="E17" s="7" t="n">
        <v>12</v>
      </c>
      <c r="F17" s="8" t="n">
        <v>1122.887</v>
      </c>
      <c r="G17" s="8" t="n">
        <v>1109.735</v>
      </c>
      <c r="H17" s="10" t="n">
        <v>0.589699</v>
      </c>
      <c r="I17" s="7" t="n">
        <v>8</v>
      </c>
      <c r="J17" s="7" t="n">
        <v>3</v>
      </c>
      <c r="K17" s="8" t="n">
        <v>349.308</v>
      </c>
      <c r="L17" s="8" t="n">
        <v>0</v>
      </c>
      <c r="M17" s="8" t="n">
        <v>794.557</v>
      </c>
      <c r="N17" s="7" t="n">
        <v>1</v>
      </c>
    </row>
    <row r="18">
      <c r="A18" s="12" t="inlineStr">
        <is>
          <t>Morropón</t>
        </is>
      </c>
      <c r="B18" s="12" t="inlineStr">
        <is>
          <t>Santo Domingo</t>
        </is>
      </c>
      <c r="C18" s="12" t="n">
        <v>10</v>
      </c>
      <c r="D18" s="13" t="n">
        <v>728.29</v>
      </c>
      <c r="E18" s="12" t="n">
        <v>0</v>
      </c>
      <c r="F18" s="13" t="n">
        <v>71.98699999999999</v>
      </c>
      <c r="G18" s="13" t="n">
        <v>262.604</v>
      </c>
      <c r="H18" s="15" t="n">
        <v>0.8337639999999999</v>
      </c>
      <c r="I18" s="12" t="n">
        <v>0</v>
      </c>
      <c r="J18" s="12" t="n">
        <v>1</v>
      </c>
      <c r="K18" s="13" t="n">
        <v>489.399</v>
      </c>
      <c r="L18" s="13" t="n">
        <v>13.769</v>
      </c>
      <c r="M18" s="13" t="n">
        <v>225.113</v>
      </c>
      <c r="N18" s="12" t="n">
        <v>16</v>
      </c>
    </row>
    <row r="19">
      <c r="A19" s="7" t="inlineStr">
        <is>
          <t>Morropón</t>
        </is>
      </c>
      <c r="B19" s="7" t="inlineStr">
        <is>
          <t>Yamango</t>
        </is>
      </c>
      <c r="C19" s="7" t="n">
        <v>6</v>
      </c>
      <c r="D19" s="8" t="n">
        <v>459.68</v>
      </c>
      <c r="E19" s="7" t="n">
        <v>2</v>
      </c>
      <c r="F19" s="8" t="n">
        <v>298.084</v>
      </c>
      <c r="G19" s="8" t="n">
        <v>222.919</v>
      </c>
      <c r="H19" s="10" t="n">
        <v>0.817994</v>
      </c>
      <c r="I19" s="7" t="n">
        <v>0</v>
      </c>
      <c r="J19" s="7" t="n">
        <v>2</v>
      </c>
      <c r="K19" s="8" t="n">
        <v>459.674</v>
      </c>
      <c r="L19" s="8" t="n">
        <v>0</v>
      </c>
      <c r="M19" s="8" t="n">
        <v>0</v>
      </c>
      <c r="N19" s="7" t="n">
        <v>0</v>
      </c>
    </row>
    <row r="20">
      <c r="A20" s="12" t="inlineStr">
        <is>
          <t>Morropón</t>
        </is>
      </c>
      <c r="B20" s="12" t="inlineStr">
        <is>
          <t>Santa Catalina de Mossa</t>
        </is>
      </c>
      <c r="C20" s="12" t="n">
        <v>4</v>
      </c>
      <c r="D20" s="13" t="n">
        <v>213.18</v>
      </c>
      <c r="E20" s="12" t="n">
        <v>1</v>
      </c>
      <c r="F20" s="13" t="n">
        <v>53.379</v>
      </c>
      <c r="G20" s="13" t="n">
        <v>101.207</v>
      </c>
      <c r="H20" s="15" t="n">
        <v>0.847759</v>
      </c>
      <c r="I20" s="12" t="n">
        <v>0</v>
      </c>
      <c r="J20" s="12" t="n">
        <v>2</v>
      </c>
      <c r="K20" s="13" t="n">
        <v>201.711</v>
      </c>
      <c r="L20" s="13" t="n">
        <v>0</v>
      </c>
      <c r="M20" s="13" t="n">
        <v>11.475</v>
      </c>
      <c r="N20" s="12" t="n">
        <v>0</v>
      </c>
    </row>
    <row r="21">
      <c r="A21" s="7" t="inlineStr">
        <is>
          <t>Morropón</t>
        </is>
      </c>
      <c r="B21" s="7" t="inlineStr">
        <is>
          <t>Morropón</t>
        </is>
      </c>
      <c r="C21" s="7" t="n">
        <v>2</v>
      </c>
      <c r="D21" s="8" t="n">
        <v>125.34</v>
      </c>
      <c r="E21" s="7" t="n">
        <v>2</v>
      </c>
      <c r="F21" s="8" t="n">
        <v>119.424</v>
      </c>
      <c r="G21" s="8" t="n">
        <v>95.559</v>
      </c>
      <c r="H21" s="10" t="n">
        <v>0.79514</v>
      </c>
      <c r="I21" s="7" t="n">
        <v>0</v>
      </c>
      <c r="J21" s="7" t="n">
        <v>1</v>
      </c>
      <c r="K21" s="8" t="n">
        <v>0</v>
      </c>
      <c r="L21" s="8" t="n">
        <v>0</v>
      </c>
      <c r="M21" s="8" t="n">
        <v>125.344</v>
      </c>
      <c r="N21" s="7" t="n">
        <v>0</v>
      </c>
    </row>
    <row r="22">
      <c r="A22" s="12" t="inlineStr">
        <is>
          <t>Morropón</t>
        </is>
      </c>
      <c r="B22" s="12" t="inlineStr">
        <is>
          <t>Chalaco</t>
        </is>
      </c>
      <c r="C22" s="12" t="n">
        <v>2</v>
      </c>
      <c r="D22" s="13" t="n">
        <v>39.22</v>
      </c>
      <c r="E22" s="12" t="n">
        <v>0</v>
      </c>
      <c r="F22" s="13" t="n">
        <v>3.036</v>
      </c>
      <c r="G22" s="13" t="n">
        <v>15.134</v>
      </c>
      <c r="H22" s="15" t="n">
        <v>0.8430299999999999</v>
      </c>
      <c r="I22" s="12" t="n">
        <v>0</v>
      </c>
      <c r="J22" s="12" t="n">
        <v>0</v>
      </c>
      <c r="K22" s="13" t="n">
        <v>39.222</v>
      </c>
      <c r="L22" s="13" t="n">
        <v>0</v>
      </c>
      <c r="M22" s="13" t="n">
        <v>0</v>
      </c>
      <c r="N22" s="12" t="n">
        <v>0</v>
      </c>
    </row>
    <row r="23">
      <c r="A23" s="17" t="inlineStr">
        <is>
          <t>TOTAL</t>
        </is>
      </c>
      <c r="B23" s="17" t="n"/>
      <c r="C23" s="17">
        <f>SUM(C9:C22)</f>
        <v/>
      </c>
      <c r="D23" s="18">
        <f>SUM(D9:D22)</f>
        <v/>
      </c>
      <c r="E23" s="17">
        <f>SUM(E9:E22)</f>
        <v/>
      </c>
      <c r="F23" s="18">
        <f>SUM(F9:F22)</f>
        <v/>
      </c>
      <c r="G23" s="18">
        <f>SUM(G9:G22)</f>
        <v/>
      </c>
      <c r="H23" s="17" t="n"/>
      <c r="I23" s="17">
        <f>SUM(I9:I22)</f>
        <v/>
      </c>
      <c r="J23" s="17">
        <f>SUM(J9:J22)</f>
        <v/>
      </c>
      <c r="K23" s="18">
        <f>SUM(K9:K22)</f>
        <v/>
      </c>
      <c r="L23" s="18">
        <f>SUM(L9:L22)</f>
        <v/>
      </c>
      <c r="M23" s="18">
        <f>SUM(M9:M22)</f>
        <v/>
      </c>
      <c r="N23" s="17">
        <f>SUM(N9:N22)</f>
        <v/>
      </c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</row>
  </sheetData>
  <autoFilter ref="A8:N22"/>
  <mergeCells count="6">
    <mergeCell ref="A3:N3"/>
    <mergeCell ref="A6:N6"/>
    <mergeCell ref="A4:N4"/>
    <mergeCell ref="A2:N2"/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9" customWidth="1" min="6" max="6"/>
    <col width="14" customWidth="1" min="7" max="7"/>
    <col width="39" customWidth="1" min="8" max="8"/>
    <col width="33" customWidth="1" min="9" max="9"/>
    <col width="32" customWidth="1" min="10" max="10"/>
    <col width="22" customWidth="1" min="11" max="11"/>
    <col width="21" customWidth="1" min="12" max="12"/>
    <col width="25" customWidth="1" min="13" max="13"/>
    <col width="30" customWidth="1" min="14" max="14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SITUACIÓN PREDIAL DE GABINETE POR BLOQUE — HUANCABAMBA Y MORROPÓN (MAPAS SP v2)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Índice de mapas de situación predial de los 117 bloques V6 v2 (Drive ID 1jkNZ0sikCKQXZyUu4jlaiekNU82eQXE2), 11/10/2026. Tolerancia cartográfica 5 %.</t>
        </is>
      </c>
    </row>
    <row r="8" ht="30" customHeight="1">
      <c r="A8" s="4" t="inlineStr">
        <is>
          <t>Lámina</t>
        </is>
      </c>
      <c r="B8" s="4" t="inlineStr">
        <is>
          <t>Bloque</t>
        </is>
      </c>
      <c r="C8" s="4" t="inlineStr">
        <is>
          <t>Provincia</t>
        </is>
      </c>
      <c r="D8" s="4" t="inlineStr">
        <is>
          <t>Distrito</t>
        </is>
      </c>
      <c r="E8" s="4" t="inlineStr">
        <is>
          <t>Asistente</t>
        </is>
      </c>
      <c r="F8" s="4" t="inlineStr">
        <is>
          <t>Superficie (ha)</t>
        </is>
      </c>
      <c r="G8" s="4" t="inlineStr">
        <is>
          <t>C. C. (ha)</t>
        </is>
      </c>
      <c r="H8" s="4" t="inlineStr">
        <is>
          <t>Predios COFOPRI fuera de C. C. (ha)</t>
        </is>
      </c>
      <c r="I8" s="4" t="inlineStr">
        <is>
          <t>Estado y/o posesionarios (ha)</t>
        </is>
      </c>
      <c r="J8" s="4" t="inlineStr">
        <is>
          <t>Situación predial</t>
        </is>
      </c>
      <c r="K8" s="4" t="inlineStr">
        <is>
          <t>N° predios COFOPRI</t>
        </is>
      </c>
      <c r="L8" s="4" t="inlineStr">
        <is>
          <t>N° CCPP asociados</t>
        </is>
      </c>
      <c r="M8" s="4" t="inlineStr">
        <is>
          <t>Población CCPP (hab.)</t>
        </is>
      </c>
      <c r="N8" s="4" t="inlineStr">
        <is>
          <t>Excede 19 predios (Paso 5)</t>
        </is>
      </c>
    </row>
    <row r="9">
      <c r="A9" s="7" t="inlineStr">
        <is>
          <t>SP-011</t>
        </is>
      </c>
      <c r="B9" s="7" t="inlineStr">
        <is>
          <t>21</t>
        </is>
      </c>
      <c r="C9" s="7" t="inlineStr">
        <is>
          <t>Huancabamba</t>
        </is>
      </c>
      <c r="D9" s="7" t="inlineStr">
        <is>
          <t>Canchaque</t>
        </is>
      </c>
      <c r="E9" s="7" t="inlineStr">
        <is>
          <t>AP-5</t>
        </is>
      </c>
      <c r="F9" s="20" t="n">
        <v>84.227</v>
      </c>
      <c r="G9" s="20" t="n">
        <v>0</v>
      </c>
      <c r="H9" s="20" t="n">
        <v>0</v>
      </c>
      <c r="I9" s="20" t="n">
        <v>84.227</v>
      </c>
      <c r="J9" s="7" t="inlineStr">
        <is>
          <t>Tierras del Estado y/o posesionarios</t>
        </is>
      </c>
      <c r="K9" s="7" t="n">
        <v>0</v>
      </c>
      <c r="L9" s="7" t="n">
        <v>1</v>
      </c>
      <c r="M9" s="7" t="n">
        <v>47</v>
      </c>
      <c r="N9" s="7" t="inlineStr">
        <is>
          <t>No</t>
        </is>
      </c>
    </row>
    <row r="10">
      <c r="A10" s="12" t="inlineStr">
        <is>
          <t>SP-012</t>
        </is>
      </c>
      <c r="B10" s="12" t="inlineStr">
        <is>
          <t>24</t>
        </is>
      </c>
      <c r="C10" s="12" t="inlineStr">
        <is>
          <t>Huancabamba</t>
        </is>
      </c>
      <c r="D10" s="12" t="inlineStr">
        <is>
          <t>Canchaque</t>
        </is>
      </c>
      <c r="E10" s="12" t="inlineStr">
        <is>
          <t>AP-5</t>
        </is>
      </c>
      <c r="F10" s="21" t="n">
        <v>90.15900000000001</v>
      </c>
      <c r="G10" s="21" t="n">
        <v>2.067</v>
      </c>
      <c r="H10" s="21" t="n">
        <v>0</v>
      </c>
      <c r="I10" s="21" t="n">
        <v>88.092</v>
      </c>
      <c r="J10" s="12" t="inlineStr">
        <is>
          <t>Tierras del Estado y/o posesionarios</t>
        </is>
      </c>
      <c r="K10" s="12" t="n">
        <v>0</v>
      </c>
      <c r="L10" s="12" t="n">
        <v>1</v>
      </c>
      <c r="M10" s="12" t="n">
        <v>443</v>
      </c>
      <c r="N10" s="12" t="inlineStr">
        <is>
          <t>No</t>
        </is>
      </c>
    </row>
    <row r="11">
      <c r="A11" s="7" t="inlineStr">
        <is>
          <t>SP-013</t>
        </is>
      </c>
      <c r="B11" s="7" t="inlineStr">
        <is>
          <t>28</t>
        </is>
      </c>
      <c r="C11" s="7" t="inlineStr">
        <is>
          <t>Huancabamba</t>
        </is>
      </c>
      <c r="D11" s="7" t="inlineStr">
        <is>
          <t>Canchaque</t>
        </is>
      </c>
      <c r="E11" s="7" t="inlineStr">
        <is>
          <t>AP-5</t>
        </is>
      </c>
      <c r="F11" s="20" t="n">
        <v>52.966</v>
      </c>
      <c r="G11" s="20" t="n">
        <v>0</v>
      </c>
      <c r="H11" s="20" t="n">
        <v>14.252</v>
      </c>
      <c r="I11" s="20" t="n">
        <v>38.714</v>
      </c>
      <c r="J11" s="7" t="inlineStr">
        <is>
          <t>Parcialmente privada</t>
        </is>
      </c>
      <c r="K11" s="7" t="n">
        <v>17</v>
      </c>
      <c r="L11" s="7" t="n">
        <v>1</v>
      </c>
      <c r="M11" s="7" t="n">
        <v>66</v>
      </c>
      <c r="N11" s="7" t="inlineStr">
        <is>
          <t>No</t>
        </is>
      </c>
    </row>
    <row r="12">
      <c r="A12" s="12" t="inlineStr">
        <is>
          <t>SP-014</t>
        </is>
      </c>
      <c r="B12" s="12" t="inlineStr">
        <is>
          <t>30</t>
        </is>
      </c>
      <c r="C12" s="12" t="inlineStr">
        <is>
          <t>Huancabamba</t>
        </is>
      </c>
      <c r="D12" s="12" t="inlineStr">
        <is>
          <t>Canchaque</t>
        </is>
      </c>
      <c r="E12" s="12" t="inlineStr">
        <is>
          <t>AP-5</t>
        </is>
      </c>
      <c r="F12" s="21" t="n">
        <v>34.874</v>
      </c>
      <c r="G12" s="21" t="n">
        <v>0</v>
      </c>
      <c r="H12" s="21" t="n">
        <v>33.133</v>
      </c>
      <c r="I12" s="21" t="n">
        <v>1.741</v>
      </c>
      <c r="J12" s="12" t="inlineStr">
        <is>
          <t>Privada</t>
        </is>
      </c>
      <c r="K12" s="12" t="n">
        <v>10</v>
      </c>
      <c r="L12" s="12" t="n">
        <v>2</v>
      </c>
      <c r="M12" s="12" t="n">
        <v>168</v>
      </c>
      <c r="N12" s="12" t="inlineStr">
        <is>
          <t>No</t>
        </is>
      </c>
    </row>
    <row r="13">
      <c r="A13" s="7" t="inlineStr">
        <is>
          <t>SP-015</t>
        </is>
      </c>
      <c r="B13" s="7" t="inlineStr">
        <is>
          <t>40</t>
        </is>
      </c>
      <c r="C13" s="7" t="inlineStr">
        <is>
          <t>Huancabamba</t>
        </is>
      </c>
      <c r="D13" s="7" t="inlineStr">
        <is>
          <t>Canchaque</t>
        </is>
      </c>
      <c r="E13" s="7" t="inlineStr">
        <is>
          <t>AP-5</t>
        </is>
      </c>
      <c r="F13" s="20" t="n">
        <v>28.523</v>
      </c>
      <c r="G13" s="20" t="n">
        <v>0</v>
      </c>
      <c r="H13" s="20" t="n">
        <v>15.262</v>
      </c>
      <c r="I13" s="20" t="n">
        <v>13.261</v>
      </c>
      <c r="J13" s="7" t="inlineStr">
        <is>
          <t>Parcialmente privada</t>
        </is>
      </c>
      <c r="K13" s="7" t="n">
        <v>12</v>
      </c>
      <c r="L13" s="7" t="n">
        <v>2</v>
      </c>
      <c r="M13" s="7" t="n">
        <v>58</v>
      </c>
      <c r="N13" s="7" t="inlineStr">
        <is>
          <t>No</t>
        </is>
      </c>
    </row>
    <row r="14">
      <c r="A14" s="12" t="inlineStr">
        <is>
          <t>SP-016</t>
        </is>
      </c>
      <c r="B14" s="12" t="inlineStr">
        <is>
          <t>60</t>
        </is>
      </c>
      <c r="C14" s="12" t="inlineStr">
        <is>
          <t>Huancabamba</t>
        </is>
      </c>
      <c r="D14" s="12" t="inlineStr">
        <is>
          <t>Canchaque</t>
        </is>
      </c>
      <c r="E14" s="12" t="inlineStr">
        <is>
          <t>AP-5</t>
        </is>
      </c>
      <c r="F14" s="21" t="n">
        <v>40.132</v>
      </c>
      <c r="G14" s="21" t="n">
        <v>0</v>
      </c>
      <c r="H14" s="21" t="n">
        <v>39.963</v>
      </c>
      <c r="I14" s="21" t="n">
        <v>0.169</v>
      </c>
      <c r="J14" s="12" t="inlineStr">
        <is>
          <t>Privada</t>
        </is>
      </c>
      <c r="K14" s="12" t="n">
        <v>14</v>
      </c>
      <c r="L14" s="12" t="n">
        <v>1</v>
      </c>
      <c r="M14" s="12" t="n">
        <v>111</v>
      </c>
      <c r="N14" s="12" t="inlineStr">
        <is>
          <t>No</t>
        </is>
      </c>
    </row>
    <row r="15">
      <c r="A15" s="7" t="inlineStr">
        <is>
          <t>SP-017</t>
        </is>
      </c>
      <c r="B15" s="7" t="inlineStr">
        <is>
          <t>63</t>
        </is>
      </c>
      <c r="C15" s="7" t="inlineStr">
        <is>
          <t>Huancabamba</t>
        </is>
      </c>
      <c r="D15" s="7" t="inlineStr">
        <is>
          <t>Canchaque</t>
        </is>
      </c>
      <c r="E15" s="7" t="inlineStr">
        <is>
          <t>AP-5</t>
        </is>
      </c>
      <c r="F15" s="20" t="n">
        <v>50.459</v>
      </c>
      <c r="G15" s="20" t="n">
        <v>50.459</v>
      </c>
      <c r="H15" s="20" t="n">
        <v>0</v>
      </c>
      <c r="I15" s="20" t="n">
        <v>0</v>
      </c>
      <c r="J15" s="7" t="inlineStr">
        <is>
          <t>Comunal</t>
        </is>
      </c>
      <c r="K15" s="7" t="n">
        <v>0</v>
      </c>
      <c r="L15" s="7" t="n">
        <v>1</v>
      </c>
      <c r="M15" s="7" t="n">
        <v>87</v>
      </c>
      <c r="N15" s="7" t="inlineStr">
        <is>
          <t>No</t>
        </is>
      </c>
    </row>
    <row r="16">
      <c r="A16" s="12" t="inlineStr">
        <is>
          <t>SP-018</t>
        </is>
      </c>
      <c r="B16" s="12" t="inlineStr">
        <is>
          <t>66</t>
        </is>
      </c>
      <c r="C16" s="12" t="inlineStr">
        <is>
          <t>Huancabamba</t>
        </is>
      </c>
      <c r="D16" s="12" t="inlineStr">
        <is>
          <t>Canchaque</t>
        </is>
      </c>
      <c r="E16" s="12" t="inlineStr">
        <is>
          <t>AP-5</t>
        </is>
      </c>
      <c r="F16" s="21" t="n">
        <v>102.335</v>
      </c>
      <c r="G16" s="21" t="n">
        <v>0</v>
      </c>
      <c r="H16" s="21" t="n">
        <v>0</v>
      </c>
      <c r="I16" s="21" t="n">
        <v>102.335</v>
      </c>
      <c r="J16" s="12" t="inlineStr">
        <is>
          <t>Tierras del Estado y/o posesionarios</t>
        </is>
      </c>
      <c r="K16" s="12" t="n">
        <v>0</v>
      </c>
      <c r="L16" s="12" t="n">
        <v>1</v>
      </c>
      <c r="M16" s="12" t="n">
        <v>45</v>
      </c>
      <c r="N16" s="12" t="inlineStr">
        <is>
          <t>No</t>
        </is>
      </c>
    </row>
    <row r="17">
      <c r="A17" s="7" t="inlineStr">
        <is>
          <t>SP-019</t>
        </is>
      </c>
      <c r="B17" s="7" t="inlineStr">
        <is>
          <t>79</t>
        </is>
      </c>
      <c r="C17" s="7" t="inlineStr">
        <is>
          <t>Huancabamba</t>
        </is>
      </c>
      <c r="D17" s="7" t="inlineStr">
        <is>
          <t>Canchaque</t>
        </is>
      </c>
      <c r="E17" s="7" t="inlineStr">
        <is>
          <t>AP-5</t>
        </is>
      </c>
      <c r="F17" s="20" t="n">
        <v>94.812</v>
      </c>
      <c r="G17" s="20" t="n">
        <v>94.812</v>
      </c>
      <c r="H17" s="20" t="n">
        <v>0</v>
      </c>
      <c r="I17" s="20" t="n">
        <v>0</v>
      </c>
      <c r="J17" s="7" t="inlineStr">
        <is>
          <t>Comunal</t>
        </is>
      </c>
      <c r="K17" s="7" t="n">
        <v>0</v>
      </c>
      <c r="L17" s="7" t="n">
        <v>2</v>
      </c>
      <c r="M17" s="7" t="n">
        <v>219</v>
      </c>
      <c r="N17" s="7" t="inlineStr">
        <is>
          <t>No</t>
        </is>
      </c>
    </row>
    <row r="18">
      <c r="A18" s="12" t="inlineStr">
        <is>
          <t>SP-020</t>
        </is>
      </c>
      <c r="B18" s="12" t="inlineStr">
        <is>
          <t>81</t>
        </is>
      </c>
      <c r="C18" s="12" t="inlineStr">
        <is>
          <t>Huancabamba</t>
        </is>
      </c>
      <c r="D18" s="12" t="inlineStr">
        <is>
          <t>Canchaque</t>
        </is>
      </c>
      <c r="E18" s="12" t="inlineStr">
        <is>
          <t>AP-5</t>
        </is>
      </c>
      <c r="F18" s="21" t="n">
        <v>8.929</v>
      </c>
      <c r="G18" s="21" t="n">
        <v>8.929</v>
      </c>
      <c r="H18" s="21" t="n">
        <v>0</v>
      </c>
      <c r="I18" s="21" t="n">
        <v>0</v>
      </c>
      <c r="J18" s="12" t="inlineStr">
        <is>
          <t>Comunal</t>
        </is>
      </c>
      <c r="K18" s="12" t="n">
        <v>0</v>
      </c>
      <c r="L18" s="12" t="n">
        <v>1</v>
      </c>
      <c r="M18" s="12" t="n">
        <v>80</v>
      </c>
      <c r="N18" s="12" t="inlineStr">
        <is>
          <t>No</t>
        </is>
      </c>
    </row>
    <row r="19">
      <c r="A19" s="7" t="inlineStr">
        <is>
          <t>SP-021</t>
        </is>
      </c>
      <c r="B19" s="7" t="inlineStr">
        <is>
          <t>64</t>
        </is>
      </c>
      <c r="C19" s="7" t="inlineStr">
        <is>
          <t>Huancabamba</t>
        </is>
      </c>
      <c r="D19" s="7" t="inlineStr">
        <is>
          <t>Huancabamba</t>
        </is>
      </c>
      <c r="E19" s="7" t="inlineStr">
        <is>
          <t>AP-5</t>
        </is>
      </c>
      <c r="F19" s="20" t="n">
        <v>35.774</v>
      </c>
      <c r="G19" s="20" t="n">
        <v>0</v>
      </c>
      <c r="H19" s="20" t="n">
        <v>0</v>
      </c>
      <c r="I19" s="20" t="n">
        <v>35.774</v>
      </c>
      <c r="J19" s="7" t="inlineStr">
        <is>
          <t>Tierras del Estado y/o posesionarios</t>
        </is>
      </c>
      <c r="K19" s="7" t="n">
        <v>0</v>
      </c>
      <c r="L19" s="7" t="n">
        <v>1</v>
      </c>
      <c r="M19" s="7" t="n">
        <v>311</v>
      </c>
      <c r="N19" s="7" t="inlineStr">
        <is>
          <t>No</t>
        </is>
      </c>
    </row>
    <row r="20">
      <c r="A20" s="12" t="inlineStr">
        <is>
          <t>SP-022</t>
        </is>
      </c>
      <c r="B20" s="12" t="inlineStr">
        <is>
          <t>M30B5</t>
        </is>
      </c>
      <c r="C20" s="12" t="inlineStr">
        <is>
          <t>Huancabamba</t>
        </is>
      </c>
      <c r="D20" s="12" t="inlineStr">
        <is>
          <t>Huancabamba</t>
        </is>
      </c>
      <c r="E20" s="12" t="inlineStr">
        <is>
          <t>AP-5</t>
        </is>
      </c>
      <c r="F20" s="21" t="n">
        <v>90.90300000000001</v>
      </c>
      <c r="G20" s="21" t="n">
        <v>0</v>
      </c>
      <c r="H20" s="21" t="n">
        <v>0</v>
      </c>
      <c r="I20" s="21" t="n">
        <v>90.90300000000001</v>
      </c>
      <c r="J20" s="12" t="inlineStr">
        <is>
          <t>Tierras del Estado y/o posesionarios</t>
        </is>
      </c>
      <c r="K20" s="12" t="n">
        <v>0</v>
      </c>
      <c r="L20" s="12" t="n">
        <v>0</v>
      </c>
      <c r="M20" s="12" t="n"/>
      <c r="N20" s="12" t="inlineStr">
        <is>
          <t>No</t>
        </is>
      </c>
    </row>
    <row r="21">
      <c r="A21" s="7" t="inlineStr">
        <is>
          <t>SP-023</t>
        </is>
      </c>
      <c r="B21" s="7" t="inlineStr">
        <is>
          <t>4</t>
        </is>
      </c>
      <c r="C21" s="7" t="inlineStr">
        <is>
          <t>Huancabamba</t>
        </is>
      </c>
      <c r="D21" s="7" t="inlineStr">
        <is>
          <t>Huarmaca</t>
        </is>
      </c>
      <c r="E21" s="7" t="inlineStr">
        <is>
          <t>AP-5</t>
        </is>
      </c>
      <c r="F21" s="20" t="n">
        <v>230.098</v>
      </c>
      <c r="G21" s="20" t="n">
        <v>0</v>
      </c>
      <c r="H21" s="20" t="n">
        <v>14.559</v>
      </c>
      <c r="I21" s="20" t="n">
        <v>215.539</v>
      </c>
      <c r="J21" s="7" t="inlineStr">
        <is>
          <t>Parcialmente privada</t>
        </is>
      </c>
      <c r="K21" s="7" t="n">
        <v>37</v>
      </c>
      <c r="L21" s="7" t="n">
        <v>2</v>
      </c>
      <c r="M21" s="7" t="n">
        <v>385</v>
      </c>
      <c r="N21" s="7" t="inlineStr">
        <is>
          <t>Sí</t>
        </is>
      </c>
    </row>
    <row r="22">
      <c r="A22" s="12" t="inlineStr">
        <is>
          <t>SP-024</t>
        </is>
      </c>
      <c r="B22" s="12" t="inlineStr">
        <is>
          <t>8</t>
        </is>
      </c>
      <c r="C22" s="12" t="inlineStr">
        <is>
          <t>Huancabamba</t>
        </is>
      </c>
      <c r="D22" s="12" t="inlineStr">
        <is>
          <t>Huarmaca</t>
        </is>
      </c>
      <c r="E22" s="12" t="inlineStr">
        <is>
          <t>AP-5</t>
        </is>
      </c>
      <c r="F22" s="21" t="n">
        <v>126.952</v>
      </c>
      <c r="G22" s="21" t="n">
        <v>0</v>
      </c>
      <c r="H22" s="21" t="n">
        <v>0</v>
      </c>
      <c r="I22" s="21" t="n">
        <v>126.952</v>
      </c>
      <c r="J22" s="12" t="inlineStr">
        <is>
          <t>Tierras del Estado y/o posesionarios</t>
        </is>
      </c>
      <c r="K22" s="12" t="n">
        <v>0</v>
      </c>
      <c r="L22" s="12" t="n">
        <v>1</v>
      </c>
      <c r="M22" s="12" t="n">
        <v>322</v>
      </c>
      <c r="N22" s="12" t="inlineStr">
        <is>
          <t>No</t>
        </is>
      </c>
    </row>
    <row r="23">
      <c r="A23" s="7" t="inlineStr">
        <is>
          <t>SP-025</t>
        </is>
      </c>
      <c r="B23" s="7" t="inlineStr">
        <is>
          <t>10</t>
        </is>
      </c>
      <c r="C23" s="7" t="inlineStr">
        <is>
          <t>Huancabamba</t>
        </is>
      </c>
      <c r="D23" s="7" t="inlineStr">
        <is>
          <t>Huarmaca</t>
        </is>
      </c>
      <c r="E23" s="7" t="inlineStr">
        <is>
          <t>AP-5</t>
        </is>
      </c>
      <c r="F23" s="20" t="n">
        <v>150.214</v>
      </c>
      <c r="G23" s="20" t="n">
        <v>0</v>
      </c>
      <c r="H23" s="20" t="n">
        <v>0</v>
      </c>
      <c r="I23" s="20" t="n">
        <v>150.214</v>
      </c>
      <c r="J23" s="7" t="inlineStr">
        <is>
          <t>Tierras del Estado y/o posesionarios</t>
        </is>
      </c>
      <c r="K23" s="7" t="n">
        <v>0</v>
      </c>
      <c r="L23" s="7" t="n">
        <v>1</v>
      </c>
      <c r="M23" s="7" t="n">
        <v>146</v>
      </c>
      <c r="N23" s="7" t="inlineStr">
        <is>
          <t>No</t>
        </is>
      </c>
    </row>
    <row r="24">
      <c r="A24" s="12" t="inlineStr">
        <is>
          <t>SP-026</t>
        </is>
      </c>
      <c r="B24" s="12" t="inlineStr">
        <is>
          <t>16</t>
        </is>
      </c>
      <c r="C24" s="12" t="inlineStr">
        <is>
          <t>Huancabamba</t>
        </is>
      </c>
      <c r="D24" s="12" t="inlineStr">
        <is>
          <t>Huarmaca</t>
        </is>
      </c>
      <c r="E24" s="12" t="inlineStr">
        <is>
          <t>AP-5</t>
        </is>
      </c>
      <c r="F24" s="21" t="n">
        <v>83.327</v>
      </c>
      <c r="G24" s="21" t="n">
        <v>0</v>
      </c>
      <c r="H24" s="21" t="n">
        <v>0</v>
      </c>
      <c r="I24" s="21" t="n">
        <v>83.327</v>
      </c>
      <c r="J24" s="12" t="inlineStr">
        <is>
          <t>Tierras del Estado y/o posesionarios</t>
        </is>
      </c>
      <c r="K24" s="12" t="n">
        <v>0</v>
      </c>
      <c r="L24" s="12" t="n">
        <v>1</v>
      </c>
      <c r="M24" s="12" t="n">
        <v>153</v>
      </c>
      <c r="N24" s="12" t="inlineStr">
        <is>
          <t>No</t>
        </is>
      </c>
    </row>
    <row r="25">
      <c r="A25" s="7" t="inlineStr">
        <is>
          <t>SP-027</t>
        </is>
      </c>
      <c r="B25" s="7" t="inlineStr">
        <is>
          <t>18</t>
        </is>
      </c>
      <c r="C25" s="7" t="inlineStr">
        <is>
          <t>Huancabamba</t>
        </is>
      </c>
      <c r="D25" s="7" t="inlineStr">
        <is>
          <t>Huarmaca</t>
        </is>
      </c>
      <c r="E25" s="7" t="inlineStr">
        <is>
          <t>AP-6</t>
        </is>
      </c>
      <c r="F25" s="20" t="n">
        <v>103.617</v>
      </c>
      <c r="G25" s="20" t="n">
        <v>0</v>
      </c>
      <c r="H25" s="20" t="n">
        <v>11.017</v>
      </c>
      <c r="I25" s="20" t="n">
        <v>92.59999999999999</v>
      </c>
      <c r="J25" s="7" t="inlineStr">
        <is>
          <t>Parcialmente privada</t>
        </is>
      </c>
      <c r="K25" s="7" t="n">
        <v>7</v>
      </c>
      <c r="L25" s="7" t="n">
        <v>1</v>
      </c>
      <c r="M25" s="7" t="n">
        <v>28</v>
      </c>
      <c r="N25" s="7" t="inlineStr">
        <is>
          <t>No</t>
        </is>
      </c>
    </row>
    <row r="26">
      <c r="A26" s="12" t="inlineStr">
        <is>
          <t>SP-028</t>
        </is>
      </c>
      <c r="B26" s="12" t="inlineStr">
        <is>
          <t>19</t>
        </is>
      </c>
      <c r="C26" s="12" t="inlineStr">
        <is>
          <t>Huancabamba</t>
        </is>
      </c>
      <c r="D26" s="12" t="inlineStr">
        <is>
          <t>Huarmaca</t>
        </is>
      </c>
      <c r="E26" s="12" t="inlineStr">
        <is>
          <t>AP-6</t>
        </is>
      </c>
      <c r="F26" s="21" t="n">
        <v>82.08799999999999</v>
      </c>
      <c r="G26" s="21" t="n">
        <v>82.08799999999999</v>
      </c>
      <c r="H26" s="21" t="n">
        <v>0</v>
      </c>
      <c r="I26" s="21" t="n">
        <v>0</v>
      </c>
      <c r="J26" s="12" t="inlineStr">
        <is>
          <t>Comunal</t>
        </is>
      </c>
      <c r="K26" s="12" t="n">
        <v>0</v>
      </c>
      <c r="L26" s="12" t="n">
        <v>2</v>
      </c>
      <c r="M26" s="12" t="n">
        <v>132</v>
      </c>
      <c r="N26" s="12" t="inlineStr">
        <is>
          <t>No</t>
        </is>
      </c>
    </row>
    <row r="27">
      <c r="A27" s="7" t="inlineStr">
        <is>
          <t>SP-029</t>
        </is>
      </c>
      <c r="B27" s="7" t="inlineStr">
        <is>
          <t>20</t>
        </is>
      </c>
      <c r="C27" s="7" t="inlineStr">
        <is>
          <t>Huancabamba</t>
        </is>
      </c>
      <c r="D27" s="7" t="inlineStr">
        <is>
          <t>Huarmaca</t>
        </is>
      </c>
      <c r="E27" s="7" t="inlineStr">
        <is>
          <t>AP-5</t>
        </is>
      </c>
      <c r="F27" s="20" t="n">
        <v>81.334</v>
      </c>
      <c r="G27" s="20" t="n">
        <v>0</v>
      </c>
      <c r="H27" s="20" t="n">
        <v>0</v>
      </c>
      <c r="I27" s="20" t="n">
        <v>81.334</v>
      </c>
      <c r="J27" s="7" t="inlineStr">
        <is>
          <t>Tierras del Estado y/o posesionarios</t>
        </is>
      </c>
      <c r="K27" s="7" t="n">
        <v>0</v>
      </c>
      <c r="L27" s="7" t="n">
        <v>1</v>
      </c>
      <c r="M27" s="7" t="n">
        <v>149</v>
      </c>
      <c r="N27" s="7" t="inlineStr">
        <is>
          <t>No</t>
        </is>
      </c>
    </row>
    <row r="28">
      <c r="A28" s="12" t="inlineStr">
        <is>
          <t>SP-030</t>
        </is>
      </c>
      <c r="B28" s="12" t="inlineStr">
        <is>
          <t>31</t>
        </is>
      </c>
      <c r="C28" s="12" t="inlineStr">
        <is>
          <t>Huancabamba</t>
        </is>
      </c>
      <c r="D28" s="12" t="inlineStr">
        <is>
          <t>Huarmaca</t>
        </is>
      </c>
      <c r="E28" s="12" t="inlineStr">
        <is>
          <t>AP-6</t>
        </is>
      </c>
      <c r="F28" s="21" t="n">
        <v>47.581</v>
      </c>
      <c r="G28" s="21" t="n">
        <v>0</v>
      </c>
      <c r="H28" s="21" t="n">
        <v>1.069</v>
      </c>
      <c r="I28" s="21" t="n">
        <v>46.512</v>
      </c>
      <c r="J28" s="12" t="inlineStr">
        <is>
          <t>Tierras del Estado y/o posesionarios</t>
        </is>
      </c>
      <c r="K28" s="12" t="n">
        <v>7</v>
      </c>
      <c r="L28" s="12" t="n">
        <v>0</v>
      </c>
      <c r="M28" s="12" t="n"/>
      <c r="N28" s="12" t="inlineStr">
        <is>
          <t>No</t>
        </is>
      </c>
    </row>
    <row r="29">
      <c r="A29" s="7" t="inlineStr">
        <is>
          <t>SP-031</t>
        </is>
      </c>
      <c r="B29" s="7" t="inlineStr">
        <is>
          <t>41</t>
        </is>
      </c>
      <c r="C29" s="7" t="inlineStr">
        <is>
          <t>Huancabamba</t>
        </is>
      </c>
      <c r="D29" s="7" t="inlineStr">
        <is>
          <t>Huarmaca</t>
        </is>
      </c>
      <c r="E29" s="7" t="inlineStr">
        <is>
          <t>AP-6</t>
        </is>
      </c>
      <c r="F29" s="20" t="n">
        <v>64.923</v>
      </c>
      <c r="G29" s="20" t="n">
        <v>0</v>
      </c>
      <c r="H29" s="20" t="n">
        <v>8.077</v>
      </c>
      <c r="I29" s="20" t="n">
        <v>56.846</v>
      </c>
      <c r="J29" s="7" t="inlineStr">
        <is>
          <t>Parcialmente privada</t>
        </is>
      </c>
      <c r="K29" s="7" t="n">
        <v>10</v>
      </c>
      <c r="L29" s="7" t="n">
        <v>1</v>
      </c>
      <c r="M29" s="7" t="n">
        <v>54</v>
      </c>
      <c r="N29" s="7" t="inlineStr">
        <is>
          <t>No</t>
        </is>
      </c>
    </row>
    <row r="30">
      <c r="A30" s="12" t="inlineStr">
        <is>
          <t>SP-032</t>
        </is>
      </c>
      <c r="B30" s="12" t="inlineStr">
        <is>
          <t>51</t>
        </is>
      </c>
      <c r="C30" s="12" t="inlineStr">
        <is>
          <t>Huancabamba</t>
        </is>
      </c>
      <c r="D30" s="12" t="inlineStr">
        <is>
          <t>Huarmaca</t>
        </is>
      </c>
      <c r="E30" s="12" t="inlineStr">
        <is>
          <t>AP-5</t>
        </is>
      </c>
      <c r="F30" s="21" t="n">
        <v>22.927</v>
      </c>
      <c r="G30" s="21" t="n">
        <v>0</v>
      </c>
      <c r="H30" s="21" t="n">
        <v>19.635</v>
      </c>
      <c r="I30" s="21" t="n">
        <v>3.292</v>
      </c>
      <c r="J30" s="12" t="inlineStr">
        <is>
          <t>Parcialmente privada</t>
        </is>
      </c>
      <c r="K30" s="12" t="n">
        <v>12</v>
      </c>
      <c r="L30" s="12" t="n">
        <v>2</v>
      </c>
      <c r="M30" s="12" t="n">
        <v>348</v>
      </c>
      <c r="N30" s="12" t="inlineStr">
        <is>
          <t>No</t>
        </is>
      </c>
    </row>
    <row r="31">
      <c r="A31" s="7" t="inlineStr">
        <is>
          <t>SP-033</t>
        </is>
      </c>
      <c r="B31" s="7" t="inlineStr">
        <is>
          <t>53</t>
        </is>
      </c>
      <c r="C31" s="7" t="inlineStr">
        <is>
          <t>Huancabamba</t>
        </is>
      </c>
      <c r="D31" s="7" t="inlineStr">
        <is>
          <t>Huarmaca</t>
        </is>
      </c>
      <c r="E31" s="7" t="inlineStr">
        <is>
          <t>AP-6</t>
        </is>
      </c>
      <c r="F31" s="20" t="n">
        <v>13.065</v>
      </c>
      <c r="G31" s="20" t="n">
        <v>0</v>
      </c>
      <c r="H31" s="20" t="n">
        <v>4.613</v>
      </c>
      <c r="I31" s="20" t="n">
        <v>8.452</v>
      </c>
      <c r="J31" s="7" t="inlineStr">
        <is>
          <t>Parcialmente privada</t>
        </is>
      </c>
      <c r="K31" s="7" t="n">
        <v>5</v>
      </c>
      <c r="L31" s="7" t="n">
        <v>1</v>
      </c>
      <c r="M31" s="7" t="n">
        <v>140</v>
      </c>
      <c r="N31" s="7" t="inlineStr">
        <is>
          <t>No</t>
        </is>
      </c>
    </row>
    <row r="32">
      <c r="A32" s="12" t="inlineStr">
        <is>
          <t>SP-034</t>
        </is>
      </c>
      <c r="B32" s="12" t="inlineStr">
        <is>
          <t>69</t>
        </is>
      </c>
      <c r="C32" s="12" t="inlineStr">
        <is>
          <t>Huancabamba</t>
        </is>
      </c>
      <c r="D32" s="12" t="inlineStr">
        <is>
          <t>Huarmaca</t>
        </is>
      </c>
      <c r="E32" s="12" t="inlineStr">
        <is>
          <t>AP-6</t>
        </is>
      </c>
      <c r="F32" s="21" t="n">
        <v>19.425</v>
      </c>
      <c r="G32" s="21" t="n">
        <v>0</v>
      </c>
      <c r="H32" s="21" t="n">
        <v>4.006</v>
      </c>
      <c r="I32" s="21" t="n">
        <v>15.419</v>
      </c>
      <c r="J32" s="12" t="inlineStr">
        <is>
          <t>Parcialmente privada</t>
        </is>
      </c>
      <c r="K32" s="12" t="n">
        <v>3</v>
      </c>
      <c r="L32" s="12" t="n">
        <v>2</v>
      </c>
      <c r="M32" s="12" t="n">
        <v>133</v>
      </c>
      <c r="N32" s="12" t="inlineStr">
        <is>
          <t>No</t>
        </is>
      </c>
    </row>
    <row r="33">
      <c r="A33" s="7" t="inlineStr">
        <is>
          <t>SP-035</t>
        </is>
      </c>
      <c r="B33" s="7" t="inlineStr">
        <is>
          <t>70</t>
        </is>
      </c>
      <c r="C33" s="7" t="inlineStr">
        <is>
          <t>Huancabamba</t>
        </is>
      </c>
      <c r="D33" s="7" t="inlineStr">
        <is>
          <t>Huarmaca</t>
        </is>
      </c>
      <c r="E33" s="7" t="inlineStr">
        <is>
          <t>AP-6</t>
        </is>
      </c>
      <c r="F33" s="20" t="n">
        <v>22.388</v>
      </c>
      <c r="G33" s="20" t="n">
        <v>0</v>
      </c>
      <c r="H33" s="20" t="n">
        <v>4.707</v>
      </c>
      <c r="I33" s="20" t="n">
        <v>17.681</v>
      </c>
      <c r="J33" s="7" t="inlineStr">
        <is>
          <t>Parcialmente privada</t>
        </is>
      </c>
      <c r="K33" s="7" t="n">
        <v>6</v>
      </c>
      <c r="L33" s="7" t="n">
        <v>1</v>
      </c>
      <c r="M33" s="7" t="n">
        <v>140</v>
      </c>
      <c r="N33" s="7" t="inlineStr">
        <is>
          <t>No</t>
        </is>
      </c>
    </row>
    <row r="34">
      <c r="A34" s="12" t="inlineStr">
        <is>
          <t>SP-036</t>
        </is>
      </c>
      <c r="B34" s="12" t="inlineStr">
        <is>
          <t>71</t>
        </is>
      </c>
      <c r="C34" s="12" t="inlineStr">
        <is>
          <t>Huancabamba</t>
        </is>
      </c>
      <c r="D34" s="12" t="inlineStr">
        <is>
          <t>Huarmaca</t>
        </is>
      </c>
      <c r="E34" s="12" t="inlineStr">
        <is>
          <t>AP-5</t>
        </is>
      </c>
      <c r="F34" s="21" t="n">
        <v>10.673</v>
      </c>
      <c r="G34" s="21" t="n">
        <v>0</v>
      </c>
      <c r="H34" s="21" t="n">
        <v>0</v>
      </c>
      <c r="I34" s="21" t="n">
        <v>10.673</v>
      </c>
      <c r="J34" s="12" t="inlineStr">
        <is>
          <t>Tierras del Estado y/o posesionarios</t>
        </is>
      </c>
      <c r="K34" s="12" t="n">
        <v>0</v>
      </c>
      <c r="L34" s="12" t="n">
        <v>1</v>
      </c>
      <c r="M34" s="12" t="n">
        <v>322</v>
      </c>
      <c r="N34" s="12" t="inlineStr">
        <is>
          <t>No</t>
        </is>
      </c>
    </row>
    <row r="35">
      <c r="A35" s="7" t="inlineStr">
        <is>
          <t>SP-037</t>
        </is>
      </c>
      <c r="B35" s="7" t="inlineStr">
        <is>
          <t>72</t>
        </is>
      </c>
      <c r="C35" s="7" t="inlineStr">
        <is>
          <t>Huancabamba</t>
        </is>
      </c>
      <c r="D35" s="7" t="inlineStr">
        <is>
          <t>Huarmaca</t>
        </is>
      </c>
      <c r="E35" s="7" t="inlineStr">
        <is>
          <t>AP-6</t>
        </is>
      </c>
      <c r="F35" s="20" t="n">
        <v>12.398</v>
      </c>
      <c r="G35" s="20" t="n">
        <v>0</v>
      </c>
      <c r="H35" s="20" t="n">
        <v>11.894</v>
      </c>
      <c r="I35" s="20" t="n">
        <v>0.504</v>
      </c>
      <c r="J35" s="7" t="inlineStr">
        <is>
          <t>Privada</t>
        </is>
      </c>
      <c r="K35" s="7" t="n">
        <v>17</v>
      </c>
      <c r="L35" s="7" t="n">
        <v>1</v>
      </c>
      <c r="M35" s="7" t="n">
        <v>216</v>
      </c>
      <c r="N35" s="7" t="inlineStr">
        <is>
          <t>No</t>
        </is>
      </c>
    </row>
    <row r="36">
      <c r="A36" s="12" t="inlineStr">
        <is>
          <t>SP-038</t>
        </is>
      </c>
      <c r="B36" s="12" t="inlineStr">
        <is>
          <t>73</t>
        </is>
      </c>
      <c r="C36" s="12" t="inlineStr">
        <is>
          <t>Huancabamba</t>
        </is>
      </c>
      <c r="D36" s="12" t="inlineStr">
        <is>
          <t>Huarmaca</t>
        </is>
      </c>
      <c r="E36" s="12" t="inlineStr">
        <is>
          <t>AP-6</t>
        </is>
      </c>
      <c r="F36" s="21" t="n">
        <v>54.29</v>
      </c>
      <c r="G36" s="21" t="n">
        <v>0</v>
      </c>
      <c r="H36" s="21" t="n">
        <v>14.551</v>
      </c>
      <c r="I36" s="21" t="n">
        <v>39.739</v>
      </c>
      <c r="J36" s="12" t="inlineStr">
        <is>
          <t>Parcialmente privada</t>
        </is>
      </c>
      <c r="K36" s="12" t="n">
        <v>15</v>
      </c>
      <c r="L36" s="12" t="n">
        <v>1</v>
      </c>
      <c r="M36" s="12" t="n">
        <v>104</v>
      </c>
      <c r="N36" s="12" t="inlineStr">
        <is>
          <t>No</t>
        </is>
      </c>
    </row>
    <row r="37">
      <c r="A37" s="7" t="inlineStr">
        <is>
          <t>SP-039</t>
        </is>
      </c>
      <c r="B37" s="7" t="inlineStr">
        <is>
          <t>76</t>
        </is>
      </c>
      <c r="C37" s="7" t="inlineStr">
        <is>
          <t>Huancabamba</t>
        </is>
      </c>
      <c r="D37" s="7" t="inlineStr">
        <is>
          <t>Huarmaca</t>
        </is>
      </c>
      <c r="E37" s="7" t="inlineStr">
        <is>
          <t>AP-5</t>
        </is>
      </c>
      <c r="F37" s="20" t="n">
        <v>19.615</v>
      </c>
      <c r="G37" s="20" t="n">
        <v>0</v>
      </c>
      <c r="H37" s="20" t="n">
        <v>11.334</v>
      </c>
      <c r="I37" s="20" t="n">
        <v>8.281000000000001</v>
      </c>
      <c r="J37" s="7" t="inlineStr">
        <is>
          <t>Parcialmente privada</t>
        </is>
      </c>
      <c r="K37" s="7" t="n">
        <v>10</v>
      </c>
      <c r="L37" s="7" t="n">
        <v>2</v>
      </c>
      <c r="M37" s="7" t="n">
        <v>388</v>
      </c>
      <c r="N37" s="7" t="inlineStr">
        <is>
          <t>No</t>
        </is>
      </c>
    </row>
    <row r="38">
      <c r="A38" s="12" t="inlineStr">
        <is>
          <t>SP-040</t>
        </is>
      </c>
      <c r="B38" s="12" t="inlineStr">
        <is>
          <t>80</t>
        </is>
      </c>
      <c r="C38" s="12" t="inlineStr">
        <is>
          <t>Huancabamba</t>
        </is>
      </c>
      <c r="D38" s="12" t="inlineStr">
        <is>
          <t>Huarmaca</t>
        </is>
      </c>
      <c r="E38" s="12" t="inlineStr">
        <is>
          <t>AP-5</t>
        </is>
      </c>
      <c r="F38" s="21" t="n">
        <v>28.83</v>
      </c>
      <c r="G38" s="21" t="n">
        <v>0</v>
      </c>
      <c r="H38" s="21" t="n">
        <v>0.182</v>
      </c>
      <c r="I38" s="21" t="n">
        <v>28.648</v>
      </c>
      <c r="J38" s="12" t="inlineStr">
        <is>
          <t>Tierras del Estado y/o posesionarios</t>
        </is>
      </c>
      <c r="K38" s="12" t="n">
        <v>2</v>
      </c>
      <c r="L38" s="12" t="n">
        <v>2</v>
      </c>
      <c r="M38" s="12" t="n">
        <v>156</v>
      </c>
      <c r="N38" s="12" t="inlineStr">
        <is>
          <t>No</t>
        </is>
      </c>
    </row>
    <row r="39">
      <c r="A39" s="7" t="inlineStr">
        <is>
          <t>SP-041</t>
        </is>
      </c>
      <c r="B39" s="7" t="inlineStr">
        <is>
          <t>M4B3</t>
        </is>
      </c>
      <c r="C39" s="7" t="inlineStr">
        <is>
          <t>Huancabamba</t>
        </is>
      </c>
      <c r="D39" s="7" t="inlineStr">
        <is>
          <t>Huarmaca</t>
        </is>
      </c>
      <c r="E39" s="7" t="inlineStr">
        <is>
          <t>AP-6</t>
        </is>
      </c>
      <c r="F39" s="20" t="n">
        <v>234.069</v>
      </c>
      <c r="G39" s="20" t="n">
        <v>91.505</v>
      </c>
      <c r="H39" s="20" t="n">
        <v>0</v>
      </c>
      <c r="I39" s="20" t="n">
        <v>142.564</v>
      </c>
      <c r="J39" s="7" t="inlineStr">
        <is>
          <t>Parcialmente comunal</t>
        </is>
      </c>
      <c r="K39" s="7" t="n">
        <v>0</v>
      </c>
      <c r="L39" s="7" t="n">
        <v>1</v>
      </c>
      <c r="M39" s="7" t="n">
        <v>161</v>
      </c>
      <c r="N39" s="7" t="inlineStr">
        <is>
          <t>No</t>
        </is>
      </c>
    </row>
    <row r="40">
      <c r="A40" s="12" t="inlineStr">
        <is>
          <t>SP-042</t>
        </is>
      </c>
      <c r="B40" s="12" t="inlineStr">
        <is>
          <t>M4B4</t>
        </is>
      </c>
      <c r="C40" s="12" t="inlineStr">
        <is>
          <t>Huancabamba</t>
        </is>
      </c>
      <c r="D40" s="12" t="inlineStr">
        <is>
          <t>Huarmaca</t>
        </is>
      </c>
      <c r="E40" s="12" t="inlineStr">
        <is>
          <t>AP-6</t>
        </is>
      </c>
      <c r="F40" s="21" t="n">
        <v>289.914</v>
      </c>
      <c r="G40" s="21" t="n">
        <v>289.625</v>
      </c>
      <c r="H40" s="21" t="n">
        <v>0</v>
      </c>
      <c r="I40" s="21" t="n">
        <v>0.289</v>
      </c>
      <c r="J40" s="12" t="inlineStr">
        <is>
          <t>Comunal</t>
        </is>
      </c>
      <c r="K40" s="12" t="n">
        <v>0</v>
      </c>
      <c r="L40" s="12" t="n">
        <v>2</v>
      </c>
      <c r="M40" s="12" t="n">
        <v>279</v>
      </c>
      <c r="N40" s="12" t="inlineStr">
        <is>
          <t>No</t>
        </is>
      </c>
    </row>
    <row r="41">
      <c r="A41" s="7" t="inlineStr">
        <is>
          <t>SP-043</t>
        </is>
      </c>
      <c r="B41" s="7" t="inlineStr">
        <is>
          <t>M12B1</t>
        </is>
      </c>
      <c r="C41" s="7" t="inlineStr">
        <is>
          <t>Huancabamba</t>
        </is>
      </c>
      <c r="D41" s="7" t="inlineStr">
        <is>
          <t>Huarmaca</t>
        </is>
      </c>
      <c r="E41" s="7" t="inlineStr">
        <is>
          <t>AP-5</t>
        </is>
      </c>
      <c r="F41" s="20" t="n">
        <v>268.393</v>
      </c>
      <c r="G41" s="20" t="n">
        <v>98.36199999999999</v>
      </c>
      <c r="H41" s="20" t="n">
        <v>0</v>
      </c>
      <c r="I41" s="20" t="n">
        <v>170.031</v>
      </c>
      <c r="J41" s="7" t="inlineStr">
        <is>
          <t>Parcialmente comunal</t>
        </is>
      </c>
      <c r="K41" s="7" t="n">
        <v>0</v>
      </c>
      <c r="L41" s="7" t="n">
        <v>2</v>
      </c>
      <c r="M41" s="7" t="n">
        <v>220</v>
      </c>
      <c r="N41" s="7" t="inlineStr">
        <is>
          <t>No</t>
        </is>
      </c>
    </row>
    <row r="42">
      <c r="A42" s="12" t="inlineStr">
        <is>
          <t>SP-044</t>
        </is>
      </c>
      <c r="B42" s="12" t="inlineStr">
        <is>
          <t>26</t>
        </is>
      </c>
      <c r="C42" s="12" t="inlineStr">
        <is>
          <t>Huancabamba</t>
        </is>
      </c>
      <c r="D42" s="12" t="inlineStr">
        <is>
          <t>Lalaquiz</t>
        </is>
      </c>
      <c r="E42" s="12" t="inlineStr">
        <is>
          <t>PENDIENTE</t>
        </is>
      </c>
      <c r="F42" s="21" t="n">
        <v>46.962</v>
      </c>
      <c r="G42" s="21" t="n">
        <v>0</v>
      </c>
      <c r="H42" s="21" t="n">
        <v>0.027</v>
      </c>
      <c r="I42" s="21" t="n">
        <v>46.935</v>
      </c>
      <c r="J42" s="12" t="inlineStr">
        <is>
          <t>Tierras del Estado y/o posesionarios</t>
        </is>
      </c>
      <c r="K42" s="12" t="n">
        <v>1</v>
      </c>
      <c r="L42" s="12" t="n">
        <v>1</v>
      </c>
      <c r="M42" s="12" t="n"/>
      <c r="N42" s="12" t="inlineStr">
        <is>
          <t>No</t>
        </is>
      </c>
    </row>
    <row r="43">
      <c r="A43" s="7" t="inlineStr">
        <is>
          <t>SP-045</t>
        </is>
      </c>
      <c r="B43" s="7" t="inlineStr">
        <is>
          <t>34</t>
        </is>
      </c>
      <c r="C43" s="7" t="inlineStr">
        <is>
          <t>Huancabamba</t>
        </is>
      </c>
      <c r="D43" s="7" t="inlineStr">
        <is>
          <t>Lalaquiz</t>
        </is>
      </c>
      <c r="E43" s="7" t="inlineStr">
        <is>
          <t>PENDIENTE</t>
        </is>
      </c>
      <c r="F43" s="20" t="n">
        <v>28.45</v>
      </c>
      <c r="G43" s="20" t="n">
        <v>0</v>
      </c>
      <c r="H43" s="20" t="n">
        <v>0.972</v>
      </c>
      <c r="I43" s="20" t="n">
        <v>27.478</v>
      </c>
      <c r="J43" s="7" t="inlineStr">
        <is>
          <t>Tierras del Estado y/o posesionarios</t>
        </is>
      </c>
      <c r="K43" s="7" t="n">
        <v>3</v>
      </c>
      <c r="L43" s="7" t="n">
        <v>2</v>
      </c>
      <c r="M43" s="7" t="n">
        <v>142</v>
      </c>
      <c r="N43" s="7" t="inlineStr">
        <is>
          <t>No</t>
        </is>
      </c>
    </row>
    <row r="44">
      <c r="A44" s="12" t="inlineStr">
        <is>
          <t>SP-046</t>
        </is>
      </c>
      <c r="B44" s="12" t="inlineStr">
        <is>
          <t>37</t>
        </is>
      </c>
      <c r="C44" s="12" t="inlineStr">
        <is>
          <t>Huancabamba</t>
        </is>
      </c>
      <c r="D44" s="12" t="inlineStr">
        <is>
          <t>Lalaquiz</t>
        </is>
      </c>
      <c r="E44" s="12" t="inlineStr">
        <is>
          <t>PENDIENTE</t>
        </is>
      </c>
      <c r="F44" s="21" t="n">
        <v>35.491</v>
      </c>
      <c r="G44" s="21" t="n">
        <v>0</v>
      </c>
      <c r="H44" s="21" t="n">
        <v>4.985</v>
      </c>
      <c r="I44" s="21" t="n">
        <v>30.506</v>
      </c>
      <c r="J44" s="12" t="inlineStr">
        <is>
          <t>Parcialmente privada</t>
        </is>
      </c>
      <c r="K44" s="12" t="n">
        <v>3</v>
      </c>
      <c r="L44" s="12" t="n">
        <v>1</v>
      </c>
      <c r="M44" s="12" t="n"/>
      <c r="N44" s="12" t="inlineStr">
        <is>
          <t>No</t>
        </is>
      </c>
    </row>
    <row r="45">
      <c r="A45" s="7" t="inlineStr">
        <is>
          <t>SP-047</t>
        </is>
      </c>
      <c r="B45" s="7" t="inlineStr">
        <is>
          <t>38</t>
        </is>
      </c>
      <c r="C45" s="7" t="inlineStr">
        <is>
          <t>Huancabamba</t>
        </is>
      </c>
      <c r="D45" s="7" t="inlineStr">
        <is>
          <t>Lalaquiz</t>
        </is>
      </c>
      <c r="E45" s="7" t="inlineStr">
        <is>
          <t>PENDIENTE</t>
        </is>
      </c>
      <c r="F45" s="20" t="n">
        <v>44.201</v>
      </c>
      <c r="G45" s="20" t="n">
        <v>0</v>
      </c>
      <c r="H45" s="20" t="n">
        <v>3.654</v>
      </c>
      <c r="I45" s="20" t="n">
        <v>40.547</v>
      </c>
      <c r="J45" s="7" t="inlineStr">
        <is>
          <t>Parcialmente privada</t>
        </is>
      </c>
      <c r="K45" s="7" t="n">
        <v>39</v>
      </c>
      <c r="L45" s="7" t="n">
        <v>1</v>
      </c>
      <c r="M45" s="7" t="n">
        <v>157</v>
      </c>
      <c r="N45" s="7" t="inlineStr">
        <is>
          <t>Sí</t>
        </is>
      </c>
    </row>
    <row r="46">
      <c r="A46" s="12" t="inlineStr">
        <is>
          <t>SP-048</t>
        </is>
      </c>
      <c r="B46" s="12" t="inlineStr">
        <is>
          <t>50</t>
        </is>
      </c>
      <c r="C46" s="12" t="inlineStr">
        <is>
          <t>Huancabamba</t>
        </is>
      </c>
      <c r="D46" s="12" t="inlineStr">
        <is>
          <t>Lalaquiz</t>
        </is>
      </c>
      <c r="E46" s="12" t="inlineStr">
        <is>
          <t>PENDIENTE</t>
        </is>
      </c>
      <c r="F46" s="21" t="n">
        <v>19.266</v>
      </c>
      <c r="G46" s="21" t="n">
        <v>0</v>
      </c>
      <c r="H46" s="21" t="n">
        <v>0</v>
      </c>
      <c r="I46" s="21" t="n">
        <v>19.266</v>
      </c>
      <c r="J46" s="12" t="inlineStr">
        <is>
          <t>Tierras del Estado y/o posesionarios</t>
        </is>
      </c>
      <c r="K46" s="12" t="n">
        <v>0</v>
      </c>
      <c r="L46" s="12" t="n">
        <v>0</v>
      </c>
      <c r="M46" s="12" t="n"/>
      <c r="N46" s="12" t="inlineStr">
        <is>
          <t>No</t>
        </is>
      </c>
    </row>
    <row r="47">
      <c r="A47" s="7" t="inlineStr">
        <is>
          <t>SP-049</t>
        </is>
      </c>
      <c r="B47" s="7" t="inlineStr">
        <is>
          <t>61</t>
        </is>
      </c>
      <c r="C47" s="7" t="inlineStr">
        <is>
          <t>Huancabamba</t>
        </is>
      </c>
      <c r="D47" s="7" t="inlineStr">
        <is>
          <t>Lalaquiz</t>
        </is>
      </c>
      <c r="E47" s="7" t="inlineStr">
        <is>
          <t>PENDIENTE</t>
        </is>
      </c>
      <c r="F47" s="20" t="n">
        <v>26.826</v>
      </c>
      <c r="G47" s="20" t="n">
        <v>0</v>
      </c>
      <c r="H47" s="20" t="n">
        <v>0</v>
      </c>
      <c r="I47" s="20" t="n">
        <v>26.826</v>
      </c>
      <c r="J47" s="7" t="inlineStr">
        <is>
          <t>Tierras del Estado y/o posesionarios</t>
        </is>
      </c>
      <c r="K47" s="7" t="n">
        <v>0</v>
      </c>
      <c r="L47" s="7" t="n">
        <v>1</v>
      </c>
      <c r="M47" s="7" t="n">
        <v>14</v>
      </c>
      <c r="N47" s="7" t="inlineStr">
        <is>
          <t>No</t>
        </is>
      </c>
    </row>
    <row r="48">
      <c r="A48" s="12" t="inlineStr">
        <is>
          <t>SP-050</t>
        </is>
      </c>
      <c r="B48" s="12" t="inlineStr">
        <is>
          <t>9</t>
        </is>
      </c>
      <c r="C48" s="12" t="inlineStr">
        <is>
          <t>Huancabamba</t>
        </is>
      </c>
      <c r="D48" s="12" t="inlineStr">
        <is>
          <t>San Miguel de El Faique</t>
        </is>
      </c>
      <c r="E48" s="12" t="inlineStr">
        <is>
          <t>AP-6</t>
        </is>
      </c>
      <c r="F48" s="21" t="n">
        <v>109.861</v>
      </c>
      <c r="G48" s="21" t="n">
        <v>0</v>
      </c>
      <c r="H48" s="21" t="n">
        <v>15.375</v>
      </c>
      <c r="I48" s="21" t="n">
        <v>94.486</v>
      </c>
      <c r="J48" s="12" t="inlineStr">
        <is>
          <t>Parcialmente privada</t>
        </is>
      </c>
      <c r="K48" s="12" t="n">
        <v>27</v>
      </c>
      <c r="L48" s="12" t="n">
        <v>2</v>
      </c>
      <c r="M48" s="12" t="n">
        <v>248</v>
      </c>
      <c r="N48" s="12" t="inlineStr">
        <is>
          <t>Sí</t>
        </is>
      </c>
    </row>
    <row r="49">
      <c r="A49" s="7" t="inlineStr">
        <is>
          <t>SP-051</t>
        </is>
      </c>
      <c r="B49" s="7" t="inlineStr">
        <is>
          <t>35</t>
        </is>
      </c>
      <c r="C49" s="7" t="inlineStr">
        <is>
          <t>Huancabamba</t>
        </is>
      </c>
      <c r="D49" s="7" t="inlineStr">
        <is>
          <t>San Miguel de El Faique</t>
        </is>
      </c>
      <c r="E49" s="7" t="inlineStr">
        <is>
          <t>AP-6</t>
        </is>
      </c>
      <c r="F49" s="20" t="n">
        <v>30.804</v>
      </c>
      <c r="G49" s="20" t="n">
        <v>0</v>
      </c>
      <c r="H49" s="20" t="n">
        <v>24.518</v>
      </c>
      <c r="I49" s="20" t="n">
        <v>6.286</v>
      </c>
      <c r="J49" s="7" t="inlineStr">
        <is>
          <t>Parcialmente privada</t>
        </is>
      </c>
      <c r="K49" s="7" t="n">
        <v>23</v>
      </c>
      <c r="L49" s="7" t="n">
        <v>2</v>
      </c>
      <c r="M49" s="7" t="n">
        <v>198</v>
      </c>
      <c r="N49" s="7" t="inlineStr">
        <is>
          <t>Sí</t>
        </is>
      </c>
    </row>
    <row r="50">
      <c r="A50" s="12" t="inlineStr">
        <is>
          <t>SP-052</t>
        </is>
      </c>
      <c r="B50" s="12" t="inlineStr">
        <is>
          <t>43</t>
        </is>
      </c>
      <c r="C50" s="12" t="inlineStr">
        <is>
          <t>Huancabamba</t>
        </is>
      </c>
      <c r="D50" s="12" t="inlineStr">
        <is>
          <t>San Miguel de El Faique</t>
        </is>
      </c>
      <c r="E50" s="12" t="inlineStr">
        <is>
          <t>AP-6</t>
        </is>
      </c>
      <c r="F50" s="21" t="n">
        <v>23.171</v>
      </c>
      <c r="G50" s="21" t="n">
        <v>0</v>
      </c>
      <c r="H50" s="21" t="n">
        <v>21.913</v>
      </c>
      <c r="I50" s="21" t="n">
        <v>1.258</v>
      </c>
      <c r="J50" s="12" t="inlineStr">
        <is>
          <t>Parcialmente privada</t>
        </is>
      </c>
      <c r="K50" s="12" t="n">
        <v>20</v>
      </c>
      <c r="L50" s="12" t="n">
        <v>2</v>
      </c>
      <c r="M50" s="12" t="n">
        <v>296</v>
      </c>
      <c r="N50" s="12" t="inlineStr">
        <is>
          <t>Sí</t>
        </is>
      </c>
    </row>
    <row r="51">
      <c r="A51" s="7" t="inlineStr">
        <is>
          <t>SP-053</t>
        </is>
      </c>
      <c r="B51" s="7" t="inlineStr">
        <is>
          <t>44</t>
        </is>
      </c>
      <c r="C51" s="7" t="inlineStr">
        <is>
          <t>Huancabamba</t>
        </is>
      </c>
      <c r="D51" s="7" t="inlineStr">
        <is>
          <t>San Miguel de El Faique</t>
        </is>
      </c>
      <c r="E51" s="7" t="inlineStr">
        <is>
          <t>AP-6</t>
        </is>
      </c>
      <c r="F51" s="20" t="n">
        <v>28.234</v>
      </c>
      <c r="G51" s="20" t="n">
        <v>0</v>
      </c>
      <c r="H51" s="20" t="n">
        <v>0</v>
      </c>
      <c r="I51" s="20" t="n">
        <v>28.234</v>
      </c>
      <c r="J51" s="7" t="inlineStr">
        <is>
          <t>Tierras del Estado y/o posesionarios</t>
        </is>
      </c>
      <c r="K51" s="7" t="n">
        <v>0</v>
      </c>
      <c r="L51" s="7" t="n">
        <v>1</v>
      </c>
      <c r="M51" s="7" t="n">
        <v>74</v>
      </c>
      <c r="N51" s="7" t="inlineStr">
        <is>
          <t>No</t>
        </is>
      </c>
    </row>
    <row r="52">
      <c r="A52" s="12" t="inlineStr">
        <is>
          <t>SP-054</t>
        </is>
      </c>
      <c r="B52" s="12" t="inlineStr">
        <is>
          <t>47</t>
        </is>
      </c>
      <c r="C52" s="12" t="inlineStr">
        <is>
          <t>Huancabamba</t>
        </is>
      </c>
      <c r="D52" s="12" t="inlineStr">
        <is>
          <t>San Miguel de El Faique</t>
        </is>
      </c>
      <c r="E52" s="12" t="inlineStr">
        <is>
          <t>AP-6</t>
        </is>
      </c>
      <c r="F52" s="21" t="n">
        <v>13.551</v>
      </c>
      <c r="G52" s="21" t="n">
        <v>0</v>
      </c>
      <c r="H52" s="21" t="n">
        <v>1.964</v>
      </c>
      <c r="I52" s="21" t="n">
        <v>11.587</v>
      </c>
      <c r="J52" s="12" t="inlineStr">
        <is>
          <t>Parcialmente privada</t>
        </is>
      </c>
      <c r="K52" s="12" t="n">
        <v>4</v>
      </c>
      <c r="L52" s="12" t="n">
        <v>1</v>
      </c>
      <c r="M52" s="12" t="n">
        <v>132</v>
      </c>
      <c r="N52" s="12" t="inlineStr">
        <is>
          <t>No</t>
        </is>
      </c>
    </row>
    <row r="53">
      <c r="A53" s="7" t="inlineStr">
        <is>
          <t>SP-055</t>
        </is>
      </c>
      <c r="B53" s="7" t="inlineStr">
        <is>
          <t>67</t>
        </is>
      </c>
      <c r="C53" s="7" t="inlineStr">
        <is>
          <t>Huancabamba</t>
        </is>
      </c>
      <c r="D53" s="7" t="inlineStr">
        <is>
          <t>San Miguel de El Faique</t>
        </is>
      </c>
      <c r="E53" s="7" t="inlineStr">
        <is>
          <t>AP-6</t>
        </is>
      </c>
      <c r="F53" s="20" t="n">
        <v>13.184</v>
      </c>
      <c r="G53" s="20" t="n">
        <v>0</v>
      </c>
      <c r="H53" s="20" t="n">
        <v>0</v>
      </c>
      <c r="I53" s="20" t="n">
        <v>13.184</v>
      </c>
      <c r="J53" s="7" t="inlineStr">
        <is>
          <t>Tierras del Estado y/o posesionarios</t>
        </is>
      </c>
      <c r="K53" s="7" t="n">
        <v>0</v>
      </c>
      <c r="L53" s="7" t="n">
        <v>1</v>
      </c>
      <c r="M53" s="7" t="n"/>
      <c r="N53" s="7" t="inlineStr">
        <is>
          <t>No</t>
        </is>
      </c>
    </row>
    <row r="54">
      <c r="A54" s="12" t="inlineStr">
        <is>
          <t>SP-056</t>
        </is>
      </c>
      <c r="B54" s="12" t="inlineStr">
        <is>
          <t>M2B8</t>
        </is>
      </c>
      <c r="C54" s="12" t="inlineStr">
        <is>
          <t>Huancabamba</t>
        </is>
      </c>
      <c r="D54" s="12" t="inlineStr">
        <is>
          <t>San Miguel de El Faique</t>
        </is>
      </c>
      <c r="E54" s="12" t="inlineStr">
        <is>
          <t>AP-6</t>
        </is>
      </c>
      <c r="F54" s="21" t="n">
        <v>116.099</v>
      </c>
      <c r="G54" s="21" t="n">
        <v>0</v>
      </c>
      <c r="H54" s="21" t="n">
        <v>0</v>
      </c>
      <c r="I54" s="21" t="n">
        <v>116.099</v>
      </c>
      <c r="J54" s="12" t="inlineStr">
        <is>
          <t>Tierras del Estado y/o posesionarios</t>
        </is>
      </c>
      <c r="K54" s="12" t="n">
        <v>0</v>
      </c>
      <c r="L54" s="12" t="n">
        <v>2</v>
      </c>
      <c r="M54" s="12" t="n">
        <v>140</v>
      </c>
      <c r="N54" s="12" t="inlineStr">
        <is>
          <t>No</t>
        </is>
      </c>
    </row>
    <row r="55">
      <c r="A55" s="7" t="inlineStr">
        <is>
          <t>SP-057</t>
        </is>
      </c>
      <c r="B55" s="7" t="inlineStr">
        <is>
          <t>M20B1</t>
        </is>
      </c>
      <c r="C55" s="7" t="inlineStr">
        <is>
          <t>Huancabamba</t>
        </is>
      </c>
      <c r="D55" s="7" t="inlineStr">
        <is>
          <t>San Miguel de El Faique</t>
        </is>
      </c>
      <c r="E55" s="7" t="inlineStr">
        <is>
          <t>AP-6</t>
        </is>
      </c>
      <c r="F55" s="20" t="n">
        <v>279.68</v>
      </c>
      <c r="G55" s="20" t="n">
        <v>0</v>
      </c>
      <c r="H55" s="20" t="n">
        <v>0</v>
      </c>
      <c r="I55" s="20" t="n">
        <v>279.68</v>
      </c>
      <c r="J55" s="7" t="inlineStr">
        <is>
          <t>Tierras del Estado y/o posesionarios</t>
        </is>
      </c>
      <c r="K55" s="7" t="n">
        <v>0</v>
      </c>
      <c r="L55" s="7" t="n">
        <v>1</v>
      </c>
      <c r="M55" s="7" t="n"/>
      <c r="N55" s="7" t="inlineStr">
        <is>
          <t>No</t>
        </is>
      </c>
    </row>
    <row r="56">
      <c r="A56" s="12" t="inlineStr">
        <is>
          <t>SP-058</t>
        </is>
      </c>
      <c r="B56" s="12" t="inlineStr">
        <is>
          <t>M22B1</t>
        </is>
      </c>
      <c r="C56" s="12" t="inlineStr">
        <is>
          <t>Huancabamba</t>
        </is>
      </c>
      <c r="D56" s="12" t="inlineStr">
        <is>
          <t>San Miguel de El Faique</t>
        </is>
      </c>
      <c r="E56" s="12" t="inlineStr">
        <is>
          <t>AP-6</t>
        </is>
      </c>
      <c r="F56" s="21" t="n">
        <v>55.17</v>
      </c>
      <c r="G56" s="21" t="n">
        <v>0</v>
      </c>
      <c r="H56" s="21" t="n">
        <v>1.531</v>
      </c>
      <c r="I56" s="21" t="n">
        <v>53.639</v>
      </c>
      <c r="J56" s="12" t="inlineStr">
        <is>
          <t>Tierras del Estado y/o posesionarios</t>
        </is>
      </c>
      <c r="K56" s="12" t="n">
        <v>3</v>
      </c>
      <c r="L56" s="12" t="n">
        <v>1</v>
      </c>
      <c r="M56" s="12" t="n">
        <v>23</v>
      </c>
      <c r="N56" s="12" t="inlineStr">
        <is>
          <t>No</t>
        </is>
      </c>
    </row>
    <row r="57">
      <c r="A57" s="7" t="inlineStr">
        <is>
          <t>SP-059</t>
        </is>
      </c>
      <c r="B57" s="7" t="inlineStr">
        <is>
          <t>5</t>
        </is>
      </c>
      <c r="C57" s="7" t="inlineStr">
        <is>
          <t>Morropón</t>
        </is>
      </c>
      <c r="D57" s="7" t="inlineStr">
        <is>
          <t>Buenos Aires</t>
        </is>
      </c>
      <c r="E57" s="7" t="inlineStr">
        <is>
          <t>AP-2</t>
        </is>
      </c>
      <c r="F57" s="20" t="n">
        <v>295.726</v>
      </c>
      <c r="G57" s="20" t="n">
        <v>0</v>
      </c>
      <c r="H57" s="20" t="n">
        <v>0</v>
      </c>
      <c r="I57" s="20" t="n">
        <v>295.726</v>
      </c>
      <c r="J57" s="7" t="inlineStr">
        <is>
          <t>Tierras del Estado y/o posesionarios</t>
        </is>
      </c>
      <c r="K57" s="7" t="n">
        <v>0</v>
      </c>
      <c r="L57" s="7" t="n">
        <v>3</v>
      </c>
      <c r="M57" s="7" t="n">
        <v>186</v>
      </c>
      <c r="N57" s="7" t="inlineStr">
        <is>
          <t>No</t>
        </is>
      </c>
    </row>
    <row r="58">
      <c r="A58" s="12" t="inlineStr">
        <is>
          <t>SP-060</t>
        </is>
      </c>
      <c r="B58" s="12" t="inlineStr">
        <is>
          <t>M1B1</t>
        </is>
      </c>
      <c r="C58" s="12" t="inlineStr">
        <is>
          <t>Morropón</t>
        </is>
      </c>
      <c r="D58" s="12" t="inlineStr">
        <is>
          <t>Buenos Aires</t>
        </is>
      </c>
      <c r="E58" s="12" t="inlineStr">
        <is>
          <t>AP-2</t>
        </is>
      </c>
      <c r="F58" s="21" t="n">
        <v>188.797</v>
      </c>
      <c r="G58" s="21" t="n">
        <v>0</v>
      </c>
      <c r="H58" s="21" t="n">
        <v>0</v>
      </c>
      <c r="I58" s="21" t="n">
        <v>188.797</v>
      </c>
      <c r="J58" s="12" t="inlineStr">
        <is>
          <t>Tierras del Estado y/o posesionarios</t>
        </is>
      </c>
      <c r="K58" s="12" t="n">
        <v>0</v>
      </c>
      <c r="L58" s="12" t="n">
        <v>1</v>
      </c>
      <c r="M58" s="12" t="n">
        <v>255</v>
      </c>
      <c r="N58" s="12" t="inlineStr">
        <is>
          <t>No</t>
        </is>
      </c>
    </row>
    <row r="59">
      <c r="A59" s="7" t="inlineStr">
        <is>
          <t>SP-061</t>
        </is>
      </c>
      <c r="B59" s="7" t="inlineStr">
        <is>
          <t>M6B2-1</t>
        </is>
      </c>
      <c r="C59" s="7" t="inlineStr">
        <is>
          <t>Morropón</t>
        </is>
      </c>
      <c r="D59" s="7" t="inlineStr">
        <is>
          <t>Buenos Aires</t>
        </is>
      </c>
      <c r="E59" s="7" t="inlineStr">
        <is>
          <t>AP-2</t>
        </is>
      </c>
      <c r="F59" s="20" t="n">
        <v>514.359</v>
      </c>
      <c r="G59" s="20" t="n">
        <v>0</v>
      </c>
      <c r="H59" s="20" t="n">
        <v>0</v>
      </c>
      <c r="I59" s="20" t="n">
        <v>514.359</v>
      </c>
      <c r="J59" s="7" t="inlineStr">
        <is>
          <t>Tierras del Estado y/o posesionarios</t>
        </is>
      </c>
      <c r="K59" s="7" t="n">
        <v>0</v>
      </c>
      <c r="L59" s="7" t="n">
        <v>0</v>
      </c>
      <c r="M59" s="7" t="n"/>
      <c r="N59" s="7" t="inlineStr">
        <is>
          <t>No</t>
        </is>
      </c>
    </row>
    <row r="60">
      <c r="A60" s="12" t="inlineStr">
        <is>
          <t>SP-062</t>
        </is>
      </c>
      <c r="B60" s="12" t="inlineStr">
        <is>
          <t>M6B2-2</t>
        </is>
      </c>
      <c r="C60" s="12" t="inlineStr">
        <is>
          <t>Morropón</t>
        </is>
      </c>
      <c r="D60" s="12" t="inlineStr">
        <is>
          <t>Buenos Aires</t>
        </is>
      </c>
      <c r="E60" s="12" t="inlineStr">
        <is>
          <t>AP-2</t>
        </is>
      </c>
      <c r="F60" s="21" t="n">
        <v>333.011</v>
      </c>
      <c r="G60" s="21" t="n">
        <v>0</v>
      </c>
      <c r="H60" s="21" t="n">
        <v>0</v>
      </c>
      <c r="I60" s="21" t="n">
        <v>333.011</v>
      </c>
      <c r="J60" s="12" t="inlineStr">
        <is>
          <t>Tierras del Estado y/o posesionarios</t>
        </is>
      </c>
      <c r="K60" s="12" t="n">
        <v>0</v>
      </c>
      <c r="L60" s="12" t="n">
        <v>1</v>
      </c>
      <c r="M60" s="12" t="n"/>
      <c r="N60" s="12" t="inlineStr">
        <is>
          <t>No</t>
        </is>
      </c>
    </row>
    <row r="61">
      <c r="A61" s="7" t="inlineStr">
        <is>
          <t>SP-063</t>
        </is>
      </c>
      <c r="B61" s="7" t="inlineStr">
        <is>
          <t>M6B2-3</t>
        </is>
      </c>
      <c r="C61" s="7" t="inlineStr">
        <is>
          <t>Morropón</t>
        </is>
      </c>
      <c r="D61" s="7" t="inlineStr">
        <is>
          <t>Buenos Aires</t>
        </is>
      </c>
      <c r="E61" s="7" t="inlineStr">
        <is>
          <t>AP-2</t>
        </is>
      </c>
      <c r="F61" s="20" t="n">
        <v>160.978</v>
      </c>
      <c r="G61" s="20" t="n">
        <v>0</v>
      </c>
      <c r="H61" s="20" t="n">
        <v>0</v>
      </c>
      <c r="I61" s="20" t="n">
        <v>160.978</v>
      </c>
      <c r="J61" s="7" t="inlineStr">
        <is>
          <t>Tierras del Estado y/o posesionarios</t>
        </is>
      </c>
      <c r="K61" s="7" t="n">
        <v>0</v>
      </c>
      <c r="L61" s="7" t="n">
        <v>2</v>
      </c>
      <c r="M61" s="7" t="n"/>
      <c r="N61" s="7" t="inlineStr">
        <is>
          <t>No</t>
        </is>
      </c>
    </row>
    <row r="62">
      <c r="A62" s="12" t="inlineStr">
        <is>
          <t>SP-064</t>
        </is>
      </c>
      <c r="B62" s="12" t="inlineStr">
        <is>
          <t>M6B10</t>
        </is>
      </c>
      <c r="C62" s="12" t="inlineStr">
        <is>
          <t>Morropón</t>
        </is>
      </c>
      <c r="D62" s="12" t="inlineStr">
        <is>
          <t>Buenos Aires</t>
        </is>
      </c>
      <c r="E62" s="12" t="inlineStr">
        <is>
          <t>AP-2</t>
        </is>
      </c>
      <c r="F62" s="21" t="n">
        <v>249.89</v>
      </c>
      <c r="G62" s="21" t="n">
        <v>0</v>
      </c>
      <c r="H62" s="21" t="n">
        <v>0</v>
      </c>
      <c r="I62" s="21" t="n">
        <v>249.89</v>
      </c>
      <c r="J62" s="12" t="inlineStr">
        <is>
          <t>Tierras del Estado y/o posesionarios</t>
        </is>
      </c>
      <c r="K62" s="12" t="n">
        <v>0</v>
      </c>
      <c r="L62" s="12" t="n">
        <v>3</v>
      </c>
      <c r="M62" s="12" t="n">
        <v>218</v>
      </c>
      <c r="N62" s="12" t="inlineStr">
        <is>
          <t>No</t>
        </is>
      </c>
    </row>
    <row r="63">
      <c r="A63" s="7" t="inlineStr">
        <is>
          <t>SP-065</t>
        </is>
      </c>
      <c r="B63" s="7" t="inlineStr">
        <is>
          <t>M18B1</t>
        </is>
      </c>
      <c r="C63" s="7" t="inlineStr">
        <is>
          <t>Morropón</t>
        </is>
      </c>
      <c r="D63" s="7" t="inlineStr">
        <is>
          <t>Buenos Aires</t>
        </is>
      </c>
      <c r="E63" s="7" t="inlineStr">
        <is>
          <t>AP-2</t>
        </is>
      </c>
      <c r="F63" s="20" t="n">
        <v>160.36</v>
      </c>
      <c r="G63" s="20" t="n">
        <v>0</v>
      </c>
      <c r="H63" s="20" t="n">
        <v>0</v>
      </c>
      <c r="I63" s="20" t="n">
        <v>160.36</v>
      </c>
      <c r="J63" s="7" t="inlineStr">
        <is>
          <t>Tierras del Estado y/o posesionarios</t>
        </is>
      </c>
      <c r="K63" s="7" t="n">
        <v>0</v>
      </c>
      <c r="L63" s="7" t="n">
        <v>1</v>
      </c>
      <c r="M63" s="7" t="n">
        <v>63</v>
      </c>
      <c r="N63" s="7" t="inlineStr">
        <is>
          <t>No</t>
        </is>
      </c>
    </row>
    <row r="64">
      <c r="A64" s="12" t="inlineStr">
        <is>
          <t>SP-066</t>
        </is>
      </c>
      <c r="B64" s="12" t="inlineStr">
        <is>
          <t>57</t>
        </is>
      </c>
      <c r="C64" s="12" t="inlineStr">
        <is>
          <t>Morropón</t>
        </is>
      </c>
      <c r="D64" s="12" t="inlineStr">
        <is>
          <t>Chalaco</t>
        </is>
      </c>
      <c r="E64" s="12" t="inlineStr">
        <is>
          <t>AP-4</t>
        </is>
      </c>
      <c r="F64" s="21" t="n">
        <v>25.668</v>
      </c>
      <c r="G64" s="21" t="n">
        <v>25.668</v>
      </c>
      <c r="H64" s="21" t="n">
        <v>0</v>
      </c>
      <c r="I64" s="21" t="n">
        <v>0</v>
      </c>
      <c r="J64" s="12" t="inlineStr">
        <is>
          <t>Comunal</t>
        </is>
      </c>
      <c r="K64" s="12" t="n">
        <v>0</v>
      </c>
      <c r="L64" s="12" t="n">
        <v>2</v>
      </c>
      <c r="M64" s="12" t="n">
        <v>376</v>
      </c>
      <c r="N64" s="12" t="inlineStr">
        <is>
          <t>No</t>
        </is>
      </c>
    </row>
    <row r="65">
      <c r="A65" s="7" t="inlineStr">
        <is>
          <t>SP-067</t>
        </is>
      </c>
      <c r="B65" s="7" t="inlineStr">
        <is>
          <t>59</t>
        </is>
      </c>
      <c r="C65" s="7" t="inlineStr">
        <is>
          <t>Morropón</t>
        </is>
      </c>
      <c r="D65" s="7" t="inlineStr">
        <is>
          <t>Chalaco</t>
        </is>
      </c>
      <c r="E65" s="7" t="inlineStr">
        <is>
          <t>AP-4</t>
        </is>
      </c>
      <c r="F65" s="20" t="n">
        <v>13.554</v>
      </c>
      <c r="G65" s="20" t="n">
        <v>13.554</v>
      </c>
      <c r="H65" s="20" t="n">
        <v>0</v>
      </c>
      <c r="I65" s="20" t="n">
        <v>0</v>
      </c>
      <c r="J65" s="7" t="inlineStr">
        <is>
          <t>Comunal</t>
        </is>
      </c>
      <c r="K65" s="7" t="n">
        <v>0</v>
      </c>
      <c r="L65" s="7" t="n">
        <v>1</v>
      </c>
      <c r="M65" s="7" t="n">
        <v>6</v>
      </c>
      <c r="N65" s="7" t="inlineStr">
        <is>
          <t>No</t>
        </is>
      </c>
    </row>
    <row r="66">
      <c r="A66" s="12" t="inlineStr">
        <is>
          <t>SP-068</t>
        </is>
      </c>
      <c r="B66" s="12" t="inlineStr">
        <is>
          <t>2</t>
        </is>
      </c>
      <c r="C66" s="12" t="inlineStr">
        <is>
          <t>Morropón</t>
        </is>
      </c>
      <c r="D66" s="12" t="inlineStr">
        <is>
          <t>Chulucanas</t>
        </is>
      </c>
      <c r="E66" s="12" t="inlineStr">
        <is>
          <t>AP-1</t>
        </is>
      </c>
      <c r="F66" s="21" t="n">
        <v>330.599</v>
      </c>
      <c r="G66" s="21" t="n">
        <v>0</v>
      </c>
      <c r="H66" s="21" t="n">
        <v>0</v>
      </c>
      <c r="I66" s="21" t="n">
        <v>330.599</v>
      </c>
      <c r="J66" s="12" t="inlineStr">
        <is>
          <t>Tierras del Estado y/o posesionarios</t>
        </is>
      </c>
      <c r="K66" s="12" t="n">
        <v>0</v>
      </c>
      <c r="L66" s="12" t="n">
        <v>1</v>
      </c>
      <c r="M66" s="12" t="n">
        <v>691</v>
      </c>
      <c r="N66" s="12" t="inlineStr">
        <is>
          <t>No</t>
        </is>
      </c>
    </row>
    <row r="67">
      <c r="A67" s="7" t="inlineStr">
        <is>
          <t>SP-069</t>
        </is>
      </c>
      <c r="B67" s="7" t="inlineStr">
        <is>
          <t>22</t>
        </is>
      </c>
      <c r="C67" s="7" t="inlineStr">
        <is>
          <t>Morropón</t>
        </is>
      </c>
      <c r="D67" s="7" t="inlineStr">
        <is>
          <t>Chulucanas</t>
        </is>
      </c>
      <c r="E67" s="7" t="inlineStr">
        <is>
          <t>AP-1</t>
        </is>
      </c>
      <c r="F67" s="20" t="n">
        <v>79.33</v>
      </c>
      <c r="G67" s="20" t="n">
        <v>0</v>
      </c>
      <c r="H67" s="20" t="n">
        <v>0</v>
      </c>
      <c r="I67" s="20" t="n">
        <v>79.33</v>
      </c>
      <c r="J67" s="7" t="inlineStr">
        <is>
          <t>Tierras del Estado y/o posesionarios</t>
        </is>
      </c>
      <c r="K67" s="7" t="n">
        <v>0</v>
      </c>
      <c r="L67" s="7" t="n">
        <v>1</v>
      </c>
      <c r="M67" s="7" t="n">
        <v>197</v>
      </c>
      <c r="N67" s="7" t="inlineStr">
        <is>
          <t>No</t>
        </is>
      </c>
    </row>
    <row r="68">
      <c r="A68" s="12" t="inlineStr">
        <is>
          <t>SP-070</t>
        </is>
      </c>
      <c r="B68" s="12" t="inlineStr">
        <is>
          <t>M9B1</t>
        </is>
      </c>
      <c r="C68" s="12" t="inlineStr">
        <is>
          <t>Morropón</t>
        </is>
      </c>
      <c r="D68" s="12" t="inlineStr">
        <is>
          <t>Chulucanas</t>
        </is>
      </c>
      <c r="E68" s="12" t="inlineStr">
        <is>
          <t>AP-1</t>
        </is>
      </c>
      <c r="F68" s="21" t="n">
        <v>355.364</v>
      </c>
      <c r="G68" s="21" t="n">
        <v>355.364</v>
      </c>
      <c r="H68" s="21" t="n">
        <v>0</v>
      </c>
      <c r="I68" s="21" t="n">
        <v>0</v>
      </c>
      <c r="J68" s="12" t="inlineStr">
        <is>
          <t>Comunal</t>
        </is>
      </c>
      <c r="K68" s="12" t="n">
        <v>0</v>
      </c>
      <c r="L68" s="12" t="n">
        <v>1</v>
      </c>
      <c r="M68" s="12" t="n">
        <v>83</v>
      </c>
      <c r="N68" s="12" t="inlineStr">
        <is>
          <t>No</t>
        </is>
      </c>
    </row>
    <row r="69">
      <c r="A69" s="7" t="inlineStr">
        <is>
          <t>SP-071</t>
        </is>
      </c>
      <c r="B69" s="7" t="inlineStr">
        <is>
          <t>M10B4</t>
        </is>
      </c>
      <c r="C69" s="7" t="inlineStr">
        <is>
          <t>Morropón</t>
        </is>
      </c>
      <c r="D69" s="7" t="inlineStr">
        <is>
          <t>Chulucanas</t>
        </is>
      </c>
      <c r="E69" s="7" t="inlineStr">
        <is>
          <t>AP-1</t>
        </is>
      </c>
      <c r="F69" s="20" t="n">
        <v>68.887</v>
      </c>
      <c r="G69" s="20" t="n">
        <v>0</v>
      </c>
      <c r="H69" s="20" t="n">
        <v>0</v>
      </c>
      <c r="I69" s="20" t="n">
        <v>68.887</v>
      </c>
      <c r="J69" s="7" t="inlineStr">
        <is>
          <t>Tierras del Estado y/o posesionarios</t>
        </is>
      </c>
      <c r="K69" s="7" t="n">
        <v>0</v>
      </c>
      <c r="L69" s="7" t="n">
        <v>1</v>
      </c>
      <c r="M69" s="7" t="n">
        <v>233</v>
      </c>
      <c r="N69" s="7" t="inlineStr">
        <is>
          <t>No</t>
        </is>
      </c>
    </row>
    <row r="70">
      <c r="A70" s="12" t="inlineStr">
        <is>
          <t>SP-072</t>
        </is>
      </c>
      <c r="B70" s="12" t="inlineStr">
        <is>
          <t>M17B1</t>
        </is>
      </c>
      <c r="C70" s="12" t="inlineStr">
        <is>
          <t>Morropón</t>
        </is>
      </c>
      <c r="D70" s="12" t="inlineStr">
        <is>
          <t>Chulucanas</t>
        </is>
      </c>
      <c r="E70" s="12" t="inlineStr">
        <is>
          <t>AP-1</t>
        </is>
      </c>
      <c r="F70" s="21" t="n">
        <v>42.449</v>
      </c>
      <c r="G70" s="21" t="n">
        <v>0</v>
      </c>
      <c r="H70" s="21" t="n">
        <v>0</v>
      </c>
      <c r="I70" s="21" t="n">
        <v>42.449</v>
      </c>
      <c r="J70" s="12" t="inlineStr">
        <is>
          <t>Tierras del Estado y/o posesionarios</t>
        </is>
      </c>
      <c r="K70" s="12" t="n">
        <v>0</v>
      </c>
      <c r="L70" s="12" t="n">
        <v>1</v>
      </c>
      <c r="M70" s="12" t="n">
        <v>367</v>
      </c>
      <c r="N70" s="12" t="inlineStr">
        <is>
          <t>No</t>
        </is>
      </c>
    </row>
    <row r="71">
      <c r="A71" s="7" t="inlineStr">
        <is>
          <t>SP-073</t>
        </is>
      </c>
      <c r="B71" s="7" t="inlineStr">
        <is>
          <t>M17B4</t>
        </is>
      </c>
      <c r="C71" s="7" t="inlineStr">
        <is>
          <t>Morropón</t>
        </is>
      </c>
      <c r="D71" s="7" t="inlineStr">
        <is>
          <t>Chulucanas</t>
        </is>
      </c>
      <c r="E71" s="7" t="inlineStr">
        <is>
          <t>AP-1</t>
        </is>
      </c>
      <c r="F71" s="20" t="n">
        <v>124.709</v>
      </c>
      <c r="G71" s="20" t="n">
        <v>69.07599999999999</v>
      </c>
      <c r="H71" s="20" t="n">
        <v>0</v>
      </c>
      <c r="I71" s="20" t="n">
        <v>55.633</v>
      </c>
      <c r="J71" s="7" t="inlineStr">
        <is>
          <t>Parcialmente comunal</t>
        </is>
      </c>
      <c r="K71" s="7" t="n">
        <v>0</v>
      </c>
      <c r="L71" s="7" t="n">
        <v>1</v>
      </c>
      <c r="M71" s="7" t="n">
        <v>360</v>
      </c>
      <c r="N71" s="7" t="inlineStr">
        <is>
          <t>No</t>
        </is>
      </c>
    </row>
    <row r="72">
      <c r="A72" s="12" t="inlineStr">
        <is>
          <t>SP-074</t>
        </is>
      </c>
      <c r="B72" s="12" t="inlineStr">
        <is>
          <t>M27B1</t>
        </is>
      </c>
      <c r="C72" s="12" t="inlineStr">
        <is>
          <t>Morropón</t>
        </is>
      </c>
      <c r="D72" s="12" t="inlineStr">
        <is>
          <t>Chulucanas</t>
        </is>
      </c>
      <c r="E72" s="12" t="inlineStr">
        <is>
          <t>AP-1</t>
        </is>
      </c>
      <c r="F72" s="21" t="n">
        <v>448.804</v>
      </c>
      <c r="G72" s="21" t="n">
        <v>0</v>
      </c>
      <c r="H72" s="21" t="n">
        <v>0</v>
      </c>
      <c r="I72" s="21" t="n">
        <v>448.804</v>
      </c>
      <c r="J72" s="12" t="inlineStr">
        <is>
          <t>Tierras del Estado y/o posesionarios</t>
        </is>
      </c>
      <c r="K72" s="12" t="n">
        <v>0</v>
      </c>
      <c r="L72" s="12" t="n">
        <v>5</v>
      </c>
      <c r="M72" s="12" t="n">
        <v>679</v>
      </c>
      <c r="N72" s="12" t="inlineStr">
        <is>
          <t>No</t>
        </is>
      </c>
    </row>
    <row r="73">
      <c r="A73" s="7" t="inlineStr">
        <is>
          <t>SP-075</t>
        </is>
      </c>
      <c r="B73" s="7" t="inlineStr">
        <is>
          <t>M19B2</t>
        </is>
      </c>
      <c r="C73" s="7" t="inlineStr">
        <is>
          <t>Morropón</t>
        </is>
      </c>
      <c r="D73" s="7" t="inlineStr">
        <is>
          <t>Morropón</t>
        </is>
      </c>
      <c r="E73" s="7" t="inlineStr">
        <is>
          <t>AP-2</t>
        </is>
      </c>
      <c r="F73" s="20" t="n">
        <v>74.372</v>
      </c>
      <c r="G73" s="20" t="n">
        <v>0</v>
      </c>
      <c r="H73" s="20" t="n">
        <v>0</v>
      </c>
      <c r="I73" s="20" t="n">
        <v>74.372</v>
      </c>
      <c r="J73" s="7" t="inlineStr">
        <is>
          <t>Tierras del Estado y/o posesionarios</t>
        </is>
      </c>
      <c r="K73" s="7" t="n">
        <v>0</v>
      </c>
      <c r="L73" s="7" t="n">
        <v>1</v>
      </c>
      <c r="M73" s="7" t="n">
        <v>186</v>
      </c>
      <c r="N73" s="7" t="inlineStr">
        <is>
          <t>No</t>
        </is>
      </c>
    </row>
    <row r="74">
      <c r="A74" s="12" t="inlineStr">
        <is>
          <t>SP-076</t>
        </is>
      </c>
      <c r="B74" s="12" t="inlineStr">
        <is>
          <t>M32B3</t>
        </is>
      </c>
      <c r="C74" s="12" t="inlineStr">
        <is>
          <t>Morropón</t>
        </is>
      </c>
      <c r="D74" s="12" t="inlineStr">
        <is>
          <t>Morropón</t>
        </is>
      </c>
      <c r="E74" s="12" t="inlineStr">
        <is>
          <t>AP-2</t>
        </is>
      </c>
      <c r="F74" s="21" t="n">
        <v>50.972</v>
      </c>
      <c r="G74" s="21" t="n">
        <v>0</v>
      </c>
      <c r="H74" s="21" t="n">
        <v>0</v>
      </c>
      <c r="I74" s="21" t="n">
        <v>50.972</v>
      </c>
      <c r="J74" s="12" t="inlineStr">
        <is>
          <t>Tierras del Estado y/o posesionarios</t>
        </is>
      </c>
      <c r="K74" s="12" t="n">
        <v>0</v>
      </c>
      <c r="L74" s="12" t="n">
        <v>1</v>
      </c>
      <c r="M74" s="12" t="n">
        <v>329</v>
      </c>
      <c r="N74" s="12" t="inlineStr">
        <is>
          <t>No</t>
        </is>
      </c>
    </row>
    <row r="75">
      <c r="A75" s="7" t="inlineStr">
        <is>
          <t>SP-077</t>
        </is>
      </c>
      <c r="B75" s="7" t="inlineStr">
        <is>
          <t>M2B1</t>
        </is>
      </c>
      <c r="C75" s="7" t="inlineStr">
        <is>
          <t>Morropón</t>
        </is>
      </c>
      <c r="D75" s="7" t="inlineStr">
        <is>
          <t>Salitral</t>
        </is>
      </c>
      <c r="E75" s="7" t="inlineStr">
        <is>
          <t>AP-2</t>
        </is>
      </c>
      <c r="F75" s="20" t="n">
        <v>81.795</v>
      </c>
      <c r="G75" s="20" t="n">
        <v>0</v>
      </c>
      <c r="H75" s="20" t="n">
        <v>0</v>
      </c>
      <c r="I75" s="20" t="n">
        <v>81.795</v>
      </c>
      <c r="J75" s="7" t="inlineStr">
        <is>
          <t>Tierras del Estado y/o posesionarios</t>
        </is>
      </c>
      <c r="K75" s="7" t="n">
        <v>0</v>
      </c>
      <c r="L75" s="7" t="n">
        <v>1</v>
      </c>
      <c r="M75" s="7" t="n">
        <v>148</v>
      </c>
      <c r="N75" s="7" t="inlineStr">
        <is>
          <t>No</t>
        </is>
      </c>
    </row>
    <row r="76">
      <c r="A76" s="12" t="inlineStr">
        <is>
          <t>SP-078</t>
        </is>
      </c>
      <c r="B76" s="12" t="inlineStr">
        <is>
          <t>M2B5</t>
        </is>
      </c>
      <c r="C76" s="12" t="inlineStr">
        <is>
          <t>Morropón</t>
        </is>
      </c>
      <c r="D76" s="12" t="inlineStr">
        <is>
          <t>Salitral</t>
        </is>
      </c>
      <c r="E76" s="12" t="inlineStr">
        <is>
          <t>AP-2</t>
        </is>
      </c>
      <c r="F76" s="21" t="n">
        <v>30.909</v>
      </c>
      <c r="G76" s="21" t="n">
        <v>0</v>
      </c>
      <c r="H76" s="21" t="n">
        <v>0</v>
      </c>
      <c r="I76" s="21" t="n">
        <v>30.909</v>
      </c>
      <c r="J76" s="12" t="inlineStr">
        <is>
          <t>Tierras del Estado y/o posesionarios</t>
        </is>
      </c>
      <c r="K76" s="12" t="n">
        <v>0</v>
      </c>
      <c r="L76" s="12" t="n">
        <v>1</v>
      </c>
      <c r="M76" s="12" t="n">
        <v>261</v>
      </c>
      <c r="N76" s="12" t="inlineStr">
        <is>
          <t>No</t>
        </is>
      </c>
    </row>
    <row r="77">
      <c r="A77" s="7" t="inlineStr">
        <is>
          <t>SP-079</t>
        </is>
      </c>
      <c r="B77" s="7" t="inlineStr">
        <is>
          <t>M3B1</t>
        </is>
      </c>
      <c r="C77" s="7" t="inlineStr">
        <is>
          <t>Morropón</t>
        </is>
      </c>
      <c r="D77" s="7" t="inlineStr">
        <is>
          <t>Salitral</t>
        </is>
      </c>
      <c r="E77" s="7" t="inlineStr">
        <is>
          <t>AP-2</t>
        </is>
      </c>
      <c r="F77" s="20" t="n">
        <v>80.983</v>
      </c>
      <c r="G77" s="20" t="n">
        <v>80.983</v>
      </c>
      <c r="H77" s="20" t="n">
        <v>0</v>
      </c>
      <c r="I77" s="20" t="n">
        <v>0</v>
      </c>
      <c r="J77" s="7" t="inlineStr">
        <is>
          <t>Comunal</t>
        </is>
      </c>
      <c r="K77" s="7" t="n">
        <v>0</v>
      </c>
      <c r="L77" s="7" t="n">
        <v>1</v>
      </c>
      <c r="M77" s="7" t="n">
        <v>190</v>
      </c>
      <c r="N77" s="7" t="inlineStr">
        <is>
          <t>No</t>
        </is>
      </c>
    </row>
    <row r="78">
      <c r="A78" s="12" t="inlineStr">
        <is>
          <t>SP-080</t>
        </is>
      </c>
      <c r="B78" s="12" t="inlineStr">
        <is>
          <t>M3B9</t>
        </is>
      </c>
      <c r="C78" s="12" t="inlineStr">
        <is>
          <t>Morropón</t>
        </is>
      </c>
      <c r="D78" s="12" t="inlineStr">
        <is>
          <t>Salitral</t>
        </is>
      </c>
      <c r="E78" s="12" t="inlineStr">
        <is>
          <t>AP-2</t>
        </is>
      </c>
      <c r="F78" s="21" t="n">
        <v>294.204</v>
      </c>
      <c r="G78" s="21" t="n">
        <v>0</v>
      </c>
      <c r="H78" s="21" t="n">
        <v>0</v>
      </c>
      <c r="I78" s="21" t="n">
        <v>294.204</v>
      </c>
      <c r="J78" s="12" t="inlineStr">
        <is>
          <t>Tierras del Estado y/o posesionarios</t>
        </is>
      </c>
      <c r="K78" s="12" t="n">
        <v>0</v>
      </c>
      <c r="L78" s="12" t="n">
        <v>1</v>
      </c>
      <c r="M78" s="12" t="n">
        <v>198</v>
      </c>
      <c r="N78" s="12" t="inlineStr">
        <is>
          <t>No</t>
        </is>
      </c>
    </row>
    <row r="79">
      <c r="A79" s="7" t="inlineStr">
        <is>
          <t>SP-081</t>
        </is>
      </c>
      <c r="B79" s="7" t="inlineStr">
        <is>
          <t>M7B1</t>
        </is>
      </c>
      <c r="C79" s="7" t="inlineStr">
        <is>
          <t>Morropón</t>
        </is>
      </c>
      <c r="D79" s="7" t="inlineStr">
        <is>
          <t>Salitral</t>
        </is>
      </c>
      <c r="E79" s="7" t="inlineStr">
        <is>
          <t>AP-2</t>
        </is>
      </c>
      <c r="F79" s="20" t="n">
        <v>130.425</v>
      </c>
      <c r="G79" s="20" t="n">
        <v>0</v>
      </c>
      <c r="H79" s="20" t="n">
        <v>0</v>
      </c>
      <c r="I79" s="20" t="n">
        <v>130.425</v>
      </c>
      <c r="J79" s="7" t="inlineStr">
        <is>
          <t>Tierras del Estado y/o posesionarios</t>
        </is>
      </c>
      <c r="K79" s="7" t="n">
        <v>0</v>
      </c>
      <c r="L79" s="7" t="n">
        <v>3</v>
      </c>
      <c r="M79" s="7" t="n">
        <v>286</v>
      </c>
      <c r="N79" s="7" t="inlineStr">
        <is>
          <t>No</t>
        </is>
      </c>
    </row>
    <row r="80">
      <c r="A80" s="12" t="inlineStr">
        <is>
          <t>SP-082</t>
        </is>
      </c>
      <c r="B80" s="12" t="inlineStr">
        <is>
          <t>M7B2</t>
        </is>
      </c>
      <c r="C80" s="12" t="inlineStr">
        <is>
          <t>Morropón</t>
        </is>
      </c>
      <c r="D80" s="12" t="inlineStr">
        <is>
          <t>Salitral</t>
        </is>
      </c>
      <c r="E80" s="12" t="inlineStr">
        <is>
          <t>AP-2</t>
        </is>
      </c>
      <c r="F80" s="21" t="n">
        <v>115.379</v>
      </c>
      <c r="G80" s="21" t="n">
        <v>0</v>
      </c>
      <c r="H80" s="21" t="n">
        <v>0</v>
      </c>
      <c r="I80" s="21" t="n">
        <v>115.379</v>
      </c>
      <c r="J80" s="12" t="inlineStr">
        <is>
          <t>Tierras del Estado y/o posesionarios</t>
        </is>
      </c>
      <c r="K80" s="12" t="n">
        <v>0</v>
      </c>
      <c r="L80" s="12" t="n">
        <v>1</v>
      </c>
      <c r="M80" s="12" t="n"/>
      <c r="N80" s="12" t="inlineStr">
        <is>
          <t>No</t>
        </is>
      </c>
    </row>
    <row r="81">
      <c r="A81" s="7" t="inlineStr">
        <is>
          <t>SP-083</t>
        </is>
      </c>
      <c r="B81" s="7" t="inlineStr">
        <is>
          <t>M7B3</t>
        </is>
      </c>
      <c r="C81" s="7" t="inlineStr">
        <is>
          <t>Morropón</t>
        </is>
      </c>
      <c r="D81" s="7" t="inlineStr">
        <is>
          <t>Salitral</t>
        </is>
      </c>
      <c r="E81" s="7" t="inlineStr">
        <is>
          <t>AP-2</t>
        </is>
      </c>
      <c r="F81" s="20" t="n">
        <v>65.745</v>
      </c>
      <c r="G81" s="20" t="n">
        <v>0</v>
      </c>
      <c r="H81" s="20" t="n">
        <v>0</v>
      </c>
      <c r="I81" s="20" t="n">
        <v>65.745</v>
      </c>
      <c r="J81" s="7" t="inlineStr">
        <is>
          <t>Tierras del Estado y/o posesionarios</t>
        </is>
      </c>
      <c r="K81" s="7" t="n">
        <v>0</v>
      </c>
      <c r="L81" s="7" t="n">
        <v>2</v>
      </c>
      <c r="M81" s="7" t="n">
        <v>41</v>
      </c>
      <c r="N81" s="7" t="inlineStr">
        <is>
          <t>No</t>
        </is>
      </c>
    </row>
    <row r="82">
      <c r="A82" s="12" t="inlineStr">
        <is>
          <t>SP-084</t>
        </is>
      </c>
      <c r="B82" s="12" t="inlineStr">
        <is>
          <t>M7B6</t>
        </is>
      </c>
      <c r="C82" s="12" t="inlineStr">
        <is>
          <t>Morropón</t>
        </is>
      </c>
      <c r="D82" s="12" t="inlineStr">
        <is>
          <t>Salitral</t>
        </is>
      </c>
      <c r="E82" s="12" t="inlineStr">
        <is>
          <t>AP-2</t>
        </is>
      </c>
      <c r="F82" s="21" t="n">
        <v>91.285</v>
      </c>
      <c r="G82" s="21" t="n">
        <v>0</v>
      </c>
      <c r="H82" s="21" t="n">
        <v>0</v>
      </c>
      <c r="I82" s="21" t="n">
        <v>91.285</v>
      </c>
      <c r="J82" s="12" t="inlineStr">
        <is>
          <t>Tierras del Estado y/o posesionarios</t>
        </is>
      </c>
      <c r="K82" s="12" t="n">
        <v>0</v>
      </c>
      <c r="L82" s="12" t="n">
        <v>3</v>
      </c>
      <c r="M82" s="12" t="n">
        <v>235</v>
      </c>
      <c r="N82" s="12" t="inlineStr">
        <is>
          <t>No</t>
        </is>
      </c>
    </row>
    <row r="83">
      <c r="A83" s="7" t="inlineStr">
        <is>
          <t>SP-085</t>
        </is>
      </c>
      <c r="B83" s="7" t="inlineStr">
        <is>
          <t>M18B3</t>
        </is>
      </c>
      <c r="C83" s="7" t="inlineStr">
        <is>
          <t>Morropón</t>
        </is>
      </c>
      <c r="D83" s="7" t="inlineStr">
        <is>
          <t>Salitral</t>
        </is>
      </c>
      <c r="E83" s="7" t="inlineStr">
        <is>
          <t>AP-2</t>
        </is>
      </c>
      <c r="F83" s="20" t="n">
        <v>373.807</v>
      </c>
      <c r="G83" s="20" t="n">
        <v>0</v>
      </c>
      <c r="H83" s="20" t="n">
        <v>1.952</v>
      </c>
      <c r="I83" s="20" t="n">
        <v>371.855</v>
      </c>
      <c r="J83" s="7" t="inlineStr">
        <is>
          <t>Tierras del Estado y/o posesionarios</t>
        </is>
      </c>
      <c r="K83" s="7" t="n">
        <v>4</v>
      </c>
      <c r="L83" s="7" t="n">
        <v>3</v>
      </c>
      <c r="M83" s="7" t="n">
        <v>252</v>
      </c>
      <c r="N83" s="7" t="inlineStr">
        <is>
          <t>No</t>
        </is>
      </c>
    </row>
    <row r="84">
      <c r="A84" s="12" t="inlineStr">
        <is>
          <t>SP-086</t>
        </is>
      </c>
      <c r="B84" s="12" t="inlineStr">
        <is>
          <t>77</t>
        </is>
      </c>
      <c r="C84" s="12" t="inlineStr">
        <is>
          <t>Morropón</t>
        </is>
      </c>
      <c r="D84" s="12" t="inlineStr">
        <is>
          <t>San Juan de Bigote</t>
        </is>
      </c>
      <c r="E84" s="12" t="inlineStr">
        <is>
          <t>AP-2</t>
        </is>
      </c>
      <c r="F84" s="21" t="n">
        <v>17.821</v>
      </c>
      <c r="G84" s="21" t="n">
        <v>17.821</v>
      </c>
      <c r="H84" s="21" t="n">
        <v>0</v>
      </c>
      <c r="I84" s="21" t="n">
        <v>0</v>
      </c>
      <c r="J84" s="12" t="inlineStr">
        <is>
          <t>Comunal</t>
        </is>
      </c>
      <c r="K84" s="12" t="n">
        <v>0</v>
      </c>
      <c r="L84" s="12" t="n">
        <v>1</v>
      </c>
      <c r="M84" s="12" t="n">
        <v>188</v>
      </c>
      <c r="N84" s="12" t="inlineStr">
        <is>
          <t>No</t>
        </is>
      </c>
    </row>
    <row r="85">
      <c r="A85" s="7" t="inlineStr">
        <is>
          <t>SP-087</t>
        </is>
      </c>
      <c r="B85" s="7" t="inlineStr">
        <is>
          <t>83</t>
        </is>
      </c>
      <c r="C85" s="7" t="inlineStr">
        <is>
          <t>Morropón</t>
        </is>
      </c>
      <c r="D85" s="7" t="inlineStr">
        <is>
          <t>San Juan de Bigote</t>
        </is>
      </c>
      <c r="E85" s="7" t="inlineStr">
        <is>
          <t>AP-2</t>
        </is>
      </c>
      <c r="F85" s="20" t="n">
        <v>24.344</v>
      </c>
      <c r="G85" s="20" t="n">
        <v>24.344</v>
      </c>
      <c r="H85" s="20" t="n">
        <v>0</v>
      </c>
      <c r="I85" s="20" t="n">
        <v>0</v>
      </c>
      <c r="J85" s="7" t="inlineStr">
        <is>
          <t>Comunal</t>
        </is>
      </c>
      <c r="K85" s="7" t="n">
        <v>0</v>
      </c>
      <c r="L85" s="7" t="n">
        <v>2</v>
      </c>
      <c r="M85" s="7" t="n"/>
      <c r="N85" s="7" t="inlineStr">
        <is>
          <t>No</t>
        </is>
      </c>
    </row>
    <row r="86">
      <c r="A86" s="12" t="inlineStr">
        <is>
          <t>SP-088</t>
        </is>
      </c>
      <c r="B86" s="12" t="inlineStr">
        <is>
          <t>84</t>
        </is>
      </c>
      <c r="C86" s="12" t="inlineStr">
        <is>
          <t>Morropón</t>
        </is>
      </c>
      <c r="D86" s="12" t="inlineStr">
        <is>
          <t>San Juan de Bigote</t>
        </is>
      </c>
      <c r="E86" s="12" t="inlineStr">
        <is>
          <t>AP-2</t>
        </is>
      </c>
      <c r="F86" s="21" t="n">
        <v>5.097</v>
      </c>
      <c r="G86" s="21" t="n">
        <v>5.097</v>
      </c>
      <c r="H86" s="21" t="n">
        <v>0</v>
      </c>
      <c r="I86" s="21" t="n">
        <v>0</v>
      </c>
      <c r="J86" s="12" t="inlineStr">
        <is>
          <t>Comunal</t>
        </is>
      </c>
      <c r="K86" s="12" t="n">
        <v>0</v>
      </c>
      <c r="L86" s="12" t="n">
        <v>2</v>
      </c>
      <c r="M86" s="12" t="n"/>
      <c r="N86" s="12" t="inlineStr">
        <is>
          <t>No</t>
        </is>
      </c>
    </row>
    <row r="87">
      <c r="A87" s="7" t="inlineStr">
        <is>
          <t>SP-089</t>
        </is>
      </c>
      <c r="B87" s="7" t="inlineStr">
        <is>
          <t>85</t>
        </is>
      </c>
      <c r="C87" s="7" t="inlineStr">
        <is>
          <t>Morropón</t>
        </is>
      </c>
      <c r="D87" s="7" t="inlineStr">
        <is>
          <t>San Juan de Bigote</t>
        </is>
      </c>
      <c r="E87" s="7" t="inlineStr">
        <is>
          <t>AP-2</t>
        </is>
      </c>
      <c r="F87" s="20" t="n">
        <v>11.906</v>
      </c>
      <c r="G87" s="20" t="n">
        <v>11.906</v>
      </c>
      <c r="H87" s="20" t="n">
        <v>0</v>
      </c>
      <c r="I87" s="20" t="n">
        <v>0</v>
      </c>
      <c r="J87" s="7" t="inlineStr">
        <is>
          <t>Comunal</t>
        </is>
      </c>
      <c r="K87" s="7" t="n">
        <v>0</v>
      </c>
      <c r="L87" s="7" t="n">
        <v>2</v>
      </c>
      <c r="M87" s="7" t="n"/>
      <c r="N87" s="7" t="inlineStr">
        <is>
          <t>No</t>
        </is>
      </c>
    </row>
    <row r="88">
      <c r="A88" s="12" t="inlineStr">
        <is>
          <t>SP-090</t>
        </is>
      </c>
      <c r="B88" s="12" t="inlineStr">
        <is>
          <t>86</t>
        </is>
      </c>
      <c r="C88" s="12" t="inlineStr">
        <is>
          <t>Morropón</t>
        </is>
      </c>
      <c r="D88" s="12" t="inlineStr">
        <is>
          <t>San Juan de Bigote</t>
        </is>
      </c>
      <c r="E88" s="12" t="inlineStr">
        <is>
          <t>AP-2</t>
        </is>
      </c>
      <c r="F88" s="21" t="n">
        <v>30.001</v>
      </c>
      <c r="G88" s="21" t="n">
        <v>30.001</v>
      </c>
      <c r="H88" s="21" t="n">
        <v>0</v>
      </c>
      <c r="I88" s="21" t="n">
        <v>0</v>
      </c>
      <c r="J88" s="12" t="inlineStr">
        <is>
          <t>Comunal</t>
        </is>
      </c>
      <c r="K88" s="12" t="n">
        <v>0</v>
      </c>
      <c r="L88" s="12" t="n">
        <v>3</v>
      </c>
      <c r="M88" s="12" t="n"/>
      <c r="N88" s="12" t="inlineStr">
        <is>
          <t>No</t>
        </is>
      </c>
    </row>
    <row r="89">
      <c r="A89" s="7" t="inlineStr">
        <is>
          <t>SP-091</t>
        </is>
      </c>
      <c r="B89" s="7" t="inlineStr">
        <is>
          <t>87</t>
        </is>
      </c>
      <c r="C89" s="7" t="inlineStr">
        <is>
          <t>Morropón</t>
        </is>
      </c>
      <c r="D89" s="7" t="inlineStr">
        <is>
          <t>San Juan de Bigote</t>
        </is>
      </c>
      <c r="E89" s="7" t="inlineStr">
        <is>
          <t>AP-2</t>
        </is>
      </c>
      <c r="F89" s="20" t="n">
        <v>62.219</v>
      </c>
      <c r="G89" s="20" t="n">
        <v>62.219</v>
      </c>
      <c r="H89" s="20" t="n">
        <v>0</v>
      </c>
      <c r="I89" s="20" t="n">
        <v>0</v>
      </c>
      <c r="J89" s="7" t="inlineStr">
        <is>
          <t>Comunal</t>
        </is>
      </c>
      <c r="K89" s="7" t="n">
        <v>1</v>
      </c>
      <c r="L89" s="7" t="n">
        <v>3</v>
      </c>
      <c r="M89" s="7" t="n"/>
      <c r="N89" s="7" t="inlineStr">
        <is>
          <t>No</t>
        </is>
      </c>
    </row>
    <row r="90">
      <c r="A90" s="12" t="inlineStr">
        <is>
          <t>SP-092</t>
        </is>
      </c>
      <c r="B90" s="12" t="inlineStr">
        <is>
          <t>M3B3</t>
        </is>
      </c>
      <c r="C90" s="12" t="inlineStr">
        <is>
          <t>Morropón</t>
        </is>
      </c>
      <c r="D90" s="12" t="inlineStr">
        <is>
          <t>San Juan de Bigote</t>
        </is>
      </c>
      <c r="E90" s="12" t="inlineStr">
        <is>
          <t>AP-2</t>
        </is>
      </c>
      <c r="F90" s="21" t="n">
        <v>84.825</v>
      </c>
      <c r="G90" s="21" t="n">
        <v>84.825</v>
      </c>
      <c r="H90" s="21" t="n">
        <v>0</v>
      </c>
      <c r="I90" s="21" t="n">
        <v>0</v>
      </c>
      <c r="J90" s="12" t="inlineStr">
        <is>
          <t>Comunal</t>
        </is>
      </c>
      <c r="K90" s="12" t="n">
        <v>0</v>
      </c>
      <c r="L90" s="12" t="n">
        <v>2</v>
      </c>
      <c r="M90" s="12" t="n">
        <v>146</v>
      </c>
      <c r="N90" s="12" t="inlineStr">
        <is>
          <t>No</t>
        </is>
      </c>
    </row>
    <row r="91">
      <c r="A91" s="7" t="inlineStr">
        <is>
          <t>SP-093</t>
        </is>
      </c>
      <c r="B91" s="7" t="inlineStr">
        <is>
          <t>M3B5</t>
        </is>
      </c>
      <c r="C91" s="7" t="inlineStr">
        <is>
          <t>Morropón</t>
        </is>
      </c>
      <c r="D91" s="7" t="inlineStr">
        <is>
          <t>San Juan de Bigote</t>
        </is>
      </c>
      <c r="E91" s="7" t="inlineStr">
        <is>
          <t>AP-2</t>
        </is>
      </c>
      <c r="F91" s="20" t="n">
        <v>52.743</v>
      </c>
      <c r="G91" s="20" t="n">
        <v>52.743</v>
      </c>
      <c r="H91" s="20" t="n">
        <v>0</v>
      </c>
      <c r="I91" s="20" t="n">
        <v>0</v>
      </c>
      <c r="J91" s="7" t="inlineStr">
        <is>
          <t>Comunal</t>
        </is>
      </c>
      <c r="K91" s="7" t="n">
        <v>0</v>
      </c>
      <c r="L91" s="7" t="n">
        <v>1</v>
      </c>
      <c r="M91" s="7" t="n">
        <v>116</v>
      </c>
      <c r="N91" s="7" t="inlineStr">
        <is>
          <t>No</t>
        </is>
      </c>
    </row>
    <row r="92">
      <c r="A92" s="12" t="inlineStr">
        <is>
          <t>SP-094</t>
        </is>
      </c>
      <c r="B92" s="12" t="inlineStr">
        <is>
          <t>M3B6</t>
        </is>
      </c>
      <c r="C92" s="12" t="inlineStr">
        <is>
          <t>Morropón</t>
        </is>
      </c>
      <c r="D92" s="12" t="inlineStr">
        <is>
          <t>San Juan de Bigote</t>
        </is>
      </c>
      <c r="E92" s="12" t="inlineStr">
        <is>
          <t>AP-2</t>
        </is>
      </c>
      <c r="F92" s="21" t="n">
        <v>60.352</v>
      </c>
      <c r="G92" s="21" t="n">
        <v>60.352</v>
      </c>
      <c r="H92" s="21" t="n">
        <v>0</v>
      </c>
      <c r="I92" s="21" t="n">
        <v>0</v>
      </c>
      <c r="J92" s="12" t="inlineStr">
        <is>
          <t>Comunal</t>
        </is>
      </c>
      <c r="K92" s="12" t="n">
        <v>0</v>
      </c>
      <c r="L92" s="12" t="n">
        <v>2</v>
      </c>
      <c r="M92" s="12" t="n">
        <v>202</v>
      </c>
      <c r="N92" s="12" t="inlineStr">
        <is>
          <t>No</t>
        </is>
      </c>
    </row>
    <row r="93">
      <c r="A93" s="7" t="inlineStr">
        <is>
          <t>SP-095</t>
        </is>
      </c>
      <c r="B93" s="7" t="inlineStr">
        <is>
          <t>M3B7</t>
        </is>
      </c>
      <c r="C93" s="7" t="inlineStr">
        <is>
          <t>Morropón</t>
        </is>
      </c>
      <c r="D93" s="7" t="inlineStr">
        <is>
          <t>San Juan de Bigote</t>
        </is>
      </c>
      <c r="E93" s="7" t="inlineStr">
        <is>
          <t>AP-2</t>
        </is>
      </c>
      <c r="F93" s="20" t="n">
        <v>122.946</v>
      </c>
      <c r="G93" s="20" t="n">
        <v>0</v>
      </c>
      <c r="H93" s="20" t="n">
        <v>0</v>
      </c>
      <c r="I93" s="20" t="n">
        <v>122.946</v>
      </c>
      <c r="J93" s="7" t="inlineStr">
        <is>
          <t>Tierras del Estado y/o posesionarios</t>
        </is>
      </c>
      <c r="K93" s="7" t="n">
        <v>0</v>
      </c>
      <c r="L93" s="7" t="n">
        <v>2</v>
      </c>
      <c r="M93" s="7" t="n">
        <v>68</v>
      </c>
      <c r="N93" s="7" t="inlineStr">
        <is>
          <t>No</t>
        </is>
      </c>
    </row>
    <row r="94">
      <c r="A94" s="12" t="inlineStr">
        <is>
          <t>SP-096</t>
        </is>
      </c>
      <c r="B94" s="12" t="inlineStr">
        <is>
          <t>M3B8</t>
        </is>
      </c>
      <c r="C94" s="12" t="inlineStr">
        <is>
          <t>Morropón</t>
        </is>
      </c>
      <c r="D94" s="12" t="inlineStr">
        <is>
          <t>San Juan de Bigote</t>
        </is>
      </c>
      <c r="E94" s="12" t="inlineStr">
        <is>
          <t>AP-2</t>
        </is>
      </c>
      <c r="F94" s="21" t="n">
        <v>565.5839999999999</v>
      </c>
      <c r="G94" s="21" t="n">
        <v>0</v>
      </c>
      <c r="H94" s="21" t="n">
        <v>0</v>
      </c>
      <c r="I94" s="21" t="n">
        <v>565.5839999999999</v>
      </c>
      <c r="J94" s="12" t="inlineStr">
        <is>
          <t>Tierras del Estado y/o posesionarios</t>
        </is>
      </c>
      <c r="K94" s="12" t="n">
        <v>0</v>
      </c>
      <c r="L94" s="12" t="n">
        <v>2</v>
      </c>
      <c r="M94" s="12" t="n">
        <v>386</v>
      </c>
      <c r="N94" s="12" t="inlineStr">
        <is>
          <t>No</t>
        </is>
      </c>
    </row>
    <row r="95">
      <c r="A95" s="7" t="inlineStr">
        <is>
          <t>SP-097</t>
        </is>
      </c>
      <c r="B95" s="7" t="inlineStr">
        <is>
          <t>M11B3</t>
        </is>
      </c>
      <c r="C95" s="7" t="inlineStr">
        <is>
          <t>Morropón</t>
        </is>
      </c>
      <c r="D95" s="7" t="inlineStr">
        <is>
          <t>San Juan de Bigote</t>
        </is>
      </c>
      <c r="E95" s="7" t="inlineStr">
        <is>
          <t>AP-2</t>
        </is>
      </c>
      <c r="F95" s="20" t="n">
        <v>106.027</v>
      </c>
      <c r="G95" s="20" t="n">
        <v>0</v>
      </c>
      <c r="H95" s="20" t="n">
        <v>0</v>
      </c>
      <c r="I95" s="20" t="n">
        <v>106.027</v>
      </c>
      <c r="J95" s="7" t="inlineStr">
        <is>
          <t>Tierras del Estado y/o posesionarios</t>
        </is>
      </c>
      <c r="K95" s="7" t="n">
        <v>0</v>
      </c>
      <c r="L95" s="7" t="n">
        <v>2</v>
      </c>
      <c r="M95" s="7" t="n"/>
      <c r="N95" s="7" t="inlineStr">
        <is>
          <t>No</t>
        </is>
      </c>
    </row>
    <row r="96">
      <c r="A96" s="12" t="inlineStr">
        <is>
          <t>SP-098</t>
        </is>
      </c>
      <c r="B96" s="12" t="inlineStr">
        <is>
          <t>14</t>
        </is>
      </c>
      <c r="C96" s="12" t="inlineStr">
        <is>
          <t>Morropón</t>
        </is>
      </c>
      <c r="D96" s="12" t="inlineStr">
        <is>
          <t>Santa Catalina de Mossa</t>
        </is>
      </c>
      <c r="E96" s="12" t="inlineStr">
        <is>
          <t>AP-4</t>
        </is>
      </c>
      <c r="F96" s="21" t="n">
        <v>92.905</v>
      </c>
      <c r="G96" s="21" t="n">
        <v>92.905</v>
      </c>
      <c r="H96" s="21" t="n">
        <v>0</v>
      </c>
      <c r="I96" s="21" t="n">
        <v>0</v>
      </c>
      <c r="J96" s="12" t="inlineStr">
        <is>
          <t>Comunal</t>
        </is>
      </c>
      <c r="K96" s="12" t="n">
        <v>0</v>
      </c>
      <c r="L96" s="12" t="n">
        <v>2</v>
      </c>
      <c r="M96" s="12" t="n">
        <v>38</v>
      </c>
      <c r="N96" s="12" t="inlineStr">
        <is>
          <t>No</t>
        </is>
      </c>
    </row>
    <row r="97">
      <c r="A97" s="7" t="inlineStr">
        <is>
          <t>SP-099</t>
        </is>
      </c>
      <c r="B97" s="7" t="inlineStr">
        <is>
          <t>42</t>
        </is>
      </c>
      <c r="C97" s="7" t="inlineStr">
        <is>
          <t>Morropón</t>
        </is>
      </c>
      <c r="D97" s="7" t="inlineStr">
        <is>
          <t>Santa Catalina de Mossa</t>
        </is>
      </c>
      <c r="E97" s="7" t="inlineStr">
        <is>
          <t>AP-4</t>
        </is>
      </c>
      <c r="F97" s="20" t="n">
        <v>80.616</v>
      </c>
      <c r="G97" s="20" t="n">
        <v>80.616</v>
      </c>
      <c r="H97" s="20" t="n">
        <v>0</v>
      </c>
      <c r="I97" s="20" t="n">
        <v>0</v>
      </c>
      <c r="J97" s="7" t="inlineStr">
        <is>
          <t>Comunal</t>
        </is>
      </c>
      <c r="K97" s="7" t="n">
        <v>0</v>
      </c>
      <c r="L97" s="7" t="n">
        <v>1</v>
      </c>
      <c r="M97" s="7" t="n">
        <v>131</v>
      </c>
      <c r="N97" s="7" t="inlineStr">
        <is>
          <t>No</t>
        </is>
      </c>
    </row>
    <row r="98">
      <c r="A98" s="12" t="inlineStr">
        <is>
          <t>SP-100</t>
        </is>
      </c>
      <c r="B98" s="12" t="inlineStr">
        <is>
          <t>58</t>
        </is>
      </c>
      <c r="C98" s="12" t="inlineStr">
        <is>
          <t>Morropón</t>
        </is>
      </c>
      <c r="D98" s="12" t="inlineStr">
        <is>
          <t>Santa Catalina de Mossa</t>
        </is>
      </c>
      <c r="E98" s="12" t="inlineStr">
        <is>
          <t>AP-4</t>
        </is>
      </c>
      <c r="F98" s="21" t="n">
        <v>11.475</v>
      </c>
      <c r="G98" s="21" t="n">
        <v>0</v>
      </c>
      <c r="H98" s="21" t="n">
        <v>0</v>
      </c>
      <c r="I98" s="21" t="n">
        <v>11.475</v>
      </c>
      <c r="J98" s="12" t="inlineStr">
        <is>
          <t>Tierras del Estado y/o posesionarios</t>
        </is>
      </c>
      <c r="K98" s="12" t="n">
        <v>0</v>
      </c>
      <c r="L98" s="12" t="n">
        <v>2</v>
      </c>
      <c r="M98" s="12" t="n">
        <v>329</v>
      </c>
      <c r="N98" s="12" t="inlineStr">
        <is>
          <t>No</t>
        </is>
      </c>
    </row>
    <row r="99">
      <c r="A99" s="7" t="inlineStr">
        <is>
          <t>SP-101</t>
        </is>
      </c>
      <c r="B99" s="7" t="inlineStr">
        <is>
          <t>M36B2</t>
        </is>
      </c>
      <c r="C99" s="7" t="inlineStr">
        <is>
          <t>Morropón</t>
        </is>
      </c>
      <c r="D99" s="7" t="inlineStr">
        <is>
          <t>Santa Catalina de Mossa</t>
        </is>
      </c>
      <c r="E99" s="7" t="inlineStr">
        <is>
          <t>AP-4</t>
        </is>
      </c>
      <c r="F99" s="20" t="n">
        <v>28.19</v>
      </c>
      <c r="G99" s="20" t="n">
        <v>28.19</v>
      </c>
      <c r="H99" s="20" t="n">
        <v>0</v>
      </c>
      <c r="I99" s="20" t="n">
        <v>0</v>
      </c>
      <c r="J99" s="7" t="inlineStr">
        <is>
          <t>Comunal</t>
        </is>
      </c>
      <c r="K99" s="7" t="n">
        <v>0</v>
      </c>
      <c r="L99" s="7" t="n">
        <v>1</v>
      </c>
      <c r="M99" s="7" t="n">
        <v>131</v>
      </c>
      <c r="N99" s="7" t="inlineStr">
        <is>
          <t>No</t>
        </is>
      </c>
    </row>
    <row r="100">
      <c r="A100" s="12" t="inlineStr">
        <is>
          <t>SP-102</t>
        </is>
      </c>
      <c r="B100" s="12" t="inlineStr">
        <is>
          <t>11</t>
        </is>
      </c>
      <c r="C100" s="12" t="inlineStr">
        <is>
          <t>Morropón</t>
        </is>
      </c>
      <c r="D100" s="12" t="inlineStr">
        <is>
          <t>Santo Domingo</t>
        </is>
      </c>
      <c r="E100" s="12" t="inlineStr">
        <is>
          <t>AP-4</t>
        </is>
      </c>
      <c r="F100" s="21" t="n">
        <v>103.948</v>
      </c>
      <c r="G100" s="21" t="n">
        <v>2.832</v>
      </c>
      <c r="H100" s="21" t="n">
        <v>0</v>
      </c>
      <c r="I100" s="21" t="n">
        <v>101.116</v>
      </c>
      <c r="J100" s="12" t="inlineStr">
        <is>
          <t>Tierras del Estado y/o posesionarios</t>
        </is>
      </c>
      <c r="K100" s="12" t="n">
        <v>0</v>
      </c>
      <c r="L100" s="12" t="n">
        <v>1</v>
      </c>
      <c r="M100" s="12" t="n">
        <v>53</v>
      </c>
      <c r="N100" s="12" t="inlineStr">
        <is>
          <t>No</t>
        </is>
      </c>
    </row>
    <row r="101">
      <c r="A101" s="7" t="inlineStr">
        <is>
          <t>SP-103</t>
        </is>
      </c>
      <c r="B101" s="7" t="inlineStr">
        <is>
          <t>12</t>
        </is>
      </c>
      <c r="C101" s="7" t="inlineStr">
        <is>
          <t>Morropón</t>
        </is>
      </c>
      <c r="D101" s="7" t="inlineStr">
        <is>
          <t>Santo Domingo</t>
        </is>
      </c>
      <c r="E101" s="7" t="inlineStr">
        <is>
          <t>AP-4</t>
        </is>
      </c>
      <c r="F101" s="20" t="n">
        <v>119.538</v>
      </c>
      <c r="G101" s="20" t="n">
        <v>0</v>
      </c>
      <c r="H101" s="20" t="n">
        <v>13.769</v>
      </c>
      <c r="I101" s="20" t="n">
        <v>105.769</v>
      </c>
      <c r="J101" s="7" t="inlineStr">
        <is>
          <t>Parcialmente privada</t>
        </is>
      </c>
      <c r="K101" s="7" t="n">
        <v>16</v>
      </c>
      <c r="L101" s="7" t="n">
        <v>2</v>
      </c>
      <c r="M101" s="7" t="n">
        <v>105</v>
      </c>
      <c r="N101" s="7" t="inlineStr">
        <is>
          <t>No</t>
        </is>
      </c>
    </row>
    <row r="102">
      <c r="A102" s="12" t="inlineStr">
        <is>
          <t>SP-104</t>
        </is>
      </c>
      <c r="B102" s="12" t="inlineStr">
        <is>
          <t>13</t>
        </is>
      </c>
      <c r="C102" s="12" t="inlineStr">
        <is>
          <t>Morropón</t>
        </is>
      </c>
      <c r="D102" s="12" t="inlineStr">
        <is>
          <t>Santo Domingo</t>
        </is>
      </c>
      <c r="E102" s="12" t="inlineStr">
        <is>
          <t>AP-4</t>
        </is>
      </c>
      <c r="F102" s="21" t="n">
        <v>100.514</v>
      </c>
      <c r="G102" s="21" t="n">
        <v>100.514</v>
      </c>
      <c r="H102" s="21" t="n">
        <v>0</v>
      </c>
      <c r="I102" s="21" t="n">
        <v>0</v>
      </c>
      <c r="J102" s="12" t="inlineStr">
        <is>
          <t>Comunal</t>
        </is>
      </c>
      <c r="K102" s="12" t="n">
        <v>0</v>
      </c>
      <c r="L102" s="12" t="n">
        <v>1</v>
      </c>
      <c r="M102" s="12" t="n">
        <v>139</v>
      </c>
      <c r="N102" s="12" t="inlineStr">
        <is>
          <t>No</t>
        </is>
      </c>
    </row>
    <row r="103">
      <c r="A103" s="7" t="inlineStr">
        <is>
          <t>SP-105</t>
        </is>
      </c>
      <c r="B103" s="7" t="inlineStr">
        <is>
          <t>15</t>
        </is>
      </c>
      <c r="C103" s="7" t="inlineStr">
        <is>
          <t>Morropón</t>
        </is>
      </c>
      <c r="D103" s="7" t="inlineStr">
        <is>
          <t>Santo Domingo</t>
        </is>
      </c>
      <c r="E103" s="7" t="inlineStr">
        <is>
          <t>AP-4</t>
        </is>
      </c>
      <c r="F103" s="20" t="n">
        <v>86.14700000000001</v>
      </c>
      <c r="G103" s="20" t="n">
        <v>86.14700000000001</v>
      </c>
      <c r="H103" s="20" t="n">
        <v>0</v>
      </c>
      <c r="I103" s="20" t="n">
        <v>0</v>
      </c>
      <c r="J103" s="7" t="inlineStr">
        <is>
          <t>Comunal</t>
        </is>
      </c>
      <c r="K103" s="7" t="n">
        <v>0</v>
      </c>
      <c r="L103" s="7" t="n">
        <v>1</v>
      </c>
      <c r="M103" s="7" t="n">
        <v>130</v>
      </c>
      <c r="N103" s="7" t="inlineStr">
        <is>
          <t>No</t>
        </is>
      </c>
    </row>
    <row r="104">
      <c r="A104" s="12" t="inlineStr">
        <is>
          <t>SP-106</t>
        </is>
      </c>
      <c r="B104" s="12" t="inlineStr">
        <is>
          <t>17</t>
        </is>
      </c>
      <c r="C104" s="12" t="inlineStr">
        <is>
          <t>Morropón</t>
        </is>
      </c>
      <c r="D104" s="12" t="inlineStr">
        <is>
          <t>Santo Domingo</t>
        </is>
      </c>
      <c r="E104" s="12" t="inlineStr">
        <is>
          <t>AP-4</t>
        </is>
      </c>
      <c r="F104" s="21" t="n">
        <v>96.07899999999999</v>
      </c>
      <c r="G104" s="21" t="n">
        <v>96.07899999999999</v>
      </c>
      <c r="H104" s="21" t="n">
        <v>0</v>
      </c>
      <c r="I104" s="21" t="n">
        <v>0</v>
      </c>
      <c r="J104" s="12" t="inlineStr">
        <is>
          <t>Comunal</t>
        </is>
      </c>
      <c r="K104" s="12" t="n">
        <v>0</v>
      </c>
      <c r="L104" s="12" t="n">
        <v>1</v>
      </c>
      <c r="M104" s="12" t="n">
        <v>91</v>
      </c>
      <c r="N104" s="12" t="inlineStr">
        <is>
          <t>No</t>
        </is>
      </c>
    </row>
    <row r="105">
      <c r="A105" s="7" t="inlineStr">
        <is>
          <t>SP-107</t>
        </is>
      </c>
      <c r="B105" s="7" t="inlineStr">
        <is>
          <t>23</t>
        </is>
      </c>
      <c r="C105" s="7" t="inlineStr">
        <is>
          <t>Morropón</t>
        </is>
      </c>
      <c r="D105" s="7" t="inlineStr">
        <is>
          <t>Santo Domingo</t>
        </is>
      </c>
      <c r="E105" s="7" t="inlineStr">
        <is>
          <t>AP-4</t>
        </is>
      </c>
      <c r="F105" s="20" t="n">
        <v>81.776</v>
      </c>
      <c r="G105" s="20" t="n">
        <v>81.776</v>
      </c>
      <c r="H105" s="20" t="n">
        <v>0</v>
      </c>
      <c r="I105" s="20" t="n">
        <v>0</v>
      </c>
      <c r="J105" s="7" t="inlineStr">
        <is>
          <t>Comunal</t>
        </is>
      </c>
      <c r="K105" s="7" t="n">
        <v>0</v>
      </c>
      <c r="L105" s="7" t="n">
        <v>2</v>
      </c>
      <c r="M105" s="7" t="n">
        <v>161</v>
      </c>
      <c r="N105" s="7" t="inlineStr">
        <is>
          <t>No</t>
        </is>
      </c>
    </row>
    <row r="106">
      <c r="A106" s="12" t="inlineStr">
        <is>
          <t>SP-108</t>
        </is>
      </c>
      <c r="B106" s="12" t="inlineStr">
        <is>
          <t>78</t>
        </is>
      </c>
      <c r="C106" s="12" t="inlineStr">
        <is>
          <t>Morropón</t>
        </is>
      </c>
      <c r="D106" s="12" t="inlineStr">
        <is>
          <t>Santo Domingo</t>
        </is>
      </c>
      <c r="E106" s="12" t="inlineStr">
        <is>
          <t>AP-4</t>
        </is>
      </c>
      <c r="F106" s="21" t="n">
        <v>35.1</v>
      </c>
      <c r="G106" s="21" t="n">
        <v>35.1</v>
      </c>
      <c r="H106" s="21" t="n">
        <v>0</v>
      </c>
      <c r="I106" s="21" t="n">
        <v>0</v>
      </c>
      <c r="J106" s="12" t="inlineStr">
        <is>
          <t>Comunal</t>
        </is>
      </c>
      <c r="K106" s="12" t="n">
        <v>0</v>
      </c>
      <c r="L106" s="12" t="n">
        <v>1</v>
      </c>
      <c r="M106" s="12" t="n">
        <v>114</v>
      </c>
      <c r="N106" s="12" t="inlineStr">
        <is>
          <t>No</t>
        </is>
      </c>
    </row>
    <row r="107">
      <c r="A107" s="7" t="inlineStr">
        <is>
          <t>SP-109</t>
        </is>
      </c>
      <c r="B107" s="7" t="inlineStr">
        <is>
          <t>82</t>
        </is>
      </c>
      <c r="C107" s="7" t="inlineStr">
        <is>
          <t>Morropón</t>
        </is>
      </c>
      <c r="D107" s="7" t="inlineStr">
        <is>
          <t>Santo Domingo</t>
        </is>
      </c>
      <c r="E107" s="7" t="inlineStr">
        <is>
          <t>AP-4</t>
        </is>
      </c>
      <c r="F107" s="20" t="n">
        <v>35.661</v>
      </c>
      <c r="G107" s="20" t="n">
        <v>17.433</v>
      </c>
      <c r="H107" s="20" t="n">
        <v>0</v>
      </c>
      <c r="I107" s="20" t="n">
        <v>18.228</v>
      </c>
      <c r="J107" s="7" t="inlineStr">
        <is>
          <t>Parcialmente comunal</t>
        </is>
      </c>
      <c r="K107" s="7" t="n">
        <v>0</v>
      </c>
      <c r="L107" s="7" t="n">
        <v>1</v>
      </c>
      <c r="M107" s="7" t="n">
        <v>88</v>
      </c>
      <c r="N107" s="7" t="inlineStr">
        <is>
          <t>No</t>
        </is>
      </c>
    </row>
    <row r="108">
      <c r="A108" s="12" t="inlineStr">
        <is>
          <t>SP-110</t>
        </is>
      </c>
      <c r="B108" s="12" t="inlineStr">
        <is>
          <t>M8B2</t>
        </is>
      </c>
      <c r="C108" s="12" t="inlineStr">
        <is>
          <t>Morropón</t>
        </is>
      </c>
      <c r="D108" s="12" t="inlineStr">
        <is>
          <t>Santo Domingo</t>
        </is>
      </c>
      <c r="E108" s="12" t="inlineStr">
        <is>
          <t>AP-4</t>
        </is>
      </c>
      <c r="F108" s="21" t="n">
        <v>35.347</v>
      </c>
      <c r="G108" s="21" t="n">
        <v>35.347</v>
      </c>
      <c r="H108" s="21" t="n">
        <v>0</v>
      </c>
      <c r="I108" s="21" t="n">
        <v>0</v>
      </c>
      <c r="J108" s="12" t="inlineStr">
        <is>
          <t>Comunal</t>
        </is>
      </c>
      <c r="K108" s="12" t="n">
        <v>0</v>
      </c>
      <c r="L108" s="12" t="n">
        <v>1</v>
      </c>
      <c r="M108" s="12" t="n">
        <v>192</v>
      </c>
      <c r="N108" s="12" t="inlineStr">
        <is>
          <t>No</t>
        </is>
      </c>
    </row>
    <row r="109">
      <c r="A109" s="7" t="inlineStr">
        <is>
          <t>SP-111</t>
        </is>
      </c>
      <c r="B109" s="7" t="inlineStr">
        <is>
          <t>M19B7</t>
        </is>
      </c>
      <c r="C109" s="7" t="inlineStr">
        <is>
          <t>Morropón</t>
        </is>
      </c>
      <c r="D109" s="7" t="inlineStr">
        <is>
          <t>Santo Domingo</t>
        </is>
      </c>
      <c r="E109" s="7" t="inlineStr">
        <is>
          <t>AP-4</t>
        </is>
      </c>
      <c r="F109" s="20" t="n">
        <v>34.171</v>
      </c>
      <c r="G109" s="20" t="n">
        <v>34.171</v>
      </c>
      <c r="H109" s="20" t="n">
        <v>0</v>
      </c>
      <c r="I109" s="20" t="n">
        <v>0</v>
      </c>
      <c r="J109" s="7" t="inlineStr">
        <is>
          <t>Comunal</t>
        </is>
      </c>
      <c r="K109" s="7" t="n">
        <v>0</v>
      </c>
      <c r="L109" s="7" t="n">
        <v>1</v>
      </c>
      <c r="M109" s="7" t="n">
        <v>40</v>
      </c>
      <c r="N109" s="7" t="inlineStr">
        <is>
          <t>No</t>
        </is>
      </c>
    </row>
    <row r="110">
      <c r="A110" s="12" t="inlineStr">
        <is>
          <t>SP-112</t>
        </is>
      </c>
      <c r="B110" s="12" t="inlineStr">
        <is>
          <t>49</t>
        </is>
      </c>
      <c r="C110" s="12" t="inlineStr">
        <is>
          <t>Morropón</t>
        </is>
      </c>
      <c r="D110" s="12" t="inlineStr">
        <is>
          <t>Yamango</t>
        </is>
      </c>
      <c r="E110" s="12" t="inlineStr">
        <is>
          <t>AP-3</t>
        </is>
      </c>
      <c r="F110" s="21" t="n">
        <v>15.839</v>
      </c>
      <c r="G110" s="21" t="n">
        <v>15.839</v>
      </c>
      <c r="H110" s="21" t="n">
        <v>0</v>
      </c>
      <c r="I110" s="21" t="n">
        <v>0</v>
      </c>
      <c r="J110" s="12" t="inlineStr">
        <is>
          <t>Comunal</t>
        </is>
      </c>
      <c r="K110" s="12" t="n">
        <v>0</v>
      </c>
      <c r="L110" s="12" t="n">
        <v>1</v>
      </c>
      <c r="M110" s="12" t="n">
        <v>84</v>
      </c>
      <c r="N110" s="12" t="inlineStr">
        <is>
          <t>No</t>
        </is>
      </c>
    </row>
    <row r="111">
      <c r="A111" s="7" t="inlineStr">
        <is>
          <t>SP-113</t>
        </is>
      </c>
      <c r="B111" s="7" t="inlineStr">
        <is>
          <t>52</t>
        </is>
      </c>
      <c r="C111" s="7" t="inlineStr">
        <is>
          <t>Morropón</t>
        </is>
      </c>
      <c r="D111" s="7" t="inlineStr">
        <is>
          <t>Yamango</t>
        </is>
      </c>
      <c r="E111" s="7" t="inlineStr">
        <is>
          <t>AP-3</t>
        </is>
      </c>
      <c r="F111" s="20" t="n">
        <v>11.059</v>
      </c>
      <c r="G111" s="20" t="n">
        <v>11.059</v>
      </c>
      <c r="H111" s="20" t="n">
        <v>0</v>
      </c>
      <c r="I111" s="20" t="n">
        <v>0</v>
      </c>
      <c r="J111" s="7" t="inlineStr">
        <is>
          <t>Comunal</t>
        </is>
      </c>
      <c r="K111" s="7" t="n">
        <v>0</v>
      </c>
      <c r="L111" s="7" t="n">
        <v>1</v>
      </c>
      <c r="M111" s="7" t="n">
        <v>43</v>
      </c>
      <c r="N111" s="7" t="inlineStr">
        <is>
          <t>No</t>
        </is>
      </c>
    </row>
    <row r="112">
      <c r="A112" s="12" t="inlineStr">
        <is>
          <t>SP-114</t>
        </is>
      </c>
      <c r="B112" s="12" t="inlineStr">
        <is>
          <t>55</t>
        </is>
      </c>
      <c r="C112" s="12" t="inlineStr">
        <is>
          <t>Morropón</t>
        </is>
      </c>
      <c r="D112" s="12" t="inlineStr">
        <is>
          <t>Yamango</t>
        </is>
      </c>
      <c r="E112" s="12" t="inlineStr">
        <is>
          <t>AP-3</t>
        </is>
      </c>
      <c r="F112" s="21" t="n">
        <v>0.859</v>
      </c>
      <c r="G112" s="21" t="n">
        <v>0.859</v>
      </c>
      <c r="H112" s="21" t="n">
        <v>0</v>
      </c>
      <c r="I112" s="21" t="n">
        <v>0</v>
      </c>
      <c r="J112" s="12" t="inlineStr">
        <is>
          <t>Comunal</t>
        </is>
      </c>
      <c r="K112" s="12" t="n">
        <v>0</v>
      </c>
      <c r="L112" s="12" t="n">
        <v>1</v>
      </c>
      <c r="M112" s="12" t="n">
        <v>84</v>
      </c>
      <c r="N112" s="12" t="inlineStr">
        <is>
          <t>No</t>
        </is>
      </c>
    </row>
    <row r="113">
      <c r="A113" s="7" t="inlineStr">
        <is>
          <t>SP-115</t>
        </is>
      </c>
      <c r="B113" s="7" t="inlineStr">
        <is>
          <t>M28B2</t>
        </is>
      </c>
      <c r="C113" s="7" t="inlineStr">
        <is>
          <t>Morropón</t>
        </is>
      </c>
      <c r="D113" s="7" t="inlineStr">
        <is>
          <t>Yamango</t>
        </is>
      </c>
      <c r="E113" s="7" t="inlineStr">
        <is>
          <t>AP-3</t>
        </is>
      </c>
      <c r="F113" s="20" t="n">
        <v>90.197</v>
      </c>
      <c r="G113" s="20" t="n">
        <v>90.197</v>
      </c>
      <c r="H113" s="20" t="n">
        <v>0</v>
      </c>
      <c r="I113" s="20" t="n">
        <v>0</v>
      </c>
      <c r="J113" s="7" t="inlineStr">
        <is>
          <t>Comunal</t>
        </is>
      </c>
      <c r="K113" s="7" t="n">
        <v>0</v>
      </c>
      <c r="L113" s="7" t="n">
        <v>2</v>
      </c>
      <c r="M113" s="7" t="n">
        <v>235</v>
      </c>
      <c r="N113" s="7" t="inlineStr">
        <is>
          <t>No</t>
        </is>
      </c>
    </row>
    <row r="114">
      <c r="A114" s="12" t="inlineStr">
        <is>
          <t>SP-116</t>
        </is>
      </c>
      <c r="B114" s="12" t="inlineStr">
        <is>
          <t>M28B3</t>
        </is>
      </c>
      <c r="C114" s="12" t="inlineStr">
        <is>
          <t>Morropón</t>
        </is>
      </c>
      <c r="D114" s="12" t="inlineStr">
        <is>
          <t>Yamango</t>
        </is>
      </c>
      <c r="E114" s="12" t="inlineStr">
        <is>
          <t>AP-3</t>
        </is>
      </c>
      <c r="F114" s="21" t="n">
        <v>58.292</v>
      </c>
      <c r="G114" s="21" t="n">
        <v>58.292</v>
      </c>
      <c r="H114" s="21" t="n">
        <v>0</v>
      </c>
      <c r="I114" s="21" t="n">
        <v>0</v>
      </c>
      <c r="J114" s="12" t="inlineStr">
        <is>
          <t>Comunal</t>
        </is>
      </c>
      <c r="K114" s="12" t="n">
        <v>0</v>
      </c>
      <c r="L114" s="12" t="n">
        <v>1</v>
      </c>
      <c r="M114" s="12" t="n">
        <v>74</v>
      </c>
      <c r="N114" s="12" t="inlineStr">
        <is>
          <t>No</t>
        </is>
      </c>
    </row>
    <row r="115">
      <c r="A115" s="7" t="inlineStr">
        <is>
          <t>SP-117</t>
        </is>
      </c>
      <c r="B115" s="7" t="inlineStr">
        <is>
          <t>M28B4</t>
        </is>
      </c>
      <c r="C115" s="7" t="inlineStr">
        <is>
          <t>Morropón</t>
        </is>
      </c>
      <c r="D115" s="7" t="inlineStr">
        <is>
          <t>Yamango</t>
        </is>
      </c>
      <c r="E115" s="7" t="inlineStr">
        <is>
          <t>AP-3</t>
        </is>
      </c>
      <c r="F115" s="20" t="n">
        <v>283.428</v>
      </c>
      <c r="G115" s="20" t="n">
        <v>283.428</v>
      </c>
      <c r="H115" s="20" t="n">
        <v>0</v>
      </c>
      <c r="I115" s="20" t="n">
        <v>0</v>
      </c>
      <c r="J115" s="7" t="inlineStr">
        <is>
          <t>Comunal</t>
        </is>
      </c>
      <c r="K115" s="7" t="n">
        <v>0</v>
      </c>
      <c r="L115" s="7" t="n">
        <v>3</v>
      </c>
      <c r="M115" s="7" t="n">
        <v>446</v>
      </c>
      <c r="N115" s="7" t="inlineStr">
        <is>
          <t>No</t>
        </is>
      </c>
    </row>
    <row r="116">
      <c r="A116" s="17" t="inlineStr">
        <is>
          <t>TOTAL</t>
        </is>
      </c>
      <c r="B116" s="17" t="n"/>
      <c r="C116" s="17" t="n"/>
      <c r="D116" s="17" t="n"/>
      <c r="E116" s="17" t="n"/>
      <c r="F116" s="22">
        <f>SUM(F9:F115)</f>
        <v/>
      </c>
      <c r="G116" s="22">
        <f>SUM(G9:G115)</f>
        <v/>
      </c>
      <c r="H116" s="22">
        <f>SUM(H9:H115)</f>
        <v/>
      </c>
      <c r="I116" s="22">
        <f>SUM(I9:I115)</f>
        <v/>
      </c>
      <c r="J116" s="17" t="n"/>
      <c r="K116" s="17">
        <f>SUM(K9:K115)</f>
        <v/>
      </c>
      <c r="L116" s="17">
        <f>SUM(L9:L115)</f>
        <v/>
      </c>
      <c r="M116" s="17" t="n"/>
      <c r="N116" s="17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</row>
  </sheetData>
  <autoFilter ref="A8:N115"/>
  <mergeCells count="6">
    <mergeCell ref="A3:N3"/>
    <mergeCell ref="A6:N6"/>
    <mergeCell ref="A4:N4"/>
    <mergeCell ref="A2:N2"/>
    <mergeCell ref="A5:N5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60" customWidth="1" min="4" max="4"/>
    <col width="55" customWidth="1" min="5" max="5"/>
    <col width="17" customWidth="1" min="6" max="6"/>
    <col width="24" customWidth="1" min="7" max="7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MATRIZ DE OBSERVACIONES — ENTREGABLE N° 2 DEL ESTUDIO DE SUELOS (GeoSIG Ingenieros)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Revisión técnica del Especialista en Infraestructura Verde, en coordinación con el Especialista en Infraestructura Marrón. Tipo: C consistencia; A alcance; F forma.</t>
        </is>
      </c>
    </row>
    <row r="8" ht="30" customHeight="1">
      <c r="A8" s="4" t="inlineStr">
        <is>
          <t>Código</t>
        </is>
      </c>
      <c r="B8" s="4" t="inlineStr">
        <is>
          <t>Tipo</t>
        </is>
      </c>
      <c r="C8" s="4" t="inlineStr">
        <is>
          <t>Sección</t>
        </is>
      </c>
      <c r="D8" s="4" t="inlineStr">
        <is>
          <t>Observación</t>
        </is>
      </c>
      <c r="E8" s="4" t="inlineStr">
        <is>
          <t>Levantamiento requerido</t>
        </is>
      </c>
      <c r="F8" s="4" t="inlineStr">
        <is>
          <t>Se levanta en</t>
        </is>
      </c>
      <c r="G8" s="4" t="inlineStr">
        <is>
          <t>Estado</t>
        </is>
      </c>
    </row>
    <row r="9">
      <c r="A9" s="7" t="inlineStr">
        <is>
          <t>OS-01</t>
        </is>
      </c>
      <c r="B9" s="7" t="inlineStr">
        <is>
          <t>C</t>
        </is>
      </c>
      <c r="C9" s="7" t="inlineStr">
        <is>
          <t>2.1 y Cuadro 1</t>
        </is>
      </c>
      <c r="D9" s="7" t="inlineStr">
        <is>
          <t>Se consignan 118 bloques y 12,299 ha; el catálogo vigente V6 tiene 117 bloques y 12,270.235 ha.</t>
        </is>
      </c>
      <c r="E9" s="7" t="inlineStr">
        <is>
          <t>Homologar el universo con el catálogo V6 y declarar las calicatas en bloques retirados, si las hubiera.</t>
        </is>
      </c>
      <c r="F9" s="7" t="inlineStr">
        <is>
          <t>E4</t>
        </is>
      </c>
      <c r="G9" s="7" t="inlineStr">
        <is>
          <t>Formulada – pendiente de levantamiento</t>
        </is>
      </c>
    </row>
    <row r="10">
      <c r="A10" s="12" t="inlineStr">
        <is>
          <t>OS-02</t>
        </is>
      </c>
      <c r="B10" s="12" t="inlineStr">
        <is>
          <t>C</t>
        </is>
      </c>
      <c r="C10" s="12" t="inlineStr">
        <is>
          <t>Resumen ejecutivo</t>
        </is>
      </c>
      <c r="D10" s="12" t="inlineStr">
        <is>
          <t>Se reportan 65 repeticiones de infiltración medidas; los Cuadros 8 y 9 y el numeral 15.1 suman 59.</t>
        </is>
      </c>
      <c r="E10" s="12" t="inlineStr">
        <is>
          <t>Corregir la cifra en todo el documento.</t>
        </is>
      </c>
      <c r="F10" s="12" t="inlineStr">
        <is>
          <t>E4</t>
        </is>
      </c>
      <c r="G10" s="12" t="inlineStr">
        <is>
          <t>Formulada – pendiente de levantamiento</t>
        </is>
      </c>
    </row>
    <row r="11">
      <c r="A11" s="7" t="inlineStr">
        <is>
          <t>OS-03</t>
        </is>
      </c>
      <c r="B11" s="7" t="inlineStr">
        <is>
          <t>C</t>
        </is>
      </c>
      <c r="C11" s="7" t="inlineStr">
        <is>
          <t>Resumen ejecutivo y 8.3</t>
        </is>
      </c>
      <c r="D11" s="7" t="inlineStr">
        <is>
          <t>Se reportan 152 horizontes muestreados; los Cuadros 9 y 10 y el numeral 8.3 reportan 209.</t>
        </is>
      </c>
      <c r="E11" s="7" t="inlineStr">
        <is>
          <t>Precisar el número de muestras remitidas al laboratorio por tipo de análisis (caracterización, fertilidad, densidad aparente).</t>
        </is>
      </c>
      <c r="F11" s="7" t="inlineStr">
        <is>
          <t>E3</t>
        </is>
      </c>
      <c r="G11" s="7" t="inlineStr">
        <is>
          <t>Formulada – pendiente de levantamiento</t>
        </is>
      </c>
    </row>
    <row r="12">
      <c r="A12" s="12" t="inlineStr">
        <is>
          <t>OS-04</t>
        </is>
      </c>
      <c r="B12" s="12" t="inlineStr">
        <is>
          <t>C</t>
        </is>
      </c>
      <c r="C12" s="12" t="inlineStr">
        <is>
          <t>Cuadros 8 y 19; 7.1</t>
        </is>
      </c>
      <c r="D12" s="12" t="inlineStr">
        <is>
          <t>INF-11 figura como «Culcas Alto» (Cuadro 8) y como «La Unión» (Cuadro 19 y 7.1).</t>
        </is>
      </c>
      <c r="E12" s="12" t="inlineStr">
        <is>
          <t>Uniformizar la denominación del sitio con el centro poblado del catálogo INEI.</t>
        </is>
      </c>
      <c r="F12" s="12" t="inlineStr">
        <is>
          <t>E4</t>
        </is>
      </c>
      <c r="G12" s="12" t="inlineStr">
        <is>
          <t>Formulada – pendiente de levantamiento</t>
        </is>
      </c>
    </row>
    <row r="13">
      <c r="A13" s="7" t="inlineStr">
        <is>
          <t>OS-05</t>
        </is>
      </c>
      <c r="B13" s="7" t="inlineStr">
        <is>
          <t>A</t>
        </is>
      </c>
      <c r="C13" s="7" t="inlineStr">
        <is>
          <t>5.6, 7.1 y 12.4</t>
        </is>
      </c>
      <c r="D13" s="7" t="inlineStr">
        <is>
          <t>INF-11 (2 repeticiones, 73.48 cm/h), INF-08 (4) e INF-02b (3) no alcanzan las 5 repeticiones del TdR; el libro de cálculo estima repeticiones faltantes.</t>
        </is>
      </c>
      <c r="E13" s="7" t="inlineStr">
        <is>
          <t>Declarar estos valores como indicativos, separar las repeticiones estimadas de las medidas y no usarlos para dimensionar obras sin repetición.</t>
        </is>
      </c>
      <c r="F13" s="7" t="inlineStr">
        <is>
          <t>E3/E4</t>
        </is>
      </c>
      <c r="G13" s="7" t="inlineStr">
        <is>
          <t>Formulada – pendiente de levantamiento</t>
        </is>
      </c>
    </row>
    <row r="14">
      <c r="A14" s="12" t="inlineStr">
        <is>
          <t>OS-06</t>
        </is>
      </c>
      <c r="B14" s="12" t="inlineStr">
        <is>
          <t>A</t>
        </is>
      </c>
      <c r="C14" s="12" t="inlineStr">
        <is>
          <t>12.4</t>
        </is>
      </c>
      <c r="D14" s="12" t="inlineStr">
        <is>
          <t>En INF-02b (El Ala) la primera repetición (17.2 cm/h) se atribuye a flujo preferencial y eleva la velocidad representativa a 6.88 cm/h; las otras dos dan 2.17 y 1.55 cm/h.</t>
        </is>
      </c>
      <c r="E14" s="12" t="inlineStr">
        <is>
          <t>Reportar la velocidad representativa con y sin la repetición atípica y justificar la adoptada.</t>
        </is>
      </c>
      <c r="F14" s="12" t="inlineStr">
        <is>
          <t>E4</t>
        </is>
      </c>
      <c r="G14" s="12" t="inlineStr">
        <is>
          <t>Formulada – pendiente de levantamiento</t>
        </is>
      </c>
    </row>
    <row r="15">
      <c r="A15" s="7" t="inlineStr">
        <is>
          <t>OS-07</t>
        </is>
      </c>
      <c r="B15" s="7" t="inlineStr">
        <is>
          <t>C</t>
        </is>
      </c>
      <c r="C15" s="7" t="inlineStr">
        <is>
          <t>15.2 y Cuadro 22</t>
        </is>
      </c>
      <c r="D15" s="7" t="inlineStr">
        <is>
          <t>El laboratorio figura como UNALM (Entregable N° 2), LASPAF-UNALM (Plan de Trabajo) y «Valle Grande» (Plan de Trabajo Detallado del Perfil).</t>
        </is>
      </c>
      <c r="E15" s="7" t="inlineStr">
        <is>
          <t>Acreditar el laboratorio efectivo, su acreditación vigente, la fecha de envío y la cadena de custodia de cada lote.</t>
        </is>
      </c>
      <c r="F15" s="7" t="inlineStr">
        <is>
          <t>E3</t>
        </is>
      </c>
      <c r="G15" s="7" t="inlineStr">
        <is>
          <t>Formulada – pendiente de levantamiento</t>
        </is>
      </c>
    </row>
    <row r="16">
      <c r="A16" s="12" t="inlineStr">
        <is>
          <t>OS-08</t>
        </is>
      </c>
      <c r="B16" s="12" t="inlineStr">
        <is>
          <t>F</t>
        </is>
      </c>
      <c r="C16" s="12" t="inlineStr">
        <is>
          <t>Cuadro 11</t>
        </is>
      </c>
      <c r="D16" s="12" t="inlineStr">
        <is>
          <t>La fila del 20/09 y la fila de totales del itinerario están desalineadas.</t>
        </is>
      </c>
      <c r="E16" s="12" t="inlineStr">
        <is>
          <t>Corregir el formato del cuadro.</t>
        </is>
      </c>
      <c r="F16" s="12" t="inlineStr">
        <is>
          <t>E4</t>
        </is>
      </c>
      <c r="G16" s="12" t="inlineStr">
        <is>
          <t>Formulada – pendiente de levantamiento</t>
        </is>
      </c>
    </row>
    <row r="17">
      <c r="A17" s="7" t="inlineStr">
        <is>
          <t>OS-09</t>
        </is>
      </c>
      <c r="B17" s="7" t="inlineStr">
        <is>
          <t>A</t>
        </is>
      </c>
      <c r="C17" s="7" t="inlineStr">
        <is>
          <t>5.4 y Cuadro 7</t>
        </is>
      </c>
      <c r="D17" s="7" t="inlineStr">
        <is>
          <t>17 calicatas se reubicaron a más de 300 m; el par CAL-65/CAL-66 a 5.2 y 6.4 km del punto de gabinete.</t>
        </is>
      </c>
      <c r="E17" s="7" t="inlineStr">
        <is>
          <t>Adjuntar la superposición de cada punto reubicado con el polígono V6 y la unidad de suelo (GDB), como evidencia de pertenencia.</t>
        </is>
      </c>
      <c r="F17" s="7" t="inlineStr">
        <is>
          <t>E4</t>
        </is>
      </c>
      <c r="G17" s="7" t="inlineStr">
        <is>
          <t>Formulada – pendiente de levantamiento</t>
        </is>
      </c>
    </row>
    <row r="18">
      <c r="A18" s="12" t="inlineStr">
        <is>
          <t>OS-10</t>
        </is>
      </c>
      <c r="B18" s="12" t="inlineStr">
        <is>
          <t>A</t>
        </is>
      </c>
      <c r="C18" s="12" t="inlineStr">
        <is>
          <t>10 y Cuadro 16</t>
        </is>
      </c>
      <c r="D18" s="12" t="inlineStr">
        <is>
          <t>La CUM de campo difiere de la CUM de gabinete en varias unidades (p. ej., CAL-17/18: P3 y X frente a C2se(r); CAL-31/32/37/38: F2/P3 y X frente a A3s(r)).</t>
        </is>
      </c>
      <c r="E18" s="12" t="inlineStr">
        <is>
          <t>Explicar las diferencias y resolverlas con los resultados de laboratorio y el ajuste por zona de vida del D.S. N° 005-2022-MIDAGRI.</t>
        </is>
      </c>
      <c r="F18" s="12" t="inlineStr">
        <is>
          <t>E4</t>
        </is>
      </c>
      <c r="G18" s="12" t="inlineStr">
        <is>
          <t>Formulada – pendiente de levantamiento</t>
        </is>
      </c>
    </row>
    <row r="19">
      <c r="A19" s="7" t="inlineStr">
        <is>
          <t>OS-11</t>
        </is>
      </c>
      <c r="B19" s="7" t="inlineStr">
        <is>
          <t>A</t>
        </is>
      </c>
      <c r="C19" s="7" t="inlineStr">
        <is>
          <t>14 y Cuadro 21</t>
        </is>
      </c>
      <c r="D19" s="7" t="inlineStr">
        <is>
          <t>La Matriz de Compatibilidad Suelo–Intervención es preliminar por grupo de suelos y no por unidad de suelo ni por bloque.</t>
        </is>
      </c>
      <c r="E19" s="7" t="inlineStr">
        <is>
          <t>Entregarla por unidad de suelo y por bloque (unidades de manejo), con la máscara de profundidad efectiva &lt; 50 cm y conciliando las especies con la lista priorizada del E6.</t>
        </is>
      </c>
      <c r="F19" s="7" t="inlineStr">
        <is>
          <t>E4</t>
        </is>
      </c>
      <c r="G19" s="7" t="inlineStr">
        <is>
          <t>Formulada – pendiente de levantamiento</t>
        </is>
      </c>
    </row>
    <row r="20">
      <c r="A20" s="12" t="inlineStr">
        <is>
          <t>OS-12</t>
        </is>
      </c>
      <c r="B20" s="12" t="inlineStr">
        <is>
          <t>A</t>
        </is>
      </c>
      <c r="C20" s="12" t="inlineStr">
        <is>
          <t>13 y Cuadro 20</t>
        </is>
      </c>
      <c r="D20" s="12" t="inlineStr">
        <is>
          <t>Los códigos de permeabilidad del Factor K se asignaron por textura al tacto donde no hay prueba de infiltración; el Factor R con PISCO (2017 y 2020) no se reporta.</t>
        </is>
      </c>
      <c r="E20" s="12" t="inlineStr">
        <is>
          <t>Recalcular el Factor K con la textura y la materia orgánica de laboratorio y reportar el Factor R por unidad.</t>
        </is>
      </c>
      <c r="F20" s="12" t="inlineStr">
        <is>
          <t>E3/E4</t>
        </is>
      </c>
      <c r="G20" s="12" t="inlineStr">
        <is>
          <t>Formulada – pendiente de levantamiento</t>
        </is>
      </c>
    </row>
    <row r="21">
      <c r="A21" s="7" t="inlineStr">
        <is>
          <t>OS-13</t>
        </is>
      </c>
      <c r="B21" s="7" t="inlineStr">
        <is>
          <t>A</t>
        </is>
      </c>
      <c r="C21" s="7" t="inlineStr">
        <is>
          <t>Cobertura del estudio</t>
        </is>
      </c>
      <c r="D21" s="7" t="inlineStr">
        <is>
          <t>Del total, 103 de 117 bloques tienen alguna unidad de suelo muestreada; 14 se caracterizarán por analogía.</t>
        </is>
      </c>
      <c r="E21" s="7" t="inlineStr">
        <is>
          <t>Listar los bloques caracterizados por analogía y la unidad muestreada que los representa.</t>
        </is>
      </c>
      <c r="F21" s="7" t="inlineStr">
        <is>
          <t>E4</t>
        </is>
      </c>
      <c r="G21" s="7" t="inlineStr">
        <is>
          <t>Formulada – pendiente de levantamiento</t>
        </is>
      </c>
    </row>
    <row r="22">
      <c r="A22" s="12" t="inlineStr">
        <is>
          <t>OS-14</t>
        </is>
      </c>
      <c r="B22" s="12" t="inlineStr">
        <is>
          <t>A</t>
        </is>
      </c>
      <c r="C22" s="12" t="inlineStr">
        <is>
          <t>Cuadro 22</t>
        </is>
      </c>
      <c r="D22" s="12" t="inlineStr">
        <is>
          <t>El término contractual del Entregable N° 4 es el 31/10/2026; el Plan de Trabajo Detallado reprograma su recepción al 13/11/2026.</t>
        </is>
      </c>
      <c r="E22" s="12" t="inlineStr">
        <is>
          <t>Formalizar la reprogramación mediante el instrumento contractual que corresponda.</t>
        </is>
      </c>
      <c r="F22" s="12" t="inlineStr">
        <is>
          <t>Gestión</t>
        </is>
      </c>
      <c r="G22" s="12" t="inlineStr">
        <is>
          <t>Formulada – pendiente de levantamiento</t>
        </is>
      </c>
    </row>
    <row r="23">
      <c r="A23" s="19" t="n"/>
      <c r="B23" s="19" t="n"/>
      <c r="C23" s="19" t="n"/>
      <c r="D23" s="19" t="n"/>
      <c r="E23" s="19" t="n"/>
      <c r="F23" s="19" t="n"/>
      <c r="G23" s="19" t="n"/>
    </row>
    <row r="24">
      <c r="A24" s="19" t="n"/>
      <c r="B24" s="19" t="n"/>
      <c r="C24" s="19" t="n"/>
      <c r="D24" s="19" t="n"/>
      <c r="E24" s="19" t="n"/>
      <c r="F24" s="19" t="n"/>
      <c r="G24" s="19" t="n"/>
    </row>
  </sheetData>
  <autoFilter ref="A8:G22"/>
  <mergeCells count="6">
    <mergeCell ref="A1:G1"/>
    <mergeCell ref="A3:G3"/>
    <mergeCell ref="A6:G6"/>
    <mergeCell ref="A4:G4"/>
    <mergeCell ref="A2:G2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50" customWidth="1" min="4" max="4"/>
    <col width="34" customWidth="1" min="5" max="5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MATRIZ DE OBSERVACIONES — DIAGNÓSTICO DEL ESTADO DE LOS ECOSISTEMAS (E6)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Revisión técnica del Especialista en Infraestructura Verde, en coordinación con el Especialista en Intervenciones Vegetativas de Uso Sostenible.</t>
        </is>
      </c>
    </row>
    <row r="8" ht="30" customHeight="1">
      <c r="A8" s="4" t="inlineStr">
        <is>
          <t>Código</t>
        </is>
      </c>
      <c r="B8" s="4" t="inlineStr">
        <is>
          <t>Documento / sección</t>
        </is>
      </c>
      <c r="C8" s="4" t="inlineStr">
        <is>
          <t>Observación</t>
        </is>
      </c>
      <c r="D8" s="4" t="inlineStr">
        <is>
          <t>Levantamiento requerido</t>
        </is>
      </c>
      <c r="E8" s="4" t="inlineStr">
        <is>
          <t>Estado al corte</t>
        </is>
      </c>
    </row>
    <row r="9">
      <c r="A9" s="7" t="inlineStr">
        <is>
          <t>OE-01</t>
        </is>
      </c>
      <c r="B9" s="7" t="inlineStr">
        <is>
          <t>Insumos OS 1148 / 2797</t>
        </is>
      </c>
      <c r="C9" s="7" t="inlineStr">
        <is>
          <t>Listas florísticas con errores taxonómicos y sin depurar.</t>
        </is>
      </c>
      <c r="D9" s="7" t="inlineStr">
        <is>
          <t>Depurar contra F-DT, F-DS y chequeos de suelos.</t>
        </is>
      </c>
      <c r="E9" s="7" t="inlineStr">
        <is>
          <t>Atendida parcialmente: matriz de 69 especies; 48 taxones confirmados en campo 2026</t>
        </is>
      </c>
    </row>
    <row r="10">
      <c r="A10" s="12" t="inlineStr">
        <is>
          <t>OE-02</t>
        </is>
      </c>
      <c r="B10" s="12" t="inlineStr">
        <is>
          <t>Insumo OS 2726</t>
        </is>
      </c>
      <c r="C10" s="12" t="inlineStr">
        <is>
          <t>Presiones evaluadas solo en 58 bloques.</t>
        </is>
      </c>
      <c r="D10" s="12" t="inlineStr">
        <is>
          <t>Extender el atributo de amenazas a los 117 bloques.</t>
        </is>
      </c>
      <c r="E10" s="12" t="inlineStr">
        <is>
          <t>Atendida: IC con F-DT-04 de los 117 bloques</t>
        </is>
      </c>
    </row>
    <row r="11">
      <c r="A11" s="7" t="inlineStr">
        <is>
          <t>OE-03</t>
        </is>
      </c>
      <c r="B11" s="7" t="inlineStr">
        <is>
          <t>Plan v2.0, 10.1; Plan Detallado</t>
        </is>
      </c>
      <c r="C11" s="7" t="inlineStr">
        <is>
          <t>El plan v2.0 cierra el E6 el 18/12/2026 y cita registro del Perfil en enero de 2027 (10.1) y en marzo de 2027 (sustento); el Plan Detallado fija la redacción final al 18/11/2026.</t>
        </is>
      </c>
      <c r="D11" s="7" t="inlineStr">
        <is>
          <t>Homologar fechas y horizonte en ambos documentos.</t>
        </is>
      </c>
      <c r="E11" s="7" t="inlineStr">
        <is>
          <t>Pendiente</t>
        </is>
      </c>
    </row>
    <row r="12">
      <c r="A12" s="12" t="inlineStr">
        <is>
          <t>OE-04</t>
        </is>
      </c>
      <c r="B12" s="12" t="inlineStr">
        <is>
          <t>Nota Técnica 002-2026, numeral 1</t>
        </is>
      </c>
      <c r="C12" s="12" t="inlineStr">
        <is>
          <t>La versión revisada cita el «catálogo V7»; el catálogo vigente es V6.</t>
        </is>
      </c>
      <c r="D12" s="12" t="inlineStr">
        <is>
          <t>Corregir la referencia al catálogo V6.</t>
        </is>
      </c>
      <c r="E12" s="12" t="inlineStr">
        <is>
          <t>Pendiente</t>
        </is>
      </c>
    </row>
    <row r="13">
      <c r="A13" s="7" t="inlineStr">
        <is>
          <t>OE-05</t>
        </is>
      </c>
      <c r="B13" s="7" t="inlineStr">
        <is>
          <t>Nota Técnica 002-2026, Cuadro 2</t>
        </is>
      </c>
      <c r="C13" s="7" t="inlineStr">
        <is>
          <t>La cobertura 7 no registra superficie ni denominación.</t>
        </is>
      </c>
      <c r="D13" s="7" t="inlineStr">
        <is>
          <t>Confirmar si se fusionó con otra clase y declararlo.</t>
        </is>
      </c>
      <c r="E13" s="7" t="inlineStr">
        <is>
          <t>Pendiente</t>
        </is>
      </c>
    </row>
    <row r="14">
      <c r="A14" s="12" t="inlineStr">
        <is>
          <t>OE-06</t>
        </is>
      </c>
      <c r="B14" s="12" t="inlineStr">
        <is>
          <t>Informe E6, 9.6, 10.8 y 11</t>
        </is>
      </c>
      <c r="C14" s="12" t="inlineStr">
        <is>
          <t>Validación ciega de 567 puntos y matriz de confusión no ejecutadas; el plan v2.0 comprometió exactitud global ≥ 85 %.</t>
        </is>
      </c>
      <c r="D14" s="12" t="inlineStr">
        <is>
          <t>Ejecutar la validación o declararla formalmente como vacío aceptado por SESDI.</t>
        </is>
      </c>
      <c r="E14" s="12" t="inlineStr">
        <is>
          <t>Pendiente</t>
        </is>
      </c>
    </row>
    <row r="15">
      <c r="A15" s="7" t="inlineStr">
        <is>
          <t>OE-07</t>
        </is>
      </c>
      <c r="B15" s="7" t="inlineStr">
        <is>
          <t>Informe E6, Tabla 11</t>
        </is>
      </c>
      <c r="C15" s="7" t="inlineStr">
        <is>
          <t>El estrato de matorral andino bajo umbral tiene 10 de 20 parcelas requeridas (error 21.1 %).</t>
        </is>
      </c>
      <c r="D15" s="7" t="inlineStr">
        <is>
          <t>Densificar el estrato hasta cumplir el error de 15 %.</t>
        </is>
      </c>
      <c r="E15" s="7" t="inlineStr">
        <is>
          <t>Pendiente</t>
        </is>
      </c>
    </row>
    <row r="16">
      <c r="A16" s="12" t="inlineStr">
        <is>
          <t>OE-08</t>
        </is>
      </c>
      <c r="B16" s="12" t="inlineStr">
        <is>
          <t>Informe E6, 10.6</t>
        </is>
      </c>
      <c r="C16" s="12" t="inlineStr">
        <is>
          <t>La referencia del piso A está intervenida (16.7 % de suelo desnudo) y la de los pisos C–D tiene 16 parcelas con confianza baja.</t>
        </is>
      </c>
      <c r="D16" s="12" t="inlineStr">
        <is>
          <t>Incorporar el ACR Bosques Secos de Salitral–Huarmaca y densificar referencias de altura.</t>
        </is>
      </c>
      <c r="E16" s="12" t="inlineStr">
        <is>
          <t>Pendiente</t>
        </is>
      </c>
    </row>
    <row r="17">
      <c r="A17" s="7" t="inlineStr">
        <is>
          <t>OE-09</t>
        </is>
      </c>
      <c r="B17" s="7" t="inlineStr">
        <is>
          <t>Informe E6, 10.9; Plan Detallado</t>
        </is>
      </c>
      <c r="C17" s="7" t="inlineStr">
        <is>
          <t>Coexisten tres criterios de brecha: areal del E6 (8,341.82 ha), media del bloque de los volúmenes DT y media por ecosistema propuesta en el Plan Detallado.</t>
        </is>
      </c>
      <c r="D17" s="7" t="inlineStr">
        <is>
          <t>Adoptar por decisión de SESDI un criterio único para los 117 bloques.</t>
        </is>
      </c>
      <c r="E17" s="7" t="inlineStr">
        <is>
          <t>Pendiente</t>
        </is>
      </c>
    </row>
    <row r="18">
      <c r="A18" s="12" t="inlineStr">
        <is>
          <t>OE-10</t>
        </is>
      </c>
      <c r="B18" s="12" t="inlineStr">
        <is>
          <t>Informe E6, 10.3 y Nota Técnica</t>
        </is>
      </c>
      <c r="C18" s="12" t="inlineStr">
        <is>
          <t>Las coberturas 4 y 5 de fin de época seca incluyen bosque caducifolio sano sin hojas.</t>
        </is>
      </c>
      <c r="D18" s="12" t="inlineStr">
        <is>
          <t>Adquirir compuesto S2DR4 de época de lluvias (feb–abr 2027) y contrastar con referencias.</t>
        </is>
      </c>
      <c r="E18" s="12" t="inlineStr">
        <is>
          <t>Pendiente (estudio definitivo)</t>
        </is>
      </c>
    </row>
    <row r="19">
      <c r="A19" s="7" t="inlineStr">
        <is>
          <t>OE-11</t>
        </is>
      </c>
      <c r="B19" s="7" t="inlineStr">
        <is>
          <t>Informe E6, 10.5</t>
        </is>
      </c>
      <c r="C19" s="7" t="inlineStr">
        <is>
          <t>Cerca del 90 % de las categorías del D.S. N° 043-2006-AG y los atributos de sequía, raíz y palatabilidad figuran «Por determinar»; tres especies se citan como CR «según fuentes del proyecto».</t>
        </is>
      </c>
      <c r="D19" s="7" t="inlineStr">
        <is>
          <t>Completar con consulta Delphi y verificar contra el anexo oficial del decreto.</t>
        </is>
      </c>
      <c r="E19" s="7" t="inlineStr">
        <is>
          <t>Pendiente</t>
        </is>
      </c>
    </row>
    <row r="20">
      <c r="A20" s="12" t="inlineStr">
        <is>
          <t>OE-12</t>
        </is>
      </c>
      <c r="B20" s="12" t="inlineStr">
        <is>
          <t>Informe E6, 10.3</t>
        </is>
      </c>
      <c r="C20" s="12" t="inlineStr">
        <is>
          <t>Sesgo de +15.9 pp de la cobertura S2DR4 frente a F-DT por el herbazal seco.</t>
        </is>
      </c>
      <c r="D20" s="12" t="inlineStr">
        <is>
          <t>Declarar el sesgo y su efecto en el IC.</t>
        </is>
      </c>
      <c r="E20" s="12" t="inlineStr">
        <is>
          <t>Atendida: declarado en el informe</t>
        </is>
      </c>
    </row>
    <row r="21">
      <c r="A21" s="7" t="inlineStr">
        <is>
          <t>OE-13</t>
        </is>
      </c>
      <c r="B21" s="7" t="inlineStr">
        <is>
          <t>Plan v2.0, 12; hito H7b</t>
        </is>
      </c>
      <c r="C21" s="7" t="inlineStr">
        <is>
          <t>No se ha emitido el memorando de SESDI que acepte la adecuación metodológica.</t>
        </is>
      </c>
      <c r="D21" s="7" t="inlineStr">
        <is>
          <t>Emitir el memorando de conformidad de la adecuación.</t>
        </is>
      </c>
      <c r="E21" s="7" t="inlineStr">
        <is>
          <t>Pendiente</t>
        </is>
      </c>
    </row>
    <row r="22">
      <c r="A22" s="19" t="n"/>
      <c r="B22" s="19" t="n"/>
      <c r="C22" s="19" t="n"/>
      <c r="D22" s="19" t="n"/>
      <c r="E22" s="19" t="n"/>
    </row>
    <row r="23">
      <c r="A23" s="19" t="n"/>
      <c r="B23" s="19" t="n"/>
      <c r="C23" s="19" t="n"/>
      <c r="D23" s="19" t="n"/>
      <c r="E23" s="19" t="n"/>
    </row>
  </sheetData>
  <autoFilter ref="A8:E21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0" customWidth="1" min="3" max="3"/>
    <col width="50" customWidth="1" min="4" max="4"/>
    <col width="34" customWidth="1" min="5" max="5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MATRIZ DE OBSERVACIONES — ESTUDIO DE OFERTA DE MATERIAL VEGETAL (E6)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Revisión técnica del Especialista en Infraestructura Verde, en coordinación con el Especialista en Intervenciones Vegetativas de Uso Sostenible.</t>
        </is>
      </c>
    </row>
    <row r="8" ht="30" customHeight="1">
      <c r="A8" s="4" t="inlineStr">
        <is>
          <t>Código</t>
        </is>
      </c>
      <c r="B8" s="4" t="inlineStr">
        <is>
          <t>Documento / sección</t>
        </is>
      </c>
      <c r="C8" s="4" t="inlineStr">
        <is>
          <t>Observación</t>
        </is>
      </c>
      <c r="D8" s="4" t="inlineStr">
        <is>
          <t>Levantamiento requerido</t>
        </is>
      </c>
      <c r="E8" s="4" t="inlineStr">
        <is>
          <t>Estado al corte</t>
        </is>
      </c>
    </row>
    <row r="9">
      <c r="A9" s="7" t="inlineStr">
        <is>
          <t>OM-01</t>
        </is>
      </c>
      <c r="B9" s="7" t="inlineStr">
        <is>
          <t>Insumo OS 1147</t>
        </is>
      </c>
      <c r="C9" s="7" t="inlineStr">
        <is>
          <t>La demanda de plantones (2.94 M) se calculó solo para Lotes SUS en 83 bloques.</t>
        </is>
      </c>
      <c r="D9" s="7" t="inlineStr">
        <is>
          <t>Recalcular para los 117 bloques con las densidades, la mezcla y la reposición del E10 (hoja 16).</t>
        </is>
      </c>
      <c r="E9" s="7" t="inlineStr">
        <is>
          <t>Pendiente</t>
        </is>
      </c>
    </row>
    <row r="10">
      <c r="A10" s="12" t="inlineStr">
        <is>
          <t>OM-02</t>
        </is>
      </c>
      <c r="B10" s="12" t="inlineStr">
        <is>
          <t>Insumos de oferta</t>
        </is>
      </c>
      <c r="C10" s="12" t="inlineStr">
        <is>
          <t>Ninguno de los viveros de gabinete está en los 15 distritos; oferta confirmada de 6,000 plantones.</t>
        </is>
      </c>
      <c r="D10" s="12" t="inlineStr">
        <is>
          <t>Ampliar el directorio al ámbito.</t>
        </is>
      </c>
      <c r="E10" s="12" t="inlineStr">
        <is>
          <t>Atendida parcialmente: 12 iniciativas; una con capacidad declarada (21,000)</t>
        </is>
      </c>
    </row>
    <row r="11">
      <c r="A11" s="7" t="inlineStr">
        <is>
          <t>OM-03</t>
        </is>
      </c>
      <c r="B11" s="7" t="inlineStr">
        <is>
          <t>Insumo OS 2726</t>
        </is>
      </c>
      <c r="C11" s="7" t="inlineStr">
        <is>
          <t>Costo paramétrico de S/ 12 por plantón sin análisis de costos unitarios.</t>
        </is>
      </c>
      <c r="D11" s="7" t="inlineStr">
        <is>
          <t>Sustentar el costo por especie y tipo de vivero en el E10/E12.</t>
        </is>
      </c>
      <c r="E11" s="7" t="inlineStr">
        <is>
          <t>Pendiente</t>
        </is>
      </c>
    </row>
    <row r="12">
      <c r="A12" s="12" t="inlineStr">
        <is>
          <t>OM-04</t>
        </is>
      </c>
      <c r="B12" s="12" t="inlineStr">
        <is>
          <t>E6, fase 6</t>
        </is>
      </c>
      <c r="C12" s="12" t="inlineStr">
        <is>
          <t>El censo remoto de viveros (encuesta KoboToolbox y verificación en imágenes) no se ha ejecutado.</t>
        </is>
      </c>
      <c r="D12" s="12" t="inlineStr">
        <is>
          <t>Ejecutar el censo y calcular la oferta efectiva por especie.</t>
        </is>
      </c>
      <c r="E12" s="12" t="inlineStr">
        <is>
          <t>Pendiente</t>
        </is>
      </c>
    </row>
    <row r="13">
      <c r="A13" s="7" t="inlineStr">
        <is>
          <t>OM-05</t>
        </is>
      </c>
      <c r="B13" s="7" t="inlineStr">
        <is>
          <t>Plan Detallado</t>
        </is>
      </c>
      <c r="C13" s="7" t="inlineStr">
        <is>
          <t>Plaza de Especialista en Infraestructura Rural para la Producción (viveros) desierta.</t>
        </is>
      </c>
      <c r="D13" s="7" t="inlineStr">
        <is>
          <t>Reasignar formalmente las funciones antes del 23/10/2026.</t>
        </is>
      </c>
      <c r="E13" s="7" t="inlineStr">
        <is>
          <t>Pendiente</t>
        </is>
      </c>
    </row>
    <row r="14">
      <c r="A14" s="12" t="inlineStr">
        <is>
          <t>OM-06</t>
        </is>
      </c>
      <c r="B14" s="12" t="inlineStr">
        <is>
          <t>E6, 9.7</t>
        </is>
      </c>
      <c r="C14" s="12" t="inlineStr">
        <is>
          <t>No se ha elaborado el mapa de fuentes de semilla (árboles semilleros y rodales).</t>
        </is>
      </c>
      <c r="D14" s="12" t="inlineStr">
        <is>
          <t>Elaborarlo con viveristas, saberes ancestrales y registros de SERFOR.</t>
        </is>
      </c>
      <c r="E14" s="12" t="inlineStr">
        <is>
          <t>Pendiente</t>
        </is>
      </c>
    </row>
    <row r="15">
      <c r="A15" s="7" t="inlineStr">
        <is>
          <t>OM-07</t>
        </is>
      </c>
      <c r="B15" s="7" t="inlineStr">
        <is>
          <t>OS 1147 / E6 / E5</t>
        </is>
      </c>
      <c r="C15" s="7" t="inlineStr">
        <is>
          <t>La priorización de 35 arbóreas y 34 arbustivas (OS 1147) y la lista del E6 no están conciliadas con las especies de la matriz suelo–intervención del E5.</t>
        </is>
      </c>
      <c r="D15" s="7" t="inlineStr">
        <is>
          <t>Conciliar una lista única por piso, ecosistema y grupo de suelos.</t>
        </is>
      </c>
      <c r="E15" s="7" t="inlineStr">
        <is>
          <t>Pendiente</t>
        </is>
      </c>
    </row>
    <row r="16">
      <c r="A16" s="12" t="inlineStr">
        <is>
          <t>OM-08</t>
        </is>
      </c>
      <c r="B16" s="12" t="inlineStr">
        <is>
          <t>E6, Tabla 15</t>
        </is>
      </c>
      <c r="C16" s="12" t="inlineStr">
        <is>
          <t>El vivero del entorno de M22B1 produce pino radiata, especie exótica.</t>
        </is>
      </c>
      <c r="D16" s="12" t="inlineStr">
        <is>
          <t>Excluir de la oferta efectiva las especies no nativas o incompatibles.</t>
        </is>
      </c>
      <c r="E16" s="12" t="inlineStr">
        <is>
          <t>Criterio a aplicar en el cálculo</t>
        </is>
      </c>
    </row>
    <row r="17">
      <c r="A17" s="19" t="n"/>
      <c r="B17" s="19" t="n"/>
      <c r="C17" s="19" t="n"/>
      <c r="D17" s="19" t="n"/>
      <c r="E17" s="19" t="n"/>
    </row>
    <row r="18">
      <c r="A18" s="19" t="n"/>
      <c r="B18" s="19" t="n"/>
      <c r="C18" s="19" t="n"/>
      <c r="D18" s="19" t="n"/>
      <c r="E18" s="19" t="n"/>
    </row>
  </sheetData>
  <autoFilter ref="A8:E16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20" customWidth="1" min="3" max="3"/>
    <col width="60" customWidth="1" min="4" max="4"/>
    <col width="14" customWidth="1" min="5" max="5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REGISTRO DE MEDIOS VERIFICADORES DEL SEGUNDO ENTREGABLE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Elaboración propia.</t>
        </is>
      </c>
    </row>
    <row r="8" ht="30" customHeight="1">
      <c r="A8" s="4" t="inlineStr">
        <is>
          <t>Actividad</t>
        </is>
      </c>
      <c r="B8" s="4" t="inlineStr">
        <is>
          <t>Medio verificador</t>
        </is>
      </c>
      <c r="C8" s="4" t="inlineStr">
        <is>
          <t>Repositorio</t>
        </is>
      </c>
      <c r="D8" s="4" t="inlineStr">
        <is>
          <t>Identificador / enlace</t>
        </is>
      </c>
      <c r="E8" s="4" t="inlineStr">
        <is>
          <t>Fecha</t>
        </is>
      </c>
    </row>
    <row r="9">
      <c r="A9" s="7" t="inlineStr">
        <is>
          <t>b)</t>
        </is>
      </c>
      <c r="B9" s="7" t="inlineStr">
        <is>
          <t>Diagnóstico Huancabamba Versión 5</t>
        </is>
      </c>
      <c r="C9" s="7" t="inlineStr">
        <is>
          <t>Artefacto</t>
        </is>
      </c>
      <c r="D9" s="7" t="inlineStr">
        <is>
          <t>https://claude.ai/artifact/9828ogNDewfGQLgQDCq7kn</t>
        </is>
      </c>
      <c r="E9" s="7" t="inlineStr">
        <is>
          <t>17/10/2026</t>
        </is>
      </c>
    </row>
    <row r="10">
      <c r="A10" s="12" t="inlineStr">
        <is>
          <t>b)</t>
        </is>
      </c>
      <c r="B10" s="12" t="inlineStr">
        <is>
          <t>Diagnóstico Morropón Versión 5</t>
        </is>
      </c>
      <c r="C10" s="12" t="inlineStr">
        <is>
          <t>Artefacto</t>
        </is>
      </c>
      <c r="D10" s="12" t="inlineStr">
        <is>
          <t>https://claude.ai/artifact/Y5QRXCQRsXFvwFgYL1oZ64</t>
        </is>
      </c>
      <c r="E10" s="12" t="inlineStr">
        <is>
          <t>17/10/2026</t>
        </is>
      </c>
    </row>
    <row r="11">
      <c r="A11" s="7" t="inlineStr">
        <is>
          <t>b)</t>
        </is>
      </c>
      <c r="B11" s="7" t="inlineStr">
        <is>
          <t>Diagnóstico Ayabaca Versión 5 (contraste)</t>
        </is>
      </c>
      <c r="C11" s="7" t="inlineStr">
        <is>
          <t>Artefacto</t>
        </is>
      </c>
      <c r="D11" s="7" t="inlineStr">
        <is>
          <t>https://claude.ai/artifact/4kF1tRzj2FkuDgbcuTcBye</t>
        </is>
      </c>
      <c r="E11" s="7" t="inlineStr">
        <is>
          <t>17/10/2026</t>
        </is>
      </c>
    </row>
    <row r="12">
      <c r="A12" s="12" t="inlineStr">
        <is>
          <t>b)</t>
        </is>
      </c>
      <c r="B12" s="12" t="inlineStr">
        <is>
          <t>Índice de mapas de situación predial V6 v2</t>
        </is>
      </c>
      <c r="C12" s="12" t="inlineStr">
        <is>
          <t>Google Drive</t>
        </is>
      </c>
      <c r="D12" s="12" t="inlineStr">
        <is>
          <t>1jkNZ0sikCKQXZyUu4jlaiekNU82eQXE2</t>
        </is>
      </c>
      <c r="E12" s="12" t="inlineStr">
        <is>
          <t>11/10/2026</t>
        </is>
      </c>
    </row>
    <row r="13">
      <c r="A13" s="7" t="inlineStr">
        <is>
          <t>b)</t>
        </is>
      </c>
      <c r="B13" s="7" t="inlineStr">
        <is>
          <t>Lámina SP-042 (M4B4)</t>
        </is>
      </c>
      <c r="C13" s="7" t="inlineStr">
        <is>
          <t>Google Drive</t>
        </is>
      </c>
      <c r="D13" s="7" t="inlineStr">
        <is>
          <t>1g2ax3ZxRLfZvhH-OEcPyh97se6gHGIj-</t>
        </is>
      </c>
      <c r="E13" s="7" t="inlineStr">
        <is>
          <t>11/10/2026</t>
        </is>
      </c>
    </row>
    <row r="14">
      <c r="A14" s="12" t="inlineStr">
        <is>
          <t>b)</t>
        </is>
      </c>
      <c r="B14" s="12" t="inlineStr">
        <is>
          <t>Lámina SP-091 (bloque 87)</t>
        </is>
      </c>
      <c r="C14" s="12" t="inlineStr">
        <is>
          <t>Google Drive</t>
        </is>
      </c>
      <c r="D14" s="12" t="inlineStr">
        <is>
          <t>1eVz0dnA5gcYFZDWue7DQS6tWtLlxhyvJ</t>
        </is>
      </c>
      <c r="E14" s="12" t="inlineStr">
        <is>
          <t>11/10/2026</t>
        </is>
      </c>
    </row>
    <row r="15">
      <c r="A15" s="7" t="inlineStr">
        <is>
          <t>b)</t>
        </is>
      </c>
      <c r="B15" s="7" t="inlineStr">
        <is>
          <t>Informe E2 Vol. I Morropón (B1)</t>
        </is>
      </c>
      <c r="C15" s="7" t="inlineStr">
        <is>
          <t>Google Drive</t>
        </is>
      </c>
      <c r="D15" s="7" t="inlineStr">
        <is>
          <t>1AnXV3tTvQphvFLGGW4AVWwhRGRp0aJbv</t>
        </is>
      </c>
      <c r="E15" s="7" t="inlineStr">
        <is>
          <t>10/10/2026</t>
        </is>
      </c>
    </row>
    <row r="16">
      <c r="A16" s="12" t="inlineStr">
        <is>
          <t>b)</t>
        </is>
      </c>
      <c r="B16" s="12" t="inlineStr">
        <is>
          <t>Informe E2 Vol. II Huancabamba (B1)</t>
        </is>
      </c>
      <c r="C16" s="12" t="inlineStr">
        <is>
          <t>Google Drive</t>
        </is>
      </c>
      <c r="D16" s="12" t="inlineStr">
        <is>
          <t>1DY7r3RBZy5lYEX6DkTakAaO3Pxu9oKt2</t>
        </is>
      </c>
      <c r="E16" s="12" t="inlineStr">
        <is>
          <t>10/10/2026</t>
        </is>
      </c>
    </row>
    <row r="17">
      <c r="A17" s="7" t="inlineStr">
        <is>
          <t>b)</t>
        </is>
      </c>
      <c r="B17" s="7" t="inlineStr">
        <is>
          <t>Matrices E2 (B1)</t>
        </is>
      </c>
      <c r="C17" s="7" t="inlineStr">
        <is>
          <t>Google Drive</t>
        </is>
      </c>
      <c r="D17" s="7" t="inlineStr">
        <is>
          <t>11-tKOKJYgPF-uGGF7nRkWuxR5kjfJ6Xg</t>
        </is>
      </c>
      <c r="E17" s="7" t="inlineStr">
        <is>
          <t>10/10/2026</t>
        </is>
      </c>
    </row>
    <row r="18">
      <c r="A18" s="12" t="inlineStr">
        <is>
          <t>b)</t>
        </is>
      </c>
      <c r="B18" s="12" t="inlineStr">
        <is>
          <t>Mapas y Excel de bloques V6 (ecosistemas, área de influencia)</t>
        </is>
      </c>
      <c r="C18" s="12" t="inlineStr">
        <is>
          <t>Repositorio IN Piura</t>
        </is>
      </c>
      <c r="D18" s="12" t="inlineStr">
        <is>
          <t>mapas/salidas; commits 0163a3a, 632ee02, 9a9633c, 5af14b9, 2bd1bae, 77a0266</t>
        </is>
      </c>
      <c r="E18" s="12" t="inlineStr">
        <is>
          <t>04–05/10/2026</t>
        </is>
      </c>
    </row>
    <row r="19">
      <c r="A19" s="7" t="inlineStr">
        <is>
          <t>b)</t>
        </is>
      </c>
      <c r="B19" s="7" t="inlineStr">
        <is>
          <t>Módulo de liberación de áreas y catálogo V6</t>
        </is>
      </c>
      <c r="C19" s="7" t="inlineStr">
        <is>
          <t>Repositorio IN Piura</t>
        </is>
      </c>
      <c r="D19" s="7" t="inlineStr">
        <is>
          <t>commits 042679b, 9a4d846, b3d9dcf, db4d49e, 33ae71e, ae1f754</t>
        </is>
      </c>
      <c r="E19" s="7" t="inlineStr">
        <is>
          <t>27/09–06/10/2026</t>
        </is>
      </c>
    </row>
    <row r="20">
      <c r="A20" s="12" t="inlineStr">
        <is>
          <t>b)</t>
        </is>
      </c>
      <c r="B20" s="12" t="inlineStr">
        <is>
          <t>Diagnóstico social: F-DS-01 y tenencia por bloque</t>
        </is>
      </c>
      <c r="C20" s="12" t="inlineStr">
        <is>
          <t>Repositorio IN Piura</t>
        </is>
      </c>
      <c r="D20" s="12" t="inlineStr">
        <is>
          <t>commits bfae1c9, d71f8ec, 39a9baf, 656d083, e50264a, ed3d260, 2b76973</t>
        </is>
      </c>
      <c r="E20" s="12" t="inlineStr">
        <is>
          <t>05–08/10/2026</t>
        </is>
      </c>
    </row>
    <row r="21">
      <c r="A21" s="7" t="inlineStr">
        <is>
          <t>c)</t>
        </is>
      </c>
      <c r="B21" s="7" t="inlineStr">
        <is>
          <t>Informe de Avance – Fase de Campo (PDF)</t>
        </is>
      </c>
      <c r="C21" s="7" t="inlineStr">
        <is>
          <t>Google Drive</t>
        </is>
      </c>
      <c r="D21" s="7" t="inlineStr">
        <is>
          <t>1iWNiXKXVTf5XYVXS0RHFaJBZYSO5iqnE</t>
        </is>
      </c>
      <c r="E21" s="7" t="inlineStr">
        <is>
          <t>27/09/2026</t>
        </is>
      </c>
    </row>
    <row r="22">
      <c r="A22" s="12" t="inlineStr">
        <is>
          <t>c)</t>
        </is>
      </c>
      <c r="B22" s="12" t="inlineStr">
        <is>
          <t>Informe de Avance – Fase de Campo (Word)</t>
        </is>
      </c>
      <c r="C22" s="12" t="inlineStr">
        <is>
          <t>Google Drive</t>
        </is>
      </c>
      <c r="D22" s="12" t="inlineStr">
        <is>
          <t>1B5Z7G-scRsjtE7hpchibTXC9_qWg2x9s</t>
        </is>
      </c>
      <c r="E22" s="12" t="inlineStr">
        <is>
          <t>27/09/2026</t>
        </is>
      </c>
    </row>
    <row r="23">
      <c r="A23" s="7" t="inlineStr">
        <is>
          <t>c)</t>
        </is>
      </c>
      <c r="B23" s="7" t="inlineStr">
        <is>
          <t>Carpeta «Levantamiento de suelos_ANIN» (consultora)</t>
        </is>
      </c>
      <c r="C23" s="7" t="inlineStr">
        <is>
          <t>Google Drive</t>
        </is>
      </c>
      <c r="D23" s="7" t="inlineStr">
        <is>
          <t>1COyqfGePNgQUa9ioCOFDW_sM5nNu7mRf</t>
        </is>
      </c>
      <c r="E23" s="7" t="inlineStr">
        <is>
          <t>10/09/2026</t>
        </is>
      </c>
    </row>
    <row r="24">
      <c r="A24" s="12" t="inlineStr">
        <is>
          <t>c)</t>
        </is>
      </c>
      <c r="B24" s="12" t="inlineStr">
        <is>
          <t>TdR del Estudio de Suelos</t>
        </is>
      </c>
      <c r="C24" s="12" t="inlineStr">
        <is>
          <t>Google Drive</t>
        </is>
      </c>
      <c r="D24" s="12" t="inlineStr">
        <is>
          <t>1VFZfzJdX0_Ow_gfsMoLvKfwIvkoUe8Hr</t>
        </is>
      </c>
      <c r="E24" s="12" t="inlineStr">
        <is>
          <t>27/09/2026</t>
        </is>
      </c>
    </row>
    <row r="25">
      <c r="A25" s="7" t="inlineStr">
        <is>
          <t>c), d)</t>
        </is>
      </c>
      <c r="B25" s="7" t="inlineStr">
        <is>
          <t>Tablero de avance del Perfil al 03/10/2026</t>
        </is>
      </c>
      <c r="C25" s="7" t="inlineStr">
        <is>
          <t>Google Drive</t>
        </is>
      </c>
      <c r="D25" s="7" t="inlineStr">
        <is>
          <t>1wRdIvYH8ni8kbj3XsDKa0cgrgSIdVWn6</t>
        </is>
      </c>
      <c r="E25" s="7" t="inlineStr">
        <is>
          <t>03/10/2026</t>
        </is>
      </c>
    </row>
    <row r="26">
      <c r="A26" s="12" t="inlineStr">
        <is>
          <t>c), d)</t>
        </is>
      </c>
      <c r="B26" s="12" t="inlineStr">
        <is>
          <t>Plan de Trabajo Detallado, Actualización N° 02</t>
        </is>
      </c>
      <c r="C26" s="12" t="inlineStr">
        <is>
          <t>Google Drive</t>
        </is>
      </c>
      <c r="D26" s="12" t="inlineStr">
        <is>
          <t>1QkhMG4cWkPFAyhxOH8qtaWG2YVCCJsGy</t>
        </is>
      </c>
      <c r="E26" s="12" t="inlineStr">
        <is>
          <t>16–17/10/2026</t>
        </is>
      </c>
    </row>
    <row r="27">
      <c r="A27" s="7" t="inlineStr">
        <is>
          <t>c), d)</t>
        </is>
      </c>
      <c r="B27" s="7" t="inlineStr">
        <is>
          <t>Matrices del Plan de Trabajo (presupuesto ajustado)</t>
        </is>
      </c>
      <c r="C27" s="7" t="inlineStr">
        <is>
          <t>Google Drive</t>
        </is>
      </c>
      <c r="D27" s="7" t="inlineStr">
        <is>
          <t>1EF3u3btVKiK2DcUKrHYcJZv-4co_arCc</t>
        </is>
      </c>
      <c r="E27" s="7" t="inlineStr">
        <is>
          <t>16/10/2026</t>
        </is>
      </c>
    </row>
    <row r="28">
      <c r="A28" s="12" t="inlineStr">
        <is>
          <t>d)</t>
        </is>
      </c>
      <c r="B28" s="12" t="inlineStr">
        <is>
          <t>E6 v2.0 «In house» (original)</t>
        </is>
      </c>
      <c r="C28" s="12" t="inlineStr">
        <is>
          <t>Google Drive</t>
        </is>
      </c>
      <c r="D28" s="12" t="inlineStr">
        <is>
          <t>1B3QsYMkodQVnK5ZwQU-7BI0t9Yn6xmoR</t>
        </is>
      </c>
      <c r="E28" s="12" t="inlineStr">
        <is>
          <t>08/10/2026</t>
        </is>
      </c>
    </row>
    <row r="29">
      <c r="A29" s="7" t="inlineStr">
        <is>
          <t>d)</t>
        </is>
      </c>
      <c r="B29" s="7" t="inlineStr">
        <is>
          <t>E6 v2.0 «In house» (revisión hscm, Word)</t>
        </is>
      </c>
      <c r="C29" s="7" t="inlineStr">
        <is>
          <t>Google Drive</t>
        </is>
      </c>
      <c r="D29" s="7" t="inlineStr">
        <is>
          <t>1rxdf63E-TOJpUEUWWazdkth6WjdwU4HY</t>
        </is>
      </c>
      <c r="E29" s="7" t="inlineStr">
        <is>
          <t>08/10/2026</t>
        </is>
      </c>
    </row>
    <row r="30">
      <c r="A30" s="12" t="inlineStr">
        <is>
          <t>d)</t>
        </is>
      </c>
      <c r="B30" s="12" t="inlineStr">
        <is>
          <t>E6 v2.0 «In house» (revisión hscm, PDF)</t>
        </is>
      </c>
      <c r="C30" s="12" t="inlineStr">
        <is>
          <t>Google Drive</t>
        </is>
      </c>
      <c r="D30" s="12" t="inlineStr">
        <is>
          <t>1lbr4-I5-OH8Nqd4hBccIEizEy3H-rV7V</t>
        </is>
      </c>
      <c r="E30" s="12" t="inlineStr">
        <is>
          <t>08/10/2026</t>
        </is>
      </c>
    </row>
    <row r="31">
      <c r="A31" s="7" t="inlineStr">
        <is>
          <t>d)</t>
        </is>
      </c>
      <c r="B31" s="7" t="inlineStr">
        <is>
          <t>Nota Técnica N° 002-2026 (original)</t>
        </is>
      </c>
      <c r="C31" s="7" t="inlineStr">
        <is>
          <t>Google Drive</t>
        </is>
      </c>
      <c r="D31" s="7" t="inlineStr">
        <is>
          <t>1EZk6-sdLsbFfkiuI4jma4IxlTVsTSXyT</t>
        </is>
      </c>
      <c r="E31" s="7" t="inlineStr">
        <is>
          <t>13/10/2026</t>
        </is>
      </c>
    </row>
    <row r="32">
      <c r="A32" s="12" t="inlineStr">
        <is>
          <t>d)</t>
        </is>
      </c>
      <c r="B32" s="12" t="inlineStr">
        <is>
          <t>Nota Técnica N° 002-2026 (revisada, Word / PDF)</t>
        </is>
      </c>
      <c r="C32" s="12" t="inlineStr">
        <is>
          <t>Google Drive</t>
        </is>
      </c>
      <c r="D32" s="12" t="inlineStr">
        <is>
          <t>137Syk2NZPG9bTZ8rwrxtpTmjbzOtLhTy / 17Vt9Z1NBZPTGF933r4jhqFNu0N7MP-nR</t>
        </is>
      </c>
      <c r="E32" s="12" t="inlineStr">
        <is>
          <t>14/10/2026</t>
        </is>
      </c>
    </row>
    <row r="33">
      <c r="A33" s="7" t="inlineStr">
        <is>
          <t>d)</t>
        </is>
      </c>
      <c r="B33" s="7" t="inlineStr">
        <is>
          <t>Informe E6 – versión para revisión de SESDI</t>
        </is>
      </c>
      <c r="C33" s="7" t="inlineStr">
        <is>
          <t>Google Drive</t>
        </is>
      </c>
      <c r="D33" s="7" t="inlineStr">
        <is>
          <t>1NfYjSV3QXI3uA4eHsMNQNTw9vdY5RdDA</t>
        </is>
      </c>
      <c r="E33" s="7" t="inlineStr">
        <is>
          <t>15/10/2026</t>
        </is>
      </c>
    </row>
    <row r="34">
      <c r="A34" s="12" t="inlineStr">
        <is>
          <t>d)</t>
        </is>
      </c>
      <c r="B34" s="12" t="inlineStr">
        <is>
          <t>Matrices del diagnóstico del ecosistema (E6)</t>
        </is>
      </c>
      <c r="C34" s="12" t="inlineStr">
        <is>
          <t>Google Drive</t>
        </is>
      </c>
      <c r="D34" s="12" t="inlineStr">
        <is>
          <t>1Uie1il6FeHI4SD8QhKXsfDof7cm4NF8J</t>
        </is>
      </c>
      <c r="E34" s="12" t="inlineStr">
        <is>
          <t>15/10/2026</t>
        </is>
      </c>
    </row>
    <row r="35">
      <c r="A35" s="7" t="inlineStr">
        <is>
          <t>d)</t>
        </is>
      </c>
      <c r="B35" s="7" t="inlineStr">
        <is>
          <t>Fuentes semilleras de los Bosques Secos (referencia)</t>
        </is>
      </c>
      <c r="C35" s="7" t="inlineStr">
        <is>
          <t>Google Drive</t>
        </is>
      </c>
      <c r="D35" s="7" t="inlineStr">
        <is>
          <t>1hS8QlbTu_Ks05061BV4FAbAqbfUpikzy</t>
        </is>
      </c>
      <c r="E35" s="7" t="inlineStr">
        <is>
          <t>—</t>
        </is>
      </c>
    </row>
    <row r="36">
      <c r="A36" s="19" t="n"/>
      <c r="B36" s="19" t="n"/>
      <c r="C36" s="19" t="n"/>
      <c r="D36" s="19" t="n"/>
      <c r="E36" s="19" t="n"/>
    </row>
    <row r="37">
      <c r="A37" s="19" t="n"/>
      <c r="B37" s="19" t="n"/>
      <c r="C37" s="19" t="n"/>
      <c r="D37" s="19" t="n"/>
      <c r="E37" s="19" t="n"/>
    </row>
  </sheetData>
  <autoFilter ref="A8:E35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NOTAS Y ADVERTENCIAS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7">
      <c r="A7" s="23" t="inlineStr">
        <is>
          <t>Regla de dato: ningún valor ha sido estimado, interpolado ni transferido entre bloques; los vacíos se consignan como celda vacía, «s/d» o «Pendiente».</t>
        </is>
      </c>
    </row>
    <row r="8">
      <c r="A8" s="23" t="inlineStr">
        <is>
          <t>Superficies en hectáreas calculadas en UTM WGS 84 Zona 17S (EPSG:32717); centroides validados (Este 450,000–750,000 m; Norte 9,300,000–9,600,000 m).</t>
        </is>
      </c>
    </row>
    <row r="9">
      <c r="A9" s="23" t="inlineStr">
        <is>
          <t>Brecha: coexisten el criterio de media del bloque (MSAVI &lt; 0.4976) y el criterio areal del E6; no son sumables entre sí.</t>
        </is>
      </c>
    </row>
    <row r="10">
      <c r="A10" s="23" t="inlineStr">
        <is>
          <t>Situación predial de gabinete: superficie sin registro en GEORURAL y COFOPRI se asume Tierras del Estado y/o posesionarios; requiere verificación de campo y actas.</t>
        </is>
      </c>
    </row>
    <row r="11">
      <c r="A11" s="23" t="inlineStr">
        <is>
          <t>Los totales de cada hoja se calculan con fórmulas (=SUM, =COUNTA) sobre las filas de la tabla.</t>
        </is>
      </c>
    </row>
    <row r="12">
      <c r="A12" s="23" t="inlineStr">
        <is>
          <t>Las observaciones al Estudio de Suelos y al E6 se levantan en los entregables indicados; su estado corresponde al corte del Segundo Entregable.</t>
        </is>
      </c>
    </row>
  </sheetData>
  <mergeCells count="5">
    <mergeCell ref="A4"/>
    <mergeCell ref="A3"/>
    <mergeCell ref="A2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2026-10-17T19:04:26Z</dcterms:created>
  <dcterms:modified xmlns:dcterms="http://purl.org/dc/terms/" xmlns:xsi="http://www.w3.org/2001/XMLSchema-instance" xsi:type="dcterms:W3CDTF">2026-10-17T19:04:26Z</dcterms:modified>
</cp:coreProperties>
</file>