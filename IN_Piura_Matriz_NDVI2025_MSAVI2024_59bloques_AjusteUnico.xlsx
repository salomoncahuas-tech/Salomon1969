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1_Matriz_NDVI_MSAVI" sheetId="1" state="visible" r:id="rId3"/>
    <sheet name="02_Sintesis_Tipologia" sheetId="2" state="visible" r:id="rId4"/>
    <sheet name="03_Focalizacion_por_distrito" sheetId="3" state="visible" r:id="rId5"/>
    <sheet name="04_Metodologia_y_control" sheetId="4" state="visible" r:id="rId6"/>
    <sheet name="05_Pareo_clases_MSAVI"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<sst xmlns="http://schemas.openxmlformats.org/spreadsheetml/2006/main" count="669" uniqueCount="191">
  <si>
    <t xml:space="preserve">AUTORIDAD NACIONAL DE INFRAESTRUCTURA — ANIN</t>
  </si>
  <si>
    <t xml:space="preserve">DIRECCIÓN DE INTERVENCIONES MULTISECTORIALES Y DE EMERGENCIA — DIME  |  SUBDIRECCIÓN DE ESTUDIOS DE INVERSIÓN — SESDI</t>
  </si>
  <si>
    <t xml:space="preserve">PROYECTO IN PIURA · CUI 2669244 — LECTURA INTEGRADA DE ÍNDICES DE VEGETACIÓN</t>
  </si>
  <si>
    <t xml:space="preserve">Matriz pareada NDVI mediana 2025 (Sentinel-2) × MSAVI 2024 por bloque preliminar de intervención · Extracción de ambos índices bajo un único ajuste de clasificación · Coordenadas UTM WGS84 Zona 17S</t>
  </si>
  <si>
    <t xml:space="preserve">Código bloque</t>
  </si>
  <si>
    <t xml:space="preserve">Microcuenca</t>
  </si>
  <si>
    <t xml:space="preserve">Distrito</t>
  </si>
  <si>
    <t xml:space="preserve">Provincia</t>
  </si>
  <si>
    <t xml:space="preserve">Centro poblado ref.</t>
  </si>
  <si>
    <t xml:space="preserve">Área (ha)</t>
  </si>
  <si>
    <t xml:space="preserve">MSAVI medio 2024</t>
  </si>
  <si>
    <t xml:space="preserve">NDVI — Clase no vegetal (%)</t>
  </si>
  <si>
    <t xml:space="preserve">NDVI — Tierra desnuda (%)</t>
  </si>
  <si>
    <t xml:space="preserve">NDVI — Vegetación ligera (%)</t>
  </si>
  <si>
    <t xml:space="preserve">NDVI — Vegetación mediana (%)</t>
  </si>
  <si>
    <t xml:space="preserve">NDVI — Vegetación alta (%)</t>
  </si>
  <si>
    <t xml:space="preserve">Índice NDVI ponderado</t>
  </si>
  <si>
    <t xml:space="preserve">Superficie sin cobertura efectiva (ha)</t>
  </si>
  <si>
    <t xml:space="preserve">Superficie de restauración activa (ha)</t>
  </si>
  <si>
    <t xml:space="preserve">Superficie de enriquecimiento (ha)</t>
  </si>
  <si>
    <t xml:space="preserve">Superficie de conservación (ha)</t>
  </si>
  <si>
    <t xml:space="preserve">% superficie de restauración activa</t>
  </si>
  <si>
    <t xml:space="preserve">Divergencia NDVI–MSAVI (residual)</t>
  </si>
  <si>
    <t xml:space="preserve">Tipología de lectura integrada</t>
  </si>
  <si>
    <t xml:space="preserve">Control de calidad</t>
  </si>
  <si>
    <t xml:space="preserve">5</t>
  </si>
  <si>
    <t xml:space="preserve">C1077-Q9566</t>
  </si>
  <si>
    <t xml:space="preserve">BUENOS AIRES</t>
  </si>
  <si>
    <t xml:space="preserve">MORROPON</t>
  </si>
  <si>
    <t xml:space="preserve">Sin observaciones</t>
  </si>
  <si>
    <t xml:space="preserve">M18B1</t>
  </si>
  <si>
    <t xml:space="preserve">C1077-Q9579</t>
  </si>
  <si>
    <t xml:space="preserve">M1B1</t>
  </si>
  <si>
    <t xml:space="preserve">C1077-Q9580</t>
  </si>
  <si>
    <t xml:space="preserve">M6B10</t>
  </si>
  <si>
    <t xml:space="preserve">M6B2-1</t>
  </si>
  <si>
    <t xml:space="preserve">M6B2-2</t>
  </si>
  <si>
    <t xml:space="preserve">M6B2-3</t>
  </si>
  <si>
    <t xml:space="preserve">Lámina con bloque colindante en el marco</t>
  </si>
  <si>
    <t xml:space="preserve">57</t>
  </si>
  <si>
    <t xml:space="preserve">C1086-Q9576</t>
  </si>
  <si>
    <t xml:space="preserve">CHALACO</t>
  </si>
  <si>
    <t xml:space="preserve">59</t>
  </si>
  <si>
    <t xml:space="preserve">C1086-Q9570</t>
  </si>
  <si>
    <t xml:space="preserve">2</t>
  </si>
  <si>
    <t xml:space="preserve">C1096-Q9558</t>
  </si>
  <si>
    <t xml:space="preserve">CHULUCANAS</t>
  </si>
  <si>
    <t xml:space="preserve">22</t>
  </si>
  <si>
    <t xml:space="preserve">C1096-Q9556</t>
  </si>
  <si>
    <t xml:space="preserve">M10B4</t>
  </si>
  <si>
    <t xml:space="preserve">C1096-Q9547</t>
  </si>
  <si>
    <t xml:space="preserve">M17B1</t>
  </si>
  <si>
    <t xml:space="preserve">M17B4</t>
  </si>
  <si>
    <t xml:space="preserve">M27B1</t>
  </si>
  <si>
    <t xml:space="preserve">C1096-Q9557</t>
  </si>
  <si>
    <t xml:space="preserve">M9B1</t>
  </si>
  <si>
    <t xml:space="preserve">C1096-Q9545</t>
  </si>
  <si>
    <t xml:space="preserve">M19B2</t>
  </si>
  <si>
    <t xml:space="preserve">M32B3</t>
  </si>
  <si>
    <t xml:space="preserve">C1086-Q9569</t>
  </si>
  <si>
    <t xml:space="preserve">M18B3</t>
  </si>
  <si>
    <t xml:space="preserve">SALITRAL</t>
  </si>
  <si>
    <t xml:space="preserve">M2B1</t>
  </si>
  <si>
    <t xml:space="preserve">C1076-Q9584</t>
  </si>
  <si>
    <t xml:space="preserve">M2B5</t>
  </si>
  <si>
    <t xml:space="preserve">M3B1</t>
  </si>
  <si>
    <t xml:space="preserve">C1081-Q9582</t>
  </si>
  <si>
    <t xml:space="preserve">M3B9</t>
  </si>
  <si>
    <t xml:space="preserve">M7B1</t>
  </si>
  <si>
    <t xml:space="preserve">C1076-Q9581</t>
  </si>
  <si>
    <t xml:space="preserve">M7B2</t>
  </si>
  <si>
    <t xml:space="preserve">M7B3</t>
  </si>
  <si>
    <t xml:space="preserve">M7B6</t>
  </si>
  <si>
    <t xml:space="preserve">77</t>
  </si>
  <si>
    <t xml:space="preserve">C1081-Q9583</t>
  </si>
  <si>
    <t xml:space="preserve">SAN JUAN DE BIG</t>
  </si>
  <si>
    <t xml:space="preserve">BIGOTE</t>
  </si>
  <si>
    <t xml:space="preserve">83</t>
  </si>
  <si>
    <t xml:space="preserve">84</t>
  </si>
  <si>
    <t xml:space="preserve">85</t>
  </si>
  <si>
    <t xml:space="preserve">86</t>
  </si>
  <si>
    <t xml:space="preserve">87</t>
  </si>
  <si>
    <t xml:space="preserve">M11B3</t>
  </si>
  <si>
    <t xml:space="preserve">M3B3</t>
  </si>
  <si>
    <t xml:space="preserve">M3B5</t>
  </si>
  <si>
    <t xml:space="preserve">M3B6</t>
  </si>
  <si>
    <t xml:space="preserve">M3B7</t>
  </si>
  <si>
    <t xml:space="preserve">M3B8</t>
  </si>
  <si>
    <t xml:space="preserve">14</t>
  </si>
  <si>
    <t xml:space="preserve">SANTA CATALINA</t>
  </si>
  <si>
    <t xml:space="preserve">PALTASHACO</t>
  </si>
  <si>
    <t xml:space="preserve">42</t>
  </si>
  <si>
    <t xml:space="preserve">58</t>
  </si>
  <si>
    <t xml:space="preserve">M36B2</t>
  </si>
  <si>
    <t xml:space="preserve">11</t>
  </si>
  <si>
    <t xml:space="preserve">SANTO DOMINGO</t>
  </si>
  <si>
    <t xml:space="preserve">12</t>
  </si>
  <si>
    <t xml:space="preserve">13</t>
  </si>
  <si>
    <t xml:space="preserve">C1096-Q9564</t>
  </si>
  <si>
    <t xml:space="preserve">15</t>
  </si>
  <si>
    <t xml:space="preserve">17</t>
  </si>
  <si>
    <t xml:space="preserve">23</t>
  </si>
  <si>
    <t xml:space="preserve">78</t>
  </si>
  <si>
    <t xml:space="preserve">82</t>
  </si>
  <si>
    <t xml:space="preserve">M19B7</t>
  </si>
  <si>
    <t xml:space="preserve">M8B2</t>
  </si>
  <si>
    <t xml:space="preserve">49</t>
  </si>
  <si>
    <t xml:space="preserve">C1086-Q9575</t>
  </si>
  <si>
    <t xml:space="preserve">YAMANGO</t>
  </si>
  <si>
    <t xml:space="preserve">52</t>
  </si>
  <si>
    <t xml:space="preserve">55</t>
  </si>
  <si>
    <t xml:space="preserve">M28B2</t>
  </si>
  <si>
    <t xml:space="preserve">M28B3</t>
  </si>
  <si>
    <t xml:space="preserve">M28B4</t>
  </si>
  <si>
    <t xml:space="preserve">TOTAL / PROMEDIO PONDERADO</t>
  </si>
  <si>
    <t xml:space="preserve">SÍNTESIS POR TIPOLOGÍA DE LECTURA INTEGRADA NDVI–MSAVI</t>
  </si>
  <si>
    <t xml:space="preserve">Clasificación cruzada: MSAVI medio 2024 (umbral 0.3813, límite de clase de cobertura baja) × porcentaje NDVI de superficie sin cobertura efectiva (umbrales 60 % y 30 %)</t>
  </si>
  <si>
    <t xml:space="preserve">N° de bloques</t>
  </si>
  <si>
    <t xml:space="preserve">Superficie (ha)</t>
  </si>
  <si>
    <t xml:space="preserve">% de la superficie</t>
  </si>
  <si>
    <t xml:space="preserve">MSAVI medio ponderado</t>
  </si>
  <si>
    <t xml:space="preserve">Lectura técnica y consecuencia para la formulación</t>
  </si>
  <si>
    <t xml:space="preserve">A. Degradación convergente</t>
  </si>
  <si>
    <t xml:space="preserve">Ambos índices coinciden en cobertura baja. Diagnóstico de degradación robusto; prioridad máxima de restauración activa y de medidas de control de erosión asociadas.</t>
  </si>
  <si>
    <t xml:space="preserve">B. Degradación estructural enmascarada por verdor estacional</t>
  </si>
  <si>
    <t xml:space="preserve">MSAVI indica cobertura baja pero el NDVI proyecta verdor: respuesta del estrato herbáceo y del rebrote foliar del bosque caducifolio, no recuperación estructural del dosel. Usar MSAVI para tipificar el estado y NDVI solo para focalizar internamente.</t>
  </si>
  <si>
    <t xml:space="preserve">C. Cobertura media con núcleos degradados</t>
  </si>
  <si>
    <t xml:space="preserve">Bloques de cobertura media con parches internos sin cobertura efectiva. Estrategia mixta: restauración focalizada en los parches y conservación de la matriz como fuente semillera.</t>
  </si>
  <si>
    <t xml:space="preserve">D. Cobertura conservada convergente</t>
  </si>
  <si>
    <t xml:space="preserve">Cobertura efectiva alta y convergente. Candidatos a medidas de conservación, clausura y manejo antes que a plantación en macizo; verificar pertinencia frente al indicador de brecha.</t>
  </si>
  <si>
    <t xml:space="preserve">TOTAL</t>
  </si>
  <si>
    <t xml:space="preserve">FOCALIZACIÓN DE MEDIDAS DE INFRAESTRUCTURA NATURAL POR DISTRITO</t>
  </si>
  <si>
    <t xml:space="preserve">Superficie derivada de la clasificación NDVI mediana 2025 y jerarquizada con el MSAVI medio 2024 · Modalidad: plantación en macizo, nucleación, enriquecimiento y conservación</t>
  </si>
  <si>
    <t xml:space="preserve">Sin cobertura efectiva (ha)</t>
  </si>
  <si>
    <t xml:space="preserve">Restauración activa (ha)</t>
  </si>
  <si>
    <t xml:space="preserve">Enriquecimiento (ha)</t>
  </si>
  <si>
    <t xml:space="preserve">Conservación (ha)</t>
  </si>
  <si>
    <t xml:space="preserve">METODOLOGÍA, FUENTES Y CONTROL DE CALIDAD</t>
  </si>
  <si>
    <t xml:space="preserve">Trazabilidad del procesamiento — principio de no fabricación de datos</t>
  </si>
  <si>
    <t xml:space="preserve">Objeto</t>
  </si>
  <si>
    <t xml:space="preserve">Lectura pareada de los índices de vegetación NDVI mediana 2025 y MSAVI 2024 sobre los 59 bloques preliminares de intervención que cuentan con cartografía NDVI en el proyecto.</t>
  </si>
  <si>
    <t xml:space="preserve">Fuente NDVI</t>
  </si>
  <si>
    <t xml:space="preserve">Mapas PNG «NDVI_Bloque_[código].png» del Proyecto IN Piura, ráster NDVI mediana 2025 (Sentinel-2, Banda 1), leyenda de 5 clases: clase no vegetal, tierra desnuda, vegetación ligera, vegetación mediana y vegetación alta.</t>
  </si>
  <si>
    <t xml:space="preserve">Fuente MSAVI</t>
  </si>
  <si>
    <t xml:space="preserve">Distribución interna de clases extraída de los mapas PNG «MSAVI_[código].png» del proyecto, disponibles para los 59 bloques. El valor zonal medio de contraste procede del campo MSAVI_2024 del catálogo tbl_Bloques V6.</t>
  </si>
  <si>
    <t xml:space="preserve">Fuente de superficie</t>
  </si>
  <si>
    <t xml:space="preserve">Campo AREA_HA del catálogo tbl_Bloques V6.</t>
  </si>
  <si>
    <t xml:space="preserve">Método de extracción NDVI</t>
  </si>
  <si>
    <t xml:space="preserve">Ajuste único aplicado a los 118 mapas (59 NDVI y 59 MSAVI): clasificación de cada píxel contra los cinco colores de la rampa RdYlGn de la leyenda —(215,25,27), (253,174,97), (255,255,191), (166,217,106) y (26,150,65)— con tolerancia de ±30 unidades RGB por canal; para la clase 1 se añade una tolerancia estricta de ±12 en el canal azul, que separa el rojo del ráster (canal azul = 27) del rojo de la red vial (canal azul ≈ 0); dilatación de 5 iteraciones de la unión de máscaras para puentear cuadrícula, curvas de nivel y límite del bloque, etiquetado de componentes conexas y descarte de las menores a 20,000 píxeles, con lo que se eliminan recuadros de leyenda y etiquetas.</t>
  </si>
  <si>
    <t xml:space="preserve">Validación independiente</t>
  </si>
  <si>
    <t xml:space="preserve">El índice NDVI ponderado derivado de las imágenes correlaciona con el MSAVI medio 2024 del catálogo V6 con r de Pearson = 0.9522 (n = 59 bloques, 7,327.4 ha). El MSAVI reconstruido a partir de la distribución de clases reproduce el valor zonal del catálogo con r = 0.9983 y una diferencia absoluta media de 0.0072. Se trata de fuentes independientes: la concordancia respalda la validez de la extracción por paleta.</t>
  </si>
  <si>
    <t xml:space="preserve">NDVI: media ponderada de las cinco clases con pesos 0.02 / 0.10 / 0.30 / 0.55 / 0.80, punto medio nominal de cada clase; es un estadístico de comparación interna, no un valor NDVI zonal medido. MSAVI: media ponderada con pesos 0.1982 / 0.32315 / 0.43945 / 0.55575 / 0.7199; los tres centrales son el punto medio exacto de clase y los dos extremos se calibraron por mínimos cuadrados contra el catálogo V6, por tratarse de clases abiertas (≤ 0.2650 y &gt; 0.6139).</t>
  </si>
  <si>
    <t xml:space="preserve">Divergencia NDVI–MSAVI</t>
  </si>
  <si>
    <t xml:space="preserve">Residual del ajuste lineal del índice NDVI ponderado sobre el MSAVI medio. Valores positivos indican que el NDVI proyecta mayor vigor del esperado para el MSAVI del bloque (verdor estacional del estrato herbáceo o reflectancia de suelo claro); valores negativos, lo contrario.</t>
  </si>
  <si>
    <t xml:space="preserve">Modalidad de intervención</t>
  </si>
  <si>
    <t xml:space="preserve">Restauración activa = clases «tierra desnuda» y «vegetación ligera»; enriquecimiento = «vegetación mediana»; conservación y fuente semillera = «vegetación alta». Asignación preliminar de gabinete, sujeta a verificación de campo.</t>
  </si>
  <si>
    <t xml:space="preserve">Limitación 1</t>
  </si>
  <si>
    <t xml:space="preserve">Resuelta. La clase «clase no vegetal» del NDVI comparte color con la capa «red vial»; el filtro de canal azul del ajuste único la separa. Con el ajuste anterior esta clase representaba el 2.04 % del ámbito ponderado y con el ajuste único representa el 0.31 %, diferencia atribuible en su totalidad a simbología vial. Los bloques que aún superan el 3 % siguen señalados en la columna «Control de calidad».</t>
  </si>
  <si>
    <t xml:space="preserve">Limitación 2</t>
  </si>
  <si>
    <t xml:space="preserve">Cuando el marco cartográfico contiene bloques colindantes, la clasificación abarca el ráster visible de la lámina, al no disponerse del vectorial de bloques. El efecto queda acotado por el contraste contra el catálogo V6 (columna «Diferencia absoluta» de la hoja 05) y resulta menor porque los bloques contiguos comparten rango de cobertura. Los casos están señalados bloque por bloque. Se recomienda rehacer la estadística zonal en el SIG con el vectorial V6.</t>
  </si>
  <si>
    <t xml:space="preserve">Limitación 3</t>
  </si>
  <si>
    <t xml:space="preserve">La lectura espacial cualitativa por bloque (ubicación de los parches, control topográfico, gradiente interno) exige la lectura visual de cada par de mapas y no está incorporada en esta matriz. Se entrega por lotes, conforme al modelo del informe del bloque M6B2-1, secciones 3.2 a 3.4.</t>
  </si>
  <si>
    <t xml:space="preserve">Cobertura del pareo</t>
  </si>
  <si>
    <t xml:space="preserve">Pareo completo. Los 59 bloques cuentan con cartografía NDVI y MSAVI, y ambas distribuciones internas de clases están extraídas para los 59 bajo un único ajuste de clasificación, sin diferencias de parámetros entre lotes.</t>
  </si>
  <si>
    <t xml:space="preserve">Marco normativo</t>
  </si>
  <si>
    <t xml:space="preserve">Guía General para la IFE de PI (DGPMI-MEF, 2022), Anexo 2 GdR-CCC; RM 00213-2024-MINAM (indicador de brecha); MINAM (2022) Procedimiento de identificación de áreas degradadas; Qi et al. (1994) para el fundamento del MSAVI.</t>
  </si>
  <si>
    <t xml:space="preserve">Elaboración</t>
  </si>
  <si>
    <t xml:space="preserve">Ing. Héctor Salomón Cahuas Miller — Especialista Forestal, SESDI. Agosto de 2026.</t>
  </si>
  <si>
    <t xml:space="preserve">Limitación 4</t>
  </si>
  <si>
    <t xml:space="preserve">Trazabilidad del lote 4: en estas doce láminas la simbología de red vial se dibuja en un rojo casi idéntico al de la clase MSAVI ≤ 0.2650 y se separó por el canal azul (27 en el ráster, ~0 en la vía), tolerancia ±12. Los lotes 1 a 3 no aplicaron ese filtro. El contraste sobre los 47 bloques ya procesados indica que la diferencia entre ambos ajustes es menor (MAD frente al catálogo V6 de 0.0063 y 0.0086 respectivamente), por lo que las columnas son comparables; aun así conviene rehacer el conjunto con un único ajuste antes de citar la distribución interna en el estudio definitivo.</t>
  </si>
  <si>
    <t xml:space="preserve">Limitación 5</t>
  </si>
  <si>
    <t xml:space="preserve">Ocho de las doce láminas del lote 4 contienen, además del bloque rotulado, el ráster de un bloque colindante (señalado en la columna «Estado del insumo» de la hoja 05). Al no disponerse del vectorial de bloques, la clasificación abarca el ráster visible; el contraste contra el catálogo acota el efecto y resulta menor porque los bloques contiguos comparten rango de cobertura. Se recomienda rehacer la estadística zonal en el SIG con el vectorial V6.</t>
  </si>
  <si>
    <t xml:space="preserve">PAREO DE DISTRIBUCIONES INTERNAS DE CLASES — NDVI mediana 2025 × MSAVI 2024</t>
  </si>
  <si>
    <t xml:space="preserve">Clases MSAVI extraídas de los mapas PNG por clasificación de paleta bajo un único ajuste para los 59 bloques · Validación frente al catálogo V6: MAD 0.0072 · r 0.9983 · desvío máximo 0.0193</t>
  </si>
  <si>
    <t xml:space="preserve">MSAVI catálogo V6</t>
  </si>
  <si>
    <t xml:space="preserve">MSAVI reconstruido del mapa</t>
  </si>
  <si>
    <t xml:space="preserve">Diferencia absoluta</t>
  </si>
  <si>
    <t xml:space="preserve">MSAVI ≤0.2650 (%)</t>
  </si>
  <si>
    <t xml:space="preserve">MSAVI 0.2650–0.3813 (%)</t>
  </si>
  <si>
    <t xml:space="preserve">MSAVI 0.3813–0.4976 (%)</t>
  </si>
  <si>
    <t xml:space="preserve">MSAVI 0.4976–0.6139 (%)</t>
  </si>
  <si>
    <t xml:space="preserve">MSAVI &gt;0.6139 (%)</t>
  </si>
  <si>
    <t xml:space="preserve">MSAVI cobertura baja ≤0.3813 (%)</t>
  </si>
  <si>
    <t xml:space="preserve">NDVI sin cobertura efectiva (%)</t>
  </si>
  <si>
    <t xml:space="preserve">Brecha NDVI–MSAVI (puntos porcentuales)</t>
  </si>
  <si>
    <t xml:space="preserve">Superficie de cobertura baja según MSAVI (ha)</t>
  </si>
  <si>
    <t xml:space="preserve">Lectura pareada</t>
  </si>
  <si>
    <t xml:space="preserve">Estado del insumo</t>
  </si>
  <si>
    <t xml:space="preserve">Procesado (ajuste unificado)</t>
  </si>
  <si>
    <t xml:space="preserve">Procesado (ajuste unificado); lámina con bloque colindante</t>
  </si>
  <si>
    <t xml:space="preserve">TOTAL 59 BLOQUES (lotes 1 a 4)</t>
  </si>
</sst>
</file>

<file path=xl/styles.xml><?xml version="1.0" encoding="utf-8"?>
<styleSheet xmlns="http://schemas.openxmlformats.org/spreadsheetml/2006/main">
  <numFmts count="5">
    <numFmt numFmtId="164" formatCode="General"/>
    <numFmt numFmtId="165" formatCode="#,##0.00"/>
    <numFmt numFmtId="166" formatCode="0.0000"/>
    <numFmt numFmtId="167" formatCode="0.00"/>
    <numFmt numFmtId="168" formatCode="0.0%"/>
  </numFmts>
  <fonts count="12">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sz val="9"/>
      <color rgb="FFFFFFFF"/>
      <name val="Arial"/>
      <family val="0"/>
      <charset val="1"/>
    </font>
    <font>
      <b val="true"/>
      <sz val="11"/>
      <color rgb="FF1B4F72"/>
      <name val="Arial"/>
      <family val="0"/>
      <charset val="1"/>
    </font>
    <font>
      <sz val="9"/>
      <color rgb="FF333333"/>
      <name val="Arial"/>
      <family val="0"/>
      <charset val="1"/>
    </font>
    <font>
      <b val="true"/>
      <sz val="9"/>
      <color rgb="FFFFFFFF"/>
      <name val="Arial"/>
      <family val="0"/>
      <charset val="1"/>
    </font>
    <font>
      <sz val="9"/>
      <name val="Arial"/>
      <family val="0"/>
      <charset val="1"/>
    </font>
    <font>
      <b val="true"/>
      <sz val="9"/>
      <color rgb="FF1B4F72"/>
      <name val="Arial"/>
      <family val="0"/>
      <charset val="1"/>
    </font>
    <font>
      <b val="true"/>
      <sz val="9"/>
      <name val="Arial"/>
      <family val="0"/>
      <charset val="1"/>
    </font>
  </fonts>
  <fills count="5">
    <fill>
      <patternFill patternType="none"/>
    </fill>
    <fill>
      <patternFill patternType="gray125"/>
    </fill>
    <fill>
      <patternFill patternType="solid">
        <fgColor rgb="FF1B4F72"/>
        <bgColor rgb="FF333399"/>
      </patternFill>
    </fill>
    <fill>
      <patternFill patternType="solid">
        <fgColor rgb="FF2E86AB"/>
        <bgColor rgb="FF008080"/>
      </patternFill>
    </fill>
    <fill>
      <patternFill patternType="solid">
        <fgColor rgb="FFF2F6F9"/>
        <bgColor rgb="FFFFFFFF"/>
      </patternFill>
    </fill>
  </fills>
  <borders count="2">
    <border diagonalUp="false" diagonalDown="false">
      <left/>
      <right/>
      <top/>
      <bottom/>
      <diagonal/>
    </border>
    <border diagonalUp="false" diagonalDown="false">
      <left style="thin">
        <color rgb="FFB7C9D6"/>
      </left>
      <right style="thin">
        <color rgb="FFB7C9D6"/>
      </right>
      <top style="thin">
        <color rgb="FFB7C9D6"/>
      </top>
      <bottom style="thin">
        <color rgb="FFB7C9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4" fontId="7" fillId="4" borderId="0"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8" fontId="9"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5" fontId="9" fillId="4" borderId="1" xfId="0" applyFont="true" applyBorder="true" applyAlignment="true" applyProtection="false">
      <alignment horizontal="center" vertical="center" textRotation="0" wrapText="false" indent="0" shrinkToFit="false"/>
      <protection locked="true" hidden="false"/>
    </xf>
    <xf numFmtId="166" fontId="9" fillId="4" borderId="1" xfId="0" applyFont="true" applyBorder="true" applyAlignment="true" applyProtection="false">
      <alignment horizontal="center" vertical="center" textRotation="0" wrapText="false" indent="0" shrinkToFit="false"/>
      <protection locked="true" hidden="false"/>
    </xf>
    <xf numFmtId="167" fontId="9" fillId="4" borderId="1" xfId="0" applyFont="true" applyBorder="true" applyAlignment="true" applyProtection="false">
      <alignment horizontal="center" vertical="center" textRotation="0" wrapText="false" indent="0" shrinkToFit="false"/>
      <protection locked="true" hidden="false"/>
    </xf>
    <xf numFmtId="168" fontId="9"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false" indent="0" shrinkToFit="false"/>
      <protection locked="true" hidden="false"/>
    </xf>
    <xf numFmtId="165" fontId="8" fillId="3" borderId="1" xfId="0" applyFont="true" applyBorder="true" applyAlignment="true" applyProtection="false">
      <alignment horizontal="center" vertical="center" textRotation="0" wrapText="false" indent="0" shrinkToFit="false"/>
      <protection locked="true" hidden="false"/>
    </xf>
    <xf numFmtId="166" fontId="8" fillId="3" borderId="1" xfId="0" applyFont="true" applyBorder="true" applyAlignment="true" applyProtection="false">
      <alignment horizontal="center" vertical="center" textRotation="0" wrapText="false" indent="0" shrinkToFit="false"/>
      <protection locked="true" hidden="false"/>
    </xf>
    <xf numFmtId="167" fontId="8" fillId="3" borderId="1" xfId="0" applyFont="true" applyBorder="true" applyAlignment="true" applyProtection="false">
      <alignment horizontal="center" vertical="center" textRotation="0" wrapText="false" indent="0" shrinkToFit="false"/>
      <protection locked="true" hidden="false"/>
    </xf>
    <xf numFmtId="168" fontId="8" fillId="3"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left" vertical="center" textRotation="0" wrapText="false" indent="0" shrinkToFit="false"/>
      <protection locked="true" hidden="false"/>
    </xf>
    <xf numFmtId="168" fontId="9" fillId="0" borderId="1" xfId="0" applyFont="true" applyBorder="true" applyAlignment="true" applyProtection="false">
      <alignment horizontal="left" vertical="center" textRotation="0" wrapText="false" indent="0" shrinkToFit="false"/>
      <protection locked="true" hidden="false"/>
    </xf>
    <xf numFmtId="166" fontId="9" fillId="0"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5" fontId="9" fillId="4" borderId="1" xfId="0" applyFont="true" applyBorder="true" applyAlignment="true" applyProtection="false">
      <alignment horizontal="left" vertical="center" textRotation="0" wrapText="false" indent="0" shrinkToFit="false"/>
      <protection locked="true" hidden="false"/>
    </xf>
    <xf numFmtId="168" fontId="9" fillId="4" borderId="1" xfId="0" applyFont="true" applyBorder="true" applyAlignment="true" applyProtection="false">
      <alignment horizontal="left" vertical="center" textRotation="0" wrapText="false" indent="0" shrinkToFit="false"/>
      <protection locked="true" hidden="false"/>
    </xf>
    <xf numFmtId="166" fontId="9" fillId="4" borderId="1" xfId="0" applyFont="true" applyBorder="true" applyAlignment="true" applyProtection="false">
      <alignment horizontal="left" vertical="center" textRotation="0" wrapText="fals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9D6"/>
      <rgbColor rgb="FF808080"/>
      <rgbColor rgb="FF9999FF"/>
      <rgbColor rgb="FF993366"/>
      <rgbColor rgb="FFF2F6F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B4F72"/>
      <rgbColor rgb="FF2E86AB"/>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6" topLeftCell="F7" activePane="bottomRight" state="frozen"/>
      <selection pane="topLeft" activeCell="A1" activeCellId="0" sqref="A1"/>
      <selection pane="topRight" activeCell="F1" activeCellId="0" sqref="F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14"/>
    <col collapsed="false" customWidth="true" hidden="false" outlineLevel="0" max="3" min="3" style="1" width="16"/>
    <col collapsed="false" customWidth="true" hidden="false" outlineLevel="0" max="4" min="4" style="1" width="14"/>
    <col collapsed="false" customWidth="true" hidden="false" outlineLevel="0" max="5" min="5" style="1" width="16"/>
    <col collapsed="false" customWidth="true" hidden="false" outlineLevel="0" max="6" min="6" style="1" width="10"/>
    <col collapsed="false" customWidth="true" hidden="false" outlineLevel="0" max="9" min="7" style="1" width="11"/>
    <col collapsed="false" customWidth="true" hidden="false" outlineLevel="0" max="11" min="10" style="1" width="12"/>
    <col collapsed="false" customWidth="true" hidden="false" outlineLevel="0" max="13" min="12" style="1" width="11"/>
    <col collapsed="false" customWidth="true" hidden="false" outlineLevel="0" max="14" min="14" style="1" width="13"/>
    <col collapsed="false" customWidth="true" hidden="false" outlineLevel="0" max="15" min="15" style="1" width="14"/>
    <col collapsed="false" customWidth="true" hidden="false" outlineLevel="0" max="17" min="16" style="1" width="13"/>
    <col collapsed="false" customWidth="true" hidden="false" outlineLevel="0" max="19" min="18" style="1" width="12"/>
    <col collapsed="false" customWidth="true" hidden="false" outlineLevel="0" max="20" min="20" style="1" width="30"/>
    <col collapsed="false" customWidth="true" hidden="false" outlineLevel="0" max="21" min="21" style="1" width="26"/>
  </cols>
  <sheetData>
    <row r="1" customFormat="false" ht="18" hidden="false" customHeight="true" outlineLevel="0" collapsed="false">
      <c r="A1" s="2" t="s">
        <v>0</v>
      </c>
      <c r="B1" s="2"/>
      <c r="C1" s="2"/>
      <c r="D1" s="2"/>
      <c r="E1" s="2"/>
      <c r="F1" s="2"/>
      <c r="G1" s="2"/>
      <c r="H1" s="2"/>
      <c r="I1" s="2"/>
      <c r="J1" s="2"/>
      <c r="K1" s="2"/>
      <c r="L1" s="2"/>
      <c r="M1" s="2"/>
      <c r="N1" s="2"/>
      <c r="O1" s="2"/>
      <c r="P1" s="2"/>
      <c r="Q1" s="2"/>
      <c r="R1" s="2"/>
      <c r="S1" s="2"/>
      <c r="T1" s="2"/>
      <c r="U1" s="2"/>
    </row>
    <row r="2" customFormat="false" ht="18" hidden="false" customHeight="true" outlineLevel="0" collapsed="false">
      <c r="A2" s="3" t="s">
        <v>1</v>
      </c>
      <c r="B2" s="3"/>
      <c r="C2" s="3"/>
      <c r="D2" s="3"/>
      <c r="E2" s="3"/>
      <c r="F2" s="3"/>
      <c r="G2" s="3"/>
      <c r="H2" s="3"/>
      <c r="I2" s="3"/>
      <c r="J2" s="3"/>
      <c r="K2" s="3"/>
      <c r="L2" s="3"/>
      <c r="M2" s="3"/>
      <c r="N2" s="3"/>
      <c r="O2" s="3"/>
      <c r="P2" s="3"/>
      <c r="Q2" s="3"/>
      <c r="R2" s="3"/>
      <c r="S2" s="3"/>
      <c r="T2" s="3"/>
      <c r="U2" s="3"/>
    </row>
    <row r="3" customFormat="false" ht="18" hidden="false" customHeight="true" outlineLevel="0" collapsed="false">
      <c r="A3" s="4" t="s">
        <v>2</v>
      </c>
      <c r="B3" s="4"/>
      <c r="C3" s="4"/>
      <c r="D3" s="4"/>
      <c r="E3" s="4"/>
      <c r="F3" s="4"/>
      <c r="G3" s="4"/>
      <c r="H3" s="4"/>
      <c r="I3" s="4"/>
      <c r="J3" s="4"/>
      <c r="K3" s="4"/>
      <c r="L3" s="4"/>
      <c r="M3" s="4"/>
      <c r="N3" s="4"/>
      <c r="O3" s="4"/>
      <c r="P3" s="4"/>
      <c r="Q3" s="4"/>
      <c r="R3" s="4"/>
      <c r="S3" s="4"/>
      <c r="T3" s="4"/>
      <c r="U3" s="4"/>
    </row>
    <row r="4" customFormat="false" ht="18" hidden="false" customHeight="true" outlineLevel="0" collapsed="false">
      <c r="A4" s="5" t="s">
        <v>3</v>
      </c>
      <c r="B4" s="5"/>
      <c r="C4" s="5"/>
      <c r="D4" s="5"/>
      <c r="E4" s="5"/>
      <c r="F4" s="5"/>
      <c r="G4" s="5"/>
      <c r="H4" s="5"/>
      <c r="I4" s="5"/>
      <c r="J4" s="5"/>
      <c r="K4" s="5"/>
      <c r="L4" s="5"/>
      <c r="M4" s="5"/>
      <c r="N4" s="5"/>
      <c r="O4" s="5"/>
      <c r="P4" s="5"/>
      <c r="Q4" s="5"/>
      <c r="R4" s="5"/>
      <c r="S4" s="5"/>
      <c r="T4" s="5"/>
      <c r="U4" s="5"/>
    </row>
    <row r="6" customFormat="false" ht="42" hidden="false" customHeight="true" outlineLevel="0" collapsed="false">
      <c r="A6" s="6" t="s">
        <v>4</v>
      </c>
      <c r="B6" s="6" t="s">
        <v>5</v>
      </c>
      <c r="C6" s="6" t="s">
        <v>6</v>
      </c>
      <c r="D6" s="6" t="s">
        <v>7</v>
      </c>
      <c r="E6" s="6" t="s">
        <v>8</v>
      </c>
      <c r="F6" s="6" t="s">
        <v>9</v>
      </c>
      <c r="G6" s="6" t="s">
        <v>10</v>
      </c>
      <c r="H6" s="6" t="s">
        <v>11</v>
      </c>
      <c r="I6" s="6" t="s">
        <v>12</v>
      </c>
      <c r="J6" s="6" t="s">
        <v>13</v>
      </c>
      <c r="K6" s="6" t="s">
        <v>14</v>
      </c>
      <c r="L6" s="6" t="s">
        <v>15</v>
      </c>
      <c r="M6" s="6" t="s">
        <v>16</v>
      </c>
      <c r="N6" s="6" t="s">
        <v>17</v>
      </c>
      <c r="O6" s="6" t="s">
        <v>18</v>
      </c>
      <c r="P6" s="6" t="s">
        <v>19</v>
      </c>
      <c r="Q6" s="6" t="s">
        <v>20</v>
      </c>
      <c r="R6" s="6" t="s">
        <v>21</v>
      </c>
      <c r="S6" s="6" t="s">
        <v>22</v>
      </c>
      <c r="T6" s="6" t="s">
        <v>23</v>
      </c>
      <c r="U6" s="6" t="s">
        <v>24</v>
      </c>
    </row>
    <row r="7" customFormat="false" ht="21.75" hidden="false" customHeight="true" outlineLevel="0" collapsed="false">
      <c r="A7" s="7" t="s">
        <v>25</v>
      </c>
      <c r="B7" s="7" t="s">
        <v>26</v>
      </c>
      <c r="C7" s="7" t="s">
        <v>27</v>
      </c>
      <c r="D7" s="7" t="s">
        <v>28</v>
      </c>
      <c r="E7" s="7" t="s">
        <v>27</v>
      </c>
      <c r="F7" s="8" t="n">
        <v>295.726</v>
      </c>
      <c r="G7" s="9" t="n">
        <v>0.3394</v>
      </c>
      <c r="H7" s="10" t="n">
        <v>0.56</v>
      </c>
      <c r="I7" s="10" t="n">
        <v>1.59</v>
      </c>
      <c r="J7" s="10" t="n">
        <v>27.97</v>
      </c>
      <c r="K7" s="10" t="n">
        <v>65.94</v>
      </c>
      <c r="L7" s="10" t="n">
        <v>3.93</v>
      </c>
      <c r="M7" s="9" t="n">
        <f aca="false">(0.02*H7+0.1*I7+0.3*J7+0.55*K7+0.8*L7)/100</f>
        <v>0.479722</v>
      </c>
      <c r="N7" s="8" t="n">
        <f aca="false">$F7*H7/100</f>
        <v>1.6560656</v>
      </c>
      <c r="O7" s="8" t="n">
        <f aca="false">$F7*(I7+J7)/100</f>
        <v>87.4166056</v>
      </c>
      <c r="P7" s="8" t="n">
        <f aca="false">$F7*K7/100</f>
        <v>195.0017244</v>
      </c>
      <c r="Q7" s="8" t="n">
        <f aca="false">$F7*L7/100</f>
        <v>11.6220318</v>
      </c>
      <c r="R7" s="11" t="n">
        <f aca="false">(I7+J7)/100</f>
        <v>0.2956</v>
      </c>
      <c r="S7" s="9" t="n">
        <f aca="false">M7-(SLOPE($M$7:$M$65,$G$7:$G$65)*G7+INTERCEPT($M$7:$M$65,$G$7:$G$65))</f>
        <v>0.0756525464873837</v>
      </c>
      <c r="T7" s="12" t="str">
        <f aca="false">IF(G7&lt;=0.3813,IF((I7+J7)&gt;=60,"A. Degradación convergente","B. Degradación estructural enmascarada por verdor estacional"),IF((I7+J7)&gt;=30,"C. Cobertura media con núcleos degradados","D. Cobertura conservada convergente"))</f>
        <v>B. Degradación estructural enmascarada por verdor estacional</v>
      </c>
      <c r="U7" s="12" t="s">
        <v>29</v>
      </c>
    </row>
    <row r="8" customFormat="false" ht="21.75" hidden="false" customHeight="true" outlineLevel="0" collapsed="false">
      <c r="A8" s="13" t="s">
        <v>30</v>
      </c>
      <c r="B8" s="13" t="s">
        <v>31</v>
      </c>
      <c r="C8" s="13" t="s">
        <v>27</v>
      </c>
      <c r="D8" s="13" t="s">
        <v>28</v>
      </c>
      <c r="E8" s="13" t="s">
        <v>27</v>
      </c>
      <c r="F8" s="14" t="n">
        <v>160.36</v>
      </c>
      <c r="G8" s="15" t="n">
        <v>0.3343</v>
      </c>
      <c r="H8" s="16" t="n">
        <v>0.21</v>
      </c>
      <c r="I8" s="16" t="n">
        <v>0.72</v>
      </c>
      <c r="J8" s="16" t="n">
        <v>29.3</v>
      </c>
      <c r="K8" s="16" t="n">
        <v>68.5</v>
      </c>
      <c r="L8" s="16" t="n">
        <v>1.27</v>
      </c>
      <c r="M8" s="15" t="n">
        <f aca="false">(0.02*H8+0.1*I8+0.3*J8+0.55*K8+0.8*L8)/100</f>
        <v>0.475572</v>
      </c>
      <c r="N8" s="14" t="n">
        <f aca="false">$F8*H8/100</f>
        <v>0.336756</v>
      </c>
      <c r="O8" s="14" t="n">
        <f aca="false">$F8*(I8+J8)/100</f>
        <v>48.140072</v>
      </c>
      <c r="P8" s="14" t="n">
        <f aca="false">$F8*K8/100</f>
        <v>109.8466</v>
      </c>
      <c r="Q8" s="14" t="n">
        <f aca="false">$F8*L8/100</f>
        <v>2.036572</v>
      </c>
      <c r="R8" s="17" t="n">
        <f aca="false">(I8+J8)/100</f>
        <v>0.3002</v>
      </c>
      <c r="S8" s="15" t="n">
        <f aca="false">M8-(SLOPE($M$7:$M$65,$G$7:$G$65)*G8+INTERCEPT($M$7:$M$65,$G$7:$G$65))</f>
        <v>0.0776498538928526</v>
      </c>
      <c r="T8" s="18" t="str">
        <f aca="false">IF(G8&lt;=0.3813,IF((I8+J8)&gt;=60,"A. Degradación convergente","B. Degradación estructural enmascarada por verdor estacional"),IF((I8+J8)&gt;=30,"C. Cobertura media con núcleos degradados","D. Cobertura conservada convergente"))</f>
        <v>B. Degradación estructural enmascarada por verdor estacional</v>
      </c>
      <c r="U8" s="18" t="s">
        <v>29</v>
      </c>
    </row>
    <row r="9" customFormat="false" ht="15" hidden="false" customHeight="true" outlineLevel="0" collapsed="false">
      <c r="A9" s="7" t="s">
        <v>32</v>
      </c>
      <c r="B9" s="7" t="s">
        <v>33</v>
      </c>
      <c r="C9" s="7" t="s">
        <v>27</v>
      </c>
      <c r="D9" s="7" t="s">
        <v>28</v>
      </c>
      <c r="E9" s="7" t="s">
        <v>27</v>
      </c>
      <c r="F9" s="8" t="n">
        <v>188.797</v>
      </c>
      <c r="G9" s="9" t="n">
        <v>0.3193</v>
      </c>
      <c r="H9" s="10" t="n">
        <v>0</v>
      </c>
      <c r="I9" s="10" t="n">
        <v>0.68</v>
      </c>
      <c r="J9" s="10" t="n">
        <v>57.95</v>
      </c>
      <c r="K9" s="10" t="n">
        <v>40.87</v>
      </c>
      <c r="L9" s="10" t="n">
        <v>0.51</v>
      </c>
      <c r="M9" s="9" t="n">
        <f aca="false">(0.02*H9+0.1*I9+0.3*J9+0.55*K9+0.8*L9)/100</f>
        <v>0.403395</v>
      </c>
      <c r="N9" s="8" t="n">
        <f aca="false">$F9*H9/100</f>
        <v>0</v>
      </c>
      <c r="O9" s="8" t="n">
        <f aca="false">$F9*(I9+J9)/100</f>
        <v>110.6916811</v>
      </c>
      <c r="P9" s="8" t="n">
        <f aca="false">$F9*K9/100</f>
        <v>77.1613339</v>
      </c>
      <c r="Q9" s="8" t="n">
        <f aca="false">$F9*L9/100</f>
        <v>0.9628647</v>
      </c>
      <c r="R9" s="11" t="n">
        <f aca="false">(I9+J9)/100</f>
        <v>0.5863</v>
      </c>
      <c r="S9" s="9" t="n">
        <f aca="false">M9-(SLOPE($M$7:$M$65,$G$7:$G$65)*G9+INTERCEPT($M$7:$M$65,$G$7:$G$65))</f>
        <v>0.0235531697912906</v>
      </c>
      <c r="T9" s="12" t="str">
        <f aca="false">IF(G9&lt;=0.3813,IF((I9+J9)&gt;=60,"A. Degradación convergente","B. Degradación estructural enmascarada por verdor estacional"),IF((I9+J9)&gt;=30,"C. Cobertura media con núcleos degradados","D. Cobertura conservada convergente"))</f>
        <v>B. Degradación estructural enmascarada por verdor estacional</v>
      </c>
      <c r="U9" s="12" t="s">
        <v>29</v>
      </c>
    </row>
    <row r="10" customFormat="false" ht="15" hidden="false" customHeight="true" outlineLevel="0" collapsed="false">
      <c r="A10" s="13" t="s">
        <v>34</v>
      </c>
      <c r="B10" s="13" t="s">
        <v>26</v>
      </c>
      <c r="C10" s="13" t="s">
        <v>27</v>
      </c>
      <c r="D10" s="13" t="s">
        <v>28</v>
      </c>
      <c r="E10" s="13" t="s">
        <v>27</v>
      </c>
      <c r="F10" s="14" t="n">
        <v>249.89</v>
      </c>
      <c r="G10" s="15" t="n">
        <v>0.3099</v>
      </c>
      <c r="H10" s="16" t="n">
        <v>0</v>
      </c>
      <c r="I10" s="16" t="n">
        <v>20.07</v>
      </c>
      <c r="J10" s="16" t="n">
        <v>56.87</v>
      </c>
      <c r="K10" s="16" t="n">
        <v>23.01</v>
      </c>
      <c r="L10" s="16" t="n">
        <v>0.05</v>
      </c>
      <c r="M10" s="15" t="n">
        <f aca="false">(0.02*H10+0.1*I10+0.3*J10+0.55*K10+0.8*L10)/100</f>
        <v>0.317635</v>
      </c>
      <c r="N10" s="14" t="n">
        <f aca="false">$F10*H10/100</f>
        <v>0</v>
      </c>
      <c r="O10" s="14" t="n">
        <f aca="false">$F10*(I10+J10)/100</f>
        <v>192.265366</v>
      </c>
      <c r="P10" s="14" t="n">
        <f aca="false">$F10*K10/100</f>
        <v>57.499689</v>
      </c>
      <c r="Q10" s="14" t="n">
        <f aca="false">$F10*L10/100</f>
        <v>0.124945</v>
      </c>
      <c r="R10" s="17" t="n">
        <f aca="false">(I10+J10)/100</f>
        <v>0.7694</v>
      </c>
      <c r="S10" s="15" t="n">
        <f aca="false">M10-(SLOPE($M$7:$M$65,$G$7:$G$65)*G10+INTERCEPT($M$7:$M$65,$G$7:$G$65))</f>
        <v>-0.0508764989123549</v>
      </c>
      <c r="T10" s="18" t="str">
        <f aca="false">IF(G10&lt;=0.3813,IF((I10+J10)&gt;=60,"A. Degradación convergente","B. Degradación estructural enmascarada por verdor estacional"),IF((I10+J10)&gt;=30,"C. Cobertura media con núcleos degradados","D. Cobertura conservada convergente"))</f>
        <v>A. Degradación convergente</v>
      </c>
      <c r="U10" s="18" t="s">
        <v>29</v>
      </c>
    </row>
    <row r="11" customFormat="false" ht="15" hidden="false" customHeight="true" outlineLevel="0" collapsed="false">
      <c r="A11" s="7" t="s">
        <v>35</v>
      </c>
      <c r="B11" s="7" t="s">
        <v>26</v>
      </c>
      <c r="C11" s="7" t="s">
        <v>27</v>
      </c>
      <c r="D11" s="7" t="s">
        <v>28</v>
      </c>
      <c r="E11" s="7" t="s">
        <v>27</v>
      </c>
      <c r="F11" s="8" t="n">
        <v>514.359</v>
      </c>
      <c r="G11" s="9" t="n">
        <v>0.3381</v>
      </c>
      <c r="H11" s="10" t="n">
        <v>0</v>
      </c>
      <c r="I11" s="10" t="n">
        <v>0.63</v>
      </c>
      <c r="J11" s="10" t="n">
        <v>67.05</v>
      </c>
      <c r="K11" s="10" t="n">
        <v>31.93</v>
      </c>
      <c r="L11" s="10" t="n">
        <v>0.39</v>
      </c>
      <c r="M11" s="9" t="n">
        <f aca="false">(0.02*H11+0.1*I11+0.3*J11+0.55*K11+0.8*L11)/100</f>
        <v>0.380515</v>
      </c>
      <c r="N11" s="8" t="n">
        <f aca="false">$F11*H11/100</f>
        <v>0</v>
      </c>
      <c r="O11" s="8" t="n">
        <f aca="false">$F11*(I11+J11)/100</f>
        <v>348.1181712</v>
      </c>
      <c r="P11" s="8" t="n">
        <f aca="false">$F11*K11/100</f>
        <v>164.2348287</v>
      </c>
      <c r="Q11" s="8" t="n">
        <f aca="false">$F11*L11/100</f>
        <v>2.0060001</v>
      </c>
      <c r="R11" s="11" t="n">
        <f aca="false">(I11+J11)/100</f>
        <v>0.6768</v>
      </c>
      <c r="S11" s="9" t="n">
        <f aca="false">M11-(SLOPE($M$7:$M$65,$G$7:$G$65)*G11+INTERCEPT($M$7:$M$65,$G$7:$G$65))</f>
        <v>-0.0219874928014184</v>
      </c>
      <c r="T11" s="12" t="str">
        <f aca="false">IF(G11&lt;=0.3813,IF((I11+J11)&gt;=60,"A. Degradación convergente","B. Degradación estructural enmascarada por verdor estacional"),IF((I11+J11)&gt;=30,"C. Cobertura media con núcleos degradados","D. Cobertura conservada convergente"))</f>
        <v>A. Degradación convergente</v>
      </c>
      <c r="U11" s="12" t="s">
        <v>29</v>
      </c>
    </row>
    <row r="12" customFormat="false" ht="15" hidden="false" customHeight="true" outlineLevel="0" collapsed="false">
      <c r="A12" s="13" t="s">
        <v>36</v>
      </c>
      <c r="B12" s="13" t="s">
        <v>26</v>
      </c>
      <c r="C12" s="13" t="s">
        <v>27</v>
      </c>
      <c r="D12" s="13" t="s">
        <v>28</v>
      </c>
      <c r="E12" s="13" t="s">
        <v>27</v>
      </c>
      <c r="F12" s="14" t="n">
        <v>333.011</v>
      </c>
      <c r="G12" s="15" t="n">
        <v>0.3026</v>
      </c>
      <c r="H12" s="16" t="n">
        <v>0</v>
      </c>
      <c r="I12" s="16" t="n">
        <v>2.93</v>
      </c>
      <c r="J12" s="16" t="n">
        <v>79.11</v>
      </c>
      <c r="K12" s="16" t="n">
        <v>17.54</v>
      </c>
      <c r="L12" s="16" t="n">
        <v>0.42</v>
      </c>
      <c r="M12" s="15" t="n">
        <f aca="false">(0.02*H12+0.1*I12+0.3*J12+0.55*K12+0.8*L12)/100</f>
        <v>0.34009</v>
      </c>
      <c r="N12" s="14" t="n">
        <f aca="false">$F12*H12/100</f>
        <v>0</v>
      </c>
      <c r="O12" s="14" t="n">
        <f aca="false">$F12*(I12+J12)/100</f>
        <v>273.2022244</v>
      </c>
      <c r="P12" s="14" t="n">
        <f aca="false">$F12*K12/100</f>
        <v>58.4101294</v>
      </c>
      <c r="Q12" s="14" t="n">
        <f aca="false">$F12*L12/100</f>
        <v>1.3986462</v>
      </c>
      <c r="R12" s="17" t="n">
        <f aca="false">(I12+J12)/100</f>
        <v>0.8204</v>
      </c>
      <c r="S12" s="15" t="n">
        <f aca="false">M12-(SLOPE($M$7:$M$65,$G$7:$G$65)*G12+INTERCEPT($M$7:$M$65,$G$7:$G$65))</f>
        <v>-0.0196224118417817</v>
      </c>
      <c r="T12" s="18" t="str">
        <f aca="false">IF(G12&lt;=0.3813,IF((I12+J12)&gt;=60,"A. Degradación convergente","B. Degradación estructural enmascarada por verdor estacional"),IF((I12+J12)&gt;=30,"C. Cobertura media con núcleos degradados","D. Cobertura conservada convergente"))</f>
        <v>A. Degradación convergente</v>
      </c>
      <c r="U12" s="18" t="s">
        <v>29</v>
      </c>
    </row>
    <row r="13" customFormat="false" ht="21.75" hidden="false" customHeight="true" outlineLevel="0" collapsed="false">
      <c r="A13" s="7" t="s">
        <v>37</v>
      </c>
      <c r="B13" s="7" t="s">
        <v>26</v>
      </c>
      <c r="C13" s="7" t="s">
        <v>27</v>
      </c>
      <c r="D13" s="7" t="s">
        <v>28</v>
      </c>
      <c r="E13" s="7" t="s">
        <v>27</v>
      </c>
      <c r="F13" s="8" t="n">
        <v>160.978</v>
      </c>
      <c r="G13" s="9" t="n">
        <v>0.4063</v>
      </c>
      <c r="H13" s="10" t="n">
        <v>0</v>
      </c>
      <c r="I13" s="10" t="n">
        <v>0.46</v>
      </c>
      <c r="J13" s="10" t="n">
        <v>34.76</v>
      </c>
      <c r="K13" s="10" t="n">
        <v>60.6</v>
      </c>
      <c r="L13" s="10" t="n">
        <v>4.17</v>
      </c>
      <c r="M13" s="9" t="n">
        <f aca="false">(0.02*H13+0.1*I13+0.3*J13+0.55*K13+0.8*L13)/100</f>
        <v>0.4714</v>
      </c>
      <c r="N13" s="8" t="n">
        <f aca="false">$F13*H13/100</f>
        <v>0</v>
      </c>
      <c r="O13" s="8" t="n">
        <f aca="false">$F13*(I13+J13)/100</f>
        <v>56.6964516</v>
      </c>
      <c r="P13" s="8" t="n">
        <f aca="false">$F13*K13/100</f>
        <v>97.552668</v>
      </c>
      <c r="Q13" s="8" t="n">
        <f aca="false">$F13*L13/100</f>
        <v>6.7127826</v>
      </c>
      <c r="R13" s="11" t="n">
        <f aca="false">(I13+J13)/100</f>
        <v>0.3522</v>
      </c>
      <c r="S13" s="9" t="n">
        <f aca="false">M13-(SLOPE($M$7:$M$65,$G$7:$G$65)*G13+INTERCEPT($M$7:$M$65,$G$7:$G$65))</f>
        <v>-0.0133076624196499</v>
      </c>
      <c r="T13" s="12" t="str">
        <f aca="false">IF(G13&lt;=0.3813,IF((I13+J13)&gt;=60,"A. Degradación convergente","B. Degradación estructural enmascarada por verdor estacional"),IF((I13+J13)&gt;=30,"C. Cobertura media con núcleos degradados","D. Cobertura conservada convergente"))</f>
        <v>C. Cobertura media con núcleos degradados</v>
      </c>
      <c r="U13" s="12" t="s">
        <v>38</v>
      </c>
    </row>
    <row r="14" customFormat="false" ht="15" hidden="false" customHeight="true" outlineLevel="0" collapsed="false">
      <c r="A14" s="13" t="s">
        <v>39</v>
      </c>
      <c r="B14" s="13" t="s">
        <v>40</v>
      </c>
      <c r="C14" s="13" t="s">
        <v>41</v>
      </c>
      <c r="D14" s="13" t="s">
        <v>28</v>
      </c>
      <c r="E14" s="13" t="s">
        <v>41</v>
      </c>
      <c r="F14" s="14" t="n">
        <v>25.668</v>
      </c>
      <c r="G14" s="15" t="n">
        <v>0.6031</v>
      </c>
      <c r="H14" s="16" t="n">
        <v>0</v>
      </c>
      <c r="I14" s="16" t="n">
        <v>0</v>
      </c>
      <c r="J14" s="16" t="n">
        <v>1.04</v>
      </c>
      <c r="K14" s="16" t="n">
        <v>16.55</v>
      </c>
      <c r="L14" s="16" t="n">
        <v>82.41</v>
      </c>
      <c r="M14" s="15" t="n">
        <f aca="false">(0.02*H14+0.1*I14+0.3*J14+0.55*K14+0.8*L14)/100</f>
        <v>0.753425</v>
      </c>
      <c r="N14" s="14" t="n">
        <f aca="false">$F14*H14/100</f>
        <v>0</v>
      </c>
      <c r="O14" s="14" t="n">
        <f aca="false">$F14*(I14+J14)/100</f>
        <v>0.2669472</v>
      </c>
      <c r="P14" s="14" t="n">
        <f aca="false">$F14*K14/100</f>
        <v>4.248054</v>
      </c>
      <c r="Q14" s="14" t="n">
        <f aca="false">$F14*L14/100</f>
        <v>21.1529988</v>
      </c>
      <c r="R14" s="17" t="n">
        <f aca="false">(I14+J14)/100</f>
        <v>0.0104</v>
      </c>
      <c r="S14" s="15" t="n">
        <f aca="false">M14-(SLOPE($M$7:$M$65,$G$7:$G$65)*G14+INTERCEPT($M$7:$M$65,$G$7:$G$65))</f>
        <v>0.0315035929928434</v>
      </c>
      <c r="T14" s="18" t="str">
        <f aca="false">IF(G14&lt;=0.3813,IF((I14+J14)&gt;=60,"A. Degradación convergente","B. Degradación estructural enmascarada por verdor estacional"),IF((I14+J14)&gt;=30,"C. Cobertura media con núcleos degradados","D. Cobertura conservada convergente"))</f>
        <v>D. Cobertura conservada convergente</v>
      </c>
      <c r="U14" s="18" t="s">
        <v>29</v>
      </c>
    </row>
    <row r="15" customFormat="false" ht="15" hidden="false" customHeight="true" outlineLevel="0" collapsed="false">
      <c r="A15" s="7" t="s">
        <v>42</v>
      </c>
      <c r="B15" s="7" t="s">
        <v>43</v>
      </c>
      <c r="C15" s="7" t="s">
        <v>41</v>
      </c>
      <c r="D15" s="7" t="s">
        <v>28</v>
      </c>
      <c r="E15" s="7" t="s">
        <v>41</v>
      </c>
      <c r="F15" s="8" t="n">
        <v>13.554</v>
      </c>
      <c r="G15" s="9" t="n">
        <v>0.6147</v>
      </c>
      <c r="H15" s="10" t="n">
        <v>0.48</v>
      </c>
      <c r="I15" s="10" t="n">
        <v>1.34</v>
      </c>
      <c r="J15" s="10" t="n">
        <v>3.52</v>
      </c>
      <c r="K15" s="10" t="n">
        <v>6.71</v>
      </c>
      <c r="L15" s="10" t="n">
        <v>87.95</v>
      </c>
      <c r="M15" s="9" t="n">
        <f aca="false">(0.02*H15+0.1*I15+0.3*J15+0.55*K15+0.8*L15)/100</f>
        <v>0.752501</v>
      </c>
      <c r="N15" s="8" t="n">
        <f aca="false">$F15*H15/100</f>
        <v>0.0650592</v>
      </c>
      <c r="O15" s="8" t="n">
        <f aca="false">$F15*(I15+J15)/100</f>
        <v>0.6587244</v>
      </c>
      <c r="P15" s="8" t="n">
        <f aca="false">$F15*K15/100</f>
        <v>0.9094734</v>
      </c>
      <c r="Q15" s="8" t="n">
        <f aca="false">$F15*L15/100</f>
        <v>11.920743</v>
      </c>
      <c r="R15" s="11" t="n">
        <f aca="false">(I15+J15)/100</f>
        <v>0.0486</v>
      </c>
      <c r="S15" s="9" t="n">
        <f aca="false">M15-(SLOPE($M$7:$M$65,$G$7:$G$65)*G15+INTERCEPT($M$7:$M$65,$G$7:$G$65))</f>
        <v>0.0165974820313847</v>
      </c>
      <c r="T15" s="12" t="str">
        <f aca="false">IF(G15&lt;=0.3813,IF((I15+J15)&gt;=60,"A. Degradación convergente","B. Degradación estructural enmascarada por verdor estacional"),IF((I15+J15)&gt;=30,"C. Cobertura media con núcleos degradados","D. Cobertura conservada convergente"))</f>
        <v>D. Cobertura conservada convergente</v>
      </c>
      <c r="U15" s="12" t="s">
        <v>29</v>
      </c>
    </row>
    <row r="16" customFormat="false" ht="15" hidden="false" customHeight="true" outlineLevel="0" collapsed="false">
      <c r="A16" s="13" t="s">
        <v>44</v>
      </c>
      <c r="B16" s="13" t="s">
        <v>45</v>
      </c>
      <c r="C16" s="13" t="s">
        <v>46</v>
      </c>
      <c r="D16" s="13" t="s">
        <v>28</v>
      </c>
      <c r="E16" s="13" t="s">
        <v>46</v>
      </c>
      <c r="F16" s="14" t="n">
        <v>330.599</v>
      </c>
      <c r="G16" s="15" t="n">
        <v>0.3586</v>
      </c>
      <c r="H16" s="16" t="n">
        <v>0.11</v>
      </c>
      <c r="I16" s="16" t="n">
        <v>1.09</v>
      </c>
      <c r="J16" s="16" t="n">
        <v>70.67</v>
      </c>
      <c r="K16" s="16" t="n">
        <v>27.89</v>
      </c>
      <c r="L16" s="16" t="n">
        <v>0.23</v>
      </c>
      <c r="M16" s="15" t="n">
        <f aca="false">(0.02*H16+0.1*I16+0.3*J16+0.55*K16+0.8*L16)/100</f>
        <v>0.368357</v>
      </c>
      <c r="N16" s="14" t="n">
        <f aca="false">$F16*H16/100</f>
        <v>0.3636589</v>
      </c>
      <c r="O16" s="14" t="n">
        <f aca="false">$F16*(I16+J16)/100</f>
        <v>237.2378424</v>
      </c>
      <c r="P16" s="14" t="n">
        <f aca="false">$F16*K16/100</f>
        <v>92.2040611</v>
      </c>
      <c r="Q16" s="14" t="n">
        <f aca="false">$F16*L16/100</f>
        <v>0.7603777</v>
      </c>
      <c r="R16" s="17" t="n">
        <f aca="false">(I16+J16)/100</f>
        <v>0.7176</v>
      </c>
      <c r="S16" s="15" t="n">
        <f aca="false">M16-(SLOPE($M$7:$M$65,$G$7:$G$65)*G16+INTERCEPT($M$7:$M$65,$G$7:$G$65))</f>
        <v>-0.0588552578626169</v>
      </c>
      <c r="T16" s="18" t="str">
        <f aca="false">IF(G16&lt;=0.3813,IF((I16+J16)&gt;=60,"A. Degradación convergente","B. Degradación estructural enmascarada por verdor estacional"),IF((I16+J16)&gt;=30,"C. Cobertura media con núcleos degradados","D. Cobertura conservada convergente"))</f>
        <v>A. Degradación convergente</v>
      </c>
      <c r="U16" s="18" t="s">
        <v>38</v>
      </c>
    </row>
    <row r="17" customFormat="false" ht="21.75" hidden="false" customHeight="true" outlineLevel="0" collapsed="false">
      <c r="A17" s="7" t="s">
        <v>47</v>
      </c>
      <c r="B17" s="7" t="s">
        <v>48</v>
      </c>
      <c r="C17" s="7" t="s">
        <v>46</v>
      </c>
      <c r="D17" s="7" t="s">
        <v>28</v>
      </c>
      <c r="E17" s="7" t="s">
        <v>46</v>
      </c>
      <c r="F17" s="8" t="n">
        <v>79.33</v>
      </c>
      <c r="G17" s="9" t="n">
        <v>0.4232</v>
      </c>
      <c r="H17" s="10" t="n">
        <v>0</v>
      </c>
      <c r="I17" s="10" t="n">
        <v>0.02</v>
      </c>
      <c r="J17" s="10" t="n">
        <v>67.11</v>
      </c>
      <c r="K17" s="10" t="n">
        <v>32.64</v>
      </c>
      <c r="L17" s="10" t="n">
        <v>0.23</v>
      </c>
      <c r="M17" s="9" t="n">
        <f aca="false">(0.02*H17+0.1*I17+0.3*J17+0.55*K17+0.8*L17)/100</f>
        <v>0.38271</v>
      </c>
      <c r="N17" s="8" t="n">
        <f aca="false">$F17*H17/100</f>
        <v>0</v>
      </c>
      <c r="O17" s="8" t="n">
        <f aca="false">$F17*(I17+J17)/100</f>
        <v>53.254229</v>
      </c>
      <c r="P17" s="8" t="n">
        <f aca="false">$F17*K17/100</f>
        <v>25.893312</v>
      </c>
      <c r="Q17" s="8" t="n">
        <f aca="false">$F17*L17/100</f>
        <v>0.182459</v>
      </c>
      <c r="R17" s="11" t="n">
        <f aca="false">(I17+J17)/100</f>
        <v>0.6713</v>
      </c>
      <c r="S17" s="9" t="n">
        <f aca="false">M17-(SLOPE($M$7:$M$65,$G$7:$G$65)*G17+INTERCEPT($M$7:$M$65,$G$7:$G$65))</f>
        <v>-0.122368151665223</v>
      </c>
      <c r="T17" s="12" t="str">
        <f aca="false">IF(G17&lt;=0.3813,IF((I17+J17)&gt;=60,"A. Degradación convergente","B. Degradación estructural enmascarada por verdor estacional"),IF((I17+J17)&gt;=30,"C. Cobertura media con núcleos degradados","D. Cobertura conservada convergente"))</f>
        <v>C. Cobertura media con núcleos degradados</v>
      </c>
      <c r="U17" s="12" t="s">
        <v>29</v>
      </c>
    </row>
    <row r="18" customFormat="false" ht="15" hidden="false" customHeight="true" outlineLevel="0" collapsed="false">
      <c r="A18" s="13" t="s">
        <v>49</v>
      </c>
      <c r="B18" s="13" t="s">
        <v>50</v>
      </c>
      <c r="C18" s="13" t="s">
        <v>46</v>
      </c>
      <c r="D18" s="13" t="s">
        <v>28</v>
      </c>
      <c r="E18" s="13" t="s">
        <v>46</v>
      </c>
      <c r="F18" s="14" t="n">
        <v>68.887</v>
      </c>
      <c r="G18" s="15" t="n">
        <v>0.3133</v>
      </c>
      <c r="H18" s="16" t="n">
        <v>0</v>
      </c>
      <c r="I18" s="16" t="n">
        <v>22.63</v>
      </c>
      <c r="J18" s="16" t="n">
        <v>74.96</v>
      </c>
      <c r="K18" s="16" t="n">
        <v>2.41</v>
      </c>
      <c r="L18" s="16" t="n">
        <v>0</v>
      </c>
      <c r="M18" s="15" t="n">
        <f aca="false">(0.02*H18+0.1*I18+0.3*J18+0.55*K18+0.8*L18)/100</f>
        <v>0.260765</v>
      </c>
      <c r="N18" s="14" t="n">
        <f aca="false">$F18*H18/100</f>
        <v>0</v>
      </c>
      <c r="O18" s="14" t="n">
        <f aca="false">$F18*(I18+J18)/100</f>
        <v>67.2268233</v>
      </c>
      <c r="P18" s="14" t="n">
        <f aca="false">$F18*K18/100</f>
        <v>1.6601767</v>
      </c>
      <c r="Q18" s="14" t="n">
        <f aca="false">$F18*L18/100</f>
        <v>0</v>
      </c>
      <c r="R18" s="17" t="n">
        <f aca="false">(I18+J18)/100</f>
        <v>0.9759</v>
      </c>
      <c r="S18" s="15" t="n">
        <f aca="false">M18-(SLOPE($M$7:$M$65,$G$7:$G$65)*G18+INTERCEPT($M$7:$M$65,$G$7:$G$65))</f>
        <v>-0.111844703849334</v>
      </c>
      <c r="T18" s="18" t="str">
        <f aca="false">IF(G18&lt;=0.3813,IF((I18+J18)&gt;=60,"A. Degradación convergente","B. Degradación estructural enmascarada por verdor estacional"),IF((I18+J18)&gt;=30,"C. Cobertura media con núcleos degradados","D. Cobertura conservada convergente"))</f>
        <v>A. Degradación convergente</v>
      </c>
      <c r="U18" s="18" t="s">
        <v>29</v>
      </c>
    </row>
    <row r="19" customFormat="false" ht="21.75" hidden="false" customHeight="true" outlineLevel="0" collapsed="false">
      <c r="A19" s="7" t="s">
        <v>51</v>
      </c>
      <c r="B19" s="7" t="s">
        <v>48</v>
      </c>
      <c r="C19" s="7" t="s">
        <v>46</v>
      </c>
      <c r="D19" s="7" t="s">
        <v>28</v>
      </c>
      <c r="E19" s="7" t="s">
        <v>46</v>
      </c>
      <c r="F19" s="8" t="n">
        <v>42.449</v>
      </c>
      <c r="G19" s="9" t="n">
        <v>0.3323</v>
      </c>
      <c r="H19" s="10" t="n">
        <v>0.42</v>
      </c>
      <c r="I19" s="10" t="n">
        <v>3.52</v>
      </c>
      <c r="J19" s="10" t="n">
        <v>82.09</v>
      </c>
      <c r="K19" s="10" t="n">
        <v>13.97</v>
      </c>
      <c r="L19" s="10" t="n">
        <v>0</v>
      </c>
      <c r="M19" s="9" t="n">
        <f aca="false">(0.02*H19+0.1*I19+0.3*J19+0.55*K19+0.8*L19)/100</f>
        <v>0.326709</v>
      </c>
      <c r="N19" s="8" t="n">
        <f aca="false">$F19*H19/100</f>
        <v>0.1782858</v>
      </c>
      <c r="O19" s="8" t="n">
        <f aca="false">$F19*(I19+J19)/100</f>
        <v>36.3405889</v>
      </c>
      <c r="P19" s="8" t="n">
        <f aca="false">$F19*K19/100</f>
        <v>5.9301253</v>
      </c>
      <c r="Q19" s="8" t="n">
        <f aca="false">$F19*L19/100</f>
        <v>0</v>
      </c>
      <c r="R19" s="11" t="n">
        <f aca="false">(I19+J19)/100</f>
        <v>0.8561</v>
      </c>
      <c r="S19" s="9" t="n">
        <f aca="false">M19-(SLOPE($M$7:$M$65,$G$7:$G$65)*G19+INTERCEPT($M$7:$M$65,$G$7:$G$65))</f>
        <v>-0.068802437320689</v>
      </c>
      <c r="T19" s="12" t="str">
        <f aca="false">IF(G19&lt;=0.3813,IF((I19+J19)&gt;=60,"A. Degradación convergente","B. Degradación estructural enmascarada por verdor estacional"),IF((I19+J19)&gt;=30,"C. Cobertura media con núcleos degradados","D. Cobertura conservada convergente"))</f>
        <v>A. Degradación convergente</v>
      </c>
      <c r="U19" s="12" t="s">
        <v>29</v>
      </c>
    </row>
    <row r="20" customFormat="false" ht="32.25" hidden="false" customHeight="true" outlineLevel="0" collapsed="false">
      <c r="A20" s="13" t="s">
        <v>52</v>
      </c>
      <c r="B20" s="13" t="s">
        <v>48</v>
      </c>
      <c r="C20" s="13" t="s">
        <v>46</v>
      </c>
      <c r="D20" s="13" t="s">
        <v>28</v>
      </c>
      <c r="E20" s="13" t="s">
        <v>46</v>
      </c>
      <c r="F20" s="14" t="n">
        <v>124.709</v>
      </c>
      <c r="G20" s="15" t="n">
        <v>0.4235</v>
      </c>
      <c r="H20" s="16" t="n">
        <v>0.33</v>
      </c>
      <c r="I20" s="16" t="n">
        <v>0.01</v>
      </c>
      <c r="J20" s="16" t="n">
        <v>15.45</v>
      </c>
      <c r="K20" s="16" t="n">
        <v>80.99</v>
      </c>
      <c r="L20" s="16" t="n">
        <v>3.22</v>
      </c>
      <c r="M20" s="15" t="n">
        <f aca="false">(0.02*H20+0.1*I20+0.3*J20+0.55*K20+0.8*L20)/100</f>
        <v>0.517631</v>
      </c>
      <c r="N20" s="14" t="n">
        <f aca="false">$F20*H20/100</f>
        <v>0.4115397</v>
      </c>
      <c r="O20" s="14" t="n">
        <f aca="false">$F20*(I20+J20)/100</f>
        <v>19.2800114</v>
      </c>
      <c r="P20" s="14" t="n">
        <f aca="false">$F20*K20/100</f>
        <v>101.0018191</v>
      </c>
      <c r="Q20" s="14" t="n">
        <f aca="false">$F20*L20/100</f>
        <v>4.0156298</v>
      </c>
      <c r="R20" s="17" t="n">
        <f aca="false">(I20+J20)/100</f>
        <v>0.1546</v>
      </c>
      <c r="S20" s="15" t="n">
        <f aca="false">M20-(SLOPE($M$7:$M$65,$G$7:$G$65)*G20+INTERCEPT($M$7:$M$65,$G$7:$G$65))</f>
        <v>0.0121912420168079</v>
      </c>
      <c r="T20" s="18" t="str">
        <f aca="false">IF(G20&lt;=0.3813,IF((I20+J20)&gt;=60,"A. Degradación convergente","B. Degradación estructural enmascarada por verdor estacional"),IF((I20+J20)&gt;=30,"C. Cobertura media con núcleos degradados","D. Cobertura conservada convergente"))</f>
        <v>D. Cobertura conservada convergente</v>
      </c>
      <c r="U20" s="18" t="s">
        <v>38</v>
      </c>
    </row>
    <row r="21" customFormat="false" ht="21.75" hidden="false" customHeight="true" outlineLevel="0" collapsed="false">
      <c r="A21" s="7" t="s">
        <v>53</v>
      </c>
      <c r="B21" s="7" t="s">
        <v>54</v>
      </c>
      <c r="C21" s="7" t="s">
        <v>46</v>
      </c>
      <c r="D21" s="7" t="s">
        <v>28</v>
      </c>
      <c r="E21" s="7" t="s">
        <v>46</v>
      </c>
      <c r="F21" s="8" t="n">
        <v>448.804</v>
      </c>
      <c r="G21" s="9" t="n">
        <v>0.3632</v>
      </c>
      <c r="H21" s="10" t="n">
        <v>0.84</v>
      </c>
      <c r="I21" s="10" t="n">
        <v>14.09</v>
      </c>
      <c r="J21" s="10" t="n">
        <v>82.83</v>
      </c>
      <c r="K21" s="10" t="n">
        <v>2.24</v>
      </c>
      <c r="L21" s="10" t="n">
        <v>0</v>
      </c>
      <c r="M21" s="9" t="n">
        <f aca="false">(0.02*H21+0.1*I21+0.3*J21+0.55*K21+0.8*L21)/100</f>
        <v>0.275068</v>
      </c>
      <c r="N21" s="8" t="n">
        <f aca="false">$F21*H21/100</f>
        <v>3.7699536</v>
      </c>
      <c r="O21" s="8" t="n">
        <f aca="false">$F21*(I21+J21)/100</f>
        <v>434.9808368</v>
      </c>
      <c r="P21" s="8" t="n">
        <f aca="false">$F21*K21/100</f>
        <v>10.0532096</v>
      </c>
      <c r="Q21" s="8" t="n">
        <f aca="false">$F21*L21/100</f>
        <v>0</v>
      </c>
      <c r="R21" s="11" t="n">
        <f aca="false">(I21+J21)/100</f>
        <v>0.9692</v>
      </c>
      <c r="S21" s="9" t="n">
        <f aca="false">M21-(SLOPE($M$7:$M$65,$G$7:$G$65)*G21+INTERCEPT($M$7:$M$65,$G$7:$G$65))</f>
        <v>-0.157688888071471</v>
      </c>
      <c r="T21" s="12" t="str">
        <f aca="false">IF(G21&lt;=0.3813,IF((I21+J21)&gt;=60,"A. Degradación convergente","B. Degradación estructural enmascarada por verdor estacional"),IF((I21+J21)&gt;=30,"C. Cobertura media con núcleos degradados","D. Cobertura conservada convergente"))</f>
        <v>A. Degradación convergente</v>
      </c>
      <c r="U21" s="12" t="s">
        <v>29</v>
      </c>
    </row>
    <row r="22" customFormat="false" ht="15" hidden="false" customHeight="true" outlineLevel="0" collapsed="false">
      <c r="A22" s="13" t="s">
        <v>55</v>
      </c>
      <c r="B22" s="13" t="s">
        <v>56</v>
      </c>
      <c r="C22" s="13" t="s">
        <v>46</v>
      </c>
      <c r="D22" s="13" t="s">
        <v>28</v>
      </c>
      <c r="E22" s="13" t="s">
        <v>46</v>
      </c>
      <c r="F22" s="14" t="n">
        <v>355.364</v>
      </c>
      <c r="G22" s="15" t="n">
        <v>0.3143</v>
      </c>
      <c r="H22" s="16" t="n">
        <v>0</v>
      </c>
      <c r="I22" s="16" t="n">
        <v>12.42</v>
      </c>
      <c r="J22" s="16" t="n">
        <v>79.88</v>
      </c>
      <c r="K22" s="16" t="n">
        <v>7.59</v>
      </c>
      <c r="L22" s="16" t="n">
        <v>0.11</v>
      </c>
      <c r="M22" s="15" t="n">
        <f aca="false">(0.02*H22+0.1*I22+0.3*J22+0.55*K22+0.8*L22)/100</f>
        <v>0.294685</v>
      </c>
      <c r="N22" s="14" t="n">
        <f aca="false">$F22*H22/100</f>
        <v>0</v>
      </c>
      <c r="O22" s="14" t="n">
        <f aca="false">$F22*(I22+J22)/100</f>
        <v>328.000972</v>
      </c>
      <c r="P22" s="14" t="n">
        <f aca="false">$F22*K22/100</f>
        <v>26.9721276</v>
      </c>
      <c r="Q22" s="14" t="n">
        <f aca="false">$F22*L22/100</f>
        <v>0.3909004</v>
      </c>
      <c r="R22" s="17" t="n">
        <f aca="false">(I22+J22)/100</f>
        <v>0.923</v>
      </c>
      <c r="S22" s="15" t="n">
        <f aca="false">M22-(SLOPE($M$7:$M$65,$G$7:$G$65)*G22+INTERCEPT($M$7:$M$65,$G$7:$G$65))</f>
        <v>-0.0791300582425635</v>
      </c>
      <c r="T22" s="18" t="str">
        <f aca="false">IF(G22&lt;=0.3813,IF((I22+J22)&gt;=60,"A. Degradación convergente","B. Degradación estructural enmascarada por verdor estacional"),IF((I22+J22)&gt;=30,"C. Cobertura media con núcleos degradados","D. Cobertura conservada convergente"))</f>
        <v>A. Degradación convergente</v>
      </c>
      <c r="U22" s="18" t="s">
        <v>29</v>
      </c>
    </row>
    <row r="23" customFormat="false" ht="21.75" hidden="false" customHeight="true" outlineLevel="0" collapsed="false">
      <c r="A23" s="7" t="s">
        <v>57</v>
      </c>
      <c r="B23" s="7" t="s">
        <v>43</v>
      </c>
      <c r="C23" s="7" t="s">
        <v>28</v>
      </c>
      <c r="D23" s="7" t="s">
        <v>28</v>
      </c>
      <c r="E23" s="7" t="s">
        <v>28</v>
      </c>
      <c r="F23" s="8" t="n">
        <v>74.372</v>
      </c>
      <c r="G23" s="9" t="n">
        <v>0.4012</v>
      </c>
      <c r="H23" s="10" t="n">
        <v>0.28</v>
      </c>
      <c r="I23" s="10" t="n">
        <v>0.59</v>
      </c>
      <c r="J23" s="10" t="n">
        <v>34.23</v>
      </c>
      <c r="K23" s="10" t="n">
        <v>63.87</v>
      </c>
      <c r="L23" s="10" t="n">
        <v>1.03</v>
      </c>
      <c r="M23" s="9" t="n">
        <f aca="false">(0.02*H23+0.1*I23+0.3*J23+0.55*K23+0.8*L23)/100</f>
        <v>0.462861</v>
      </c>
      <c r="N23" s="8" t="n">
        <f aca="false">$F23*H23/100</f>
        <v>0.2082416</v>
      </c>
      <c r="O23" s="8" t="n">
        <f aca="false">$F23*(I23+J23)/100</f>
        <v>25.8963304</v>
      </c>
      <c r="P23" s="8" t="n">
        <f aca="false">$F23*K23/100</f>
        <v>47.5013964</v>
      </c>
      <c r="Q23" s="8" t="n">
        <f aca="false">$F23*L23/100</f>
        <v>0.7660316</v>
      </c>
      <c r="R23" s="11" t="n">
        <f aca="false">(I23+J23)/100</f>
        <v>0.3482</v>
      </c>
      <c r="S23" s="9" t="n">
        <f aca="false">M23-(SLOPE($M$7:$M$65,$G$7:$G$65)*G23+INTERCEPT($M$7:$M$65,$G$7:$G$65))</f>
        <v>-0.015699355014181</v>
      </c>
      <c r="T23" s="12" t="str">
        <f aca="false">IF(G23&lt;=0.3813,IF((I23+J23)&gt;=60,"A. Degradación convergente","B. Degradación estructural enmascarada por verdor estacional"),IF((I23+J23)&gt;=30,"C. Cobertura media con núcleos degradados","D. Cobertura conservada convergente"))</f>
        <v>C. Cobertura media con núcleos degradados</v>
      </c>
      <c r="U23" s="12" t="s">
        <v>29</v>
      </c>
    </row>
    <row r="24" customFormat="false" ht="21.75" hidden="false" customHeight="true" outlineLevel="0" collapsed="false">
      <c r="A24" s="13" t="s">
        <v>58</v>
      </c>
      <c r="B24" s="13" t="s">
        <v>59</v>
      </c>
      <c r="C24" s="13" t="s">
        <v>28</v>
      </c>
      <c r="D24" s="13" t="s">
        <v>28</v>
      </c>
      <c r="E24" s="13" t="s">
        <v>28</v>
      </c>
      <c r="F24" s="14" t="n">
        <v>50.972</v>
      </c>
      <c r="G24" s="15" t="n">
        <v>0.3852</v>
      </c>
      <c r="H24" s="16" t="n">
        <v>0.14</v>
      </c>
      <c r="I24" s="16" t="n">
        <v>1.7</v>
      </c>
      <c r="J24" s="16" t="n">
        <v>59.49</v>
      </c>
      <c r="K24" s="16" t="n">
        <v>38.3</v>
      </c>
      <c r="L24" s="16" t="n">
        <v>0.38</v>
      </c>
      <c r="M24" s="15" t="n">
        <f aca="false">(0.02*H24+0.1*I24+0.3*J24+0.55*K24+0.8*L24)/100</f>
        <v>0.393888</v>
      </c>
      <c r="N24" s="14" t="n">
        <f aca="false">$F24*H24/100</f>
        <v>0.0713608</v>
      </c>
      <c r="O24" s="14" t="n">
        <f aca="false">$F24*(I24+J24)/100</f>
        <v>31.1897668</v>
      </c>
      <c r="P24" s="14" t="n">
        <f aca="false">$F24*K24/100</f>
        <v>19.522276</v>
      </c>
      <c r="Q24" s="14" t="n">
        <f aca="false">$F24*L24/100</f>
        <v>0.1936936</v>
      </c>
      <c r="R24" s="17" t="n">
        <f aca="false">(I24+J24)/100</f>
        <v>0.6119</v>
      </c>
      <c r="S24" s="15" t="n">
        <f aca="false">M24-(SLOPE($M$7:$M$65,$G$7:$G$65)*G24+INTERCEPT($M$7:$M$65,$G$7:$G$65))</f>
        <v>-0.0653866847225137</v>
      </c>
      <c r="T24" s="18" t="str">
        <f aca="false">IF(G24&lt;=0.3813,IF((I24+J24)&gt;=60,"A. Degradación convergente","B. Degradación estructural enmascarada por verdor estacional"),IF((I24+J24)&gt;=30,"C. Cobertura media con núcleos degradados","D. Cobertura conservada convergente"))</f>
        <v>C. Cobertura media con núcleos degradados</v>
      </c>
      <c r="U24" s="18" t="s">
        <v>29</v>
      </c>
    </row>
    <row r="25" customFormat="false" ht="21.75" hidden="false" customHeight="true" outlineLevel="0" collapsed="false">
      <c r="A25" s="7" t="s">
        <v>60</v>
      </c>
      <c r="B25" s="7" t="s">
        <v>31</v>
      </c>
      <c r="C25" s="7" t="s">
        <v>61</v>
      </c>
      <c r="D25" s="7" t="s">
        <v>28</v>
      </c>
      <c r="E25" s="7" t="s">
        <v>61</v>
      </c>
      <c r="F25" s="8" t="n">
        <v>373.807</v>
      </c>
      <c r="G25" s="9" t="n">
        <v>0.3694</v>
      </c>
      <c r="H25" s="10" t="n">
        <v>0</v>
      </c>
      <c r="I25" s="10" t="n">
        <v>0.05</v>
      </c>
      <c r="J25" s="10" t="n">
        <v>24.15</v>
      </c>
      <c r="K25" s="10" t="n">
        <v>69.35</v>
      </c>
      <c r="L25" s="10" t="n">
        <v>6.45</v>
      </c>
      <c r="M25" s="9" t="n">
        <f aca="false">(0.02*H25+0.1*I25+0.3*J25+0.55*K25+0.8*L25)/100</f>
        <v>0.505525</v>
      </c>
      <c r="N25" s="8" t="n">
        <f aca="false">$F25*H25/100</f>
        <v>0</v>
      </c>
      <c r="O25" s="8" t="n">
        <f aca="false">$F25*(I25+J25)/100</f>
        <v>90.461294</v>
      </c>
      <c r="P25" s="8" t="n">
        <f aca="false">$F25*K25/100</f>
        <v>259.2351545</v>
      </c>
      <c r="Q25" s="8" t="n">
        <f aca="false">$F25*L25/100</f>
        <v>24.1105515</v>
      </c>
      <c r="R25" s="11" t="n">
        <f aca="false">(I25+J25)/100</f>
        <v>0.242</v>
      </c>
      <c r="S25" s="9" t="n">
        <f aca="false">M25-(SLOPE($M$7:$M$65,$G$7:$G$65)*G25+INTERCEPT($M$7:$M$65,$G$7:$G$65))</f>
        <v>0.0652949146905076</v>
      </c>
      <c r="T25" s="12" t="str">
        <f aca="false">IF(G25&lt;=0.3813,IF((I25+J25)&gt;=60,"A. Degradación convergente","B. Degradación estructural enmascarada por verdor estacional"),IF((I25+J25)&gt;=30,"C. Cobertura media con núcleos degradados","D. Cobertura conservada convergente"))</f>
        <v>B. Degradación estructural enmascarada por verdor estacional</v>
      </c>
      <c r="U25" s="12" t="s">
        <v>38</v>
      </c>
    </row>
    <row r="26" customFormat="false" ht="21.75" hidden="false" customHeight="true" outlineLevel="0" collapsed="false">
      <c r="A26" s="13" t="s">
        <v>62</v>
      </c>
      <c r="B26" s="13" t="s">
        <v>63</v>
      </c>
      <c r="C26" s="13" t="s">
        <v>61</v>
      </c>
      <c r="D26" s="13" t="s">
        <v>28</v>
      </c>
      <c r="E26" s="13" t="s">
        <v>61</v>
      </c>
      <c r="F26" s="14" t="n">
        <v>81.795</v>
      </c>
      <c r="G26" s="15" t="n">
        <v>0.2984</v>
      </c>
      <c r="H26" s="16" t="n">
        <v>0</v>
      </c>
      <c r="I26" s="16" t="n">
        <v>0.08</v>
      </c>
      <c r="J26" s="16" t="n">
        <v>43.36</v>
      </c>
      <c r="K26" s="16" t="n">
        <v>56.19</v>
      </c>
      <c r="L26" s="16" t="n">
        <v>0.37</v>
      </c>
      <c r="M26" s="15" t="n">
        <f aca="false">(0.02*H26+0.1*I26+0.3*J26+0.55*K26+0.8*L26)/100</f>
        <v>0.442165</v>
      </c>
      <c r="N26" s="14" t="n">
        <f aca="false">$F26*H26/100</f>
        <v>0</v>
      </c>
      <c r="O26" s="14" t="n">
        <f aca="false">$F26*(I26+J26)/100</f>
        <v>35.531748</v>
      </c>
      <c r="P26" s="14" t="n">
        <f aca="false">$F26*K26/100</f>
        <v>45.9606105</v>
      </c>
      <c r="Q26" s="14" t="n">
        <f aca="false">$F26*L26/100</f>
        <v>0.3026415</v>
      </c>
      <c r="R26" s="17" t="n">
        <f aca="false">(I26+J26)/100</f>
        <v>0.4344</v>
      </c>
      <c r="S26" s="15" t="n">
        <f aca="false">M26-(SLOPE($M$7:$M$65,$G$7:$G$65)*G26+INTERCEPT($M$7:$M$65,$G$7:$G$65))</f>
        <v>0.0875150766097809</v>
      </c>
      <c r="T26" s="18" t="str">
        <f aca="false">IF(G26&lt;=0.3813,IF((I26+J26)&gt;=60,"A. Degradación convergente","B. Degradación estructural enmascarada por verdor estacional"),IF((I26+J26)&gt;=30,"C. Cobertura media con núcleos degradados","D. Cobertura conservada convergente"))</f>
        <v>B. Degradación estructural enmascarada por verdor estacional</v>
      </c>
      <c r="U26" s="18" t="s">
        <v>29</v>
      </c>
    </row>
    <row r="27" customFormat="false" ht="21.75" hidden="false" customHeight="true" outlineLevel="0" collapsed="false">
      <c r="A27" s="7" t="s">
        <v>64</v>
      </c>
      <c r="B27" s="7" t="s">
        <v>63</v>
      </c>
      <c r="C27" s="7" t="s">
        <v>61</v>
      </c>
      <c r="D27" s="7" t="s">
        <v>28</v>
      </c>
      <c r="E27" s="7" t="s">
        <v>61</v>
      </c>
      <c r="F27" s="8" t="n">
        <v>30.909</v>
      </c>
      <c r="G27" s="9" t="n">
        <v>0.3047</v>
      </c>
      <c r="H27" s="10" t="n">
        <v>0.39</v>
      </c>
      <c r="I27" s="10" t="n">
        <v>0.49</v>
      </c>
      <c r="J27" s="10" t="n">
        <v>58.45</v>
      </c>
      <c r="K27" s="10" t="n">
        <v>35.64</v>
      </c>
      <c r="L27" s="10" t="n">
        <v>5.03</v>
      </c>
      <c r="M27" s="9" t="n">
        <f aca="false">(0.02*H27+0.1*I27+0.3*J27+0.55*K27+0.8*L27)/100</f>
        <v>0.412178</v>
      </c>
      <c r="N27" s="8" t="n">
        <f aca="false">$F27*H27/100</f>
        <v>0.1205451</v>
      </c>
      <c r="O27" s="8" t="n">
        <f aca="false">$F27*(I27+J27)/100</f>
        <v>18.2177646</v>
      </c>
      <c r="P27" s="8" t="n">
        <f aca="false">$F27*K27/100</f>
        <v>11.0159676</v>
      </c>
      <c r="Q27" s="8" t="n">
        <f aca="false">$F27*L27/100</f>
        <v>1.5547227</v>
      </c>
      <c r="R27" s="11" t="n">
        <f aca="false">(I27+J27)/100</f>
        <v>0.5894</v>
      </c>
      <c r="S27" s="9" t="n">
        <f aca="false">M27-(SLOPE($M$7:$M$65,$G$7:$G$65)*G27+INTERCEPT($M$7:$M$65,$G$7:$G$65))</f>
        <v>0.0499343439324369</v>
      </c>
      <c r="T27" s="12" t="str">
        <f aca="false">IF(G27&lt;=0.3813,IF((I27+J27)&gt;=60,"A. Degradación convergente","B. Degradación estructural enmascarada por verdor estacional"),IF((I27+J27)&gt;=30,"C. Cobertura media con núcleos degradados","D. Cobertura conservada convergente"))</f>
        <v>B. Degradación estructural enmascarada por verdor estacional</v>
      </c>
      <c r="U27" s="12" t="s">
        <v>29</v>
      </c>
    </row>
    <row r="28" customFormat="false" ht="21.75" hidden="false" customHeight="true" outlineLevel="0" collapsed="false">
      <c r="A28" s="13" t="s">
        <v>65</v>
      </c>
      <c r="B28" s="13" t="s">
        <v>66</v>
      </c>
      <c r="C28" s="13" t="s">
        <v>61</v>
      </c>
      <c r="D28" s="13" t="s">
        <v>28</v>
      </c>
      <c r="E28" s="13" t="s">
        <v>61</v>
      </c>
      <c r="F28" s="14" t="n">
        <v>80.983</v>
      </c>
      <c r="G28" s="15" t="n">
        <v>0.3239</v>
      </c>
      <c r="H28" s="16" t="n">
        <v>0.77</v>
      </c>
      <c r="I28" s="16" t="n">
        <v>1.45</v>
      </c>
      <c r="J28" s="16" t="n">
        <v>36.55</v>
      </c>
      <c r="K28" s="16" t="n">
        <v>60.33</v>
      </c>
      <c r="L28" s="16" t="n">
        <v>0.9</v>
      </c>
      <c r="M28" s="15" t="n">
        <f aca="false">(0.02*H28+0.1*I28+0.3*J28+0.55*K28+0.8*L28)/100</f>
        <v>0.450269</v>
      </c>
      <c r="N28" s="14" t="n">
        <f aca="false">$F28*H28/100</f>
        <v>0.6235691</v>
      </c>
      <c r="O28" s="14" t="n">
        <f aca="false">$F28*(I28+J28)/100</f>
        <v>30.77354</v>
      </c>
      <c r="P28" s="14" t="n">
        <f aca="false">$F28*K28/100</f>
        <v>48.8570439</v>
      </c>
      <c r="Q28" s="14" t="n">
        <f aca="false">$F28*L28/100</f>
        <v>0.728847</v>
      </c>
      <c r="R28" s="17" t="n">
        <f aca="false">(I28+J28)/100</f>
        <v>0.38</v>
      </c>
      <c r="S28" s="15" t="n">
        <f aca="false">M28-(SLOPE($M$7:$M$65,$G$7:$G$65)*G28+INTERCEPT($M$7:$M$65,$G$7:$G$65))</f>
        <v>0.0648825395824362</v>
      </c>
      <c r="T28" s="18" t="str">
        <f aca="false">IF(G28&lt;=0.3813,IF((I28+J28)&gt;=60,"A. Degradación convergente","B. Degradación estructural enmascarada por verdor estacional"),IF((I28+J28)&gt;=30,"C. Cobertura media con núcleos degradados","D. Cobertura conservada convergente"))</f>
        <v>B. Degradación estructural enmascarada por verdor estacional</v>
      </c>
      <c r="U28" s="18" t="s">
        <v>29</v>
      </c>
    </row>
    <row r="29" customFormat="false" ht="21.75" hidden="false" customHeight="true" outlineLevel="0" collapsed="false">
      <c r="A29" s="7" t="s">
        <v>67</v>
      </c>
      <c r="B29" s="7" t="s">
        <v>66</v>
      </c>
      <c r="C29" s="7" t="s">
        <v>61</v>
      </c>
      <c r="D29" s="7" t="s">
        <v>28</v>
      </c>
      <c r="E29" s="7" t="s">
        <v>61</v>
      </c>
      <c r="F29" s="8" t="n">
        <v>294.204</v>
      </c>
      <c r="G29" s="9" t="n">
        <v>0.3214</v>
      </c>
      <c r="H29" s="10" t="n">
        <v>0.2</v>
      </c>
      <c r="I29" s="10" t="n">
        <v>5.78</v>
      </c>
      <c r="J29" s="10" t="n">
        <v>43.84</v>
      </c>
      <c r="K29" s="10" t="n">
        <v>47.19</v>
      </c>
      <c r="L29" s="10" t="n">
        <v>3</v>
      </c>
      <c r="M29" s="9" t="n">
        <f aca="false">(0.02*H29+0.1*I29+0.3*J29+0.55*K29+0.8*L29)/100</f>
        <v>0.420885</v>
      </c>
      <c r="N29" s="8" t="n">
        <f aca="false">$F29*H29/100</f>
        <v>0.588408</v>
      </c>
      <c r="O29" s="8" t="n">
        <f aca="false">$F29*(I29+J29)/100</f>
        <v>145.9840248</v>
      </c>
      <c r="P29" s="8" t="n">
        <f aca="false">$F29*K29/100</f>
        <v>138.8348676</v>
      </c>
      <c r="Q29" s="8" t="n">
        <f aca="false">$F29*L29/100</f>
        <v>8.82612</v>
      </c>
      <c r="R29" s="11" t="n">
        <f aca="false">(I29+J29)/100</f>
        <v>0.4962</v>
      </c>
      <c r="S29" s="9" t="n">
        <f aca="false">M29-(SLOPE($M$7:$M$65,$G$7:$G$65)*G29+INTERCEPT($M$7:$M$65,$G$7:$G$65))</f>
        <v>0.0385119255655093</v>
      </c>
      <c r="T29" s="12" t="str">
        <f aca="false">IF(G29&lt;=0.3813,IF((I29+J29)&gt;=60,"A. Degradación convergente","B. Degradación estructural enmascarada por verdor estacional"),IF((I29+J29)&gt;=30,"C. Cobertura media con núcleos degradados","D. Cobertura conservada convergente"))</f>
        <v>B. Degradación estructural enmascarada por verdor estacional</v>
      </c>
      <c r="U29" s="12" t="s">
        <v>38</v>
      </c>
    </row>
    <row r="30" customFormat="false" ht="32.25" hidden="false" customHeight="true" outlineLevel="0" collapsed="false">
      <c r="A30" s="13" t="s">
        <v>68</v>
      </c>
      <c r="B30" s="13" t="s">
        <v>69</v>
      </c>
      <c r="C30" s="13" t="s">
        <v>61</v>
      </c>
      <c r="D30" s="13" t="s">
        <v>28</v>
      </c>
      <c r="E30" s="13" t="s">
        <v>61</v>
      </c>
      <c r="F30" s="14" t="n">
        <v>130.425</v>
      </c>
      <c r="G30" s="15" t="n">
        <v>0.3136</v>
      </c>
      <c r="H30" s="16" t="n">
        <v>2.13</v>
      </c>
      <c r="I30" s="16" t="n">
        <v>0.2</v>
      </c>
      <c r="J30" s="16" t="n">
        <v>35.53</v>
      </c>
      <c r="K30" s="16" t="n">
        <v>57.99</v>
      </c>
      <c r="L30" s="16" t="n">
        <v>4.14</v>
      </c>
      <c r="M30" s="15" t="n">
        <f aca="false">(0.02*H30+0.1*I30+0.3*J30+0.55*K30+0.8*L30)/100</f>
        <v>0.459281</v>
      </c>
      <c r="N30" s="14" t="n">
        <f aca="false">$F30*H30/100</f>
        <v>2.7780525</v>
      </c>
      <c r="O30" s="14" t="n">
        <f aca="false">$F30*(I30+J30)/100</f>
        <v>46.6008525</v>
      </c>
      <c r="P30" s="14" t="n">
        <f aca="false">$F30*K30/100</f>
        <v>75.6334575</v>
      </c>
      <c r="Q30" s="14" t="n">
        <f aca="false">$F30*L30/100</f>
        <v>5.399595</v>
      </c>
      <c r="R30" s="17" t="n">
        <f aca="false">(I30+J30)/100</f>
        <v>0.3573</v>
      </c>
      <c r="S30" s="15" t="n">
        <f aca="false">M30-(SLOPE($M$7:$M$65,$G$7:$G$65)*G30+INTERCEPT($M$7:$M$65,$G$7:$G$65))</f>
        <v>0.0863096898326971</v>
      </c>
      <c r="T30" s="18" t="str">
        <f aca="false">IF(G30&lt;=0.3813,IF((I30+J30)&gt;=60,"A. Degradación convergente","B. Degradación estructural enmascarada por verdor estacional"),IF((I30+J30)&gt;=30,"C. Cobertura media con núcleos degradados","D. Cobertura conservada convergente"))</f>
        <v>B. Degradación estructural enmascarada por verdor estacional</v>
      </c>
      <c r="U30" s="18" t="s">
        <v>38</v>
      </c>
    </row>
    <row r="31" customFormat="false" ht="32.25" hidden="false" customHeight="true" outlineLevel="0" collapsed="false">
      <c r="A31" s="7" t="s">
        <v>70</v>
      </c>
      <c r="B31" s="7" t="s">
        <v>69</v>
      </c>
      <c r="C31" s="7" t="s">
        <v>61</v>
      </c>
      <c r="D31" s="7" t="s">
        <v>28</v>
      </c>
      <c r="E31" s="7" t="s">
        <v>61</v>
      </c>
      <c r="F31" s="8" t="n">
        <v>115.379</v>
      </c>
      <c r="G31" s="9" t="n">
        <v>0.2877</v>
      </c>
      <c r="H31" s="10" t="n">
        <v>1.05</v>
      </c>
      <c r="I31" s="10" t="n">
        <v>0.2</v>
      </c>
      <c r="J31" s="10" t="n">
        <v>47.7</v>
      </c>
      <c r="K31" s="10" t="n">
        <v>50.59</v>
      </c>
      <c r="L31" s="10" t="n">
        <v>0.46</v>
      </c>
      <c r="M31" s="9" t="n">
        <f aca="false">(0.02*H31+0.1*I31+0.3*J31+0.55*K31+0.8*L31)/100</f>
        <v>0.425435</v>
      </c>
      <c r="N31" s="8" t="n">
        <f aca="false">$F31*H31/100</f>
        <v>1.2114795</v>
      </c>
      <c r="O31" s="8" t="n">
        <f aca="false">$F31*(I31+J31)/100</f>
        <v>55.266541</v>
      </c>
      <c r="P31" s="8" t="n">
        <f aca="false">$F31*K31/100</f>
        <v>58.3702361</v>
      </c>
      <c r="Q31" s="8" t="n">
        <f aca="false">$F31*L31/100</f>
        <v>0.5307434</v>
      </c>
      <c r="R31" s="11" t="n">
        <f aca="false">(I31+J31)/100</f>
        <v>0.479</v>
      </c>
      <c r="S31" s="9" t="n">
        <f aca="false">M31-(SLOPE($M$7:$M$65,$G$7:$G$65)*G31+INTERCEPT($M$7:$M$65,$G$7:$G$65))</f>
        <v>0.0836823686173334</v>
      </c>
      <c r="T31" s="12" t="str">
        <f aca="false">IF(G31&lt;=0.3813,IF((I31+J31)&gt;=60,"A. Degradación convergente","B. Degradación estructural enmascarada por verdor estacional"),IF((I31+J31)&gt;=30,"C. Cobertura media con núcleos degradados","D. Cobertura conservada convergente"))</f>
        <v>B. Degradación estructural enmascarada por verdor estacional</v>
      </c>
      <c r="U31" s="12" t="s">
        <v>38</v>
      </c>
    </row>
    <row r="32" customFormat="false" ht="32.25" hidden="false" customHeight="true" outlineLevel="0" collapsed="false">
      <c r="A32" s="13" t="s">
        <v>71</v>
      </c>
      <c r="B32" s="13" t="s">
        <v>69</v>
      </c>
      <c r="C32" s="13" t="s">
        <v>61</v>
      </c>
      <c r="D32" s="13" t="s">
        <v>28</v>
      </c>
      <c r="E32" s="13" t="s">
        <v>61</v>
      </c>
      <c r="F32" s="14" t="n">
        <v>65.745</v>
      </c>
      <c r="G32" s="15" t="n">
        <v>0.298</v>
      </c>
      <c r="H32" s="16" t="n">
        <v>0.74</v>
      </c>
      <c r="I32" s="16" t="n">
        <v>1.25</v>
      </c>
      <c r="J32" s="16" t="n">
        <v>50.02</v>
      </c>
      <c r="K32" s="16" t="n">
        <v>46.84</v>
      </c>
      <c r="L32" s="16" t="n">
        <v>1.16</v>
      </c>
      <c r="M32" s="15" t="n">
        <f aca="false">(0.02*H32+0.1*I32+0.3*J32+0.55*K32+0.8*L32)/100</f>
        <v>0.418358</v>
      </c>
      <c r="N32" s="14" t="n">
        <f aca="false">$F32*H32/100</f>
        <v>0.486513</v>
      </c>
      <c r="O32" s="14" t="n">
        <f aca="false">$F32*(I32+J32)/100</f>
        <v>33.7074615</v>
      </c>
      <c r="P32" s="14" t="n">
        <f aca="false">$F32*K32/100</f>
        <v>30.794958</v>
      </c>
      <c r="Q32" s="14" t="n">
        <f aca="false">$F32*L32/100</f>
        <v>0.762642</v>
      </c>
      <c r="R32" s="17" t="n">
        <f aca="false">(I32+J32)/100</f>
        <v>0.5127</v>
      </c>
      <c r="S32" s="15" t="n">
        <f aca="false">M32-(SLOPE($M$7:$M$65,$G$7:$G$65)*G32+INTERCEPT($M$7:$M$65,$G$7:$G$65))</f>
        <v>0.0641902183670726</v>
      </c>
      <c r="T32" s="18" t="str">
        <f aca="false">IF(G32&lt;=0.3813,IF((I32+J32)&gt;=60,"A. Degradación convergente","B. Degradación estructural enmascarada por verdor estacional"),IF((I32+J32)&gt;=30,"C. Cobertura media con núcleos degradados","D. Cobertura conservada convergente"))</f>
        <v>B. Degradación estructural enmascarada por verdor estacional</v>
      </c>
      <c r="U32" s="18" t="s">
        <v>38</v>
      </c>
    </row>
    <row r="33" customFormat="false" ht="21.75" hidden="false" customHeight="true" outlineLevel="0" collapsed="false">
      <c r="A33" s="7" t="s">
        <v>72</v>
      </c>
      <c r="B33" s="7" t="s">
        <v>69</v>
      </c>
      <c r="C33" s="7" t="s">
        <v>61</v>
      </c>
      <c r="D33" s="7" t="s">
        <v>28</v>
      </c>
      <c r="E33" s="7" t="s">
        <v>61</v>
      </c>
      <c r="F33" s="8" t="n">
        <v>91.285</v>
      </c>
      <c r="G33" s="9" t="n">
        <v>0.2878</v>
      </c>
      <c r="H33" s="10" t="n">
        <v>0.01</v>
      </c>
      <c r="I33" s="10" t="n">
        <v>0.41</v>
      </c>
      <c r="J33" s="10" t="n">
        <v>51.67</v>
      </c>
      <c r="K33" s="10" t="n">
        <v>47.17</v>
      </c>
      <c r="L33" s="10" t="n">
        <v>0.75</v>
      </c>
      <c r="M33" s="9" t="n">
        <f aca="false">(0.02*H33+0.1*I33+0.3*J33+0.55*K33+0.8*L33)/100</f>
        <v>0.420857</v>
      </c>
      <c r="N33" s="8" t="n">
        <f aca="false">$F33*H33/100</f>
        <v>0.0091285</v>
      </c>
      <c r="O33" s="8" t="n">
        <f aca="false">$F33*(I33+J33)/100</f>
        <v>47.541228</v>
      </c>
      <c r="P33" s="8" t="n">
        <f aca="false">$F33*K33/100</f>
        <v>43.0591345</v>
      </c>
      <c r="Q33" s="8" t="n">
        <f aca="false">$F33*L33/100</f>
        <v>0.6846375</v>
      </c>
      <c r="R33" s="11" t="n">
        <f aca="false">(I33+J33)/100</f>
        <v>0.5208</v>
      </c>
      <c r="S33" s="9" t="n">
        <f aca="false">M33-(SLOPE($M$7:$M$65,$G$7:$G$65)*G33+INTERCEPT($M$7:$M$65,$G$7:$G$65))</f>
        <v>0.0789838331780104</v>
      </c>
      <c r="T33" s="12" t="str">
        <f aca="false">IF(G33&lt;=0.3813,IF((I33+J33)&gt;=60,"A. Degradación convergente","B. Degradación estructural enmascarada por verdor estacional"),IF((I33+J33)&gt;=30,"C. Cobertura media con núcleos degradados","D. Cobertura conservada convergente"))</f>
        <v>B. Degradación estructural enmascarada por verdor estacional</v>
      </c>
      <c r="U33" s="12" t="s">
        <v>29</v>
      </c>
    </row>
    <row r="34" customFormat="false" ht="15" hidden="false" customHeight="true" outlineLevel="0" collapsed="false">
      <c r="A34" s="13" t="s">
        <v>73</v>
      </c>
      <c r="B34" s="13" t="s">
        <v>74</v>
      </c>
      <c r="C34" s="13" t="s">
        <v>75</v>
      </c>
      <c r="D34" s="13" t="s">
        <v>28</v>
      </c>
      <c r="E34" s="13" t="s">
        <v>76</v>
      </c>
      <c r="F34" s="14" t="n">
        <v>17.821</v>
      </c>
      <c r="G34" s="15" t="n">
        <v>0.2725</v>
      </c>
      <c r="H34" s="16" t="n">
        <v>0.5</v>
      </c>
      <c r="I34" s="16" t="n">
        <v>29.43</v>
      </c>
      <c r="J34" s="16" t="n">
        <v>62.9</v>
      </c>
      <c r="K34" s="16" t="n">
        <v>7.09</v>
      </c>
      <c r="L34" s="16" t="n">
        <v>0.08</v>
      </c>
      <c r="M34" s="15" t="n">
        <f aca="false">(0.02*H34+0.1*I34+0.3*J34+0.55*K34+0.8*L34)/100</f>
        <v>0.257865</v>
      </c>
      <c r="N34" s="14" t="n">
        <f aca="false">$F34*H34/100</f>
        <v>0.089105</v>
      </c>
      <c r="O34" s="14" t="n">
        <f aca="false">$F34*(I34+J34)/100</f>
        <v>16.4541293</v>
      </c>
      <c r="P34" s="14" t="n">
        <f aca="false">$F34*K34/100</f>
        <v>1.2635089</v>
      </c>
      <c r="Q34" s="14" t="n">
        <f aca="false">$F34*L34/100</f>
        <v>0.0142568</v>
      </c>
      <c r="R34" s="17" t="n">
        <f aca="false">(I34+J34)/100</f>
        <v>0.9233</v>
      </c>
      <c r="S34" s="15" t="n">
        <f aca="false">M34-(SLOPE($M$7:$M$65,$G$7:$G$65)*G34+INTERCEPT($M$7:$M$65,$G$7:$G$65))</f>
        <v>-0.0655662446055829</v>
      </c>
      <c r="T34" s="18" t="str">
        <f aca="false">IF(G34&lt;=0.3813,IF((I34+J34)&gt;=60,"A. Degradación convergente","B. Degradación estructural enmascarada por verdor estacional"),IF((I34+J34)&gt;=30,"C. Cobertura media con núcleos degradados","D. Cobertura conservada convergente"))</f>
        <v>A. Degradación convergente</v>
      </c>
      <c r="U34" s="18" t="s">
        <v>38</v>
      </c>
    </row>
    <row r="35" customFormat="false" ht="15" hidden="false" customHeight="true" outlineLevel="0" collapsed="false">
      <c r="A35" s="7" t="s">
        <v>77</v>
      </c>
      <c r="B35" s="7" t="s">
        <v>74</v>
      </c>
      <c r="C35" s="7" t="s">
        <v>75</v>
      </c>
      <c r="D35" s="7" t="s">
        <v>28</v>
      </c>
      <c r="E35" s="7" t="s">
        <v>76</v>
      </c>
      <c r="F35" s="8" t="n">
        <v>24.344</v>
      </c>
      <c r="G35" s="9" t="n">
        <v>0.3055</v>
      </c>
      <c r="H35" s="10" t="n">
        <v>0.39</v>
      </c>
      <c r="I35" s="10" t="n">
        <v>10.25</v>
      </c>
      <c r="J35" s="10" t="n">
        <v>61.46</v>
      </c>
      <c r="K35" s="10" t="n">
        <v>25.26</v>
      </c>
      <c r="L35" s="10" t="n">
        <v>2.64</v>
      </c>
      <c r="M35" s="9" t="n">
        <f aca="false">(0.02*H35+0.1*I35+0.3*J35+0.55*K35+0.8*L35)/100</f>
        <v>0.354758</v>
      </c>
      <c r="N35" s="8" t="n">
        <f aca="false">$F35*H35/100</f>
        <v>0.0949416</v>
      </c>
      <c r="O35" s="8" t="n">
        <f aca="false">$F35*(I35+J35)/100</f>
        <v>17.4570824</v>
      </c>
      <c r="P35" s="8" t="n">
        <f aca="false">$F35*K35/100</f>
        <v>6.1492944</v>
      </c>
      <c r="Q35" s="8" t="n">
        <f aca="false">$F35*L35/100</f>
        <v>0.6426816</v>
      </c>
      <c r="R35" s="11" t="n">
        <f aca="false">(I35+J35)/100</f>
        <v>0.7171</v>
      </c>
      <c r="S35" s="9" t="n">
        <f aca="false">M35-(SLOPE($M$7:$M$65,$G$7:$G$65)*G35+INTERCEPT($M$7:$M$65,$G$7:$G$65))</f>
        <v>-0.00844993958214635</v>
      </c>
      <c r="T35" s="12" t="str">
        <f aca="false">IF(G35&lt;=0.3813,IF((I35+J35)&gt;=60,"A. Degradación convergente","B. Degradación estructural enmascarada por verdor estacional"),IF((I35+J35)&gt;=30,"C. Cobertura media con núcleos degradados","D. Cobertura conservada convergente"))</f>
        <v>A. Degradación convergente</v>
      </c>
      <c r="U35" s="12" t="s">
        <v>38</v>
      </c>
    </row>
    <row r="36" customFormat="false" ht="15" hidden="false" customHeight="true" outlineLevel="0" collapsed="false">
      <c r="A36" s="13" t="s">
        <v>78</v>
      </c>
      <c r="B36" s="13" t="s">
        <v>74</v>
      </c>
      <c r="C36" s="13" t="s">
        <v>75</v>
      </c>
      <c r="D36" s="13" t="s">
        <v>28</v>
      </c>
      <c r="E36" s="13" t="s">
        <v>76</v>
      </c>
      <c r="F36" s="14" t="n">
        <v>5.097</v>
      </c>
      <c r="G36" s="15" t="n">
        <v>0.2516</v>
      </c>
      <c r="H36" s="16" t="n">
        <v>0.35</v>
      </c>
      <c r="I36" s="16" t="n">
        <v>21.76</v>
      </c>
      <c r="J36" s="16" t="n">
        <v>63.18</v>
      </c>
      <c r="K36" s="16" t="n">
        <v>12.73</v>
      </c>
      <c r="L36" s="16" t="n">
        <v>1.98</v>
      </c>
      <c r="M36" s="15" t="n">
        <f aca="false">(0.02*H36+0.1*I36+0.3*J36+0.55*K36+0.8*L36)/100</f>
        <v>0.297225</v>
      </c>
      <c r="N36" s="14" t="n">
        <f aca="false">$F36*H36/100</f>
        <v>0.0178395</v>
      </c>
      <c r="O36" s="14" t="n">
        <f aca="false">$F36*(I36+J36)/100</f>
        <v>4.3293918</v>
      </c>
      <c r="P36" s="14" t="n">
        <f aca="false">$F36*K36/100</f>
        <v>0.6488481</v>
      </c>
      <c r="Q36" s="14" t="n">
        <f aca="false">$F36*L36/100</f>
        <v>0.1009206</v>
      </c>
      <c r="R36" s="17" t="n">
        <f aca="false">(I36+J36)/100</f>
        <v>0.8494</v>
      </c>
      <c r="S36" s="15" t="n">
        <f aca="false">M36-(SLOPE($M$7:$M$65,$G$7:$G$65)*G36+INTERCEPT($M$7:$M$65,$G$7:$G$65))</f>
        <v>-0.00101433778709248</v>
      </c>
      <c r="T36" s="18" t="str">
        <f aca="false">IF(G36&lt;=0.3813,IF((I36+J36)&gt;=60,"A. Degradación convergente","B. Degradación estructural enmascarada por verdor estacional"),IF((I36+J36)&gt;=30,"C. Cobertura media con núcleos degradados","D. Cobertura conservada convergente"))</f>
        <v>A. Degradación convergente</v>
      </c>
      <c r="U36" s="18" t="s">
        <v>38</v>
      </c>
    </row>
    <row r="37" customFormat="false" ht="21.75" hidden="false" customHeight="true" outlineLevel="0" collapsed="false">
      <c r="A37" s="7" t="s">
        <v>79</v>
      </c>
      <c r="B37" s="7" t="s">
        <v>74</v>
      </c>
      <c r="C37" s="7" t="s">
        <v>75</v>
      </c>
      <c r="D37" s="7" t="s">
        <v>28</v>
      </c>
      <c r="E37" s="7" t="s">
        <v>76</v>
      </c>
      <c r="F37" s="8" t="n">
        <v>11.906</v>
      </c>
      <c r="G37" s="9" t="n">
        <v>0.2289</v>
      </c>
      <c r="H37" s="10" t="n">
        <v>0.1</v>
      </c>
      <c r="I37" s="10" t="n">
        <v>56.2</v>
      </c>
      <c r="J37" s="10" t="n">
        <v>42.73</v>
      </c>
      <c r="K37" s="10" t="n">
        <v>0.97</v>
      </c>
      <c r="L37" s="10" t="n">
        <v>0</v>
      </c>
      <c r="M37" s="9" t="n">
        <f aca="false">(0.02*H37+0.1*I37+0.3*J37+0.55*K37+0.8*L37)/100</f>
        <v>0.189745</v>
      </c>
      <c r="N37" s="8" t="n">
        <f aca="false">$F37*H37/100</f>
        <v>0.011906</v>
      </c>
      <c r="O37" s="8" t="n">
        <f aca="false">$F37*(I37+J37)/100</f>
        <v>11.7786058</v>
      </c>
      <c r="P37" s="8" t="n">
        <f aca="false">$F37*K37/100</f>
        <v>0.1154882</v>
      </c>
      <c r="Q37" s="8" t="n">
        <f aca="false">$F37*L37/100</f>
        <v>0</v>
      </c>
      <c r="R37" s="11" t="n">
        <f aca="false">(I37+J37)/100</f>
        <v>0.9893</v>
      </c>
      <c r="S37" s="9" t="n">
        <f aca="false">M37-(SLOPE($M$7:$M$65,$G$7:$G$65)*G37+INTERCEPT($M$7:$M$65,$G$7:$G$65))</f>
        <v>-0.0811327930607896</v>
      </c>
      <c r="T37" s="12" t="str">
        <f aca="false">IF(G37&lt;=0.3813,IF((I37+J37)&gt;=60,"A. Degradación convergente","B. Degradación estructural enmascarada por verdor estacional"),IF((I37+J37)&gt;=30,"C. Cobertura media con núcleos degradados","D. Cobertura conservada convergente"))</f>
        <v>A. Degradación convergente</v>
      </c>
      <c r="U37" s="12" t="s">
        <v>38</v>
      </c>
    </row>
    <row r="38" customFormat="false" ht="15" hidden="false" customHeight="true" outlineLevel="0" collapsed="false">
      <c r="A38" s="13" t="s">
        <v>80</v>
      </c>
      <c r="B38" s="13" t="s">
        <v>74</v>
      </c>
      <c r="C38" s="13" t="s">
        <v>75</v>
      </c>
      <c r="D38" s="13" t="s">
        <v>28</v>
      </c>
      <c r="E38" s="13" t="s">
        <v>76</v>
      </c>
      <c r="F38" s="14" t="n">
        <v>30.001</v>
      </c>
      <c r="G38" s="15" t="n">
        <v>0.2735</v>
      </c>
      <c r="H38" s="16" t="n">
        <v>0</v>
      </c>
      <c r="I38" s="16" t="n">
        <v>20.02</v>
      </c>
      <c r="J38" s="16" t="n">
        <v>70.12</v>
      </c>
      <c r="K38" s="16" t="n">
        <v>8.87</v>
      </c>
      <c r="L38" s="16" t="n">
        <v>0.99</v>
      </c>
      <c r="M38" s="15" t="n">
        <f aca="false">(0.02*H38+0.1*I38+0.3*J38+0.55*K38+0.8*L38)/100</f>
        <v>0.287085</v>
      </c>
      <c r="N38" s="14" t="n">
        <f aca="false">$F38*H38/100</f>
        <v>0</v>
      </c>
      <c r="O38" s="14" t="n">
        <f aca="false">$F38*(I38+J38)/100</f>
        <v>27.0429014</v>
      </c>
      <c r="P38" s="14" t="n">
        <f aca="false">$F38*K38/100</f>
        <v>2.6610887</v>
      </c>
      <c r="Q38" s="14" t="n">
        <f aca="false">$F38*L38/100</f>
        <v>0.2970099</v>
      </c>
      <c r="R38" s="17" t="n">
        <f aca="false">(I38+J38)/100</f>
        <v>0.9014</v>
      </c>
      <c r="S38" s="15" t="n">
        <f aca="false">M38-(SLOPE($M$7:$M$65,$G$7:$G$65)*G38+INTERCEPT($M$7:$M$65,$G$7:$G$65))</f>
        <v>-0.037551598998812</v>
      </c>
      <c r="T38" s="18" t="str">
        <f aca="false">IF(G38&lt;=0.3813,IF((I38+J38)&gt;=60,"A. Degradación convergente","B. Degradación estructural enmascarada por verdor estacional"),IF((I38+J38)&gt;=30,"C. Cobertura media con núcleos degradados","D. Cobertura conservada convergente"))</f>
        <v>A. Degradación convergente</v>
      </c>
      <c r="U38" s="18" t="s">
        <v>38</v>
      </c>
    </row>
    <row r="39" customFormat="false" ht="21.75" hidden="false" customHeight="true" outlineLevel="0" collapsed="false">
      <c r="A39" s="7" t="s">
        <v>81</v>
      </c>
      <c r="B39" s="7" t="s">
        <v>74</v>
      </c>
      <c r="C39" s="7" t="s">
        <v>75</v>
      </c>
      <c r="D39" s="7" t="s">
        <v>28</v>
      </c>
      <c r="E39" s="7" t="s">
        <v>76</v>
      </c>
      <c r="F39" s="8" t="n">
        <v>62.219</v>
      </c>
      <c r="G39" s="9" t="n">
        <v>0.2487</v>
      </c>
      <c r="H39" s="10" t="n">
        <v>0.44</v>
      </c>
      <c r="I39" s="10" t="n">
        <v>33.51</v>
      </c>
      <c r="J39" s="10" t="n">
        <v>62.16</v>
      </c>
      <c r="K39" s="10" t="n">
        <v>3.49</v>
      </c>
      <c r="L39" s="10" t="n">
        <v>0.4</v>
      </c>
      <c r="M39" s="9" t="n">
        <f aca="false">(0.02*H39+0.1*I39+0.3*J39+0.55*K39+0.8*L39)/100</f>
        <v>0.242473</v>
      </c>
      <c r="N39" s="8" t="n">
        <f aca="false">$F39*H39/100</f>
        <v>0.2737636</v>
      </c>
      <c r="O39" s="8" t="n">
        <f aca="false">$F39*(I39+J39)/100</f>
        <v>59.5249173</v>
      </c>
      <c r="P39" s="8" t="n">
        <f aca="false">$F39*K39/100</f>
        <v>2.1714431</v>
      </c>
      <c r="Q39" s="8" t="n">
        <f aca="false">$F39*L39/100</f>
        <v>0.248876</v>
      </c>
      <c r="R39" s="11" t="n">
        <f aca="false">(I39+J39)/100</f>
        <v>0.9567</v>
      </c>
      <c r="S39" s="9" t="n">
        <f aca="false">M39-(SLOPE($M$7:$M$65,$G$7:$G$65)*G39+INTERCEPT($M$7:$M$65,$G$7:$G$65))</f>
        <v>-0.0522708100467278</v>
      </c>
      <c r="T39" s="12" t="str">
        <f aca="false">IF(G39&lt;=0.3813,IF((I39+J39)&gt;=60,"A. Degradación convergente","B. Degradación estructural enmascarada por verdor estacional"),IF((I39+J39)&gt;=30,"C. Cobertura media con núcleos degradados","D. Cobertura conservada convergente"))</f>
        <v>A. Degradación convergente</v>
      </c>
      <c r="U39" s="12" t="s">
        <v>38</v>
      </c>
    </row>
    <row r="40" customFormat="false" ht="15" hidden="false" customHeight="true" outlineLevel="0" collapsed="false">
      <c r="A40" s="13" t="s">
        <v>82</v>
      </c>
      <c r="B40" s="13" t="s">
        <v>74</v>
      </c>
      <c r="C40" s="13" t="s">
        <v>75</v>
      </c>
      <c r="D40" s="13" t="s">
        <v>28</v>
      </c>
      <c r="E40" s="13" t="s">
        <v>76</v>
      </c>
      <c r="F40" s="14" t="n">
        <v>106.027</v>
      </c>
      <c r="G40" s="15" t="n">
        <v>0.3956</v>
      </c>
      <c r="H40" s="16" t="n">
        <v>0</v>
      </c>
      <c r="I40" s="16" t="n">
        <v>0.87</v>
      </c>
      <c r="J40" s="16" t="n">
        <v>29.18</v>
      </c>
      <c r="K40" s="16" t="n">
        <v>50.23</v>
      </c>
      <c r="L40" s="16" t="n">
        <v>19.72</v>
      </c>
      <c r="M40" s="15" t="n">
        <f aca="false">(0.02*H40+0.1*I40+0.3*J40+0.55*K40+0.8*L40)/100</f>
        <v>0.522435</v>
      </c>
      <c r="N40" s="14" t="n">
        <f aca="false">$F40*H40/100</f>
        <v>0</v>
      </c>
      <c r="O40" s="14" t="n">
        <f aca="false">$F40*(I40+J40)/100</f>
        <v>31.8611135</v>
      </c>
      <c r="P40" s="14" t="n">
        <f aca="false">$F40*K40/100</f>
        <v>53.2573621</v>
      </c>
      <c r="Q40" s="14" t="n">
        <f aca="false">$F40*L40/100</f>
        <v>20.9085244</v>
      </c>
      <c r="R40" s="17" t="n">
        <f aca="false">(I40+J40)/100</f>
        <v>0.3005</v>
      </c>
      <c r="S40" s="15" t="n">
        <f aca="false">M40-(SLOPE($M$7:$M$65,$G$7:$G$65)*G40+INTERCEPT($M$7:$M$65,$G$7:$G$65))</f>
        <v>0.0506246295879025</v>
      </c>
      <c r="T40" s="18" t="str">
        <f aca="false">IF(G40&lt;=0.3813,IF((I40+J40)&gt;=60,"A. Degradación convergente","B. Degradación estructural enmascarada por verdor estacional"),IF((I40+J40)&gt;=30,"C. Cobertura media con núcleos degradados","D. Cobertura conservada convergente"))</f>
        <v>C. Cobertura media con núcleos degradados</v>
      </c>
      <c r="U40" s="18" t="s">
        <v>38</v>
      </c>
    </row>
    <row r="41" customFormat="false" ht="21.75" hidden="false" customHeight="true" outlineLevel="0" collapsed="false">
      <c r="A41" s="7" t="s">
        <v>83</v>
      </c>
      <c r="B41" s="7" t="s">
        <v>66</v>
      </c>
      <c r="C41" s="7" t="s">
        <v>75</v>
      </c>
      <c r="D41" s="7" t="s">
        <v>28</v>
      </c>
      <c r="E41" s="7" t="s">
        <v>76</v>
      </c>
      <c r="F41" s="8" t="n">
        <v>84.825</v>
      </c>
      <c r="G41" s="9" t="n">
        <v>0.2985</v>
      </c>
      <c r="H41" s="10" t="n">
        <v>1.14</v>
      </c>
      <c r="I41" s="10" t="n">
        <v>1.74</v>
      </c>
      <c r="J41" s="10" t="n">
        <v>56.49</v>
      </c>
      <c r="K41" s="10" t="n">
        <v>40.23</v>
      </c>
      <c r="L41" s="10" t="n">
        <v>0.4</v>
      </c>
      <c r="M41" s="9" t="n">
        <f aca="false">(0.02*H41+0.1*I41+0.3*J41+0.55*K41+0.8*L41)/100</f>
        <v>0.395903</v>
      </c>
      <c r="N41" s="8" t="n">
        <f aca="false">$F41*H41/100</f>
        <v>0.967005</v>
      </c>
      <c r="O41" s="8" t="n">
        <f aca="false">$F41*(I41+J41)/100</f>
        <v>49.3935975</v>
      </c>
      <c r="P41" s="8" t="n">
        <f aca="false">$F41*K41/100</f>
        <v>34.1250975</v>
      </c>
      <c r="Q41" s="8" t="n">
        <f aca="false">$F41*L41/100</f>
        <v>0.3393</v>
      </c>
      <c r="R41" s="11" t="n">
        <f aca="false">(I41+J41)/100</f>
        <v>0.5823</v>
      </c>
      <c r="S41" s="9" t="n">
        <f aca="false">M41-(SLOPE($M$7:$M$65,$G$7:$G$65)*G41+INTERCEPT($M$7:$M$65,$G$7:$G$65))</f>
        <v>0.041132541170458</v>
      </c>
      <c r="T41" s="12" t="str">
        <f aca="false">IF(G41&lt;=0.3813,IF((I41+J41)&gt;=60,"A. Degradación convergente","B. Degradación estructural enmascarada por verdor estacional"),IF((I41+J41)&gt;=30,"C. Cobertura media con núcleos degradados","D. Cobertura conservada convergente"))</f>
        <v>B. Degradación estructural enmascarada por verdor estacional</v>
      </c>
      <c r="U41" s="12" t="s">
        <v>38</v>
      </c>
    </row>
    <row r="42" customFormat="false" ht="15" hidden="false" customHeight="true" outlineLevel="0" collapsed="false">
      <c r="A42" s="13" t="s">
        <v>84</v>
      </c>
      <c r="B42" s="13" t="s">
        <v>66</v>
      </c>
      <c r="C42" s="13" t="s">
        <v>75</v>
      </c>
      <c r="D42" s="13" t="s">
        <v>28</v>
      </c>
      <c r="E42" s="13" t="s">
        <v>76</v>
      </c>
      <c r="F42" s="14" t="n">
        <v>52.743</v>
      </c>
      <c r="G42" s="15" t="n">
        <v>0.283</v>
      </c>
      <c r="H42" s="16" t="n">
        <v>0</v>
      </c>
      <c r="I42" s="16" t="n">
        <v>7.76</v>
      </c>
      <c r="J42" s="16" t="n">
        <v>79.6</v>
      </c>
      <c r="K42" s="16" t="n">
        <v>12.53</v>
      </c>
      <c r="L42" s="16" t="n">
        <v>0.11</v>
      </c>
      <c r="M42" s="15" t="n">
        <f aca="false">(0.02*H42+0.1*I42+0.3*J42+0.55*K42+0.8*L42)/100</f>
        <v>0.316355</v>
      </c>
      <c r="N42" s="14" t="n">
        <f aca="false">$F42*H42/100</f>
        <v>0</v>
      </c>
      <c r="O42" s="14" t="n">
        <f aca="false">$F42*(I42+J42)/100</f>
        <v>46.0762848</v>
      </c>
      <c r="P42" s="14" t="n">
        <f aca="false">$F42*K42/100</f>
        <v>6.6086979</v>
      </c>
      <c r="Q42" s="14" t="n">
        <f aca="false">$F42*L42/100</f>
        <v>0.0580173</v>
      </c>
      <c r="R42" s="17" t="n">
        <f aca="false">(I42+J42)/100</f>
        <v>0.8736</v>
      </c>
      <c r="S42" s="15" t="n">
        <f aca="false">M42-(SLOPE($M$7:$M$65,$G$7:$G$65)*G42+INTERCEPT($M$7:$M$65,$G$7:$G$65))</f>
        <v>-0.0197324657344894</v>
      </c>
      <c r="T42" s="18" t="str">
        <f aca="false">IF(G42&lt;=0.3813,IF((I42+J42)&gt;=60,"A. Degradación convergente","B. Degradación estructural enmascarada por verdor estacional"),IF((I42+J42)&gt;=30,"C. Cobertura media con núcleos degradados","D. Cobertura conservada convergente"))</f>
        <v>A. Degradación convergente</v>
      </c>
      <c r="U42" s="18" t="s">
        <v>29</v>
      </c>
    </row>
    <row r="43" customFormat="false" ht="21.75" hidden="false" customHeight="true" outlineLevel="0" collapsed="false">
      <c r="A43" s="7" t="s">
        <v>85</v>
      </c>
      <c r="B43" s="7" t="s">
        <v>66</v>
      </c>
      <c r="C43" s="7" t="s">
        <v>75</v>
      </c>
      <c r="D43" s="7" t="s">
        <v>28</v>
      </c>
      <c r="E43" s="7" t="s">
        <v>76</v>
      </c>
      <c r="F43" s="8" t="n">
        <v>60.352</v>
      </c>
      <c r="G43" s="9" t="n">
        <v>0.3425</v>
      </c>
      <c r="H43" s="10" t="n">
        <v>1.41</v>
      </c>
      <c r="I43" s="10" t="n">
        <v>3.03</v>
      </c>
      <c r="J43" s="10" t="n">
        <v>53.07</v>
      </c>
      <c r="K43" s="10" t="n">
        <v>41.42</v>
      </c>
      <c r="L43" s="10" t="n">
        <v>1.06</v>
      </c>
      <c r="M43" s="9" t="n">
        <f aca="false">(0.02*H43+0.1*I43+0.3*J43+0.55*K43+0.8*L43)/100</f>
        <v>0.398812</v>
      </c>
      <c r="N43" s="8" t="n">
        <f aca="false">$F43*H43/100</f>
        <v>0.8509632</v>
      </c>
      <c r="O43" s="8" t="n">
        <f aca="false">$F43*(I43+J43)/100</f>
        <v>33.857472</v>
      </c>
      <c r="P43" s="8" t="n">
        <f aca="false">$F43*K43/100</f>
        <v>24.9977984</v>
      </c>
      <c r="Q43" s="8" t="n">
        <f aca="false">$F43*L43/100</f>
        <v>0.6397312</v>
      </c>
      <c r="R43" s="11" t="n">
        <f aca="false">(I43+J43)/100</f>
        <v>0.561</v>
      </c>
      <c r="S43" s="9" t="n">
        <f aca="false">M43-(SLOPE($M$7:$M$65,$G$7:$G$65)*G43+INTERCEPT($M$7:$M$65,$G$7:$G$65))</f>
        <v>-0.00899405213162691</v>
      </c>
      <c r="T43" s="12" t="str">
        <f aca="false">IF(G43&lt;=0.3813,IF((I43+J43)&gt;=60,"A. Degradación convergente","B. Degradación estructural enmascarada por verdor estacional"),IF((I43+J43)&gt;=30,"C. Cobertura media con núcleos degradados","D. Cobertura conservada convergente"))</f>
        <v>B. Degradación estructural enmascarada por verdor estacional</v>
      </c>
      <c r="U43" s="12" t="s">
        <v>29</v>
      </c>
    </row>
    <row r="44" customFormat="false" ht="32.25" hidden="false" customHeight="true" outlineLevel="0" collapsed="false">
      <c r="A44" s="13" t="s">
        <v>86</v>
      </c>
      <c r="B44" s="13" t="s">
        <v>66</v>
      </c>
      <c r="C44" s="13" t="s">
        <v>75</v>
      </c>
      <c r="D44" s="13" t="s">
        <v>28</v>
      </c>
      <c r="E44" s="13" t="s">
        <v>76</v>
      </c>
      <c r="F44" s="14" t="n">
        <v>122.946</v>
      </c>
      <c r="G44" s="15" t="n">
        <v>0.3707</v>
      </c>
      <c r="H44" s="16" t="n">
        <v>0.69</v>
      </c>
      <c r="I44" s="16" t="n">
        <v>0.45</v>
      </c>
      <c r="J44" s="16" t="n">
        <v>46.41</v>
      </c>
      <c r="K44" s="16" t="n">
        <v>46.07</v>
      </c>
      <c r="L44" s="16" t="n">
        <v>6.37</v>
      </c>
      <c r="M44" s="15" t="n">
        <f aca="false">(0.02*H44+0.1*I44+0.3*J44+0.55*K44+0.8*L44)/100</f>
        <v>0.444163</v>
      </c>
      <c r="N44" s="14" t="n">
        <f aca="false">$F44*H44/100</f>
        <v>0.8483274</v>
      </c>
      <c r="O44" s="14" t="n">
        <f aca="false">$F44*(I44+J44)/100</f>
        <v>57.6124956</v>
      </c>
      <c r="P44" s="14" t="n">
        <f aca="false">$F44*K44/100</f>
        <v>56.6412222</v>
      </c>
      <c r="Q44" s="14" t="n">
        <f aca="false">$F44*L44/100</f>
        <v>7.8316602</v>
      </c>
      <c r="R44" s="17" t="n">
        <f aca="false">(I44+J44)/100</f>
        <v>0.4686</v>
      </c>
      <c r="S44" s="15" t="n">
        <f aca="false">M44-(SLOPE($M$7:$M$65,$G$7:$G$65)*G44+INTERCEPT($M$7:$M$65,$G$7:$G$65))</f>
        <v>0.00236595397930978</v>
      </c>
      <c r="T44" s="18" t="str">
        <f aca="false">IF(G44&lt;=0.3813,IF((I44+J44)&gt;=60,"A. Degradación convergente","B. Degradación estructural enmascarada por verdor estacional"),IF((I44+J44)&gt;=30,"C. Cobertura media con núcleos degradados","D. Cobertura conservada convergente"))</f>
        <v>B. Degradación estructural enmascarada por verdor estacional</v>
      </c>
      <c r="U44" s="18" t="s">
        <v>38</v>
      </c>
    </row>
    <row r="45" customFormat="false" ht="15" hidden="false" customHeight="true" outlineLevel="0" collapsed="false">
      <c r="A45" s="7" t="s">
        <v>87</v>
      </c>
      <c r="B45" s="7" t="s">
        <v>66</v>
      </c>
      <c r="C45" s="7" t="s">
        <v>75</v>
      </c>
      <c r="D45" s="7" t="s">
        <v>28</v>
      </c>
      <c r="E45" s="7" t="s">
        <v>76</v>
      </c>
      <c r="F45" s="8" t="n">
        <v>565.584</v>
      </c>
      <c r="G45" s="9" t="n">
        <v>0.2934</v>
      </c>
      <c r="H45" s="10" t="n">
        <v>0.35</v>
      </c>
      <c r="I45" s="10" t="n">
        <v>9.56</v>
      </c>
      <c r="J45" s="10" t="n">
        <v>59.23</v>
      </c>
      <c r="K45" s="10" t="n">
        <v>28.97</v>
      </c>
      <c r="L45" s="10" t="n">
        <v>1.88</v>
      </c>
      <c r="M45" s="9" t="n">
        <f aca="false">(0.02*H45+0.1*I45+0.3*J45+0.55*K45+0.8*L45)/100</f>
        <v>0.361695</v>
      </c>
      <c r="N45" s="8" t="n">
        <f aca="false">$F45*H45/100</f>
        <v>1.979544</v>
      </c>
      <c r="O45" s="8" t="n">
        <f aca="false">$F45*(I45+J45)/100</f>
        <v>389.0652336</v>
      </c>
      <c r="P45" s="8" t="n">
        <f aca="false">$F45*K45/100</f>
        <v>163.8496848</v>
      </c>
      <c r="Q45" s="8" t="n">
        <f aca="false">$F45*L45/100</f>
        <v>10.6329792</v>
      </c>
      <c r="R45" s="11" t="n">
        <f aca="false">(I45+J45)/100</f>
        <v>0.6879</v>
      </c>
      <c r="S45" s="9" t="n">
        <f aca="false">M45-(SLOPE($M$7:$M$65,$G$7:$G$65)*G45+INTERCEPT($M$7:$M$65,$G$7:$G$65))</f>
        <v>0.0130718485759269</v>
      </c>
      <c r="T45" s="12" t="str">
        <f aca="false">IF(G45&lt;=0.3813,IF((I45+J45)&gt;=60,"A. Degradación convergente","B. Degradación estructural enmascarada por verdor estacional"),IF((I45+J45)&gt;=30,"C. Cobertura media con núcleos degradados","D. Cobertura conservada convergente"))</f>
        <v>A. Degradación convergente</v>
      </c>
      <c r="U45" s="12" t="s">
        <v>38</v>
      </c>
    </row>
    <row r="46" customFormat="false" ht="32.25" hidden="false" customHeight="true" outlineLevel="0" collapsed="false">
      <c r="A46" s="13" t="s">
        <v>88</v>
      </c>
      <c r="B46" s="13" t="s">
        <v>43</v>
      </c>
      <c r="C46" s="13" t="s">
        <v>89</v>
      </c>
      <c r="D46" s="13" t="s">
        <v>28</v>
      </c>
      <c r="E46" s="13" t="s">
        <v>90</v>
      </c>
      <c r="F46" s="14" t="n">
        <v>92.905</v>
      </c>
      <c r="G46" s="15" t="n">
        <v>0.5197</v>
      </c>
      <c r="H46" s="16" t="n">
        <v>0.68</v>
      </c>
      <c r="I46" s="16" t="n">
        <v>0</v>
      </c>
      <c r="J46" s="16" t="n">
        <v>5.11</v>
      </c>
      <c r="K46" s="16" t="n">
        <v>35.68</v>
      </c>
      <c r="L46" s="16" t="n">
        <v>58.54</v>
      </c>
      <c r="M46" s="15" t="n">
        <f aca="false">(0.02*H46+0.1*I46+0.3*J46+0.55*K46+0.8*L46)/100</f>
        <v>0.680026</v>
      </c>
      <c r="N46" s="14" t="n">
        <f aca="false">$F46*H46/100</f>
        <v>0.631754</v>
      </c>
      <c r="O46" s="14" t="n">
        <f aca="false">$F46*(I46+J46)/100</f>
        <v>4.7474455</v>
      </c>
      <c r="P46" s="14" t="n">
        <f aca="false">$F46*K46/100</f>
        <v>33.148504</v>
      </c>
      <c r="Q46" s="14" t="n">
        <f aca="false">$F46*L46/100</f>
        <v>54.386587</v>
      </c>
      <c r="R46" s="17" t="n">
        <f aca="false">(I46+J46)/100</f>
        <v>0.0511</v>
      </c>
      <c r="S46" s="15" t="n">
        <f aca="false">M46-(SLOPE($M$7:$M$65,$G$7:$G$65)*G46+INTERCEPT($M$7:$M$65,$G$7:$G$65))</f>
        <v>0.0586311493881587</v>
      </c>
      <c r="T46" s="18" t="str">
        <f aca="false">IF(G46&lt;=0.3813,IF((I46+J46)&gt;=60,"A. Degradación convergente","B. Degradación estructural enmascarada por verdor estacional"),IF((I46+J46)&gt;=30,"C. Cobertura media con núcleos degradados","D. Cobertura conservada convergente"))</f>
        <v>D. Cobertura conservada convergente</v>
      </c>
      <c r="U46" s="18" t="s">
        <v>38</v>
      </c>
    </row>
    <row r="47" customFormat="false" ht="15" hidden="false" customHeight="true" outlineLevel="0" collapsed="false">
      <c r="A47" s="7" t="s">
        <v>91</v>
      </c>
      <c r="B47" s="7" t="s">
        <v>43</v>
      </c>
      <c r="C47" s="7" t="s">
        <v>89</v>
      </c>
      <c r="D47" s="7" t="s">
        <v>28</v>
      </c>
      <c r="E47" s="7" t="s">
        <v>90</v>
      </c>
      <c r="F47" s="8" t="n">
        <v>80.616</v>
      </c>
      <c r="G47" s="9" t="n">
        <v>0.6348</v>
      </c>
      <c r="H47" s="10" t="n">
        <v>0</v>
      </c>
      <c r="I47" s="10" t="n">
        <v>0</v>
      </c>
      <c r="J47" s="10" t="n">
        <v>0.65</v>
      </c>
      <c r="K47" s="10" t="n">
        <v>10.62</v>
      </c>
      <c r="L47" s="10" t="n">
        <v>88.72</v>
      </c>
      <c r="M47" s="9" t="n">
        <f aca="false">(0.02*H47+0.1*I47+0.3*J47+0.55*K47+0.8*L47)/100</f>
        <v>0.77012</v>
      </c>
      <c r="N47" s="8" t="n">
        <f aca="false">$F47*H47/100</f>
        <v>0</v>
      </c>
      <c r="O47" s="8" t="n">
        <f aca="false">$F47*(I47+J47)/100</f>
        <v>0.524004</v>
      </c>
      <c r="P47" s="8" t="n">
        <f aca="false">$F47*K47/100</f>
        <v>8.5614192</v>
      </c>
      <c r="Q47" s="8" t="n">
        <f aca="false">$F47*L47/100</f>
        <v>71.5225152</v>
      </c>
      <c r="R47" s="11" t="n">
        <f aca="false">(I47+J47)/100</f>
        <v>0.0065</v>
      </c>
      <c r="S47" s="9" t="n">
        <f aca="false">M47-(SLOPE($M$7:$M$65,$G$7:$G$65)*G47+INTERCEPT($M$7:$M$65,$G$7:$G$65))</f>
        <v>0.00998885872747768</v>
      </c>
      <c r="T47" s="12" t="str">
        <f aca="false">IF(G47&lt;=0.3813,IF((I47+J47)&gt;=60,"A. Degradación convergente","B. Degradación estructural enmascarada por verdor estacional"),IF((I47+J47)&gt;=30,"C. Cobertura media con núcleos degradados","D. Cobertura conservada convergente"))</f>
        <v>D. Cobertura conservada convergente</v>
      </c>
      <c r="U47" s="12" t="s">
        <v>29</v>
      </c>
    </row>
    <row r="48" customFormat="false" ht="15" hidden="false" customHeight="true" outlineLevel="0" collapsed="false">
      <c r="A48" s="13" t="s">
        <v>92</v>
      </c>
      <c r="B48" s="13" t="s">
        <v>59</v>
      </c>
      <c r="C48" s="13" t="s">
        <v>89</v>
      </c>
      <c r="D48" s="13" t="s">
        <v>28</v>
      </c>
      <c r="E48" s="13" t="s">
        <v>90</v>
      </c>
      <c r="F48" s="14" t="n">
        <v>11.475</v>
      </c>
      <c r="G48" s="15" t="n">
        <v>0.4203</v>
      </c>
      <c r="H48" s="16" t="n">
        <v>0</v>
      </c>
      <c r="I48" s="16" t="n">
        <v>0.02</v>
      </c>
      <c r="J48" s="16" t="n">
        <v>22.44</v>
      </c>
      <c r="K48" s="16" t="n">
        <v>77.46</v>
      </c>
      <c r="L48" s="16" t="n">
        <v>0.07</v>
      </c>
      <c r="M48" s="15" t="n">
        <f aca="false">(0.02*H48+0.1*I48+0.3*J48+0.55*K48+0.8*L48)/100</f>
        <v>0.49393</v>
      </c>
      <c r="N48" s="14" t="n">
        <f aca="false">$F48*H48/100</f>
        <v>0</v>
      </c>
      <c r="O48" s="14" t="n">
        <f aca="false">$F48*(I48+J48)/100</f>
        <v>2.577285</v>
      </c>
      <c r="P48" s="14" t="n">
        <f aca="false">$F48*K48/100</f>
        <v>8.888535</v>
      </c>
      <c r="Q48" s="14" t="n">
        <f aca="false">$F48*L48/100</f>
        <v>0.0080325</v>
      </c>
      <c r="R48" s="17" t="n">
        <f aca="false">(I48+J48)/100</f>
        <v>0.2246</v>
      </c>
      <c r="S48" s="15" t="n">
        <f aca="false">M48-(SLOPE($M$7:$M$65,$G$7:$G$65)*G48+INTERCEPT($M$7:$M$65,$G$7:$G$65))</f>
        <v>-0.00765262392485877</v>
      </c>
      <c r="T48" s="18" t="str">
        <f aca="false">IF(G48&lt;=0.3813,IF((I48+J48)&gt;=60,"A. Degradación convergente","B. Degradación estructural enmascarada por verdor estacional"),IF((I48+J48)&gt;=30,"C. Cobertura media con núcleos degradados","D. Cobertura conservada convergente"))</f>
        <v>D. Cobertura conservada convergente</v>
      </c>
      <c r="U48" s="18" t="s">
        <v>29</v>
      </c>
    </row>
    <row r="49" customFormat="false" ht="21.75" hidden="false" customHeight="true" outlineLevel="0" collapsed="false">
      <c r="A49" s="7" t="s">
        <v>93</v>
      </c>
      <c r="B49" s="7" t="s">
        <v>40</v>
      </c>
      <c r="C49" s="7" t="s">
        <v>89</v>
      </c>
      <c r="D49" s="7" t="s">
        <v>28</v>
      </c>
      <c r="E49" s="7" t="s">
        <v>90</v>
      </c>
      <c r="F49" s="8" t="n">
        <v>28.19</v>
      </c>
      <c r="G49" s="9" t="n">
        <v>0.5974</v>
      </c>
      <c r="H49" s="10" t="n">
        <v>0.3</v>
      </c>
      <c r="I49" s="10" t="n">
        <v>0.12</v>
      </c>
      <c r="J49" s="10" t="n">
        <v>2.56</v>
      </c>
      <c r="K49" s="10" t="n">
        <v>16.05</v>
      </c>
      <c r="L49" s="10" t="n">
        <v>80.97</v>
      </c>
      <c r="M49" s="9" t="n">
        <f aca="false">(0.02*H49+0.1*I49+0.3*J49+0.55*K49+0.8*L49)/100</f>
        <v>0.743895</v>
      </c>
      <c r="N49" s="8" t="n">
        <f aca="false">$F49*H49/100</f>
        <v>0.08457</v>
      </c>
      <c r="O49" s="8" t="n">
        <f aca="false">$F49*(I49+J49)/100</f>
        <v>0.755492</v>
      </c>
      <c r="P49" s="8" t="n">
        <f aca="false">$F49*K49/100</f>
        <v>4.524495</v>
      </c>
      <c r="Q49" s="8" t="n">
        <f aca="false">$F49*L49/100</f>
        <v>22.825443</v>
      </c>
      <c r="R49" s="11" t="n">
        <f aca="false">(I49+J49)/100</f>
        <v>0.0268</v>
      </c>
      <c r="S49" s="9" t="n">
        <f aca="false">M49-(SLOPE($M$7:$M$65,$G$7:$G$65)*G49+INTERCEPT($M$7:$M$65,$G$7:$G$65))</f>
        <v>0.0288441130342497</v>
      </c>
      <c r="T49" s="12" t="str">
        <f aca="false">IF(G49&lt;=0.3813,IF((I49+J49)&gt;=60,"A. Degradación convergente","B. Degradación estructural enmascarada por verdor estacional"),IF((I49+J49)&gt;=30,"C. Cobertura media con núcleos degradados","D. Cobertura conservada convergente"))</f>
        <v>D. Cobertura conservada convergente</v>
      </c>
      <c r="U49" s="12" t="s">
        <v>29</v>
      </c>
    </row>
    <row r="50" customFormat="false" ht="15" hidden="false" customHeight="true" outlineLevel="0" collapsed="false">
      <c r="A50" s="13" t="s">
        <v>94</v>
      </c>
      <c r="B50" s="13" t="s">
        <v>43</v>
      </c>
      <c r="C50" s="13" t="s">
        <v>95</v>
      </c>
      <c r="D50" s="13" t="s">
        <v>28</v>
      </c>
      <c r="E50" s="13" t="s">
        <v>95</v>
      </c>
      <c r="F50" s="14" t="n">
        <v>103.948</v>
      </c>
      <c r="G50" s="15" t="n">
        <v>0.6047</v>
      </c>
      <c r="H50" s="16" t="n">
        <v>0</v>
      </c>
      <c r="I50" s="16" t="n">
        <v>0</v>
      </c>
      <c r="J50" s="16" t="n">
        <v>1.11</v>
      </c>
      <c r="K50" s="16" t="n">
        <v>21.28</v>
      </c>
      <c r="L50" s="16" t="n">
        <v>77.61</v>
      </c>
      <c r="M50" s="15" t="n">
        <f aca="false">(0.02*H50+0.1*I50+0.3*J50+0.55*K50+0.8*L50)/100</f>
        <v>0.74125</v>
      </c>
      <c r="N50" s="14" t="n">
        <f aca="false">$F50*H50/100</f>
        <v>0</v>
      </c>
      <c r="O50" s="14" t="n">
        <f aca="false">$F50*(I50+J50)/100</f>
        <v>1.1538228</v>
      </c>
      <c r="P50" s="14" t="n">
        <f aca="false">$F50*K50/100</f>
        <v>22.1201344</v>
      </c>
      <c r="Q50" s="14" t="n">
        <f aca="false">$F50*L50/100</f>
        <v>80.6740428</v>
      </c>
      <c r="R50" s="17" t="n">
        <f aca="false">(I50+J50)/100</f>
        <v>0.0111</v>
      </c>
      <c r="S50" s="15" t="n">
        <f aca="false">M50-(SLOPE($M$7:$M$65,$G$7:$G$65)*G50+INTERCEPT($M$7:$M$65,$G$7:$G$65))</f>
        <v>0.0174000259636765</v>
      </c>
      <c r="T50" s="18" t="str">
        <f aca="false">IF(G50&lt;=0.3813,IF((I50+J50)&gt;=60,"A. Degradación convergente","B. Degradación estructural enmascarada por verdor estacional"),IF((I50+J50)&gt;=30,"C. Cobertura media con núcleos degradados","D. Cobertura conservada convergente"))</f>
        <v>D. Cobertura conservada convergente</v>
      </c>
      <c r="U50" s="18" t="s">
        <v>38</v>
      </c>
    </row>
    <row r="51" customFormat="false" ht="15" hidden="false" customHeight="true" outlineLevel="0" collapsed="false">
      <c r="A51" s="7" t="s">
        <v>96</v>
      </c>
      <c r="B51" s="7" t="s">
        <v>43</v>
      </c>
      <c r="C51" s="7" t="s">
        <v>95</v>
      </c>
      <c r="D51" s="7" t="s">
        <v>28</v>
      </c>
      <c r="E51" s="7" t="s">
        <v>95</v>
      </c>
      <c r="F51" s="8" t="n">
        <v>119.538</v>
      </c>
      <c r="G51" s="9" t="n">
        <v>0.7067</v>
      </c>
      <c r="H51" s="10" t="n">
        <v>0</v>
      </c>
      <c r="I51" s="10" t="n">
        <v>0</v>
      </c>
      <c r="J51" s="10" t="n">
        <v>0.4</v>
      </c>
      <c r="K51" s="10" t="n">
        <v>0.06</v>
      </c>
      <c r="L51" s="10" t="n">
        <v>99.54</v>
      </c>
      <c r="M51" s="9" t="n">
        <f aca="false">(0.02*H51+0.1*I51+0.3*J51+0.55*K51+0.8*L51)/100</f>
        <v>0.79785</v>
      </c>
      <c r="N51" s="8" t="n">
        <f aca="false">$F51*H51/100</f>
        <v>0</v>
      </c>
      <c r="O51" s="8" t="n">
        <f aca="false">$F51*(I51+J51)/100</f>
        <v>0.478152</v>
      </c>
      <c r="P51" s="8" t="n">
        <f aca="false">$F51*K51/100</f>
        <v>0.0717228</v>
      </c>
      <c r="Q51" s="8" t="n">
        <f aca="false">$F51*L51/100</f>
        <v>118.9881252</v>
      </c>
      <c r="R51" s="11" t="n">
        <f aca="false">(I51+J51)/100</f>
        <v>0.004</v>
      </c>
      <c r="S51" s="9" t="n">
        <f aca="false">M51-(SLOPE($M$7:$M$65,$G$7:$G$65)*G51+INTERCEPT($M$7:$M$65,$G$7:$G$65))</f>
        <v>-0.0489461221457018</v>
      </c>
      <c r="T51" s="12" t="str">
        <f aca="false">IF(G51&lt;=0.3813,IF((I51+J51)&gt;=60,"A. Degradación convergente","B. Degradación estructural enmascarada por verdor estacional"),IF((I51+J51)&gt;=30,"C. Cobertura media con núcleos degradados","D. Cobertura conservada convergente"))</f>
        <v>D. Cobertura conservada convergente</v>
      </c>
      <c r="U51" s="12" t="s">
        <v>29</v>
      </c>
    </row>
    <row r="52" customFormat="false" ht="15" hidden="false" customHeight="true" outlineLevel="0" collapsed="false">
      <c r="A52" s="13" t="s">
        <v>97</v>
      </c>
      <c r="B52" s="13" t="s">
        <v>98</v>
      </c>
      <c r="C52" s="13" t="s">
        <v>95</v>
      </c>
      <c r="D52" s="13" t="s">
        <v>28</v>
      </c>
      <c r="E52" s="13" t="s">
        <v>95</v>
      </c>
      <c r="F52" s="14" t="n">
        <v>100.514</v>
      </c>
      <c r="G52" s="15" t="n">
        <v>0.6711</v>
      </c>
      <c r="H52" s="16" t="n">
        <v>0</v>
      </c>
      <c r="I52" s="16" t="n">
        <v>0.01</v>
      </c>
      <c r="J52" s="16" t="n">
        <v>0.93</v>
      </c>
      <c r="K52" s="16" t="n">
        <v>9.77</v>
      </c>
      <c r="L52" s="16" t="n">
        <v>89.29</v>
      </c>
      <c r="M52" s="15" t="n">
        <f aca="false">(0.02*H52+0.1*I52+0.3*J52+0.55*K52+0.8*L52)/100</f>
        <v>0.770855</v>
      </c>
      <c r="N52" s="14" t="n">
        <f aca="false">$F52*H52/100</f>
        <v>0</v>
      </c>
      <c r="O52" s="14" t="n">
        <f aca="false">$F52*(I52+J52)/100</f>
        <v>0.9448316</v>
      </c>
      <c r="P52" s="14" t="n">
        <f aca="false">$F52*K52/100</f>
        <v>9.8202178</v>
      </c>
      <c r="Q52" s="14" t="n">
        <f aca="false">$F52*L52/100</f>
        <v>89.7489506</v>
      </c>
      <c r="R52" s="17" t="n">
        <f aca="false">(I52+J52)/100</f>
        <v>0.0094</v>
      </c>
      <c r="S52" s="15" t="n">
        <f aca="false">M52-(SLOPE($M$7:$M$65,$G$7:$G$65)*G52+INTERCEPT($M$7:$M$65,$G$7:$G$65))</f>
        <v>-0.0330305057467424</v>
      </c>
      <c r="T52" s="18" t="str">
        <f aca="false">IF(G52&lt;=0.3813,IF((I52+J52)&gt;=60,"A. Degradación convergente","B. Degradación estructural enmascarada por verdor estacional"),IF((I52+J52)&gt;=30,"C. Cobertura media con núcleos degradados","D. Cobertura conservada convergente"))</f>
        <v>D. Cobertura conservada convergente</v>
      </c>
      <c r="U52" s="18" t="s">
        <v>29</v>
      </c>
    </row>
    <row r="53" customFormat="false" ht="15" hidden="false" customHeight="true" outlineLevel="0" collapsed="false">
      <c r="A53" s="7" t="s">
        <v>99</v>
      </c>
      <c r="B53" s="7" t="s">
        <v>43</v>
      </c>
      <c r="C53" s="7" t="s">
        <v>95</v>
      </c>
      <c r="D53" s="7" t="s">
        <v>28</v>
      </c>
      <c r="E53" s="7" t="s">
        <v>95</v>
      </c>
      <c r="F53" s="8" t="n">
        <v>86.147</v>
      </c>
      <c r="G53" s="9" t="n">
        <v>0.5605</v>
      </c>
      <c r="H53" s="10" t="n">
        <v>0.38</v>
      </c>
      <c r="I53" s="10" t="n">
        <v>0.08</v>
      </c>
      <c r="J53" s="10" t="n">
        <v>2.88</v>
      </c>
      <c r="K53" s="10" t="n">
        <v>39.58</v>
      </c>
      <c r="L53" s="10" t="n">
        <v>57.09</v>
      </c>
      <c r="M53" s="9" t="n">
        <f aca="false">(0.02*H53+0.1*I53+0.3*J53+0.55*K53+0.8*L53)/100</f>
        <v>0.683206</v>
      </c>
      <c r="N53" s="8" t="n">
        <f aca="false">$F53*H53/100</f>
        <v>0.3273586</v>
      </c>
      <c r="O53" s="8" t="n">
        <f aca="false">$F53*(I53+J53)/100</f>
        <v>2.5499512</v>
      </c>
      <c r="P53" s="8" t="n">
        <f aca="false">$F53*K53/100</f>
        <v>34.0969826</v>
      </c>
      <c r="Q53" s="8" t="n">
        <f aca="false">$F53*L53/100</f>
        <v>49.1813223</v>
      </c>
      <c r="R53" s="11" t="n">
        <f aca="false">(I53+J53)/100</f>
        <v>0.0296</v>
      </c>
      <c r="S53" s="9" t="n">
        <f aca="false">M53-(SLOPE($M$7:$M$65,$G$7:$G$65)*G53+INTERCEPT($M$7:$M$65,$G$7:$G$65))</f>
        <v>0.0126326901444074</v>
      </c>
      <c r="T53" s="12" t="str">
        <f aca="false">IF(G53&lt;=0.3813,IF((I53+J53)&gt;=60,"A. Degradación convergente","B. Degradación estructural enmascarada por verdor estacional"),IF((I53+J53)&gt;=30,"C. Cobertura media con núcleos degradados","D. Cobertura conservada convergente"))</f>
        <v>D. Cobertura conservada convergente</v>
      </c>
      <c r="U53" s="12" t="s">
        <v>29</v>
      </c>
    </row>
    <row r="54" customFormat="false" ht="15" hidden="false" customHeight="true" outlineLevel="0" collapsed="false">
      <c r="A54" s="13" t="s">
        <v>100</v>
      </c>
      <c r="B54" s="13" t="s">
        <v>43</v>
      </c>
      <c r="C54" s="13" t="s">
        <v>95</v>
      </c>
      <c r="D54" s="13" t="s">
        <v>28</v>
      </c>
      <c r="E54" s="13" t="s">
        <v>95</v>
      </c>
      <c r="F54" s="14" t="n">
        <v>96.079</v>
      </c>
      <c r="G54" s="15" t="n">
        <v>0.6479</v>
      </c>
      <c r="H54" s="16" t="n">
        <v>0.46</v>
      </c>
      <c r="I54" s="16" t="n">
        <v>0</v>
      </c>
      <c r="J54" s="16" t="n">
        <v>2.59</v>
      </c>
      <c r="K54" s="16" t="n">
        <v>16.25</v>
      </c>
      <c r="L54" s="16" t="n">
        <v>80.69</v>
      </c>
      <c r="M54" s="15" t="n">
        <f aca="false">(0.02*H54+0.1*I54+0.3*J54+0.55*K54+0.8*L54)/100</f>
        <v>0.742757</v>
      </c>
      <c r="N54" s="14" t="n">
        <f aca="false">$F54*H54/100</f>
        <v>0.4419634</v>
      </c>
      <c r="O54" s="14" t="n">
        <f aca="false">$F54*(I54+J54)/100</f>
        <v>2.4884461</v>
      </c>
      <c r="P54" s="14" t="n">
        <f aca="false">$F54*K54/100</f>
        <v>15.6128375</v>
      </c>
      <c r="Q54" s="14" t="n">
        <f aca="false">$F54*L54/100</f>
        <v>77.5261451</v>
      </c>
      <c r="R54" s="17" t="n">
        <f aca="false">(I54+J54)/100</f>
        <v>0.0259</v>
      </c>
      <c r="S54" s="15" t="n">
        <f aca="false">M54-(SLOPE($M$7:$M$65,$G$7:$G$65)*G54+INTERCEPT($M$7:$M$65,$G$7:$G$65))</f>
        <v>-0.0331642838238249</v>
      </c>
      <c r="T54" s="18" t="str">
        <f aca="false">IF(G54&lt;=0.3813,IF((I54+J54)&gt;=60,"A. Degradación convergente","B. Degradación estructural enmascarada por verdor estacional"),IF((I54+J54)&gt;=30,"C. Cobertura media con núcleos degradados","D. Cobertura conservada convergente"))</f>
        <v>D. Cobertura conservada convergente</v>
      </c>
      <c r="U54" s="18" t="s">
        <v>38</v>
      </c>
    </row>
    <row r="55" customFormat="false" ht="15" hidden="false" customHeight="true" outlineLevel="0" collapsed="false">
      <c r="A55" s="7" t="s">
        <v>101</v>
      </c>
      <c r="B55" s="7" t="s">
        <v>43</v>
      </c>
      <c r="C55" s="7" t="s">
        <v>95</v>
      </c>
      <c r="D55" s="7" t="s">
        <v>28</v>
      </c>
      <c r="E55" s="7" t="s">
        <v>95</v>
      </c>
      <c r="F55" s="8" t="n">
        <v>81.776</v>
      </c>
      <c r="G55" s="9" t="n">
        <v>0.5731</v>
      </c>
      <c r="H55" s="10" t="n">
        <v>0.59</v>
      </c>
      <c r="I55" s="10" t="n">
        <v>0.1</v>
      </c>
      <c r="J55" s="10" t="n">
        <v>4.61</v>
      </c>
      <c r="K55" s="10" t="n">
        <v>35.59</v>
      </c>
      <c r="L55" s="10" t="n">
        <v>59.1</v>
      </c>
      <c r="M55" s="9" t="n">
        <f aca="false">(0.02*H55+0.1*I55+0.3*J55+0.55*K55+0.8*L55)/100</f>
        <v>0.682593</v>
      </c>
      <c r="N55" s="8" t="n">
        <f aca="false">$F55*H55/100</f>
        <v>0.4824784</v>
      </c>
      <c r="O55" s="8" t="n">
        <f aca="false">$F55*(I55+J55)/100</f>
        <v>3.8516496</v>
      </c>
      <c r="P55" s="8" t="n">
        <f aca="false">$F55*K55/100</f>
        <v>29.1040784</v>
      </c>
      <c r="Q55" s="8" t="n">
        <f aca="false">$F55*L55/100</f>
        <v>48.329616</v>
      </c>
      <c r="R55" s="11" t="n">
        <f aca="false">(I55+J55)/100</f>
        <v>0.0471</v>
      </c>
      <c r="S55" s="9" t="n">
        <f aca="false">M55-(SLOPE($M$7:$M$65,$G$7:$G$65)*G55+INTERCEPT($M$7:$M$65,$G$7:$G$65))</f>
        <v>-0.00316777521028055</v>
      </c>
      <c r="T55" s="12" t="str">
        <f aca="false">IF(G55&lt;=0.3813,IF((I55+J55)&gt;=60,"A. Degradación convergente","B. Degradación estructural enmascarada por verdor estacional"),IF((I55+J55)&gt;=30,"C. Cobertura media con núcleos degradados","D. Cobertura conservada convergente"))</f>
        <v>D. Cobertura conservada convergente</v>
      </c>
      <c r="U55" s="12" t="s">
        <v>29</v>
      </c>
    </row>
    <row r="56" customFormat="false" ht="15" hidden="false" customHeight="true" outlineLevel="0" collapsed="false">
      <c r="A56" s="13" t="s">
        <v>102</v>
      </c>
      <c r="B56" s="13" t="s">
        <v>43</v>
      </c>
      <c r="C56" s="13" t="s">
        <v>95</v>
      </c>
      <c r="D56" s="13" t="s">
        <v>28</v>
      </c>
      <c r="E56" s="13" t="s">
        <v>95</v>
      </c>
      <c r="F56" s="14" t="n">
        <v>35.1</v>
      </c>
      <c r="G56" s="15" t="n">
        <v>0.7074</v>
      </c>
      <c r="H56" s="16" t="n">
        <v>0</v>
      </c>
      <c r="I56" s="16" t="n">
        <v>0</v>
      </c>
      <c r="J56" s="16" t="n">
        <v>0.91</v>
      </c>
      <c r="K56" s="16" t="n">
        <v>10.39</v>
      </c>
      <c r="L56" s="16" t="n">
        <v>88.69</v>
      </c>
      <c r="M56" s="15" t="n">
        <f aca="false">(0.02*H56+0.1*I56+0.3*J56+0.55*K56+0.8*L56)/100</f>
        <v>0.769395</v>
      </c>
      <c r="N56" s="14" t="n">
        <f aca="false">$F56*H56/100</f>
        <v>0</v>
      </c>
      <c r="O56" s="14" t="n">
        <f aca="false">$F56*(I56+J56)/100</f>
        <v>0.31941</v>
      </c>
      <c r="P56" s="14" t="n">
        <f aca="false">$F56*K56/100</f>
        <v>3.64689</v>
      </c>
      <c r="Q56" s="14" t="n">
        <f aca="false">$F56*L56/100</f>
        <v>31.13019</v>
      </c>
      <c r="R56" s="17" t="n">
        <f aca="false">(I56+J56)/100</f>
        <v>0.0091</v>
      </c>
      <c r="S56" s="15" t="n">
        <f aca="false">M56-(SLOPE($M$7:$M$65,$G$7:$G$65)*G56+INTERCEPT($M$7:$M$65,$G$7:$G$65))</f>
        <v>-0.0782448702209624</v>
      </c>
      <c r="T56" s="18" t="str">
        <f aca="false">IF(G56&lt;=0.3813,IF((I56+J56)&gt;=60,"A. Degradación convergente","B. Degradación estructural enmascarada por verdor estacional"),IF((I56+J56)&gt;=30,"C. Cobertura media con núcleos degradados","D. Cobertura conservada convergente"))</f>
        <v>D. Cobertura conservada convergente</v>
      </c>
      <c r="U56" s="18" t="s">
        <v>29</v>
      </c>
    </row>
    <row r="57" customFormat="false" ht="15" hidden="false" customHeight="true" outlineLevel="0" collapsed="false">
      <c r="A57" s="7" t="s">
        <v>103</v>
      </c>
      <c r="B57" s="7" t="s">
        <v>43</v>
      </c>
      <c r="C57" s="7" t="s">
        <v>95</v>
      </c>
      <c r="D57" s="7" t="s">
        <v>28</v>
      </c>
      <c r="E57" s="7" t="s">
        <v>95</v>
      </c>
      <c r="F57" s="8" t="n">
        <v>35.661</v>
      </c>
      <c r="G57" s="9" t="n">
        <v>0.6283</v>
      </c>
      <c r="H57" s="10" t="n">
        <v>0.38</v>
      </c>
      <c r="I57" s="10" t="n">
        <v>0.11</v>
      </c>
      <c r="J57" s="10" t="n">
        <v>0.36</v>
      </c>
      <c r="K57" s="10" t="n">
        <v>8.21</v>
      </c>
      <c r="L57" s="10" t="n">
        <v>90.94</v>
      </c>
      <c r="M57" s="9" t="n">
        <f aca="false">(0.02*H57+0.1*I57+0.3*J57+0.55*K57+0.8*L57)/100</f>
        <v>0.773941</v>
      </c>
      <c r="N57" s="8" t="n">
        <f aca="false">$F57*H57/100</f>
        <v>0.1355118</v>
      </c>
      <c r="O57" s="8" t="n">
        <f aca="false">$F57*(I57+J57)/100</f>
        <v>0.1676067</v>
      </c>
      <c r="P57" s="8" t="n">
        <f aca="false">$F57*K57/100</f>
        <v>2.9277681</v>
      </c>
      <c r="Q57" s="8" t="n">
        <f aca="false">$F57*L57/100</f>
        <v>32.4301134</v>
      </c>
      <c r="R57" s="11" t="n">
        <f aca="false">(I57+J57)/100</f>
        <v>0.0047</v>
      </c>
      <c r="S57" s="9" t="n">
        <f aca="false">M57-(SLOPE($M$7:$M$65,$G$7:$G$65)*G57+INTERCEPT($M$7:$M$65,$G$7:$G$65))</f>
        <v>0.0216446622834675</v>
      </c>
      <c r="T57" s="12" t="str">
        <f aca="false">IF(G57&lt;=0.3813,IF((I57+J57)&gt;=60,"A. Degradación convergente","B. Degradación estructural enmascarada por verdor estacional"),IF((I57+J57)&gt;=30,"C. Cobertura media con núcleos degradados","D. Cobertura conservada convergente"))</f>
        <v>D. Cobertura conservada convergente</v>
      </c>
      <c r="U57" s="12" t="s">
        <v>29</v>
      </c>
    </row>
    <row r="58" customFormat="false" ht="15" hidden="false" customHeight="true" outlineLevel="0" collapsed="false">
      <c r="A58" s="13" t="s">
        <v>104</v>
      </c>
      <c r="B58" s="13" t="s">
        <v>43</v>
      </c>
      <c r="C58" s="13" t="s">
        <v>95</v>
      </c>
      <c r="D58" s="13" t="s">
        <v>28</v>
      </c>
      <c r="E58" s="13" t="s">
        <v>95</v>
      </c>
      <c r="F58" s="14" t="n">
        <v>34.171</v>
      </c>
      <c r="G58" s="15" t="n">
        <v>0.5919</v>
      </c>
      <c r="H58" s="16" t="n">
        <v>0</v>
      </c>
      <c r="I58" s="16" t="n">
        <v>0</v>
      </c>
      <c r="J58" s="16" t="n">
        <v>1.68</v>
      </c>
      <c r="K58" s="16" t="n">
        <v>19.61</v>
      </c>
      <c r="L58" s="16" t="n">
        <v>78.71</v>
      </c>
      <c r="M58" s="15" t="n">
        <f aca="false">(0.02*H58+0.1*I58+0.3*J58+0.55*K58+0.8*L58)/100</f>
        <v>0.742575</v>
      </c>
      <c r="N58" s="14" t="n">
        <f aca="false">$F58*H58/100</f>
        <v>0</v>
      </c>
      <c r="O58" s="14" t="n">
        <f aca="false">$F58*(I58+J58)/100</f>
        <v>0.5740728</v>
      </c>
      <c r="P58" s="14" t="n">
        <f aca="false">$F58*K58/100</f>
        <v>6.7009331</v>
      </c>
      <c r="Q58" s="14" t="n">
        <f aca="false">$F58*L58/100</f>
        <v>26.8959941</v>
      </c>
      <c r="R58" s="17" t="n">
        <f aca="false">(I58+J58)/100</f>
        <v>0.0168</v>
      </c>
      <c r="S58" s="15" t="n">
        <f aca="false">M58-(SLOPE($M$7:$M$65,$G$7:$G$65)*G58+INTERCEPT($M$7:$M$65,$G$7:$G$65))</f>
        <v>0.0341535621970104</v>
      </c>
      <c r="T58" s="18" t="str">
        <f aca="false">IF(G58&lt;=0.3813,IF((I58+J58)&gt;=60,"A. Degradación convergente","B. Degradación estructural enmascarada por verdor estacional"),IF((I58+J58)&gt;=30,"C. Cobertura media con núcleos degradados","D. Cobertura conservada convergente"))</f>
        <v>D. Cobertura conservada convergente</v>
      </c>
      <c r="U58" s="18" t="s">
        <v>29</v>
      </c>
    </row>
    <row r="59" customFormat="false" ht="21.75" hidden="false" customHeight="true" outlineLevel="0" collapsed="false">
      <c r="A59" s="7" t="s">
        <v>105</v>
      </c>
      <c r="B59" s="7" t="s">
        <v>45</v>
      </c>
      <c r="C59" s="7" t="s">
        <v>95</v>
      </c>
      <c r="D59" s="7" t="s">
        <v>28</v>
      </c>
      <c r="E59" s="7" t="s">
        <v>95</v>
      </c>
      <c r="F59" s="8" t="n">
        <v>35.347</v>
      </c>
      <c r="G59" s="9" t="n">
        <v>0.5305</v>
      </c>
      <c r="H59" s="10" t="n">
        <v>1.82</v>
      </c>
      <c r="I59" s="10" t="n">
        <v>0.06</v>
      </c>
      <c r="J59" s="10" t="n">
        <v>5.19</v>
      </c>
      <c r="K59" s="10" t="n">
        <v>29.96</v>
      </c>
      <c r="L59" s="10" t="n">
        <v>62.97</v>
      </c>
      <c r="M59" s="9" t="n">
        <f aca="false">(0.02*H59+0.1*I59+0.3*J59+0.55*K59+0.8*L59)/100</f>
        <v>0.684534</v>
      </c>
      <c r="N59" s="8" t="n">
        <f aca="false">$F59*H59/100</f>
        <v>0.6433154</v>
      </c>
      <c r="O59" s="8" t="n">
        <f aca="false">$F59*(I59+J59)/100</f>
        <v>1.8557175</v>
      </c>
      <c r="P59" s="8" t="n">
        <f aca="false">$F59*K59/100</f>
        <v>10.5899612</v>
      </c>
      <c r="Q59" s="8" t="n">
        <f aca="false">$F59*L59/100</f>
        <v>22.2580059</v>
      </c>
      <c r="R59" s="11" t="n">
        <f aca="false">(I59+J59)/100</f>
        <v>0.0525</v>
      </c>
      <c r="S59" s="9" t="n">
        <f aca="false">M59-(SLOPE($M$7:$M$65,$G$7:$G$65)*G59+INTERCEPT($M$7:$M$65,$G$7:$G$65))</f>
        <v>0.0501213219412834</v>
      </c>
      <c r="T59" s="12" t="str">
        <f aca="false">IF(G59&lt;=0.3813,IF((I59+J59)&gt;=60,"A. Degradación convergente","B. Degradación estructural enmascarada por verdor estacional"),IF((I59+J59)&gt;=30,"C. Cobertura media con núcleos degradados","D. Cobertura conservada convergente"))</f>
        <v>D. Cobertura conservada convergente</v>
      </c>
      <c r="U59" s="12" t="s">
        <v>29</v>
      </c>
    </row>
    <row r="60" customFormat="false" ht="15" hidden="false" customHeight="true" outlineLevel="0" collapsed="false">
      <c r="A60" s="13" t="s">
        <v>106</v>
      </c>
      <c r="B60" s="13" t="s">
        <v>107</v>
      </c>
      <c r="C60" s="13" t="s">
        <v>108</v>
      </c>
      <c r="D60" s="13" t="s">
        <v>28</v>
      </c>
      <c r="E60" s="13" t="s">
        <v>108</v>
      </c>
      <c r="F60" s="14" t="n">
        <v>15.839</v>
      </c>
      <c r="G60" s="15" t="n">
        <v>0.686</v>
      </c>
      <c r="H60" s="16" t="n">
        <v>0</v>
      </c>
      <c r="I60" s="16" t="n">
        <v>0</v>
      </c>
      <c r="J60" s="16" t="n">
        <v>0.13</v>
      </c>
      <c r="K60" s="16" t="n">
        <v>1.1</v>
      </c>
      <c r="L60" s="16" t="n">
        <v>98.77</v>
      </c>
      <c r="M60" s="15" t="n">
        <f aca="false">(0.02*H60+0.1*I60+0.3*J60+0.55*K60+0.8*L60)/100</f>
        <v>0.7966</v>
      </c>
      <c r="N60" s="14" t="n">
        <f aca="false">$F60*H60/100</f>
        <v>0</v>
      </c>
      <c r="O60" s="14" t="n">
        <f aca="false">$F60*(I60+J60)/100</f>
        <v>0.0205907</v>
      </c>
      <c r="P60" s="14" t="n">
        <f aca="false">$F60*K60/100</f>
        <v>0.174229</v>
      </c>
      <c r="Q60" s="14" t="n">
        <f aca="false">$F60*L60/100</f>
        <v>15.6441803</v>
      </c>
      <c r="R60" s="17" t="n">
        <f aca="false">(I60+J60)/100</f>
        <v>0.0013</v>
      </c>
      <c r="S60" s="15" t="n">
        <f aca="false">M60-(SLOPE($M$7:$M$65,$G$7:$G$65)*G60+INTERCEPT($M$7:$M$65,$G$7:$G$65))</f>
        <v>-0.0252452862058574</v>
      </c>
      <c r="T60" s="18" t="str">
        <f aca="false">IF(G60&lt;=0.3813,IF((I60+J60)&gt;=60,"A. Degradación convergente","B. Degradación estructural enmascarada por verdor estacional"),IF((I60+J60)&gt;=30,"C. Cobertura media con núcleos degradados","D. Cobertura conservada convergente"))</f>
        <v>D. Cobertura conservada convergente</v>
      </c>
      <c r="U60" s="18" t="s">
        <v>29</v>
      </c>
    </row>
    <row r="61" customFormat="false" ht="15" hidden="false" customHeight="true" outlineLevel="0" collapsed="false">
      <c r="A61" s="7" t="s">
        <v>109</v>
      </c>
      <c r="B61" s="7" t="s">
        <v>107</v>
      </c>
      <c r="C61" s="7" t="s">
        <v>108</v>
      </c>
      <c r="D61" s="7" t="s">
        <v>28</v>
      </c>
      <c r="E61" s="7" t="s">
        <v>108</v>
      </c>
      <c r="F61" s="8" t="n">
        <v>11.059</v>
      </c>
      <c r="G61" s="9" t="n">
        <v>0.6685</v>
      </c>
      <c r="H61" s="10" t="n">
        <v>0</v>
      </c>
      <c r="I61" s="10" t="n">
        <v>0</v>
      </c>
      <c r="J61" s="10" t="n">
        <v>0.13</v>
      </c>
      <c r="K61" s="10" t="n">
        <v>2.62</v>
      </c>
      <c r="L61" s="10" t="n">
        <v>97.25</v>
      </c>
      <c r="M61" s="9" t="n">
        <f aca="false">(0.02*H61+0.1*I61+0.3*J61+0.55*K61+0.8*L61)/100</f>
        <v>0.7928</v>
      </c>
      <c r="N61" s="8" t="n">
        <f aca="false">$F61*H61/100</f>
        <v>0</v>
      </c>
      <c r="O61" s="8" t="n">
        <f aca="false">$F61*(I61+J61)/100</f>
        <v>0.0143767</v>
      </c>
      <c r="P61" s="8" t="n">
        <f aca="false">$F61*K61/100</f>
        <v>0.2897458</v>
      </c>
      <c r="Q61" s="8" t="n">
        <f aca="false">$F61*L61/100</f>
        <v>10.7548775</v>
      </c>
      <c r="R61" s="11" t="n">
        <f aca="false">(I61+J61)/100</f>
        <v>0.0013</v>
      </c>
      <c r="S61" s="9" t="n">
        <f aca="false">M61-(SLOPE($M$7:$M$65,$G$7:$G$65)*G61+INTERCEPT($M$7:$M$65,$G$7:$G$65))</f>
        <v>-0.00795158432434617</v>
      </c>
      <c r="T61" s="12" t="str">
        <f aca="false">IF(G61&lt;=0.3813,IF((I61+J61)&gt;=60,"A. Degradación convergente","B. Degradación estructural enmascarada por verdor estacional"),IF((I61+J61)&gt;=30,"C. Cobertura media con núcleos degradados","D. Cobertura conservada convergente"))</f>
        <v>D. Cobertura conservada convergente</v>
      </c>
      <c r="U61" s="12" t="s">
        <v>29</v>
      </c>
    </row>
    <row r="62" customFormat="false" ht="15" hidden="false" customHeight="true" outlineLevel="0" collapsed="false">
      <c r="A62" s="13" t="s">
        <v>110</v>
      </c>
      <c r="B62" s="13" t="s">
        <v>107</v>
      </c>
      <c r="C62" s="13" t="s">
        <v>108</v>
      </c>
      <c r="D62" s="13" t="s">
        <v>28</v>
      </c>
      <c r="E62" s="13" t="s">
        <v>108</v>
      </c>
      <c r="F62" s="14" t="n">
        <v>0.859</v>
      </c>
      <c r="G62" s="15" t="n">
        <v>0.63</v>
      </c>
      <c r="H62" s="16" t="n">
        <v>0</v>
      </c>
      <c r="I62" s="16" t="n">
        <v>0</v>
      </c>
      <c r="J62" s="16" t="n">
        <v>0.06</v>
      </c>
      <c r="K62" s="16" t="n">
        <v>0</v>
      </c>
      <c r="L62" s="16" t="n">
        <v>99.93</v>
      </c>
      <c r="M62" s="15" t="n">
        <f aca="false">(0.02*H62+0.1*I62+0.3*J62+0.55*K62+0.8*L62)/100</f>
        <v>0.79962</v>
      </c>
      <c r="N62" s="14" t="n">
        <f aca="false">$F62*H62/100</f>
        <v>0</v>
      </c>
      <c r="O62" s="14" t="n">
        <f aca="false">$F62*(I62+J62)/100</f>
        <v>0.0005154</v>
      </c>
      <c r="P62" s="14" t="n">
        <f aca="false">$F62*K62/100</f>
        <v>0</v>
      </c>
      <c r="Q62" s="14" t="n">
        <f aca="false">$F62*L62/100</f>
        <v>0.8583987</v>
      </c>
      <c r="R62" s="17" t="n">
        <f aca="false">(I62+J62)/100</f>
        <v>0.0006</v>
      </c>
      <c r="S62" s="15" t="n">
        <f aca="false">M62-(SLOPE($M$7:$M$65,$G$7:$G$65)*G62+INTERCEPT($M$7:$M$65,$G$7:$G$65))</f>
        <v>0.0452745598149781</v>
      </c>
      <c r="T62" s="18" t="str">
        <f aca="false">IF(G62&lt;=0.3813,IF((I62+J62)&gt;=60,"A. Degradación convergente","B. Degradación estructural enmascarada por verdor estacional"),IF((I62+J62)&gt;=30,"C. Cobertura media con núcleos degradados","D. Cobertura conservada convergente"))</f>
        <v>D. Cobertura conservada convergente</v>
      </c>
      <c r="U62" s="18" t="s">
        <v>29</v>
      </c>
    </row>
    <row r="63" customFormat="false" ht="32.25" hidden="false" customHeight="true" outlineLevel="0" collapsed="false">
      <c r="A63" s="7" t="s">
        <v>111</v>
      </c>
      <c r="B63" s="7" t="s">
        <v>107</v>
      </c>
      <c r="C63" s="7" t="s">
        <v>108</v>
      </c>
      <c r="D63" s="7" t="s">
        <v>28</v>
      </c>
      <c r="E63" s="7" t="s">
        <v>108</v>
      </c>
      <c r="F63" s="8" t="n">
        <v>90.197</v>
      </c>
      <c r="G63" s="9" t="n">
        <v>0.4753</v>
      </c>
      <c r="H63" s="10" t="n">
        <v>1.19</v>
      </c>
      <c r="I63" s="10" t="n">
        <v>0.82</v>
      </c>
      <c r="J63" s="10" t="n">
        <v>7.43</v>
      </c>
      <c r="K63" s="10" t="n">
        <v>53.63</v>
      </c>
      <c r="L63" s="10" t="n">
        <v>36.94</v>
      </c>
      <c r="M63" s="9" t="n">
        <f aca="false">(0.02*H63+0.1*I63+0.3*J63+0.55*K63+0.8*L63)/100</f>
        <v>0.613833</v>
      </c>
      <c r="N63" s="8" t="n">
        <f aca="false">$F63*H63/100</f>
        <v>1.0733443</v>
      </c>
      <c r="O63" s="8" t="n">
        <f aca="false">$F63*(I63+J63)/100</f>
        <v>7.4412525</v>
      </c>
      <c r="P63" s="8" t="n">
        <f aca="false">$F63*K63/100</f>
        <v>48.3726511</v>
      </c>
      <c r="Q63" s="8" t="n">
        <f aca="false">$F63*L63/100</f>
        <v>33.3187718</v>
      </c>
      <c r="R63" s="11" t="n">
        <f aca="false">(I63+J63)/100</f>
        <v>0.0825</v>
      </c>
      <c r="S63" s="9" t="n">
        <f aca="false">M63-(SLOPE($M$7:$M$65,$G$7:$G$65)*G63+INTERCEPT($M$7:$M$65,$G$7:$G$65))</f>
        <v>0.0459558844475353</v>
      </c>
      <c r="T63" s="12" t="str">
        <f aca="false">IF(G63&lt;=0.3813,IF((I63+J63)&gt;=60,"A. Degradación convergente","B. Degradación estructural enmascarada por verdor estacional"),IF((I63+J63)&gt;=30,"C. Cobertura media con núcleos degradados","D. Cobertura conservada convergente"))</f>
        <v>D. Cobertura conservada convergente</v>
      </c>
      <c r="U63" s="12" t="s">
        <v>38</v>
      </c>
    </row>
    <row r="64" customFormat="false" ht="32.25" hidden="false" customHeight="true" outlineLevel="0" collapsed="false">
      <c r="A64" s="13" t="s">
        <v>112</v>
      </c>
      <c r="B64" s="13" t="s">
        <v>107</v>
      </c>
      <c r="C64" s="13" t="s">
        <v>108</v>
      </c>
      <c r="D64" s="13" t="s">
        <v>28</v>
      </c>
      <c r="E64" s="13" t="s">
        <v>108</v>
      </c>
      <c r="F64" s="14" t="n">
        <v>58.292</v>
      </c>
      <c r="G64" s="15" t="n">
        <v>0.5075</v>
      </c>
      <c r="H64" s="16" t="n">
        <v>0.79</v>
      </c>
      <c r="I64" s="16" t="n">
        <v>0.22</v>
      </c>
      <c r="J64" s="16" t="n">
        <v>6.14</v>
      </c>
      <c r="K64" s="16" t="n">
        <v>48.83</v>
      </c>
      <c r="L64" s="16" t="n">
        <v>44.02</v>
      </c>
      <c r="M64" s="15" t="n">
        <f aca="false">(0.02*H64+0.1*I64+0.3*J64+0.55*K64+0.8*L64)/100</f>
        <v>0.639523</v>
      </c>
      <c r="N64" s="14" t="n">
        <f aca="false">$F64*H64/100</f>
        <v>0.4605068</v>
      </c>
      <c r="O64" s="14" t="n">
        <f aca="false">$F64*(I64+J64)/100</f>
        <v>3.7073712</v>
      </c>
      <c r="P64" s="14" t="n">
        <f aca="false">$F64*K64/100</f>
        <v>28.4639836</v>
      </c>
      <c r="Q64" s="14" t="n">
        <f aca="false">$F64*L64/100</f>
        <v>25.6601384</v>
      </c>
      <c r="R64" s="17" t="n">
        <f aca="false">(I64+J64)/100</f>
        <v>0.0636</v>
      </c>
      <c r="S64" s="15" t="n">
        <f aca="false">M64-(SLOPE($M$7:$M$65,$G$7:$G$65)*G64+INTERCEPT($M$7:$M$65,$G$7:$G$65))</f>
        <v>0.0328334729855551</v>
      </c>
      <c r="T64" s="18" t="str">
        <f aca="false">IF(G64&lt;=0.3813,IF((I64+J64)&gt;=60,"A. Degradación convergente","B. Degradación estructural enmascarada por verdor estacional"),IF((I64+J64)&gt;=30,"C. Cobertura media con núcleos degradados","D. Cobertura conservada convergente"))</f>
        <v>D. Cobertura conservada convergente</v>
      </c>
      <c r="U64" s="18" t="s">
        <v>38</v>
      </c>
    </row>
    <row r="65" customFormat="false" ht="21.75" hidden="false" customHeight="true" outlineLevel="0" collapsed="false">
      <c r="A65" s="7" t="s">
        <v>113</v>
      </c>
      <c r="B65" s="7" t="s">
        <v>107</v>
      </c>
      <c r="C65" s="7" t="s">
        <v>108</v>
      </c>
      <c r="D65" s="7" t="s">
        <v>28</v>
      </c>
      <c r="E65" s="7" t="s">
        <v>108</v>
      </c>
      <c r="F65" s="8" t="n">
        <v>283.428</v>
      </c>
      <c r="G65" s="9" t="n">
        <v>0.4275</v>
      </c>
      <c r="H65" s="10" t="n">
        <v>0.14</v>
      </c>
      <c r="I65" s="10" t="n">
        <v>0.92</v>
      </c>
      <c r="J65" s="10" t="n">
        <v>39.47</v>
      </c>
      <c r="K65" s="10" t="n">
        <v>43.32</v>
      </c>
      <c r="L65" s="10" t="n">
        <v>16.15</v>
      </c>
      <c r="M65" s="9" t="n">
        <f aca="false">(0.02*H65+0.1*I65+0.3*J65+0.55*K65+0.8*L65)/100</f>
        <v>0.486818</v>
      </c>
      <c r="N65" s="8" t="n">
        <f aca="false">$F65*H65/100</f>
        <v>0.3967992</v>
      </c>
      <c r="O65" s="8" t="n">
        <f aca="false">$F65*(I65+J65)/100</f>
        <v>114.4765692</v>
      </c>
      <c r="P65" s="8" t="n">
        <f aca="false">$F65*K65/100</f>
        <v>122.7810096</v>
      </c>
      <c r="Q65" s="8" t="n">
        <f aca="false">$F65*L65/100</f>
        <v>45.773622</v>
      </c>
      <c r="R65" s="11" t="n">
        <f aca="false">(I65+J65)/100</f>
        <v>0.4039</v>
      </c>
      <c r="S65" s="9" t="n">
        <f aca="false">M65-(SLOPE($M$7:$M$65,$G$7:$G$65)*G65+INTERCEPT($M$7:$M$65,$G$7:$G$65))</f>
        <v>-0.0234431755561089</v>
      </c>
      <c r="T65" s="12" t="str">
        <f aca="false">IF(G65&lt;=0.3813,IF((I65+J65)&gt;=60,"A. Degradación convergente","B. Degradación estructural enmascarada por verdor estacional"),IF((I65+J65)&gt;=30,"C. Cobertura media con núcleos degradados","D. Cobertura conservada convergente"))</f>
        <v>C. Cobertura media con núcleos degradados</v>
      </c>
      <c r="U65" s="12" t="s">
        <v>38</v>
      </c>
    </row>
    <row r="66" customFormat="false" ht="15" hidden="false" customHeight="true" outlineLevel="0" collapsed="false">
      <c r="A66" s="19" t="s">
        <v>114</v>
      </c>
      <c r="B66" s="19"/>
      <c r="C66" s="19"/>
      <c r="D66" s="19"/>
      <c r="E66" s="19"/>
      <c r="F66" s="20" t="n">
        <f aca="false">SUM(F7:F65)</f>
        <v>7327.367</v>
      </c>
      <c r="G66" s="21" t="n">
        <f aca="false">SUMPRODUCT($F7:$F65,G7:G65)/$F$66</f>
        <v>0.379310932767528</v>
      </c>
      <c r="H66" s="22" t="n">
        <f aca="false">SUMPRODUCT($F7:$F65,H7:H65)/$F$66</f>
        <v>0.30965576174907</v>
      </c>
      <c r="I66" s="22" t="n">
        <f aca="false">SUMPRODUCT($F7:$F65,I7:I65)/$F$66</f>
        <v>4.50296630153778</v>
      </c>
      <c r="J66" s="22" t="n">
        <f aca="false">SUMPRODUCT($F7:$F65,J7:J65)/$F$66</f>
        <v>46.6484211804868</v>
      </c>
      <c r="K66" s="22" t="n">
        <f aca="false">SUMPRODUCT($F7:$F65,K7:K65)/$F$66</f>
        <v>34.7976301350813</v>
      </c>
      <c r="L66" s="22" t="n">
        <f aca="false">SUMPRODUCT($F7:$F65,L7:L65)/$F$66</f>
        <v>13.739945138547</v>
      </c>
      <c r="M66" s="22" t="n">
        <f aca="false">SUMPRODUCT($F7:$F65,M7:M65)/$F$66</f>
        <v>0.445816687846671</v>
      </c>
      <c r="N66" s="20" t="n">
        <f aca="false">SUM(N7:N65)</f>
        <v>22.6896141</v>
      </c>
      <c r="O66" s="20" t="n">
        <f aca="false">SUM(O7:O65)</f>
        <v>3748.0498864</v>
      </c>
      <c r="P66" s="20" t="n">
        <f aca="false">SUM(P7:P65)</f>
        <v>2549.7500673</v>
      </c>
      <c r="Q66" s="20" t="n">
        <f aca="false">SUM(Q7:Q65)</f>
        <v>1006.7762059</v>
      </c>
      <c r="R66" s="23" t="n">
        <f aca="false">(O66+N66*0)/F66</f>
        <v>0.511513874820246</v>
      </c>
      <c r="S66" s="24"/>
      <c r="T66" s="24"/>
      <c r="U66" s="24"/>
    </row>
  </sheetData>
  <mergeCells count="5">
    <mergeCell ref="A1:U1"/>
    <mergeCell ref="A2:U2"/>
    <mergeCell ref="A3:U3"/>
    <mergeCell ref="A4:U4"/>
    <mergeCell ref="A66:E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6"/>
    <col collapsed="false" customWidth="true" hidden="false" outlineLevel="0" max="2" min="2" style="1" width="12"/>
    <col collapsed="false" customWidth="true" hidden="false" outlineLevel="0" max="3" min="3" style="1" width="14"/>
    <col collapsed="false" customWidth="true" hidden="false" outlineLevel="0" max="4" min="4" style="1" width="13"/>
    <col collapsed="false" customWidth="true" hidden="false" outlineLevel="0" max="5" min="5" style="1" width="14"/>
    <col collapsed="false" customWidth="true" hidden="false" outlineLevel="0" max="6" min="6" style="1" width="18"/>
    <col collapsed="false" customWidth="true" hidden="false" outlineLevel="0" max="7" min="7" style="1" width="78"/>
  </cols>
  <sheetData>
    <row r="1" customFormat="false" ht="18" hidden="false" customHeight="true" outlineLevel="0" collapsed="false">
      <c r="A1" s="2" t="s">
        <v>0</v>
      </c>
      <c r="B1" s="2"/>
      <c r="C1" s="2"/>
      <c r="D1" s="2"/>
      <c r="E1" s="2"/>
      <c r="F1" s="2"/>
      <c r="G1" s="2"/>
    </row>
    <row r="2" customFormat="false" ht="18" hidden="false" customHeight="true" outlineLevel="0" collapsed="false">
      <c r="A2" s="3" t="s">
        <v>1</v>
      </c>
      <c r="B2" s="3"/>
      <c r="C2" s="3"/>
      <c r="D2" s="3"/>
      <c r="E2" s="3"/>
      <c r="F2" s="3"/>
      <c r="G2" s="3"/>
    </row>
    <row r="3" customFormat="false" ht="18" hidden="false" customHeight="true" outlineLevel="0" collapsed="false">
      <c r="A3" s="4" t="s">
        <v>115</v>
      </c>
      <c r="B3" s="4"/>
      <c r="C3" s="4"/>
      <c r="D3" s="4"/>
      <c r="E3" s="4"/>
      <c r="F3" s="4"/>
      <c r="G3" s="4"/>
    </row>
    <row r="4" customFormat="false" ht="18" hidden="false" customHeight="true" outlineLevel="0" collapsed="false">
      <c r="A4" s="5" t="s">
        <v>116</v>
      </c>
      <c r="B4" s="5"/>
      <c r="C4" s="5"/>
      <c r="D4" s="5"/>
      <c r="E4" s="5"/>
      <c r="F4" s="5"/>
      <c r="G4" s="5"/>
    </row>
    <row r="6" customFormat="false" ht="42" hidden="false" customHeight="true" outlineLevel="0" collapsed="false">
      <c r="A6" s="6" t="s">
        <v>23</v>
      </c>
      <c r="B6" s="6" t="s">
        <v>117</v>
      </c>
      <c r="C6" s="6" t="s">
        <v>118</v>
      </c>
      <c r="D6" s="6" t="s">
        <v>119</v>
      </c>
      <c r="E6" s="6" t="s">
        <v>120</v>
      </c>
      <c r="F6" s="6" t="s">
        <v>18</v>
      </c>
      <c r="G6" s="6" t="s">
        <v>121</v>
      </c>
    </row>
    <row r="7" customFormat="false" ht="78" hidden="false" customHeight="true" outlineLevel="0" collapsed="false">
      <c r="A7" s="12" t="s">
        <v>122</v>
      </c>
      <c r="B7" s="7" t="n">
        <f aca="false">COUNTIF(01_Matriz_NDVI_MSAVI!$T$7:$T$65,$A7)</f>
        <v>16</v>
      </c>
      <c r="C7" s="25" t="n">
        <f aca="false">SUMIF(01_Matriz_NDVI_MSAVI!$T$7:$T$65,$A7,01_Matriz_NDVI_MSAVI!$F$7:$F$65)</f>
        <v>3113.078</v>
      </c>
      <c r="D7" s="26" t="n">
        <f aca="false">C7/$C$11</f>
        <v>0.424856295583393</v>
      </c>
      <c r="E7" s="27" t="n">
        <f aca="false">SUMPRODUCT((01_Matriz_NDVI_MSAVI!$T$7:$T$65=$A7)*01_Matriz_NDVI_MSAVI!$F$7:$F$65*01_Matriz_NDVI_MSAVI!$G$7:$G$65)/C7</f>
        <v>0.321836135554586</v>
      </c>
      <c r="F7" s="8" t="n">
        <f aca="false">SUMIF(01_Matriz_NDVI_MSAVI!$T$7:$T$65,$A7,01_Matriz_NDVI_MSAVI!$O$7:$O$65)</f>
        <v>2489.1013714</v>
      </c>
      <c r="G7" s="28" t="s">
        <v>123</v>
      </c>
    </row>
    <row r="8" customFormat="false" ht="78" hidden="false" customHeight="true" outlineLevel="0" collapsed="false">
      <c r="A8" s="18" t="s">
        <v>124</v>
      </c>
      <c r="B8" s="13" t="n">
        <f aca="false">COUNTIF(01_Matriz_NDVI_MSAVI!$T$7:$T$65,$A8)</f>
        <v>15</v>
      </c>
      <c r="C8" s="29" t="n">
        <f aca="false">SUMIF(01_Matriz_NDVI_MSAVI!$T$7:$T$65,$A8,01_Matriz_NDVI_MSAVI!$F$7:$F$65)</f>
        <v>2177.538</v>
      </c>
      <c r="D8" s="30" t="n">
        <f aca="false">C8/$C$11</f>
        <v>0.297178781955374</v>
      </c>
      <c r="E8" s="31" t="n">
        <f aca="false">SUMPRODUCT((01_Matriz_NDVI_MSAVI!$T$7:$T$65=$A8)*01_Matriz_NDVI_MSAVI!$F$7:$F$65*01_Matriz_NDVI_MSAVI!$G$7:$G$65)/C8</f>
        <v>0.32995275209893</v>
      </c>
      <c r="F8" s="14" t="n">
        <f aca="false">SUMIF(01_Matriz_NDVI_MSAVI!$T$7:$T$65,$A8,01_Matriz_NDVI_MSAVI!$O$7:$O$65)</f>
        <v>891.1963782</v>
      </c>
      <c r="G8" s="32" t="s">
        <v>125</v>
      </c>
    </row>
    <row r="9" customFormat="false" ht="78" hidden="false" customHeight="true" outlineLevel="0" collapsed="false">
      <c r="A9" s="12" t="s">
        <v>126</v>
      </c>
      <c r="B9" s="7" t="n">
        <f aca="false">COUNTIF(01_Matriz_NDVI_MSAVI!$T$7:$T$65,$A9)</f>
        <v>6</v>
      </c>
      <c r="C9" s="25" t="n">
        <f aca="false">SUMIF(01_Matriz_NDVI_MSAVI!$T$7:$T$65,$A9,01_Matriz_NDVI_MSAVI!$F$7:$F$65)</f>
        <v>755.107</v>
      </c>
      <c r="D9" s="26" t="n">
        <f aca="false">C9/$C$11</f>
        <v>0.103052979330775</v>
      </c>
      <c r="E9" s="27" t="n">
        <f aca="false">SUMPRODUCT((01_Matriz_NDVI_MSAVI!$T$7:$T$65=$A9)*01_Matriz_NDVI_MSAVI!$F$7:$F$65*01_Matriz_NDVI_MSAVI!$G$7:$G$65)/C9</f>
        <v>0.412603815618184</v>
      </c>
      <c r="F9" s="8" t="n">
        <f aca="false">SUMIF(01_Matriz_NDVI_MSAVI!$T$7:$T$65,$A9,01_Matriz_NDVI_MSAVI!$O$7:$O$65)</f>
        <v>313.3744605</v>
      </c>
      <c r="G9" s="28" t="s">
        <v>127</v>
      </c>
    </row>
    <row r="10" customFormat="false" ht="78" hidden="false" customHeight="true" outlineLevel="0" collapsed="false">
      <c r="A10" s="18" t="s">
        <v>128</v>
      </c>
      <c r="B10" s="13" t="n">
        <f aca="false">COUNTIF(01_Matriz_NDVI_MSAVI!$T$7:$T$65,$A10)</f>
        <v>22</v>
      </c>
      <c r="C10" s="29" t="n">
        <f aca="false">SUMIF(01_Matriz_NDVI_MSAVI!$T$7:$T$65,$A10,01_Matriz_NDVI_MSAVI!$F$7:$F$65)</f>
        <v>1281.644</v>
      </c>
      <c r="D10" s="30" t="n">
        <f aca="false">C10/$C$11</f>
        <v>0.174911943130459</v>
      </c>
      <c r="E10" s="31" t="n">
        <f aca="false">SUMPRODUCT((01_Matriz_NDVI_MSAVI!$T$7:$T$65=$A10)*01_Matriz_NDVI_MSAVI!$F$7:$F$65*01_Matriz_NDVI_MSAVI!$G$7:$G$65)/C10</f>
        <v>0.583160950310695</v>
      </c>
      <c r="F10" s="14" t="n">
        <f aca="false">SUMIF(01_Matriz_NDVI_MSAVI!$T$7:$T$65,$A10,01_Matriz_NDVI_MSAVI!$O$7:$O$65)</f>
        <v>54.3776763</v>
      </c>
      <c r="G10" s="32" t="s">
        <v>129</v>
      </c>
    </row>
    <row r="11" customFormat="false" ht="15" hidden="false" customHeight="true" outlineLevel="0" collapsed="false">
      <c r="A11" s="24" t="s">
        <v>130</v>
      </c>
      <c r="B11" s="24" t="n">
        <f aca="false">SUM(B7:B10)</f>
        <v>59</v>
      </c>
      <c r="C11" s="20" t="n">
        <f aca="false">SUM(C7:C10)</f>
        <v>7327.367</v>
      </c>
      <c r="D11" s="23" t="n">
        <f aca="false">C11/C11</f>
        <v>1</v>
      </c>
      <c r="E11" s="24"/>
      <c r="F11" s="20" t="n">
        <f aca="false">SUM(F7:F10)</f>
        <v>3748.0498864</v>
      </c>
      <c r="G11" s="24"/>
    </row>
  </sheetData>
  <mergeCells count="4">
    <mergeCell ref="A1:G1"/>
    <mergeCell ref="A2:G2"/>
    <mergeCell ref="A3:G3"/>
    <mergeCell ref="A4:G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20"/>
    <col collapsed="false" customWidth="true" hidden="false" outlineLevel="0" max="3" min="3" style="1" width="12"/>
    <col collapsed="false" customWidth="true" hidden="false" outlineLevel="0" max="4" min="4" style="1" width="14"/>
    <col collapsed="false" customWidth="true" hidden="false" outlineLevel="0" max="9" min="5" style="1" width="16"/>
  </cols>
  <sheetData>
    <row r="1" customFormat="false" ht="18" hidden="false" customHeight="true" outlineLevel="0" collapsed="false">
      <c r="A1" s="2" t="s">
        <v>0</v>
      </c>
      <c r="B1" s="2"/>
      <c r="C1" s="2"/>
      <c r="D1" s="2"/>
      <c r="E1" s="2"/>
      <c r="F1" s="2"/>
      <c r="G1" s="2"/>
      <c r="H1" s="2"/>
      <c r="I1" s="2"/>
    </row>
    <row r="2" customFormat="false" ht="18" hidden="false" customHeight="true" outlineLevel="0" collapsed="false">
      <c r="A2" s="3" t="s">
        <v>1</v>
      </c>
      <c r="B2" s="3"/>
      <c r="C2" s="3"/>
      <c r="D2" s="3"/>
      <c r="E2" s="3"/>
      <c r="F2" s="3"/>
      <c r="G2" s="3"/>
      <c r="H2" s="3"/>
      <c r="I2" s="3"/>
    </row>
    <row r="3" customFormat="false" ht="18" hidden="false" customHeight="true" outlineLevel="0" collapsed="false">
      <c r="A3" s="4" t="s">
        <v>131</v>
      </c>
      <c r="B3" s="4"/>
      <c r="C3" s="4"/>
      <c r="D3" s="4"/>
      <c r="E3" s="4"/>
      <c r="F3" s="4"/>
      <c r="G3" s="4"/>
      <c r="H3" s="4"/>
      <c r="I3" s="4"/>
    </row>
    <row r="4" customFormat="false" ht="18" hidden="false" customHeight="true" outlineLevel="0" collapsed="false">
      <c r="A4" s="5" t="s">
        <v>132</v>
      </c>
      <c r="B4" s="5"/>
      <c r="C4" s="5"/>
      <c r="D4" s="5"/>
      <c r="E4" s="5"/>
      <c r="F4" s="5"/>
      <c r="G4" s="5"/>
      <c r="H4" s="5"/>
      <c r="I4" s="5"/>
    </row>
    <row r="6" customFormat="false" ht="42" hidden="false" customHeight="true" outlineLevel="0" collapsed="false">
      <c r="A6" s="6" t="s">
        <v>7</v>
      </c>
      <c r="B6" s="6" t="s">
        <v>6</v>
      </c>
      <c r="C6" s="6" t="s">
        <v>117</v>
      </c>
      <c r="D6" s="6" t="s">
        <v>118</v>
      </c>
      <c r="E6" s="6" t="s">
        <v>120</v>
      </c>
      <c r="F6" s="6" t="s">
        <v>133</v>
      </c>
      <c r="G6" s="6" t="s">
        <v>134</v>
      </c>
      <c r="H6" s="6" t="s">
        <v>135</v>
      </c>
      <c r="I6" s="6" t="s">
        <v>136</v>
      </c>
    </row>
    <row r="7" customFormat="false" ht="15" hidden="false" customHeight="true" outlineLevel="0" collapsed="false">
      <c r="A7" s="7" t="s">
        <v>28</v>
      </c>
      <c r="B7" s="7" t="s">
        <v>27</v>
      </c>
      <c r="C7" s="7" t="n">
        <f aca="false">SUMPRODUCT((01_Matriz_NDVI_MSAVI!$C$7:$C$65=$B7)*(01_Matriz_NDVI_MSAVI!$D$7:$D$65=$A7)*1)</f>
        <v>7</v>
      </c>
      <c r="D7" s="25" t="n">
        <f aca="false">SUMPRODUCT((01_Matriz_NDVI_MSAVI!$C$7:$C$65=$B7)*(01_Matriz_NDVI_MSAVI!$D$7:$D$65=$A7)*01_Matriz_NDVI_MSAVI!$F$7:$F$65)</f>
        <v>1903.121</v>
      </c>
      <c r="E7" s="25" t="n">
        <f aca="false">SUMPRODUCT((01_Matriz_NDVI_MSAVI!$C$7:$C$65=$B7)*(01_Matriz_NDVI_MSAVI!$D$7:$D$65=$A7)*01_Matriz_NDVI_MSAVI!$F$7:$F$65*01_Matriz_NDVI_MSAVI!$G$7:$G$65)/D7</f>
        <v>0.331970911676136</v>
      </c>
      <c r="F7" s="8" t="n">
        <f aca="false">SUMPRODUCT((01_Matriz_NDVI_MSAVI!$C$7:$C$65=$B7)*(01_Matriz_NDVI_MSAVI!$D$7:$D$65=$A7)*01_Matriz_NDVI_MSAVI!$N$7:$N$65)</f>
        <v>1.9928216</v>
      </c>
      <c r="G7" s="8" t="n">
        <f aca="false">SUMPRODUCT((01_Matriz_NDVI_MSAVI!$C$7:$C$65=$B7)*(01_Matriz_NDVI_MSAVI!$D$7:$D$65=$A7)*01_Matriz_NDVI_MSAVI!$O$7:$O$65)</f>
        <v>1116.5305719</v>
      </c>
      <c r="H7" s="8" t="n">
        <f aca="false">SUMPRODUCT((01_Matriz_NDVI_MSAVI!$C$7:$C$65=$B7)*(01_Matriz_NDVI_MSAVI!$D$7:$D$65=$A7)*01_Matriz_NDVI_MSAVI!$P$7:$P$65)</f>
        <v>759.7069734</v>
      </c>
      <c r="I7" s="8" t="n">
        <f aca="false">SUMPRODUCT((01_Matriz_NDVI_MSAVI!$C$7:$C$65=$B7)*(01_Matriz_NDVI_MSAVI!$D$7:$D$65=$A7)*01_Matriz_NDVI_MSAVI!$Q$7:$Q$65)</f>
        <v>24.8638424</v>
      </c>
    </row>
    <row r="8" customFormat="false" ht="15" hidden="false" customHeight="true" outlineLevel="0" collapsed="false">
      <c r="A8" s="13" t="s">
        <v>28</v>
      </c>
      <c r="B8" s="13" t="s">
        <v>41</v>
      </c>
      <c r="C8" s="13" t="n">
        <f aca="false">SUMPRODUCT((01_Matriz_NDVI_MSAVI!$C$7:$C$65=$B8)*(01_Matriz_NDVI_MSAVI!$D$7:$D$65=$A8)*1)</f>
        <v>2</v>
      </c>
      <c r="D8" s="29" t="n">
        <f aca="false">SUMPRODUCT((01_Matriz_NDVI_MSAVI!$C$7:$C$65=$B8)*(01_Matriz_NDVI_MSAVI!$D$7:$D$65=$A8)*01_Matriz_NDVI_MSAVI!$F$7:$F$65)</f>
        <v>39.222</v>
      </c>
      <c r="E8" s="29" t="n">
        <f aca="false">SUMPRODUCT((01_Matriz_NDVI_MSAVI!$C$7:$C$65=$B8)*(01_Matriz_NDVI_MSAVI!$D$7:$D$65=$A8)*01_Matriz_NDVI_MSAVI!$F$7:$F$65*01_Matriz_NDVI_MSAVI!$G$7:$G$65)/D8</f>
        <v>0.607108627810922</v>
      </c>
      <c r="F8" s="14" t="n">
        <f aca="false">SUMPRODUCT((01_Matriz_NDVI_MSAVI!$C$7:$C$65=$B8)*(01_Matriz_NDVI_MSAVI!$D$7:$D$65=$A8)*01_Matriz_NDVI_MSAVI!$N$7:$N$65)</f>
        <v>0.0650592</v>
      </c>
      <c r="G8" s="14" t="n">
        <f aca="false">SUMPRODUCT((01_Matriz_NDVI_MSAVI!$C$7:$C$65=$B8)*(01_Matriz_NDVI_MSAVI!$D$7:$D$65=$A8)*01_Matriz_NDVI_MSAVI!$O$7:$O$65)</f>
        <v>0.9256716</v>
      </c>
      <c r="H8" s="14" t="n">
        <f aca="false">SUMPRODUCT((01_Matriz_NDVI_MSAVI!$C$7:$C$65=$B8)*(01_Matriz_NDVI_MSAVI!$D$7:$D$65=$A8)*01_Matriz_NDVI_MSAVI!$P$7:$P$65)</f>
        <v>5.1575274</v>
      </c>
      <c r="I8" s="14" t="n">
        <f aca="false">SUMPRODUCT((01_Matriz_NDVI_MSAVI!$C$7:$C$65=$B8)*(01_Matriz_NDVI_MSAVI!$D$7:$D$65=$A8)*01_Matriz_NDVI_MSAVI!$Q$7:$Q$65)</f>
        <v>33.0737418</v>
      </c>
    </row>
    <row r="9" customFormat="false" ht="15" hidden="false" customHeight="true" outlineLevel="0" collapsed="false">
      <c r="A9" s="7" t="s">
        <v>28</v>
      </c>
      <c r="B9" s="7" t="s">
        <v>46</v>
      </c>
      <c r="C9" s="7" t="n">
        <f aca="false">SUMPRODUCT((01_Matriz_NDVI_MSAVI!$C$7:$C$65=$B9)*(01_Matriz_NDVI_MSAVI!$D$7:$D$65=$A9)*1)</f>
        <v>7</v>
      </c>
      <c r="D9" s="25" t="n">
        <f aca="false">SUMPRODUCT((01_Matriz_NDVI_MSAVI!$C$7:$C$65=$B9)*(01_Matriz_NDVI_MSAVI!$D$7:$D$65=$A9)*01_Matriz_NDVI_MSAVI!$F$7:$F$65)</f>
        <v>1450.142</v>
      </c>
      <c r="E9" s="25" t="n">
        <f aca="false">SUMPRODUCT((01_Matriz_NDVI_MSAVI!$C$7:$C$65=$B9)*(01_Matriz_NDVI_MSAVI!$D$7:$D$65=$A9)*01_Matriz_NDVI_MSAVI!$F$7:$F$65*01_Matriz_NDVI_MSAVI!$G$7:$G$65)/D9</f>
        <v>0.355361155459258</v>
      </c>
      <c r="F9" s="8" t="n">
        <f aca="false">SUMPRODUCT((01_Matriz_NDVI_MSAVI!$C$7:$C$65=$B9)*(01_Matriz_NDVI_MSAVI!$D$7:$D$65=$A9)*01_Matriz_NDVI_MSAVI!$N$7:$N$65)</f>
        <v>4.723438</v>
      </c>
      <c r="G9" s="8" t="n">
        <f aca="false">SUMPRODUCT((01_Matriz_NDVI_MSAVI!$C$7:$C$65=$B9)*(01_Matriz_NDVI_MSAVI!$D$7:$D$65=$A9)*01_Matriz_NDVI_MSAVI!$O$7:$O$65)</f>
        <v>1176.3213038</v>
      </c>
      <c r="H9" s="8" t="n">
        <f aca="false">SUMPRODUCT((01_Matriz_NDVI_MSAVI!$C$7:$C$65=$B9)*(01_Matriz_NDVI_MSAVI!$D$7:$D$65=$A9)*01_Matriz_NDVI_MSAVI!$P$7:$P$65)</f>
        <v>263.7148314</v>
      </c>
      <c r="I9" s="8" t="n">
        <f aca="false">SUMPRODUCT((01_Matriz_NDVI_MSAVI!$C$7:$C$65=$B9)*(01_Matriz_NDVI_MSAVI!$D$7:$D$65=$A9)*01_Matriz_NDVI_MSAVI!$Q$7:$Q$65)</f>
        <v>5.3493669</v>
      </c>
    </row>
    <row r="10" customFormat="false" ht="15" hidden="false" customHeight="true" outlineLevel="0" collapsed="false">
      <c r="A10" s="13" t="s">
        <v>28</v>
      </c>
      <c r="B10" s="13" t="s">
        <v>28</v>
      </c>
      <c r="C10" s="13" t="n">
        <f aca="false">SUMPRODUCT((01_Matriz_NDVI_MSAVI!$C$7:$C$65=$B10)*(01_Matriz_NDVI_MSAVI!$D$7:$D$65=$A10)*1)</f>
        <v>2</v>
      </c>
      <c r="D10" s="29" t="n">
        <f aca="false">SUMPRODUCT((01_Matriz_NDVI_MSAVI!$C$7:$C$65=$B10)*(01_Matriz_NDVI_MSAVI!$D$7:$D$65=$A10)*01_Matriz_NDVI_MSAVI!$F$7:$F$65)</f>
        <v>125.344</v>
      </c>
      <c r="E10" s="29" t="n">
        <f aca="false">SUMPRODUCT((01_Matriz_NDVI_MSAVI!$C$7:$C$65=$B10)*(01_Matriz_NDVI_MSAVI!$D$7:$D$65=$A10)*01_Matriz_NDVI_MSAVI!$F$7:$F$65*01_Matriz_NDVI_MSAVI!$G$7:$G$65)/D10</f>
        <v>0.394693489915752</v>
      </c>
      <c r="F10" s="14" t="n">
        <f aca="false">SUMPRODUCT((01_Matriz_NDVI_MSAVI!$C$7:$C$65=$B10)*(01_Matriz_NDVI_MSAVI!$D$7:$D$65=$A10)*01_Matriz_NDVI_MSAVI!$N$7:$N$65)</f>
        <v>0.2796024</v>
      </c>
      <c r="G10" s="14" t="n">
        <f aca="false">SUMPRODUCT((01_Matriz_NDVI_MSAVI!$C$7:$C$65=$B10)*(01_Matriz_NDVI_MSAVI!$D$7:$D$65=$A10)*01_Matriz_NDVI_MSAVI!$O$7:$O$65)</f>
        <v>57.0860972</v>
      </c>
      <c r="H10" s="14" t="n">
        <f aca="false">SUMPRODUCT((01_Matriz_NDVI_MSAVI!$C$7:$C$65=$B10)*(01_Matriz_NDVI_MSAVI!$D$7:$D$65=$A10)*01_Matriz_NDVI_MSAVI!$P$7:$P$65)</f>
        <v>67.0236724</v>
      </c>
      <c r="I10" s="14" t="n">
        <f aca="false">SUMPRODUCT((01_Matriz_NDVI_MSAVI!$C$7:$C$65=$B10)*(01_Matriz_NDVI_MSAVI!$D$7:$D$65=$A10)*01_Matriz_NDVI_MSAVI!$Q$7:$Q$65)</f>
        <v>0.9597252</v>
      </c>
    </row>
    <row r="11" customFormat="false" ht="15" hidden="false" customHeight="true" outlineLevel="0" collapsed="false">
      <c r="A11" s="7" t="s">
        <v>28</v>
      </c>
      <c r="B11" s="7" t="s">
        <v>61</v>
      </c>
      <c r="C11" s="7" t="n">
        <f aca="false">SUMPRODUCT((01_Matriz_NDVI_MSAVI!$C$7:$C$65=$B11)*(01_Matriz_NDVI_MSAVI!$D$7:$D$65=$A11)*1)</f>
        <v>9</v>
      </c>
      <c r="D11" s="25" t="n">
        <f aca="false">SUMPRODUCT((01_Matriz_NDVI_MSAVI!$C$7:$C$65=$B11)*(01_Matriz_NDVI_MSAVI!$D$7:$D$65=$A11)*01_Matriz_NDVI_MSAVI!$F$7:$F$65)</f>
        <v>1264.532</v>
      </c>
      <c r="E11" s="25" t="n">
        <f aca="false">SUMPRODUCT((01_Matriz_NDVI_MSAVI!$C$7:$C$65=$B11)*(01_Matriz_NDVI_MSAVI!$D$7:$D$65=$A11)*01_Matriz_NDVI_MSAVI!$F$7:$F$65*01_Matriz_NDVI_MSAVI!$G$7:$G$65)/D11</f>
        <v>0.326331889347205</v>
      </c>
      <c r="F11" s="8" t="n">
        <f aca="false">SUMPRODUCT((01_Matriz_NDVI_MSAVI!$C$7:$C$65=$B11)*(01_Matriz_NDVI_MSAVI!$D$7:$D$65=$A11)*01_Matriz_NDVI_MSAVI!$N$7:$N$65)</f>
        <v>5.8176957</v>
      </c>
      <c r="G11" s="8" t="n">
        <f aca="false">SUMPRODUCT((01_Matriz_NDVI_MSAVI!$C$7:$C$65=$B11)*(01_Matriz_NDVI_MSAVI!$D$7:$D$65=$A11)*01_Matriz_NDVI_MSAVI!$O$7:$O$65)</f>
        <v>504.0844544</v>
      </c>
      <c r="H11" s="8" t="n">
        <f aca="false">SUMPRODUCT((01_Matriz_NDVI_MSAVI!$C$7:$C$65=$B11)*(01_Matriz_NDVI_MSAVI!$D$7:$D$65=$A11)*01_Matriz_NDVI_MSAVI!$P$7:$P$65)</f>
        <v>711.7614302</v>
      </c>
      <c r="I11" s="8" t="n">
        <f aca="false">SUMPRODUCT((01_Matriz_NDVI_MSAVI!$C$7:$C$65=$B11)*(01_Matriz_NDVI_MSAVI!$D$7:$D$65=$A11)*01_Matriz_NDVI_MSAVI!$Q$7:$Q$65)</f>
        <v>42.9005006</v>
      </c>
    </row>
    <row r="12" customFormat="false" ht="15" hidden="false" customHeight="true" outlineLevel="0" collapsed="false">
      <c r="A12" s="13" t="s">
        <v>28</v>
      </c>
      <c r="B12" s="13" t="s">
        <v>75</v>
      </c>
      <c r="C12" s="13" t="n">
        <f aca="false">SUMPRODUCT((01_Matriz_NDVI_MSAVI!$C$7:$C$65=$B12)*(01_Matriz_NDVI_MSAVI!$D$7:$D$65=$A12)*1)</f>
        <v>12</v>
      </c>
      <c r="D12" s="29" t="n">
        <f aca="false">SUMPRODUCT((01_Matriz_NDVI_MSAVI!$C$7:$C$65=$B12)*(01_Matriz_NDVI_MSAVI!$D$7:$D$65=$A12)*01_Matriz_NDVI_MSAVI!$F$7:$F$65)</f>
        <v>1143.865</v>
      </c>
      <c r="E12" s="29" t="n">
        <f aca="false">SUMPRODUCT((01_Matriz_NDVI_MSAVI!$C$7:$C$65=$B12)*(01_Matriz_NDVI_MSAVI!$D$7:$D$65=$A12)*01_Matriz_NDVI_MSAVI!$F$7:$F$65*01_Matriz_NDVI_MSAVI!$G$7:$G$65)/D12</f>
        <v>0.309791751998706</v>
      </c>
      <c r="F12" s="14" t="n">
        <f aca="false">SUMPRODUCT((01_Matriz_NDVI_MSAVI!$C$7:$C$65=$B12)*(01_Matriz_NDVI_MSAVI!$D$7:$D$65=$A12)*01_Matriz_NDVI_MSAVI!$N$7:$N$65)</f>
        <v>5.1333953</v>
      </c>
      <c r="G12" s="14" t="n">
        <f aca="false">SUMPRODUCT((01_Matriz_NDVI_MSAVI!$C$7:$C$65=$B12)*(01_Matriz_NDVI_MSAVI!$D$7:$D$65=$A12)*01_Matriz_NDVI_MSAVI!$O$7:$O$65)</f>
        <v>744.453225</v>
      </c>
      <c r="H12" s="14" t="n">
        <f aca="false">SUMPRODUCT((01_Matriz_NDVI_MSAVI!$C$7:$C$65=$B12)*(01_Matriz_NDVI_MSAVI!$D$7:$D$65=$A12)*01_Matriz_NDVI_MSAVI!$P$7:$P$65)</f>
        <v>352.4895343</v>
      </c>
      <c r="I12" s="14" t="n">
        <f aca="false">SUMPRODUCT((01_Matriz_NDVI_MSAVI!$C$7:$C$65=$B12)*(01_Matriz_NDVI_MSAVI!$D$7:$D$65=$A12)*01_Matriz_NDVI_MSAVI!$Q$7:$Q$65)</f>
        <v>41.7139572</v>
      </c>
    </row>
    <row r="13" customFormat="false" ht="15" hidden="false" customHeight="true" outlineLevel="0" collapsed="false">
      <c r="A13" s="7" t="s">
        <v>28</v>
      </c>
      <c r="B13" s="7" t="s">
        <v>89</v>
      </c>
      <c r="C13" s="7" t="n">
        <f aca="false">SUMPRODUCT((01_Matriz_NDVI_MSAVI!$C$7:$C$65=$B13)*(01_Matriz_NDVI_MSAVI!$D$7:$D$65=$A13)*1)</f>
        <v>4</v>
      </c>
      <c r="D13" s="25" t="n">
        <f aca="false">SUMPRODUCT((01_Matriz_NDVI_MSAVI!$C$7:$C$65=$B13)*(01_Matriz_NDVI_MSAVI!$D$7:$D$65=$A13)*01_Matriz_NDVI_MSAVI!$F$7:$F$65)</f>
        <v>213.186</v>
      </c>
      <c r="E13" s="25" t="n">
        <f aca="false">SUMPRODUCT((01_Matriz_NDVI_MSAVI!$C$7:$C$65=$B13)*(01_Matriz_NDVI_MSAVI!$D$7:$D$65=$A13)*01_Matriz_NDVI_MSAVI!$F$7:$F$65*01_Matriz_NDVI_MSAVI!$G$7:$G$65)/D13</f>
        <v>0.568149005094143</v>
      </c>
      <c r="F13" s="8" t="n">
        <f aca="false">SUMPRODUCT((01_Matriz_NDVI_MSAVI!$C$7:$C$65=$B13)*(01_Matriz_NDVI_MSAVI!$D$7:$D$65=$A13)*01_Matriz_NDVI_MSAVI!$N$7:$N$65)</f>
        <v>0.716324</v>
      </c>
      <c r="G13" s="8" t="n">
        <f aca="false">SUMPRODUCT((01_Matriz_NDVI_MSAVI!$C$7:$C$65=$B13)*(01_Matriz_NDVI_MSAVI!$D$7:$D$65=$A13)*01_Matriz_NDVI_MSAVI!$O$7:$O$65)</f>
        <v>8.6042265</v>
      </c>
      <c r="H13" s="8" t="n">
        <f aca="false">SUMPRODUCT((01_Matriz_NDVI_MSAVI!$C$7:$C$65=$B13)*(01_Matriz_NDVI_MSAVI!$D$7:$D$65=$A13)*01_Matriz_NDVI_MSAVI!$P$7:$P$65)</f>
        <v>55.1229532</v>
      </c>
      <c r="I13" s="8" t="n">
        <f aca="false">SUMPRODUCT((01_Matriz_NDVI_MSAVI!$C$7:$C$65=$B13)*(01_Matriz_NDVI_MSAVI!$D$7:$D$65=$A13)*01_Matriz_NDVI_MSAVI!$Q$7:$Q$65)</f>
        <v>148.7425777</v>
      </c>
    </row>
    <row r="14" customFormat="false" ht="15" hidden="false" customHeight="true" outlineLevel="0" collapsed="false">
      <c r="A14" s="13" t="s">
        <v>28</v>
      </c>
      <c r="B14" s="13" t="s">
        <v>95</v>
      </c>
      <c r="C14" s="13" t="n">
        <f aca="false">SUMPRODUCT((01_Matriz_NDVI_MSAVI!$C$7:$C$65=$B14)*(01_Matriz_NDVI_MSAVI!$D$7:$D$65=$A14)*1)</f>
        <v>10</v>
      </c>
      <c r="D14" s="29" t="n">
        <f aca="false">SUMPRODUCT((01_Matriz_NDVI_MSAVI!$C$7:$C$65=$B14)*(01_Matriz_NDVI_MSAVI!$D$7:$D$65=$A14)*01_Matriz_NDVI_MSAVI!$F$7:$F$65)</f>
        <v>728.281</v>
      </c>
      <c r="E14" s="29" t="n">
        <f aca="false">SUMPRODUCT((01_Matriz_NDVI_MSAVI!$C$7:$C$65=$B14)*(01_Matriz_NDVI_MSAVI!$D$7:$D$65=$A14)*01_Matriz_NDVI_MSAVI!$F$7:$F$65*01_Matriz_NDVI_MSAVI!$G$7:$G$65)/D14</f>
        <v>0.629432256917316</v>
      </c>
      <c r="F14" s="14" t="n">
        <f aca="false">SUMPRODUCT((01_Matriz_NDVI_MSAVI!$C$7:$C$65=$B14)*(01_Matriz_NDVI_MSAVI!$D$7:$D$65=$A14)*01_Matriz_NDVI_MSAVI!$N$7:$N$65)</f>
        <v>2.0306276</v>
      </c>
      <c r="G14" s="14" t="n">
        <f aca="false">SUMPRODUCT((01_Matriz_NDVI_MSAVI!$C$7:$C$65=$B14)*(01_Matriz_NDVI_MSAVI!$D$7:$D$65=$A14)*01_Matriz_NDVI_MSAVI!$O$7:$O$65)</f>
        <v>14.3836603</v>
      </c>
      <c r="H14" s="14" t="n">
        <f aca="false">SUMPRODUCT((01_Matriz_NDVI_MSAVI!$C$7:$C$65=$B14)*(01_Matriz_NDVI_MSAVI!$D$7:$D$65=$A14)*01_Matriz_NDVI_MSAVI!$P$7:$P$65)</f>
        <v>134.6915259</v>
      </c>
      <c r="I14" s="14" t="n">
        <f aca="false">SUMPRODUCT((01_Matriz_NDVI_MSAVI!$C$7:$C$65=$B14)*(01_Matriz_NDVI_MSAVI!$D$7:$D$65=$A14)*01_Matriz_NDVI_MSAVI!$Q$7:$Q$65)</f>
        <v>577.1625054</v>
      </c>
    </row>
    <row r="15" customFormat="false" ht="15" hidden="false" customHeight="true" outlineLevel="0" collapsed="false">
      <c r="A15" s="7" t="s">
        <v>28</v>
      </c>
      <c r="B15" s="7" t="s">
        <v>108</v>
      </c>
      <c r="C15" s="7" t="n">
        <f aca="false">SUMPRODUCT((01_Matriz_NDVI_MSAVI!$C$7:$C$65=$B15)*(01_Matriz_NDVI_MSAVI!$D$7:$D$65=$A15)*1)</f>
        <v>6</v>
      </c>
      <c r="D15" s="25" t="n">
        <f aca="false">SUMPRODUCT((01_Matriz_NDVI_MSAVI!$C$7:$C$65=$B15)*(01_Matriz_NDVI_MSAVI!$D$7:$D$65=$A15)*01_Matriz_NDVI_MSAVI!$F$7:$F$65)</f>
        <v>459.674</v>
      </c>
      <c r="E15" s="25" t="n">
        <f aca="false">SUMPRODUCT((01_Matriz_NDVI_MSAVI!$C$7:$C$65=$B15)*(01_Matriz_NDVI_MSAVI!$D$7:$D$65=$A15)*01_Matriz_NDVI_MSAVI!$F$7:$F$65*01_Matriz_NDVI_MSAVI!$G$7:$G$65)/D15</f>
        <v>0.462107840774114</v>
      </c>
      <c r="F15" s="8" t="n">
        <f aca="false">SUMPRODUCT((01_Matriz_NDVI_MSAVI!$C$7:$C$65=$B15)*(01_Matriz_NDVI_MSAVI!$D$7:$D$65=$A15)*01_Matriz_NDVI_MSAVI!$N$7:$N$65)</f>
        <v>1.9306503</v>
      </c>
      <c r="G15" s="8" t="n">
        <f aca="false">SUMPRODUCT((01_Matriz_NDVI_MSAVI!$C$7:$C$65=$B15)*(01_Matriz_NDVI_MSAVI!$D$7:$D$65=$A15)*01_Matriz_NDVI_MSAVI!$O$7:$O$65)</f>
        <v>125.6606757</v>
      </c>
      <c r="H15" s="8" t="n">
        <f aca="false">SUMPRODUCT((01_Matriz_NDVI_MSAVI!$C$7:$C$65=$B15)*(01_Matriz_NDVI_MSAVI!$D$7:$D$65=$A15)*01_Matriz_NDVI_MSAVI!$P$7:$P$65)</f>
        <v>200.0816191</v>
      </c>
      <c r="I15" s="8" t="n">
        <f aca="false">SUMPRODUCT((01_Matriz_NDVI_MSAVI!$C$7:$C$65=$B15)*(01_Matriz_NDVI_MSAVI!$D$7:$D$65=$A15)*01_Matriz_NDVI_MSAVI!$Q$7:$Q$65)</f>
        <v>132.0099887</v>
      </c>
    </row>
    <row r="16" customFormat="false" ht="15" hidden="false" customHeight="true" outlineLevel="0" collapsed="false">
      <c r="A16" s="24" t="s">
        <v>130</v>
      </c>
      <c r="B16" s="24"/>
      <c r="C16" s="24" t="n">
        <f aca="false">SUM(C7:C15)</f>
        <v>59</v>
      </c>
      <c r="D16" s="20" t="n">
        <f aca="false">SUM(D7:D15)</f>
        <v>7327.367</v>
      </c>
      <c r="E16" s="20" t="n">
        <f aca="false">SUMPRODUCT(D7:D15,E7:E15)/D16</f>
        <v>0.379310932767528</v>
      </c>
      <c r="F16" s="20" t="n">
        <f aca="false">SUM(F7:F15)</f>
        <v>22.6896141</v>
      </c>
      <c r="G16" s="20" t="n">
        <f aca="false">SUM(G7:G15)</f>
        <v>3748.0498864</v>
      </c>
      <c r="H16" s="20" t="n">
        <f aca="false">SUM(H7:H15)</f>
        <v>2549.7500673</v>
      </c>
      <c r="I16" s="20" t="n">
        <f aca="false">SUM(I7:I15)</f>
        <v>1006.7762059</v>
      </c>
    </row>
  </sheetData>
  <mergeCells count="5">
    <mergeCell ref="A1:I1"/>
    <mergeCell ref="A2:I2"/>
    <mergeCell ref="A3:I3"/>
    <mergeCell ref="A4:I4"/>
    <mergeCell ref="A16:B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30"/>
  </cols>
  <sheetData>
    <row r="1" customFormat="false" ht="18" hidden="false" customHeight="true" outlineLevel="0" collapsed="false">
      <c r="A1" s="2" t="s">
        <v>0</v>
      </c>
      <c r="B1" s="2"/>
    </row>
    <row r="2" customFormat="false" ht="18" hidden="false" customHeight="true" outlineLevel="0" collapsed="false">
      <c r="A2" s="3" t="s">
        <v>1</v>
      </c>
      <c r="B2" s="3"/>
    </row>
    <row r="3" customFormat="false" ht="18" hidden="false" customHeight="true" outlineLevel="0" collapsed="false">
      <c r="A3" s="4" t="s">
        <v>137</v>
      </c>
      <c r="B3" s="4"/>
    </row>
    <row r="4" customFormat="false" ht="18" hidden="false" customHeight="true" outlineLevel="0" collapsed="false">
      <c r="A4" s="5" t="s">
        <v>138</v>
      </c>
      <c r="B4" s="5"/>
    </row>
    <row r="6" customFormat="false" ht="45.75" hidden="false" customHeight="true" outlineLevel="0" collapsed="false">
      <c r="A6" s="33" t="s">
        <v>139</v>
      </c>
      <c r="B6" s="28" t="s">
        <v>140</v>
      </c>
    </row>
    <row r="7" customFormat="false" ht="45.75" hidden="false" customHeight="true" outlineLevel="0" collapsed="false">
      <c r="A7" s="34" t="s">
        <v>141</v>
      </c>
      <c r="B7" s="32" t="s">
        <v>142</v>
      </c>
    </row>
    <row r="8" customFormat="false" ht="22.35" hidden="false" customHeight="false" outlineLevel="0" collapsed="false">
      <c r="A8" s="33" t="s">
        <v>143</v>
      </c>
      <c r="B8" s="28" t="s">
        <v>144</v>
      </c>
    </row>
    <row r="9" customFormat="false" ht="45.75" hidden="false" customHeight="true" outlineLevel="0" collapsed="false">
      <c r="A9" s="34" t="s">
        <v>145</v>
      </c>
      <c r="B9" s="32" t="s">
        <v>146</v>
      </c>
    </row>
    <row r="10" customFormat="false" ht="43.25" hidden="false" customHeight="false" outlineLevel="0" collapsed="false">
      <c r="A10" s="33" t="s">
        <v>147</v>
      </c>
      <c r="B10" s="28" t="s">
        <v>148</v>
      </c>
    </row>
    <row r="11" customFormat="false" ht="32.8" hidden="false" customHeight="false" outlineLevel="0" collapsed="false">
      <c r="A11" s="34" t="s">
        <v>149</v>
      </c>
      <c r="B11" s="32" t="s">
        <v>150</v>
      </c>
    </row>
    <row r="12" customFormat="false" ht="32.8" hidden="false" customHeight="false" outlineLevel="0" collapsed="false">
      <c r="A12" s="33" t="s">
        <v>16</v>
      </c>
      <c r="B12" s="28" t="s">
        <v>151</v>
      </c>
    </row>
    <row r="13" customFormat="false" ht="45.75" hidden="false" customHeight="true" outlineLevel="0" collapsed="false">
      <c r="A13" s="34" t="s">
        <v>152</v>
      </c>
      <c r="B13" s="32" t="s">
        <v>153</v>
      </c>
    </row>
    <row r="14" customFormat="false" ht="45.75" hidden="false" customHeight="true" outlineLevel="0" collapsed="false">
      <c r="A14" s="33" t="s">
        <v>154</v>
      </c>
      <c r="B14" s="28" t="s">
        <v>155</v>
      </c>
    </row>
    <row r="15" customFormat="false" ht="32.8" hidden="false" customHeight="false" outlineLevel="0" collapsed="false">
      <c r="A15" s="34" t="s">
        <v>156</v>
      </c>
      <c r="B15" s="32" t="s">
        <v>157</v>
      </c>
    </row>
    <row r="16" customFormat="false" ht="32.8" hidden="false" customHeight="false" outlineLevel="0" collapsed="false">
      <c r="A16" s="33" t="s">
        <v>158</v>
      </c>
      <c r="B16" s="28" t="s">
        <v>159</v>
      </c>
    </row>
    <row r="17" customFormat="false" ht="45.75" hidden="false" customHeight="true" outlineLevel="0" collapsed="false">
      <c r="A17" s="34" t="s">
        <v>160</v>
      </c>
      <c r="B17" s="32" t="s">
        <v>161</v>
      </c>
    </row>
    <row r="18" customFormat="false" ht="22.35" hidden="false" customHeight="false" outlineLevel="0" collapsed="false">
      <c r="A18" s="33" t="s">
        <v>162</v>
      </c>
      <c r="B18" s="28" t="s">
        <v>163</v>
      </c>
    </row>
    <row r="19" customFormat="false" ht="45.75" hidden="false" customHeight="true" outlineLevel="0" collapsed="false">
      <c r="A19" s="34" t="s">
        <v>164</v>
      </c>
      <c r="B19" s="32" t="s">
        <v>165</v>
      </c>
    </row>
    <row r="20" customFormat="false" ht="45.75" hidden="false" customHeight="true" outlineLevel="0" collapsed="false">
      <c r="A20" s="33" t="s">
        <v>166</v>
      </c>
      <c r="B20" s="28" t="s">
        <v>167</v>
      </c>
    </row>
    <row r="21" customFormat="false" ht="60" hidden="false" customHeight="true" outlineLevel="0" collapsed="false">
      <c r="A21" s="35" t="s">
        <v>168</v>
      </c>
      <c r="B21" s="36" t="s">
        <v>169</v>
      </c>
    </row>
    <row r="22" customFormat="false" ht="60" hidden="false" customHeight="true" outlineLevel="0" collapsed="false">
      <c r="A22" s="35" t="s">
        <v>170</v>
      </c>
      <c r="B22" s="36" t="s">
        <v>171</v>
      </c>
    </row>
  </sheetData>
  <mergeCells count="4">
    <mergeCell ref="A1:B1"/>
    <mergeCell ref="A2:B2"/>
    <mergeCell ref="A3:B3"/>
    <mergeCell ref="A4:B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16"/>
    <col collapsed="false" customWidth="true" hidden="false" outlineLevel="0" max="3" min="3" style="1" width="10"/>
    <col collapsed="false" customWidth="true" hidden="false" outlineLevel="0" max="4" min="4" style="1" width="12"/>
    <col collapsed="false" customWidth="true" hidden="false" outlineLevel="0" max="5" min="5" style="1" width="13"/>
    <col collapsed="false" customWidth="true" hidden="false" outlineLevel="0" max="7" min="6" style="1" width="11"/>
    <col collapsed="false" customWidth="true" hidden="false" outlineLevel="0" max="10" min="8" style="1" width="12"/>
    <col collapsed="false" customWidth="true" hidden="false" outlineLevel="0" max="11" min="11" style="1" width="11"/>
    <col collapsed="false" customWidth="true" hidden="false" outlineLevel="0" max="13" min="12" style="1" width="13"/>
    <col collapsed="false" customWidth="true" hidden="false" outlineLevel="0" max="14" min="14" style="1" width="14"/>
    <col collapsed="false" customWidth="true" hidden="false" outlineLevel="0" max="15" min="15" style="1" width="15"/>
    <col collapsed="false" customWidth="true" hidden="false" outlineLevel="0" max="16" min="16" style="1" width="46"/>
    <col collapsed="false" customWidth="true" hidden="false" outlineLevel="0" max="17" min="17" style="1" width="22"/>
  </cols>
  <sheetData>
    <row r="1" customFormat="false" ht="15" hidden="false" customHeight="true" outlineLevel="0" collapsed="false">
      <c r="A1" s="2" t="s">
        <v>0</v>
      </c>
      <c r="B1" s="2"/>
      <c r="C1" s="2"/>
      <c r="D1" s="2"/>
      <c r="E1" s="2"/>
      <c r="F1" s="2"/>
      <c r="G1" s="2"/>
      <c r="H1" s="2"/>
      <c r="I1" s="2"/>
      <c r="J1" s="2"/>
      <c r="K1" s="2"/>
      <c r="L1" s="2"/>
      <c r="M1" s="2"/>
      <c r="N1" s="2"/>
      <c r="O1" s="2"/>
      <c r="P1" s="2"/>
      <c r="Q1" s="2"/>
    </row>
    <row r="2" customFormat="false" ht="15" hidden="false" customHeight="true" outlineLevel="0" collapsed="false">
      <c r="A2" s="3" t="s">
        <v>1</v>
      </c>
      <c r="B2" s="3"/>
      <c r="C2" s="3"/>
      <c r="D2" s="3"/>
      <c r="E2" s="3"/>
      <c r="F2" s="3"/>
      <c r="G2" s="3"/>
      <c r="H2" s="3"/>
      <c r="I2" s="3"/>
      <c r="J2" s="3"/>
      <c r="K2" s="3"/>
      <c r="L2" s="3"/>
      <c r="M2" s="3"/>
      <c r="N2" s="3"/>
      <c r="O2" s="3"/>
      <c r="P2" s="3"/>
      <c r="Q2" s="3"/>
    </row>
    <row r="3" customFormat="false" ht="15" hidden="false" customHeight="true" outlineLevel="0" collapsed="false">
      <c r="A3" s="4" t="s">
        <v>172</v>
      </c>
      <c r="B3" s="4"/>
      <c r="C3" s="4"/>
      <c r="D3" s="4"/>
      <c r="E3" s="4"/>
      <c r="F3" s="4"/>
      <c r="G3" s="4"/>
      <c r="H3" s="4"/>
      <c r="I3" s="4"/>
      <c r="J3" s="4"/>
      <c r="K3" s="4"/>
      <c r="L3" s="4"/>
      <c r="M3" s="4"/>
      <c r="N3" s="4"/>
      <c r="O3" s="4"/>
      <c r="P3" s="4"/>
      <c r="Q3" s="4"/>
    </row>
    <row r="4" customFormat="false" ht="15" hidden="false" customHeight="true" outlineLevel="0" collapsed="false">
      <c r="A4" s="5" t="s">
        <v>173</v>
      </c>
      <c r="B4" s="5"/>
      <c r="C4" s="5"/>
      <c r="D4" s="5"/>
      <c r="E4" s="5"/>
      <c r="F4" s="5"/>
      <c r="G4" s="5"/>
      <c r="H4" s="5"/>
      <c r="I4" s="5"/>
      <c r="J4" s="5"/>
      <c r="K4" s="5"/>
      <c r="L4" s="5"/>
      <c r="M4" s="5"/>
      <c r="N4" s="5"/>
      <c r="O4" s="5"/>
      <c r="P4" s="5"/>
      <c r="Q4" s="5"/>
    </row>
    <row r="6" customFormat="false" ht="48" hidden="false" customHeight="true" outlineLevel="0" collapsed="false">
      <c r="A6" s="6" t="s">
        <v>4</v>
      </c>
      <c r="B6" s="6" t="s">
        <v>6</v>
      </c>
      <c r="C6" s="6" t="s">
        <v>9</v>
      </c>
      <c r="D6" s="6" t="s">
        <v>174</v>
      </c>
      <c r="E6" s="6" t="s">
        <v>175</v>
      </c>
      <c r="F6" s="6" t="s">
        <v>176</v>
      </c>
      <c r="G6" s="6" t="s">
        <v>177</v>
      </c>
      <c r="H6" s="6" t="s">
        <v>178</v>
      </c>
      <c r="I6" s="6" t="s">
        <v>179</v>
      </c>
      <c r="J6" s="6" t="s">
        <v>180</v>
      </c>
      <c r="K6" s="6" t="s">
        <v>181</v>
      </c>
      <c r="L6" s="6" t="s">
        <v>182</v>
      </c>
      <c r="M6" s="6" t="s">
        <v>183</v>
      </c>
      <c r="N6" s="6" t="s">
        <v>184</v>
      </c>
      <c r="O6" s="6" t="s">
        <v>185</v>
      </c>
      <c r="P6" s="6" t="s">
        <v>186</v>
      </c>
      <c r="Q6" s="6" t="s">
        <v>187</v>
      </c>
    </row>
    <row r="7" customFormat="false" ht="21.75" hidden="false" customHeight="true" outlineLevel="0" collapsed="false">
      <c r="A7" s="7" t="s">
        <v>25</v>
      </c>
      <c r="B7" s="7" t="s">
        <v>27</v>
      </c>
      <c r="C7" s="8" t="n">
        <v>295.726</v>
      </c>
      <c r="D7" s="9" t="n">
        <v>0.3394</v>
      </c>
      <c r="E7" s="9" t="n">
        <v>0.3444</v>
      </c>
      <c r="F7" s="9" t="n">
        <f aca="false">ABS(E7-D7)</f>
        <v>0.005</v>
      </c>
      <c r="G7" s="10" t="n">
        <v>7.26</v>
      </c>
      <c r="H7" s="10" t="n">
        <v>67.11</v>
      </c>
      <c r="I7" s="10" t="n">
        <v>25.18</v>
      </c>
      <c r="J7" s="10" t="n">
        <v>0.43</v>
      </c>
      <c r="K7" s="10" t="n">
        <v>0.01</v>
      </c>
      <c r="L7" s="10" t="n">
        <f aca="false">G7+H7</f>
        <v>74.37</v>
      </c>
      <c r="M7" s="10" t="n">
        <v>29.56</v>
      </c>
      <c r="N7" s="10" t="n">
        <f aca="false">M7-L7</f>
        <v>-44.81</v>
      </c>
      <c r="O7" s="8" t="n">
        <f aca="false">$C7*L7/100</f>
        <v>219.9314262</v>
      </c>
      <c r="P7" s="12" t="str">
        <f aca="false">IF(ABS(N7)&lt;=10,"Convergente: ambos índices coinciden en la extensión del área degradada",IF(N7&lt;-25,"Degradación estructural subestimada por el NDVI (verdor estacional)",IF(N7&lt;0,"Ligera subestimación del NDVI respecto del MSAVI",IF(N7&gt;25,"NDVI señala más área rala que el MSAVI (dosel abierto sobre suelo cubierto)","Ligera sobrestimación del NDVI respecto del MSAVI"))))</f>
        <v>Degradación estructural subestimada por el NDVI (verdor estacional)</v>
      </c>
      <c r="Q7" s="7" t="s">
        <v>188</v>
      </c>
    </row>
    <row r="8" customFormat="false" ht="21.75" hidden="false" customHeight="true" outlineLevel="0" collapsed="false">
      <c r="A8" s="13" t="s">
        <v>30</v>
      </c>
      <c r="B8" s="13" t="s">
        <v>27</v>
      </c>
      <c r="C8" s="14" t="n">
        <v>160.36</v>
      </c>
      <c r="D8" s="15" t="n">
        <v>0.3343</v>
      </c>
      <c r="E8" s="15" t="n">
        <v>0.3356</v>
      </c>
      <c r="F8" s="15" t="n">
        <f aca="false">ABS(E8-D8)</f>
        <v>0.00130000000000002</v>
      </c>
      <c r="G8" s="16" t="n">
        <v>13.89</v>
      </c>
      <c r="H8" s="16" t="n">
        <v>61.09</v>
      </c>
      <c r="I8" s="16" t="n">
        <v>24.41</v>
      </c>
      <c r="J8" s="16" t="n">
        <v>0.6</v>
      </c>
      <c r="K8" s="16" t="n">
        <v>0</v>
      </c>
      <c r="L8" s="16" t="n">
        <f aca="false">G8+H8</f>
        <v>74.98</v>
      </c>
      <c r="M8" s="16" t="n">
        <v>30.02</v>
      </c>
      <c r="N8" s="16" t="n">
        <f aca="false">M8-L8</f>
        <v>-44.96</v>
      </c>
      <c r="O8" s="14" t="n">
        <f aca="false">$C8*L8/100</f>
        <v>120.237928</v>
      </c>
      <c r="P8" s="18" t="str">
        <f aca="false">IF(ABS(N8)&lt;=10,"Convergente: ambos índices coinciden en la extensión del área degradada",IF(N8&lt;-25,"Degradación estructural subestimada por el NDVI (verdor estacional)",IF(N8&lt;0,"Ligera subestimación del NDVI respecto del MSAVI",IF(N8&gt;25,"NDVI señala más área rala que el MSAVI (dosel abierto sobre suelo cubierto)","Ligera sobrestimación del NDVI respecto del MSAVI"))))</f>
        <v>Degradación estructural subestimada por el NDVI (verdor estacional)</v>
      </c>
      <c r="Q8" s="13" t="s">
        <v>188</v>
      </c>
    </row>
    <row r="9" customFormat="false" ht="15" hidden="false" customHeight="true" outlineLevel="0" collapsed="false">
      <c r="A9" s="7" t="s">
        <v>32</v>
      </c>
      <c r="B9" s="7" t="s">
        <v>27</v>
      </c>
      <c r="C9" s="8" t="n">
        <v>188.797</v>
      </c>
      <c r="D9" s="9" t="n">
        <v>0.3193</v>
      </c>
      <c r="E9" s="9" t="n">
        <v>0.3223</v>
      </c>
      <c r="F9" s="9" t="n">
        <f aca="false">ABS(E9-D9)</f>
        <v>0.003</v>
      </c>
      <c r="G9" s="10" t="n">
        <v>14.28</v>
      </c>
      <c r="H9" s="10" t="n">
        <v>71.99</v>
      </c>
      <c r="I9" s="10" t="n">
        <v>12.88</v>
      </c>
      <c r="J9" s="10" t="n">
        <v>0.8</v>
      </c>
      <c r="K9" s="10" t="n">
        <v>0.05</v>
      </c>
      <c r="L9" s="10" t="n">
        <f aca="false">G9+H9</f>
        <v>86.27</v>
      </c>
      <c r="M9" s="10" t="n">
        <v>58.63</v>
      </c>
      <c r="N9" s="10" t="n">
        <f aca="false">M9-L9</f>
        <v>-27.64</v>
      </c>
      <c r="O9" s="8" t="n">
        <f aca="false">$C9*L9/100</f>
        <v>162.8751719</v>
      </c>
      <c r="P9" s="12" t="str">
        <f aca="false">IF(ABS(N9)&lt;=10,"Convergente: ambos índices coinciden en la extensión del área degradada",IF(N9&lt;-25,"Degradación estructural subestimada por el NDVI (verdor estacional)",IF(N9&lt;0,"Ligera subestimación del NDVI respecto del MSAVI",IF(N9&gt;25,"NDVI señala más área rala que el MSAVI (dosel abierto sobre suelo cubierto)","Ligera sobrestimación del NDVI respecto del MSAVI"))))</f>
        <v>Degradación estructural subestimada por el NDVI (verdor estacional)</v>
      </c>
      <c r="Q9" s="7" t="s">
        <v>188</v>
      </c>
    </row>
    <row r="10" customFormat="false" ht="21.75" hidden="false" customHeight="true" outlineLevel="0" collapsed="false">
      <c r="A10" s="13" t="s">
        <v>34</v>
      </c>
      <c r="B10" s="13" t="s">
        <v>27</v>
      </c>
      <c r="C10" s="14" t="n">
        <v>249.89</v>
      </c>
      <c r="D10" s="15" t="n">
        <v>0.3099</v>
      </c>
      <c r="E10" s="15" t="n">
        <v>0.3135</v>
      </c>
      <c r="F10" s="15" t="n">
        <f aca="false">ABS(E10-D10)</f>
        <v>0.00359999999999999</v>
      </c>
      <c r="G10" s="16" t="n">
        <v>26.75</v>
      </c>
      <c r="H10" s="16" t="n">
        <v>53.2</v>
      </c>
      <c r="I10" s="16" t="n">
        <v>19.69</v>
      </c>
      <c r="J10" s="16" t="n">
        <v>0.36</v>
      </c>
      <c r="K10" s="16" t="n">
        <v>0</v>
      </c>
      <c r="L10" s="16" t="n">
        <f aca="false">G10+H10</f>
        <v>79.95</v>
      </c>
      <c r="M10" s="16" t="n">
        <v>76.94</v>
      </c>
      <c r="N10" s="16" t="n">
        <f aca="false">M10-L10</f>
        <v>-3.01000000000001</v>
      </c>
      <c r="O10" s="14" t="n">
        <f aca="false">$C10*L10/100</f>
        <v>199.787055</v>
      </c>
      <c r="P10" s="18" t="str">
        <f aca="false">IF(ABS(N10)&lt;=10,"Convergente: ambos índices coinciden en la extensión del área degradada",IF(N10&lt;-25,"Degradación estructural subestimada por el NDVI (verdor estacional)",IF(N10&lt;0,"Ligera subestimación del NDVI respecto del MSAVI",IF(N10&gt;25,"NDVI señala más área rala que el MSAVI (dosel abierto sobre suelo cubierto)","Ligera sobrestimación del NDVI respecto del MSAVI"))))</f>
        <v>Convergente: ambos índices coinciden en la extensión del área degradada</v>
      </c>
      <c r="Q10" s="13" t="s">
        <v>188</v>
      </c>
    </row>
    <row r="11" customFormat="false" ht="21.75" hidden="false" customHeight="true" outlineLevel="0" collapsed="false">
      <c r="A11" s="7" t="s">
        <v>35</v>
      </c>
      <c r="B11" s="7" t="s">
        <v>27</v>
      </c>
      <c r="C11" s="8" t="n">
        <v>514.359</v>
      </c>
      <c r="D11" s="9" t="n">
        <v>0.3381</v>
      </c>
      <c r="E11" s="9" t="n">
        <v>0.3499</v>
      </c>
      <c r="F11" s="9" t="n">
        <f aca="false">ABS(E11-D11)</f>
        <v>0.0118</v>
      </c>
      <c r="G11" s="10" t="n">
        <v>6.52</v>
      </c>
      <c r="H11" s="10" t="n">
        <v>65.02</v>
      </c>
      <c r="I11" s="10" t="n">
        <v>27</v>
      </c>
      <c r="J11" s="10" t="n">
        <v>1.45</v>
      </c>
      <c r="K11" s="10" t="n">
        <v>0.02</v>
      </c>
      <c r="L11" s="10" t="n">
        <f aca="false">G11+H11</f>
        <v>71.54</v>
      </c>
      <c r="M11" s="10" t="n">
        <v>67.67</v>
      </c>
      <c r="N11" s="10" t="n">
        <f aca="false">M11-L11</f>
        <v>-3.86999999999999</v>
      </c>
      <c r="O11" s="8" t="n">
        <f aca="false">$C11*L11/100</f>
        <v>367.9724286</v>
      </c>
      <c r="P11" s="12" t="str">
        <f aca="false">IF(ABS(N11)&lt;=10,"Convergente: ambos índices coinciden en la extensión del área degradada",IF(N11&lt;-25,"Degradación estructural subestimada por el NDVI (verdor estacional)",IF(N11&lt;0,"Ligera subestimación del NDVI respecto del MSAVI",IF(N11&gt;25,"NDVI señala más área rala que el MSAVI (dosel abierto sobre suelo cubierto)","Ligera sobrestimación del NDVI respecto del MSAVI"))))</f>
        <v>Convergente: ambos índices coinciden en la extensión del área degradada</v>
      </c>
      <c r="Q11" s="7" t="s">
        <v>188</v>
      </c>
    </row>
    <row r="12" customFormat="false" ht="21.75" hidden="false" customHeight="true" outlineLevel="0" collapsed="false">
      <c r="A12" s="13" t="s">
        <v>36</v>
      </c>
      <c r="B12" s="13" t="s">
        <v>27</v>
      </c>
      <c r="C12" s="14" t="n">
        <v>333.011</v>
      </c>
      <c r="D12" s="15" t="n">
        <v>0.3026</v>
      </c>
      <c r="E12" s="15" t="n">
        <v>0.3167</v>
      </c>
      <c r="F12" s="15" t="n">
        <f aca="false">ABS(E12-D12)</f>
        <v>0.0141</v>
      </c>
      <c r="G12" s="16" t="n">
        <v>17.9</v>
      </c>
      <c r="H12" s="16" t="n">
        <v>69.87</v>
      </c>
      <c r="I12" s="16" t="n">
        <v>10.97</v>
      </c>
      <c r="J12" s="16" t="n">
        <v>1.12</v>
      </c>
      <c r="K12" s="16" t="n">
        <v>0.14</v>
      </c>
      <c r="L12" s="16" t="n">
        <f aca="false">G12+H12</f>
        <v>87.77</v>
      </c>
      <c r="M12" s="16" t="n">
        <v>82.03</v>
      </c>
      <c r="N12" s="16" t="n">
        <f aca="false">M12-L12</f>
        <v>-5.74000000000001</v>
      </c>
      <c r="O12" s="14" t="n">
        <f aca="false">$C12*L12/100</f>
        <v>292.2837547</v>
      </c>
      <c r="P12" s="18" t="str">
        <f aca="false">IF(ABS(N12)&lt;=10,"Convergente: ambos índices coinciden en la extensión del área degradada",IF(N12&lt;-25,"Degradación estructural subestimada por el NDVI (verdor estacional)",IF(N12&lt;0,"Ligera subestimación del NDVI respecto del MSAVI",IF(N12&gt;25,"NDVI señala más área rala que el MSAVI (dosel abierto sobre suelo cubierto)","Ligera sobrestimación del NDVI respecto del MSAVI"))))</f>
        <v>Convergente: ambos índices coinciden en la extensión del área degradada</v>
      </c>
      <c r="Q12" s="13" t="s">
        <v>188</v>
      </c>
    </row>
    <row r="13" customFormat="false" ht="21.75" hidden="false" customHeight="true" outlineLevel="0" collapsed="false">
      <c r="A13" s="7" t="s">
        <v>37</v>
      </c>
      <c r="B13" s="7" t="s">
        <v>27</v>
      </c>
      <c r="C13" s="8" t="n">
        <v>160.978</v>
      </c>
      <c r="D13" s="9" t="n">
        <v>0.4063</v>
      </c>
      <c r="E13" s="9" t="n">
        <v>0.4078</v>
      </c>
      <c r="F13" s="9" t="n">
        <f aca="false">ABS(E13-D13)</f>
        <v>0.0015</v>
      </c>
      <c r="G13" s="10" t="n">
        <v>1.73</v>
      </c>
      <c r="H13" s="10" t="n">
        <v>33.65</v>
      </c>
      <c r="I13" s="10" t="n">
        <v>54.94</v>
      </c>
      <c r="J13" s="10" t="n">
        <v>9.45</v>
      </c>
      <c r="K13" s="10" t="n">
        <v>0.22</v>
      </c>
      <c r="L13" s="10" t="n">
        <f aca="false">G13+H13</f>
        <v>35.38</v>
      </c>
      <c r="M13" s="10" t="n">
        <v>35.22</v>
      </c>
      <c r="N13" s="10" t="n">
        <f aca="false">M13-L13</f>
        <v>-0.159999999999997</v>
      </c>
      <c r="O13" s="8" t="n">
        <f aca="false">$C13*L13/100</f>
        <v>56.9540164</v>
      </c>
      <c r="P13" s="12" t="str">
        <f aca="false">IF(ABS(N13)&lt;=10,"Convergente: ambos índices coinciden en la extensión del área degradada",IF(N13&lt;-25,"Degradación estructural subestimada por el NDVI (verdor estacional)",IF(N13&lt;0,"Ligera subestimación del NDVI respecto del MSAVI",IF(N13&gt;25,"NDVI señala más área rala que el MSAVI (dosel abierto sobre suelo cubierto)","Ligera sobrestimación del NDVI respecto del MSAVI"))))</f>
        <v>Convergente: ambos índices coinciden en la extensión del área degradada</v>
      </c>
      <c r="Q13" s="7" t="s">
        <v>189</v>
      </c>
    </row>
    <row r="14" customFormat="false" ht="21.75" hidden="false" customHeight="true" outlineLevel="0" collapsed="false">
      <c r="A14" s="13" t="s">
        <v>39</v>
      </c>
      <c r="B14" s="13" t="s">
        <v>41</v>
      </c>
      <c r="C14" s="14" t="n">
        <v>25.668</v>
      </c>
      <c r="D14" s="15" t="n">
        <v>0.6031</v>
      </c>
      <c r="E14" s="15" t="n">
        <v>0.6119</v>
      </c>
      <c r="F14" s="15" t="n">
        <f aca="false">ABS(E14-D14)</f>
        <v>0.00880000000000003</v>
      </c>
      <c r="G14" s="16" t="n">
        <v>0</v>
      </c>
      <c r="H14" s="16" t="n">
        <v>0</v>
      </c>
      <c r="I14" s="16" t="n">
        <v>5.18</v>
      </c>
      <c r="J14" s="16" t="n">
        <v>56.94</v>
      </c>
      <c r="K14" s="16" t="n">
        <v>37.87</v>
      </c>
      <c r="L14" s="16" t="n">
        <f aca="false">G14+H14</f>
        <v>0</v>
      </c>
      <c r="M14" s="16" t="n">
        <v>1.04</v>
      </c>
      <c r="N14" s="16" t="n">
        <f aca="false">M14-L14</f>
        <v>1.04</v>
      </c>
      <c r="O14" s="14" t="n">
        <f aca="false">$C14*L14/100</f>
        <v>0</v>
      </c>
      <c r="P14" s="18" t="str">
        <f aca="false">IF(ABS(N14)&lt;=10,"Convergente: ambos índices coinciden en la extensión del área degradada",IF(N14&lt;-25,"Degradación estructural subestimada por el NDVI (verdor estacional)",IF(N14&lt;0,"Ligera subestimación del NDVI respecto del MSAVI",IF(N14&gt;25,"NDVI señala más área rala que el MSAVI (dosel abierto sobre suelo cubierto)","Ligera sobrestimación del NDVI respecto del MSAVI"))))</f>
        <v>Convergente: ambos índices coinciden en la extensión del área degradada</v>
      </c>
      <c r="Q14" s="13" t="s">
        <v>188</v>
      </c>
    </row>
    <row r="15" customFormat="false" ht="21.75" hidden="false" customHeight="true" outlineLevel="0" collapsed="false">
      <c r="A15" s="7" t="s">
        <v>42</v>
      </c>
      <c r="B15" s="7" t="s">
        <v>41</v>
      </c>
      <c r="C15" s="8" t="n">
        <v>13.554</v>
      </c>
      <c r="D15" s="9" t="n">
        <v>0.6147</v>
      </c>
      <c r="E15" s="9" t="n">
        <v>0.6274</v>
      </c>
      <c r="F15" s="9" t="n">
        <f aca="false">ABS(E15-D15)</f>
        <v>0.0126999999999999</v>
      </c>
      <c r="G15" s="10" t="n">
        <v>1.81</v>
      </c>
      <c r="H15" s="10" t="n">
        <v>2.94</v>
      </c>
      <c r="I15" s="10" t="n">
        <v>7.87</v>
      </c>
      <c r="J15" s="10" t="n">
        <v>30.05</v>
      </c>
      <c r="K15" s="10" t="n">
        <v>57.33</v>
      </c>
      <c r="L15" s="10" t="n">
        <f aca="false">G15+H15</f>
        <v>4.75</v>
      </c>
      <c r="M15" s="10" t="n">
        <v>4.86</v>
      </c>
      <c r="N15" s="10" t="n">
        <f aca="false">M15-L15</f>
        <v>0.11</v>
      </c>
      <c r="O15" s="8" t="n">
        <f aca="false">$C15*L15/100</f>
        <v>0.643815</v>
      </c>
      <c r="P15" s="12" t="str">
        <f aca="false">IF(ABS(N15)&lt;=10,"Convergente: ambos índices coinciden en la extensión del área degradada",IF(N15&lt;-25,"Degradación estructural subestimada por el NDVI (verdor estacional)",IF(N15&lt;0,"Ligera subestimación del NDVI respecto del MSAVI",IF(N15&gt;25,"NDVI señala más área rala que el MSAVI (dosel abierto sobre suelo cubierto)","Ligera sobrestimación del NDVI respecto del MSAVI"))))</f>
        <v>Convergente: ambos índices coinciden en la extensión del área degradada</v>
      </c>
      <c r="Q15" s="7" t="s">
        <v>188</v>
      </c>
    </row>
    <row r="16" customFormat="false" ht="21.75" hidden="false" customHeight="true" outlineLevel="0" collapsed="false">
      <c r="A16" s="13" t="s">
        <v>44</v>
      </c>
      <c r="B16" s="13" t="s">
        <v>46</v>
      </c>
      <c r="C16" s="14" t="n">
        <v>330.599</v>
      </c>
      <c r="D16" s="15" t="n">
        <v>0.3586</v>
      </c>
      <c r="E16" s="15" t="n">
        <v>0.3591</v>
      </c>
      <c r="F16" s="15" t="n">
        <f aca="false">ABS(E16-D16)</f>
        <v>0.0005</v>
      </c>
      <c r="G16" s="16" t="n">
        <v>1.5</v>
      </c>
      <c r="H16" s="16" t="n">
        <v>66.86</v>
      </c>
      <c r="I16" s="16" t="n">
        <v>30.75</v>
      </c>
      <c r="J16" s="16" t="n">
        <v>0.87</v>
      </c>
      <c r="K16" s="16" t="n">
        <v>0.01</v>
      </c>
      <c r="L16" s="16" t="n">
        <f aca="false">G16+H16</f>
        <v>68.36</v>
      </c>
      <c r="M16" s="16" t="n">
        <v>71.76</v>
      </c>
      <c r="N16" s="16" t="n">
        <f aca="false">M16-L16</f>
        <v>3.40000000000001</v>
      </c>
      <c r="O16" s="14" t="n">
        <f aca="false">$C16*L16/100</f>
        <v>225.9974764</v>
      </c>
      <c r="P16" s="18" t="str">
        <f aca="false">IF(ABS(N16)&lt;=10,"Convergente: ambos índices coinciden en la extensión del área degradada",IF(N16&lt;-25,"Degradación estructural subestimada por el NDVI (verdor estacional)",IF(N16&lt;0,"Ligera subestimación del NDVI respecto del MSAVI",IF(N16&gt;25,"NDVI señala más área rala que el MSAVI (dosel abierto sobre suelo cubierto)","Ligera sobrestimación del NDVI respecto del MSAVI"))))</f>
        <v>Convergente: ambos índices coinciden en la extensión del área degradada</v>
      </c>
      <c r="Q16" s="13" t="s">
        <v>189</v>
      </c>
    </row>
    <row r="17" customFormat="false" ht="21.75" hidden="false" customHeight="true" outlineLevel="0" collapsed="false">
      <c r="A17" s="7" t="s">
        <v>47</v>
      </c>
      <c r="B17" s="7" t="s">
        <v>46</v>
      </c>
      <c r="C17" s="8" t="n">
        <v>79.33</v>
      </c>
      <c r="D17" s="9" t="n">
        <v>0.4232</v>
      </c>
      <c r="E17" s="9" t="n">
        <v>0.4245</v>
      </c>
      <c r="F17" s="9" t="n">
        <f aca="false">ABS(E17-D17)</f>
        <v>0.00129999999999997</v>
      </c>
      <c r="G17" s="10" t="n">
        <v>0</v>
      </c>
      <c r="H17" s="10" t="n">
        <v>19.44</v>
      </c>
      <c r="I17" s="10" t="n">
        <v>74.08</v>
      </c>
      <c r="J17" s="10" t="n">
        <v>6.42</v>
      </c>
      <c r="K17" s="10" t="n">
        <v>0.06</v>
      </c>
      <c r="L17" s="10" t="n">
        <f aca="false">G17+H17</f>
        <v>19.44</v>
      </c>
      <c r="M17" s="10" t="n">
        <v>67.13</v>
      </c>
      <c r="N17" s="10" t="n">
        <f aca="false">M17-L17</f>
        <v>47.69</v>
      </c>
      <c r="O17" s="8" t="n">
        <f aca="false">$C17*L17/100</f>
        <v>15.421752</v>
      </c>
      <c r="P17" s="12" t="str">
        <f aca="false">IF(ABS(N17)&lt;=10,"Convergente: ambos índices coinciden en la extensión del área degradada",IF(N17&lt;-25,"Degradación estructural subestimada por el NDVI (verdor estacional)",IF(N17&lt;0,"Ligera subestimación del NDVI respecto del MSAVI",IF(N17&gt;25,"NDVI señala más área rala que el MSAVI (dosel abierto sobre suelo cubierto)","Ligera sobrestimación del NDVI respecto del MSAVI"))))</f>
        <v>NDVI señala más área rala que el MSAVI (dosel abierto sobre suelo cubierto)</v>
      </c>
      <c r="Q17" s="7" t="s">
        <v>188</v>
      </c>
    </row>
    <row r="18" customFormat="false" ht="21.75" hidden="false" customHeight="true" outlineLevel="0" collapsed="false">
      <c r="A18" s="13" t="s">
        <v>49</v>
      </c>
      <c r="B18" s="13" t="s">
        <v>46</v>
      </c>
      <c r="C18" s="14" t="n">
        <v>68.887</v>
      </c>
      <c r="D18" s="15" t="n">
        <v>0.3133</v>
      </c>
      <c r="E18" s="15" t="n">
        <v>0.3195</v>
      </c>
      <c r="F18" s="15" t="n">
        <f aca="false">ABS(E18-D18)</f>
        <v>0.00619999999999998</v>
      </c>
      <c r="G18" s="16" t="n">
        <v>12.26</v>
      </c>
      <c r="H18" s="16" t="n">
        <v>78.32</v>
      </c>
      <c r="I18" s="16" t="n">
        <v>8.81</v>
      </c>
      <c r="J18" s="16" t="n">
        <v>0.6</v>
      </c>
      <c r="K18" s="16" t="n">
        <v>0.01</v>
      </c>
      <c r="L18" s="16" t="n">
        <f aca="false">G18+H18</f>
        <v>90.58</v>
      </c>
      <c r="M18" s="16" t="n">
        <v>97.59</v>
      </c>
      <c r="N18" s="16" t="n">
        <f aca="false">M18-L18</f>
        <v>7.01000000000001</v>
      </c>
      <c r="O18" s="14" t="n">
        <f aca="false">$C18*L18/100</f>
        <v>62.3978446</v>
      </c>
      <c r="P18" s="18" t="str">
        <f aca="false">IF(ABS(N18)&lt;=10,"Convergente: ambos índices coinciden en la extensión del área degradada",IF(N18&lt;-25,"Degradación estructural subestimada por el NDVI (verdor estacional)",IF(N18&lt;0,"Ligera subestimación del NDVI respecto del MSAVI",IF(N18&gt;25,"NDVI señala más área rala que el MSAVI (dosel abierto sobre suelo cubierto)","Ligera sobrestimación del NDVI respecto del MSAVI"))))</f>
        <v>Convergente: ambos índices coinciden en la extensión del área degradada</v>
      </c>
      <c r="Q18" s="13" t="s">
        <v>188</v>
      </c>
    </row>
    <row r="19" customFormat="false" ht="21.75" hidden="false" customHeight="true" outlineLevel="0" collapsed="false">
      <c r="A19" s="7" t="s">
        <v>51</v>
      </c>
      <c r="B19" s="7" t="s">
        <v>46</v>
      </c>
      <c r="C19" s="8" t="n">
        <v>42.449</v>
      </c>
      <c r="D19" s="9" t="n">
        <v>0.3323</v>
      </c>
      <c r="E19" s="9" t="n">
        <v>0.338</v>
      </c>
      <c r="F19" s="9" t="n">
        <f aca="false">ABS(E19-D19)</f>
        <v>0.00570000000000004</v>
      </c>
      <c r="G19" s="10" t="n">
        <v>7.21</v>
      </c>
      <c r="H19" s="10" t="n">
        <v>72.93</v>
      </c>
      <c r="I19" s="10" t="n">
        <v>19.23</v>
      </c>
      <c r="J19" s="10" t="n">
        <v>0.63</v>
      </c>
      <c r="K19" s="10" t="n">
        <v>0</v>
      </c>
      <c r="L19" s="10" t="n">
        <f aca="false">G19+H19</f>
        <v>80.14</v>
      </c>
      <c r="M19" s="10" t="n">
        <v>85.62</v>
      </c>
      <c r="N19" s="10" t="n">
        <f aca="false">M19-L19</f>
        <v>5.48</v>
      </c>
      <c r="O19" s="8" t="n">
        <f aca="false">$C19*L19/100</f>
        <v>34.0186286</v>
      </c>
      <c r="P19" s="12" t="str">
        <f aca="false">IF(ABS(N19)&lt;=10,"Convergente: ambos índices coinciden en la extensión del área degradada",IF(N19&lt;-25,"Degradación estructural subestimada por el NDVI (verdor estacional)",IF(N19&lt;0,"Ligera subestimación del NDVI respecto del MSAVI",IF(N19&gt;25,"NDVI señala más área rala que el MSAVI (dosel abierto sobre suelo cubierto)","Ligera sobrestimación del NDVI respecto del MSAVI"))))</f>
        <v>Convergente: ambos índices coinciden en la extensión del área degradada</v>
      </c>
      <c r="Q19" s="7" t="s">
        <v>188</v>
      </c>
    </row>
    <row r="20" customFormat="false" ht="21.75" hidden="false" customHeight="true" outlineLevel="0" collapsed="false">
      <c r="A20" s="13" t="s">
        <v>52</v>
      </c>
      <c r="B20" s="13" t="s">
        <v>46</v>
      </c>
      <c r="C20" s="14" t="n">
        <v>124.709</v>
      </c>
      <c r="D20" s="15" t="n">
        <v>0.4235</v>
      </c>
      <c r="E20" s="15" t="n">
        <v>0.4237</v>
      </c>
      <c r="F20" s="15" t="n">
        <f aca="false">ABS(E20-D20)</f>
        <v>0.000200000000000033</v>
      </c>
      <c r="G20" s="16" t="n">
        <v>1.05</v>
      </c>
      <c r="H20" s="16" t="n">
        <v>20.7</v>
      </c>
      <c r="I20" s="16" t="n">
        <v>70.59</v>
      </c>
      <c r="J20" s="16" t="n">
        <v>6.49</v>
      </c>
      <c r="K20" s="16" t="n">
        <v>1.17</v>
      </c>
      <c r="L20" s="16" t="n">
        <f aca="false">G20+H20</f>
        <v>21.75</v>
      </c>
      <c r="M20" s="16" t="n">
        <v>15.46</v>
      </c>
      <c r="N20" s="16" t="n">
        <f aca="false">M20-L20</f>
        <v>-6.29</v>
      </c>
      <c r="O20" s="14" t="n">
        <f aca="false">$C20*L20/100</f>
        <v>27.1242075</v>
      </c>
      <c r="P20" s="18" t="str">
        <f aca="false">IF(ABS(N20)&lt;=10,"Convergente: ambos índices coinciden en la extensión del área degradada",IF(N20&lt;-25,"Degradación estructural subestimada por el NDVI (verdor estacional)",IF(N20&lt;0,"Ligera subestimación del NDVI respecto del MSAVI",IF(N20&gt;25,"NDVI señala más área rala que el MSAVI (dosel abierto sobre suelo cubierto)","Ligera sobrestimación del NDVI respecto del MSAVI"))))</f>
        <v>Convergente: ambos índices coinciden en la extensión del área degradada</v>
      </c>
      <c r="Q20" s="13" t="s">
        <v>189</v>
      </c>
    </row>
    <row r="21" customFormat="false" ht="21.75" hidden="false" customHeight="true" outlineLevel="0" collapsed="false">
      <c r="A21" s="7" t="s">
        <v>53</v>
      </c>
      <c r="B21" s="7" t="s">
        <v>46</v>
      </c>
      <c r="C21" s="8" t="n">
        <v>448.804</v>
      </c>
      <c r="D21" s="9" t="n">
        <v>0.3632</v>
      </c>
      <c r="E21" s="9" t="n">
        <v>0.3684</v>
      </c>
      <c r="F21" s="9" t="n">
        <f aca="false">ABS(E21-D21)</f>
        <v>0.00519999999999998</v>
      </c>
      <c r="G21" s="10" t="n">
        <v>6.42</v>
      </c>
      <c r="H21" s="10" t="n">
        <v>50.89</v>
      </c>
      <c r="I21" s="10" t="n">
        <v>39.6</v>
      </c>
      <c r="J21" s="10" t="n">
        <v>3.08</v>
      </c>
      <c r="K21" s="10" t="n">
        <v>0.01</v>
      </c>
      <c r="L21" s="10" t="n">
        <f aca="false">G21+H21</f>
        <v>57.31</v>
      </c>
      <c r="M21" s="10" t="n">
        <v>96.92</v>
      </c>
      <c r="N21" s="10" t="n">
        <f aca="false">M21-L21</f>
        <v>39.61</v>
      </c>
      <c r="O21" s="8" t="n">
        <f aca="false">$C21*L21/100</f>
        <v>257.2095724</v>
      </c>
      <c r="P21" s="12" t="str">
        <f aca="false">IF(ABS(N21)&lt;=10,"Convergente: ambos índices coinciden en la extensión del área degradada",IF(N21&lt;-25,"Degradación estructural subestimada por el NDVI (verdor estacional)",IF(N21&lt;0,"Ligera subestimación del NDVI respecto del MSAVI",IF(N21&gt;25,"NDVI señala más área rala que el MSAVI (dosel abierto sobre suelo cubierto)","Ligera sobrestimación del NDVI respecto del MSAVI"))))</f>
        <v>NDVI señala más área rala que el MSAVI (dosel abierto sobre suelo cubierto)</v>
      </c>
      <c r="Q21" s="7" t="s">
        <v>188</v>
      </c>
    </row>
    <row r="22" customFormat="false" ht="21.75" hidden="false" customHeight="true" outlineLevel="0" collapsed="false">
      <c r="A22" s="13" t="s">
        <v>55</v>
      </c>
      <c r="B22" s="13" t="s">
        <v>46</v>
      </c>
      <c r="C22" s="14" t="n">
        <v>355.364</v>
      </c>
      <c r="D22" s="15" t="n">
        <v>0.3143</v>
      </c>
      <c r="E22" s="15" t="n">
        <v>0.3171</v>
      </c>
      <c r="F22" s="15" t="n">
        <f aca="false">ABS(E22-D22)</f>
        <v>0.00279999999999997</v>
      </c>
      <c r="G22" s="16" t="n">
        <v>17.52</v>
      </c>
      <c r="H22" s="16" t="n">
        <v>69.71</v>
      </c>
      <c r="I22" s="16" t="n">
        <v>11.98</v>
      </c>
      <c r="J22" s="16" t="n">
        <v>0.73</v>
      </c>
      <c r="K22" s="16" t="n">
        <v>0.06</v>
      </c>
      <c r="L22" s="16" t="n">
        <f aca="false">G22+H22</f>
        <v>87.23</v>
      </c>
      <c r="M22" s="16" t="n">
        <v>92.3</v>
      </c>
      <c r="N22" s="16" t="n">
        <f aca="false">M22-L22</f>
        <v>5.07000000000001</v>
      </c>
      <c r="O22" s="14" t="n">
        <f aca="false">$C22*L22/100</f>
        <v>309.9840172</v>
      </c>
      <c r="P22" s="18" t="str">
        <f aca="false">IF(ABS(N22)&lt;=10,"Convergente: ambos índices coinciden en la extensión del área degradada",IF(N22&lt;-25,"Degradación estructural subestimada por el NDVI (verdor estacional)",IF(N22&lt;0,"Ligera subestimación del NDVI respecto del MSAVI",IF(N22&gt;25,"NDVI señala más área rala que el MSAVI (dosel abierto sobre suelo cubierto)","Ligera sobrestimación del NDVI respecto del MSAVI"))))</f>
        <v>Convergente: ambos índices coinciden en la extensión del área degradada</v>
      </c>
      <c r="Q22" s="13" t="s">
        <v>188</v>
      </c>
    </row>
    <row r="23" customFormat="false" ht="21.75" hidden="false" customHeight="true" outlineLevel="0" collapsed="false">
      <c r="A23" s="7" t="s">
        <v>57</v>
      </c>
      <c r="B23" s="7" t="s">
        <v>28</v>
      </c>
      <c r="C23" s="8" t="n">
        <v>74.372</v>
      </c>
      <c r="D23" s="9" t="n">
        <v>0.4012</v>
      </c>
      <c r="E23" s="9" t="n">
        <v>0.4107</v>
      </c>
      <c r="F23" s="9" t="n">
        <f aca="false">ABS(E23-D23)</f>
        <v>0.00950000000000001</v>
      </c>
      <c r="G23" s="10" t="n">
        <v>0.44</v>
      </c>
      <c r="H23" s="10" t="n">
        <v>28.85</v>
      </c>
      <c r="I23" s="10" t="n">
        <v>65.7</v>
      </c>
      <c r="J23" s="10" t="n">
        <v>5</v>
      </c>
      <c r="K23" s="10" t="n">
        <v>0</v>
      </c>
      <c r="L23" s="10" t="n">
        <f aca="false">G23+H23</f>
        <v>29.29</v>
      </c>
      <c r="M23" s="10" t="n">
        <v>34.82</v>
      </c>
      <c r="N23" s="10" t="n">
        <f aca="false">M23-L23</f>
        <v>5.53</v>
      </c>
      <c r="O23" s="8" t="n">
        <f aca="false">$C23*L23/100</f>
        <v>21.7835588</v>
      </c>
      <c r="P23" s="12" t="str">
        <f aca="false">IF(ABS(N23)&lt;=10,"Convergente: ambos índices coinciden en la extensión del área degradada",IF(N23&lt;-25,"Degradación estructural subestimada por el NDVI (verdor estacional)",IF(N23&lt;0,"Ligera subestimación del NDVI respecto del MSAVI",IF(N23&gt;25,"NDVI señala más área rala que el MSAVI (dosel abierto sobre suelo cubierto)","Ligera sobrestimación del NDVI respecto del MSAVI"))))</f>
        <v>Convergente: ambos índices coinciden en la extensión del área degradada</v>
      </c>
      <c r="Q23" s="7" t="s">
        <v>188</v>
      </c>
    </row>
    <row r="24" customFormat="false" ht="15" hidden="false" customHeight="true" outlineLevel="0" collapsed="false">
      <c r="A24" s="13" t="s">
        <v>58</v>
      </c>
      <c r="B24" s="13" t="s">
        <v>28</v>
      </c>
      <c r="C24" s="14" t="n">
        <v>50.972</v>
      </c>
      <c r="D24" s="15" t="n">
        <v>0.3852</v>
      </c>
      <c r="E24" s="15" t="n">
        <v>0.3888</v>
      </c>
      <c r="F24" s="15" t="n">
        <f aca="false">ABS(E24-D24)</f>
        <v>0.00359999999999999</v>
      </c>
      <c r="G24" s="16" t="n">
        <v>1.64</v>
      </c>
      <c r="H24" s="16" t="n">
        <v>45.71</v>
      </c>
      <c r="I24" s="16" t="n">
        <v>47.09</v>
      </c>
      <c r="J24" s="16" t="n">
        <v>5.57</v>
      </c>
      <c r="K24" s="16" t="n">
        <v>0</v>
      </c>
      <c r="L24" s="16" t="n">
        <f aca="false">G24+H24</f>
        <v>47.35</v>
      </c>
      <c r="M24" s="16" t="n">
        <v>61.18</v>
      </c>
      <c r="N24" s="16" t="n">
        <f aca="false">M24-L24</f>
        <v>13.83</v>
      </c>
      <c r="O24" s="14" t="n">
        <f aca="false">$C24*L24/100</f>
        <v>24.135242</v>
      </c>
      <c r="P24" s="18" t="str">
        <f aca="false">IF(ABS(N24)&lt;=10,"Convergente: ambos índices coinciden en la extensión del área degradada",IF(N24&lt;-25,"Degradación estructural subestimada por el NDVI (verdor estacional)",IF(N24&lt;0,"Ligera subestimación del NDVI respecto del MSAVI",IF(N24&gt;25,"NDVI señala más área rala que el MSAVI (dosel abierto sobre suelo cubierto)","Ligera sobrestimación del NDVI respecto del MSAVI"))))</f>
        <v>Ligera sobrestimación del NDVI respecto del MSAVI</v>
      </c>
      <c r="Q24" s="13" t="s">
        <v>188</v>
      </c>
    </row>
    <row r="25" customFormat="false" ht="21.75" hidden="false" customHeight="true" outlineLevel="0" collapsed="false">
      <c r="A25" s="7" t="s">
        <v>60</v>
      </c>
      <c r="B25" s="7" t="s">
        <v>61</v>
      </c>
      <c r="C25" s="8" t="n">
        <v>373.807</v>
      </c>
      <c r="D25" s="9" t="n">
        <v>0.3694</v>
      </c>
      <c r="E25" s="9" t="n">
        <v>0.3756</v>
      </c>
      <c r="F25" s="9" t="n">
        <f aca="false">ABS(E25-D25)</f>
        <v>0.00619999999999998</v>
      </c>
      <c r="G25" s="10" t="n">
        <v>1.73</v>
      </c>
      <c r="H25" s="10" t="n">
        <v>53.02</v>
      </c>
      <c r="I25" s="10" t="n">
        <v>43.6</v>
      </c>
      <c r="J25" s="10" t="n">
        <v>1.62</v>
      </c>
      <c r="K25" s="10" t="n">
        <v>0.03</v>
      </c>
      <c r="L25" s="10" t="n">
        <f aca="false">G25+H25</f>
        <v>54.75</v>
      </c>
      <c r="M25" s="10" t="n">
        <v>24.2</v>
      </c>
      <c r="N25" s="10" t="n">
        <f aca="false">M25-L25</f>
        <v>-30.55</v>
      </c>
      <c r="O25" s="8" t="n">
        <f aca="false">$C25*L25/100</f>
        <v>204.6593325</v>
      </c>
      <c r="P25" s="12" t="str">
        <f aca="false">IF(ABS(N25)&lt;=10,"Convergente: ambos índices coinciden en la extensión del área degradada",IF(N25&lt;-25,"Degradación estructural subestimada por el NDVI (verdor estacional)",IF(N25&lt;0,"Ligera subestimación del NDVI respecto del MSAVI",IF(N25&gt;25,"NDVI señala más área rala que el MSAVI (dosel abierto sobre suelo cubierto)","Ligera sobrestimación del NDVI respecto del MSAVI"))))</f>
        <v>Degradación estructural subestimada por el NDVI (verdor estacional)</v>
      </c>
      <c r="Q25" s="7" t="s">
        <v>189</v>
      </c>
    </row>
    <row r="26" customFormat="false" ht="21.75" hidden="false" customHeight="true" outlineLevel="0" collapsed="false">
      <c r="A26" s="13" t="s">
        <v>62</v>
      </c>
      <c r="B26" s="13" t="s">
        <v>61</v>
      </c>
      <c r="C26" s="14" t="n">
        <v>81.795</v>
      </c>
      <c r="D26" s="15" t="n">
        <v>0.2984</v>
      </c>
      <c r="E26" s="15" t="n">
        <v>0.3111</v>
      </c>
      <c r="F26" s="15" t="n">
        <f aca="false">ABS(E26-D26)</f>
        <v>0.0127</v>
      </c>
      <c r="G26" s="16" t="n">
        <v>16.72</v>
      </c>
      <c r="H26" s="16" t="n">
        <v>76.03</v>
      </c>
      <c r="I26" s="16" t="n">
        <v>6.9</v>
      </c>
      <c r="J26" s="16" t="n">
        <v>0.34</v>
      </c>
      <c r="K26" s="16" t="n">
        <v>0</v>
      </c>
      <c r="L26" s="16" t="n">
        <f aca="false">G26+H26</f>
        <v>92.75</v>
      </c>
      <c r="M26" s="16" t="n">
        <v>43.44</v>
      </c>
      <c r="N26" s="16" t="n">
        <f aca="false">M26-L26</f>
        <v>-49.31</v>
      </c>
      <c r="O26" s="14" t="n">
        <f aca="false">$C26*L26/100</f>
        <v>75.8648625</v>
      </c>
      <c r="P26" s="18" t="str">
        <f aca="false">IF(ABS(N26)&lt;=10,"Convergente: ambos índices coinciden en la extensión del área degradada",IF(N26&lt;-25,"Degradación estructural subestimada por el NDVI (verdor estacional)",IF(N26&lt;0,"Ligera subestimación del NDVI respecto del MSAVI",IF(N26&gt;25,"NDVI señala más área rala que el MSAVI (dosel abierto sobre suelo cubierto)","Ligera sobrestimación del NDVI respecto del MSAVI"))))</f>
        <v>Degradación estructural subestimada por el NDVI (verdor estacional)</v>
      </c>
      <c r="Q26" s="13" t="s">
        <v>188</v>
      </c>
    </row>
    <row r="27" customFormat="false" ht="21.75" hidden="false" customHeight="true" outlineLevel="0" collapsed="false">
      <c r="A27" s="7" t="s">
        <v>64</v>
      </c>
      <c r="B27" s="7" t="s">
        <v>61</v>
      </c>
      <c r="C27" s="8" t="n">
        <v>30.909</v>
      </c>
      <c r="D27" s="9" t="n">
        <v>0.3047</v>
      </c>
      <c r="E27" s="9" t="n">
        <v>0.3109</v>
      </c>
      <c r="F27" s="9" t="n">
        <f aca="false">ABS(E27-D27)</f>
        <v>0.00619999999999998</v>
      </c>
      <c r="G27" s="10" t="n">
        <v>24.21</v>
      </c>
      <c r="H27" s="10" t="n">
        <v>62.13</v>
      </c>
      <c r="I27" s="10" t="n">
        <v>11.9</v>
      </c>
      <c r="J27" s="10" t="n">
        <v>1.76</v>
      </c>
      <c r="K27" s="10" t="n">
        <v>0.01</v>
      </c>
      <c r="L27" s="10" t="n">
        <f aca="false">G27+H27</f>
        <v>86.34</v>
      </c>
      <c r="M27" s="10" t="n">
        <v>58.94</v>
      </c>
      <c r="N27" s="10" t="n">
        <f aca="false">M27-L27</f>
        <v>-27.4</v>
      </c>
      <c r="O27" s="8" t="n">
        <f aca="false">$C27*L27/100</f>
        <v>26.6868306</v>
      </c>
      <c r="P27" s="12" t="str">
        <f aca="false">IF(ABS(N27)&lt;=10,"Convergente: ambos índices coinciden en la extensión del área degradada",IF(N27&lt;-25,"Degradación estructural subestimada por el NDVI (verdor estacional)",IF(N27&lt;0,"Ligera subestimación del NDVI respecto del MSAVI",IF(N27&gt;25,"NDVI señala más área rala que el MSAVI (dosel abierto sobre suelo cubierto)","Ligera sobrestimación del NDVI respecto del MSAVI"))))</f>
        <v>Degradación estructural subestimada por el NDVI (verdor estacional)</v>
      </c>
      <c r="Q27" s="7" t="s">
        <v>188</v>
      </c>
    </row>
    <row r="28" customFormat="false" ht="21.75" hidden="false" customHeight="true" outlineLevel="0" collapsed="false">
      <c r="A28" s="13" t="s">
        <v>65</v>
      </c>
      <c r="B28" s="13" t="s">
        <v>61</v>
      </c>
      <c r="C28" s="14" t="n">
        <v>80.983</v>
      </c>
      <c r="D28" s="15" t="n">
        <v>0.3239</v>
      </c>
      <c r="E28" s="15" t="n">
        <v>0.3214</v>
      </c>
      <c r="F28" s="15" t="n">
        <f aca="false">ABS(E28-D28)</f>
        <v>0.0025</v>
      </c>
      <c r="G28" s="16" t="n">
        <v>16.84</v>
      </c>
      <c r="H28" s="16" t="n">
        <v>67.24</v>
      </c>
      <c r="I28" s="16" t="n">
        <v>15.26</v>
      </c>
      <c r="J28" s="16" t="n">
        <v>0.65</v>
      </c>
      <c r="K28" s="16" t="n">
        <v>0</v>
      </c>
      <c r="L28" s="16" t="n">
        <f aca="false">G28+H28</f>
        <v>84.08</v>
      </c>
      <c r="M28" s="16" t="n">
        <v>38</v>
      </c>
      <c r="N28" s="16" t="n">
        <f aca="false">M28-L28</f>
        <v>-46.08</v>
      </c>
      <c r="O28" s="14" t="n">
        <f aca="false">$C28*L28/100</f>
        <v>68.0905064</v>
      </c>
      <c r="P28" s="18" t="str">
        <f aca="false">IF(ABS(N28)&lt;=10,"Convergente: ambos índices coinciden en la extensión del área degradada",IF(N28&lt;-25,"Degradación estructural subestimada por el NDVI (verdor estacional)",IF(N28&lt;0,"Ligera subestimación del NDVI respecto del MSAVI",IF(N28&gt;25,"NDVI señala más área rala que el MSAVI (dosel abierto sobre suelo cubierto)","Ligera sobrestimación del NDVI respecto del MSAVI"))))</f>
        <v>Degradación estructural subestimada por el NDVI (verdor estacional)</v>
      </c>
      <c r="Q28" s="13" t="s">
        <v>188</v>
      </c>
    </row>
    <row r="29" customFormat="false" ht="21.75" hidden="false" customHeight="true" outlineLevel="0" collapsed="false">
      <c r="A29" s="7" t="s">
        <v>67</v>
      </c>
      <c r="B29" s="7" t="s">
        <v>61</v>
      </c>
      <c r="C29" s="8" t="n">
        <v>294.204</v>
      </c>
      <c r="D29" s="9" t="n">
        <v>0.3214</v>
      </c>
      <c r="E29" s="9" t="n">
        <v>0.3241</v>
      </c>
      <c r="F29" s="9" t="n">
        <f aca="false">ABS(E29-D29)</f>
        <v>0.00269999999999998</v>
      </c>
      <c r="G29" s="10" t="n">
        <v>17.2</v>
      </c>
      <c r="H29" s="10" t="n">
        <v>64.26</v>
      </c>
      <c r="I29" s="10" t="n">
        <v>17.78</v>
      </c>
      <c r="J29" s="10" t="n">
        <v>0.74</v>
      </c>
      <c r="K29" s="10" t="n">
        <v>0.02</v>
      </c>
      <c r="L29" s="10" t="n">
        <f aca="false">G29+H29</f>
        <v>81.46</v>
      </c>
      <c r="M29" s="10" t="n">
        <v>49.62</v>
      </c>
      <c r="N29" s="10" t="n">
        <f aca="false">M29-L29</f>
        <v>-31.84</v>
      </c>
      <c r="O29" s="8" t="n">
        <f aca="false">$C29*L29/100</f>
        <v>239.6585784</v>
      </c>
      <c r="P29" s="12" t="str">
        <f aca="false">IF(ABS(N29)&lt;=10,"Convergente: ambos índices coinciden en la extensión del área degradada",IF(N29&lt;-25,"Degradación estructural subestimada por el NDVI (verdor estacional)",IF(N29&lt;0,"Ligera subestimación del NDVI respecto del MSAVI",IF(N29&gt;25,"NDVI señala más área rala que el MSAVI (dosel abierto sobre suelo cubierto)","Ligera sobrestimación del NDVI respecto del MSAVI"))))</f>
        <v>Degradación estructural subestimada por el NDVI (verdor estacional)</v>
      </c>
      <c r="Q29" s="7" t="s">
        <v>189</v>
      </c>
    </row>
    <row r="30" customFormat="false" ht="21.75" hidden="false" customHeight="true" outlineLevel="0" collapsed="false">
      <c r="A30" s="13" t="s">
        <v>68</v>
      </c>
      <c r="B30" s="13" t="s">
        <v>61</v>
      </c>
      <c r="C30" s="14" t="n">
        <v>130.425</v>
      </c>
      <c r="D30" s="15" t="n">
        <v>0.3136</v>
      </c>
      <c r="E30" s="15" t="n">
        <v>0.3295</v>
      </c>
      <c r="F30" s="15" t="n">
        <f aca="false">ABS(E30-D30)</f>
        <v>0.0159</v>
      </c>
      <c r="G30" s="16" t="n">
        <v>11.13</v>
      </c>
      <c r="H30" s="16" t="n">
        <v>73.41</v>
      </c>
      <c r="I30" s="16" t="n">
        <v>13.58</v>
      </c>
      <c r="J30" s="16" t="n">
        <v>1.84</v>
      </c>
      <c r="K30" s="16" t="n">
        <v>0.04</v>
      </c>
      <c r="L30" s="16" t="n">
        <f aca="false">G30+H30</f>
        <v>84.54</v>
      </c>
      <c r="M30" s="16" t="n">
        <v>35.73</v>
      </c>
      <c r="N30" s="16" t="n">
        <f aca="false">M30-L30</f>
        <v>-48.81</v>
      </c>
      <c r="O30" s="14" t="n">
        <f aca="false">$C30*L30/100</f>
        <v>110.261295</v>
      </c>
      <c r="P30" s="18" t="str">
        <f aca="false">IF(ABS(N30)&lt;=10,"Convergente: ambos índices coinciden en la extensión del área degradada",IF(N30&lt;-25,"Degradación estructural subestimada por el NDVI (verdor estacional)",IF(N30&lt;0,"Ligera subestimación del NDVI respecto del MSAVI",IF(N30&gt;25,"NDVI señala más área rala que el MSAVI (dosel abierto sobre suelo cubierto)","Ligera sobrestimación del NDVI respecto del MSAVI"))))</f>
        <v>Degradación estructural subestimada por el NDVI (verdor estacional)</v>
      </c>
      <c r="Q30" s="13" t="s">
        <v>189</v>
      </c>
    </row>
    <row r="31" customFormat="false" ht="21.75" hidden="false" customHeight="true" outlineLevel="0" collapsed="false">
      <c r="A31" s="7" t="s">
        <v>70</v>
      </c>
      <c r="B31" s="7" t="s">
        <v>61</v>
      </c>
      <c r="C31" s="8" t="n">
        <v>115.379</v>
      </c>
      <c r="D31" s="9" t="n">
        <v>0.2877</v>
      </c>
      <c r="E31" s="9" t="n">
        <v>0.307</v>
      </c>
      <c r="F31" s="9" t="n">
        <f aca="false">ABS(E31-D31)</f>
        <v>0.0193</v>
      </c>
      <c r="G31" s="10" t="n">
        <v>21.55</v>
      </c>
      <c r="H31" s="10" t="n">
        <v>70.75</v>
      </c>
      <c r="I31" s="10" t="n">
        <v>6.21</v>
      </c>
      <c r="J31" s="10" t="n">
        <v>1.45</v>
      </c>
      <c r="K31" s="10" t="n">
        <v>0.04</v>
      </c>
      <c r="L31" s="10" t="n">
        <f aca="false">G31+H31</f>
        <v>92.3</v>
      </c>
      <c r="M31" s="10" t="n">
        <v>47.91</v>
      </c>
      <c r="N31" s="10" t="n">
        <f aca="false">M31-L31</f>
        <v>-44.39</v>
      </c>
      <c r="O31" s="8" t="n">
        <f aca="false">$C31*L31/100</f>
        <v>106.494817</v>
      </c>
      <c r="P31" s="12" t="str">
        <f aca="false">IF(ABS(N31)&lt;=10,"Convergente: ambos índices coinciden en la extensión del área degradada",IF(N31&lt;-25,"Degradación estructural subestimada por el NDVI (verdor estacional)",IF(N31&lt;0,"Ligera subestimación del NDVI respecto del MSAVI",IF(N31&gt;25,"NDVI señala más área rala que el MSAVI (dosel abierto sobre suelo cubierto)","Ligera sobrestimación del NDVI respecto del MSAVI"))))</f>
        <v>Degradación estructural subestimada por el NDVI (verdor estacional)</v>
      </c>
      <c r="Q31" s="7" t="s">
        <v>189</v>
      </c>
    </row>
    <row r="32" customFormat="false" ht="21.75" hidden="false" customHeight="true" outlineLevel="0" collapsed="false">
      <c r="A32" s="13" t="s">
        <v>71</v>
      </c>
      <c r="B32" s="13" t="s">
        <v>61</v>
      </c>
      <c r="C32" s="14" t="n">
        <v>65.745</v>
      </c>
      <c r="D32" s="15" t="n">
        <v>0.298</v>
      </c>
      <c r="E32" s="15" t="n">
        <v>0.3139</v>
      </c>
      <c r="F32" s="15" t="n">
        <f aca="false">ABS(E32-D32)</f>
        <v>0.0159</v>
      </c>
      <c r="G32" s="16" t="n">
        <v>14.96</v>
      </c>
      <c r="H32" s="16" t="n">
        <v>77.99</v>
      </c>
      <c r="I32" s="16" t="n">
        <v>6.01</v>
      </c>
      <c r="J32" s="16" t="n">
        <v>1.01</v>
      </c>
      <c r="K32" s="16" t="n">
        <v>0.02</v>
      </c>
      <c r="L32" s="16" t="n">
        <f aca="false">G32+H32</f>
        <v>92.95</v>
      </c>
      <c r="M32" s="16" t="n">
        <v>51.27</v>
      </c>
      <c r="N32" s="16" t="n">
        <f aca="false">M32-L32</f>
        <v>-41.68</v>
      </c>
      <c r="O32" s="14" t="n">
        <f aca="false">$C32*L32/100</f>
        <v>61.1099775</v>
      </c>
      <c r="P32" s="18" t="str">
        <f aca="false">IF(ABS(N32)&lt;=10,"Convergente: ambos índices coinciden en la extensión del área degradada",IF(N32&lt;-25,"Degradación estructural subestimada por el NDVI (verdor estacional)",IF(N32&lt;0,"Ligera subestimación del NDVI respecto del MSAVI",IF(N32&gt;25,"NDVI señala más área rala que el MSAVI (dosel abierto sobre suelo cubierto)","Ligera sobrestimación del NDVI respecto del MSAVI"))))</f>
        <v>Degradación estructural subestimada por el NDVI (verdor estacional)</v>
      </c>
      <c r="Q32" s="13" t="s">
        <v>189</v>
      </c>
    </row>
    <row r="33" customFormat="false" ht="21.75" hidden="false" customHeight="true" outlineLevel="0" collapsed="false">
      <c r="A33" s="7" t="s">
        <v>72</v>
      </c>
      <c r="B33" s="7" t="s">
        <v>61</v>
      </c>
      <c r="C33" s="8" t="n">
        <v>91.285</v>
      </c>
      <c r="D33" s="9" t="n">
        <v>0.2878</v>
      </c>
      <c r="E33" s="9" t="n">
        <v>0.2923</v>
      </c>
      <c r="F33" s="9" t="n">
        <f aca="false">ABS(E33-D33)</f>
        <v>0.0045</v>
      </c>
      <c r="G33" s="10" t="n">
        <v>30.05</v>
      </c>
      <c r="H33" s="10" t="n">
        <v>64.55</v>
      </c>
      <c r="I33" s="10" t="n">
        <v>5.03</v>
      </c>
      <c r="J33" s="10" t="n">
        <v>0.36</v>
      </c>
      <c r="K33" s="10" t="n">
        <v>0.01</v>
      </c>
      <c r="L33" s="10" t="n">
        <f aca="false">G33+H33</f>
        <v>94.6</v>
      </c>
      <c r="M33" s="10" t="n">
        <v>52.08</v>
      </c>
      <c r="N33" s="10" t="n">
        <f aca="false">M33-L33</f>
        <v>-42.52</v>
      </c>
      <c r="O33" s="8" t="n">
        <f aca="false">$C33*L33/100</f>
        <v>86.35561</v>
      </c>
      <c r="P33" s="12" t="str">
        <f aca="false">IF(ABS(N33)&lt;=10,"Convergente: ambos índices coinciden en la extensión del área degradada",IF(N33&lt;-25,"Degradación estructural subestimada por el NDVI (verdor estacional)",IF(N33&lt;0,"Ligera subestimación del NDVI respecto del MSAVI",IF(N33&gt;25,"NDVI señala más área rala que el MSAVI (dosel abierto sobre suelo cubierto)","Ligera sobrestimación del NDVI respecto del MSAVI"))))</f>
        <v>Degradación estructural subestimada por el NDVI (verdor estacional)</v>
      </c>
      <c r="Q33" s="7" t="s">
        <v>188</v>
      </c>
    </row>
    <row r="34" customFormat="false" ht="21.75" hidden="false" customHeight="true" outlineLevel="0" collapsed="false">
      <c r="A34" s="13" t="s">
        <v>88</v>
      </c>
      <c r="B34" s="13" t="s">
        <v>89</v>
      </c>
      <c r="C34" s="14" t="n">
        <v>92.905</v>
      </c>
      <c r="D34" s="15" t="n">
        <v>0.5197</v>
      </c>
      <c r="E34" s="15" t="n">
        <v>0.522</v>
      </c>
      <c r="F34" s="15" t="n">
        <f aca="false">ABS(E34-D34)</f>
        <v>0.00229999999999997</v>
      </c>
      <c r="G34" s="16" t="n">
        <v>0.75</v>
      </c>
      <c r="H34" s="16" t="n">
        <v>4.86</v>
      </c>
      <c r="I34" s="16" t="n">
        <v>34.4</v>
      </c>
      <c r="J34" s="16" t="n">
        <v>47.67</v>
      </c>
      <c r="K34" s="16" t="n">
        <v>12.32</v>
      </c>
      <c r="L34" s="16" t="n">
        <f aca="false">G34+H34</f>
        <v>5.61</v>
      </c>
      <c r="M34" s="16" t="n">
        <v>5.11</v>
      </c>
      <c r="N34" s="16" t="n">
        <f aca="false">M34-L34</f>
        <v>-0.5</v>
      </c>
      <c r="O34" s="14" t="n">
        <f aca="false">$C34*L34/100</f>
        <v>5.2119705</v>
      </c>
      <c r="P34" s="18" t="str">
        <f aca="false">IF(ABS(N34)&lt;=10,"Convergente: ambos índices coinciden en la extensión del área degradada",IF(N34&lt;-25,"Degradación estructural subestimada por el NDVI (verdor estacional)",IF(N34&lt;0,"Ligera subestimación del NDVI respecto del MSAVI",IF(N34&gt;25,"NDVI señala más área rala que el MSAVI (dosel abierto sobre suelo cubierto)","Ligera sobrestimación del NDVI respecto del MSAVI"))))</f>
        <v>Convergente: ambos índices coinciden en la extensión del área degradada</v>
      </c>
      <c r="Q34" s="13" t="s">
        <v>189</v>
      </c>
    </row>
    <row r="35" customFormat="false" ht="21.75" hidden="false" customHeight="true" outlineLevel="0" collapsed="false">
      <c r="A35" s="7" t="s">
        <v>91</v>
      </c>
      <c r="B35" s="7" t="s">
        <v>89</v>
      </c>
      <c r="C35" s="8" t="n">
        <v>80.616</v>
      </c>
      <c r="D35" s="9" t="n">
        <v>0.6348</v>
      </c>
      <c r="E35" s="9" t="n">
        <v>0.6481</v>
      </c>
      <c r="F35" s="9" t="n">
        <f aca="false">ABS(E35-D35)</f>
        <v>0.0133</v>
      </c>
      <c r="G35" s="10" t="n">
        <v>1.16</v>
      </c>
      <c r="H35" s="10" t="n">
        <v>0.02</v>
      </c>
      <c r="I35" s="10" t="n">
        <v>6.82</v>
      </c>
      <c r="J35" s="10" t="n">
        <v>28.32</v>
      </c>
      <c r="K35" s="10" t="n">
        <v>63.68</v>
      </c>
      <c r="L35" s="10" t="n">
        <f aca="false">G35+H35</f>
        <v>1.18</v>
      </c>
      <c r="M35" s="10" t="n">
        <v>0.65</v>
      </c>
      <c r="N35" s="10" t="n">
        <f aca="false">M35-L35</f>
        <v>-0.53</v>
      </c>
      <c r="O35" s="8" t="n">
        <f aca="false">$C35*L35/100</f>
        <v>0.9512688</v>
      </c>
      <c r="P35" s="12" t="str">
        <f aca="false">IF(ABS(N35)&lt;=10,"Convergente: ambos índices coinciden en la extensión del área degradada",IF(N35&lt;-25,"Degradación estructural subestimada por el NDVI (verdor estacional)",IF(N35&lt;0,"Ligera subestimación del NDVI respecto del MSAVI",IF(N35&gt;25,"NDVI señala más área rala que el MSAVI (dosel abierto sobre suelo cubierto)","Ligera sobrestimación del NDVI respecto del MSAVI"))))</f>
        <v>Convergente: ambos índices coinciden en la extensión del área degradada</v>
      </c>
      <c r="Q35" s="7" t="s">
        <v>188</v>
      </c>
    </row>
    <row r="36" customFormat="false" ht="21.75" hidden="false" customHeight="true" outlineLevel="0" collapsed="false">
      <c r="A36" s="13" t="s">
        <v>92</v>
      </c>
      <c r="B36" s="13" t="s">
        <v>89</v>
      </c>
      <c r="C36" s="14" t="n">
        <v>11.475</v>
      </c>
      <c r="D36" s="15" t="n">
        <v>0.4203</v>
      </c>
      <c r="E36" s="15" t="n">
        <v>0.4238</v>
      </c>
      <c r="F36" s="15" t="n">
        <f aca="false">ABS(E36-D36)</f>
        <v>0.0035</v>
      </c>
      <c r="G36" s="16" t="n">
        <v>0</v>
      </c>
      <c r="H36" s="16" t="n">
        <v>16.15</v>
      </c>
      <c r="I36" s="16" t="n">
        <v>81.16</v>
      </c>
      <c r="J36" s="16" t="n">
        <v>2.68</v>
      </c>
      <c r="K36" s="16" t="n">
        <v>0</v>
      </c>
      <c r="L36" s="16" t="n">
        <f aca="false">G36+H36</f>
        <v>16.15</v>
      </c>
      <c r="M36" s="16" t="n">
        <v>22.46</v>
      </c>
      <c r="N36" s="16" t="n">
        <f aca="false">M36-L36</f>
        <v>6.31</v>
      </c>
      <c r="O36" s="14" t="n">
        <f aca="false">$C36*L36/100</f>
        <v>1.8532125</v>
      </c>
      <c r="P36" s="18" t="str">
        <f aca="false">IF(ABS(N36)&lt;=10,"Convergente: ambos índices coinciden en la extensión del área degradada",IF(N36&lt;-25,"Degradación estructural subestimada por el NDVI (verdor estacional)",IF(N36&lt;0,"Ligera subestimación del NDVI respecto del MSAVI",IF(N36&gt;25,"NDVI señala más área rala que el MSAVI (dosel abierto sobre suelo cubierto)","Ligera sobrestimación del NDVI respecto del MSAVI"))))</f>
        <v>Convergente: ambos índices coinciden en la extensión del área degradada</v>
      </c>
      <c r="Q36" s="13" t="s">
        <v>188</v>
      </c>
    </row>
    <row r="37" customFormat="false" ht="21.75" hidden="false" customHeight="true" outlineLevel="0" collapsed="false">
      <c r="A37" s="7" t="s">
        <v>93</v>
      </c>
      <c r="B37" s="7" t="s">
        <v>89</v>
      </c>
      <c r="C37" s="8" t="n">
        <v>28.19</v>
      </c>
      <c r="D37" s="9" t="n">
        <v>0.5974</v>
      </c>
      <c r="E37" s="9" t="n">
        <v>0.6063</v>
      </c>
      <c r="F37" s="9" t="n">
        <f aca="false">ABS(E37-D37)</f>
        <v>0.00889999999999991</v>
      </c>
      <c r="G37" s="10" t="n">
        <v>0.51</v>
      </c>
      <c r="H37" s="10" t="n">
        <v>0.68</v>
      </c>
      <c r="I37" s="10" t="n">
        <v>5.23</v>
      </c>
      <c r="J37" s="10" t="n">
        <v>56.99</v>
      </c>
      <c r="K37" s="10" t="n">
        <v>36.58</v>
      </c>
      <c r="L37" s="10" t="n">
        <f aca="false">G37+H37</f>
        <v>1.19</v>
      </c>
      <c r="M37" s="10" t="n">
        <v>2.68</v>
      </c>
      <c r="N37" s="10" t="n">
        <f aca="false">M37-L37</f>
        <v>1.49</v>
      </c>
      <c r="O37" s="8" t="n">
        <f aca="false">$C37*L37/100</f>
        <v>0.335461</v>
      </c>
      <c r="P37" s="12" t="str">
        <f aca="false">IF(ABS(N37)&lt;=10,"Convergente: ambos índices coinciden en la extensión del área degradada",IF(N37&lt;-25,"Degradación estructural subestimada por el NDVI (verdor estacional)",IF(N37&lt;0,"Ligera subestimación del NDVI respecto del MSAVI",IF(N37&gt;25,"NDVI señala más área rala que el MSAVI (dosel abierto sobre suelo cubierto)","Ligera sobrestimación del NDVI respecto del MSAVI"))))</f>
        <v>Convergente: ambos índices coinciden en la extensión del área degradada</v>
      </c>
      <c r="Q37" s="7" t="s">
        <v>188</v>
      </c>
    </row>
    <row r="38" customFormat="false" ht="21.75" hidden="false" customHeight="true" outlineLevel="0" collapsed="false">
      <c r="A38" s="13" t="s">
        <v>94</v>
      </c>
      <c r="B38" s="13" t="s">
        <v>95</v>
      </c>
      <c r="C38" s="14" t="n">
        <v>103.948</v>
      </c>
      <c r="D38" s="15" t="n">
        <v>0.6047</v>
      </c>
      <c r="E38" s="15" t="n">
        <v>0.6113</v>
      </c>
      <c r="F38" s="15" t="n">
        <f aca="false">ABS(E38-D38)</f>
        <v>0.00659999999999994</v>
      </c>
      <c r="G38" s="16" t="n">
        <v>0</v>
      </c>
      <c r="H38" s="16" t="n">
        <v>0.06</v>
      </c>
      <c r="I38" s="16" t="n">
        <v>11.89</v>
      </c>
      <c r="J38" s="16" t="n">
        <v>45.69</v>
      </c>
      <c r="K38" s="16" t="n">
        <v>42.36</v>
      </c>
      <c r="L38" s="16" t="n">
        <f aca="false">G38+H38</f>
        <v>0.06</v>
      </c>
      <c r="M38" s="16" t="n">
        <v>1.11</v>
      </c>
      <c r="N38" s="16" t="n">
        <f aca="false">M38-L38</f>
        <v>1.05</v>
      </c>
      <c r="O38" s="14" t="n">
        <f aca="false">$C38*L38/100</f>
        <v>0.0623688</v>
      </c>
      <c r="P38" s="18" t="str">
        <f aca="false">IF(ABS(N38)&lt;=10,"Convergente: ambos índices coinciden en la extensión del área degradada",IF(N38&lt;-25,"Degradación estructural subestimada por el NDVI (verdor estacional)",IF(N38&lt;0,"Ligera subestimación del NDVI respecto del MSAVI",IF(N38&gt;25,"NDVI señala más área rala que el MSAVI (dosel abierto sobre suelo cubierto)","Ligera sobrestimación del NDVI respecto del MSAVI"))))</f>
        <v>Convergente: ambos índices coinciden en la extensión del área degradada</v>
      </c>
      <c r="Q38" s="13" t="s">
        <v>189</v>
      </c>
    </row>
    <row r="39" customFormat="false" ht="21.75" hidden="false" customHeight="true" outlineLevel="0" collapsed="false">
      <c r="A39" s="7" t="s">
        <v>96</v>
      </c>
      <c r="B39" s="7" t="s">
        <v>95</v>
      </c>
      <c r="C39" s="8" t="n">
        <v>119.538</v>
      </c>
      <c r="D39" s="9" t="n">
        <v>0.7067</v>
      </c>
      <c r="E39" s="9" t="n">
        <v>0.7014</v>
      </c>
      <c r="F39" s="9" t="n">
        <f aca="false">ABS(E39-D39)</f>
        <v>0.00529999999999997</v>
      </c>
      <c r="G39" s="10" t="n">
        <v>0</v>
      </c>
      <c r="H39" s="10" t="n">
        <v>0</v>
      </c>
      <c r="I39" s="10" t="n">
        <v>0.83</v>
      </c>
      <c r="J39" s="10" t="n">
        <v>9.84</v>
      </c>
      <c r="K39" s="10" t="n">
        <v>89.34</v>
      </c>
      <c r="L39" s="10" t="n">
        <f aca="false">G39+H39</f>
        <v>0</v>
      </c>
      <c r="M39" s="10" t="n">
        <v>0.4</v>
      </c>
      <c r="N39" s="10" t="n">
        <f aca="false">M39-L39</f>
        <v>0.4</v>
      </c>
      <c r="O39" s="8" t="n">
        <f aca="false">$C39*L39/100</f>
        <v>0</v>
      </c>
      <c r="P39" s="12" t="str">
        <f aca="false">IF(ABS(N39)&lt;=10,"Convergente: ambos índices coinciden en la extensión del área degradada",IF(N39&lt;-25,"Degradación estructural subestimada por el NDVI (verdor estacional)",IF(N39&lt;0,"Ligera subestimación del NDVI respecto del MSAVI",IF(N39&gt;25,"NDVI señala más área rala que el MSAVI (dosel abierto sobre suelo cubierto)","Ligera sobrestimación del NDVI respecto del MSAVI"))))</f>
        <v>Convergente: ambos índices coinciden en la extensión del área degradada</v>
      </c>
      <c r="Q39" s="7" t="s">
        <v>188</v>
      </c>
    </row>
    <row r="40" customFormat="false" ht="21.75" hidden="false" customHeight="true" outlineLevel="0" collapsed="false">
      <c r="A40" s="13" t="s">
        <v>97</v>
      </c>
      <c r="B40" s="13" t="s">
        <v>95</v>
      </c>
      <c r="C40" s="14" t="n">
        <v>100.514</v>
      </c>
      <c r="D40" s="15" t="n">
        <v>0.6711</v>
      </c>
      <c r="E40" s="15" t="n">
        <v>0.6642</v>
      </c>
      <c r="F40" s="15" t="n">
        <f aca="false">ABS(E40-D40)</f>
        <v>0.00690000000000002</v>
      </c>
      <c r="G40" s="16" t="n">
        <v>0</v>
      </c>
      <c r="H40" s="16" t="n">
        <v>0</v>
      </c>
      <c r="I40" s="16" t="n">
        <v>6.12</v>
      </c>
      <c r="J40" s="16" t="n">
        <v>23.45</v>
      </c>
      <c r="K40" s="16" t="n">
        <v>70.43</v>
      </c>
      <c r="L40" s="16" t="n">
        <f aca="false">G40+H40</f>
        <v>0</v>
      </c>
      <c r="M40" s="16" t="n">
        <v>0.94</v>
      </c>
      <c r="N40" s="16" t="n">
        <f aca="false">M40-L40</f>
        <v>0.94</v>
      </c>
      <c r="O40" s="14" t="n">
        <f aca="false">$C40*L40/100</f>
        <v>0</v>
      </c>
      <c r="P40" s="18" t="str">
        <f aca="false">IF(ABS(N40)&lt;=10,"Convergente: ambos índices coinciden en la extensión del área degradada",IF(N40&lt;-25,"Degradación estructural subestimada por el NDVI (verdor estacional)",IF(N40&lt;0,"Ligera subestimación del NDVI respecto del MSAVI",IF(N40&gt;25,"NDVI señala más área rala que el MSAVI (dosel abierto sobre suelo cubierto)","Ligera sobrestimación del NDVI respecto del MSAVI"))))</f>
        <v>Convergente: ambos índices coinciden en la extensión del área degradada</v>
      </c>
      <c r="Q40" s="13" t="s">
        <v>188</v>
      </c>
    </row>
    <row r="41" customFormat="false" ht="21.75" hidden="false" customHeight="true" outlineLevel="0" collapsed="false">
      <c r="A41" s="7" t="s">
        <v>99</v>
      </c>
      <c r="B41" s="7" t="s">
        <v>95</v>
      </c>
      <c r="C41" s="8" t="n">
        <v>86.147</v>
      </c>
      <c r="D41" s="9" t="n">
        <v>0.5605</v>
      </c>
      <c r="E41" s="9" t="n">
        <v>0.5759</v>
      </c>
      <c r="F41" s="9" t="n">
        <f aca="false">ABS(E41-D41)</f>
        <v>0.0154</v>
      </c>
      <c r="G41" s="10" t="n">
        <v>0.46</v>
      </c>
      <c r="H41" s="10" t="n">
        <v>0.38</v>
      </c>
      <c r="I41" s="10" t="n">
        <v>21.21</v>
      </c>
      <c r="J41" s="10" t="n">
        <v>49.12</v>
      </c>
      <c r="K41" s="10" t="n">
        <v>28.83</v>
      </c>
      <c r="L41" s="10" t="n">
        <f aca="false">G41+H41</f>
        <v>0.84</v>
      </c>
      <c r="M41" s="10" t="n">
        <v>2.96</v>
      </c>
      <c r="N41" s="10" t="n">
        <f aca="false">M41-L41</f>
        <v>2.12</v>
      </c>
      <c r="O41" s="8" t="n">
        <f aca="false">$C41*L41/100</f>
        <v>0.7236348</v>
      </c>
      <c r="P41" s="12" t="str">
        <f aca="false">IF(ABS(N41)&lt;=10,"Convergente: ambos índices coinciden en la extensión del área degradada",IF(N41&lt;-25,"Degradación estructural subestimada por el NDVI (verdor estacional)",IF(N41&lt;0,"Ligera subestimación del NDVI respecto del MSAVI",IF(N41&gt;25,"NDVI señala más área rala que el MSAVI (dosel abierto sobre suelo cubierto)","Ligera sobrestimación del NDVI respecto del MSAVI"))))</f>
        <v>Convergente: ambos índices coinciden en la extensión del área degradada</v>
      </c>
      <c r="Q41" s="7" t="s">
        <v>188</v>
      </c>
    </row>
    <row r="42" customFormat="false" ht="21.75" hidden="false" customHeight="true" outlineLevel="0" collapsed="false">
      <c r="A42" s="13" t="s">
        <v>100</v>
      </c>
      <c r="B42" s="13" t="s">
        <v>95</v>
      </c>
      <c r="C42" s="14" t="n">
        <v>96.079</v>
      </c>
      <c r="D42" s="15" t="n">
        <v>0.6479</v>
      </c>
      <c r="E42" s="15" t="n">
        <v>0.6328</v>
      </c>
      <c r="F42" s="15" t="n">
        <f aca="false">ABS(E42-D42)</f>
        <v>0.0151</v>
      </c>
      <c r="G42" s="16" t="n">
        <v>0.69</v>
      </c>
      <c r="H42" s="16" t="n">
        <v>0.36</v>
      </c>
      <c r="I42" s="16" t="n">
        <v>10.18</v>
      </c>
      <c r="J42" s="16" t="n">
        <v>32.58</v>
      </c>
      <c r="K42" s="16" t="n">
        <v>56.18</v>
      </c>
      <c r="L42" s="16" t="n">
        <f aca="false">G42+H42</f>
        <v>1.05</v>
      </c>
      <c r="M42" s="16" t="n">
        <v>2.6</v>
      </c>
      <c r="N42" s="16" t="n">
        <f aca="false">M42-L42</f>
        <v>1.55</v>
      </c>
      <c r="O42" s="14" t="n">
        <f aca="false">$C42*L42/100</f>
        <v>1.0088295</v>
      </c>
      <c r="P42" s="18" t="str">
        <f aca="false">IF(ABS(N42)&lt;=10,"Convergente: ambos índices coinciden en la extensión del área degradada",IF(N42&lt;-25,"Degradación estructural subestimada por el NDVI (verdor estacional)",IF(N42&lt;0,"Ligera subestimación del NDVI respecto del MSAVI",IF(N42&gt;25,"NDVI señala más área rala que el MSAVI (dosel abierto sobre suelo cubierto)","Ligera sobrestimación del NDVI respecto del MSAVI"))))</f>
        <v>Convergente: ambos índices coinciden en la extensión del área degradada</v>
      </c>
      <c r="Q42" s="13" t="s">
        <v>189</v>
      </c>
    </row>
    <row r="43" customFormat="false" ht="21.75" hidden="false" customHeight="true" outlineLevel="0" collapsed="false">
      <c r="A43" s="7" t="s">
        <v>101</v>
      </c>
      <c r="B43" s="7" t="s">
        <v>95</v>
      </c>
      <c r="C43" s="8" t="n">
        <v>81.776</v>
      </c>
      <c r="D43" s="9" t="n">
        <v>0.5731</v>
      </c>
      <c r="E43" s="9" t="n">
        <v>0.5858</v>
      </c>
      <c r="F43" s="9" t="n">
        <f aca="false">ABS(E43-D43)</f>
        <v>0.0126999999999999</v>
      </c>
      <c r="G43" s="10" t="n">
        <v>0.66</v>
      </c>
      <c r="H43" s="10" t="n">
        <v>0.4</v>
      </c>
      <c r="I43" s="10" t="n">
        <v>18.97</v>
      </c>
      <c r="J43" s="10" t="n">
        <v>46.2</v>
      </c>
      <c r="K43" s="10" t="n">
        <v>33.77</v>
      </c>
      <c r="L43" s="10" t="n">
        <f aca="false">G43+H43</f>
        <v>1.06</v>
      </c>
      <c r="M43" s="10" t="n">
        <v>4.71</v>
      </c>
      <c r="N43" s="10" t="n">
        <f aca="false">M43-L43</f>
        <v>3.65</v>
      </c>
      <c r="O43" s="8" t="n">
        <f aca="false">$C43*L43/100</f>
        <v>0.8668256</v>
      </c>
      <c r="P43" s="12" t="str">
        <f aca="false">IF(ABS(N43)&lt;=10,"Convergente: ambos índices coinciden en la extensión del área degradada",IF(N43&lt;-25,"Degradación estructural subestimada por el NDVI (verdor estacional)",IF(N43&lt;0,"Ligera subestimación del NDVI respecto del MSAVI",IF(N43&gt;25,"NDVI señala más área rala que el MSAVI (dosel abierto sobre suelo cubierto)","Ligera sobrestimación del NDVI respecto del MSAVI"))))</f>
        <v>Convergente: ambos índices coinciden en la extensión del área degradada</v>
      </c>
      <c r="Q43" s="7" t="s">
        <v>188</v>
      </c>
    </row>
    <row r="44" customFormat="false" ht="21.75" hidden="false" customHeight="true" outlineLevel="0" collapsed="false">
      <c r="A44" s="13" t="s">
        <v>102</v>
      </c>
      <c r="B44" s="13" t="s">
        <v>95</v>
      </c>
      <c r="C44" s="14" t="n">
        <v>35.1</v>
      </c>
      <c r="D44" s="15" t="n">
        <v>0.7074</v>
      </c>
      <c r="E44" s="15" t="n">
        <v>0.6913</v>
      </c>
      <c r="F44" s="15" t="n">
        <f aca="false">ABS(E44-D44)</f>
        <v>0.0161</v>
      </c>
      <c r="G44" s="16" t="n">
        <v>0</v>
      </c>
      <c r="H44" s="16" t="n">
        <v>0.05</v>
      </c>
      <c r="I44" s="16" t="n">
        <v>1.97</v>
      </c>
      <c r="J44" s="16" t="n">
        <v>13.91</v>
      </c>
      <c r="K44" s="16" t="n">
        <v>84.07</v>
      </c>
      <c r="L44" s="16" t="n">
        <f aca="false">G44+H44</f>
        <v>0.05</v>
      </c>
      <c r="M44" s="16" t="n">
        <v>0.91</v>
      </c>
      <c r="N44" s="16" t="n">
        <f aca="false">M44-L44</f>
        <v>0.86</v>
      </c>
      <c r="O44" s="14" t="n">
        <f aca="false">$C44*L44/100</f>
        <v>0.01755</v>
      </c>
      <c r="P44" s="18" t="str">
        <f aca="false">IF(ABS(N44)&lt;=10,"Convergente: ambos índices coinciden en la extensión del área degradada",IF(N44&lt;-25,"Degradación estructural subestimada por el NDVI (verdor estacional)",IF(N44&lt;0,"Ligera subestimación del NDVI respecto del MSAVI",IF(N44&gt;25,"NDVI señala más área rala que el MSAVI (dosel abierto sobre suelo cubierto)","Ligera sobrestimación del NDVI respecto del MSAVI"))))</f>
        <v>Convergente: ambos índices coinciden en la extensión del área degradada</v>
      </c>
      <c r="Q44" s="13" t="s">
        <v>188</v>
      </c>
    </row>
    <row r="45" customFormat="false" ht="21.75" hidden="false" customHeight="true" outlineLevel="0" collapsed="false">
      <c r="A45" s="7" t="s">
        <v>103</v>
      </c>
      <c r="B45" s="7" t="s">
        <v>95</v>
      </c>
      <c r="C45" s="8" t="n">
        <v>35.661</v>
      </c>
      <c r="D45" s="9" t="n">
        <v>0.6283</v>
      </c>
      <c r="E45" s="9" t="n">
        <v>0.6158</v>
      </c>
      <c r="F45" s="9" t="n">
        <f aca="false">ABS(E45-D45)</f>
        <v>0.0125</v>
      </c>
      <c r="G45" s="10" t="n">
        <v>0.46</v>
      </c>
      <c r="H45" s="10" t="n">
        <v>0.01</v>
      </c>
      <c r="I45" s="10" t="n">
        <v>13.41</v>
      </c>
      <c r="J45" s="10" t="n">
        <v>39.04</v>
      </c>
      <c r="K45" s="10" t="n">
        <v>47.09</v>
      </c>
      <c r="L45" s="10" t="n">
        <f aca="false">G45+H45</f>
        <v>0.47</v>
      </c>
      <c r="M45" s="10" t="n">
        <v>0.47</v>
      </c>
      <c r="N45" s="10" t="n">
        <f aca="false">M45-L45</f>
        <v>0</v>
      </c>
      <c r="O45" s="8" t="n">
        <f aca="false">$C45*L45/100</f>
        <v>0.1676067</v>
      </c>
      <c r="P45" s="12" t="str">
        <f aca="false">IF(ABS(N45)&lt;=10,"Convergente: ambos índices coinciden en la extensión del área degradada",IF(N45&lt;-25,"Degradación estructural subestimada por el NDVI (verdor estacional)",IF(N45&lt;0,"Ligera subestimación del NDVI respecto del MSAVI",IF(N45&gt;25,"NDVI señala más área rala que el MSAVI (dosel abierto sobre suelo cubierto)","Ligera sobrestimación del NDVI respecto del MSAVI"))))</f>
        <v>Convergente: ambos índices coinciden en la extensión del área degradada</v>
      </c>
      <c r="Q45" s="7" t="s">
        <v>188</v>
      </c>
    </row>
    <row r="46" customFormat="false" ht="21.75" hidden="false" customHeight="true" outlineLevel="0" collapsed="false">
      <c r="A46" s="13" t="s">
        <v>104</v>
      </c>
      <c r="B46" s="13" t="s">
        <v>95</v>
      </c>
      <c r="C46" s="14" t="n">
        <v>34.171</v>
      </c>
      <c r="D46" s="15" t="n">
        <v>0.5919</v>
      </c>
      <c r="E46" s="15" t="n">
        <v>0.6048</v>
      </c>
      <c r="F46" s="15" t="n">
        <f aca="false">ABS(E46-D46)</f>
        <v>0.0129</v>
      </c>
      <c r="G46" s="16" t="n">
        <v>0</v>
      </c>
      <c r="H46" s="16" t="n">
        <v>0</v>
      </c>
      <c r="I46" s="16" t="n">
        <v>5.8</v>
      </c>
      <c r="J46" s="16" t="n">
        <v>60.19</v>
      </c>
      <c r="K46" s="16" t="n">
        <v>34</v>
      </c>
      <c r="L46" s="16" t="n">
        <f aca="false">G46+H46</f>
        <v>0</v>
      </c>
      <c r="M46" s="16" t="n">
        <v>1.68</v>
      </c>
      <c r="N46" s="16" t="n">
        <f aca="false">M46-L46</f>
        <v>1.68</v>
      </c>
      <c r="O46" s="14" t="n">
        <f aca="false">$C46*L46/100</f>
        <v>0</v>
      </c>
      <c r="P46" s="18" t="str">
        <f aca="false">IF(ABS(N46)&lt;=10,"Convergente: ambos índices coinciden en la extensión del área degradada",IF(N46&lt;-25,"Degradación estructural subestimada por el NDVI (verdor estacional)",IF(N46&lt;0,"Ligera subestimación del NDVI respecto del MSAVI",IF(N46&gt;25,"NDVI señala más área rala que el MSAVI (dosel abierto sobre suelo cubierto)","Ligera sobrestimación del NDVI respecto del MSAVI"))))</f>
        <v>Convergente: ambos índices coinciden en la extensión del área degradada</v>
      </c>
      <c r="Q46" s="13" t="s">
        <v>188</v>
      </c>
    </row>
    <row r="47" customFormat="false" ht="21.75" hidden="false" customHeight="true" outlineLevel="0" collapsed="false">
      <c r="A47" s="7" t="s">
        <v>105</v>
      </c>
      <c r="B47" s="7" t="s">
        <v>95</v>
      </c>
      <c r="C47" s="8" t="n">
        <v>35.347</v>
      </c>
      <c r="D47" s="9" t="n">
        <v>0.5305</v>
      </c>
      <c r="E47" s="9" t="n">
        <v>0.5359</v>
      </c>
      <c r="F47" s="9" t="n">
        <f aca="false">ABS(E47-D47)</f>
        <v>0.00540000000000007</v>
      </c>
      <c r="G47" s="10" t="n">
        <v>2.2</v>
      </c>
      <c r="H47" s="10" t="n">
        <v>3.02</v>
      </c>
      <c r="I47" s="10" t="n">
        <v>24.09</v>
      </c>
      <c r="J47" s="10" t="n">
        <v>56.64</v>
      </c>
      <c r="K47" s="10" t="n">
        <v>14.06</v>
      </c>
      <c r="L47" s="10" t="n">
        <f aca="false">G47+H47</f>
        <v>5.22</v>
      </c>
      <c r="M47" s="10" t="n">
        <v>5.24</v>
      </c>
      <c r="N47" s="10" t="n">
        <f aca="false">M47-L47</f>
        <v>0.0199999999999996</v>
      </c>
      <c r="O47" s="8" t="n">
        <f aca="false">$C47*L47/100</f>
        <v>1.8451134</v>
      </c>
      <c r="P47" s="12" t="str">
        <f aca="false">IF(ABS(N47)&lt;=10,"Convergente: ambos índices coinciden en la extensión del área degradada",IF(N47&lt;-25,"Degradación estructural subestimada por el NDVI (verdor estacional)",IF(N47&lt;0,"Ligera subestimación del NDVI respecto del MSAVI",IF(N47&gt;25,"NDVI señala más área rala que el MSAVI (dosel abierto sobre suelo cubierto)","Ligera sobrestimación del NDVI respecto del MSAVI"))))</f>
        <v>Convergente: ambos índices coinciden en la extensión del área degradada</v>
      </c>
      <c r="Q47" s="7" t="s">
        <v>188</v>
      </c>
    </row>
    <row r="48" customFormat="false" ht="21.75" hidden="false" customHeight="true" outlineLevel="0" collapsed="false">
      <c r="A48" s="13" t="s">
        <v>106</v>
      </c>
      <c r="B48" s="13" t="s">
        <v>108</v>
      </c>
      <c r="C48" s="14" t="n">
        <v>15.839</v>
      </c>
      <c r="D48" s="15" t="n">
        <v>0.686</v>
      </c>
      <c r="E48" s="15" t="n">
        <v>0.6792</v>
      </c>
      <c r="F48" s="15" t="n">
        <f aca="false">ABS(E48-D48)</f>
        <v>0.00680000000000003</v>
      </c>
      <c r="G48" s="16" t="n">
        <v>0</v>
      </c>
      <c r="H48" s="16" t="n">
        <v>0</v>
      </c>
      <c r="I48" s="16" t="n">
        <v>4.01</v>
      </c>
      <c r="J48" s="16" t="n">
        <v>17.91</v>
      </c>
      <c r="K48" s="16" t="n">
        <v>78.08</v>
      </c>
      <c r="L48" s="16" t="n">
        <f aca="false">G48+H48</f>
        <v>0</v>
      </c>
      <c r="M48" s="16" t="n">
        <v>0.13</v>
      </c>
      <c r="N48" s="16" t="n">
        <f aca="false">M48-L48</f>
        <v>0.13</v>
      </c>
      <c r="O48" s="14" t="n">
        <f aca="false">$C48*L48/100</f>
        <v>0</v>
      </c>
      <c r="P48" s="18" t="str">
        <f aca="false">IF(ABS(N48)&lt;=10,"Convergente: ambos índices coinciden en la extensión del área degradada",IF(N48&lt;-25,"Degradación estructural subestimada por el NDVI (verdor estacional)",IF(N48&lt;0,"Ligera subestimación del NDVI respecto del MSAVI",IF(N48&gt;25,"NDVI señala más área rala que el MSAVI (dosel abierto sobre suelo cubierto)","Ligera sobrestimación del NDVI respecto del MSAVI"))))</f>
        <v>Convergente: ambos índices coinciden en la extensión del área degradada</v>
      </c>
      <c r="Q48" s="13" t="s">
        <v>188</v>
      </c>
    </row>
    <row r="49" customFormat="false" ht="21.75" hidden="false" customHeight="true" outlineLevel="0" collapsed="false">
      <c r="A49" s="7" t="s">
        <v>109</v>
      </c>
      <c r="B49" s="7" t="s">
        <v>108</v>
      </c>
      <c r="C49" s="8" t="n">
        <v>11.059</v>
      </c>
      <c r="D49" s="9" t="n">
        <v>0.6685</v>
      </c>
      <c r="E49" s="9" t="n">
        <v>0.6637</v>
      </c>
      <c r="F49" s="9" t="n">
        <f aca="false">ABS(E49-D49)</f>
        <v>0.00480000000000003</v>
      </c>
      <c r="G49" s="10" t="n">
        <v>0</v>
      </c>
      <c r="H49" s="10" t="n">
        <v>0</v>
      </c>
      <c r="I49" s="10" t="n">
        <v>4.29</v>
      </c>
      <c r="J49" s="10" t="n">
        <v>26.87</v>
      </c>
      <c r="K49" s="10" t="n">
        <v>68.83</v>
      </c>
      <c r="L49" s="10" t="n">
        <f aca="false">G49+H49</f>
        <v>0</v>
      </c>
      <c r="M49" s="10" t="n">
        <v>0.13</v>
      </c>
      <c r="N49" s="10" t="n">
        <f aca="false">M49-L49</f>
        <v>0.13</v>
      </c>
      <c r="O49" s="8" t="n">
        <f aca="false">$C49*L49/100</f>
        <v>0</v>
      </c>
      <c r="P49" s="12" t="str">
        <f aca="false">IF(ABS(N49)&lt;=10,"Convergente: ambos índices coinciden en la extensión del área degradada",IF(N49&lt;-25,"Degradación estructural subestimada por el NDVI (verdor estacional)",IF(N49&lt;0,"Ligera subestimación del NDVI respecto del MSAVI",IF(N49&gt;25,"NDVI señala más área rala que el MSAVI (dosel abierto sobre suelo cubierto)","Ligera sobrestimación del NDVI respecto del MSAVI"))))</f>
        <v>Convergente: ambos índices coinciden en la extensión del área degradada</v>
      </c>
      <c r="Q49" s="7" t="s">
        <v>188</v>
      </c>
    </row>
    <row r="50" customFormat="false" ht="21.75" hidden="false" customHeight="true" outlineLevel="0" collapsed="false">
      <c r="A50" s="13" t="s">
        <v>110</v>
      </c>
      <c r="B50" s="13" t="s">
        <v>108</v>
      </c>
      <c r="C50" s="14" t="n">
        <v>0.859</v>
      </c>
      <c r="D50" s="15" t="n">
        <v>0.63</v>
      </c>
      <c r="E50" s="15" t="n">
        <v>0.6423</v>
      </c>
      <c r="F50" s="15" t="n">
        <f aca="false">ABS(E50-D50)</f>
        <v>0.0123</v>
      </c>
      <c r="G50" s="16" t="n">
        <v>0</v>
      </c>
      <c r="H50" s="16" t="n">
        <v>0</v>
      </c>
      <c r="I50" s="16" t="n">
        <v>2.27</v>
      </c>
      <c r="J50" s="16" t="n">
        <v>43.38</v>
      </c>
      <c r="K50" s="16" t="n">
        <v>54.35</v>
      </c>
      <c r="L50" s="16" t="n">
        <f aca="false">G50+H50</f>
        <v>0</v>
      </c>
      <c r="M50" s="16" t="n">
        <v>0.06</v>
      </c>
      <c r="N50" s="16" t="n">
        <f aca="false">M50-L50</f>
        <v>0.06</v>
      </c>
      <c r="O50" s="14" t="n">
        <f aca="false">$C50*L50/100</f>
        <v>0</v>
      </c>
      <c r="P50" s="18" t="str">
        <f aca="false">IF(ABS(N50)&lt;=10,"Convergente: ambos índices coinciden en la extensión del área degradada",IF(N50&lt;-25,"Degradación estructural subestimada por el NDVI (verdor estacional)",IF(N50&lt;0,"Ligera subestimación del NDVI respecto del MSAVI",IF(N50&gt;25,"NDVI señala más área rala que el MSAVI (dosel abierto sobre suelo cubierto)","Ligera sobrestimación del NDVI respecto del MSAVI"))))</f>
        <v>Convergente: ambos índices coinciden en la extensión del área degradada</v>
      </c>
      <c r="Q50" s="13" t="s">
        <v>188</v>
      </c>
    </row>
    <row r="51" customFormat="false" ht="21.75" hidden="false" customHeight="true" outlineLevel="0" collapsed="false">
      <c r="A51" s="7" t="s">
        <v>111</v>
      </c>
      <c r="B51" s="7" t="s">
        <v>108</v>
      </c>
      <c r="C51" s="8" t="n">
        <v>90.197</v>
      </c>
      <c r="D51" s="9" t="n">
        <v>0.4753</v>
      </c>
      <c r="E51" s="9" t="n">
        <v>0.478</v>
      </c>
      <c r="F51" s="9" t="n">
        <f aca="false">ABS(E51-D51)</f>
        <v>0.00269999999999998</v>
      </c>
      <c r="G51" s="10" t="n">
        <v>1.63</v>
      </c>
      <c r="H51" s="10" t="n">
        <v>5.85</v>
      </c>
      <c r="I51" s="10" t="n">
        <v>54.74</v>
      </c>
      <c r="J51" s="10" t="n">
        <v>34.51</v>
      </c>
      <c r="K51" s="10" t="n">
        <v>3.27</v>
      </c>
      <c r="L51" s="10" t="n">
        <f aca="false">G51+H51</f>
        <v>7.48</v>
      </c>
      <c r="M51" s="10" t="n">
        <v>8.24</v>
      </c>
      <c r="N51" s="10" t="n">
        <f aca="false">M51-L51</f>
        <v>0.760000000000001</v>
      </c>
      <c r="O51" s="8" t="n">
        <f aca="false">$C51*L51/100</f>
        <v>6.7467356</v>
      </c>
      <c r="P51" s="12" t="str">
        <f aca="false">IF(ABS(N51)&lt;=10,"Convergente: ambos índices coinciden en la extensión del área degradada",IF(N51&lt;-25,"Degradación estructural subestimada por el NDVI (verdor estacional)",IF(N51&lt;0,"Ligera subestimación del NDVI respecto del MSAVI",IF(N51&gt;25,"NDVI señala más área rala que el MSAVI (dosel abierto sobre suelo cubierto)","Ligera sobrestimación del NDVI respecto del MSAVI"))))</f>
        <v>Convergente: ambos índices coinciden en la extensión del área degradada</v>
      </c>
      <c r="Q51" s="7" t="s">
        <v>189</v>
      </c>
    </row>
    <row r="52" customFormat="false" ht="21.75" hidden="false" customHeight="true" outlineLevel="0" collapsed="false">
      <c r="A52" s="13" t="s">
        <v>112</v>
      </c>
      <c r="B52" s="13" t="s">
        <v>108</v>
      </c>
      <c r="C52" s="14" t="n">
        <v>58.292</v>
      </c>
      <c r="D52" s="15" t="n">
        <v>0.5075</v>
      </c>
      <c r="E52" s="15" t="n">
        <v>0.5077</v>
      </c>
      <c r="F52" s="15" t="n">
        <f aca="false">ABS(E52-D52)</f>
        <v>0.000200000000000089</v>
      </c>
      <c r="G52" s="16" t="n">
        <v>0.95</v>
      </c>
      <c r="H52" s="16" t="n">
        <v>9.46</v>
      </c>
      <c r="I52" s="16" t="n">
        <v>39.66</v>
      </c>
      <c r="J52" s="16" t="n">
        <v>35.61</v>
      </c>
      <c r="K52" s="16" t="n">
        <v>14.32</v>
      </c>
      <c r="L52" s="16" t="n">
        <f aca="false">G52+H52</f>
        <v>10.41</v>
      </c>
      <c r="M52" s="16" t="n">
        <v>6.36</v>
      </c>
      <c r="N52" s="16" t="n">
        <f aca="false">M52-L52</f>
        <v>-4.05</v>
      </c>
      <c r="O52" s="14" t="n">
        <f aca="false">$C52*L52/100</f>
        <v>6.0681972</v>
      </c>
      <c r="P52" s="18" t="str">
        <f aca="false">IF(ABS(N52)&lt;=10,"Convergente: ambos índices coinciden en la extensión del área degradada",IF(N52&lt;-25,"Degradación estructural subestimada por el NDVI (verdor estacional)",IF(N52&lt;0,"Ligera subestimación del NDVI respecto del MSAVI",IF(N52&gt;25,"NDVI señala más área rala que el MSAVI (dosel abierto sobre suelo cubierto)","Ligera sobrestimación del NDVI respecto del MSAVI"))))</f>
        <v>Convergente: ambos índices coinciden en la extensión del área degradada</v>
      </c>
      <c r="Q52" s="13" t="s">
        <v>189</v>
      </c>
    </row>
    <row r="53" customFormat="false" ht="21.75" hidden="false" customHeight="true" outlineLevel="0" collapsed="false">
      <c r="A53" s="7" t="s">
        <v>113</v>
      </c>
      <c r="B53" s="7" t="s">
        <v>108</v>
      </c>
      <c r="C53" s="8" t="n">
        <v>283.428</v>
      </c>
      <c r="D53" s="9" t="n">
        <v>0.4275</v>
      </c>
      <c r="E53" s="9" t="n">
        <v>0.4246</v>
      </c>
      <c r="F53" s="9" t="n">
        <f aca="false">ABS(E53-D53)</f>
        <v>0.00290000000000001</v>
      </c>
      <c r="G53" s="10" t="n">
        <v>0.16</v>
      </c>
      <c r="H53" s="10" t="n">
        <v>37.9</v>
      </c>
      <c r="I53" s="10" t="n">
        <v>37.14</v>
      </c>
      <c r="J53" s="10" t="n">
        <v>24.35</v>
      </c>
      <c r="K53" s="10" t="n">
        <v>0.45</v>
      </c>
      <c r="L53" s="10" t="n">
        <f aca="false">G53+H53</f>
        <v>38.06</v>
      </c>
      <c r="M53" s="10" t="n">
        <v>40.39</v>
      </c>
      <c r="N53" s="10" t="n">
        <f aca="false">M53-L53</f>
        <v>2.33000000000001</v>
      </c>
      <c r="O53" s="8" t="n">
        <f aca="false">$C53*L53/100</f>
        <v>107.8726968</v>
      </c>
      <c r="P53" s="12" t="str">
        <f aca="false">IF(ABS(N53)&lt;=10,"Convergente: ambos índices coinciden en la extensión del área degradada",IF(N53&lt;-25,"Degradación estructural subestimada por el NDVI (verdor estacional)",IF(N53&lt;0,"Ligera subestimación del NDVI respecto del MSAVI",IF(N53&gt;25,"NDVI señala más área rala que el MSAVI (dosel abierto sobre suelo cubierto)","Ligera sobrestimación del NDVI respecto del MSAVI"))))</f>
        <v>Convergente: ambos índices coinciden en la extensión del área degradada</v>
      </c>
      <c r="Q53" s="7" t="s">
        <v>189</v>
      </c>
    </row>
    <row r="54" customFormat="false" ht="15" hidden="false" customHeight="true" outlineLevel="0" collapsed="false">
      <c r="A54" s="13" t="s">
        <v>73</v>
      </c>
      <c r="B54" s="13" t="s">
        <v>75</v>
      </c>
      <c r="C54" s="14" t="n">
        <v>17.821</v>
      </c>
      <c r="D54" s="15" t="n">
        <v>0.2725</v>
      </c>
      <c r="E54" s="15" t="n">
        <v>0.2706</v>
      </c>
      <c r="F54" s="15" t="n">
        <f aca="false">ABS(E54-D54)</f>
        <v>0.00190000000000001</v>
      </c>
      <c r="G54" s="16" t="n">
        <v>46.94</v>
      </c>
      <c r="H54" s="16" t="n">
        <v>48.35</v>
      </c>
      <c r="I54" s="16" t="n">
        <v>4.19</v>
      </c>
      <c r="J54" s="16" t="n">
        <v>0.52</v>
      </c>
      <c r="K54" s="16" t="n">
        <v>0</v>
      </c>
      <c r="L54" s="16" t="n">
        <f aca="false">G54+H54</f>
        <v>95.29</v>
      </c>
      <c r="M54" s="16" t="n">
        <v>92.32</v>
      </c>
      <c r="N54" s="16" t="n">
        <f aca="false">M54-L54</f>
        <v>-2.97</v>
      </c>
      <c r="O54" s="14" t="n">
        <f aca="false">$C54*L54/100</f>
        <v>16.9816309</v>
      </c>
      <c r="P54" s="18" t="str">
        <f aca="false">IF(ABS(N54)&lt;=10,"Convergente: ambos índices coinciden en la extensión del área degradada",IF(N54&lt;-25,"Degradación estructural subestimada por el NDVI (verdor estacional)",IF(N54&lt;0,"Ligera subestimación del NDVI respecto del MSAVI",IF(N54&gt;25,"NDVI señala más área rala que el MSAVI (dosel abierto sobre suelo cubierto)","Ligera sobrestimación del NDVI respecto del MSAVI"))))</f>
        <v>Convergente: ambos índices coinciden en la extensión del área degradada</v>
      </c>
      <c r="Q54" s="18" t="s">
        <v>189</v>
      </c>
    </row>
    <row r="55" customFormat="false" ht="15" hidden="false" customHeight="true" outlineLevel="0" collapsed="false">
      <c r="A55" s="7" t="s">
        <v>77</v>
      </c>
      <c r="B55" s="7" t="s">
        <v>75</v>
      </c>
      <c r="C55" s="8" t="n">
        <v>24.344</v>
      </c>
      <c r="D55" s="9" t="n">
        <v>0.3055</v>
      </c>
      <c r="E55" s="9" t="n">
        <v>0.3051</v>
      </c>
      <c r="F55" s="9" t="n">
        <f aca="false">ABS(E55-D55)</f>
        <v>0.000400000000000011</v>
      </c>
      <c r="G55" s="10" t="n">
        <v>29.09</v>
      </c>
      <c r="H55" s="10" t="n">
        <v>55.8</v>
      </c>
      <c r="I55" s="10" t="n">
        <v>14.52</v>
      </c>
      <c r="J55" s="10" t="n">
        <v>0.59</v>
      </c>
      <c r="K55" s="10" t="n">
        <v>0</v>
      </c>
      <c r="L55" s="10" t="n">
        <f aca="false">G55+H55</f>
        <v>84.89</v>
      </c>
      <c r="M55" s="10" t="n">
        <v>71.71</v>
      </c>
      <c r="N55" s="10" t="n">
        <f aca="false">M55-L55</f>
        <v>-13.18</v>
      </c>
      <c r="O55" s="8" t="n">
        <f aca="false">$C55*L55/100</f>
        <v>20.6656216</v>
      </c>
      <c r="P55" s="12" t="str">
        <f aca="false">IF(ABS(N55)&lt;=10,"Convergente: ambos índices coinciden en la extensión del área degradada",IF(N55&lt;-25,"Degradación estructural subestimada por el NDVI (verdor estacional)",IF(N55&lt;0,"Ligera subestimación del NDVI respecto del MSAVI",IF(N55&gt;25,"NDVI señala más área rala que el MSAVI (dosel abierto sobre suelo cubierto)","Ligera sobrestimación del NDVI respecto del MSAVI"))))</f>
        <v>Ligera subestimación del NDVI respecto del MSAVI</v>
      </c>
      <c r="Q55" s="12" t="s">
        <v>189</v>
      </c>
    </row>
    <row r="56" customFormat="false" ht="15" hidden="false" customHeight="true" outlineLevel="0" collapsed="false">
      <c r="A56" s="13" t="s">
        <v>78</v>
      </c>
      <c r="B56" s="13" t="s">
        <v>75</v>
      </c>
      <c r="C56" s="14" t="n">
        <v>5.097</v>
      </c>
      <c r="D56" s="15" t="n">
        <v>0.2516</v>
      </c>
      <c r="E56" s="15" t="n">
        <v>0.2553</v>
      </c>
      <c r="F56" s="15" t="n">
        <f aca="false">ABS(E56-D56)</f>
        <v>0.00370000000000004</v>
      </c>
      <c r="G56" s="16" t="n">
        <v>61.42</v>
      </c>
      <c r="H56" s="16" t="n">
        <v>31.21</v>
      </c>
      <c r="I56" s="16" t="n">
        <v>7.07</v>
      </c>
      <c r="J56" s="16" t="n">
        <v>0.31</v>
      </c>
      <c r="K56" s="16" t="n">
        <v>0</v>
      </c>
      <c r="L56" s="16" t="n">
        <f aca="false">G56+H56</f>
        <v>92.63</v>
      </c>
      <c r="M56" s="16" t="n">
        <v>84.94</v>
      </c>
      <c r="N56" s="16" t="n">
        <f aca="false">M56-L56</f>
        <v>-7.69</v>
      </c>
      <c r="O56" s="14" t="n">
        <f aca="false">$C56*L56/100</f>
        <v>4.7213511</v>
      </c>
      <c r="P56" s="18" t="str">
        <f aca="false">IF(ABS(N56)&lt;=10,"Convergente: ambos índices coinciden en la extensión del área degradada",IF(N56&lt;-25,"Degradación estructural subestimada por el NDVI (verdor estacional)",IF(N56&lt;0,"Ligera subestimación del NDVI respecto del MSAVI",IF(N56&gt;25,"NDVI señala más área rala que el MSAVI (dosel abierto sobre suelo cubierto)","Ligera sobrestimación del NDVI respecto del MSAVI"))))</f>
        <v>Convergente: ambos índices coinciden en la extensión del área degradada</v>
      </c>
      <c r="Q56" s="18" t="s">
        <v>189</v>
      </c>
    </row>
    <row r="57" customFormat="false" ht="15" hidden="false" customHeight="true" outlineLevel="0" collapsed="false">
      <c r="A57" s="7" t="s">
        <v>79</v>
      </c>
      <c r="B57" s="7" t="s">
        <v>75</v>
      </c>
      <c r="C57" s="8" t="n">
        <v>11.906</v>
      </c>
      <c r="D57" s="9" t="n">
        <v>0.2289</v>
      </c>
      <c r="E57" s="9" t="n">
        <v>0.2173</v>
      </c>
      <c r="F57" s="9" t="n">
        <f aca="false">ABS(E57-D57)</f>
        <v>0.0116</v>
      </c>
      <c r="G57" s="10" t="n">
        <v>85.17</v>
      </c>
      <c r="H57" s="10" t="n">
        <v>14.31</v>
      </c>
      <c r="I57" s="10" t="n">
        <v>0.51</v>
      </c>
      <c r="J57" s="10" t="n">
        <v>0</v>
      </c>
      <c r="K57" s="10" t="n">
        <v>0</v>
      </c>
      <c r="L57" s="10" t="n">
        <f aca="false">G57+H57</f>
        <v>99.48</v>
      </c>
      <c r="M57" s="10" t="n">
        <v>98.93</v>
      </c>
      <c r="N57" s="10" t="n">
        <f aca="false">M57-L57</f>
        <v>-0.549999999999997</v>
      </c>
      <c r="O57" s="8" t="n">
        <f aca="false">$C57*L57/100</f>
        <v>11.8440888</v>
      </c>
      <c r="P57" s="12" t="str">
        <f aca="false">IF(ABS(N57)&lt;=10,"Convergente: ambos índices coinciden en la extensión del área degradada",IF(N57&lt;-25,"Degradación estructural subestimada por el NDVI (verdor estacional)",IF(N57&lt;0,"Ligera subestimación del NDVI respecto del MSAVI",IF(N57&gt;25,"NDVI señala más área rala que el MSAVI (dosel abierto sobre suelo cubierto)","Ligera sobrestimación del NDVI respecto del MSAVI"))))</f>
        <v>Convergente: ambos índices coinciden en la extensión del área degradada</v>
      </c>
      <c r="Q57" s="12" t="s">
        <v>189</v>
      </c>
    </row>
    <row r="58" customFormat="false" ht="15" hidden="false" customHeight="true" outlineLevel="0" collapsed="false">
      <c r="A58" s="13" t="s">
        <v>80</v>
      </c>
      <c r="B58" s="13" t="s">
        <v>75</v>
      </c>
      <c r="C58" s="14" t="n">
        <v>30.001</v>
      </c>
      <c r="D58" s="15" t="n">
        <v>0.2735</v>
      </c>
      <c r="E58" s="15" t="n">
        <v>0.2672</v>
      </c>
      <c r="F58" s="15" t="n">
        <f aca="false">ABS(E58-D58)</f>
        <v>0.00630000000000003</v>
      </c>
      <c r="G58" s="16" t="n">
        <v>51.73</v>
      </c>
      <c r="H58" s="16" t="n">
        <v>41.35</v>
      </c>
      <c r="I58" s="16" t="n">
        <v>6.35</v>
      </c>
      <c r="J58" s="16" t="n">
        <v>0.57</v>
      </c>
      <c r="K58" s="16" t="n">
        <v>0</v>
      </c>
      <c r="L58" s="16" t="n">
        <f aca="false">G58+H58</f>
        <v>93.08</v>
      </c>
      <c r="M58" s="16" t="n">
        <v>90.14</v>
      </c>
      <c r="N58" s="16" t="n">
        <f aca="false">M58-L58</f>
        <v>-2.94</v>
      </c>
      <c r="O58" s="14" t="n">
        <f aca="false">$C58*L58/100</f>
        <v>27.9249308</v>
      </c>
      <c r="P58" s="18" t="str">
        <f aca="false">IF(ABS(N58)&lt;=10,"Convergente: ambos índices coinciden en la extensión del área degradada",IF(N58&lt;-25,"Degradación estructural subestimada por el NDVI (verdor estacional)",IF(N58&lt;0,"Ligera subestimación del NDVI respecto del MSAVI",IF(N58&gt;25,"NDVI señala más área rala que el MSAVI (dosel abierto sobre suelo cubierto)","Ligera sobrestimación del NDVI respecto del MSAVI"))))</f>
        <v>Convergente: ambos índices coinciden en la extensión del área degradada</v>
      </c>
      <c r="Q58" s="18" t="s">
        <v>189</v>
      </c>
    </row>
    <row r="59" customFormat="false" ht="15" hidden="false" customHeight="true" outlineLevel="0" collapsed="false">
      <c r="A59" s="7" t="s">
        <v>81</v>
      </c>
      <c r="B59" s="7" t="s">
        <v>75</v>
      </c>
      <c r="C59" s="8" t="n">
        <v>62.219</v>
      </c>
      <c r="D59" s="9" t="n">
        <v>0.2487</v>
      </c>
      <c r="E59" s="9" t="n">
        <v>0.2295</v>
      </c>
      <c r="F59" s="9" t="n">
        <f aca="false">ABS(E59-D59)</f>
        <v>0.0192</v>
      </c>
      <c r="G59" s="10" t="n">
        <v>78.06</v>
      </c>
      <c r="H59" s="10" t="n">
        <v>18.86</v>
      </c>
      <c r="I59" s="10" t="n">
        <v>2.85</v>
      </c>
      <c r="J59" s="10" t="n">
        <v>0.24</v>
      </c>
      <c r="K59" s="10" t="n">
        <v>0</v>
      </c>
      <c r="L59" s="10" t="n">
        <f aca="false">G59+H59</f>
        <v>96.92</v>
      </c>
      <c r="M59" s="10" t="n">
        <v>95.67</v>
      </c>
      <c r="N59" s="10" t="n">
        <f aca="false">M59-L59</f>
        <v>-1.25</v>
      </c>
      <c r="O59" s="8" t="n">
        <f aca="false">$C59*L59/100</f>
        <v>60.3026548</v>
      </c>
      <c r="P59" s="12" t="str">
        <f aca="false">IF(ABS(N59)&lt;=10,"Convergente: ambos índices coinciden en la extensión del área degradada",IF(N59&lt;-25,"Degradación estructural subestimada por el NDVI (verdor estacional)",IF(N59&lt;0,"Ligera subestimación del NDVI respecto del MSAVI",IF(N59&gt;25,"NDVI señala más área rala que el MSAVI (dosel abierto sobre suelo cubierto)","Ligera sobrestimación del NDVI respecto del MSAVI"))))</f>
        <v>Convergente: ambos índices coinciden en la extensión del área degradada</v>
      </c>
      <c r="Q59" s="12" t="s">
        <v>189</v>
      </c>
    </row>
    <row r="60" customFormat="false" ht="15" hidden="false" customHeight="true" outlineLevel="0" collapsed="false">
      <c r="A60" s="13" t="s">
        <v>82</v>
      </c>
      <c r="B60" s="13" t="s">
        <v>75</v>
      </c>
      <c r="C60" s="14" t="n">
        <v>106.027</v>
      </c>
      <c r="D60" s="15" t="n">
        <v>0.3956</v>
      </c>
      <c r="E60" s="15" t="n">
        <v>0.3974</v>
      </c>
      <c r="F60" s="15" t="n">
        <f aca="false">ABS(E60-D60)</f>
        <v>0.00179999999999997</v>
      </c>
      <c r="G60" s="16" t="n">
        <v>2.63</v>
      </c>
      <c r="H60" s="16" t="n">
        <v>41.81</v>
      </c>
      <c r="I60" s="16" t="n">
        <v>44.65</v>
      </c>
      <c r="J60" s="16" t="n">
        <v>10.79</v>
      </c>
      <c r="K60" s="16" t="n">
        <v>0.12</v>
      </c>
      <c r="L60" s="16" t="n">
        <f aca="false">G60+H60</f>
        <v>44.44</v>
      </c>
      <c r="M60" s="16" t="n">
        <v>30.05</v>
      </c>
      <c r="N60" s="16" t="n">
        <f aca="false">M60-L60</f>
        <v>-14.39</v>
      </c>
      <c r="O60" s="14" t="n">
        <f aca="false">$C60*L60/100</f>
        <v>47.1183988</v>
      </c>
      <c r="P60" s="18" t="str">
        <f aca="false">IF(ABS(N60)&lt;=10,"Convergente: ambos índices coinciden en la extensión del área degradada",IF(N60&lt;-25,"Degradación estructural subestimada por el NDVI (verdor estacional)",IF(N60&lt;0,"Ligera subestimación del NDVI respecto del MSAVI",IF(N60&gt;25,"NDVI señala más área rala que el MSAVI (dosel abierto sobre suelo cubierto)","Ligera sobrestimación del NDVI respecto del MSAVI"))))</f>
        <v>Ligera subestimación del NDVI respecto del MSAVI</v>
      </c>
      <c r="Q60" s="18" t="s">
        <v>189</v>
      </c>
    </row>
    <row r="61" customFormat="false" ht="15" hidden="false" customHeight="true" outlineLevel="0" collapsed="false">
      <c r="A61" s="7" t="s">
        <v>83</v>
      </c>
      <c r="B61" s="7" t="s">
        <v>75</v>
      </c>
      <c r="C61" s="8" t="n">
        <v>84.825</v>
      </c>
      <c r="D61" s="9" t="n">
        <v>0.2985</v>
      </c>
      <c r="E61" s="9" t="n">
        <v>0.3066</v>
      </c>
      <c r="F61" s="9" t="n">
        <f aca="false">ABS(E61-D61)</f>
        <v>0.0081</v>
      </c>
      <c r="G61" s="10" t="n">
        <v>23.44</v>
      </c>
      <c r="H61" s="10" t="n">
        <v>66.52</v>
      </c>
      <c r="I61" s="10" t="n">
        <v>9.17</v>
      </c>
      <c r="J61" s="10" t="n">
        <v>0.86</v>
      </c>
      <c r="K61" s="10" t="n">
        <v>0.01</v>
      </c>
      <c r="L61" s="10" t="n">
        <f aca="false">G61+H61</f>
        <v>89.96</v>
      </c>
      <c r="M61" s="10" t="n">
        <v>58.23</v>
      </c>
      <c r="N61" s="10" t="n">
        <f aca="false">M61-L61</f>
        <v>-31.73</v>
      </c>
      <c r="O61" s="8" t="n">
        <f aca="false">$C61*L61/100</f>
        <v>76.30857</v>
      </c>
      <c r="P61" s="12" t="str">
        <f aca="false">IF(ABS(N61)&lt;=10,"Convergente: ambos índices coinciden en la extensión del área degradada",IF(N61&lt;-25,"Degradación estructural subestimada por el NDVI (verdor estacional)",IF(N61&lt;0,"Ligera subestimación del NDVI respecto del MSAVI",IF(N61&gt;25,"NDVI señala más área rala que el MSAVI (dosel abierto sobre suelo cubierto)","Ligera sobrestimación del NDVI respecto del MSAVI"))))</f>
        <v>Degradación estructural subestimada por el NDVI (verdor estacional)</v>
      </c>
      <c r="Q61" s="12" t="s">
        <v>189</v>
      </c>
    </row>
    <row r="62" customFormat="false" ht="15" hidden="false" customHeight="true" outlineLevel="0" collapsed="false">
      <c r="A62" s="13" t="s">
        <v>84</v>
      </c>
      <c r="B62" s="13" t="s">
        <v>75</v>
      </c>
      <c r="C62" s="14" t="n">
        <v>52.743</v>
      </c>
      <c r="D62" s="15" t="n">
        <v>0.283</v>
      </c>
      <c r="E62" s="15" t="n">
        <v>0.2834</v>
      </c>
      <c r="F62" s="15" t="n">
        <f aca="false">ABS(E62-D62)</f>
        <v>0.000400000000000011</v>
      </c>
      <c r="G62" s="16" t="n">
        <v>37.18</v>
      </c>
      <c r="H62" s="16" t="n">
        <v>57.43</v>
      </c>
      <c r="I62" s="16" t="n">
        <v>5.01</v>
      </c>
      <c r="J62" s="16" t="n">
        <v>0.38</v>
      </c>
      <c r="K62" s="16" t="n">
        <v>0</v>
      </c>
      <c r="L62" s="16" t="n">
        <f aca="false">G62+H62</f>
        <v>94.61</v>
      </c>
      <c r="M62" s="16" t="n">
        <v>87.36</v>
      </c>
      <c r="N62" s="16" t="n">
        <f aca="false">M62-L62</f>
        <v>-7.25</v>
      </c>
      <c r="O62" s="14" t="n">
        <f aca="false">$C62*L62/100</f>
        <v>49.9001523</v>
      </c>
      <c r="P62" s="18" t="str">
        <f aca="false">IF(ABS(N62)&lt;=10,"Convergente: ambos índices coinciden en la extensión del área degradada",IF(N62&lt;-25,"Degradación estructural subestimada por el NDVI (verdor estacional)",IF(N62&lt;0,"Ligera subestimación del NDVI respecto del MSAVI",IF(N62&gt;25,"NDVI señala más área rala que el MSAVI (dosel abierto sobre suelo cubierto)","Ligera sobrestimación del NDVI respecto del MSAVI"))))</f>
        <v>Convergente: ambos índices coinciden en la extensión del área degradada</v>
      </c>
      <c r="Q62" s="18" t="s">
        <v>188</v>
      </c>
    </row>
    <row r="63" customFormat="false" ht="15" hidden="false" customHeight="true" outlineLevel="0" collapsed="false">
      <c r="A63" s="7" t="s">
        <v>85</v>
      </c>
      <c r="B63" s="7" t="s">
        <v>75</v>
      </c>
      <c r="C63" s="8" t="n">
        <v>60.352</v>
      </c>
      <c r="D63" s="9" t="n">
        <v>0.3425</v>
      </c>
      <c r="E63" s="9" t="n">
        <v>0.3376</v>
      </c>
      <c r="F63" s="9" t="n">
        <f aca="false">ABS(E63-D63)</f>
        <v>0.00490000000000002</v>
      </c>
      <c r="G63" s="10" t="n">
        <v>13.85</v>
      </c>
      <c r="H63" s="10" t="n">
        <v>59.52</v>
      </c>
      <c r="I63" s="10" t="n">
        <v>25.97</v>
      </c>
      <c r="J63" s="10" t="n">
        <v>0.65</v>
      </c>
      <c r="K63" s="10" t="n">
        <v>0.01</v>
      </c>
      <c r="L63" s="10" t="n">
        <f aca="false">G63+H63</f>
        <v>73.37</v>
      </c>
      <c r="M63" s="10" t="n">
        <v>56.11</v>
      </c>
      <c r="N63" s="10" t="n">
        <f aca="false">M63-L63</f>
        <v>-17.26</v>
      </c>
      <c r="O63" s="8" t="n">
        <f aca="false">$C63*L63/100</f>
        <v>44.2802624</v>
      </c>
      <c r="P63" s="12" t="str">
        <f aca="false">IF(ABS(N63)&lt;=10,"Convergente: ambos índices coinciden en la extensión del área degradada",IF(N63&lt;-25,"Degradación estructural subestimada por el NDVI (verdor estacional)",IF(N63&lt;0,"Ligera subestimación del NDVI respecto del MSAVI",IF(N63&gt;25,"NDVI señala más área rala que el MSAVI (dosel abierto sobre suelo cubierto)","Ligera sobrestimación del NDVI respecto del MSAVI"))))</f>
        <v>Ligera subestimación del NDVI respecto del MSAVI</v>
      </c>
      <c r="Q63" s="12" t="s">
        <v>188</v>
      </c>
    </row>
    <row r="64" customFormat="false" ht="15" hidden="false" customHeight="true" outlineLevel="0" collapsed="false">
      <c r="A64" s="13" t="s">
        <v>86</v>
      </c>
      <c r="B64" s="13" t="s">
        <v>75</v>
      </c>
      <c r="C64" s="14" t="n">
        <v>122.946</v>
      </c>
      <c r="D64" s="15" t="n">
        <v>0.3707</v>
      </c>
      <c r="E64" s="15" t="n">
        <v>0.3689</v>
      </c>
      <c r="F64" s="15" t="n">
        <f aca="false">ABS(E64-D64)</f>
        <v>0.00179999999999997</v>
      </c>
      <c r="G64" s="16" t="n">
        <v>1.82</v>
      </c>
      <c r="H64" s="16" t="n">
        <v>60.92</v>
      </c>
      <c r="I64" s="16" t="n">
        <v>33.25</v>
      </c>
      <c r="J64" s="16" t="n">
        <v>4</v>
      </c>
      <c r="K64" s="16" t="n">
        <v>0.01</v>
      </c>
      <c r="L64" s="16" t="n">
        <f aca="false">G64+H64</f>
        <v>62.74</v>
      </c>
      <c r="M64" s="16" t="n">
        <v>46.86</v>
      </c>
      <c r="N64" s="16" t="n">
        <f aca="false">M64-L64</f>
        <v>-15.88</v>
      </c>
      <c r="O64" s="14" t="n">
        <f aca="false">$C64*L64/100</f>
        <v>77.1363204</v>
      </c>
      <c r="P64" s="18" t="str">
        <f aca="false">IF(ABS(N64)&lt;=10,"Convergente: ambos índices coinciden en la extensión del área degradada",IF(N64&lt;-25,"Degradación estructural subestimada por el NDVI (verdor estacional)",IF(N64&lt;0,"Ligera subestimación del NDVI respecto del MSAVI",IF(N64&gt;25,"NDVI señala más área rala que el MSAVI (dosel abierto sobre suelo cubierto)","Ligera sobrestimación del NDVI respecto del MSAVI"))))</f>
        <v>Ligera subestimación del NDVI respecto del MSAVI</v>
      </c>
      <c r="Q64" s="18" t="s">
        <v>189</v>
      </c>
    </row>
    <row r="65" customFormat="false" ht="15" hidden="false" customHeight="true" outlineLevel="0" collapsed="false">
      <c r="A65" s="7" t="s">
        <v>87</v>
      </c>
      <c r="B65" s="7" t="s">
        <v>75</v>
      </c>
      <c r="C65" s="8" t="n">
        <v>565.584</v>
      </c>
      <c r="D65" s="9" t="n">
        <v>0.2934</v>
      </c>
      <c r="E65" s="9" t="n">
        <v>0.3108</v>
      </c>
      <c r="F65" s="9" t="n">
        <f aca="false">ABS(E65-D65)</f>
        <v>0.0174</v>
      </c>
      <c r="G65" s="10" t="n">
        <v>24.07</v>
      </c>
      <c r="H65" s="10" t="n">
        <v>61.72</v>
      </c>
      <c r="I65" s="10" t="n">
        <v>13.22</v>
      </c>
      <c r="J65" s="10" t="n">
        <v>0.97</v>
      </c>
      <c r="K65" s="10" t="n">
        <v>0.02</v>
      </c>
      <c r="L65" s="10" t="n">
        <f aca="false">G65+H65</f>
        <v>85.79</v>
      </c>
      <c r="M65" s="10" t="n">
        <v>68.8</v>
      </c>
      <c r="N65" s="10" t="n">
        <f aca="false">M65-L65</f>
        <v>-16.99</v>
      </c>
      <c r="O65" s="8" t="n">
        <f aca="false">$C65*L65/100</f>
        <v>485.2145136</v>
      </c>
      <c r="P65" s="12" t="str">
        <f aca="false">IF(ABS(N65)&lt;=10,"Convergente: ambos índices coinciden en la extensión del área degradada",IF(N65&lt;-25,"Degradación estructural subestimada por el NDVI (verdor estacional)",IF(N65&lt;0,"Ligera subestimación del NDVI respecto del MSAVI",IF(N65&gt;25,"NDVI señala más área rala que el MSAVI (dosel abierto sobre suelo cubierto)","Ligera sobrestimación del NDVI respecto del MSAVI"))))</f>
        <v>Ligera subestimación del NDVI respecto del MSAVI</v>
      </c>
      <c r="Q65" s="12" t="s">
        <v>189</v>
      </c>
    </row>
    <row r="66" customFormat="false" ht="15" hidden="false" customHeight="true" outlineLevel="0" collapsed="false">
      <c r="A66" s="19" t="s">
        <v>190</v>
      </c>
      <c r="B66" s="19"/>
      <c r="C66" s="20" t="n">
        <f aca="false">SUM(C7:C65)</f>
        <v>7327.367</v>
      </c>
      <c r="D66" s="21" t="n">
        <f aca="false">SUMPRODUCT($C7:$C65,D7:D65)/C66</f>
        <v>0.379310932767528</v>
      </c>
      <c r="E66" s="21" t="n">
        <f aca="false">SUMPRODUCT($C7:$C65,E7:E65)/C66</f>
        <v>0.384642480402579</v>
      </c>
      <c r="F66" s="21" t="n">
        <f aca="false">ABS(E66-D66)</f>
        <v>0.00533154763505095</v>
      </c>
      <c r="G66" s="22" t="n">
        <f aca="false">SUMPRODUCT($C7:$C65,G7:G65)/$C$66</f>
        <v>10.9297430523133</v>
      </c>
      <c r="H66" s="22" t="n">
        <f aca="false">SUMPRODUCT($C7:$C65,H7:H65)/$C$66</f>
        <v>49.5840768764551</v>
      </c>
      <c r="I66" s="22" t="n">
        <f aca="false">SUMPRODUCT($C7:$C65,I7:I65)/$C$66</f>
        <v>24.3369064999747</v>
      </c>
      <c r="J66" s="22" t="n">
        <f aca="false">SUMPRODUCT($C7:$C65,J7:J65)/$C$66</f>
        <v>8.07966050970287</v>
      </c>
      <c r="K66" s="22" t="n">
        <f aca="false">SUMPRODUCT($C7:$C65,K7:K65)/$C$66</f>
        <v>7.06877373686892</v>
      </c>
      <c r="L66" s="22" t="n">
        <f aca="false">SUMPRODUCT($C7:$C65,L7:L65)/$C$66</f>
        <v>60.5138199287684</v>
      </c>
      <c r="M66" s="22" t="n">
        <f aca="false">SUMPRODUCT($C7:$C65,M7:M65)/$C$66</f>
        <v>51.1511665786633</v>
      </c>
      <c r="N66" s="22" t="n">
        <f aca="false">M66-L66</f>
        <v>-9.36265335010516</v>
      </c>
      <c r="O66" s="20" t="n">
        <f aca="false">SUM(O7:O65)</f>
        <v>4434.0696719</v>
      </c>
      <c r="P66" s="24"/>
      <c r="Q66" s="24"/>
    </row>
  </sheetData>
  <mergeCells count="5">
    <mergeCell ref="A1:Q1"/>
    <mergeCell ref="A2:Q2"/>
    <mergeCell ref="A3:Q3"/>
    <mergeCell ref="A4:Q4"/>
    <mergeCell ref="A66:B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2026-08-23T02:44:20Z</dcterms:created>
  <dc:creator>openpyxl</dc:creator>
  <dc:description/>
  <dc:language>en-US</dc:language>
  <cp:lastModifiedBy/>
  <dcterms:modified xsi:type="dcterms:W3CDTF">2026-08-23T09:10:55Z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