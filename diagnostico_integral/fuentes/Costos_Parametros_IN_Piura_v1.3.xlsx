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LEEME" sheetId="2" state="visible" r:id="rId4"/>
    <sheet name="PARAMETROS" sheetId="3" state="visible" r:id="rId5"/>
    <sheet name="APU_BASE" sheetId="4" state="visible" r:id="rId6"/>
    <sheet name="APU_SUBP" sheetId="5" state="visible" r:id="rId7"/>
    <sheet name="PARTIDAS" sheetId="6" state="visible" r:id="rId8"/>
    <sheet name="CU_COMP" sheetId="7" state="visible" r:id="rId9"/>
    <sheet name="PAQUETES" sheetId="8" state="visible" r:id="rId10"/>
    <sheet name="BLOQUES" sheetId="9" state="visible" r:id="rId11"/>
    <sheet name="CALCULO" sheetId="10" state="visible" r:id="rId12"/>
    <sheet name="OYM" sheetId="11" state="visible" r:id="rId13"/>
    <sheet name="FLUJO" sheetId="12" state="visible" r:id="rId14"/>
  </sheets>
  <definedNames>
    <definedName function="false" hidden="true" localSheetId="3" name="_xlnm._FilterDatabase" vbProcedure="false">APU_BASE!$A$6:$R$782</definedName>
    <definedName function="false" hidden="true" localSheetId="8" name="_xlnm._FilterDatabase" vbProcedure="false">BLOQUES!$A$6:$AM$123</definedName>
    <definedName function="false" hidden="true" localSheetId="9" name="_xlnm._FilterDatabase" vbProcedure="false">CALCULO!$A$6:$AH$123</definedName>
    <definedName function="false" hidden="true" localSheetId="5" name="_xlnm._FilterDatabase" vbProcedure="false">PARTIDAS!$A$6:$L$132</definedName>
    <definedName function="false" hidden="false" name="B_AREA" vbProcedure="false">BLOQUES!$E$7:$E$123</definedName>
    <definedName function="false" hidden="false" name="B_ID" vbProcedure="false">BLOQUES!$A$7:$A$123</definedName>
    <definedName function="false" hidden="false" name="B_PIL" vbProcedure="false">BLOQUES!$AE$7:$AE$123</definedName>
    <definedName function="false" hidden="false" name="B_TIP" vbProcedure="false">BLOQUES!$AI$7:$AI$123</definedName>
    <definedName function="false" hidden="false" name="CU_CARCAVA" vbProcedure="false">CU_COMP!$H$66</definedName>
    <definedName function="false" hidden="false" name="CU_CARCAVA_C" vbProcedure="false">CU_COMP!$J$66</definedName>
    <definedName function="false" hidden="false" name="CU_CARCAVA_NC" vbProcedure="false">CU_COMP!$I$66</definedName>
    <definedName function="false" hidden="false" name="CU_CERCO" vbProcedure="false">CU_COMP!$H$63</definedName>
    <definedName function="false" hidden="false" name="CU_CERCO_C" vbProcedure="false">CU_COMP!$J$63</definedName>
    <definedName function="false" hidden="false" name="CU_CERCO_NC" vbProcedure="false">CU_COMP!$I$63</definedName>
    <definedName function="false" hidden="false" name="CU_HA" vbProcedure="false">CU_COMP!$H$62</definedName>
    <definedName function="false" hidden="false" name="CU_HA_C" vbProcedure="false">CU_COMP!$J$62</definedName>
    <definedName function="false" hidden="false" name="CU_HA_NC" vbProcedure="false">CU_COMP!$I$62</definedName>
    <definedName function="false" hidden="false" name="CU_PLANTA" vbProcedure="false">CU_COMP!$H$61</definedName>
    <definedName function="false" hidden="false" name="CU_PLANTA_C" vbProcedure="false">CU_COMP!$J$61</definedName>
    <definedName function="false" hidden="false" name="CU_PLANTA_NC" vbProcedure="false">CU_COMP!$I$61</definedName>
    <definedName function="false" hidden="false" name="CU_PLANTON" vbProcedure="false">CU_COMP!$H$60</definedName>
    <definedName function="false" hidden="false" name="CU_PLANTON_C" vbProcedure="false">CU_COMP!$J$60</definedName>
    <definedName function="false" hidden="false" name="CU_PLANTON_NC" vbProcedure="false">CU_COMP!$I$60</definedName>
    <definedName function="false" hidden="false" name="CU_TERRAZA" vbProcedure="false">CU_COMP!$H$65</definedName>
    <definedName function="false" hidden="false" name="CU_TERRAZA_C" vbProcedure="false">CU_COMP!$J$65</definedName>
    <definedName function="false" hidden="false" name="CU_TERRAZA_NC" vbProcedure="false">CU_COMP!$I$65</definedName>
    <definedName function="false" hidden="false" name="CU_ZANJA" vbProcedure="false">CU_COMP!$H$64</definedName>
    <definedName function="false" hidden="false" name="CU_ZANJA_C" vbProcedure="false">CU_COMP!$J$64</definedName>
    <definedName function="false" hidden="false" name="CU_ZANJA_NC" vbProcedure="false">CU_COMP!$I$64</definedName>
    <definedName function="false" hidden="false" name="C_CD_P" vbProcedure="false">CALCULO!$Y$125</definedName>
    <definedName function="false" hidden="false" name="C_CD_T" vbProcedure="false">CALCULO!$Y$124</definedName>
    <definedName function="false" hidden="false" name="C_CE_P" vbProcedure="false">CALCULO!$M$125</definedName>
    <definedName function="false" hidden="false" name="C_CE_T" vbProcedure="false">CALCULO!$M$124</definedName>
    <definedName function="false" hidden="false" name="C_HA_P" vbProcedure="false">CALCULO!$D$125</definedName>
    <definedName function="false" hidden="false" name="C_HA_T" vbProcedure="false">CALCULO!$D$124</definedName>
    <definedName function="false" hidden="false" name="C_INV_P" vbProcedure="false">CALCULO!$AA$125</definedName>
    <definedName function="false" hidden="false" name="C_INV_T" vbProcedure="false">CALCULO!$AA$124</definedName>
    <definedName function="false" hidden="false" name="C_KC_P" vbProcedure="false">CALCULO!$N$125</definedName>
    <definedName function="false" hidden="false" name="C_KC_T" vbProcedure="false">CALCULO!$N$124</definedName>
    <definedName function="false" hidden="false" name="C_KT_P" vbProcedure="false">CALCULO!$L$125</definedName>
    <definedName function="false" hidden="false" name="C_KT_T" vbProcedure="false">CALCULO!$L$124</definedName>
    <definedName function="false" hidden="false" name="C_KZ_P" vbProcedure="false">CALCULO!$K$125</definedName>
    <definedName function="false" hidden="false" name="C_KZ_T" vbProcedure="false">CALCULO!$K$124</definedName>
    <definedName function="false" hidden="false" name="C_MAR_P" vbProcedure="false">CALCULO!$AH$125</definedName>
    <definedName function="false" hidden="false" name="C_MAR_T" vbProcedure="false">CALCULO!$AH$124</definedName>
    <definedName function="false" hidden="false" name="C_PL_P" vbProcedure="false">CALCULO!$J$125</definedName>
    <definedName function="false" hidden="false" name="C_PL_T" vbProcedure="false">CALCULO!$J$124</definedName>
    <definedName function="false" hidden="false" name="C_R1_P" vbProcedure="false">CALCULO!$E$125</definedName>
    <definedName function="false" hidden="false" name="C_R1_T" vbProcedure="false">CALCULO!$E$124</definedName>
    <definedName function="false" hidden="false" name="C_R2_P" vbProcedure="false">CALCULO!$F$125</definedName>
    <definedName function="false" hidden="false" name="C_R2_T" vbProcedure="false">CALCULO!$F$124</definedName>
    <definedName function="false" hidden="false" name="C_SOC_P" vbProcedure="false">CALCULO!$AF$125</definedName>
    <definedName function="false" hidden="false" name="C_SOC_T" vbProcedure="false">CALCULO!$AF$124</definedName>
    <definedName function="false" hidden="false" name="C_VER_P" vbProcedure="false">CALCULO!$AG$125</definedName>
    <definedName function="false" hidden="false" name="C_VER_T" vbProcedure="false">CALCULO!$AG$124</definedName>
    <definedName function="false" hidden="false" name="MO_CAT" vbProcedure="false">PARAMETROS!$G$7:$G$10</definedName>
    <definedName function="false" hidden="false" name="MO_HH" vbProcedure="false">PARAMETROS!$J$7:$J$10</definedName>
    <definedName function="false" hidden="false" name="PAQ_CERCO" vbProcedure="false">PAQUETES!$I$7:$I$12</definedName>
    <definedName function="false" hidden="false" name="PAQ_KEY" vbProcedure="false">PAQUETES!$B$7:$B$12</definedName>
    <definedName function="false" hidden="false" name="PAQ_MT" vbProcedure="false">PAQUETES!$K$7:$K$12</definedName>
    <definedName function="false" hidden="false" name="PAQ_MZ" vbProcedure="false">PAQUETES!$J$7:$J$12</definedName>
    <definedName function="false" hidden="false" name="PAQ_R1" vbProcedure="false">PAQUETES!$E$7:$E$12</definedName>
    <definedName function="false" hidden="false" name="PAQ_R2" vbProcedure="false">PAQUETES!$F$7:$F$12</definedName>
    <definedName function="false" hidden="false" name="PAQ_T" vbProcedure="false">PAQUETES!$A$7:$A$12</definedName>
    <definedName function="false" hidden="false" name="P_ANIOS_EJ" vbProcedure="false">PARAMETROS!$C$46</definedName>
    <definedName function="false" hidden="false" name="P_ANIOS_OM" vbProcedure="false">PARAMETROS!$C$47</definedName>
    <definedName function="false" hidden="false" name="P_CARGA" vbProcedure="false">PARAMETROS!$C$21</definedName>
    <definedName function="false" hidden="false" name="P_CORTE" vbProcedure="false">PARAMETROS!$C$36</definedName>
    <definedName function="false" hidden="false" name="P_DESHIERBES" vbProcedure="false">PARAMETROS!$C$17</definedName>
    <definedName function="false" hidden="false" name="P_EFIC" vbProcedure="false">PARAMETROS!$C$25</definedName>
    <definedName function="false" hidden="false" name="P_ET" vbProcedure="false">PARAMETROS!$C$33</definedName>
    <definedName function="false" hidden="false" name="P_FACT_IPC" vbProcedure="false">PARAMETROS!$C$11</definedName>
    <definedName function="false" hidden="false" name="P_FCD" vbProcedure="false">PARAMETROS!$C$43</definedName>
    <definedName function="false" hidden="false" name="P_FC_BIEN" vbProcedure="false">PARAMETROS!$C$42</definedName>
    <definedName function="false" hidden="false" name="P_FC_MOC" vbProcedure="false">PARAMETROS!$C$41</definedName>
    <definedName function="false" hidden="false" name="P_FC_MONC" vbProcedure="false">PARAMETROS!$C$40</definedName>
    <definedName function="false" hidden="false" name="P_FT_CAP" vbProcedure="false">PARAMETROS!$C$28</definedName>
    <definedName function="false" hidden="false" name="P_FT_KG" vbProcedure="false">PARAMETROS!$C$29</definedName>
    <definedName function="false" hidden="false" name="P_FT_VIAJE" vbProcedure="false">PARAMETROS!$C$27</definedName>
    <definedName function="false" hidden="false" name="P_GG" vbProcedure="false">PARAMETROS!$C$31</definedName>
    <definedName function="false" hidden="false" name="P_HH_PEON" vbProcedure="false">PARAMETROS!$C$10</definedName>
    <definedName function="false" hidden="false" name="P_HORAS" vbProcedure="false">PARAMETROS!$C$9</definedName>
    <definedName function="false" hidden="false" name="P_IGV" vbProcedure="false">PARAMETROS!$C$13</definedName>
    <definedName function="false" hidden="false" name="P_JORNAL" vbProcedure="false">PARAMETROS!$C$8</definedName>
    <definedName function="false" hidden="false" name="P_OM_NC" vbProcedure="false">OYM!$F$23</definedName>
    <definedName function="false" hidden="false" name="P_PESO_INS" vbProcedure="false">PARAMETROS!$C$19</definedName>
    <definedName function="false" hidden="false" name="P_PESO_PLANTON" vbProcedure="false">PARAMETROS!$C$18</definedName>
    <definedName function="false" hidden="false" name="P_PMM_MARRON" vbProcedure="false">PARAMETROS!$C$37</definedName>
    <definedName function="false" hidden="false" name="P_PSC" vbProcedure="false">PARAMETROS!$C$44</definedName>
    <definedName function="false" hidden="false" name="P_RECALCE" vbProcedure="false">PARAMETROS!$C$15</definedName>
    <definedName function="false" hidden="false" name="P_RIEGOS" vbProcedure="false">PARAMETROS!$C$16</definedName>
    <definedName function="false" hidden="false" name="P_SINUOS" vbProcedure="false">PARAMETROS!$C$26</definedName>
    <definedName function="false" hidden="false" name="P_SUP" vbProcedure="false">PARAMETROS!$C$32</definedName>
    <definedName function="false" hidden="false" name="P_TC" vbProcedure="false">PARAMETROS!$C$12</definedName>
    <definedName function="false" hidden="false" name="P_TCD" vbProcedure="false">PARAMETROS!$C$24</definedName>
    <definedName function="false" hidden="false" name="P_TECHO" vbProcedure="false">PARAMETROS!$C$48</definedName>
    <definedName function="false" hidden="false" name="P_TSD" vbProcedure="false">PARAMETROS!$C$39</definedName>
    <definedName function="false" hidden="false" name="P_UMBRAL" vbProcedure="false">PARAMETROS!$C$35</definedName>
    <definedName function="false" hidden="false" name="P_VIDA" vbProcedure="false">PARAMETROS!$C$22</definedName>
    <definedName function="false" hidden="false" name="P_VVUELTA" vbProcedure="false">PARAMETROS!$C$23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<sst xmlns="http://schemas.openxmlformats.org/spreadsheetml/2006/main" count="9688" uniqueCount="1226">
  <si>
    <t xml:space="preserve">AUTORIDAD NACIONAL DE INFRAESTRUCTURA - ANIN</t>
  </si>
  <si>
    <t xml:space="preserve">DIRECCIÓN DE INTERVENCIONES MULTISECTORIALES Y DE EMERGENCIA - DIME</t>
  </si>
  <si>
    <t xml:space="preserve">SUBDIRECCIÓN DE ESTUDIOS DE INVERSIÓN</t>
  </si>
  <si>
    <t xml:space="preserve">PROYECTO IN PIURA – CUI 2669244 · Motor de costos paramétrico – RESUMEN (versión piloto v1)</t>
  </si>
  <si>
    <t xml:space="preserve">Generado el 18-oct-2026. Todas las cifras se recalculan desde PARAMETROS, PAQUETES y BLOQUES. Celdas amarillas = supuestos por calibrar.</t>
  </si>
  <si>
    <t xml:space="preserve">Indicador</t>
  </si>
  <si>
    <t xml:space="preserve">Piloto (5 bloques)</t>
  </si>
  <si>
    <t xml:space="preserve">Cartera (117 bloques)</t>
  </si>
  <si>
    <t xml:space="preserve">Unidad</t>
  </si>
  <si>
    <t xml:space="preserve">Bloques</t>
  </si>
  <si>
    <t xml:space="preserve">n°</t>
  </si>
  <si>
    <t xml:space="preserve">Superficie de bloques</t>
  </si>
  <si>
    <t xml:space="preserve">ha</t>
  </si>
  <si>
    <t xml:space="preserve">Plantación activa R1 (MSAVI DN 1–2)</t>
  </si>
  <si>
    <t xml:space="preserve">Enriquecimiento R2 (MSAVI DN 3)</t>
  </si>
  <si>
    <t xml:space="preserve">Plantas a instalar</t>
  </si>
  <si>
    <t xml:space="preserve">und</t>
  </si>
  <si>
    <t xml:space="preserve">Zanjas de infiltración</t>
  </si>
  <si>
    <t xml:space="preserve">km</t>
  </si>
  <si>
    <t xml:space="preserve">Terrazas de formación lenta</t>
  </si>
  <si>
    <t xml:space="preserve">Cerco perimétrico</t>
  </si>
  <si>
    <t xml:space="preserve">m</t>
  </si>
  <si>
    <t xml:space="preserve">Cárcavas (diques)</t>
  </si>
  <si>
    <t xml:space="preserve">Costo directo</t>
  </si>
  <si>
    <t xml:space="preserve">S/</t>
  </si>
  <si>
    <t xml:space="preserve">Inversión total (CD + GG + sup. + ET)</t>
  </si>
  <si>
    <t xml:space="preserve">   · infraestructura verde</t>
  </si>
  <si>
    <t xml:space="preserve">   · infraestructura marrón</t>
  </si>
  <si>
    <t xml:space="preserve">Inversión por ha de bloque</t>
  </si>
  <si>
    <t xml:space="preserve">S/ / ha</t>
  </si>
  <si>
    <t xml:space="preserve">O&amp;M – primer año de operación</t>
  </si>
  <si>
    <t xml:space="preserve">S/ / año</t>
  </si>
  <si>
    <t xml:space="preserve">O&amp;M – 15 años (sin descontar)</t>
  </si>
  <si>
    <t xml:space="preserve">Inversión + O&amp;M 15 años (sin descontar)</t>
  </si>
  <si>
    <t xml:space="preserve">Referencia: techo del proyecto (incluye preinversión y ET)</t>
  </si>
  <si>
    <t xml:space="preserve">Cartera / techo</t>
  </si>
  <si>
    <t xml:space="preserve">%</t>
  </si>
  <si>
    <t xml:space="preserve">VAC social (TSD 8 %)</t>
  </si>
  <si>
    <t xml:space="preserve">Costo-efectividad (VAC social / ha plantada)</t>
  </si>
  <si>
    <t xml:space="preserve">VANS</t>
  </si>
  <si>
    <t xml:space="preserve">Bloque piloto</t>
  </si>
  <si>
    <t xml:space="preserve">Tipología</t>
  </si>
  <si>
    <t xml:space="preserve">Área (ha)</t>
  </si>
  <si>
    <t xml:space="preserve">R1 + R2 (ha)</t>
  </si>
  <si>
    <t xml:space="preserve">Plantas</t>
  </si>
  <si>
    <t xml:space="preserve">Zanjas / terrazas (km)</t>
  </si>
  <si>
    <t xml:space="preserve">Inversión (S/)</t>
  </si>
  <si>
    <t xml:space="preserve">S/ por ha</t>
  </si>
  <si>
    <t xml:space="preserve">Dist. media acarreo (m)</t>
  </si>
  <si>
    <t xml:space="preserve">Grupo · degradación</t>
  </si>
  <si>
    <t xml:space="preserve">21</t>
  </si>
  <si>
    <t xml:space="preserve">66</t>
  </si>
  <si>
    <t xml:space="preserve">73</t>
  </si>
  <si>
    <t xml:space="preserve">31</t>
  </si>
  <si>
    <t xml:space="preserve">M6B10</t>
  </si>
  <si>
    <t xml:space="preserve">Descripción</t>
  </si>
  <si>
    <t xml:space="preserve">N° bloques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</si>
  <si>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</si>
  <si>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</si>
  <si>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</si>
  <si>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</si>
  <si>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</si>
  <si>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</si>
  <si>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LECTURA RÁPIDA</t>
  </si>
  <si>
    <t xml:space="preserve">1. Calcula los 117 bloques (12 270.235 ha) con los mismos coeficientes; el piloto (21, 66, 73, 31, M6B10) es el que se calibra primero.</t>
  </si>
  <si>
    <t xml:space="preserve">2. Coeficientes críticos por calibrar (hoja PAQUETES): densidades R1/R2 y espaciamiento de zanjas y terrazas. Las fichas ANIN de zanjas (2.78 m) y terrazas (8.33 m) son referenciales.</t>
  </si>
  <si>
    <t xml:space="preserve">3. Cárcavas: ingresar metros lineales por bloque en BLOQUES!AD a partir del inventario por dron o imagen de alta resolución.</t>
  </si>
  <si>
    <t xml:space="preserve">4. O&amp;M: los "años de aplicación" (OYM!G) son un supuesto inicial; las fichas ANIN son anuales para todas las actividades.</t>
  </si>
  <si>
    <t xml:space="preserve">5. Costo-beneficio: completar FLUJO!B38–B43. Mientras estén vacías, el VANS se muestra como "Pendiente de beneficios".</t>
  </si>
  <si>
    <t xml:space="preserve">6. GG (15.08 %) es la referencia ANIN; supervisión y expediente técnico están en 0 % hasta que se definan (PARAMETROS).</t>
  </si>
  <si>
    <t xml:space="preserve">PROYECTO IN PIURA – CUI 2669244 · Guía de uso y fuentes</t>
  </si>
  <si>
    <t xml:space="preserve">Motor de costos paramétrico para el Estudio de Perfil (Invierte.pe).</t>
  </si>
  <si>
    <t xml:space="preserve">PROPÓSITO</t>
  </si>
  <si>
    <t xml:space="preserve">Pasar de la tipología de cada bloque a metas físicas, costos de inversión, O&amp;M y flujos a precios privados y sociales con fórmulas vivas y trazables.</t>
  </si>
  <si>
    <t xml:space="preserve">CADENA DE CÁLCULO</t>
  </si>
  <si>
    <t xml:space="preserve">BLOQUES (SIG) → tipología (grupo × degradación) → PAQUETES (coeficientes) → CALCULO (metas y costos) ← CU_COMP ← PARTIDAS ← APU_BASE (ANIN actualizado) → OYM → FLUJO → RESUMEN.</t>
  </si>
  <si>
    <t xml:space="preserve">CONVENCIONES</t>
  </si>
  <si>
    <t xml:space="preserve">Texto azul sobre fondo amarillo = supuesto o dato editable. Texto negro = fórmula. Verde = vínculo a otra hoja. "POR DEFINIR / POR DETERMINAR" = dato faltante; no se inventan valores.</t>
  </si>
  <si>
    <t xml:space="preserve">TIPOLOGÍAS</t>
  </si>
  <si>
    <t xml:space="preserve">Grupo dominante por superficie: BES, ANDINO (matorral andino + páramo + relicto montano) o MOSAICO (zona agrícola MINAM). Degradación ALTA si ≥ 50 % del bloque está bajo el umbral MSAVI 0.4976 (DN 1–3).</t>
  </si>
  <si>
    <t xml:space="preserve">MODALIDADES</t>
  </si>
  <si>
    <t xml:space="preserve">R1 = plantación plena (MSAVI DN 1–2); R2 = enriquecimiento (DN 3); C = protección (DN 4–5, cerco). Marrón: zanjas (BES/ANDINO) o terrazas (MOSAICO) en celdas R1/R2 con PMM alto o muy alto (DN 4–5).</t>
  </si>
  <si>
    <t xml:space="preserve">PRECIOS</t>
  </si>
  <si>
    <t xml:space="preserve">Base ANIN (S10, 10/12/2020, Lima). MO: jornal rural S/ 100/día (peón); capataz, operario y oficial mantienen la relación ANIN. Materiales, equipos y servicios: factor IPC Lima dic-2020 → set-2026 (BCRP PN01272PM). Plantón: producción en vivero propio (ficha ANIN algarrobo).</t>
  </si>
  <si>
    <t xml:space="preserve">FLETE</t>
  </si>
  <si>
    <t xml:space="preserve">Rural: metodología Sierra Azul (40 kg por viaje, 5/8 km/h, 8 min, 95 %) con distancia media de acarreo SIG a vía motorizable (vecinal MTC + trocha carrozable MTC). Terrestre: solo insumos; el transporte de plantones ≤ 20 km está en el APU 04.01.02.</t>
  </si>
  <si>
    <t xml:space="preserve">EVALUACIÓN</t>
  </si>
  <si>
    <t xml:space="preserve">TSD 8 %, FC MO no calificada Sierra 0.42, MO calificada 0.79, bienes ÷ 1.18, divisa 1.08 y carbono US$ 30/tCO2e (MEF, Anexo 11, act. 27-03-2024). Costo-beneficio: beneficios POR DETERMINAR; mientras tanto se reporta costo-efectividad.</t>
  </si>
  <si>
    <t xml:space="preserve">FUENTES SIG</t>
  </si>
  <si>
    <t xml:space="preserve">Relación de bloques V6 – versión normalizada (Bloques_V7_Normalizado.xlsx, corte 09/10/2026): 117 bloques (M6B2 en 3 partes), 12 270.235 ha; geometría del KMZ B6 (se excluyen los polígonos 74 y 75, ausentes en la relación normalizada). MSAVI vectorizado V6 (38 988 polígonos). Peligro por movimientos en masa (239 462 polígonos, DN 1–5). Intersección Bloques V6 × ecosistemas MINAM. Red vial vecinal MTC (dic-2018) y trochas MTC (2026).</t>
  </si>
  <si>
    <t xml:space="preserve">FUENTES DE COSTOS</t>
  </si>
  <si>
    <t xml:space="preserve">ANIN – Fichas de infraestructura natural: reforestación con producción de plantones, zanjas de infiltración, terrazas de formación lenta, control de cárcavas (ANEXOS 05–11). Fondo Sierra Azul – Chacaya (planilla de metrados y flete) y Marachanca (calendario valorizado).</t>
  </si>
  <si>
    <t xml:space="preserve">VALIDACIÓN</t>
  </si>
  <si>
    <t xml:space="preserve">APU ANIN: Σ parciales = CU en 126 partidas y 19 subpartidas; presupuestos reconstruidos = CD reportado (reforestación 8 254 042.50; zanjas 4 977 678.14; terrazas 14 076 518.93; cárcavas 9 954 031.83). Control en PARTIDAS!G (CU 2020 recalculado).</t>
  </si>
  <si>
    <t xml:space="preserve">LIMITACIONES v1</t>
  </si>
  <si>
    <t xml:space="preserve">Coeficientes de densidad, espaciamiento de zanjas/terrazas, cerco y años de O&amp;M son supuestos referenciales a calibrar con el piloto. La distancia de acarreo es en línea recta (factor de sinuosidad 1.0). No incluye viveros permanentes/temporales como infraestructura separada (el costo del plantón ya amortiza el vivero ANIN), gobernanza ni gestión del proyecto.</t>
  </si>
  <si>
    <t xml:space="preserve">PROYECTO IN PIURA – CUI 2669244 · Parámetros globales del motor</t>
  </si>
  <si>
    <t xml:space="preserve">Celdas en azul con fondo amarillo = supuestos editables. Fuente indicada en cada fila. Precios base ANIN: 10/12/2020 (Lima).</t>
  </si>
  <si>
    <t xml:space="preserve">Nombre</t>
  </si>
  <si>
    <t xml:space="preserve">Parámetro</t>
  </si>
  <si>
    <t xml:space="preserve">Valor</t>
  </si>
  <si>
    <t xml:space="preserve">Fuente / nota</t>
  </si>
  <si>
    <t xml:space="preserve">Categoría MO</t>
  </si>
  <si>
    <t xml:space="preserve">hh ANIN 2020 (S/)</t>
  </si>
  <si>
    <t xml:space="preserve">Ratio vs peón</t>
  </si>
  <si>
    <t xml:space="preserve">hh actualizado (S/)</t>
  </si>
  <si>
    <t xml:space="preserve">MANO DE OBRA Y PRECIOS</t>
  </si>
  <si>
    <t xml:space="preserve">CAPATAZ</t>
  </si>
  <si>
    <t xml:space="preserve">P_JORNAL</t>
  </si>
  <si>
    <t xml:space="preserve">Jornal diario de mano de obra rural – peón (Administración Directa)</t>
  </si>
  <si>
    <t xml:space="preserve">S/ / día</t>
  </si>
  <si>
    <t xml:space="preserve">Fijado por el Ing. H. S. Cahuas Miller (18-oct-2026): S/ 100 por jornal rural (reemplaza S/ 120).</t>
  </si>
  <si>
    <t xml:space="preserve">OPERARIO</t>
  </si>
  <si>
    <t xml:space="preserve">P_HORAS</t>
  </si>
  <si>
    <t xml:space="preserve">Horas efectivas por jornada</t>
  </si>
  <si>
    <t xml:space="preserve">h / día</t>
  </si>
  <si>
    <t xml:space="preserve">Jornada estándar de 8 h (supuesto de cálculo de hh).</t>
  </si>
  <si>
    <t xml:space="preserve">OFICIAL</t>
  </si>
  <si>
    <t xml:space="preserve">P_HH_PEON</t>
  </si>
  <si>
    <t xml:space="preserve">Costo hora-hombre peón</t>
  </si>
  <si>
    <t xml:space="preserve">S/ / hh</t>
  </si>
  <si>
    <t xml:space="preserve">Cálculo.</t>
  </si>
  <si>
    <t xml:space="preserve">PEON</t>
  </si>
  <si>
    <t xml:space="preserve">P_FACT_IPC</t>
  </si>
  <si>
    <t xml:space="preserve">Factor de actualización dic-2020 → set-2026 (materiales, equipos, servicios)</t>
  </si>
  <si>
    <t xml:space="preserve">factor</t>
  </si>
  <si>
    <t xml:space="preserve">IPC Lima Metropolitana, var. % acumulada anual (BCRP, serie PN01272PM). Tabla en G13:I20.</t>
  </si>
  <si>
    <t xml:space="preserve">Supuesto: se mantiene la estructura salarial relativa de ANIN 2020; el peón se fija en S/ 100/día (jornal rural).</t>
  </si>
  <si>
    <t xml:space="preserve">P_TC</t>
  </si>
  <si>
    <t xml:space="preserve">Tipo de cambio referencial</t>
  </si>
  <si>
    <t xml:space="preserve">S/ / US$</t>
  </si>
  <si>
    <t xml:space="preserve">Estándar del proyecto IN Piura.</t>
  </si>
  <si>
    <t xml:space="preserve">P_IGV</t>
  </si>
  <si>
    <t xml:space="preserve">IGV</t>
  </si>
  <si>
    <t xml:space="preserve">Tasa vigente.</t>
  </si>
  <si>
    <t xml:space="preserve">PLANTACIÓN Y MANEJO (EJECUCIÓN)</t>
  </si>
  <si>
    <t xml:space="preserve">Año</t>
  </si>
  <si>
    <t xml:space="preserve">IPC Lima – var. % acumulada a diciembre</t>
  </si>
  <si>
    <t xml:space="preserve">Factor</t>
  </si>
  <si>
    <t xml:space="preserve">P_RECALCE</t>
  </si>
  <si>
    <t xml:space="preserve">Recalce (reposición por mortalidad) en ejecución</t>
  </si>
  <si>
    <t xml:space="preserve">% de plantas</t>
  </si>
  <si>
    <t xml:space="preserve">ANIN reforestación: 65 000 recalces / 650 000 plantas.</t>
  </si>
  <si>
    <t xml:space="preserve">2021</t>
  </si>
  <si>
    <t xml:space="preserve">P_RIEGOS</t>
  </si>
  <si>
    <t xml:space="preserve">Riegos manuales de establecimiento por planta</t>
  </si>
  <si>
    <t xml:space="preserve">riegos</t>
  </si>
  <si>
    <t xml:space="preserve">ANIN reforestación: 1 950 000 riegos / 650 000 plantas.</t>
  </si>
  <si>
    <t xml:space="preserve">2022</t>
  </si>
  <si>
    <t xml:space="preserve">P_DESHIERBES</t>
  </si>
  <si>
    <t xml:space="preserve">Deshierbes manuales por ha en ejecución</t>
  </si>
  <si>
    <t xml:space="preserve">veces</t>
  </si>
  <si>
    <t xml:space="preserve">ANIN reforestación: 4 000 ha-deshierbe / 1 000 ha.</t>
  </si>
  <si>
    <t xml:space="preserve">2023</t>
  </si>
  <si>
    <t xml:space="preserve">P_PESO_PLANTON</t>
  </si>
  <si>
    <t xml:space="preserve">Peso de plantón en bolsa</t>
  </si>
  <si>
    <t xml:space="preserve">kg / und</t>
  </si>
  <si>
    <t xml:space="preserve">Sierra Azul – Flete Chacaya (reforestación).</t>
  </si>
  <si>
    <t xml:space="preserve">2024</t>
  </si>
  <si>
    <t xml:space="preserve">P_PESO_INS</t>
  </si>
  <si>
    <t xml:space="preserve">Insumos de plantación por planta (humus, guano, fosfato, hidrogel)</t>
  </si>
  <si>
    <t xml:space="preserve">kg / planta</t>
  </si>
  <si>
    <t xml:space="preserve">APU ANIN 04.01.04: 0.10 + 0.03 + 0.02 + 0.02 kg.</t>
  </si>
  <si>
    <t xml:space="preserve">2025</t>
  </si>
  <si>
    <t xml:space="preserve">FLETE (metodología Sierra Azul)</t>
  </si>
  <si>
    <t xml:space="preserve">2026 (ene–set)</t>
  </si>
  <si>
    <t xml:space="preserve">P_CARGA</t>
  </si>
  <si>
    <t xml:space="preserve">Carga por viaje en flete rural (a pie / acémila)</t>
  </si>
  <si>
    <t xml:space="preserve">kg / viaje</t>
  </si>
  <si>
    <t xml:space="preserve">Sierra Azul – Flete Chacaya.</t>
  </si>
  <si>
    <t xml:space="preserve">Fuente: BCRPData, serie PN01272PM (consulta 18-oct-2026).</t>
  </si>
  <si>
    <t xml:space="preserve">P_VIDA</t>
  </si>
  <si>
    <t xml:space="preserve">Velocidad de ida cargado</t>
  </si>
  <si>
    <t xml:space="preserve">km / h</t>
  </si>
  <si>
    <t xml:space="preserve">P_VVUELTA</t>
  </si>
  <si>
    <t xml:space="preserve">Velocidad de vuelta</t>
  </si>
  <si>
    <t xml:space="preserve">P_TCD</t>
  </si>
  <si>
    <t xml:space="preserve">Tiempo de carguío + descarga</t>
  </si>
  <si>
    <t xml:space="preserve">min / viaje</t>
  </si>
  <si>
    <t xml:space="preserve">Sierra Azul – Flete Chacaya (4 + 4 min).</t>
  </si>
  <si>
    <t xml:space="preserve">P_EFIC</t>
  </si>
  <si>
    <t xml:space="preserve">Eficiencia de la jornada</t>
  </si>
  <si>
    <t xml:space="preserve">P_SINUOS</t>
  </si>
  <si>
    <t xml:space="preserve">Factor de sinuosidad del acarreo (distancia SIG en línea recta)</t>
  </si>
  <si>
    <t xml:space="preserve">SUPUESTO: 1.0 = sin ajuste. Calibrar con tracks GPS de campo.</t>
  </si>
  <si>
    <t xml:space="preserve">P_FT_VIAJE</t>
  </si>
  <si>
    <t xml:space="preserve">Flete terrestre por viaje de volquete</t>
  </si>
  <si>
    <t xml:space="preserve">S/ / viaje</t>
  </si>
  <si>
    <t xml:space="preserve">Sierra Azul – Flete Chacaya (referencia; ruta corta). Plantones: transporte incluido en APU 04.01.02 (≤ 20 km).</t>
  </si>
  <si>
    <t xml:space="preserve">P_FT_CAP</t>
  </si>
  <si>
    <t xml:space="preserve">Capacidad efectiva del volquete</t>
  </si>
  <si>
    <t xml:space="preserve">P_FT_KG</t>
  </si>
  <si>
    <t xml:space="preserve">Flete terrestre por kg de insumo</t>
  </si>
  <si>
    <t xml:space="preserve">S/ / kg</t>
  </si>
  <si>
    <t xml:space="preserve">Cálculo (actualizado con IPC).</t>
  </si>
  <si>
    <t xml:space="preserve">COSTOS INDIRECTOS (sobre costo directo)</t>
  </si>
  <si>
    <t xml:space="preserve">P_GG</t>
  </si>
  <si>
    <t xml:space="preserve">Gastos generales y obras provisionales</t>
  </si>
  <si>
    <t xml:space="preserve">% del CD</t>
  </si>
  <si>
    <t xml:space="preserve">Referencia ANIN reforestación: GG 1 244 490.96 / CD 8 254 042.50. DEFINIR para Administración Directa.</t>
  </si>
  <si>
    <t xml:space="preserve">P_SUP</t>
  </si>
  <si>
    <t xml:space="preserve">Supervisión de la ejecución</t>
  </si>
  <si>
    <t xml:space="preserve">POR DEFINIR (0 % mientras no se fije).</t>
  </si>
  <si>
    <t xml:space="preserve">P_ET</t>
  </si>
  <si>
    <t xml:space="preserve">Expediente técnico / estudios definitivos</t>
  </si>
  <si>
    <t xml:space="preserve">P_UMBRAL</t>
  </si>
  <si>
    <t xml:space="preserve">Umbral MSAVI de degradación (referencial)</t>
  </si>
  <si>
    <t xml:space="preserve">MSAVI</t>
  </si>
  <si>
    <t xml:space="preserve">Estándar del proyecto (20-sep-2026). DN 1–3 &lt; 0.4976 ≤ DN 4–5.</t>
  </si>
  <si>
    <t xml:space="preserve">P_CORTE</t>
  </si>
  <si>
    <t xml:space="preserve">Corte de degradación ALTA (% del bloque bajo el umbral)</t>
  </si>
  <si>
    <t xml:space="preserve">Propuesto y aceptado en sesión (18-oct-2026); calibrable.</t>
  </si>
  <si>
    <t xml:space="preserve">P_PMM_MARRON</t>
  </si>
  <si>
    <t xml:space="preserve">Clase PMM mínima que activa el paquete marrón</t>
  </si>
  <si>
    <t xml:space="preserve">DN</t>
  </si>
  <si>
    <t xml:space="preserve">Decisión de sesión: PMM alto o muy alto (DN 4–5) sobre MSAVI DN 1–3.</t>
  </si>
  <si>
    <t xml:space="preserve">EVALUACIÓN SOCIAL (Anexo 11 Invierte.pe, act. 27-03-2024)</t>
  </si>
  <si>
    <t xml:space="preserve">P_TSD</t>
  </si>
  <si>
    <t xml:space="preserve">Tasa social de descuento (años 1–20)</t>
  </si>
  <si>
    <t xml:space="preserve">MEF, Anexo 11 – Parámetros de evaluación social. TSD-LP (5.5 %) solo desde el año 21.</t>
  </si>
  <si>
    <t xml:space="preserve">P_FC_MONC</t>
  </si>
  <si>
    <t xml:space="preserve">Factor de corrección MO no calificada – Sierra</t>
  </si>
  <si>
    <t xml:space="preserve">MEF, Anexo 11, Tabla 03.</t>
  </si>
  <si>
    <t xml:space="preserve">P_FC_MOC</t>
  </si>
  <si>
    <t xml:space="preserve">Factor de corrección MO calificada – Sierra</t>
  </si>
  <si>
    <t xml:space="preserve">P_FC_BIEN</t>
  </si>
  <si>
    <t xml:space="preserve">Factor de corrección bienes y servicios nacionales</t>
  </si>
  <si>
    <t xml:space="preserve">Precio social = precio de mercado sin IGV.</t>
  </si>
  <si>
    <t xml:space="preserve">P_FCD</t>
  </si>
  <si>
    <t xml:space="preserve">Factor de corrección de la divisa</t>
  </si>
  <si>
    <t xml:space="preserve">MEF, Anexo 11, Tabla 04.</t>
  </si>
  <si>
    <t xml:space="preserve">P_PSC</t>
  </si>
  <si>
    <t xml:space="preserve">Precio social del carbono</t>
  </si>
  <si>
    <t xml:space="preserve">US$ / tCO2e</t>
  </si>
  <si>
    <t xml:space="preserve">MEF, Anexo 11, Tabla 07.</t>
  </si>
  <si>
    <t xml:space="preserve">HORIZONTE Y CRONOGRAMA</t>
  </si>
  <si>
    <t xml:space="preserve">P_ANIOS_EJ</t>
  </si>
  <si>
    <t xml:space="preserve">Años de ejecución</t>
  </si>
  <si>
    <t xml:space="preserve">años</t>
  </si>
  <si>
    <t xml:space="preserve">Estructura del proyecto IN Piura.</t>
  </si>
  <si>
    <t xml:space="preserve">P_ANIOS_OM</t>
  </si>
  <si>
    <t xml:space="preserve">Años de operación y mantenimiento</t>
  </si>
  <si>
    <t xml:space="preserve">P_TECHO</t>
  </si>
  <si>
    <t xml:space="preserve">Presupuesto total de la inversión (techo de referencia)</t>
  </si>
  <si>
    <t xml:space="preserve">Incluye preinversión, ET, ejecución (5 años) y O&amp;M (15 años).</t>
  </si>
  <si>
    <t xml:space="preserve">REFERENCIAS ANIN PARA GG (no editar)</t>
  </si>
  <si>
    <t xml:space="preserve">ANIN reforestación – Costo directo</t>
  </si>
  <si>
    <t xml:space="preserve">ANEXO 06 REFORESTACIÓN – presupuesto cliente (ANIN, 10/12/2020).</t>
  </si>
  <si>
    <t xml:space="preserve">ANIN reforestación – Gastos generales</t>
  </si>
  <si>
    <t xml:space="preserve">PROYECTO IN PIURA – CUI 2669244 · Análisis de precios unitarios – base ANIN y actualización</t>
  </si>
  <si>
    <t xml:space="preserve">Fuente: ANIN, Fichas de proyectos de infraestructura natural (S10, presupuesto 10/12/2020, Lima). Columnas P–R recalculan con PARAMETROS (jornal rural S/ 100 y factor IPC).</t>
  </si>
  <si>
    <t xml:space="preserve">Clave</t>
  </si>
  <si>
    <t xml:space="preserve">Tipo</t>
  </si>
  <si>
    <t xml:space="preserve">Item</t>
  </si>
  <si>
    <t xml:space="preserve">Partida</t>
  </si>
  <si>
    <t xml:space="preserve">Und partida</t>
  </si>
  <si>
    <t xml:space="preserve">CU 2020 ANIN</t>
  </si>
  <si>
    <t xml:space="preserve">Sección</t>
  </si>
  <si>
    <t xml:space="preserve">Código</t>
  </si>
  <si>
    <t xml:space="preserve">Recurso</t>
  </si>
  <si>
    <t xml:space="preserve">Und</t>
  </si>
  <si>
    <t xml:space="preserve">Cuadrilla</t>
  </si>
  <si>
    <t xml:space="preserve">Cantidad</t>
  </si>
  <si>
    <t xml:space="preserve">Precio 2020</t>
  </si>
  <si>
    <t xml:space="preserve">Parcial 2020</t>
  </si>
  <si>
    <t xml:space="preserve">Cat. MO</t>
  </si>
  <si>
    <t xml:space="preserve">Precio actualizado</t>
  </si>
  <si>
    <t xml:space="preserve">Parcial actualizado</t>
  </si>
  <si>
    <t xml:space="preserve">Base MO (para %mo)</t>
  </si>
  <si>
    <t xml:space="preserve">CARCAVAS|01.01</t>
  </si>
  <si>
    <t xml:space="preserve">CARCAVAS</t>
  </si>
  <si>
    <t xml:space="preserve">01.01</t>
  </si>
  <si>
    <t xml:space="preserve">MOVILIZACION Y DESMOVILIZACION PARA CARCAVAS</t>
  </si>
  <si>
    <t xml:space="preserve">m3</t>
  </si>
  <si>
    <t xml:space="preserve">SC</t>
  </si>
  <si>
    <t xml:space="preserve">0402010005</t>
  </si>
  <si>
    <t xml:space="preserve">SC MOVILIZACION Y DESMOVILIZACION PARA CARCAVAS</t>
  </si>
  <si>
    <t xml:space="preserve">glb</t>
  </si>
  <si>
    <t xml:space="preserve">CARCAVAS|01.02</t>
  </si>
  <si>
    <t xml:space="preserve">01.02</t>
  </si>
  <si>
    <t xml:space="preserve">CONSTRUCCION DE TROCHA CARROZABLE DE ACCESO</t>
  </si>
  <si>
    <t xml:space="preserve">MO</t>
  </si>
  <si>
    <t xml:space="preserve">0101010002</t>
  </si>
  <si>
    <t xml:space="preserve">hh</t>
  </si>
  <si>
    <t xml:space="preserve">C</t>
  </si>
  <si>
    <t xml:space="preserve">0101010004</t>
  </si>
  <si>
    <t xml:space="preserve">0101010005</t>
  </si>
  <si>
    <t xml:space="preserve">NC</t>
  </si>
  <si>
    <t xml:space="preserve">EQ</t>
  </si>
  <si>
    <t xml:space="preserve">03011600010003</t>
  </si>
  <si>
    <t xml:space="preserve">CARGADOR SOBRE LLANTAS DE 125-135 HP 3 yd3</t>
  </si>
  <si>
    <t xml:space="preserve">hm</t>
  </si>
  <si>
    <t xml:space="preserve">0301190003</t>
  </si>
  <si>
    <t xml:space="preserve">RODILLO VIBRATORIO LISO AUTOPROPULSADO 101-135 HP, 10-12 TN</t>
  </si>
  <si>
    <t xml:space="preserve">03012000010001</t>
  </si>
  <si>
    <t xml:space="preserve">MOTONIVELADORA 130 - 135 HP</t>
  </si>
  <si>
    <t xml:space="preserve">03012200040006</t>
  </si>
  <si>
    <t xml:space="preserve">CAMION VOLQUETE 6X4, 330 HP DE 10 m3</t>
  </si>
  <si>
    <t xml:space="preserve">03012200050001</t>
  </si>
  <si>
    <t xml:space="preserve">CAMION CISTERNA (2,500 GLNS.)</t>
  </si>
  <si>
    <t xml:space="preserve">CARCAVAS|01.03</t>
  </si>
  <si>
    <t xml:space="preserve">01.03</t>
  </si>
  <si>
    <t xml:space="preserve">MEJORAMIENTO DE TROCHA CARROZABLE DE ACCESO</t>
  </si>
  <si>
    <t xml:space="preserve">CARCAVAS|01.04</t>
  </si>
  <si>
    <t xml:space="preserve">01.04</t>
  </si>
  <si>
    <t xml:space="preserve">TRAZO, NIVELACION Y REPLANTEO POR KILOMETRO</t>
  </si>
  <si>
    <t xml:space="preserve">0101010003</t>
  </si>
  <si>
    <t xml:space="preserve">MAT</t>
  </si>
  <si>
    <t xml:space="preserve">02130300010001</t>
  </si>
  <si>
    <t xml:space="preserve">YESO BOLSA 28 kg</t>
  </si>
  <si>
    <t xml:space="preserve">bol</t>
  </si>
  <si>
    <t xml:space="preserve">0213030003</t>
  </si>
  <si>
    <t xml:space="preserve">CORDEL</t>
  </si>
  <si>
    <t xml:space="preserve">rll</t>
  </si>
  <si>
    <t xml:space="preserve">0231040002</t>
  </si>
  <si>
    <t xml:space="preserve">ESTACAS DE MADERA</t>
  </si>
  <si>
    <t xml:space="preserve">p2</t>
  </si>
  <si>
    <t xml:space="preserve">0240020001</t>
  </si>
  <si>
    <t xml:space="preserve">PINTURA ESMALTE</t>
  </si>
  <si>
    <t xml:space="preserve">gal</t>
  </si>
  <si>
    <t xml:space="preserve">03010000020002</t>
  </si>
  <si>
    <t xml:space="preserve">NIVEL TOPOGRAFICO</t>
  </si>
  <si>
    <t xml:space="preserve">he</t>
  </si>
  <si>
    <t xml:space="preserve">0301000020</t>
  </si>
  <si>
    <t xml:space="preserve">ESTACION TOTAL</t>
  </si>
  <si>
    <t xml:space="preserve">0301000021</t>
  </si>
  <si>
    <t xml:space="preserve">MIRAS Y JALONES</t>
  </si>
  <si>
    <t xml:space="preserve">0301010006</t>
  </si>
  <si>
    <t xml:space="preserve">HERRAMIENTAS MANUALES</t>
  </si>
  <si>
    <t xml:space="preserve">%mo</t>
  </si>
  <si>
    <t xml:space="preserve">CARCAVAS|01.05</t>
  </si>
  <si>
    <t xml:space="preserve">01.05</t>
  </si>
  <si>
    <t xml:space="preserve">LIMPIEZA MANUAL DE TERRENO</t>
  </si>
  <si>
    <t xml:space="preserve">CARCAVAS|01.06</t>
  </si>
  <si>
    <t xml:space="preserve">01.06</t>
  </si>
  <si>
    <t xml:space="preserve">SENSIBILIZACION A LA POBLACION EN CARCAVAS</t>
  </si>
  <si>
    <t xml:space="preserve">0103010014</t>
  </si>
  <si>
    <t xml:space="preserve">INGENIERO ESPECIALISTA EN DIQUES PARA CONTROL DE CARCAVAS</t>
  </si>
  <si>
    <t xml:space="preserve">CARCAVAS|02.01</t>
  </si>
  <si>
    <t xml:space="preserve">02.01</t>
  </si>
  <si>
    <t xml:space="preserve">CAMPAMENTO PROVISIONAL DE OBRA Y ALMACENES</t>
  </si>
  <si>
    <t xml:space="preserve">m2</t>
  </si>
  <si>
    <t xml:space="preserve">04020100020004</t>
  </si>
  <si>
    <t xml:space="preserve">SC MUROS Y COLUMNAS DE MADERA TORNILLO O SIMILAR</t>
  </si>
  <si>
    <t xml:space="preserve">04020100020005</t>
  </si>
  <si>
    <t xml:space="preserve">SC TECHOS DE CALAMINA METALICA, FIBROCEMENTO SOBRE VIGERIA METALICA</t>
  </si>
  <si>
    <t xml:space="preserve">04020100020006</t>
  </si>
  <si>
    <t xml:space="preserve">SC LOSETA VINILICA, CEMENTO BRUÑADO COLOREADO, TAPIZON</t>
  </si>
  <si>
    <t xml:space="preserve">04020100020007</t>
  </si>
  <si>
    <t xml:space="preserve">SC PUERTAS Y VENTANAS, VENTANAS DE FIERRO O ALUMINIO INDUSTRIAL, PUERTA CONTRAPLACADA DE MADERA, DMF O HDF, VIDRIO</t>
  </si>
  <si>
    <t xml:space="preserve">04020100020008</t>
  </si>
  <si>
    <t xml:space="preserve">SC REVESTIMIENTOS, PINTADO EN LADRILLO O RUSTICO, PLACA DE CONCRETO O SIMILAR</t>
  </si>
  <si>
    <t xml:space="preserve">04020100020009</t>
  </si>
  <si>
    <t xml:space="preserve">SC BAÑOS COMPLETOS NACIONALES CON MAYOLICA BLANCA</t>
  </si>
  <si>
    <t xml:space="preserve">04020100020010</t>
  </si>
  <si>
    <t xml:space="preserve">SC INSTALACIONES ELECTRICAS Y SANITARIA, AGUA FRIA, AGUA CALIENTE, CORRIENTE MONOFASICA, TELEFONO, GAS NATURAL</t>
  </si>
  <si>
    <t xml:space="preserve">CARCAVAS|02.02</t>
  </si>
  <si>
    <t xml:space="preserve">02.02</t>
  </si>
  <si>
    <t xml:space="preserve">CARTEL DE OBRA 4.80 X 3.60 M CON GIGANTOGRAFIA</t>
  </si>
  <si>
    <t xml:space="preserve">0204120001</t>
  </si>
  <si>
    <t xml:space="preserve">CLAVOS PARA MADERA CON CABEZA</t>
  </si>
  <si>
    <t xml:space="preserve">kg</t>
  </si>
  <si>
    <t xml:space="preserve">0213010001</t>
  </si>
  <si>
    <t xml:space="preserve">CEMENTO PORTLAND TIPO I (42.5 kg)</t>
  </si>
  <si>
    <t xml:space="preserve">0231010002</t>
  </si>
  <si>
    <t xml:space="preserve">MADERA TORNILLO PARA ENCOFRADOS INCLUYE CORTE</t>
  </si>
  <si>
    <t xml:space="preserve">0271050081</t>
  </si>
  <si>
    <t xml:space="preserve">PERNO DE ACERO 1/2" INC./TUERCA Y ARANDELA</t>
  </si>
  <si>
    <t xml:space="preserve">0425010010</t>
  </si>
  <si>
    <t xml:space="preserve">SC SUBCONTRATO DE CONFECCION DE GIGANTOGRAFIA 4 .80X3.60 M</t>
  </si>
  <si>
    <t xml:space="preserve">SUBPART</t>
  </si>
  <si>
    <t xml:space="preserve">011002010134</t>
  </si>
  <si>
    <t xml:space="preserve">ARENA PUESTA EN OBRA</t>
  </si>
  <si>
    <t xml:space="preserve">CARCAVAS|03.01.01</t>
  </si>
  <si>
    <t xml:space="preserve">03.01.01</t>
  </si>
  <si>
    <t xml:space="preserve">PEINADO DE CARCAVAS</t>
  </si>
  <si>
    <t xml:space="preserve">CARCAVAS|03.01.02</t>
  </si>
  <si>
    <t xml:space="preserve">03.01.02</t>
  </si>
  <si>
    <t xml:space="preserve">EXCAVACION MANUAL EN MATERIAL SUELTO</t>
  </si>
  <si>
    <t xml:space="preserve">CARCAVAS|03.01.03</t>
  </si>
  <si>
    <t xml:space="preserve">03.01.03</t>
  </si>
  <si>
    <t xml:space="preserve">NIVELACION Y COMPACTACION MANUAL DE TERRENO</t>
  </si>
  <si>
    <t xml:space="preserve">0301100001</t>
  </si>
  <si>
    <t xml:space="preserve">COMPACTADORA VIBRATORIA TIPO PLANCHA 7 HP</t>
  </si>
  <si>
    <t xml:space="preserve">CARCAVAS|03.01.04</t>
  </si>
  <si>
    <t xml:space="preserve">03.01.04</t>
  </si>
  <si>
    <t xml:space="preserve">COLOCACION DE PIEDRA CANTEADA</t>
  </si>
  <si>
    <t xml:space="preserve">011002010210</t>
  </si>
  <si>
    <t xml:space="preserve">PIEDRA CANTEADA PUESTA EN OBRA DIA. MAX. 12"</t>
  </si>
  <si>
    <t xml:space="preserve">CARCAVAS|03.02.01</t>
  </si>
  <si>
    <t xml:space="preserve">03.02.01</t>
  </si>
  <si>
    <t xml:space="preserve">APERTURA DE HOYOS 0.30x0.30x0.30 M. PARA ESQUEJES</t>
  </si>
  <si>
    <t xml:space="preserve">CARCAVAS|03.02.02</t>
  </si>
  <si>
    <t xml:space="preserve">03.02.02</t>
  </si>
  <si>
    <t xml:space="preserve">SELECCION Y CORTE DE ESQUEJES PARA REVEGETACION</t>
  </si>
  <si>
    <t xml:space="preserve">02070500010007</t>
  </si>
  <si>
    <t xml:space="preserve">GUANO DE ISLA</t>
  </si>
  <si>
    <t xml:space="preserve">02901100020006</t>
  </si>
  <si>
    <t xml:space="preserve">BOLSA PLASTICA DE POLIETILENO DE 4"X7"</t>
  </si>
  <si>
    <t xml:space="preserve">011002010124</t>
  </si>
  <si>
    <t xml:space="preserve">TIERRA DE CULTIVO</t>
  </si>
  <si>
    <t xml:space="preserve">CARCAVAS|03.02.03</t>
  </si>
  <si>
    <t xml:space="preserve">03.02.03</t>
  </si>
  <si>
    <t xml:space="preserve">TRANSPORTE DE ESQUEJES HASTA 15 KM</t>
  </si>
  <si>
    <t xml:space="preserve">03012200070001</t>
  </si>
  <si>
    <t xml:space="preserve">CAMION BARANDA (4TN)</t>
  </si>
  <si>
    <t xml:space="preserve">CARCAVAS|03.02.04</t>
  </si>
  <si>
    <t xml:space="preserve">03.02.04</t>
  </si>
  <si>
    <t xml:space="preserve">TRATAMIENTO CON HORMONA ENRAIZADORA</t>
  </si>
  <si>
    <t xml:space="preserve">02070500010010</t>
  </si>
  <si>
    <t xml:space="preserve">HORMONA ENRAIZADORA</t>
  </si>
  <si>
    <t xml:space="preserve">l</t>
  </si>
  <si>
    <t xml:space="preserve">CARCAVAS|03.02.05</t>
  </si>
  <si>
    <t xml:space="preserve">03.02.05</t>
  </si>
  <si>
    <t xml:space="preserve">RIEGO MANUAL EN CAMA DE ALMACIGO/REPIQUE</t>
  </si>
  <si>
    <t xml:space="preserve">011002010133</t>
  </si>
  <si>
    <t xml:space="preserve">AGUA PUESTA EN OBRA HASTA 10 KM</t>
  </si>
  <si>
    <t xml:space="preserve">CARCAVAS|03.02.06</t>
  </si>
  <si>
    <t xml:space="preserve">03.02.06</t>
  </si>
  <si>
    <t xml:space="preserve">APLICACION Y SIEMBRA DE ESQUEJES</t>
  </si>
  <si>
    <t xml:space="preserve">CARCAVAS|03.02.07</t>
  </si>
  <si>
    <t xml:space="preserve">03.02.07</t>
  </si>
  <si>
    <t xml:space="preserve">RIEGO MANUAL CON BALDE</t>
  </si>
  <si>
    <t xml:space="preserve">0254030002</t>
  </si>
  <si>
    <t xml:space="preserve">MANGUERA PARA AGUA 2.5"</t>
  </si>
  <si>
    <t xml:space="preserve">02903200090008</t>
  </si>
  <si>
    <t xml:space="preserve">BALDE PLASTICO PARA AGUA SIN TAPA 5 gl</t>
  </si>
  <si>
    <t xml:space="preserve">pza</t>
  </si>
  <si>
    <t xml:space="preserve">03013100010003</t>
  </si>
  <si>
    <t xml:space="preserve">CONTENEDOR DE AGUA 5 M3</t>
  </si>
  <si>
    <t xml:space="preserve">CARCAVAS|04.01.01</t>
  </si>
  <si>
    <t xml:space="preserve">04.01.01</t>
  </si>
  <si>
    <t xml:space="preserve">CARCAVAS|04.01.02</t>
  </si>
  <si>
    <t xml:space="preserve">04.01.02</t>
  </si>
  <si>
    <t xml:space="preserve">CARCAVAS|04.01.03</t>
  </si>
  <si>
    <t xml:space="preserve">04.01.03</t>
  </si>
  <si>
    <t xml:space="preserve">CARCAVAS|04.01.04</t>
  </si>
  <si>
    <t xml:space="preserve">04.01.04</t>
  </si>
  <si>
    <t xml:space="preserve">MAMPOSTERIA DE PIEDRA CANTEADA CON CONCRETO F'C=140 KG/CM2</t>
  </si>
  <si>
    <t xml:space="preserve">011002010217</t>
  </si>
  <si>
    <t xml:space="preserve">CONCRETO F'C=140 KG/CM2 C/ MEZCLADORA DE TROMPO</t>
  </si>
  <si>
    <t xml:space="preserve">CARCAVAS|04.02.01</t>
  </si>
  <si>
    <t xml:space="preserve">04.02.01</t>
  </si>
  <si>
    <t xml:space="preserve">CARCAVAS|04.02.02</t>
  </si>
  <si>
    <t xml:space="preserve">04.02.02</t>
  </si>
  <si>
    <t xml:space="preserve">CARCAVAS|04.02.03</t>
  </si>
  <si>
    <t xml:space="preserve">04.02.03</t>
  </si>
  <si>
    <t xml:space="preserve">CARCAVAS|04.02.04</t>
  </si>
  <si>
    <t xml:space="preserve">04.02.04</t>
  </si>
  <si>
    <t xml:space="preserve">CARCAVAS|04.02.05</t>
  </si>
  <si>
    <t xml:space="preserve">04.02.05</t>
  </si>
  <si>
    <t xml:space="preserve">CARCAVAS|04.02.06</t>
  </si>
  <si>
    <t xml:space="preserve">04.02.06</t>
  </si>
  <si>
    <t xml:space="preserve">CARCAVAS|04.02.07</t>
  </si>
  <si>
    <t xml:space="preserve">04.02.07</t>
  </si>
  <si>
    <t xml:space="preserve">CARCAVAS|05.01.01</t>
  </si>
  <si>
    <t xml:space="preserve">05.01.01</t>
  </si>
  <si>
    <t xml:space="preserve">CARCAVAS|05.01.02</t>
  </si>
  <si>
    <t xml:space="preserve">05.01.02</t>
  </si>
  <si>
    <t xml:space="preserve">CARCAVAS|05.01.03</t>
  </si>
  <si>
    <t xml:space="preserve">05.01.03</t>
  </si>
  <si>
    <t xml:space="preserve">CARCAVAS|05.01.04</t>
  </si>
  <si>
    <t xml:space="preserve">05.01.04</t>
  </si>
  <si>
    <t xml:space="preserve">COLOCACION DE SACOS DE ARENA DE POLIESTIRENO</t>
  </si>
  <si>
    <t xml:space="preserve">0267100013</t>
  </si>
  <si>
    <t xml:space="preserve">SACOS DE POLIETILENO 53x90 cm.</t>
  </si>
  <si>
    <t xml:space="preserve">011002010193</t>
  </si>
  <si>
    <t xml:space="preserve">ARENA ZARANDEADA</t>
  </si>
  <si>
    <t xml:space="preserve">CARCAVAS|05.02.01</t>
  </si>
  <si>
    <t xml:space="preserve">05.02.01</t>
  </si>
  <si>
    <t xml:space="preserve">CARCAVAS|05.02.02</t>
  </si>
  <si>
    <t xml:space="preserve">05.02.02</t>
  </si>
  <si>
    <t xml:space="preserve">CARCAVAS|05.02.03</t>
  </si>
  <si>
    <t xml:space="preserve">05.02.03</t>
  </si>
  <si>
    <t xml:space="preserve">CARCAVAS|05.02.04</t>
  </si>
  <si>
    <t xml:space="preserve">05.02.04</t>
  </si>
  <si>
    <t xml:space="preserve">CARCAVAS|05.02.05</t>
  </si>
  <si>
    <t xml:space="preserve">05.02.05</t>
  </si>
  <si>
    <t xml:space="preserve">CARCAVAS|05.02.06</t>
  </si>
  <si>
    <t xml:space="preserve">05.02.06</t>
  </si>
  <si>
    <t xml:space="preserve">CARCAVAS|05.02.07</t>
  </si>
  <si>
    <t xml:space="preserve">05.02.07</t>
  </si>
  <si>
    <t xml:space="preserve">REFORESTACION|01.01</t>
  </si>
  <si>
    <t xml:space="preserve">REFORESTACION</t>
  </si>
  <si>
    <t xml:space="preserve">MOVILIZACION Y DESMOVILIZACION PARA REFORESTACION</t>
  </si>
  <si>
    <t xml:space="preserve">0402010003</t>
  </si>
  <si>
    <t xml:space="preserve">SC MOVILIZACION Y DESMOVILIZACION PARA REFORESTACION</t>
  </si>
  <si>
    <t xml:space="preserve">REFORESTACION|01.02</t>
  </si>
  <si>
    <t xml:space="preserve">REFORESTACION|01.03</t>
  </si>
  <si>
    <t xml:space="preserve">REFORESTACION|01.04</t>
  </si>
  <si>
    <t xml:space="preserve">TRAZO, NIVELACION Y REPLANTEO POR HECTAREA</t>
  </si>
  <si>
    <t xml:space="preserve">REFORESTACION|01.05</t>
  </si>
  <si>
    <t xml:space="preserve">REFORESTACION|01.06</t>
  </si>
  <si>
    <t xml:space="preserve">SENSIBILIZACION A LA POBLACION EN REFORESTACION</t>
  </si>
  <si>
    <t xml:space="preserve">eve</t>
  </si>
  <si>
    <t xml:space="preserve">0103010013</t>
  </si>
  <si>
    <t xml:space="preserve">INGENIERO AGRONOMO O FORESTAL</t>
  </si>
  <si>
    <t xml:space="preserve">REFORESTACION|02.01.01</t>
  </si>
  <si>
    <t xml:space="preserve">02.01.01</t>
  </si>
  <si>
    <t xml:space="preserve">REFORESTACION|02.01.02</t>
  </si>
  <si>
    <t xml:space="preserve">02.01.02</t>
  </si>
  <si>
    <t xml:space="preserve">CARTEL DE OBRA 4.80x3.60 M. CON GIGANTOGRAFIA</t>
  </si>
  <si>
    <t xml:space="preserve">REFORESTACION|02.02.01</t>
  </si>
  <si>
    <t xml:space="preserve">02.02.01</t>
  </si>
  <si>
    <t xml:space="preserve">REFORESTACION|02.02.02</t>
  </si>
  <si>
    <t xml:space="preserve">02.02.02</t>
  </si>
  <si>
    <t xml:space="preserve">CERCO PERIMETRICO DE ALAMBRE DE PUAS</t>
  </si>
  <si>
    <t xml:space="preserve">011002010110</t>
  </si>
  <si>
    <t xml:space="preserve">011002010143</t>
  </si>
  <si>
    <t xml:space="preserve">CONCRETO CICLOPEO F'C=140 KG/CM2 + 30% DE PM C/MEZCLADORA DE TROMPO</t>
  </si>
  <si>
    <t xml:space="preserve">011002010157</t>
  </si>
  <si>
    <t xml:space="preserve">POSTE ROLLIZO DE 4"x3.00 M. PARA COBERTURA EXTERIOR</t>
  </si>
  <si>
    <t xml:space="preserve">011002010162</t>
  </si>
  <si>
    <t xml:space="preserve">ALAMBRE DE PUA GALVANIZADO</t>
  </si>
  <si>
    <t xml:space="preserve">011002010204</t>
  </si>
  <si>
    <t xml:space="preserve">PUERTA CERCO PERIMETRICO 1.50X2.40 M.</t>
  </si>
  <si>
    <t xml:space="preserve">REFORESTACION|02.02.03</t>
  </si>
  <si>
    <t xml:space="preserve">02.02.03</t>
  </si>
  <si>
    <t xml:space="preserve">POSTE ROLLIZO DE 3"x3.00 M. PARA COBERTURA INTERIOR</t>
  </si>
  <si>
    <t xml:space="preserve">02630100010005</t>
  </si>
  <si>
    <t xml:space="preserve">POSTE ROLLIZO DE 3' x 3.00 m</t>
  </si>
  <si>
    <t xml:space="preserve">REFORESTACION|02.02.04</t>
  </si>
  <si>
    <t xml:space="preserve">02.02.04</t>
  </si>
  <si>
    <t xml:space="preserve">MALLA RASHEL A 50% DE SOMBRA</t>
  </si>
  <si>
    <t xml:space="preserve">0210030002</t>
  </si>
  <si>
    <t xml:space="preserve">MALLA RASCHEL</t>
  </si>
  <si>
    <t xml:space="preserve">0210030004</t>
  </si>
  <si>
    <t xml:space="preserve">CORDEL RASCHEL</t>
  </si>
  <si>
    <t xml:space="preserve">0292010004</t>
  </si>
  <si>
    <t xml:space="preserve">CAPUCHAS PARA POSTES</t>
  </si>
  <si>
    <t xml:space="preserve">REFORESTACION|02.02.05</t>
  </si>
  <si>
    <t xml:space="preserve">02.02.05</t>
  </si>
  <si>
    <t xml:space="preserve">ALAMBRE N°08 PARA SOSTENIMIENTO DE MALLA RASHEL</t>
  </si>
  <si>
    <t xml:space="preserve">02040100030001</t>
  </si>
  <si>
    <t xml:space="preserve">ALAMBRE GALVANIZADO N° 8</t>
  </si>
  <si>
    <t xml:space="preserve">REFORESTACION|02.02.06</t>
  </si>
  <si>
    <t xml:space="preserve">02.02.06</t>
  </si>
  <si>
    <t xml:space="preserve">0204010006</t>
  </si>
  <si>
    <t xml:space="preserve">ALAMBRE DE PUAS</t>
  </si>
  <si>
    <t xml:space="preserve">0292010006</t>
  </si>
  <si>
    <t xml:space="preserve">GRAPA MALLA 3/4" x 14"</t>
  </si>
  <si>
    <t xml:space="preserve">REFORESTACION|02.02.07</t>
  </si>
  <si>
    <t xml:space="preserve">02.02.07</t>
  </si>
  <si>
    <t xml:space="preserve">PUERTA DE INGRESO DE VIVERO</t>
  </si>
  <si>
    <t xml:space="preserve">0292010005</t>
  </si>
  <si>
    <t xml:space="preserve">CALAMINA METALICA GALVANIZADA DE 1.83x0.83x0.14mm</t>
  </si>
  <si>
    <t xml:space="preserve">REFORESTACION|02.02.08</t>
  </si>
  <si>
    <t xml:space="preserve">02.02.08</t>
  </si>
  <si>
    <t xml:space="preserve">CONSTRUCCION DE CAMAS DE REPIQUE</t>
  </si>
  <si>
    <t xml:space="preserve">REFORESTACION|02.02.09</t>
  </si>
  <si>
    <t xml:space="preserve">02.02.09</t>
  </si>
  <si>
    <t xml:space="preserve">INSTALACIONES SANITARIAS PARA VIVEROS</t>
  </si>
  <si>
    <t xml:space="preserve">04020100020011</t>
  </si>
  <si>
    <t xml:space="preserve">SC INSTALACIONES SANITARIAS PAREA VIVERO INC/ACCESORIOS</t>
  </si>
  <si>
    <t xml:space="preserve">REFORESTACION|02.02.10</t>
  </si>
  <si>
    <t xml:space="preserve">02.02.10</t>
  </si>
  <si>
    <t xml:space="preserve">AREA DE CARGA Y DESCARGA</t>
  </si>
  <si>
    <t xml:space="preserve">0267110002</t>
  </si>
  <si>
    <t xml:space="preserve">CONO DE SEÑALIZACION NARANJA  DE 28" DE ALTURA</t>
  </si>
  <si>
    <t xml:space="preserve">011002010113</t>
  </si>
  <si>
    <t xml:space="preserve">REFORESTACION|02.03.01</t>
  </si>
  <si>
    <t xml:space="preserve">02.03.01</t>
  </si>
  <si>
    <t xml:space="preserve">CONSTRUCCION DE CAMAS DE ALMACIGO</t>
  </si>
  <si>
    <t xml:space="preserve">REFORESTACION|02.03.02</t>
  </si>
  <si>
    <t xml:space="preserve">02.03.02</t>
  </si>
  <si>
    <t xml:space="preserve">TINGLADO DE CARRIZO</t>
  </si>
  <si>
    <t xml:space="preserve">0231000002</t>
  </si>
  <si>
    <t xml:space="preserve">CARRIZO</t>
  </si>
  <si>
    <t xml:space="preserve">REFORESTACION|03.01.01</t>
  </si>
  <si>
    <t xml:space="preserve">PREPARACION DE SUSTRATO PARA ALMACIGO</t>
  </si>
  <si>
    <t xml:space="preserve">02070500010005</t>
  </si>
  <si>
    <t xml:space="preserve">TURBA</t>
  </si>
  <si>
    <t xml:space="preserve">REFORESTACION|03.01.02</t>
  </si>
  <si>
    <t xml:space="preserve">DESINFECCION DE SUSTRATO PARA ALMACIGO MEDIANTE EXTENDIDO</t>
  </si>
  <si>
    <t xml:space="preserve">011002010197</t>
  </si>
  <si>
    <t xml:space="preserve">AGUA CALIENTE PARA DESINFECCION</t>
  </si>
  <si>
    <t xml:space="preserve">REFORESTACION|03.01.03</t>
  </si>
  <si>
    <t xml:space="preserve">EXTENDIDO DE BASE PARA SUSTRATO DE ALMACIGO E=6.00 cm.</t>
  </si>
  <si>
    <t xml:space="preserve">REFORESTACION|03.01.04</t>
  </si>
  <si>
    <t xml:space="preserve">ALMACIGO DE ALGARROBO</t>
  </si>
  <si>
    <t xml:space="preserve">0291010010</t>
  </si>
  <si>
    <t xml:space="preserve">SEMILLAS DE ALGARROBO CERTIFICADA</t>
  </si>
  <si>
    <t xml:space="preserve">REFORESTACION|03.01.05</t>
  </si>
  <si>
    <t xml:space="preserve">03.01.05</t>
  </si>
  <si>
    <t xml:space="preserve">REFORESTACION|03.02.01</t>
  </si>
  <si>
    <t xml:space="preserve">PREPARACION DEL SUSTRATO PARA REPIQUE</t>
  </si>
  <si>
    <t xml:space="preserve">REFORESTACION|03.02.02</t>
  </si>
  <si>
    <t xml:space="preserve">EMBOLSADO Y ENFILADO DE BOLSAS PLASTICAS DE 4"x7"</t>
  </si>
  <si>
    <t xml:space="preserve">REFORESTACION|03.02.03</t>
  </si>
  <si>
    <t xml:space="preserve">SELECCION Y REPIQUE DE PLANTULAS</t>
  </si>
  <si>
    <t xml:space="preserve">REFORESTACION|03.02.04</t>
  </si>
  <si>
    <t xml:space="preserve">DESHIERBE EN CAMAS REPICADAS EN BOLSAS</t>
  </si>
  <si>
    <t xml:space="preserve">REFORESTACION|03.02.05</t>
  </si>
  <si>
    <t xml:space="preserve">REMOCION Y PODA DE RAIZ EN BOLSAS</t>
  </si>
  <si>
    <t xml:space="preserve">REFORESTACION|03.02.06</t>
  </si>
  <si>
    <t xml:space="preserve">REFORESTACION|04.01.01</t>
  </si>
  <si>
    <t xml:space="preserve">APERTURA DE HOYOS DE 0.30x0.30x0.30 M. PARA PLANTONES</t>
  </si>
  <si>
    <t xml:space="preserve">REFORESTACION|04.01.02</t>
  </si>
  <si>
    <t xml:space="preserve">TRANSPORTE DE PLANTONES HASTA 20 KM</t>
  </si>
  <si>
    <t xml:space="preserve">REFORESTACION|04.01.03</t>
  </si>
  <si>
    <t xml:space="preserve">CONTROL SANITARIO PREVIO A PLANTACION</t>
  </si>
  <si>
    <t xml:space="preserve">0290130024</t>
  </si>
  <si>
    <t xml:space="preserve">INSECTICIDAS METAMIDOPHOS</t>
  </si>
  <si>
    <t xml:space="preserve">03013600010002</t>
  </si>
  <si>
    <t xml:space="preserve">MOCHILA AGRICOLA 20 LT.</t>
  </si>
  <si>
    <t xml:space="preserve">REFORESTACION|04.01.04</t>
  </si>
  <si>
    <t xml:space="preserve">PLANTACION DE ALGARROBOS</t>
  </si>
  <si>
    <t xml:space="preserve">02070500010006</t>
  </si>
  <si>
    <t xml:space="preserve">HUMUS DE LOMBRIZ</t>
  </si>
  <si>
    <t xml:space="preserve">0207050004</t>
  </si>
  <si>
    <t xml:space="preserve">FOSFATO DIAMONICO</t>
  </si>
  <si>
    <t xml:space="preserve">0207050005</t>
  </si>
  <si>
    <t xml:space="preserve">HIDROGEL</t>
  </si>
  <si>
    <t xml:space="preserve">REFORESTACION|04.01.05</t>
  </si>
  <si>
    <t xml:space="preserve">04.01.05</t>
  </si>
  <si>
    <t xml:space="preserve">TRANSPORTE DE PERSONAL EN CAMION BARANDA HASTA 16 KM</t>
  </si>
  <si>
    <t xml:space="preserve">REFORESTACION|04.02.01</t>
  </si>
  <si>
    <t xml:space="preserve">CONTROL DE PLAGAS Y ENFERMEDADES P/PLANTONES</t>
  </si>
  <si>
    <t xml:space="preserve">0290130022</t>
  </si>
  <si>
    <t xml:space="preserve">FUNGICIDA CUPRICO</t>
  </si>
  <si>
    <t xml:space="preserve">0290130023</t>
  </si>
  <si>
    <t xml:space="preserve">FUNGICIDA SISTEMICO</t>
  </si>
  <si>
    <t xml:space="preserve">REFORESTACION|04.02.02</t>
  </si>
  <si>
    <t xml:space="preserve">REFORESTACION|04.02.03</t>
  </si>
  <si>
    <t xml:space="preserve">DESHIERBE MANUAL EN AREAS REFORESTADAS</t>
  </si>
  <si>
    <t xml:space="preserve">REFORESTACION|04.02.04</t>
  </si>
  <si>
    <t xml:space="preserve">RECALCE DE PLANTONES DE ALGARROBO</t>
  </si>
  <si>
    <t xml:space="preserve">011002010175</t>
  </si>
  <si>
    <t xml:space="preserve">REFORESTACION|04.02.05</t>
  </si>
  <si>
    <t xml:space="preserve">TERRAZAS|01.01</t>
  </si>
  <si>
    <t xml:space="preserve">TERRAZAS</t>
  </si>
  <si>
    <t xml:space="preserve">MOVILIZACION Y DESMOVILIZACION PARA TERRAZAS</t>
  </si>
  <si>
    <t xml:space="preserve">0402010006</t>
  </si>
  <si>
    <t xml:space="preserve">SC MOVILIZACION Y DESMOVILIZACION PARA TERRAZAS</t>
  </si>
  <si>
    <t xml:space="preserve">TERRAZAS|01.02</t>
  </si>
  <si>
    <t xml:space="preserve">TERRAZAS|01.03</t>
  </si>
  <si>
    <t xml:space="preserve">TERRAZAS|01.04</t>
  </si>
  <si>
    <t xml:space="preserve">TERRAZAS|01.05</t>
  </si>
  <si>
    <t xml:space="preserve">TERRAZAS|01.06</t>
  </si>
  <si>
    <t xml:space="preserve">SENSIBILIZACION A LA POBLACION EN TERRAZAS DE FORMACION LENTA</t>
  </si>
  <si>
    <t xml:space="preserve">0103010015</t>
  </si>
  <si>
    <t xml:space="preserve">INGENIERO ESPECIALISTA EN TERRAZAS DE FORMACION LENTA</t>
  </si>
  <si>
    <t xml:space="preserve">TERRAZAS|02.01</t>
  </si>
  <si>
    <t xml:space="preserve">TERRAZAS|02.02</t>
  </si>
  <si>
    <t xml:space="preserve">TERRAZAS|03.01.01</t>
  </si>
  <si>
    <t xml:space="preserve">EXCAVACION MANUAL PARA CONFORMACION DE TERRAZAS EN MATERIAL SUELTO</t>
  </si>
  <si>
    <t xml:space="preserve">TERRAZAS|03.01.02</t>
  </si>
  <si>
    <t xml:space="preserve">RELLENO COMPACTADO CON MATERIAL PROPIO</t>
  </si>
  <si>
    <t xml:space="preserve">0301400005</t>
  </si>
  <si>
    <t xml:space="preserve">ZARANDA MANUAL</t>
  </si>
  <si>
    <t xml:space="preserve">TERRAZAS|03.01.03</t>
  </si>
  <si>
    <t xml:space="preserve">PIRCADO CON PIEDRA, DIA. PROM. 12" PARA CONFORMACION TERRAZAS</t>
  </si>
  <si>
    <t xml:space="preserve">011002010220</t>
  </si>
  <si>
    <t xml:space="preserve">PIEDRA PUESTA EN OBRA, DIA. MAX 12"</t>
  </si>
  <si>
    <t xml:space="preserve">TERRAZAS|03.01.04</t>
  </si>
  <si>
    <t xml:space="preserve">ELIMINACION MANUAL DE DESMONTE DIST. PROM. 0.5 KM</t>
  </si>
  <si>
    <t xml:space="preserve">TERRAZAS|03.02.01</t>
  </si>
  <si>
    <t xml:space="preserve">VOLTEO Y GRADEO MANUAL DE TERRENO</t>
  </si>
  <si>
    <t xml:space="preserve">TERRAZAS|03.02.02</t>
  </si>
  <si>
    <t xml:space="preserve">SIEMBRA AL VOLEO CON CHILLIWA</t>
  </si>
  <si>
    <t xml:space="preserve">0240180008</t>
  </si>
  <si>
    <t xml:space="preserve">BALDE DE 5 GALONES</t>
  </si>
  <si>
    <t xml:space="preserve">0267100012</t>
  </si>
  <si>
    <t xml:space="preserve">SACOS DE YUTE</t>
  </si>
  <si>
    <t xml:space="preserve">0291010006</t>
  </si>
  <si>
    <t xml:space="preserve">SEMILLAS DE CHILLIWA</t>
  </si>
  <si>
    <t xml:space="preserve">TERRAZAS|03.02.03</t>
  </si>
  <si>
    <t xml:space="preserve">RIEGO POR GRAVEDAD CON CISTERNA</t>
  </si>
  <si>
    <t xml:space="preserve">0254030003</t>
  </si>
  <si>
    <t xml:space="preserve">MANGUERA PARA AGUA 4"</t>
  </si>
  <si>
    <t xml:space="preserve">TERRAZAS|03.03.01</t>
  </si>
  <si>
    <t xml:space="preserve">03.03.01</t>
  </si>
  <si>
    <t xml:space="preserve">TERRAZAS|03.03.02</t>
  </si>
  <si>
    <t xml:space="preserve">03.03.02</t>
  </si>
  <si>
    <t xml:space="preserve">SELECCION Y CORTE DE ESQUEJES DE IRU ICHU</t>
  </si>
  <si>
    <t xml:space="preserve">TERRAZAS|03.03.03</t>
  </si>
  <si>
    <t xml:space="preserve">03.03.03</t>
  </si>
  <si>
    <t xml:space="preserve">TERRAZAS|03.03.04</t>
  </si>
  <si>
    <t xml:space="preserve">03.03.04</t>
  </si>
  <si>
    <t xml:space="preserve">TERRAZAS|03.03.05</t>
  </si>
  <si>
    <t xml:space="preserve">03.03.05</t>
  </si>
  <si>
    <t xml:space="preserve">TERRAZAS|03.03.06</t>
  </si>
  <si>
    <t xml:space="preserve">03.03.06</t>
  </si>
  <si>
    <t xml:space="preserve">TERRAZAS|03.03.07</t>
  </si>
  <si>
    <t xml:space="preserve">03.03.07</t>
  </si>
  <si>
    <t xml:space="preserve">ZANJAS|01.01</t>
  </si>
  <si>
    <t xml:space="preserve">ZANJAS</t>
  </si>
  <si>
    <t xml:space="preserve">MOVILIZACION Y DESMOVILIZACION PARA ZAJAS DE INFILTRACION</t>
  </si>
  <si>
    <t xml:space="preserve">0402010007</t>
  </si>
  <si>
    <t xml:space="preserve">SC MOVILIZACION Y DESMOVILIZACION PARA ZANJAS DE INFILTRACION</t>
  </si>
  <si>
    <t xml:space="preserve">ZANJAS|01.02</t>
  </si>
  <si>
    <t xml:space="preserve">ZANJAS|01.03</t>
  </si>
  <si>
    <t xml:space="preserve">ZANJAS|01.04</t>
  </si>
  <si>
    <t xml:space="preserve">ZANJAS|01.05</t>
  </si>
  <si>
    <t xml:space="preserve">ZANJAS|01.06</t>
  </si>
  <si>
    <t xml:space="preserve">SENSIBILIZACION A LA POBLACION EN ZANJAS DE INFILTRACION</t>
  </si>
  <si>
    <t xml:space="preserve">0103010016</t>
  </si>
  <si>
    <t xml:space="preserve">INGENIERO ESPECIALISTA EN ZANJAS DE INFILTRACION</t>
  </si>
  <si>
    <t xml:space="preserve">ZANJAS|02.01</t>
  </si>
  <si>
    <t xml:space="preserve">ZANJAS|02.02</t>
  </si>
  <si>
    <t xml:space="preserve">ZANJAS|03.01.01</t>
  </si>
  <si>
    <t xml:space="preserve">APERTURA MANUAL DE ZANJAS DE 0.40x0.30 M. EN MATERIAL SUELTO</t>
  </si>
  <si>
    <t xml:space="preserve">ZANJAS|03.01.02</t>
  </si>
  <si>
    <t xml:space="preserve">PERFILADO MANUAL DE TALUDES</t>
  </si>
  <si>
    <t xml:space="preserve">ZANJAS|03.01.03</t>
  </si>
  <si>
    <t xml:space="preserve">CONFORMACION DEL CAMELLON</t>
  </si>
  <si>
    <t xml:space="preserve">ZANJAS|03.01.04</t>
  </si>
  <si>
    <t xml:space="preserve">ZANJAS|03.02.01</t>
  </si>
  <si>
    <t xml:space="preserve">ZANJAS|03.02.02</t>
  </si>
  <si>
    <t xml:space="preserve">ZANJAS|03.02.03</t>
  </si>
  <si>
    <t xml:space="preserve">ZANJAS|03.03.01</t>
  </si>
  <si>
    <t xml:space="preserve">ZANJAS|03.03.02</t>
  </si>
  <si>
    <t xml:space="preserve">ZANJAS|03.03.03</t>
  </si>
  <si>
    <t xml:space="preserve">ZANJAS|03.03.04</t>
  </si>
  <si>
    <t xml:space="preserve">ZANJAS|03.03.05</t>
  </si>
  <si>
    <t xml:space="preserve">ZANJAS|03.03.06</t>
  </si>
  <si>
    <t xml:space="preserve">ZANJAS|03.03.07</t>
  </si>
  <si>
    <t xml:space="preserve">CARCAVAS_SUB|011002010124-1003001-01</t>
  </si>
  <si>
    <t xml:space="preserve">CARCAVAS_SUB</t>
  </si>
  <si>
    <t xml:space="preserve">011002010124-1003001-01</t>
  </si>
  <si>
    <t xml:space="preserve">011002010153</t>
  </si>
  <si>
    <t xml:space="preserve">EXTRACCION Y APILAMIENTO DE TIERRA DE CULTIVO</t>
  </si>
  <si>
    <t xml:space="preserve">011002010154</t>
  </si>
  <si>
    <t xml:space="preserve">CARGUIO Y TRANSPORTE DE TIERRA DE CULTIVO HASTA 10 KM</t>
  </si>
  <si>
    <t xml:space="preserve">CARCAVAS_SUB|011002010133-1003001-01</t>
  </si>
  <si>
    <t xml:space="preserve">011002010133-1003001-01</t>
  </si>
  <si>
    <t xml:space="preserve">03010400030004</t>
  </si>
  <si>
    <t xml:space="preserve">MOTOBOMBA DE 4" (12 HP)</t>
  </si>
  <si>
    <t xml:space="preserve">CARCAVAS_SUB|011002010134-1003001-01</t>
  </si>
  <si>
    <t xml:space="preserve">011002010134-1003001-01</t>
  </si>
  <si>
    <t xml:space="preserve">011002010135</t>
  </si>
  <si>
    <t xml:space="preserve">EXTRACCION Y APILAMIENTO DE MATERIAL GRAVO ARENOSO ARCILLOSO</t>
  </si>
  <si>
    <t xml:space="preserve">011002010139</t>
  </si>
  <si>
    <t xml:space="preserve">CARGUIO Y TRANSPORTE DE MATERIAL ARENOSO HASTA 40 KM</t>
  </si>
  <si>
    <t xml:space="preserve">CARCAVAS_SUB|011002010135-1003001-01</t>
  </si>
  <si>
    <t xml:space="preserve">011002010135-1003001-01</t>
  </si>
  <si>
    <t xml:space="preserve">0301400004</t>
  </si>
  <si>
    <t xml:space="preserve">ZARANDA MECANICA</t>
  </si>
  <si>
    <t xml:space="preserve">03011700010001</t>
  </si>
  <si>
    <t xml:space="preserve">EXCAVADORA SOBRE ORUGAS 115-165 HP</t>
  </si>
  <si>
    <t xml:space="preserve">03011800020004</t>
  </si>
  <si>
    <t xml:space="preserve">TRACTOR DE ORUGAS DE 140-160 HP</t>
  </si>
  <si>
    <t xml:space="preserve">CARCAVAS_SUB|011002010139-1003001-01</t>
  </si>
  <si>
    <t xml:space="preserve">011002010139-1003001-01</t>
  </si>
  <si>
    <t xml:space="preserve">CARCAVAS_SUB|011002010153-1003001-01</t>
  </si>
  <si>
    <t xml:space="preserve">011002010153-1003001-01</t>
  </si>
  <si>
    <t xml:space="preserve">CARCAVAS_SUB|011002010154-1003001-01</t>
  </si>
  <si>
    <t xml:space="preserve">011002010154-1003001-01</t>
  </si>
  <si>
    <t xml:space="preserve">CARCAVAS_SUB|011002010193-1003001-01</t>
  </si>
  <si>
    <t xml:space="preserve">011002010193-1003001-01</t>
  </si>
  <si>
    <t xml:space="preserve">CARCAVAS_SUB|011002010210-1003001-01</t>
  </si>
  <si>
    <t xml:space="preserve">011002010210-1003001-01</t>
  </si>
  <si>
    <t xml:space="preserve">011002010212</t>
  </si>
  <si>
    <t xml:space="preserve">CARGUIO Y TRANSPORTE DE PIEDRA DIA. MAX. 12" HASTA 5 KM</t>
  </si>
  <si>
    <t xml:space="preserve">011002010216</t>
  </si>
  <si>
    <t xml:space="preserve">CANTEO MANUAL DE PIEDRA DIA. MAX. 12"</t>
  </si>
  <si>
    <t xml:space="preserve">011002010211</t>
  </si>
  <si>
    <t xml:space="preserve">RECOLECCION Y ACOPIO MANUAL DE PIEDRA DE 12"</t>
  </si>
  <si>
    <t xml:space="preserve">CARCAVAS_SUB|011002010211-1003001-01</t>
  </si>
  <si>
    <t xml:space="preserve">011002010211-1003001-01</t>
  </si>
  <si>
    <t xml:space="preserve">CARCAVAS_SUB|011002010212-1003001-01</t>
  </si>
  <si>
    <t xml:space="preserve">011002010212-1003001-01</t>
  </si>
  <si>
    <t xml:space="preserve">CARCAVAS_SUB|011002010216-1003001-01</t>
  </si>
  <si>
    <t xml:space="preserve">011002010216-1003001-01</t>
  </si>
  <si>
    <t xml:space="preserve">CARCAVAS_SUB|011002010217-1003001-01</t>
  </si>
  <si>
    <t xml:space="preserve">011002010217-1003001-01</t>
  </si>
  <si>
    <t xml:space="preserve">03012900030002</t>
  </si>
  <si>
    <t xml:space="preserve">MEZCLADORA DE TROMPO 9 P3 (8 HP)</t>
  </si>
  <si>
    <t xml:space="preserve">REFORESTACION_SUB|011002010110-1003001-01</t>
  </si>
  <si>
    <t xml:space="preserve">REFORESTACION_SUB</t>
  </si>
  <si>
    <t xml:space="preserve">011002010110-1003001-01</t>
  </si>
  <si>
    <t xml:space="preserve">REFORESTACION_SUB|011002010113-1003001-01</t>
  </si>
  <si>
    <t xml:space="preserve">011002010113-1003001-01</t>
  </si>
  <si>
    <t xml:space="preserve">REFORESTACION_SUB|011002010124-1003001-01</t>
  </si>
  <si>
    <t xml:space="preserve">REFORESTACION_SUB|011002010133-1003001-01</t>
  </si>
  <si>
    <t xml:space="preserve">REFORESTACION_SUB|011002010134-1003001-01</t>
  </si>
  <si>
    <t xml:space="preserve">REFORESTACION_SUB|011002010135-1003001-01</t>
  </si>
  <si>
    <t xml:space="preserve">REFORESTACION_SUB|011002010139-1003001-01</t>
  </si>
  <si>
    <t xml:space="preserve">REFORESTACION_SUB|011002010143-1003001-01</t>
  </si>
  <si>
    <t xml:space="preserve">011002010143-1003001-01</t>
  </si>
  <si>
    <t xml:space="preserve">REFORESTACION_SUB|011002010153-1003001-01</t>
  </si>
  <si>
    <t xml:space="preserve">REFORESTACION_SUB|011002010154-1003001-01</t>
  </si>
  <si>
    <t xml:space="preserve">REFORESTACION_SUB|011002010157-1003001-01</t>
  </si>
  <si>
    <t xml:space="preserve">011002010157-1003001-01</t>
  </si>
  <si>
    <t xml:space="preserve">02630100010003</t>
  </si>
  <si>
    <t xml:space="preserve">POSTE ROLLIZO DE 4' x 3.00 m</t>
  </si>
  <si>
    <t xml:space="preserve">REFORESTACION_SUB|011002010162-1003001-01</t>
  </si>
  <si>
    <t xml:space="preserve">011002010162-1003001-01</t>
  </si>
  <si>
    <t xml:space="preserve">REFORESTACION_SUB|011002010175-1003001-01</t>
  </si>
  <si>
    <t xml:space="preserve">011002010175-1003001-01</t>
  </si>
  <si>
    <t xml:space="preserve">REFORESTACION_SUB|011002010193-1003001-01</t>
  </si>
  <si>
    <t xml:space="preserve">REFORESTACION_SUB|011002010197-1003001-01</t>
  </si>
  <si>
    <t xml:space="preserve">011002010197-1003001-01</t>
  </si>
  <si>
    <t xml:space="preserve">0301390009</t>
  </si>
  <si>
    <t xml:space="preserve">CALENTADOR DE AGUA A GAS</t>
  </si>
  <si>
    <t xml:space="preserve">REFORESTACION_SUB|011002010204-1003001-01</t>
  </si>
  <si>
    <t xml:space="preserve">011002010204-1003001-01</t>
  </si>
  <si>
    <t xml:space="preserve">0237060002</t>
  </si>
  <si>
    <t xml:space="preserve">BISAGRA CAPUCHINA DE ACERO INOXIDABLE</t>
  </si>
  <si>
    <t xml:space="preserve">par</t>
  </si>
  <si>
    <t xml:space="preserve">REFORESTACION_SUB|011002010211-1003001-01</t>
  </si>
  <si>
    <t xml:space="preserve">REFORESTACION_SUB|011002010212-1003001-01</t>
  </si>
  <si>
    <t xml:space="preserve">REFORESTACION_SUB|011002010220-1003001-01</t>
  </si>
  <si>
    <t xml:space="preserve">011002010220-1003001-01</t>
  </si>
  <si>
    <t xml:space="preserve">TERRAZAS_SUB|011002010124-1003001-01</t>
  </si>
  <si>
    <t xml:space="preserve">TERRAZAS_SUB</t>
  </si>
  <si>
    <t xml:space="preserve">TERRAZAS_SUB|011002010133-1003001-01</t>
  </si>
  <si>
    <t xml:space="preserve">TERRAZAS_SUB|011002010134-1003001-01</t>
  </si>
  <si>
    <t xml:space="preserve">TERRAZAS_SUB|011002010135-1003001-01</t>
  </si>
  <si>
    <t xml:space="preserve">TERRAZAS_SUB|011002010139-1003001-01</t>
  </si>
  <si>
    <t xml:space="preserve">TERRAZAS_SUB|011002010153-1003001-01</t>
  </si>
  <si>
    <t xml:space="preserve">TERRAZAS_SUB|011002010154-1003001-01</t>
  </si>
  <si>
    <t xml:space="preserve">TERRAZAS_SUB|011002010211-1003001-01</t>
  </si>
  <si>
    <t xml:space="preserve">TERRAZAS_SUB|011002010212-1003001-01</t>
  </si>
  <si>
    <t xml:space="preserve">TERRAZAS_SUB|011002010220-1003001-01</t>
  </si>
  <si>
    <t xml:space="preserve">PROYECTO IN PIURA – CUI 2669244 · Subpartidas de catálogo (lookup por código)</t>
  </si>
  <si>
    <t xml:space="preserve">Una fila por código de subpartida; el CU actualizado se toma de la primera definición encontrada en APU_BASE.</t>
  </si>
  <si>
    <t xml:space="preserve">Subpartida</t>
  </si>
  <si>
    <t xml:space="preserve">CU actualizado</t>
  </si>
  <si>
    <t xml:space="preserve">Clave usada</t>
  </si>
  <si>
    <t xml:space="preserve">PROYECTO IN PIURA – CUI 2669244 · Costos unitarios por partida (2020 vs. actualizado) y desagregación para precios sociales</t>
  </si>
  <si>
    <t xml:space="preserve">CU actualizado = Σ parcial actualizado de APU_BASE. MO NC = peón; MO C = capataz, operario, oficial e ingeniería.</t>
  </si>
  <si>
    <t xml:space="preserve">CU 2020 recalculado (control)</t>
  </si>
  <si>
    <t xml:space="preserve">MO no calificada</t>
  </si>
  <si>
    <t xml:space="preserve">MO calificada</t>
  </si>
  <si>
    <t xml:space="preserve">Bienes, equipos y servicios</t>
  </si>
  <si>
    <t xml:space="preserve">Variación vs 2020</t>
  </si>
  <si>
    <t xml:space="preserve">PROYECTO IN PIURA – CUI 2669244 · Costos unitarios compuestos del paquete tecnológico</t>
  </si>
  <si>
    <t xml:space="preserve">Coeficientes = metrado ANIN ÷ meta base ANIN (trazables). Costo = coeficiente × CU actualizado de PARTIDAS.</t>
  </si>
  <si>
    <t xml:space="preserve">Grupo</t>
  </si>
  <si>
    <t xml:space="preserve">Clave partida</t>
  </si>
  <si>
    <t xml:space="preserve">Metrado ANIN</t>
  </si>
  <si>
    <t xml:space="preserve">Base ANIN</t>
  </si>
  <si>
    <t xml:space="preserve">Coeficiente por unidad</t>
  </si>
  <si>
    <t xml:space="preserve">Costo por unidad</t>
  </si>
  <si>
    <t xml:space="preserve">Bienes y servicios</t>
  </si>
  <si>
    <t xml:space="preserve">PLANTON</t>
  </si>
  <si>
    <t xml:space="preserve">PLANTA</t>
  </si>
  <si>
    <t xml:space="preserve">HA</t>
  </si>
  <si>
    <t xml:space="preserve">CERCO</t>
  </si>
  <si>
    <t xml:space="preserve">ZANJA</t>
  </si>
  <si>
    <t xml:space="preserve">TERRAZA</t>
  </si>
  <si>
    <t xml:space="preserve">CARCAVA</t>
  </si>
  <si>
    <t xml:space="preserve">Compuesto</t>
  </si>
  <si>
    <t xml:space="preserve">Costo unitario</t>
  </si>
  <si>
    <t xml:space="preserve">CU_PLANTON</t>
  </si>
  <si>
    <t xml:space="preserve">S/ por plantón producido en vivero propio (ANIN: 650 000 plantones; infraestructura de vivero amortizada en una campaña)</t>
  </si>
  <si>
    <t xml:space="preserve">CU_PLANTA</t>
  </si>
  <si>
    <t xml:space="preserve">S/ por planta instalada (sin plantón)</t>
  </si>
  <si>
    <t xml:space="preserve">CU_HA</t>
  </si>
  <si>
    <t xml:space="preserve">S/ por ha plantada (R1 + R2)</t>
  </si>
  <si>
    <t xml:space="preserve">CU_CERCO</t>
  </si>
  <si>
    <t xml:space="preserve">S/ por m de cerco</t>
  </si>
  <si>
    <t xml:space="preserve">CU_ZANJA</t>
  </si>
  <si>
    <t xml:space="preserve">S/ por km de zanja de infiltración (0.40 × 0.30 m; ANIN: 360 km)</t>
  </si>
  <si>
    <t xml:space="preserve">CU_TERRAZA</t>
  </si>
  <si>
    <t xml:space="preserve">S/ por km de terraza de formación lenta (ANIN: 120 km)</t>
  </si>
  <si>
    <t xml:space="preserve">CU_CARCAVA</t>
  </si>
  <si>
    <t xml:space="preserve">S/ por km de cárcava con diques de piedra canteada (ANIN: 3.24 km)</t>
  </si>
  <si>
    <t xml:space="preserve">Notas: (1) El plantón se costea con producción en vivero propio (decisión del 18-oct-2026), sobre la ficha ANIN de algarrobo. (2) En PLANTA, riego y recalce usan P_RIEGOS y P_RECALCE. (3) Las fichas ANIN de zanjas, terrazas y cárcavas incluyen además revegetación con esquejes y siembra al voleo, que aquí no se suman para no duplicar la plantación.</t>
  </si>
  <si>
    <t xml:space="preserve">PROYECTO IN PIURA – CUI 2669244 · Paquetes tecnológicos por tipología (6) – coeficientes editables</t>
  </si>
  <si>
    <t xml:space="preserve">Grupo × degradación. R1 = MSAVI DN 1–2 (&lt; 0.3813); R2 = DN 3 (0.3813–0.4976); C = DN 4–5 (protección). Marrón: celdas R1/R2 con PMM ≥ DN 4.</t>
  </si>
  <si>
    <t xml:space="preserve">Grupo de ecosistema</t>
  </si>
  <si>
    <t xml:space="preserve">Degradación</t>
  </si>
  <si>
    <t xml:space="preserve">Densidad R1 (pl/ha)</t>
  </si>
  <si>
    <t xml:space="preserve">Densidad R2 enriquecimiento (pl/ha)</t>
  </si>
  <si>
    <t xml:space="preserve">Espaciamiento zanjas (m) [0 = no aplica]</t>
  </si>
  <si>
    <t xml:space="preserve">Espaciamiento terrazas (m) [0 = no aplica]</t>
  </si>
  <si>
    <t xml:space="preserve">Cerco (fracción del perímetro)</t>
  </si>
  <si>
    <t xml:space="preserve">Zanjas (m/ha)</t>
  </si>
  <si>
    <t xml:space="preserve">Terrazas (m/ha)</t>
  </si>
  <si>
    <t xml:space="preserve">Fuente de los coeficientes</t>
  </si>
  <si>
    <t xml:space="preserve">BES|Alta</t>
  </si>
  <si>
    <t xml:space="preserve">Bosque estacionalmente seco de colina y montaña</t>
  </si>
  <si>
    <t xml:space="preserve">Alta</t>
  </si>
  <si>
    <t xml:space="preserve">R1: ANIN algarrobo 650 pl/ha. R2: SUPUESTO 50 % de R1. Zanjas: ANIN 360 km/100 ha (esp. 2.78 m). Cerco: SUPUESTO 100 % del perímetro.</t>
  </si>
  <si>
    <t xml:space="preserve">BES|Moderada</t>
  </si>
  <si>
    <t xml:space="preserve">Moderada</t>
  </si>
  <si>
    <t xml:space="preserve">ANDINO|Alta</t>
  </si>
  <si>
    <t xml:space="preserve">Andino (matorral andino + páramo + relicto montano)</t>
  </si>
  <si>
    <t xml:space="preserve">R1: Sierra Azul Chacaya 722 pl/ha. R2: SUPUESTO 50 % de R1. Zanjas: ANIN 360 km/100 ha. Cerco: SUPUESTO 100 %.</t>
  </si>
  <si>
    <t xml:space="preserve">ANDINO|Moderada</t>
  </si>
  <si>
    <t xml:space="preserve">MOSAICO|Alta</t>
  </si>
  <si>
    <t xml:space="preserve">Mosaico agroforestal (zona agrícola MINAM)</t>
  </si>
  <si>
    <t xml:space="preserve">R1: ANIN 650 pl/ha (SUPUESTO para SAF). R2: SUPUESTO 50 %. Terrazas: ANIN 120 km/100 ha (esp. 8.33 m). Cerco: SUPUESTO 100 %.</t>
  </si>
  <si>
    <t xml:space="preserve">MOSAICO|Moderada</t>
  </si>
  <si>
    <t xml:space="preserve">Los coeficientes de zanjas y terrazas provienen de fichas ANIN de referencia y deben calibrarse con el piloto (bloques 21, 66, 73, 31 y M6B10). Cárcavas: metrado por bloque (ml) en la hoja BLOQUES, columna AD.</t>
  </si>
  <si>
    <t xml:space="preserve">PROYECTO IN PIURA – CUI 2669244 · Datos de entrada por bloque (SIG) y asignación de tipología</t>
  </si>
  <si>
    <t xml:space="preserve">Fuentes: Relación de bloques V6 – versión normalizada (Bloques_V7_Normalizado.xlsx, corte 09/10/2026: 117 bloques, 12 270.235 ha); geometría KMZ B6, MSAVI vectorizado (DN 1–5), PMM (DN 1–5), Intersección ecosistemas MINAM, red vial vecinal MTC (dic-2018) y trochas MTC (2026). Áreas en ha (UTM 17S).</t>
  </si>
  <si>
    <t xml:space="preserve">Bloque</t>
  </si>
  <si>
    <t xml:space="preserve">Provincia</t>
  </si>
  <si>
    <t xml:space="preserve">Distrito</t>
  </si>
  <si>
    <t xml:space="preserve">Microcuenca</t>
  </si>
  <si>
    <t xml:space="preserve">Perímetro (m)</t>
  </si>
  <si>
    <t xml:space="preserve">MSAVI 2024 medio</t>
  </si>
  <si>
    <t xml:space="preserve">BES (ha)</t>
  </si>
  <si>
    <t xml:space="preserve">Andino (ha)</t>
  </si>
  <si>
    <t xml:space="preserve">Zona agrícola (ha)</t>
  </si>
  <si>
    <t xml:space="preserve">MSAVI DN1 (ha)</t>
  </si>
  <si>
    <t xml:space="preserve">MSAVI DN2 (ha)</t>
  </si>
  <si>
    <t xml:space="preserve">MSAVI DN3 (ha)</t>
  </si>
  <si>
    <t xml:space="preserve">MSAVI DN4 (ha)</t>
  </si>
  <si>
    <t xml:space="preserve">MSAVI DN5 (ha)</t>
  </si>
  <si>
    <t xml:space="preserve">PMM DN1 (ha)</t>
  </si>
  <si>
    <t xml:space="preserve">PMM DN2 (ha)</t>
  </si>
  <si>
    <t xml:space="preserve">PMM DN3 (ha)</t>
  </si>
  <si>
    <t xml:space="preserve">PMM DN4 (ha)</t>
  </si>
  <si>
    <t xml:space="preserve">PMM DN5 (ha)</t>
  </si>
  <si>
    <t xml:space="preserve">R1 · PMM alto (ha)</t>
  </si>
  <si>
    <t xml:space="preserve">R1 · PMM bajo (ha)</t>
  </si>
  <si>
    <t xml:space="preserve">R2 · PMM alto (ha)</t>
  </si>
  <si>
    <t xml:space="preserve">R2 · PMM bajo (ha)</t>
  </si>
  <si>
    <t xml:space="preserve">C · PMM alto (ha)</t>
  </si>
  <si>
    <t xml:space="preserve">C · PMM bajo (ha)</t>
  </si>
  <si>
    <t xml:space="preserve">Dist. borde a vía motorizable (m)</t>
  </si>
  <si>
    <t xml:space="preserve">Dist. media de acarreo (m)</t>
  </si>
  <si>
    <t xml:space="preserve">Superficie vía más cercana</t>
  </si>
  <si>
    <t xml:space="preserve">Cárcavas (ml) [por inventario dron/satélite]</t>
  </si>
  <si>
    <t xml:space="preserve">Piloto</t>
  </si>
  <si>
    <t xml:space="preserve">% bajo umbral MSAVI</t>
  </si>
  <si>
    <t xml:space="preserve">Grupo dominante</t>
  </si>
  <si>
    <t xml:space="preserve">N° (V7 normalizado)</t>
  </si>
  <si>
    <t xml:space="preserve">UBIGEO</t>
  </si>
  <si>
    <t xml:space="preserve">Superposición reportada (ha)</t>
  </si>
  <si>
    <t xml:space="preserve">Observación (V7 normalizado)</t>
  </si>
  <si>
    <t xml:space="preserve">3</t>
  </si>
  <si>
    <t xml:space="preserve">AYABACA</t>
  </si>
  <si>
    <t xml:space="preserve">FRIAS</t>
  </si>
  <si>
    <t xml:space="preserve">C1096-Q9545</t>
  </si>
  <si>
    <t xml:space="preserve">Trocha</t>
  </si>
  <si>
    <t xml:space="preserve">No</t>
  </si>
  <si>
    <t xml:space="preserve">200202</t>
  </si>
  <si>
    <t xml:space="preserve">6</t>
  </si>
  <si>
    <t xml:space="preserve">C1096-Q9547</t>
  </si>
  <si>
    <t xml:space="preserve">36</t>
  </si>
  <si>
    <t xml:space="preserve">27</t>
  </si>
  <si>
    <t xml:space="preserve">C1096-Q9556</t>
  </si>
  <si>
    <t xml:space="preserve">M17B10</t>
  </si>
  <si>
    <t xml:space="preserve">Afirmado</t>
  </si>
  <si>
    <t xml:space="preserve">M17B5</t>
  </si>
  <si>
    <t xml:space="preserve">M17B6</t>
  </si>
  <si>
    <t xml:space="preserve">M17B7</t>
  </si>
  <si>
    <t xml:space="preserve">39</t>
  </si>
  <si>
    <t xml:space="preserve">C1096-Q9564</t>
  </si>
  <si>
    <t xml:space="preserve">Microcuenca sin codigo M asignado</t>
  </si>
  <si>
    <t xml:space="preserve">56</t>
  </si>
  <si>
    <t xml:space="preserve">81</t>
  </si>
  <si>
    <t xml:space="preserve">HUANCABAMBA</t>
  </si>
  <si>
    <t xml:space="preserve">CANCHAQUE</t>
  </si>
  <si>
    <t xml:space="preserve">C1076-Q9585</t>
  </si>
  <si>
    <t xml:space="preserve">200302</t>
  </si>
  <si>
    <t xml:space="preserve">79</t>
  </si>
  <si>
    <t xml:space="preserve">C1076-Q9587</t>
  </si>
  <si>
    <t xml:space="preserve">24</t>
  </si>
  <si>
    <t xml:space="preserve">C1081-Q9583</t>
  </si>
  <si>
    <t xml:space="preserve">63</t>
  </si>
  <si>
    <t xml:space="preserve">C1081-Q9591</t>
  </si>
  <si>
    <t xml:space="preserve">Sí</t>
  </si>
  <si>
    <t xml:space="preserve">28</t>
  </si>
  <si>
    <t xml:space="preserve">30</t>
  </si>
  <si>
    <t xml:space="preserve">40</t>
  </si>
  <si>
    <t xml:space="preserve">60</t>
  </si>
  <si>
    <t xml:space="preserve">64</t>
  </si>
  <si>
    <t xml:space="preserve">Sin afirmar</t>
  </si>
  <si>
    <t xml:space="preserve">200301</t>
  </si>
  <si>
    <t xml:space="preserve">M30B5</t>
  </si>
  <si>
    <t xml:space="preserve">4</t>
  </si>
  <si>
    <t xml:space="preserve">HUARMACA</t>
  </si>
  <si>
    <t xml:space="preserve">C1076-Q9588</t>
  </si>
  <si>
    <t xml:space="preserve">200304</t>
  </si>
  <si>
    <t xml:space="preserve">M12B1</t>
  </si>
  <si>
    <t xml:space="preserve">M4B3</t>
  </si>
  <si>
    <t xml:space="preserve">C1076-Q9589</t>
  </si>
  <si>
    <t xml:space="preserve">M4B4</t>
  </si>
  <si>
    <t xml:space="preserve">18</t>
  </si>
  <si>
    <t xml:space="preserve">C1076-Q9592</t>
  </si>
  <si>
    <t xml:space="preserve">19</t>
  </si>
  <si>
    <t xml:space="preserve">41</t>
  </si>
  <si>
    <t xml:space="preserve">53</t>
  </si>
  <si>
    <t xml:space="preserve">69</t>
  </si>
  <si>
    <t xml:space="preserve">70</t>
  </si>
  <si>
    <t xml:space="preserve">72</t>
  </si>
  <si>
    <t xml:space="preserve">8</t>
  </si>
  <si>
    <t xml:space="preserve">C1076-Q9593</t>
  </si>
  <si>
    <t xml:space="preserve">Reporte de superposición de área 94.685 ha con Catastro minero: Zafiro Mining S.A.C. – LM30 (010524926)</t>
  </si>
  <si>
    <t xml:space="preserve">10</t>
  </si>
  <si>
    <t xml:space="preserve">16</t>
  </si>
  <si>
    <t xml:space="preserve">20</t>
  </si>
  <si>
    <t xml:space="preserve">51</t>
  </si>
  <si>
    <t xml:space="preserve">71</t>
  </si>
  <si>
    <t xml:space="preserve">Reporte de superposición de área 4.266 ha con Catastro minero: Zafiro Mining S.A.C. – LM30 (010524926)</t>
  </si>
  <si>
    <t xml:space="preserve">76</t>
  </si>
  <si>
    <t xml:space="preserve">80</t>
  </si>
  <si>
    <t xml:space="preserve">34</t>
  </si>
  <si>
    <t xml:space="preserve">LALAQUIZ</t>
  </si>
  <si>
    <t xml:space="preserve">C1081-Q9590</t>
  </si>
  <si>
    <t xml:space="preserve">200305</t>
  </si>
  <si>
    <t xml:space="preserve">38</t>
  </si>
  <si>
    <t xml:space="preserve">50</t>
  </si>
  <si>
    <t xml:space="preserve">61</t>
  </si>
  <si>
    <t xml:space="preserve">26</t>
  </si>
  <si>
    <t xml:space="preserve">37</t>
  </si>
  <si>
    <t xml:space="preserve">M2B8</t>
  </si>
  <si>
    <t xml:space="preserve">SAN MIGUEL DE EL FAIQUE</t>
  </si>
  <si>
    <t xml:space="preserve">C1076-Q9584</t>
  </si>
  <si>
    <t xml:space="preserve">200306</t>
  </si>
  <si>
    <t xml:space="preserve">M20B1</t>
  </si>
  <si>
    <t xml:space="preserve">9</t>
  </si>
  <si>
    <t xml:space="preserve">C1076-Q9586</t>
  </si>
  <si>
    <t xml:space="preserve">35</t>
  </si>
  <si>
    <t xml:space="preserve">43</t>
  </si>
  <si>
    <t xml:space="preserve">44</t>
  </si>
  <si>
    <t xml:space="preserve">47</t>
  </si>
  <si>
    <t xml:space="preserve">67</t>
  </si>
  <si>
    <t xml:space="preserve">M22B1</t>
  </si>
  <si>
    <t xml:space="preserve">5</t>
  </si>
  <si>
    <t xml:space="preserve">MORROPON</t>
  </si>
  <si>
    <t xml:space="preserve">BUENOS AIRES</t>
  </si>
  <si>
    <t xml:space="preserve">C1077-Q9566</t>
  </si>
  <si>
    <t xml:space="preserve">200402</t>
  </si>
  <si>
    <t xml:space="preserve">Superposición con Zona de Arqueología 10.986 ha: Sitio Arqueológico Juan Velasco Alvarado 4 (RD N° 152, 16-10-2024)</t>
  </si>
  <si>
    <t xml:space="preserve">M6B2-1</t>
  </si>
  <si>
    <t xml:space="preserve">M6B2-2</t>
  </si>
  <si>
    <t xml:space="preserve">M6B2-3</t>
  </si>
  <si>
    <t xml:space="preserve">M18B1</t>
  </si>
  <si>
    <t xml:space="preserve">C1077-Q9579</t>
  </si>
  <si>
    <t xml:space="preserve">M1B1</t>
  </si>
  <si>
    <t xml:space="preserve">C1077-Q9580</t>
  </si>
  <si>
    <t xml:space="preserve">59</t>
  </si>
  <si>
    <t xml:space="preserve">CHALACO</t>
  </si>
  <si>
    <t xml:space="preserve">C1086-Q9570</t>
  </si>
  <si>
    <t xml:space="preserve">200403</t>
  </si>
  <si>
    <t xml:space="preserve">57</t>
  </si>
  <si>
    <t xml:space="preserve">C1086-Q9576</t>
  </si>
  <si>
    <t xml:space="preserve">M9B1</t>
  </si>
  <si>
    <t xml:space="preserve">CHULUCANAS</t>
  </si>
  <si>
    <t xml:space="preserve">200401</t>
  </si>
  <si>
    <t xml:space="preserve">M10B4</t>
  </si>
  <si>
    <t xml:space="preserve">22</t>
  </si>
  <si>
    <t xml:space="preserve">Reporte de superposición de área 2.756 ha con Catastro minero: Hugo Armando Zapata Oña – FRIAS 5 (700001126)</t>
  </si>
  <si>
    <t xml:space="preserve">M17B1</t>
  </si>
  <si>
    <t xml:space="preserve">Reporte de superposición de área 0.072 ha con Catastro minero: Hugo Armando Zapata Oña – FRIAS 3 (700000926)</t>
  </si>
  <si>
    <t xml:space="preserve">M17B4</t>
  </si>
  <si>
    <t xml:space="preserve">M27B1</t>
  </si>
  <si>
    <t xml:space="preserve">C1096-Q9557</t>
  </si>
  <si>
    <t xml:space="preserve">2</t>
  </si>
  <si>
    <t xml:space="preserve">C1096-Q9558</t>
  </si>
  <si>
    <t xml:space="preserve">M32B3</t>
  </si>
  <si>
    <t xml:space="preserve">C1086-Q9569</t>
  </si>
  <si>
    <t xml:space="preserve">200405</t>
  </si>
  <si>
    <t xml:space="preserve">M19B2</t>
  </si>
  <si>
    <t xml:space="preserve">M7B1</t>
  </si>
  <si>
    <t xml:space="preserve">SALITRAL</t>
  </si>
  <si>
    <t xml:space="preserve">C1076-Q9581</t>
  </si>
  <si>
    <t xml:space="preserve">200406</t>
  </si>
  <si>
    <t xml:space="preserve">M7B2</t>
  </si>
  <si>
    <t xml:space="preserve">M7B3</t>
  </si>
  <si>
    <t xml:space="preserve">M7B6</t>
  </si>
  <si>
    <t xml:space="preserve">M2B1</t>
  </si>
  <si>
    <t xml:space="preserve">M2B5</t>
  </si>
  <si>
    <t xml:space="preserve">M18B3</t>
  </si>
  <si>
    <t xml:space="preserve">M3B1</t>
  </si>
  <si>
    <t xml:space="preserve">C1081-Q9582</t>
  </si>
  <si>
    <t xml:space="preserve">M3B9</t>
  </si>
  <si>
    <t xml:space="preserve">M3B3</t>
  </si>
  <si>
    <t xml:space="preserve">SAN JUAN DE BIGOTE</t>
  </si>
  <si>
    <t xml:space="preserve">200407</t>
  </si>
  <si>
    <t xml:space="preserve">M3B5</t>
  </si>
  <si>
    <t xml:space="preserve">M3B6</t>
  </si>
  <si>
    <t xml:space="preserve">M3B7</t>
  </si>
  <si>
    <t xml:space="preserve">M3B8</t>
  </si>
  <si>
    <t xml:space="preserve">77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</si>
  <si>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</si>
  <si>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</si>
  <si>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</si>
  <si>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</si>
  <si>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</si>
  <si>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M11B3</t>
  </si>
  <si>
    <t xml:space="preserve">58</t>
  </si>
  <si>
    <t xml:space="preserve">SANTA CATALINA DE MOSSA</t>
  </si>
  <si>
    <t xml:space="preserve">200408</t>
  </si>
  <si>
    <t xml:space="preserve">14</t>
  </si>
  <si>
    <t xml:space="preserve">42</t>
  </si>
  <si>
    <t xml:space="preserve">M36B2</t>
  </si>
  <si>
    <t xml:space="preserve">11</t>
  </si>
  <si>
    <t xml:space="preserve">SANTO DOMINGO</t>
  </si>
  <si>
    <t xml:space="preserve">200409</t>
  </si>
  <si>
    <t xml:space="preserve">12</t>
  </si>
  <si>
    <t xml:space="preserve">15</t>
  </si>
  <si>
    <t xml:space="preserve">17</t>
  </si>
  <si>
    <t xml:space="preserve">23</t>
  </si>
  <si>
    <t xml:space="preserve">78</t>
  </si>
  <si>
    <t xml:space="preserve">82</t>
  </si>
  <si>
    <t xml:space="preserve">M19B7</t>
  </si>
  <si>
    <t xml:space="preserve">M8B2</t>
  </si>
  <si>
    <t xml:space="preserve">13</t>
  </si>
  <si>
    <t xml:space="preserve">49</t>
  </si>
  <si>
    <t xml:space="preserve">YAMANGO</t>
  </si>
  <si>
    <t xml:space="preserve">C1086-Q9575</t>
  </si>
  <si>
    <t xml:space="preserve">200410</t>
  </si>
  <si>
    <t xml:space="preserve">52</t>
  </si>
  <si>
    <t xml:space="preserve">55</t>
  </si>
  <si>
    <t xml:space="preserve">M28B2</t>
  </si>
  <si>
    <t xml:space="preserve">M28B3</t>
  </si>
  <si>
    <t xml:space="preserve">M28B4</t>
  </si>
  <si>
    <t xml:space="preserve">TOTAL</t>
  </si>
  <si>
    <t xml:space="preserve">PROYECTO IN PIURA – CUI 2669244 · Metas físicas, costos de inversión y costo social por bloque</t>
  </si>
  <si>
    <t xml:space="preserve">Todas las celdas son fórmulas. Precios de mercado 2026 (S/). CD = costo directo. Social = MO NC × 0.42 + MO C × 0.79 + bienes y servicios ÷ 1.18.</t>
  </si>
  <si>
    <t xml:space="preserve">R1 (ha)</t>
  </si>
  <si>
    <t xml:space="preserve">R2 (ha)</t>
  </si>
  <si>
    <t xml:space="preserve">C protección (ha)</t>
  </si>
  <si>
    <t xml:space="preserve">Plantas R1</t>
  </si>
  <si>
    <t xml:space="preserve">Plantas R2</t>
  </si>
  <si>
    <t xml:space="preserve">Plantas totales</t>
  </si>
  <si>
    <t xml:space="preserve">Zanjas (km)</t>
  </si>
  <si>
    <t xml:space="preserve">Terrazas (km)</t>
  </si>
  <si>
    <t xml:space="preserve">Cerco (m)</t>
  </si>
  <si>
    <t xml:space="preserve">Cárcavas (km)</t>
  </si>
  <si>
    <t xml:space="preserve">Flete rural (S/ por kg)</t>
  </si>
  <si>
    <t xml:space="preserve">Plantón vivero (S/)</t>
  </si>
  <si>
    <t xml:space="preserve">Plantación y labores (S/)</t>
  </si>
  <si>
    <t xml:space="preserve">Labores por ha (S/)</t>
  </si>
  <si>
    <t xml:space="preserve">Flete rural (S/)</t>
  </si>
  <si>
    <t xml:space="preserve">Flete terrestre insumos (S/)</t>
  </si>
  <si>
    <t xml:space="preserve">Zanjas (S/)</t>
  </si>
  <si>
    <t xml:space="preserve">Terrazas (S/)</t>
  </si>
  <si>
    <t xml:space="preserve">Cerco (S/)</t>
  </si>
  <si>
    <t xml:space="preserve">Cárcavas (S/)</t>
  </si>
  <si>
    <t xml:space="preserve">Costo directo (S/)</t>
  </si>
  <si>
    <t xml:space="preserve">GG + supervisión + ET (S/)</t>
  </si>
  <si>
    <t xml:space="preserve">Inversión total (S/)</t>
  </si>
  <si>
    <t xml:space="preserve">Inversión por ha de bloque (S/)</t>
  </si>
  <si>
    <t xml:space="preserve">CD · MO no calificada (S/)</t>
  </si>
  <si>
    <t xml:space="preserve">CD · MO calificada (S/)</t>
  </si>
  <si>
    <t xml:space="preserve">CD · bienes y servicios (S/)</t>
  </si>
  <si>
    <t xml:space="preserve">Inversión a precios sociales (S/)</t>
  </si>
  <si>
    <t xml:space="preserve">Inversión verde (S/)</t>
  </si>
  <si>
    <t xml:space="preserve">Inversión marrón (S/)</t>
  </si>
  <si>
    <t xml:space="preserve">TOTAL CARTERA</t>
  </si>
  <si>
    <t xml:space="preserve">TOTAL PILOTO</t>
  </si>
  <si>
    <t xml:space="preserve">PROYECTO IN PIURA – CUI 2669244 · Operación y mantenimiento (15 años) – tarifas ANIN actualizadas</t>
  </si>
  <si>
    <t xml:space="preserve">Tarifa anual = costo ANIN ÷ meta base ANIN × [% MO no calificada × (hh peón actual ÷ hh peón 2020) + resto × factor IPC]. "Años de aplicación" = años de O&amp;M (de 15) en que se ejecuta la actividad: SUPUESTO INICIAL a definir por el especialista.</t>
  </si>
  <si>
    <t xml:space="preserve">Componente</t>
  </si>
  <si>
    <t xml:space="preserve">Actividad (ANIN – ANEXO 11)</t>
  </si>
  <si>
    <t xml:space="preserve">Costo anual ANIN 2020 (S/)</t>
  </si>
  <si>
    <t xml:space="preserve">Meta base ANIN</t>
  </si>
  <si>
    <t xml:space="preserve">Inductor</t>
  </si>
  <si>
    <t xml:space="preserve">Tarifa anual actualizada (S/ por inductor)</t>
  </si>
  <si>
    <t xml:space="preserve">Años de aplicación (de 15)</t>
  </si>
  <si>
    <t xml:space="preserve">Inductor – cartera</t>
  </si>
  <si>
    <t xml:space="preserve">Inductor – piloto</t>
  </si>
  <si>
    <t xml:space="preserve">Costo anual – cartera (S/)</t>
  </si>
  <si>
    <t xml:space="preserve">Costo anual – piloto (S/)</t>
  </si>
  <si>
    <t xml:space="preserve">Fuente</t>
  </si>
  <si>
    <t xml:space="preserve">Reforestación</t>
  </si>
  <si>
    <t xml:space="preserve">Monitoreo, vigilancia y supervisión de áreas reforestadas</t>
  </si>
  <si>
    <t xml:space="preserve">ANIN ANEXO 11 – Costos de O&amp;M (10/12/2020)</t>
  </si>
  <si>
    <t xml:space="preserve">Control de especies depredadoras (conejos)</t>
  </si>
  <si>
    <t xml:space="preserve">Control de especies depredadoras (ganado)</t>
  </si>
  <si>
    <t xml:space="preserve">Resembrado de especies arbóreas</t>
  </si>
  <si>
    <t xml:space="preserve">planta</t>
  </si>
  <si>
    <t xml:space="preserve">Control de plagas y enfermedades</t>
  </si>
  <si>
    <t xml:space="preserve">Control de maleza</t>
  </si>
  <si>
    <t xml:space="preserve">Podas periódicas</t>
  </si>
  <si>
    <t xml:space="preserve">Fertilización de plantones</t>
  </si>
  <si>
    <t xml:space="preserve">Limpieza de calles contra incendio</t>
  </si>
  <si>
    <t xml:space="preserve">Riego manual con balde</t>
  </si>
  <si>
    <t xml:space="preserve">Sensibilización a la población</t>
  </si>
  <si>
    <t xml:space="preserve">Zanjas</t>
  </si>
  <si>
    <t xml:space="preserve">Mantenimiento de zanjas (monitoreo, limpieza, reparación, resiembra, sensibilización)</t>
  </si>
  <si>
    <t xml:space="preserve">km zanja</t>
  </si>
  <si>
    <t xml:space="preserve">Terrazas</t>
  </si>
  <si>
    <t xml:space="preserve">Mantenimiento de terrazas (monitoreo, limpieza, reparación de muro, resiembra)</t>
  </si>
  <si>
    <t xml:space="preserve">km terraza</t>
  </si>
  <si>
    <t xml:space="preserve">Cárcavas</t>
  </si>
  <si>
    <t xml:space="preserve">Mantenimiento de diques de piedra canteada (monitoreo, limpieza, reparación 2 %/año)</t>
  </si>
  <si>
    <t xml:space="preserve">km cárcava</t>
  </si>
  <si>
    <t xml:space="preserve">TOTAL (primer año de O&amp;M)</t>
  </si>
  <si>
    <t xml:space="preserve">Participación de MO no calificada en O&amp;M (para precios sociales)</t>
  </si>
  <si>
    <t xml:space="preserve">Calculado de las labores culturales ANIN (control de plagas, riego, deshierbe, recalce).</t>
  </si>
  <si>
    <t xml:space="preserve">Nota: las fichas ANIN de O&amp;M son anuales para 1 000 ha / 650 000 plantas (reforestación), 360 km (zanjas), 120 km (terrazas) y 3.24 km (cárcavas).</t>
  </si>
  <si>
    <t xml:space="preserve">PROYECTO IN PIURA – CUI 2669244 · Flujo de costos y beneficios (horizonte 20 años) – privado y social</t>
  </si>
  <si>
    <t xml:space="preserve">Años 1–5 inversión según cronograma; años 6–20 O&amp;M. Beneficios: celdas amarillas POR DETERMINAR (costo-beneficio). Mientras falten, se reporta costo-efectividad.</t>
  </si>
  <si>
    <t xml:space="preserve">Cronograma de inversión (% por año)</t>
  </si>
  <si>
    <t xml:space="preserve">Total / VA</t>
  </si>
  <si>
    <t xml:space="preserve">% inversión</t>
  </si>
  <si>
    <t xml:space="preserve">Año de O&amp;M (t)</t>
  </si>
  <si>
    <t xml:space="preserve">CARTERA (117 bloques)</t>
  </si>
  <si>
    <t xml:space="preserve">Inversión – precios de mercado</t>
  </si>
  <si>
    <t xml:space="preserve">O&amp;M – precios de mercado</t>
  </si>
  <si>
    <t xml:space="preserve">COSTO TOTAL – precios de mercado</t>
  </si>
  <si>
    <t xml:space="preserve">Inversión – precios sociales</t>
  </si>
  <si>
    <t xml:space="preserve">O&amp;M – precios sociales</t>
  </si>
  <si>
    <t xml:space="preserve">COSTO TOTAL – precios sociales</t>
  </si>
  <si>
    <t xml:space="preserve">Beneficio: carbono (S/)</t>
  </si>
  <si>
    <t xml:space="preserve">Beneficio: erosión evitada (S/)</t>
  </si>
  <si>
    <t xml:space="preserve">Beneficio: daños evitados (S/)</t>
  </si>
  <si>
    <t xml:space="preserve">BENEFICIO SOCIAL TOTAL</t>
  </si>
  <si>
    <t xml:space="preserve">FLUJO NETO SOCIAL</t>
  </si>
  <si>
    <t xml:space="preserve">PILOTO (5 bloques)</t>
  </si>
  <si>
    <t xml:space="preserve">SUPUESTOS DE BENEFICIOS (costo-beneficio) – POR DETERMINAR</t>
  </si>
  <si>
    <t xml:space="preserve">Captura neta de carbono atribuible (tCO2e / ha plantada / año)</t>
  </si>
  <si>
    <t xml:space="preserve">POR DETERMINAR: tasa por ecosistema (IPCC 2019 / estudios locales).</t>
  </si>
  <si>
    <t xml:space="preserve">Año de inicio de beneficios</t>
  </si>
  <si>
    <t xml:space="preserve">SUPUESTO: desde el año siguiente al inicio de plantación.</t>
  </si>
  <si>
    <t xml:space="preserve">Erosión evitada (t suelo / ha plantada / año)</t>
  </si>
  <si>
    <t xml:space="preserve">POR DETERMINAR: diferencial sin/con proyecto del modelo EPH.</t>
  </si>
  <si>
    <t xml:space="preserve">Valor de reposición o remoción de sedimento (S/ / t)</t>
  </si>
  <si>
    <t xml:space="preserve">POR DETERMINAR.</t>
  </si>
  <si>
    <t xml:space="preserve">Daños evitados por movimientos en masa (S/ / año, cartera)</t>
  </si>
  <si>
    <t xml:space="preserve">POR DETERMINAR: solo con exposición sustentada (buffer 500 m, CCPP, vías).</t>
  </si>
  <si>
    <t xml:space="preserve">INDICADORES</t>
  </si>
  <si>
    <t xml:space="preserve">VAC privado – Cartera (S/)</t>
  </si>
  <si>
    <t xml:space="preserve">VAC social – Cartera (S/)</t>
  </si>
  <si>
    <t xml:space="preserve">VAB social – Cartera (S/)</t>
  </si>
  <si>
    <t xml:space="preserve">VANS – Cartera (S/)</t>
  </si>
  <si>
    <t xml:space="preserve">TIR social – Cartera</t>
  </si>
  <si>
    <t xml:space="preserve">Costo-efectividad – Cartera (VAC social / ha plantada)</t>
  </si>
  <si>
    <t xml:space="preserve">Costo-efectividad – Cartera (VAC social / ha de bloque)</t>
  </si>
  <si>
    <t xml:space="preserve">VAC privado – Piloto (S/)</t>
  </si>
  <si>
    <t xml:space="preserve">VAC social – Piloto (S/)</t>
  </si>
  <si>
    <t xml:space="preserve">VAB social – Piloto (S/)</t>
  </si>
  <si>
    <t xml:space="preserve">VANS – Piloto (S/)</t>
  </si>
  <si>
    <t xml:space="preserve">TIR social – Piloto</t>
  </si>
  <si>
    <t xml:space="preserve">Costo-efectividad – Piloto (VAC social / ha plantada)</t>
  </si>
  <si>
    <t xml:space="preserve">Costo-efectividad – Piloto (VAC social / ha de bloque)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</si>
</sst>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#,##0.00;\(#,##0.00\);\-"/>
    <numFmt numFmtId="167" formatCode="0.0%;\(0.0%\);\-"/>
    <numFmt numFmtId="168" formatCode="#,##0.0000;\(#,##0.0000\);\-"/>
    <numFmt numFmtId="169" formatCode="0.00%;\(0.00%\);\-"/>
    <numFmt numFmtId="170" formatCode="#,##0.000;\(#,##0.000\);\-"/>
    <numFmt numFmtId="171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1"/>
      <color rgb="FF1B4F72"/>
      <name val="Arial"/>
      <family val="0"/>
      <charset val="1"/>
    </font>
    <font>
      <i val="true"/>
      <sz val="8"/>
      <color rgb="FF555555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9"/>
      <color rgb="FF1B4D2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4F72"/>
        <bgColor rgb="FF1B4D2E"/>
      </patternFill>
    </fill>
    <fill>
      <patternFill patternType="solid">
        <fgColor rgb="FFF2F4F7"/>
        <bgColor rgb="FFFFFFFF"/>
      </patternFill>
    </fill>
    <fill>
      <patternFill patternType="solid">
        <fgColor rgb="FFDDEBF7"/>
        <bgColor rgb="FFF2F4F7"/>
      </patternFill>
    </fill>
    <fill>
      <patternFill patternType="solid">
        <fgColor rgb="FF2E86AB"/>
        <bgColor rgb="FF008080"/>
      </patternFill>
    </fill>
    <fill>
      <patternFill patternType="solid">
        <fgColor rgb="FFFFF2CC"/>
        <bgColor rgb="FFF2F4F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  <border diagonalUp="false" diagonalDown="false">
      <left style="thin">
        <color rgb="FFB7C3D0"/>
      </left>
      <right/>
      <top style="thin">
        <color rgb="FFB7C3D0"/>
      </top>
      <bottom style="thin">
        <color rgb="FFB7C3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4F72"/>
          <bgColor rgb="FF000000"/>
        </patternFill>
      </fill>
    </dxf>
    <dxf>
      <fill>
        <patternFill patternType="solid">
          <fgColor rgb="FFF2F4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1B4D2E"/>
          <bgColor rgb="FF000000"/>
        </patternFill>
      </fill>
    </dxf>
    <dxf>
      <fill>
        <patternFill patternType="solid">
          <fgColor rgb="FF55555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3D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55555"/>
      <rgbColor rgb="FF969696"/>
      <rgbColor rgb="FF1B4F72"/>
      <rgbColor rgb="FF2E86AB"/>
      <rgbColor rgb="FF003300"/>
      <rgbColor rgb="FF333300"/>
      <rgbColor rgb="FF993300"/>
      <rgbColor rgb="FF993366"/>
      <rgbColor rgb="FF333399"/>
      <rgbColor rgb="FF1B4D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F72"/>
    <pageSetUpPr fitToPage="true"/>
  </sheetPr>
  <dimension ref="A1:J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7" min="5" style="0" width="14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2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customFormat="false" ht="19.5" hidden="false" customHeight="true" outlineLevel="0" collapsed="false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15" hidden="false" customHeight="false" outlineLevel="0" collapsed="false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7" customFormat="false" ht="36" hidden="false" customHeight="true" outlineLevel="0" collapsed="false">
      <c r="A7" s="6" t="s">
        <v>5</v>
      </c>
      <c r="B7" s="6" t="s">
        <v>6</v>
      </c>
      <c r="C7" s="6" t="s">
        <v>7</v>
      </c>
      <c r="D7" s="6" t="s">
        <v>8</v>
      </c>
    </row>
    <row r="8" customFormat="false" ht="15" hidden="false" customHeight="false" outlineLevel="0" collapsed="false">
      <c r="A8" s="7" t="s">
        <v>9</v>
      </c>
      <c r="B8" s="8" t="n">
        <f aca="false">COUNTIF(B_PIL,"Sí")</f>
        <v>5</v>
      </c>
      <c r="C8" s="8" t="n">
        <f aca="false">COUNTA(B_ID)</f>
        <v>117</v>
      </c>
      <c r="D8" s="7" t="s">
        <v>10</v>
      </c>
    </row>
    <row r="9" customFormat="false" ht="15" hidden="false" customHeight="false" outlineLevel="0" collapsed="false">
      <c r="A9" s="9" t="s">
        <v>11</v>
      </c>
      <c r="B9" s="10" t="n">
        <f aca="false">C_HA_P</f>
        <v>538.323</v>
      </c>
      <c r="C9" s="10" t="n">
        <f aca="false">C_HA_T</f>
        <v>12270.235</v>
      </c>
      <c r="D9" s="9" t="s">
        <v>12</v>
      </c>
    </row>
    <row r="10" customFormat="false" ht="15" hidden="false" customHeight="false" outlineLevel="0" collapsed="false">
      <c r="A10" s="7" t="s">
        <v>13</v>
      </c>
      <c r="B10" s="11" t="n">
        <f aca="false">C_R1_P</f>
        <v>216.151</v>
      </c>
      <c r="C10" s="11" t="n">
        <f aca="false">C_R1_T</f>
        <v>5503.444</v>
      </c>
      <c r="D10" s="7" t="s">
        <v>12</v>
      </c>
    </row>
    <row r="11" customFormat="false" ht="15" hidden="false" customHeight="false" outlineLevel="0" collapsed="false">
      <c r="A11" s="9" t="s">
        <v>14</v>
      </c>
      <c r="B11" s="10" t="n">
        <f aca="false">C_R2_P</f>
        <v>94.297</v>
      </c>
      <c r="C11" s="10" t="n">
        <f aca="false">C_R2_T</f>
        <v>2838.422</v>
      </c>
      <c r="D11" s="9" t="s">
        <v>12</v>
      </c>
    </row>
    <row r="12" customFormat="false" ht="15" hidden="false" customHeight="false" outlineLevel="0" collapsed="false">
      <c r="A12" s="7" t="s">
        <v>15</v>
      </c>
      <c r="B12" s="8" t="n">
        <f aca="false">C_PL_P</f>
        <v>172906.335</v>
      </c>
      <c r="C12" s="8" t="n">
        <f aca="false">C_PL_T</f>
        <v>4508650.618</v>
      </c>
      <c r="D12" s="7" t="s">
        <v>16</v>
      </c>
    </row>
    <row r="13" customFormat="false" ht="15" hidden="false" customHeight="false" outlineLevel="0" collapsed="false">
      <c r="A13" s="9" t="s">
        <v>17</v>
      </c>
      <c r="B13" s="10" t="n">
        <f aca="false">C_KZ_P</f>
        <v>871.506227950177</v>
      </c>
      <c r="C13" s="10" t="n">
        <f aca="false">C_KZ_T</f>
        <v>17971.7114263086</v>
      </c>
      <c r="D13" s="9" t="s">
        <v>18</v>
      </c>
    </row>
    <row r="14" customFormat="false" ht="15" hidden="false" customHeight="false" outlineLevel="0" collapsed="false">
      <c r="A14" s="7" t="s">
        <v>19</v>
      </c>
      <c r="B14" s="11" t="n">
        <f aca="false">C_KT_P</f>
        <v>28.2721130884524</v>
      </c>
      <c r="C14" s="11" t="n">
        <f aca="false">C_KT_T</f>
        <v>705.490021960088</v>
      </c>
      <c r="D14" s="7" t="s">
        <v>18</v>
      </c>
    </row>
    <row r="15" customFormat="false" ht="15" hidden="false" customHeight="false" outlineLevel="0" collapsed="false">
      <c r="A15" s="9" t="s">
        <v>20</v>
      </c>
      <c r="B15" s="12" t="n">
        <f aca="false">C_CE_P</f>
        <v>26234.8</v>
      </c>
      <c r="C15" s="12" t="n">
        <f aca="false">C_CE_T</f>
        <v>577845.6</v>
      </c>
      <c r="D15" s="9" t="s">
        <v>21</v>
      </c>
    </row>
    <row r="16" customFormat="false" ht="15" hidden="false" customHeight="false" outlineLevel="0" collapsed="false">
      <c r="A16" s="7" t="s">
        <v>22</v>
      </c>
      <c r="B16" s="11" t="n">
        <f aca="false">C_KC_P</f>
        <v>0</v>
      </c>
      <c r="C16" s="11" t="n">
        <f aca="false">C_KC_T</f>
        <v>0</v>
      </c>
      <c r="D16" s="7" t="s">
        <v>18</v>
      </c>
    </row>
    <row r="17" customFormat="false" ht="15" hidden="false" customHeight="false" outlineLevel="0" collapsed="false">
      <c r="A17" s="9" t="s">
        <v>23</v>
      </c>
      <c r="B17" s="12" t="n">
        <f aca="false">C_CD_P</f>
        <v>13344298.9173453</v>
      </c>
      <c r="C17" s="12" t="n">
        <f aca="false">C_CD_T</f>
        <v>298107891.830327</v>
      </c>
      <c r="D17" s="9" t="s">
        <v>24</v>
      </c>
    </row>
    <row r="18" customFormat="false" ht="15" hidden="false" customHeight="false" outlineLevel="0" collapsed="false">
      <c r="A18" s="13" t="s">
        <v>25</v>
      </c>
      <c r="B18" s="8" t="n">
        <f aca="false">C_INV_P</f>
        <v>15356265.7045497</v>
      </c>
      <c r="C18" s="8" t="n">
        <f aca="false">C_INV_T</f>
        <v>343054665.061444</v>
      </c>
      <c r="D18" s="7" t="s">
        <v>24</v>
      </c>
    </row>
    <row r="19" customFormat="false" ht="15" hidden="false" customHeight="false" outlineLevel="0" collapsed="false">
      <c r="A19" s="9" t="s">
        <v>26</v>
      </c>
      <c r="B19" s="12" t="n">
        <f aca="false">C_VER_P</f>
        <v>2788611.77066902</v>
      </c>
      <c r="C19" s="12" t="n">
        <f aca="false">C_VER_T</f>
        <v>71180513.4643978</v>
      </c>
      <c r="D19" s="9" t="s">
        <v>24</v>
      </c>
    </row>
    <row r="20" customFormat="false" ht="15" hidden="false" customHeight="false" outlineLevel="0" collapsed="false">
      <c r="A20" s="7" t="s">
        <v>27</v>
      </c>
      <c r="B20" s="8" t="n">
        <f aca="false">C_MAR_P</f>
        <v>12567653.9338807</v>
      </c>
      <c r="C20" s="8" t="n">
        <f aca="false">C_MAR_T</f>
        <v>271874151.597046</v>
      </c>
      <c r="D20" s="7" t="s">
        <v>24</v>
      </c>
    </row>
    <row r="21" customFormat="false" ht="15" hidden="false" customHeight="false" outlineLevel="0" collapsed="false">
      <c r="A21" s="9" t="s">
        <v>28</v>
      </c>
      <c r="B21" s="12" t="n">
        <f aca="false">C_INV_P/C_HA_P</f>
        <v>28526.1185283737</v>
      </c>
      <c r="C21" s="12" t="n">
        <f aca="false">C_INV_T/C_HA_T</f>
        <v>27958.2799401514</v>
      </c>
      <c r="D21" s="9" t="s">
        <v>29</v>
      </c>
    </row>
    <row r="22" customFormat="false" ht="15" hidden="false" customHeight="false" outlineLevel="0" collapsed="false">
      <c r="A22" s="7" t="s">
        <v>30</v>
      </c>
      <c r="B22" s="8" t="n">
        <f aca="false">OYM!K21</f>
        <v>1911221.5683164</v>
      </c>
      <c r="C22" s="8" t="n">
        <f aca="false">OYM!J21</f>
        <v>46347297.3096233</v>
      </c>
      <c r="D22" s="7" t="s">
        <v>31</v>
      </c>
    </row>
    <row r="23" customFormat="false" ht="15" hidden="false" customHeight="false" outlineLevel="0" collapsed="false">
      <c r="A23" s="9" t="s">
        <v>32</v>
      </c>
      <c r="B23" s="12" t="n">
        <f aca="false">SUM(FLUJO!C26:V26)</f>
        <v>12826724.9877234</v>
      </c>
      <c r="C23" s="12" t="n">
        <f aca="false">SUM(FLUJO!C13:V13)</f>
        <v>281677042.905973</v>
      </c>
      <c r="D23" s="9" t="s">
        <v>24</v>
      </c>
    </row>
    <row r="24" customFormat="false" ht="15" hidden="false" customHeight="false" outlineLevel="0" collapsed="false">
      <c r="A24" s="13" t="s">
        <v>33</v>
      </c>
      <c r="B24" s="8" t="n">
        <f aca="false">B18+B23</f>
        <v>28182990.6922731</v>
      </c>
      <c r="C24" s="8" t="n">
        <f aca="false">C18+C23</f>
        <v>624731707.967417</v>
      </c>
      <c r="D24" s="7" t="s">
        <v>24</v>
      </c>
    </row>
    <row r="25" customFormat="false" ht="15" hidden="false" customHeight="false" outlineLevel="0" collapsed="false">
      <c r="A25" s="9" t="s">
        <v>34</v>
      </c>
      <c r="B25" s="12"/>
      <c r="C25" s="12" t="n">
        <f aca="false">P_TECHO</f>
        <v>372442809</v>
      </c>
      <c r="D25" s="9" t="s">
        <v>24</v>
      </c>
    </row>
    <row r="26" customFormat="false" ht="15" hidden="false" customHeight="false" outlineLevel="0" collapsed="false">
      <c r="A26" s="7" t="s">
        <v>35</v>
      </c>
      <c r="B26" s="14"/>
      <c r="C26" s="14" t="n">
        <f aca="false">C24/P_TECHO</f>
        <v>1.67738963639762</v>
      </c>
      <c r="D26" s="7" t="s">
        <v>36</v>
      </c>
    </row>
    <row r="27" customFormat="false" ht="15" hidden="false" customHeight="false" outlineLevel="0" collapsed="false">
      <c r="A27" s="9" t="s">
        <v>37</v>
      </c>
      <c r="B27" s="12" t="n">
        <f aca="false">FLUJO!B54</f>
        <v>9511139.74271408</v>
      </c>
      <c r="C27" s="12" t="n">
        <f aca="false">FLUJO!B47</f>
        <v>213640609.776431</v>
      </c>
      <c r="D27" s="9" t="s">
        <v>24</v>
      </c>
    </row>
    <row r="28" customFormat="false" ht="15" hidden="false" customHeight="false" outlineLevel="0" collapsed="false">
      <c r="A28" s="7" t="s">
        <v>38</v>
      </c>
      <c r="B28" s="8" t="n">
        <f aca="false">FLUJO!B58</f>
        <v>30636.8207967649</v>
      </c>
      <c r="C28" s="8" t="n">
        <f aca="false">FLUJO!B51</f>
        <v>25610.6499165092</v>
      </c>
      <c r="D28" s="7" t="s">
        <v>29</v>
      </c>
    </row>
    <row r="29" customFormat="false" ht="15" hidden="false" customHeight="false" outlineLevel="0" collapsed="false">
      <c r="A29" s="9" t="s">
        <v>39</v>
      </c>
      <c r="B29" s="12" t="str">
        <f aca="false">FLUJO!B56</f>
        <v>Pendiente de beneficios</v>
      </c>
      <c r="C29" s="12" t="str">
        <f aca="false">FLUJO!B49</f>
        <v>Pendiente de beneficios</v>
      </c>
      <c r="D29" s="9" t="s">
        <v>24</v>
      </c>
    </row>
    <row r="31" customFormat="false" ht="36" hidden="false" customHeight="true" outlineLevel="0" collapsed="false">
      <c r="A31" s="6" t="s">
        <v>40</v>
      </c>
      <c r="B31" s="6" t="s">
        <v>41</v>
      </c>
      <c r="C31" s="6" t="s">
        <v>42</v>
      </c>
      <c r="D31" s="6" t="s">
        <v>43</v>
      </c>
      <c r="E31" s="6" t="s">
        <v>44</v>
      </c>
      <c r="F31" s="6" t="s">
        <v>45</v>
      </c>
      <c r="G31" s="6" t="s">
        <v>46</v>
      </c>
      <c r="H31" s="6" t="s">
        <v>47</v>
      </c>
      <c r="I31" s="6" t="s">
        <v>48</v>
      </c>
      <c r="J31" s="6" t="s">
        <v>49</v>
      </c>
    </row>
    <row r="32" customFormat="false" ht="15" hidden="false" customHeight="false" outlineLevel="0" collapsed="false">
      <c r="A32" s="13" t="s">
        <v>50</v>
      </c>
      <c r="B32" s="7" t="str">
        <f aca="false">INDEX(CALCULO!$B$7:$B$123,MATCH("21",CALCULO!$A$7:$A$123,0))</f>
        <v>T6</v>
      </c>
      <c r="C32" s="11" t="n">
        <f aca="false">INDEX(CALCULO!$D$7:$D$123,MATCH("21",CALCULO!$A$7:$A$123,0))</f>
        <v>84.227</v>
      </c>
      <c r="D32" s="11" t="n">
        <f aca="false">INDEX(CALCULO!$E$7:$E$123,MATCH("21",CALCULO!$A$7:$A$123,0))+INDEX(CALCULO!$F$7:$F$123,MATCH("21",CALCULO!$A$7:$A$123,0))</f>
        <v>4.357</v>
      </c>
      <c r="E32" s="8" t="n">
        <f aca="false">INDEX(CALCULO!$J$7:$J$123,MATCH("21",CALCULO!$A$7:$A$123,0))</f>
        <v>1419.275</v>
      </c>
      <c r="F32" s="11" t="n">
        <f aca="false">INDEX(CALCULO!$K$7:$K$123,MATCH("21",CALCULO!$A$7:$A$123,0))+INDEX(CALCULO!$L$7:$L$123,MATCH("21",CALCULO!$A$7:$A$123,0))</f>
        <v>5.17682070728283</v>
      </c>
      <c r="G32" s="8" t="n">
        <f aca="false">INDEX(CALCULO!$AA$7:$AA$123,MATCH("21",CALCULO!$A$7:$A$123,0))</f>
        <v>646128.480924278</v>
      </c>
      <c r="H32" s="8" t="n">
        <f aca="false">INDEX(CALCULO!$AB$7:$AB$123,MATCH("21",CALCULO!$A$7:$A$123,0))</f>
        <v>7671.27501780044</v>
      </c>
      <c r="I32" s="8" t="n">
        <f aca="false">INDEX(BLOQUES!$AB$7:$AB$123,MATCH("21",CALCULO!$A$7:$A$123,0))</f>
        <v>579</v>
      </c>
      <c r="J32" s="7" t="str">
        <f aca="false">INDEX(BLOQUES!$AG$7:$AG$123,MATCH("21",CALCULO!$A$7:$A$123,0))&amp;" · "&amp;INDEX(BLOQUES!$AH$7:$AH$123,MATCH("21",CALCULO!$A$7:$A$123,0))</f>
        <v>MOSAICO · Moderada</v>
      </c>
    </row>
    <row r="33" customFormat="false" ht="15" hidden="false" customHeight="false" outlineLevel="0" collapsed="false">
      <c r="A33" s="13" t="s">
        <v>51</v>
      </c>
      <c r="B33" s="7" t="str">
        <f aca="false">INDEX(CALCULO!$B$7:$B$123,MATCH("66",CALCULO!$A$7:$A$123,0))</f>
        <v>T6</v>
      </c>
      <c r="C33" s="11" t="n">
        <f aca="false">INDEX(CALCULO!$D$7:$D$123,MATCH("66",CALCULO!$A$7:$A$123,0))</f>
        <v>102.335</v>
      </c>
      <c r="D33" s="11" t="n">
        <f aca="false">INDEX(CALCULO!$E$7:$E$123,MATCH("66",CALCULO!$A$7:$A$123,0))+INDEX(CALCULO!$F$7:$F$123,MATCH("66",CALCULO!$A$7:$A$123,0))</f>
        <v>9.047</v>
      </c>
      <c r="E33" s="8" t="n">
        <f aca="false">INDEX(CALCULO!$J$7:$J$123,MATCH("66",CALCULO!$A$7:$A$123,0))</f>
        <v>3119.025</v>
      </c>
      <c r="F33" s="11" t="n">
        <f aca="false">INDEX(CALCULO!$K$7:$K$123,MATCH("66",CALCULO!$A$7:$A$123,0))+INDEX(CALCULO!$L$7:$L$123,MATCH("66",CALCULO!$A$7:$A$123,0))</f>
        <v>10.7592430369722</v>
      </c>
      <c r="G33" s="8" t="n">
        <f aca="false">INDEX(CALCULO!$AA$7:$AA$123,MATCH("66",CALCULO!$A$7:$A$123,0))</f>
        <v>1284667.10816475</v>
      </c>
      <c r="H33" s="8" t="n">
        <f aca="false">INDEX(CALCULO!$AB$7:$AB$123,MATCH("66",CALCULO!$A$7:$A$123,0))</f>
        <v>12553.5457875092</v>
      </c>
      <c r="I33" s="8" t="n">
        <f aca="false">INDEX(BLOQUES!$AB$7:$AB$123,MATCH("66",CALCULO!$A$7:$A$123,0))</f>
        <v>663</v>
      </c>
      <c r="J33" s="7" t="str">
        <f aca="false">INDEX(BLOQUES!$AG$7:$AG$123,MATCH("66",CALCULO!$A$7:$A$123,0))&amp;" · "&amp;INDEX(BLOQUES!$AH$7:$AH$123,MATCH("66",CALCULO!$A$7:$A$123,0))</f>
        <v>MOSAICO · Moderada</v>
      </c>
    </row>
    <row r="34" customFormat="false" ht="15" hidden="false" customHeight="false" outlineLevel="0" collapsed="false">
      <c r="A34" s="13" t="s">
        <v>52</v>
      </c>
      <c r="B34" s="7" t="str">
        <f aca="false">INDEX(CALCULO!$B$7:$B$123,MATCH("73",CALCULO!$A$7:$A$123,0))</f>
        <v>T6</v>
      </c>
      <c r="C34" s="11" t="n">
        <f aca="false">INDEX(CALCULO!$D$7:$D$123,MATCH("73",CALCULO!$A$7:$A$123,0))</f>
        <v>54.29</v>
      </c>
      <c r="D34" s="11" t="n">
        <f aca="false">INDEX(CALCULO!$E$7:$E$123,MATCH("73",CALCULO!$A$7:$A$123,0))+INDEX(CALCULO!$F$7:$F$123,MATCH("73",CALCULO!$A$7:$A$123,0))</f>
        <v>10.28</v>
      </c>
      <c r="E34" s="8" t="n">
        <f aca="false">INDEX(CALCULO!$J$7:$J$123,MATCH("73",CALCULO!$A$7:$A$123,0))</f>
        <v>3653.65</v>
      </c>
      <c r="F34" s="11" t="n">
        <f aca="false">INDEX(CALCULO!$K$7:$K$123,MATCH("73",CALCULO!$A$7:$A$123,0))+INDEX(CALCULO!$L$7:$L$123,MATCH("73",CALCULO!$A$7:$A$123,0))</f>
        <v>12.3360493441974</v>
      </c>
      <c r="G34" s="8" t="n">
        <f aca="false">INDEX(CALCULO!$AA$7:$AA$123,MATCH("73",CALCULO!$A$7:$A$123,0))</f>
        <v>1408810.31472355</v>
      </c>
      <c r="H34" s="8" t="n">
        <f aca="false">INDEX(CALCULO!$AB$7:$AB$123,MATCH("73",CALCULO!$A$7:$A$123,0))</f>
        <v>25949.7202933054</v>
      </c>
      <c r="I34" s="8" t="n">
        <f aca="false">INDEX(BLOQUES!$AB$7:$AB$123,MATCH("73",CALCULO!$A$7:$A$123,0))</f>
        <v>598</v>
      </c>
      <c r="J34" s="7" t="str">
        <f aca="false">INDEX(BLOQUES!$AG$7:$AG$123,MATCH("73",CALCULO!$A$7:$A$123,0))&amp;" · "&amp;INDEX(BLOQUES!$AH$7:$AH$123,MATCH("73",CALCULO!$A$7:$A$123,0))</f>
        <v>MOSAICO · Moderada</v>
      </c>
    </row>
    <row r="35" customFormat="false" ht="15" hidden="false" customHeight="false" outlineLevel="0" collapsed="false">
      <c r="A35" s="13" t="s">
        <v>53</v>
      </c>
      <c r="B35" s="7" t="str">
        <f aca="false">INDEX(CALCULO!$B$7:$B$123,MATCH("31",CALCULO!$A$7:$A$123,0))</f>
        <v>T3</v>
      </c>
      <c r="C35" s="11" t="n">
        <f aca="false">INDEX(CALCULO!$D$7:$D$123,MATCH("31",CALCULO!$A$7:$A$123,0))</f>
        <v>47.581</v>
      </c>
      <c r="D35" s="11" t="n">
        <f aca="false">INDEX(CALCULO!$E$7:$E$123,MATCH("31",CALCULO!$A$7:$A$123,0))+INDEX(CALCULO!$F$7:$F$123,MATCH("31",CALCULO!$A$7:$A$123,0))</f>
        <v>37.311</v>
      </c>
      <c r="E35" s="8" t="n">
        <f aca="false">INDEX(CALCULO!$J$7:$J$123,MATCH("31",CALCULO!$A$7:$A$123,0))</f>
        <v>17665.535</v>
      </c>
      <c r="F35" s="11" t="n">
        <f aca="false">INDEX(CALCULO!$K$7:$K$123,MATCH("31",CALCULO!$A$7:$A$123,0))+INDEX(CALCULO!$L$7:$L$123,MATCH("31",CALCULO!$A$7:$A$123,0))</f>
        <v>129.548563611491</v>
      </c>
      <c r="G35" s="8" t="n">
        <f aca="false">INDEX(CALCULO!$AA$7:$AA$123,MATCH("31",CALCULO!$A$7:$A$123,0))</f>
        <v>1799213.68982841</v>
      </c>
      <c r="H35" s="8" t="n">
        <f aca="false">INDEX(CALCULO!$AB$7:$AB$123,MATCH("31",CALCULO!$A$7:$A$123,0))</f>
        <v>37813.7006332025</v>
      </c>
      <c r="I35" s="8" t="n">
        <f aca="false">INDEX(BLOQUES!$AB$7:$AB$123,MATCH("31",CALCULO!$A$7:$A$123,0))</f>
        <v>774</v>
      </c>
      <c r="J35" s="7" t="str">
        <f aca="false">INDEX(BLOQUES!$AG$7:$AG$123,MATCH("31",CALCULO!$A$7:$A$123,0))&amp;" · "&amp;INDEX(BLOQUES!$AH$7:$AH$123,MATCH("31",CALCULO!$A$7:$A$123,0))</f>
        <v>ANDINO · Alta</v>
      </c>
    </row>
    <row r="36" customFormat="false" ht="15" hidden="false" customHeight="false" outlineLevel="0" collapsed="false">
      <c r="A36" s="13" t="s">
        <v>54</v>
      </c>
      <c r="B36" s="7" t="str">
        <f aca="false">INDEX(CALCULO!$B$7:$B$123,MATCH("M6B10",CALCULO!$A$7:$A$123,0))</f>
        <v>T1</v>
      </c>
      <c r="C36" s="11" t="n">
        <f aca="false">INDEX(CALCULO!$D$7:$D$123,MATCH("M6B10",CALCULO!$A$7:$A$123,0))</f>
        <v>249.89</v>
      </c>
      <c r="D36" s="11" t="n">
        <f aca="false">INDEX(CALCULO!$E$7:$E$123,MATCH("M6B10",CALCULO!$A$7:$A$123,0))+INDEX(CALCULO!$F$7:$F$123,MATCH("M6B10",CALCULO!$A$7:$A$123,0))</f>
        <v>249.453</v>
      </c>
      <c r="E36" s="8" t="n">
        <f aca="false">INDEX(CALCULO!$J$7:$J$123,MATCH("M6B10",CALCULO!$A$7:$A$123,0))</f>
        <v>147048.85</v>
      </c>
      <c r="F36" s="11" t="n">
        <f aca="false">INDEX(CALCULO!$K$7:$K$123,MATCH("M6B10",CALCULO!$A$7:$A$123,0))+INDEX(CALCULO!$L$7:$L$123,MATCH("M6B10",CALCULO!$A$7:$A$123,0))</f>
        <v>741.957664338685</v>
      </c>
      <c r="G36" s="8" t="n">
        <f aca="false">INDEX(CALCULO!$AA$7:$AA$123,MATCH("M6B10",CALCULO!$A$7:$A$123,0))</f>
        <v>10217446.1109087</v>
      </c>
      <c r="H36" s="8" t="n">
        <f aca="false">INDEX(CALCULO!$AB$7:$AB$123,MATCH("M6B10",CALCULO!$A$7:$A$123,0))</f>
        <v>40887.7750646633</v>
      </c>
      <c r="I36" s="8" t="n">
        <f aca="false">INDEX(BLOQUES!$AB$7:$AB$123,MATCH("M6B10",CALCULO!$A$7:$A$123,0))</f>
        <v>1200</v>
      </c>
      <c r="J36" s="7" t="str">
        <f aca="false">INDEX(BLOQUES!$AG$7:$AG$123,MATCH("M6B10",CALCULO!$A$7:$A$123,0))&amp;" · "&amp;INDEX(BLOQUES!$AH$7:$AH$123,MATCH("M6B10",CALCULO!$A$7:$A$123,0))</f>
        <v>BES · Alta</v>
      </c>
    </row>
    <row r="38" customFormat="false" ht="36" hidden="false" customHeight="true" outlineLevel="0" collapsed="false">
      <c r="A38" s="6" t="s">
        <v>41</v>
      </c>
      <c r="B38" s="6" t="s">
        <v>55</v>
      </c>
      <c r="C38" s="6" t="s">
        <v>56</v>
      </c>
      <c r="D38" s="6" t="s">
        <v>42</v>
      </c>
      <c r="E38" s="6" t="s">
        <v>46</v>
      </c>
      <c r="F38" s="6" t="s">
        <v>47</v>
      </c>
      <c r="G38" s="6"/>
      <c r="H38" s="6"/>
      <c r="I38" s="6"/>
      <c r="J38" s="6"/>
    </row>
    <row r="39" customFormat="false" ht="25.5" hidden="false" customHeight="true" outlineLevel="0" collapsed="false">
      <c r="A39" s="13" t="s">
        <v>57</v>
      </c>
      <c r="B39" s="15" t="str">
        <f aca="false">INDEX(PAQUETES!$C$7:$C$12,1)&amp;" · "&amp;INDEX(PAQUETES!$D$7:$D$12,1)</f>
        <v>Bosque estacionalmente seco de colina y montaña · Alta</v>
      </c>
      <c r="C39" s="8" t="n">
        <f aca="false">COUNTIF(B_TIP,"T1")</f>
        <v>47</v>
      </c>
      <c r="D39" s="11" t="n">
        <f aca="false">SUMIFS(B_AREA,B_TIP,"T1")</f>
        <v>7645.154</v>
      </c>
      <c r="E39" s="8" t="n">
        <f aca="false">SUMIFS(CALCULO!$AA$7:$AA$123,CALCULO!$B$7:$B$123,"T1")</f>
        <v>245593082.508294</v>
      </c>
      <c r="F39" s="8" t="n">
        <f aca="false">IF(D39=0,0,E39/D39)</f>
        <v>32124.0203282097</v>
      </c>
    </row>
    <row r="40" customFormat="false" ht="25.5" hidden="false" customHeight="true" outlineLevel="0" collapsed="false">
      <c r="A40" s="13" t="s">
        <v>58</v>
      </c>
      <c r="B40" s="15" t="str">
        <f aca="false">INDEX(PAQUETES!$C$7:$C$12,2)&amp;" · "&amp;INDEX(PAQUETES!$D$7:$D$12,2)</f>
        <v>Bosque estacionalmente seco de colina y montaña · Moderada</v>
      </c>
      <c r="C40" s="8" t="n">
        <f aca="false">COUNTIF(B_TIP,"T2")</f>
        <v>7</v>
      </c>
      <c r="D40" s="11" t="n">
        <f aca="false">SUMIFS(B_AREA,B_TIP,"T2")</f>
        <v>596.926</v>
      </c>
      <c r="E40" s="8" t="n">
        <f aca="false">SUMIFS(CALCULO!$AA$7:$AA$123,CALCULO!$B$7:$B$123,"T2")</f>
        <v>6054815.48597773</v>
      </c>
      <c r="F40" s="8" t="n">
        <f aca="false">IF(D40=0,0,E40/D40)</f>
        <v>10143.3267875377</v>
      </c>
    </row>
    <row r="41" customFormat="false" ht="25.5" hidden="false" customHeight="true" outlineLevel="0" collapsed="false">
      <c r="A41" s="13" t="s">
        <v>59</v>
      </c>
      <c r="B41" s="15" t="str">
        <f aca="false">INDEX(PAQUETES!$C$7:$C$12,3)&amp;" · "&amp;INDEX(PAQUETES!$D$7:$D$12,3)</f>
        <v>Andino (matorral andino + páramo + relicto montano) · Alta</v>
      </c>
      <c r="C41" s="8" t="n">
        <f aca="false">COUNTIF(B_TIP,"T3")</f>
        <v>3</v>
      </c>
      <c r="D41" s="11" t="n">
        <f aca="false">SUMIFS(B_AREA,B_TIP,"T3")</f>
        <v>95.24</v>
      </c>
      <c r="E41" s="8" t="n">
        <f aca="false">SUMIFS(CALCULO!$AA$7:$AA$123,CALCULO!$B$7:$B$123,"T3")</f>
        <v>3188724.3861941</v>
      </c>
      <c r="F41" s="8" t="n">
        <f aca="false">IF(D41=0,0,E41/D41)</f>
        <v>33480.9364363093</v>
      </c>
    </row>
    <row r="42" customFormat="false" ht="25.5" hidden="false" customHeight="true" outlineLevel="0" collapsed="false">
      <c r="A42" s="13" t="s">
        <v>60</v>
      </c>
      <c r="B42" s="15" t="str">
        <f aca="false">INDEX(PAQUETES!$C$7:$C$12,4)&amp;" · "&amp;INDEX(PAQUETES!$D$7:$D$12,4)</f>
        <v>Andino (matorral andino + páramo + relicto montano) · Moderada</v>
      </c>
      <c r="C42" s="8" t="n">
        <f aca="false">COUNTIF(B_TIP,"T4")</f>
        <v>20</v>
      </c>
      <c r="D42" s="11" t="n">
        <f aca="false">SUMIFS(B_AREA,B_TIP,"T4")</f>
        <v>1000.648</v>
      </c>
      <c r="E42" s="8" t="n">
        <f aca="false">SUMIFS(CALCULO!$AA$7:$AA$123,CALCULO!$B$7:$B$123,"T4")</f>
        <v>8146657.64274896</v>
      </c>
      <c r="F42" s="8" t="n">
        <f aca="false">IF(D42=0,0,E42/D42)</f>
        <v>8141.38202719534</v>
      </c>
    </row>
    <row r="43" customFormat="false" ht="25.5" hidden="false" customHeight="true" outlineLevel="0" collapsed="false">
      <c r="A43" s="13" t="s">
        <v>61</v>
      </c>
      <c r="B43" s="15" t="str">
        <f aca="false">INDEX(PAQUETES!$C$7:$C$12,5)&amp;" · "&amp;INDEX(PAQUETES!$D$7:$D$12,5)</f>
        <v>Mosaico agroforestal (zona agrícola MINAM) · Alta</v>
      </c>
      <c r="C43" s="8" t="n">
        <f aca="false">COUNTIF(B_TIP,"T5")</f>
        <v>3</v>
      </c>
      <c r="D43" s="11" t="n">
        <f aca="false">SUMIFS(B_AREA,B_TIP,"T5")</f>
        <v>106.884</v>
      </c>
      <c r="E43" s="8" t="n">
        <f aca="false">SUMIFS(CALCULO!$AA$7:$AA$123,CALCULO!$B$7:$B$123,"T5")</f>
        <v>8982524.35223879</v>
      </c>
      <c r="F43" s="8" t="n">
        <f aca="false">IF(D43=0,0,E43/D43)</f>
        <v>84039.9344358257</v>
      </c>
    </row>
    <row r="44" customFormat="false" ht="25.5" hidden="false" customHeight="true" outlineLevel="0" collapsed="false">
      <c r="A44" s="13" t="s">
        <v>62</v>
      </c>
      <c r="B44" s="15" t="str">
        <f aca="false">INDEX(PAQUETES!$C$7:$C$12,6)&amp;" · "&amp;INDEX(PAQUETES!$D$7:$D$12,6)</f>
        <v>Mosaico agroforestal (zona agrícola MINAM) · Moderada</v>
      </c>
      <c r="C44" s="8" t="n">
        <f aca="false">COUNTIF(B_TIP,"T6")</f>
        <v>37</v>
      </c>
      <c r="D44" s="11" t="n">
        <f aca="false">SUMIFS(B_AREA,B_TIP,"T6")</f>
        <v>2825.383</v>
      </c>
      <c r="E44" s="8" t="n">
        <f aca="false">SUMIFS(CALCULO!$AA$7:$AA$123,CALCULO!$B$7:$B$123,"T6")</f>
        <v>71088860.6859908</v>
      </c>
      <c r="F44" s="8" t="n">
        <f aca="false">IF(D44=0,0,E44/D44)</f>
        <v>25160.7872936132</v>
      </c>
    </row>
    <row r="46" customFormat="false" ht="15" hidden="false" customHeight="false" outlineLevel="0" collapsed="false">
      <c r="A46" s="16" t="s">
        <v>63</v>
      </c>
      <c r="B46" s="16"/>
      <c r="C46" s="16"/>
      <c r="D46" s="16"/>
      <c r="E46" s="16"/>
      <c r="F46" s="16"/>
      <c r="G46" s="16"/>
      <c r="H46" s="16"/>
      <c r="I46" s="16"/>
      <c r="J46" s="16"/>
    </row>
    <row r="47" customFormat="false" ht="15" hidden="false" customHeight="false" outlineLevel="0" collapsed="false">
      <c r="A47" s="17" t="s">
        <v>64</v>
      </c>
      <c r="B47" s="17"/>
      <c r="C47" s="17"/>
      <c r="D47" s="17"/>
      <c r="E47" s="17"/>
      <c r="F47" s="17"/>
      <c r="G47" s="17"/>
      <c r="H47" s="17"/>
      <c r="I47" s="17"/>
      <c r="J47" s="17"/>
    </row>
    <row r="48" customFormat="false" ht="15" hidden="false" customHeight="false" outlineLevel="0" collapsed="false">
      <c r="A48" s="17" t="s">
        <v>65</v>
      </c>
      <c r="B48" s="17"/>
      <c r="C48" s="17"/>
      <c r="D48" s="17"/>
      <c r="E48" s="17"/>
      <c r="F48" s="17"/>
      <c r="G48" s="17"/>
      <c r="H48" s="17"/>
      <c r="I48" s="17"/>
      <c r="J48" s="17"/>
    </row>
    <row r="49" customFormat="false" ht="15" hidden="false" customHeight="false" outlineLevel="0" collapsed="false">
      <c r="A49" s="17" t="s">
        <v>66</v>
      </c>
      <c r="B49" s="17"/>
      <c r="C49" s="17"/>
      <c r="D49" s="17"/>
      <c r="E49" s="17"/>
      <c r="F49" s="17"/>
      <c r="G49" s="17"/>
      <c r="H49" s="17"/>
      <c r="I49" s="17"/>
      <c r="J49" s="17"/>
    </row>
    <row r="50" customFormat="false" ht="15" hidden="false" customHeight="false" outlineLevel="0" collapsed="false">
      <c r="A50" s="17" t="s">
        <v>67</v>
      </c>
      <c r="B50" s="17"/>
      <c r="C50" s="17"/>
      <c r="D50" s="17"/>
      <c r="E50" s="17"/>
      <c r="F50" s="17"/>
      <c r="G50" s="17"/>
      <c r="H50" s="17"/>
      <c r="I50" s="17"/>
      <c r="J50" s="17"/>
    </row>
    <row r="51" customFormat="false" ht="15" hidden="false" customHeight="false" outlineLevel="0" collapsed="false">
      <c r="A51" s="17" t="s">
        <v>68</v>
      </c>
      <c r="B51" s="17"/>
      <c r="C51" s="17"/>
      <c r="D51" s="17"/>
      <c r="E51" s="17"/>
      <c r="F51" s="17"/>
      <c r="G51" s="17"/>
      <c r="H51" s="17"/>
      <c r="I51" s="17"/>
      <c r="J51" s="17"/>
    </row>
    <row r="52" customFormat="false" ht="15" hidden="false" customHeight="false" outlineLevel="0" collapsed="false">
      <c r="A52" s="17" t="s">
        <v>69</v>
      </c>
      <c r="B52" s="17"/>
      <c r="C52" s="17"/>
      <c r="D52" s="17"/>
      <c r="E52" s="17"/>
      <c r="F52" s="17"/>
      <c r="G52" s="17"/>
      <c r="H52" s="17"/>
      <c r="I52" s="17"/>
      <c r="J52" s="17"/>
    </row>
  </sheetData>
  <mergeCells count="12">
    <mergeCell ref="A1:J1"/>
    <mergeCell ref="A2:J2"/>
    <mergeCell ref="A3:J3"/>
    <mergeCell ref="A4:J4"/>
    <mergeCell ref="A5:J5"/>
    <mergeCell ref="A46:J46"/>
    <mergeCell ref="A47:J47"/>
    <mergeCell ref="A48:J48"/>
    <mergeCell ref="A49:J49"/>
    <mergeCell ref="A50:J50"/>
    <mergeCell ref="A51:J51"/>
    <mergeCell ref="A52:J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F72"/>
    <pageSetUpPr fitToPage="tru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  <col collapsed="false" customWidth="true" hidden="false" outlineLevel="0" max="4" min="3" style="0" width="4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4" customFormat="false" ht="19.5" hidden="false" customHeight="true" outlineLevel="0" collapsed="false">
      <c r="A4" s="4" t="s">
        <v>70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5" t="s">
        <v>71</v>
      </c>
      <c r="B5" s="5"/>
      <c r="C5" s="5"/>
      <c r="D5" s="5"/>
      <c r="E5" s="5"/>
      <c r="F5" s="5"/>
    </row>
    <row r="7" customFormat="false" ht="54" hidden="false" customHeight="true" outlineLevel="0" collapsed="false">
      <c r="A7" s="18" t="s">
        <v>72</v>
      </c>
      <c r="B7" s="15" t="s">
        <v>73</v>
      </c>
      <c r="C7" s="15"/>
      <c r="D7" s="15"/>
    </row>
    <row r="8" customFormat="false" ht="54" hidden="false" customHeight="true" outlineLevel="0" collapsed="false">
      <c r="A8" s="18" t="s">
        <v>74</v>
      </c>
      <c r="B8" s="15" t="s">
        <v>75</v>
      </c>
      <c r="C8" s="15"/>
      <c r="D8" s="15"/>
    </row>
    <row r="9" customFormat="false" ht="54" hidden="false" customHeight="true" outlineLevel="0" collapsed="false">
      <c r="A9" s="18" t="s">
        <v>76</v>
      </c>
      <c r="B9" s="15" t="s">
        <v>77</v>
      </c>
      <c r="C9" s="15"/>
      <c r="D9" s="15"/>
    </row>
    <row r="10" customFormat="false" ht="54" hidden="false" customHeight="true" outlineLevel="0" collapsed="false">
      <c r="A10" s="18" t="s">
        <v>78</v>
      </c>
      <c r="B10" s="15" t="s">
        <v>79</v>
      </c>
      <c r="C10" s="15"/>
      <c r="D10" s="15"/>
    </row>
    <row r="11" customFormat="false" ht="54" hidden="false" customHeight="true" outlineLevel="0" collapsed="false">
      <c r="A11" s="18" t="s">
        <v>80</v>
      </c>
      <c r="B11" s="15" t="s">
        <v>81</v>
      </c>
      <c r="C11" s="15"/>
      <c r="D11" s="15"/>
    </row>
    <row r="12" customFormat="false" ht="54" hidden="false" customHeight="true" outlineLevel="0" collapsed="false">
      <c r="A12" s="18" t="s">
        <v>82</v>
      </c>
      <c r="B12" s="15" t="s">
        <v>83</v>
      </c>
      <c r="C12" s="15"/>
      <c r="D12" s="15"/>
    </row>
    <row r="13" customFormat="false" ht="54" hidden="false" customHeight="true" outlineLevel="0" collapsed="false">
      <c r="A13" s="18" t="s">
        <v>84</v>
      </c>
      <c r="B13" s="15" t="s">
        <v>85</v>
      </c>
      <c r="C13" s="15"/>
      <c r="D13" s="15"/>
    </row>
    <row r="14" customFormat="false" ht="54" hidden="false" customHeight="true" outlineLevel="0" collapsed="false">
      <c r="A14" s="18" t="s">
        <v>86</v>
      </c>
      <c r="B14" s="15" t="s">
        <v>87</v>
      </c>
      <c r="C14" s="15"/>
      <c r="D14" s="15"/>
    </row>
    <row r="15" customFormat="false" ht="54" hidden="false" customHeight="true" outlineLevel="0" collapsed="false">
      <c r="A15" s="18" t="s">
        <v>88</v>
      </c>
      <c r="B15" s="15" t="s">
        <v>89</v>
      </c>
      <c r="C15" s="15"/>
      <c r="D15" s="15"/>
    </row>
    <row r="16" customFormat="false" ht="54" hidden="false" customHeight="true" outlineLevel="0" collapsed="false">
      <c r="A16" s="18" t="s">
        <v>90</v>
      </c>
      <c r="B16" s="15" t="s">
        <v>91</v>
      </c>
      <c r="C16" s="15"/>
      <c r="D16" s="15"/>
    </row>
    <row r="17" customFormat="false" ht="54" hidden="false" customHeight="true" outlineLevel="0" collapsed="false">
      <c r="A17" s="18" t="s">
        <v>92</v>
      </c>
      <c r="B17" s="15" t="s">
        <v>93</v>
      </c>
      <c r="C17" s="15"/>
      <c r="D17" s="15"/>
    </row>
    <row r="18" customFormat="false" ht="54" hidden="false" customHeight="true" outlineLevel="0" collapsed="false">
      <c r="A18" s="18" t="s">
        <v>94</v>
      </c>
      <c r="B18" s="15" t="s">
        <v>95</v>
      </c>
      <c r="C18" s="15"/>
      <c r="D18" s="15"/>
    </row>
  </sheetData>
  <mergeCells count="17">
    <mergeCell ref="A1:F1"/>
    <mergeCell ref="A2:F2"/>
    <mergeCell ref="A3:F3"/>
    <mergeCell ref="A4:F4"/>
    <mergeCell ref="A5:F5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K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70"/>
    <col collapsed="false" customWidth="true" hidden="false" outlineLevel="0" max="6" min="6" style="0" width="2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2"/>
    <col collapsed="false" customWidth="true" hidden="false" outlineLevel="0" max="10" min="10" style="0" width="1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9.5" hidden="false" customHeight="true" outlineLevel="0" collapsed="false">
      <c r="A4" s="4" t="s">
        <v>96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false" ht="15" hidden="false" customHeight="false" outlineLevel="0" collapsed="false">
      <c r="A5" s="5" t="s">
        <v>97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customFormat="false" ht="36" hidden="false" customHeight="true" outlineLevel="0" collapsed="false">
      <c r="A6" s="6" t="s">
        <v>98</v>
      </c>
      <c r="B6" s="6" t="s">
        <v>99</v>
      </c>
      <c r="C6" s="6" t="s">
        <v>100</v>
      </c>
      <c r="D6" s="6" t="s">
        <v>8</v>
      </c>
      <c r="E6" s="6" t="s">
        <v>101</v>
      </c>
      <c r="G6" s="19" t="s">
        <v>102</v>
      </c>
      <c r="H6" s="19" t="s">
        <v>103</v>
      </c>
      <c r="I6" s="19" t="s">
        <v>104</v>
      </c>
      <c r="J6" s="19" t="s">
        <v>105</v>
      </c>
    </row>
    <row r="7" customFormat="false" ht="15" hidden="false" customHeight="false" outlineLevel="0" collapsed="false">
      <c r="A7" s="20" t="s">
        <v>106</v>
      </c>
      <c r="B7" s="20"/>
      <c r="C7" s="20"/>
      <c r="D7" s="20"/>
      <c r="E7" s="20"/>
      <c r="G7" s="7" t="s">
        <v>107</v>
      </c>
      <c r="H7" s="21" t="n">
        <v>25.81</v>
      </c>
      <c r="I7" s="22" t="n">
        <f aca="false">H7/$H$10</f>
        <v>1.53814064362336</v>
      </c>
      <c r="J7" s="11" t="n">
        <f aca="false">P_HH_PEON*I7</f>
        <v>19.226758045292</v>
      </c>
    </row>
    <row r="8" customFormat="false" ht="15" hidden="false" customHeight="false" outlineLevel="0" collapsed="false">
      <c r="A8" s="23" t="s">
        <v>108</v>
      </c>
      <c r="B8" s="15" t="s">
        <v>109</v>
      </c>
      <c r="C8" s="24" t="n">
        <v>100</v>
      </c>
      <c r="D8" s="7" t="s">
        <v>110</v>
      </c>
      <c r="E8" s="25" t="s">
        <v>111</v>
      </c>
      <c r="G8" s="7" t="s">
        <v>112</v>
      </c>
      <c r="H8" s="21" t="n">
        <v>23.46</v>
      </c>
      <c r="I8" s="22" t="n">
        <f aca="false">H8/$H$10</f>
        <v>1.39809296781883</v>
      </c>
      <c r="J8" s="11" t="n">
        <f aca="false">P_HH_PEON*I8</f>
        <v>17.4761620977354</v>
      </c>
    </row>
    <row r="9" customFormat="false" ht="15" hidden="false" customHeight="false" outlineLevel="0" collapsed="false">
      <c r="A9" s="23" t="s">
        <v>113</v>
      </c>
      <c r="B9" s="15" t="s">
        <v>114</v>
      </c>
      <c r="C9" s="24" t="n">
        <v>8</v>
      </c>
      <c r="D9" s="7" t="s">
        <v>115</v>
      </c>
      <c r="E9" s="25" t="s">
        <v>116</v>
      </c>
      <c r="G9" s="7" t="s">
        <v>117</v>
      </c>
      <c r="H9" s="21" t="n">
        <v>18.56</v>
      </c>
      <c r="I9" s="22" t="n">
        <f aca="false">H9/$H$10</f>
        <v>1.10607866507747</v>
      </c>
      <c r="J9" s="11" t="n">
        <f aca="false">P_HH_PEON*I9</f>
        <v>13.8259833134684</v>
      </c>
    </row>
    <row r="10" customFormat="false" ht="15" hidden="false" customHeight="false" outlineLevel="0" collapsed="false">
      <c r="A10" s="23" t="s">
        <v>118</v>
      </c>
      <c r="B10" s="15" t="s">
        <v>119</v>
      </c>
      <c r="C10" s="11" t="n">
        <f aca="false">P_JORNAL/P_HORAS</f>
        <v>12.5</v>
      </c>
      <c r="D10" s="7" t="s">
        <v>120</v>
      </c>
      <c r="E10" s="25" t="s">
        <v>121</v>
      </c>
      <c r="G10" s="7" t="s">
        <v>122</v>
      </c>
      <c r="H10" s="21" t="n">
        <v>16.78</v>
      </c>
      <c r="I10" s="22" t="n">
        <f aca="false">H10/$H$10</f>
        <v>1</v>
      </c>
      <c r="J10" s="11" t="n">
        <f aca="false">P_HH_PEON*I10</f>
        <v>12.5</v>
      </c>
    </row>
    <row r="11" customFormat="false" ht="22.35" hidden="false" customHeight="false" outlineLevel="0" collapsed="false">
      <c r="A11" s="23" t="s">
        <v>123</v>
      </c>
      <c r="B11" s="15" t="s">
        <v>124</v>
      </c>
      <c r="C11" s="22" t="n">
        <f aca="false">PRODUCT(PARAMETROS!$I$15:$I$20)</f>
        <v>1.28629584102757</v>
      </c>
      <c r="D11" s="7" t="s">
        <v>125</v>
      </c>
      <c r="E11" s="25" t="s">
        <v>126</v>
      </c>
      <c r="G11" s="23" t="s">
        <v>127</v>
      </c>
    </row>
    <row r="12" customFormat="false" ht="15" hidden="false" customHeight="false" outlineLevel="0" collapsed="false">
      <c r="A12" s="23" t="s">
        <v>128</v>
      </c>
      <c r="B12" s="15" t="s">
        <v>129</v>
      </c>
      <c r="C12" s="24" t="n">
        <v>3.4</v>
      </c>
      <c r="D12" s="7" t="s">
        <v>130</v>
      </c>
      <c r="E12" s="25" t="s">
        <v>131</v>
      </c>
    </row>
    <row r="13" customFormat="false" ht="15" hidden="false" customHeight="false" outlineLevel="0" collapsed="false">
      <c r="A13" s="23" t="s">
        <v>132</v>
      </c>
      <c r="B13" s="15" t="s">
        <v>133</v>
      </c>
      <c r="C13" s="26" t="n">
        <v>0.18</v>
      </c>
      <c r="D13" s="7" t="s">
        <v>36</v>
      </c>
      <c r="E13" s="25" t="s">
        <v>134</v>
      </c>
    </row>
    <row r="14" customFormat="false" ht="32.8" hidden="false" customHeight="false" outlineLevel="0" collapsed="false">
      <c r="A14" s="20" t="s">
        <v>135</v>
      </c>
      <c r="B14" s="20"/>
      <c r="C14" s="20"/>
      <c r="D14" s="20"/>
      <c r="E14" s="20"/>
      <c r="G14" s="19" t="s">
        <v>136</v>
      </c>
      <c r="H14" s="19" t="s">
        <v>137</v>
      </c>
      <c r="I14" s="19" t="s">
        <v>138</v>
      </c>
    </row>
    <row r="15" customFormat="false" ht="15" hidden="false" customHeight="false" outlineLevel="0" collapsed="false">
      <c r="A15" s="23" t="s">
        <v>139</v>
      </c>
      <c r="B15" s="15" t="s">
        <v>140</v>
      </c>
      <c r="C15" s="26" t="n">
        <v>0.1</v>
      </c>
      <c r="D15" s="7" t="s">
        <v>141</v>
      </c>
      <c r="E15" s="25" t="s">
        <v>142</v>
      </c>
      <c r="G15" s="7" t="s">
        <v>143</v>
      </c>
      <c r="H15" s="27" t="n">
        <v>6.43038716340725</v>
      </c>
      <c r="I15" s="22" t="n">
        <f aca="false">1+H15/100</f>
        <v>1.06430387163407</v>
      </c>
    </row>
    <row r="16" customFormat="false" ht="15" hidden="false" customHeight="false" outlineLevel="0" collapsed="false">
      <c r="A16" s="23" t="s">
        <v>144</v>
      </c>
      <c r="B16" s="15" t="s">
        <v>145</v>
      </c>
      <c r="C16" s="24" t="n">
        <v>3</v>
      </c>
      <c r="D16" s="7" t="s">
        <v>146</v>
      </c>
      <c r="E16" s="25" t="s">
        <v>147</v>
      </c>
      <c r="G16" s="7" t="s">
        <v>148</v>
      </c>
      <c r="H16" s="27" t="n">
        <v>8.45916200000001</v>
      </c>
      <c r="I16" s="22" t="n">
        <f aca="false">1+H16/100</f>
        <v>1.08459162</v>
      </c>
    </row>
    <row r="17" customFormat="false" ht="15" hidden="false" customHeight="false" outlineLevel="0" collapsed="false">
      <c r="A17" s="23" t="s">
        <v>149</v>
      </c>
      <c r="B17" s="15" t="s">
        <v>150</v>
      </c>
      <c r="C17" s="24" t="n">
        <v>4</v>
      </c>
      <c r="D17" s="7" t="s">
        <v>151</v>
      </c>
      <c r="E17" s="25" t="s">
        <v>152</v>
      </c>
      <c r="G17" s="7" t="s">
        <v>153</v>
      </c>
      <c r="H17" s="27" t="n">
        <v>3.23738256432406</v>
      </c>
      <c r="I17" s="22" t="n">
        <f aca="false">1+H17/100</f>
        <v>1.03237382564324</v>
      </c>
    </row>
    <row r="18" customFormat="false" ht="15" hidden="false" customHeight="false" outlineLevel="0" collapsed="false">
      <c r="A18" s="23" t="s">
        <v>154</v>
      </c>
      <c r="B18" s="15" t="s">
        <v>155</v>
      </c>
      <c r="C18" s="24" t="n">
        <v>1.5</v>
      </c>
      <c r="D18" s="7" t="s">
        <v>156</v>
      </c>
      <c r="E18" s="25" t="s">
        <v>157</v>
      </c>
      <c r="G18" s="7" t="s">
        <v>158</v>
      </c>
      <c r="H18" s="27" t="n">
        <v>1.96630270142824</v>
      </c>
      <c r="I18" s="22" t="n">
        <f aca="false">1+H18/100</f>
        <v>1.01966302701428</v>
      </c>
    </row>
    <row r="19" customFormat="false" ht="15" hidden="false" customHeight="false" outlineLevel="0" collapsed="false">
      <c r="A19" s="23" t="s">
        <v>159</v>
      </c>
      <c r="B19" s="15" t="s">
        <v>160</v>
      </c>
      <c r="C19" s="24" t="n">
        <v>0.17</v>
      </c>
      <c r="D19" s="7" t="s">
        <v>161</v>
      </c>
      <c r="E19" s="25" t="s">
        <v>162</v>
      </c>
      <c r="G19" s="7" t="s">
        <v>163</v>
      </c>
      <c r="H19" s="27" t="n">
        <v>1.50879973918667</v>
      </c>
      <c r="I19" s="22" t="n">
        <f aca="false">1+H19/100</f>
        <v>1.01508799739187</v>
      </c>
    </row>
    <row r="20" customFormat="false" ht="15" hidden="false" customHeight="false" outlineLevel="0" collapsed="false">
      <c r="A20" s="20" t="s">
        <v>164</v>
      </c>
      <c r="B20" s="20"/>
      <c r="C20" s="20"/>
      <c r="D20" s="20"/>
      <c r="E20" s="20"/>
      <c r="G20" s="7" t="s">
        <v>165</v>
      </c>
      <c r="H20" s="27" t="n">
        <v>4.28254681695769</v>
      </c>
      <c r="I20" s="22" t="n">
        <f aca="false">1+H20/100</f>
        <v>1.04282546816958</v>
      </c>
    </row>
    <row r="21" customFormat="false" ht="15" hidden="false" customHeight="false" outlineLevel="0" collapsed="false">
      <c r="A21" s="23" t="s">
        <v>166</v>
      </c>
      <c r="B21" s="15" t="s">
        <v>167</v>
      </c>
      <c r="C21" s="24" t="n">
        <v>40</v>
      </c>
      <c r="D21" s="7" t="s">
        <v>168</v>
      </c>
      <c r="E21" s="25" t="s">
        <v>169</v>
      </c>
      <c r="G21" s="23" t="s">
        <v>170</v>
      </c>
    </row>
    <row r="22" customFormat="false" ht="15" hidden="false" customHeight="false" outlineLevel="0" collapsed="false">
      <c r="A22" s="23" t="s">
        <v>171</v>
      </c>
      <c r="B22" s="15" t="s">
        <v>172</v>
      </c>
      <c r="C22" s="24" t="n">
        <v>5</v>
      </c>
      <c r="D22" s="7" t="s">
        <v>173</v>
      </c>
      <c r="E22" s="25" t="s">
        <v>169</v>
      </c>
    </row>
    <row r="23" customFormat="false" ht="15" hidden="false" customHeight="false" outlineLevel="0" collapsed="false">
      <c r="A23" s="23" t="s">
        <v>174</v>
      </c>
      <c r="B23" s="15" t="s">
        <v>175</v>
      </c>
      <c r="C23" s="24" t="n">
        <v>8</v>
      </c>
      <c r="D23" s="7" t="s">
        <v>173</v>
      </c>
      <c r="E23" s="25" t="s">
        <v>169</v>
      </c>
    </row>
    <row r="24" customFormat="false" ht="15" hidden="false" customHeight="false" outlineLevel="0" collapsed="false">
      <c r="A24" s="23" t="s">
        <v>176</v>
      </c>
      <c r="B24" s="15" t="s">
        <v>177</v>
      </c>
      <c r="C24" s="24" t="n">
        <v>8</v>
      </c>
      <c r="D24" s="7" t="s">
        <v>178</v>
      </c>
      <c r="E24" s="25" t="s">
        <v>179</v>
      </c>
    </row>
    <row r="25" customFormat="false" ht="15" hidden="false" customHeight="false" outlineLevel="0" collapsed="false">
      <c r="A25" s="23" t="s">
        <v>180</v>
      </c>
      <c r="B25" s="15" t="s">
        <v>181</v>
      </c>
      <c r="C25" s="26" t="n">
        <v>0.95</v>
      </c>
      <c r="D25" s="7" t="s">
        <v>36</v>
      </c>
      <c r="E25" s="25" t="s">
        <v>169</v>
      </c>
    </row>
    <row r="26" customFormat="false" ht="15" hidden="false" customHeight="false" outlineLevel="0" collapsed="false">
      <c r="A26" s="23" t="s">
        <v>182</v>
      </c>
      <c r="B26" s="15" t="s">
        <v>183</v>
      </c>
      <c r="C26" s="24" t="n">
        <v>1</v>
      </c>
      <c r="D26" s="7" t="s">
        <v>125</v>
      </c>
      <c r="E26" s="25" t="s">
        <v>184</v>
      </c>
    </row>
    <row r="27" customFormat="false" ht="19.4" hidden="false" customHeight="false" outlineLevel="0" collapsed="false">
      <c r="A27" s="23" t="s">
        <v>185</v>
      </c>
      <c r="B27" s="15" t="s">
        <v>186</v>
      </c>
      <c r="C27" s="24" t="n">
        <v>2500</v>
      </c>
      <c r="D27" s="7" t="s">
        <v>187</v>
      </c>
      <c r="E27" s="25" t="s">
        <v>188</v>
      </c>
    </row>
    <row r="28" customFormat="false" ht="15" hidden="false" customHeight="false" outlineLevel="0" collapsed="false">
      <c r="A28" s="23" t="s">
        <v>189</v>
      </c>
      <c r="B28" s="15" t="s">
        <v>190</v>
      </c>
      <c r="C28" s="28" t="n">
        <v>15000</v>
      </c>
      <c r="D28" s="7" t="s">
        <v>168</v>
      </c>
      <c r="E28" s="25" t="s">
        <v>169</v>
      </c>
    </row>
    <row r="29" customFormat="false" ht="15" hidden="false" customHeight="false" outlineLevel="0" collapsed="false">
      <c r="A29" s="23" t="s">
        <v>191</v>
      </c>
      <c r="B29" s="15" t="s">
        <v>192</v>
      </c>
      <c r="C29" s="22" t="n">
        <f aca="false">P_FT_VIAJE/P_FT_CAP*P_FACT_IPC</f>
        <v>0.214382640171262</v>
      </c>
      <c r="D29" s="7" t="s">
        <v>193</v>
      </c>
      <c r="E29" s="25" t="s">
        <v>194</v>
      </c>
    </row>
    <row r="30" customFormat="false" ht="15" hidden="false" customHeight="false" outlineLevel="0" collapsed="false">
      <c r="A30" s="20" t="s">
        <v>195</v>
      </c>
      <c r="B30" s="20"/>
      <c r="C30" s="20"/>
      <c r="D30" s="20"/>
      <c r="E30" s="20"/>
    </row>
    <row r="31" customFormat="false" ht="19.4" hidden="false" customHeight="false" outlineLevel="0" collapsed="false">
      <c r="A31" s="23" t="s">
        <v>196</v>
      </c>
      <c r="B31" s="15" t="s">
        <v>197</v>
      </c>
      <c r="C31" s="29" t="n">
        <f aca="false">PARAMETROS!$C$70/PARAMETROS!$C$69</f>
        <v>0.150773510070974</v>
      </c>
      <c r="D31" s="7" t="s">
        <v>198</v>
      </c>
      <c r="E31" s="25" t="s">
        <v>199</v>
      </c>
    </row>
    <row r="32" customFormat="false" ht="15" hidden="false" customHeight="false" outlineLevel="0" collapsed="false">
      <c r="A32" s="23" t="s">
        <v>200</v>
      </c>
      <c r="B32" s="15" t="s">
        <v>201</v>
      </c>
      <c r="C32" s="29" t="n">
        <v>0</v>
      </c>
      <c r="D32" s="7" t="s">
        <v>198</v>
      </c>
      <c r="E32" s="25" t="s">
        <v>202</v>
      </c>
    </row>
    <row r="33" customFormat="false" ht="15" hidden="false" customHeight="false" outlineLevel="0" collapsed="false">
      <c r="A33" s="23" t="s">
        <v>203</v>
      </c>
      <c r="B33" s="15" t="s">
        <v>204</v>
      </c>
      <c r="C33" s="29" t="n">
        <v>0</v>
      </c>
      <c r="D33" s="7" t="s">
        <v>198</v>
      </c>
      <c r="E33" s="25" t="s">
        <v>202</v>
      </c>
    </row>
    <row r="34" customFormat="false" ht="15" hidden="false" customHeight="false" outlineLevel="0" collapsed="false">
      <c r="A34" s="20" t="s">
        <v>78</v>
      </c>
      <c r="B34" s="20"/>
      <c r="C34" s="20"/>
      <c r="D34" s="20"/>
      <c r="E34" s="20"/>
    </row>
    <row r="35" customFormat="false" ht="15" hidden="false" customHeight="false" outlineLevel="0" collapsed="false">
      <c r="A35" s="23" t="s">
        <v>205</v>
      </c>
      <c r="B35" s="15" t="s">
        <v>206</v>
      </c>
      <c r="C35" s="30" t="n">
        <v>0.4976</v>
      </c>
      <c r="D35" s="7" t="s">
        <v>207</v>
      </c>
      <c r="E35" s="25" t="s">
        <v>208</v>
      </c>
    </row>
    <row r="36" customFormat="false" ht="15" hidden="false" customHeight="false" outlineLevel="0" collapsed="false">
      <c r="A36" s="23" t="s">
        <v>209</v>
      </c>
      <c r="B36" s="15" t="s">
        <v>210</v>
      </c>
      <c r="C36" s="26" t="n">
        <v>0.5</v>
      </c>
      <c r="D36" s="7" t="s">
        <v>36</v>
      </c>
      <c r="E36" s="25" t="s">
        <v>211</v>
      </c>
    </row>
    <row r="37" customFormat="false" ht="15" hidden="false" customHeight="false" outlineLevel="0" collapsed="false">
      <c r="A37" s="23" t="s">
        <v>212</v>
      </c>
      <c r="B37" s="15" t="s">
        <v>213</v>
      </c>
      <c r="C37" s="8" t="n">
        <v>4</v>
      </c>
      <c r="D37" s="7" t="s">
        <v>214</v>
      </c>
      <c r="E37" s="25" t="s">
        <v>215</v>
      </c>
    </row>
    <row r="38" customFormat="false" ht="15" hidden="false" customHeight="false" outlineLevel="0" collapsed="false">
      <c r="A38" s="20" t="s">
        <v>216</v>
      </c>
      <c r="B38" s="20"/>
      <c r="C38" s="20"/>
      <c r="D38" s="20"/>
      <c r="E38" s="20"/>
    </row>
    <row r="39" customFormat="false" ht="15" hidden="false" customHeight="false" outlineLevel="0" collapsed="false">
      <c r="A39" s="23" t="s">
        <v>217</v>
      </c>
      <c r="B39" s="15" t="s">
        <v>218</v>
      </c>
      <c r="C39" s="26" t="n">
        <v>0.08</v>
      </c>
      <c r="D39" s="7" t="s">
        <v>36</v>
      </c>
      <c r="E39" s="25" t="s">
        <v>219</v>
      </c>
    </row>
    <row r="40" customFormat="false" ht="15" hidden="false" customHeight="false" outlineLevel="0" collapsed="false">
      <c r="A40" s="23" t="s">
        <v>220</v>
      </c>
      <c r="B40" s="15" t="s">
        <v>221</v>
      </c>
      <c r="C40" s="24" t="n">
        <v>0.42</v>
      </c>
      <c r="D40" s="7" t="s">
        <v>125</v>
      </c>
      <c r="E40" s="25" t="s">
        <v>222</v>
      </c>
    </row>
    <row r="41" customFormat="false" ht="15" hidden="false" customHeight="false" outlineLevel="0" collapsed="false">
      <c r="A41" s="23" t="s">
        <v>223</v>
      </c>
      <c r="B41" s="15" t="s">
        <v>224</v>
      </c>
      <c r="C41" s="24" t="n">
        <v>0.79</v>
      </c>
      <c r="D41" s="7" t="s">
        <v>125</v>
      </c>
      <c r="E41" s="25" t="s">
        <v>222</v>
      </c>
    </row>
    <row r="42" customFormat="false" ht="15" hidden="false" customHeight="false" outlineLevel="0" collapsed="false">
      <c r="A42" s="23" t="s">
        <v>225</v>
      </c>
      <c r="B42" s="15" t="s">
        <v>226</v>
      </c>
      <c r="C42" s="22" t="n">
        <f aca="false">1/(1+P_IGV)</f>
        <v>0.847457627118644</v>
      </c>
      <c r="D42" s="7" t="s">
        <v>125</v>
      </c>
      <c r="E42" s="25" t="s">
        <v>227</v>
      </c>
    </row>
    <row r="43" customFormat="false" ht="15" hidden="false" customHeight="false" outlineLevel="0" collapsed="false">
      <c r="A43" s="23" t="s">
        <v>228</v>
      </c>
      <c r="B43" s="15" t="s">
        <v>229</v>
      </c>
      <c r="C43" s="24" t="n">
        <v>1.08</v>
      </c>
      <c r="D43" s="7" t="s">
        <v>125</v>
      </c>
      <c r="E43" s="25" t="s">
        <v>230</v>
      </c>
    </row>
    <row r="44" customFormat="false" ht="15" hidden="false" customHeight="false" outlineLevel="0" collapsed="false">
      <c r="A44" s="23" t="s">
        <v>231</v>
      </c>
      <c r="B44" s="15" t="s">
        <v>232</v>
      </c>
      <c r="C44" s="24" t="n">
        <v>30</v>
      </c>
      <c r="D44" s="7" t="s">
        <v>233</v>
      </c>
      <c r="E44" s="25" t="s">
        <v>234</v>
      </c>
    </row>
    <row r="45" customFormat="false" ht="15" hidden="false" customHeight="false" outlineLevel="0" collapsed="false">
      <c r="A45" s="20" t="s">
        <v>235</v>
      </c>
      <c r="B45" s="20"/>
      <c r="C45" s="20"/>
      <c r="D45" s="20"/>
      <c r="E45" s="20"/>
    </row>
    <row r="46" customFormat="false" ht="15" hidden="false" customHeight="false" outlineLevel="0" collapsed="false">
      <c r="A46" s="23" t="s">
        <v>236</v>
      </c>
      <c r="B46" s="15" t="s">
        <v>237</v>
      </c>
      <c r="C46" s="8" t="n">
        <v>5</v>
      </c>
      <c r="D46" s="7" t="s">
        <v>238</v>
      </c>
      <c r="E46" s="25" t="s">
        <v>239</v>
      </c>
    </row>
    <row r="47" customFormat="false" ht="15" hidden="false" customHeight="false" outlineLevel="0" collapsed="false">
      <c r="A47" s="23" t="s">
        <v>240</v>
      </c>
      <c r="B47" s="15" t="s">
        <v>241</v>
      </c>
      <c r="C47" s="8" t="n">
        <v>15</v>
      </c>
      <c r="D47" s="7" t="s">
        <v>238</v>
      </c>
      <c r="E47" s="25" t="s">
        <v>239</v>
      </c>
    </row>
    <row r="48" customFormat="false" ht="15" hidden="false" customHeight="false" outlineLevel="0" collapsed="false">
      <c r="A48" s="23" t="s">
        <v>242</v>
      </c>
      <c r="B48" s="15" t="s">
        <v>243</v>
      </c>
      <c r="C48" s="28" t="n">
        <v>372442809</v>
      </c>
      <c r="D48" s="7" t="s">
        <v>24</v>
      </c>
      <c r="E48" s="25" t="s">
        <v>244</v>
      </c>
    </row>
    <row r="68" customFormat="false" ht="15" hidden="false" customHeight="false" outlineLevel="0" collapsed="false">
      <c r="A68" s="20" t="s">
        <v>245</v>
      </c>
      <c r="B68" s="20"/>
      <c r="C68" s="20"/>
      <c r="D68" s="20"/>
      <c r="E68" s="20"/>
    </row>
    <row r="69" customFormat="false" ht="15" hidden="false" customHeight="false" outlineLevel="0" collapsed="false">
      <c r="B69" s="7" t="s">
        <v>246</v>
      </c>
      <c r="C69" s="21" t="n">
        <v>8254042.5</v>
      </c>
      <c r="E69" s="23" t="s">
        <v>247</v>
      </c>
    </row>
    <row r="70" customFormat="false" ht="15" hidden="false" customHeight="false" outlineLevel="0" collapsed="false">
      <c r="B70" s="7" t="s">
        <v>248</v>
      </c>
      <c r="C70" s="21" t="n">
        <v>1244490.96</v>
      </c>
      <c r="E70" s="23" t="s">
        <v>247</v>
      </c>
    </row>
  </sheetData>
  <mergeCells count="13">
    <mergeCell ref="A1:K1"/>
    <mergeCell ref="A2:K2"/>
    <mergeCell ref="A3:K3"/>
    <mergeCell ref="A4:K4"/>
    <mergeCell ref="A5:K5"/>
    <mergeCell ref="A7:E7"/>
    <mergeCell ref="A14:E14"/>
    <mergeCell ref="A20:E20"/>
    <mergeCell ref="A30:E30"/>
    <mergeCell ref="A34:E34"/>
    <mergeCell ref="A38:E38"/>
    <mergeCell ref="A45:E45"/>
    <mergeCell ref="A68:E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true"/>
  </sheetPr>
  <dimension ref="A1:R7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7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15"/>
    <col collapsed="false" customWidth="true" hidden="false" outlineLevel="0" max="9" min="9" style="0" width="40"/>
    <col collapsed="false" customWidth="true" hidden="false" outlineLevel="0" max="10" min="10" style="0" width="6"/>
    <col collapsed="false" customWidth="true" hidden="false" outlineLevel="0" max="11" min="11" style="0" width="9"/>
    <col collapsed="false" customWidth="true" hidden="false" outlineLevel="0" max="13" min="12" style="0" width="10"/>
    <col collapsed="false" customWidth="true" hidden="false" outlineLevel="0" max="14" min="14" style="0" width="11"/>
    <col collapsed="false" customWidth="true" hidden="false" outlineLevel="0" max="15" min="15" style="0" width="6"/>
    <col collapsed="false" customWidth="true" hidden="false" outlineLevel="0" max="18" min="16" style="0" width="1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19.5" hidden="false" customHeight="true" outlineLevel="0" collapsed="false">
      <c r="A4" s="4" t="s">
        <v>249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customFormat="false" ht="15" hidden="false" customHeight="false" outlineLevel="0" collapsed="false">
      <c r="A5" s="5" t="s">
        <v>250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customFormat="false" ht="36" hidden="false" customHeight="true" outlineLevel="0" collapsed="false">
      <c r="A6" s="6" t="s">
        <v>251</v>
      </c>
      <c r="B6" s="6" t="s">
        <v>252</v>
      </c>
      <c r="C6" s="6" t="s">
        <v>253</v>
      </c>
      <c r="D6" s="6" t="s">
        <v>254</v>
      </c>
      <c r="E6" s="6" t="s">
        <v>255</v>
      </c>
      <c r="F6" s="6" t="s">
        <v>256</v>
      </c>
      <c r="G6" s="6" t="s">
        <v>257</v>
      </c>
      <c r="H6" s="6" t="s">
        <v>258</v>
      </c>
      <c r="I6" s="6" t="s">
        <v>259</v>
      </c>
      <c r="J6" s="6" t="s">
        <v>260</v>
      </c>
      <c r="K6" s="6" t="s">
        <v>261</v>
      </c>
      <c r="L6" s="6" t="s">
        <v>262</v>
      </c>
      <c r="M6" s="6" t="s">
        <v>263</v>
      </c>
      <c r="N6" s="6" t="s">
        <v>264</v>
      </c>
      <c r="O6" s="6" t="s">
        <v>265</v>
      </c>
      <c r="P6" s="6" t="s">
        <v>266</v>
      </c>
      <c r="Q6" s="6" t="s">
        <v>267</v>
      </c>
      <c r="R6" s="6" t="s">
        <v>268</v>
      </c>
    </row>
    <row r="7" customFormat="false" ht="15" hidden="false" customHeight="false" outlineLevel="0" collapsed="false">
      <c r="A7" s="7" t="s">
        <v>269</v>
      </c>
      <c r="B7" s="7" t="s">
        <v>270</v>
      </c>
      <c r="C7" s="7" t="s">
        <v>271</v>
      </c>
      <c r="D7" s="7" t="s">
        <v>272</v>
      </c>
      <c r="E7" s="7" t="s">
        <v>273</v>
      </c>
      <c r="F7" s="11" t="n">
        <v>60135.17</v>
      </c>
      <c r="G7" s="7" t="s">
        <v>274</v>
      </c>
      <c r="H7" s="7" t="s">
        <v>275</v>
      </c>
      <c r="I7" s="7" t="s">
        <v>276</v>
      </c>
      <c r="J7" s="7" t="s">
        <v>277</v>
      </c>
      <c r="K7" s="22"/>
      <c r="L7" s="22" t="n">
        <v>1</v>
      </c>
      <c r="M7" s="11" t="n">
        <v>60135.17</v>
      </c>
      <c r="N7" s="11" t="n">
        <v>60135.17</v>
      </c>
      <c r="O7" s="7"/>
      <c r="P7" s="11" t="n">
        <f aca="false">IF(J7="%mo","",IF(G7="MO",IF(J7="hh",INDEX(MO_HH,MATCH(I7,MO_CAT,0)),M7*P_FACT_IPC),IF(G7="SUBPART",IFERROR(INDEX(APU_SUBP!$C$7:$C$40,MATCH(H7,APU_SUBP!$A$7:$A$40,0)),M7*P_FACT_IPC),M7*P_FACT_IPC)))</f>
        <v>77351.619070486</v>
      </c>
      <c r="Q7" s="11" t="n">
        <f aca="false">IF(J7="%mo",L7/100*SUMIFS($R$7:$R$782,$A$7:$A$782,A7),L7*P7)</f>
        <v>77351.619070486</v>
      </c>
      <c r="R7" s="11" t="n">
        <f aca="false">IF(G7="MO",L7*P7,0)</f>
        <v>0</v>
      </c>
    </row>
    <row r="8" customFormat="false" ht="15" hidden="false" customHeight="false" outlineLevel="0" collapsed="false">
      <c r="A8" s="9" t="s">
        <v>278</v>
      </c>
      <c r="B8" s="9" t="s">
        <v>270</v>
      </c>
      <c r="C8" s="9" t="s">
        <v>279</v>
      </c>
      <c r="D8" s="9" t="s">
        <v>280</v>
      </c>
      <c r="E8" s="9" t="s">
        <v>18</v>
      </c>
      <c r="F8" s="10" t="n">
        <v>27992.8</v>
      </c>
      <c r="G8" s="9" t="s">
        <v>281</v>
      </c>
      <c r="H8" s="9" t="s">
        <v>282</v>
      </c>
      <c r="I8" s="9" t="s">
        <v>107</v>
      </c>
      <c r="J8" s="9" t="s">
        <v>283</v>
      </c>
      <c r="K8" s="31" t="n">
        <v>0.5</v>
      </c>
      <c r="L8" s="31" t="n">
        <v>16</v>
      </c>
      <c r="M8" s="10" t="n">
        <v>25.81</v>
      </c>
      <c r="N8" s="10" t="n">
        <v>412.96</v>
      </c>
      <c r="O8" s="9" t="s">
        <v>284</v>
      </c>
      <c r="P8" s="11" t="n">
        <f aca="false">IF(J8="%mo","",IF(G8="MO",IF(J8="hh",INDEX(MO_HH,MATCH(I8,MO_CAT,0)),M8*P_FACT_IPC),IF(G8="SUBPART",IFERROR(INDEX(APU_SUBP!$C$7:$C$40,MATCH(H8,APU_SUBP!$A$7:$A$40,0)),M8*P_FACT_IPC),M8*P_FACT_IPC)))</f>
        <v>19.226758045292</v>
      </c>
      <c r="Q8" s="11" t="n">
        <f aca="false">IF(J8="%mo",L8/100*SUMIFS($R$7:$R$782,$A$7:$A$782,A8),L8*P8)</f>
        <v>307.628128724672</v>
      </c>
      <c r="R8" s="11" t="n">
        <f aca="false">IF(G8="MO",L8*P8,0)</f>
        <v>307.628128724672</v>
      </c>
    </row>
    <row r="9" customFormat="false" ht="15" hidden="false" customHeight="false" outlineLevel="0" collapsed="false">
      <c r="A9" s="7" t="s">
        <v>278</v>
      </c>
      <c r="B9" s="7" t="s">
        <v>270</v>
      </c>
      <c r="C9" s="7" t="s">
        <v>279</v>
      </c>
      <c r="D9" s="7" t="s">
        <v>280</v>
      </c>
      <c r="E9" s="7" t="s">
        <v>18</v>
      </c>
      <c r="F9" s="11" t="n">
        <v>27992.8</v>
      </c>
      <c r="G9" s="7" t="s">
        <v>281</v>
      </c>
      <c r="H9" s="7" t="s">
        <v>285</v>
      </c>
      <c r="I9" s="7" t="s">
        <v>117</v>
      </c>
      <c r="J9" s="7" t="s">
        <v>283</v>
      </c>
      <c r="K9" s="22" t="n">
        <v>2</v>
      </c>
      <c r="L9" s="22" t="n">
        <v>64</v>
      </c>
      <c r="M9" s="11" t="n">
        <v>18.56</v>
      </c>
      <c r="N9" s="11" t="n">
        <v>1187.84</v>
      </c>
      <c r="O9" s="7" t="s">
        <v>284</v>
      </c>
      <c r="P9" s="11" t="n">
        <f aca="false">IF(J9="%mo","",IF(G9="MO",IF(J9="hh",INDEX(MO_HH,MATCH(I9,MO_CAT,0)),M9*P_FACT_IPC),IF(G9="SUBPART",IFERROR(INDEX(APU_SUBP!$C$7:$C$40,MATCH(H9,APU_SUBP!$A$7:$A$40,0)),M9*P_FACT_IPC),M9*P_FACT_IPC)))</f>
        <v>13.8259833134684</v>
      </c>
      <c r="Q9" s="11" t="n">
        <f aca="false">IF(J9="%mo",L9/100*SUMIFS($R$7:$R$782,$A$7:$A$782,A9),L9*P9)</f>
        <v>884.862932061978</v>
      </c>
      <c r="R9" s="11" t="n">
        <f aca="false">IF(G9="MO",L9*P9,0)</f>
        <v>884.862932061978</v>
      </c>
    </row>
    <row r="10" customFormat="false" ht="15" hidden="false" customHeight="false" outlineLevel="0" collapsed="false">
      <c r="A10" s="9" t="s">
        <v>278</v>
      </c>
      <c r="B10" s="9" t="s">
        <v>270</v>
      </c>
      <c r="C10" s="9" t="s">
        <v>279</v>
      </c>
      <c r="D10" s="9" t="s">
        <v>280</v>
      </c>
      <c r="E10" s="9" t="s">
        <v>18</v>
      </c>
      <c r="F10" s="10" t="n">
        <v>27992.8</v>
      </c>
      <c r="G10" s="9" t="s">
        <v>281</v>
      </c>
      <c r="H10" s="9" t="s">
        <v>286</v>
      </c>
      <c r="I10" s="9" t="s">
        <v>122</v>
      </c>
      <c r="J10" s="9" t="s">
        <v>283</v>
      </c>
      <c r="K10" s="31" t="n">
        <v>4</v>
      </c>
      <c r="L10" s="31" t="n">
        <v>128</v>
      </c>
      <c r="M10" s="10" t="n">
        <v>16.78</v>
      </c>
      <c r="N10" s="10" t="n">
        <v>2147.84</v>
      </c>
      <c r="O10" s="9" t="s">
        <v>287</v>
      </c>
      <c r="P10" s="11" t="n">
        <f aca="false">IF(J10="%mo","",IF(G10="MO",IF(J10="hh",INDEX(MO_HH,MATCH(I10,MO_CAT,0)),M10*P_FACT_IPC),IF(G10="SUBPART",IFERROR(INDEX(APU_SUBP!$C$7:$C$40,MATCH(H10,APU_SUBP!$A$7:$A$40,0)),M10*P_FACT_IPC),M10*P_FACT_IPC)))</f>
        <v>12.5</v>
      </c>
      <c r="Q10" s="11" t="n">
        <f aca="false">IF(J10="%mo",L10/100*SUMIFS($R$7:$R$782,$A$7:$A$782,A10),L10*P10)</f>
        <v>1600</v>
      </c>
      <c r="R10" s="11" t="n">
        <f aca="false">IF(G10="MO",L10*P10,0)</f>
        <v>1600</v>
      </c>
    </row>
    <row r="11" customFormat="false" ht="15" hidden="false" customHeight="false" outlineLevel="0" collapsed="false">
      <c r="A11" s="7" t="s">
        <v>278</v>
      </c>
      <c r="B11" s="7" t="s">
        <v>270</v>
      </c>
      <c r="C11" s="7" t="s">
        <v>279</v>
      </c>
      <c r="D11" s="7" t="s">
        <v>280</v>
      </c>
      <c r="E11" s="7" t="s">
        <v>18</v>
      </c>
      <c r="F11" s="11" t="n">
        <v>27992.8</v>
      </c>
      <c r="G11" s="7" t="s">
        <v>288</v>
      </c>
      <c r="H11" s="7" t="s">
        <v>289</v>
      </c>
      <c r="I11" s="7" t="s">
        <v>290</v>
      </c>
      <c r="J11" s="7" t="s">
        <v>291</v>
      </c>
      <c r="K11" s="22" t="n">
        <v>0.5</v>
      </c>
      <c r="L11" s="22" t="n">
        <v>16</v>
      </c>
      <c r="M11" s="11" t="n">
        <v>170.08</v>
      </c>
      <c r="N11" s="11" t="n">
        <v>2721.28</v>
      </c>
      <c r="O11" s="7"/>
      <c r="P11" s="11" t="n">
        <f aca="false">IF(J11="%mo","",IF(G11="MO",IF(J11="hh",INDEX(MO_HH,MATCH(I11,MO_CAT,0)),M11*P_FACT_IPC),IF(G11="SUBPART",IFERROR(INDEX(APU_SUBP!$C$7:$C$40,MATCH(H11,APU_SUBP!$A$7:$A$40,0)),M11*P_FACT_IPC),M11*P_FACT_IPC)))</f>
        <v>218.773196641969</v>
      </c>
      <c r="Q11" s="11" t="n">
        <f aca="false">IF(J11="%mo",L11/100*SUMIFS($R$7:$R$782,$A$7:$A$782,A11),L11*P11)</f>
        <v>3500.37114627151</v>
      </c>
      <c r="R11" s="11" t="n">
        <f aca="false">IF(G11="MO",L11*P11,0)</f>
        <v>0</v>
      </c>
    </row>
    <row r="12" customFormat="false" ht="15" hidden="false" customHeight="false" outlineLevel="0" collapsed="false">
      <c r="A12" s="9" t="s">
        <v>278</v>
      </c>
      <c r="B12" s="9" t="s">
        <v>270</v>
      </c>
      <c r="C12" s="9" t="s">
        <v>279</v>
      </c>
      <c r="D12" s="9" t="s">
        <v>280</v>
      </c>
      <c r="E12" s="9" t="s">
        <v>18</v>
      </c>
      <c r="F12" s="10" t="n">
        <v>27992.8</v>
      </c>
      <c r="G12" s="9" t="s">
        <v>288</v>
      </c>
      <c r="H12" s="9" t="s">
        <v>292</v>
      </c>
      <c r="I12" s="9" t="s">
        <v>293</v>
      </c>
      <c r="J12" s="9" t="s">
        <v>291</v>
      </c>
      <c r="K12" s="31" t="n">
        <v>1</v>
      </c>
      <c r="L12" s="31" t="n">
        <v>32</v>
      </c>
      <c r="M12" s="10" t="n">
        <v>159.96</v>
      </c>
      <c r="N12" s="10" t="n">
        <v>5118.72</v>
      </c>
      <c r="O12" s="9"/>
      <c r="P12" s="11" t="n">
        <f aca="false">IF(J12="%mo","",IF(G12="MO",IF(J12="hh",INDEX(MO_HH,MATCH(I12,MO_CAT,0)),M12*P_FACT_IPC),IF(G12="SUBPART",IFERROR(INDEX(APU_SUBP!$C$7:$C$40,MATCH(H12,APU_SUBP!$A$7:$A$40,0)),M12*P_FACT_IPC),M12*P_FACT_IPC)))</f>
        <v>205.75588273077</v>
      </c>
      <c r="Q12" s="11" t="n">
        <f aca="false">IF(J12="%mo",L12/100*SUMIFS($R$7:$R$782,$A$7:$A$782,A12),L12*P12)</f>
        <v>6584.18824738465</v>
      </c>
      <c r="R12" s="11" t="n">
        <f aca="false">IF(G12="MO",L12*P12,0)</f>
        <v>0</v>
      </c>
    </row>
    <row r="13" customFormat="false" ht="15" hidden="false" customHeight="false" outlineLevel="0" collapsed="false">
      <c r="A13" s="7" t="s">
        <v>278</v>
      </c>
      <c r="B13" s="7" t="s">
        <v>270</v>
      </c>
      <c r="C13" s="7" t="s">
        <v>279</v>
      </c>
      <c r="D13" s="7" t="s">
        <v>280</v>
      </c>
      <c r="E13" s="7" t="s">
        <v>18</v>
      </c>
      <c r="F13" s="11" t="n">
        <v>27992.8</v>
      </c>
      <c r="G13" s="7" t="s">
        <v>288</v>
      </c>
      <c r="H13" s="7" t="s">
        <v>294</v>
      </c>
      <c r="I13" s="7" t="s">
        <v>295</v>
      </c>
      <c r="J13" s="7" t="s">
        <v>291</v>
      </c>
      <c r="K13" s="22" t="n">
        <v>1</v>
      </c>
      <c r="L13" s="22" t="n">
        <v>32</v>
      </c>
      <c r="M13" s="11" t="n">
        <v>182.88</v>
      </c>
      <c r="N13" s="11" t="n">
        <v>5852.16</v>
      </c>
      <c r="O13" s="7"/>
      <c r="P13" s="11" t="n">
        <f aca="false">IF(J13="%mo","",IF(G13="MO",IF(J13="hh",INDEX(MO_HH,MATCH(I13,MO_CAT,0)),M13*P_FACT_IPC),IF(G13="SUBPART",IFERROR(INDEX(APU_SUBP!$C$7:$C$40,MATCH(H13,APU_SUBP!$A$7:$A$40,0)),M13*P_FACT_IPC),M13*P_FACT_IPC)))</f>
        <v>235.237783407122</v>
      </c>
      <c r="Q13" s="11" t="n">
        <f aca="false">IF(J13="%mo",L13/100*SUMIFS($R$7:$R$782,$A$7:$A$782,A13),L13*P13)</f>
        <v>7527.60906902791</v>
      </c>
      <c r="R13" s="11" t="n">
        <f aca="false">IF(G13="MO",L13*P13,0)</f>
        <v>0</v>
      </c>
    </row>
    <row r="14" customFormat="false" ht="15" hidden="false" customHeight="false" outlineLevel="0" collapsed="false">
      <c r="A14" s="9" t="s">
        <v>278</v>
      </c>
      <c r="B14" s="9" t="s">
        <v>270</v>
      </c>
      <c r="C14" s="9" t="s">
        <v>279</v>
      </c>
      <c r="D14" s="9" t="s">
        <v>280</v>
      </c>
      <c r="E14" s="9" t="s">
        <v>18</v>
      </c>
      <c r="F14" s="10" t="n">
        <v>27992.8</v>
      </c>
      <c r="G14" s="9" t="s">
        <v>288</v>
      </c>
      <c r="H14" s="9" t="s">
        <v>296</v>
      </c>
      <c r="I14" s="9" t="s">
        <v>297</v>
      </c>
      <c r="J14" s="9" t="s">
        <v>291</v>
      </c>
      <c r="K14" s="31" t="n">
        <v>1</v>
      </c>
      <c r="L14" s="31" t="n">
        <v>32</v>
      </c>
      <c r="M14" s="10" t="n">
        <v>188.87</v>
      </c>
      <c r="N14" s="10" t="n">
        <v>6043.84</v>
      </c>
      <c r="O14" s="9"/>
      <c r="P14" s="11" t="n">
        <f aca="false">IF(J14="%mo","",IF(G14="MO",IF(J14="hh",INDEX(MO_HH,MATCH(I14,MO_CAT,0)),M14*P_FACT_IPC),IF(G14="SUBPART",IFERROR(INDEX(APU_SUBP!$C$7:$C$40,MATCH(H14,APU_SUBP!$A$7:$A$40,0)),M14*P_FACT_IPC),M14*P_FACT_IPC)))</f>
        <v>242.942695494877</v>
      </c>
      <c r="Q14" s="11" t="n">
        <f aca="false">IF(J14="%mo",L14/100*SUMIFS($R$7:$R$782,$A$7:$A$782,A14),L14*P14)</f>
        <v>7774.16625583608</v>
      </c>
      <c r="R14" s="11" t="n">
        <f aca="false">IF(G14="MO",L14*P14,0)</f>
        <v>0</v>
      </c>
    </row>
    <row r="15" customFormat="false" ht="15" hidden="false" customHeight="false" outlineLevel="0" collapsed="false">
      <c r="A15" s="7" t="s">
        <v>278</v>
      </c>
      <c r="B15" s="7" t="s">
        <v>270</v>
      </c>
      <c r="C15" s="7" t="s">
        <v>279</v>
      </c>
      <c r="D15" s="7" t="s">
        <v>280</v>
      </c>
      <c r="E15" s="7" t="s">
        <v>18</v>
      </c>
      <c r="F15" s="11" t="n">
        <v>27992.8</v>
      </c>
      <c r="G15" s="7" t="s">
        <v>288</v>
      </c>
      <c r="H15" s="7" t="s">
        <v>298</v>
      </c>
      <c r="I15" s="7" t="s">
        <v>299</v>
      </c>
      <c r="J15" s="7" t="s">
        <v>291</v>
      </c>
      <c r="K15" s="22" t="n">
        <v>1</v>
      </c>
      <c r="L15" s="22" t="n">
        <v>32</v>
      </c>
      <c r="M15" s="11" t="n">
        <v>140.88</v>
      </c>
      <c r="N15" s="11" t="n">
        <v>4508.16</v>
      </c>
      <c r="O15" s="7"/>
      <c r="P15" s="11" t="n">
        <f aca="false">IF(J15="%mo","",IF(G15="MO",IF(J15="hh",INDEX(MO_HH,MATCH(I15,MO_CAT,0)),M15*P_FACT_IPC),IF(G15="SUBPART",IFERROR(INDEX(APU_SUBP!$C$7:$C$40,MATCH(H15,APU_SUBP!$A$7:$A$40,0)),M15*P_FACT_IPC),M15*P_FACT_IPC)))</f>
        <v>181.213358083964</v>
      </c>
      <c r="Q15" s="11" t="n">
        <f aca="false">IF(J15="%mo",L15/100*SUMIFS($R$7:$R$782,$A$7:$A$782,A15),L15*P15)</f>
        <v>5798.82745868686</v>
      </c>
      <c r="R15" s="11" t="n">
        <f aca="false">IF(G15="MO",L15*P15,0)</f>
        <v>0</v>
      </c>
    </row>
    <row r="16" customFormat="false" ht="15" hidden="false" customHeight="false" outlineLevel="0" collapsed="false">
      <c r="A16" s="9" t="s">
        <v>300</v>
      </c>
      <c r="B16" s="9" t="s">
        <v>270</v>
      </c>
      <c r="C16" s="9" t="s">
        <v>301</v>
      </c>
      <c r="D16" s="9" t="s">
        <v>302</v>
      </c>
      <c r="E16" s="9" t="s">
        <v>18</v>
      </c>
      <c r="F16" s="10" t="n">
        <v>4665.44</v>
      </c>
      <c r="G16" s="9" t="s">
        <v>281</v>
      </c>
      <c r="H16" s="9" t="s">
        <v>282</v>
      </c>
      <c r="I16" s="9" t="s">
        <v>107</v>
      </c>
      <c r="J16" s="9" t="s">
        <v>283</v>
      </c>
      <c r="K16" s="31" t="n">
        <v>0.5</v>
      </c>
      <c r="L16" s="31" t="n">
        <v>2.6667</v>
      </c>
      <c r="M16" s="10" t="n">
        <v>25.81</v>
      </c>
      <c r="N16" s="10" t="n">
        <v>68.83</v>
      </c>
      <c r="O16" s="9" t="s">
        <v>284</v>
      </c>
      <c r="P16" s="11" t="n">
        <f aca="false">IF(J16="%mo","",IF(G16="MO",IF(J16="hh",INDEX(MO_HH,MATCH(I16,MO_CAT,0)),M16*P_FACT_IPC),IF(G16="SUBPART",IFERROR(INDEX(APU_SUBP!$C$7:$C$40,MATCH(H16,APU_SUBP!$A$7:$A$40,0)),M16*P_FACT_IPC),M16*P_FACT_IPC)))</f>
        <v>19.226758045292</v>
      </c>
      <c r="Q16" s="11" t="n">
        <f aca="false">IF(J16="%mo",L16/100*SUMIFS($R$7:$R$782,$A$7:$A$782,A16),L16*P16)</f>
        <v>51.2719956793802</v>
      </c>
      <c r="R16" s="11" t="n">
        <f aca="false">IF(G16="MO",L16*P16,0)</f>
        <v>51.2719956793802</v>
      </c>
    </row>
    <row r="17" customFormat="false" ht="15" hidden="false" customHeight="false" outlineLevel="0" collapsed="false">
      <c r="A17" s="7" t="s">
        <v>300</v>
      </c>
      <c r="B17" s="7" t="s">
        <v>270</v>
      </c>
      <c r="C17" s="7" t="s">
        <v>301</v>
      </c>
      <c r="D17" s="7" t="s">
        <v>302</v>
      </c>
      <c r="E17" s="7" t="s">
        <v>18</v>
      </c>
      <c r="F17" s="11" t="n">
        <v>4665.44</v>
      </c>
      <c r="G17" s="7" t="s">
        <v>281</v>
      </c>
      <c r="H17" s="7" t="s">
        <v>285</v>
      </c>
      <c r="I17" s="7" t="s">
        <v>117</v>
      </c>
      <c r="J17" s="7" t="s">
        <v>283</v>
      </c>
      <c r="K17" s="22" t="n">
        <v>2</v>
      </c>
      <c r="L17" s="22" t="n">
        <v>10.6667</v>
      </c>
      <c r="M17" s="11" t="n">
        <v>18.56</v>
      </c>
      <c r="N17" s="11" t="n">
        <v>197.97</v>
      </c>
      <c r="O17" s="7" t="s">
        <v>284</v>
      </c>
      <c r="P17" s="11" t="n">
        <f aca="false">IF(J17="%mo","",IF(G17="MO",IF(J17="hh",INDEX(MO_HH,MATCH(I17,MO_CAT,0)),M17*P_FACT_IPC),IF(G17="SUBPART",IFERROR(INDEX(APU_SUBP!$C$7:$C$40,MATCH(H17,APU_SUBP!$A$7:$A$40,0)),M17*P_FACT_IPC),M17*P_FACT_IPC)))</f>
        <v>13.8259833134684</v>
      </c>
      <c r="Q17" s="11" t="n">
        <f aca="false">IF(J17="%mo",L17/100*SUMIFS($R$7:$R$782,$A$7:$A$782,A17),L17*P17)</f>
        <v>147.477616209774</v>
      </c>
      <c r="R17" s="11" t="n">
        <f aca="false">IF(G17="MO",L17*P17,0)</f>
        <v>147.477616209774</v>
      </c>
    </row>
    <row r="18" customFormat="false" ht="15" hidden="false" customHeight="false" outlineLevel="0" collapsed="false">
      <c r="A18" s="9" t="s">
        <v>300</v>
      </c>
      <c r="B18" s="9" t="s">
        <v>270</v>
      </c>
      <c r="C18" s="9" t="s">
        <v>301</v>
      </c>
      <c r="D18" s="9" t="s">
        <v>302</v>
      </c>
      <c r="E18" s="9" t="s">
        <v>18</v>
      </c>
      <c r="F18" s="10" t="n">
        <v>4665.44</v>
      </c>
      <c r="G18" s="9" t="s">
        <v>281</v>
      </c>
      <c r="H18" s="9" t="s">
        <v>286</v>
      </c>
      <c r="I18" s="9" t="s">
        <v>122</v>
      </c>
      <c r="J18" s="9" t="s">
        <v>283</v>
      </c>
      <c r="K18" s="31" t="n">
        <v>4</v>
      </c>
      <c r="L18" s="31" t="n">
        <v>21.3333</v>
      </c>
      <c r="M18" s="10" t="n">
        <v>16.78</v>
      </c>
      <c r="N18" s="10" t="n">
        <v>357.97</v>
      </c>
      <c r="O18" s="9" t="s">
        <v>287</v>
      </c>
      <c r="P18" s="11" t="n">
        <f aca="false">IF(J18="%mo","",IF(G18="MO",IF(J18="hh",INDEX(MO_HH,MATCH(I18,MO_CAT,0)),M18*P_FACT_IPC),IF(G18="SUBPART",IFERROR(INDEX(APU_SUBP!$C$7:$C$40,MATCH(H18,APU_SUBP!$A$7:$A$40,0)),M18*P_FACT_IPC),M18*P_FACT_IPC)))</f>
        <v>12.5</v>
      </c>
      <c r="Q18" s="11" t="n">
        <f aca="false">IF(J18="%mo",L18/100*SUMIFS($R$7:$R$782,$A$7:$A$782,A18),L18*P18)</f>
        <v>266.66625</v>
      </c>
      <c r="R18" s="11" t="n">
        <f aca="false">IF(G18="MO",L18*P18,0)</f>
        <v>266.66625</v>
      </c>
    </row>
    <row r="19" customFormat="false" ht="15" hidden="false" customHeight="false" outlineLevel="0" collapsed="false">
      <c r="A19" s="7" t="s">
        <v>300</v>
      </c>
      <c r="B19" s="7" t="s">
        <v>270</v>
      </c>
      <c r="C19" s="7" t="s">
        <v>301</v>
      </c>
      <c r="D19" s="7" t="s">
        <v>302</v>
      </c>
      <c r="E19" s="7" t="s">
        <v>18</v>
      </c>
      <c r="F19" s="11" t="n">
        <v>4665.44</v>
      </c>
      <c r="G19" s="7" t="s">
        <v>288</v>
      </c>
      <c r="H19" s="7" t="s">
        <v>289</v>
      </c>
      <c r="I19" s="7" t="s">
        <v>290</v>
      </c>
      <c r="J19" s="7" t="s">
        <v>291</v>
      </c>
      <c r="K19" s="22" t="n">
        <v>0.5</v>
      </c>
      <c r="L19" s="22" t="n">
        <v>2.6667</v>
      </c>
      <c r="M19" s="11" t="n">
        <v>170.08</v>
      </c>
      <c r="N19" s="11" t="n">
        <v>453.55</v>
      </c>
      <c r="O19" s="7"/>
      <c r="P19" s="11" t="n">
        <f aca="false">IF(J19="%mo","",IF(G19="MO",IF(J19="hh",INDEX(MO_HH,MATCH(I19,MO_CAT,0)),M19*P_FACT_IPC),IF(G19="SUBPART",IFERROR(INDEX(APU_SUBP!$C$7:$C$40,MATCH(H19,APU_SUBP!$A$7:$A$40,0)),M19*P_FACT_IPC),M19*P_FACT_IPC)))</f>
        <v>218.773196641969</v>
      </c>
      <c r="Q19" s="11" t="n">
        <f aca="false">IF(J19="%mo",L19/100*SUMIFS($R$7:$R$782,$A$7:$A$782,A19),L19*P19)</f>
        <v>583.40248348514</v>
      </c>
      <c r="R19" s="11" t="n">
        <f aca="false">IF(G19="MO",L19*P19,0)</f>
        <v>0</v>
      </c>
    </row>
    <row r="20" customFormat="false" ht="15" hidden="false" customHeight="false" outlineLevel="0" collapsed="false">
      <c r="A20" s="9" t="s">
        <v>300</v>
      </c>
      <c r="B20" s="9" t="s">
        <v>270</v>
      </c>
      <c r="C20" s="9" t="s">
        <v>301</v>
      </c>
      <c r="D20" s="9" t="s">
        <v>302</v>
      </c>
      <c r="E20" s="9" t="s">
        <v>18</v>
      </c>
      <c r="F20" s="10" t="n">
        <v>4665.44</v>
      </c>
      <c r="G20" s="9" t="s">
        <v>288</v>
      </c>
      <c r="H20" s="9" t="s">
        <v>292</v>
      </c>
      <c r="I20" s="9" t="s">
        <v>293</v>
      </c>
      <c r="J20" s="9" t="s">
        <v>291</v>
      </c>
      <c r="K20" s="31" t="n">
        <v>1</v>
      </c>
      <c r="L20" s="31" t="n">
        <v>5.3333</v>
      </c>
      <c r="M20" s="10" t="n">
        <v>159.96</v>
      </c>
      <c r="N20" s="10" t="n">
        <v>853.11</v>
      </c>
      <c r="O20" s="9"/>
      <c r="P20" s="11" t="n">
        <f aca="false">IF(J20="%mo","",IF(G20="MO",IF(J20="hh",INDEX(MO_HH,MATCH(I20,MO_CAT,0)),M20*P_FACT_IPC),IF(G20="SUBPART",IFERROR(INDEX(APU_SUBP!$C$7:$C$40,MATCH(H20,APU_SUBP!$A$7:$A$40,0)),M20*P_FACT_IPC),M20*P_FACT_IPC)))</f>
        <v>205.75588273077</v>
      </c>
      <c r="Q20" s="11" t="n">
        <f aca="false">IF(J20="%mo",L20/100*SUMIFS($R$7:$R$782,$A$7:$A$782,A20),L20*P20)</f>
        <v>1097.35784936802</v>
      </c>
      <c r="R20" s="11" t="n">
        <f aca="false">IF(G20="MO",L20*P20,0)</f>
        <v>0</v>
      </c>
    </row>
    <row r="21" customFormat="false" ht="15" hidden="false" customHeight="false" outlineLevel="0" collapsed="false">
      <c r="A21" s="7" t="s">
        <v>300</v>
      </c>
      <c r="B21" s="7" t="s">
        <v>270</v>
      </c>
      <c r="C21" s="7" t="s">
        <v>301</v>
      </c>
      <c r="D21" s="7" t="s">
        <v>302</v>
      </c>
      <c r="E21" s="7" t="s">
        <v>18</v>
      </c>
      <c r="F21" s="11" t="n">
        <v>4665.44</v>
      </c>
      <c r="G21" s="7" t="s">
        <v>288</v>
      </c>
      <c r="H21" s="7" t="s">
        <v>294</v>
      </c>
      <c r="I21" s="7" t="s">
        <v>295</v>
      </c>
      <c r="J21" s="7" t="s">
        <v>291</v>
      </c>
      <c r="K21" s="22" t="n">
        <v>1</v>
      </c>
      <c r="L21" s="22" t="n">
        <v>5.3333</v>
      </c>
      <c r="M21" s="11" t="n">
        <v>182.88</v>
      </c>
      <c r="N21" s="11" t="n">
        <v>975.35</v>
      </c>
      <c r="O21" s="7"/>
      <c r="P21" s="11" t="n">
        <f aca="false">IF(J21="%mo","",IF(G21="MO",IF(J21="hh",INDEX(MO_HH,MATCH(I21,MO_CAT,0)),M21*P_FACT_IPC),IF(G21="SUBPART",IFERROR(INDEX(APU_SUBP!$C$7:$C$40,MATCH(H21,APU_SUBP!$A$7:$A$40,0)),M21*P_FACT_IPC),M21*P_FACT_IPC)))</f>
        <v>235.237783407122</v>
      </c>
      <c r="Q21" s="11" t="n">
        <f aca="false">IF(J21="%mo",L21/100*SUMIFS($R$7:$R$782,$A$7:$A$782,A21),L21*P21)</f>
        <v>1254.59367024521</v>
      </c>
      <c r="R21" s="11" t="n">
        <f aca="false">IF(G21="MO",L21*P21,0)</f>
        <v>0</v>
      </c>
    </row>
    <row r="22" customFormat="false" ht="15" hidden="false" customHeight="false" outlineLevel="0" collapsed="false">
      <c r="A22" s="9" t="s">
        <v>300</v>
      </c>
      <c r="B22" s="9" t="s">
        <v>270</v>
      </c>
      <c r="C22" s="9" t="s">
        <v>301</v>
      </c>
      <c r="D22" s="9" t="s">
        <v>302</v>
      </c>
      <c r="E22" s="9" t="s">
        <v>18</v>
      </c>
      <c r="F22" s="10" t="n">
        <v>4665.44</v>
      </c>
      <c r="G22" s="9" t="s">
        <v>288</v>
      </c>
      <c r="H22" s="9" t="s">
        <v>296</v>
      </c>
      <c r="I22" s="9" t="s">
        <v>297</v>
      </c>
      <c r="J22" s="9" t="s">
        <v>291</v>
      </c>
      <c r="K22" s="31" t="n">
        <v>1</v>
      </c>
      <c r="L22" s="31" t="n">
        <v>5.3333</v>
      </c>
      <c r="M22" s="10" t="n">
        <v>188.87</v>
      </c>
      <c r="N22" s="10" t="n">
        <v>1007.3</v>
      </c>
      <c r="O22" s="9"/>
      <c r="P22" s="11" t="n">
        <f aca="false">IF(J22="%mo","",IF(G22="MO",IF(J22="hh",INDEX(MO_HH,MATCH(I22,MO_CAT,0)),M22*P_FACT_IPC),IF(G22="SUBPART",IFERROR(INDEX(APU_SUBP!$C$7:$C$40,MATCH(H22,APU_SUBP!$A$7:$A$40,0)),M22*P_FACT_IPC),M22*P_FACT_IPC)))</f>
        <v>242.942695494877</v>
      </c>
      <c r="Q22" s="11" t="n">
        <f aca="false">IF(J22="%mo",L22/100*SUMIFS($R$7:$R$782,$A$7:$A$782,A22),L22*P22)</f>
        <v>1295.68627788283</v>
      </c>
      <c r="R22" s="11" t="n">
        <f aca="false">IF(G22="MO",L22*P22,0)</f>
        <v>0</v>
      </c>
    </row>
    <row r="23" customFormat="false" ht="15" hidden="false" customHeight="false" outlineLevel="0" collapsed="false">
      <c r="A23" s="7" t="s">
        <v>300</v>
      </c>
      <c r="B23" s="7" t="s">
        <v>270</v>
      </c>
      <c r="C23" s="7" t="s">
        <v>301</v>
      </c>
      <c r="D23" s="7" t="s">
        <v>302</v>
      </c>
      <c r="E23" s="7" t="s">
        <v>18</v>
      </c>
      <c r="F23" s="11" t="n">
        <v>4665.44</v>
      </c>
      <c r="G23" s="7" t="s">
        <v>288</v>
      </c>
      <c r="H23" s="7" t="s">
        <v>298</v>
      </c>
      <c r="I23" s="7" t="s">
        <v>299</v>
      </c>
      <c r="J23" s="7" t="s">
        <v>291</v>
      </c>
      <c r="K23" s="22" t="n">
        <v>1</v>
      </c>
      <c r="L23" s="22" t="n">
        <v>5.3333</v>
      </c>
      <c r="M23" s="11" t="n">
        <v>140.88</v>
      </c>
      <c r="N23" s="11" t="n">
        <v>751.36</v>
      </c>
      <c r="O23" s="7"/>
      <c r="P23" s="11" t="n">
        <f aca="false">IF(J23="%mo","",IF(G23="MO",IF(J23="hh",INDEX(MO_HH,MATCH(I23,MO_CAT,0)),M23*P_FACT_IPC),IF(G23="SUBPART",IFERROR(INDEX(APU_SUBP!$C$7:$C$40,MATCH(H23,APU_SUBP!$A$7:$A$40,0)),M23*P_FACT_IPC),M23*P_FACT_IPC)))</f>
        <v>181.213358083964</v>
      </c>
      <c r="Q23" s="11" t="n">
        <f aca="false">IF(J23="%mo",L23/100*SUMIFS($R$7:$R$782,$A$7:$A$782,A23),L23*P23)</f>
        <v>966.465202669207</v>
      </c>
      <c r="R23" s="11" t="n">
        <f aca="false">IF(G23="MO",L23*P23,0)</f>
        <v>0</v>
      </c>
    </row>
    <row r="24" customFormat="false" ht="15" hidden="false" customHeight="false" outlineLevel="0" collapsed="false">
      <c r="A24" s="9" t="s">
        <v>303</v>
      </c>
      <c r="B24" s="9" t="s">
        <v>270</v>
      </c>
      <c r="C24" s="9" t="s">
        <v>304</v>
      </c>
      <c r="D24" s="9" t="s">
        <v>305</v>
      </c>
      <c r="E24" s="9" t="s">
        <v>18</v>
      </c>
      <c r="F24" s="10" t="n">
        <v>583.87</v>
      </c>
      <c r="G24" s="9" t="s">
        <v>281</v>
      </c>
      <c r="H24" s="9" t="s">
        <v>306</v>
      </c>
      <c r="I24" s="9" t="s">
        <v>112</v>
      </c>
      <c r="J24" s="9" t="s">
        <v>283</v>
      </c>
      <c r="K24" s="31" t="n">
        <v>1</v>
      </c>
      <c r="L24" s="31" t="n">
        <v>5</v>
      </c>
      <c r="M24" s="10" t="n">
        <v>23.46</v>
      </c>
      <c r="N24" s="10" t="n">
        <v>117.3</v>
      </c>
      <c r="O24" s="9" t="s">
        <v>284</v>
      </c>
      <c r="P24" s="11" t="n">
        <f aca="false">IF(J24="%mo","",IF(G24="MO",IF(J24="hh",INDEX(MO_HH,MATCH(I24,MO_CAT,0)),M24*P_FACT_IPC),IF(G24="SUBPART",IFERROR(INDEX(APU_SUBP!$C$7:$C$40,MATCH(H24,APU_SUBP!$A$7:$A$40,0)),M24*P_FACT_IPC),M24*P_FACT_IPC)))</f>
        <v>17.4761620977354</v>
      </c>
      <c r="Q24" s="11" t="n">
        <f aca="false">IF(J24="%mo",L24/100*SUMIFS($R$7:$R$782,$A$7:$A$782,A24),L24*P24)</f>
        <v>87.380810488677</v>
      </c>
      <c r="R24" s="11" t="n">
        <f aca="false">IF(G24="MO",L24*P24,0)</f>
        <v>87.380810488677</v>
      </c>
    </row>
    <row r="25" customFormat="false" ht="15" hidden="false" customHeight="false" outlineLevel="0" collapsed="false">
      <c r="A25" s="7" t="s">
        <v>303</v>
      </c>
      <c r="B25" s="7" t="s">
        <v>270</v>
      </c>
      <c r="C25" s="7" t="s">
        <v>304</v>
      </c>
      <c r="D25" s="7" t="s">
        <v>305</v>
      </c>
      <c r="E25" s="7" t="s">
        <v>18</v>
      </c>
      <c r="F25" s="11" t="n">
        <v>583.87</v>
      </c>
      <c r="G25" s="7" t="s">
        <v>281</v>
      </c>
      <c r="H25" s="7" t="s">
        <v>285</v>
      </c>
      <c r="I25" s="7" t="s">
        <v>117</v>
      </c>
      <c r="J25" s="7" t="s">
        <v>283</v>
      </c>
      <c r="K25" s="22" t="n">
        <v>1</v>
      </c>
      <c r="L25" s="22" t="n">
        <v>5</v>
      </c>
      <c r="M25" s="11" t="n">
        <v>18.56</v>
      </c>
      <c r="N25" s="11" t="n">
        <v>92.8</v>
      </c>
      <c r="O25" s="7" t="s">
        <v>284</v>
      </c>
      <c r="P25" s="11" t="n">
        <f aca="false">IF(J25="%mo","",IF(G25="MO",IF(J25="hh",INDEX(MO_HH,MATCH(I25,MO_CAT,0)),M25*P_FACT_IPC),IF(G25="SUBPART",IFERROR(INDEX(APU_SUBP!$C$7:$C$40,MATCH(H25,APU_SUBP!$A$7:$A$40,0)),M25*P_FACT_IPC),M25*P_FACT_IPC)))</f>
        <v>13.8259833134684</v>
      </c>
      <c r="Q25" s="11" t="n">
        <f aca="false">IF(J25="%mo",L25/100*SUMIFS($R$7:$R$782,$A$7:$A$782,A25),L25*P25)</f>
        <v>69.1299165673421</v>
      </c>
      <c r="R25" s="11" t="n">
        <f aca="false">IF(G25="MO",L25*P25,0)</f>
        <v>69.1299165673421</v>
      </c>
    </row>
    <row r="26" customFormat="false" ht="15" hidden="false" customHeight="false" outlineLevel="0" collapsed="false">
      <c r="A26" s="9" t="s">
        <v>303</v>
      </c>
      <c r="B26" s="9" t="s">
        <v>270</v>
      </c>
      <c r="C26" s="9" t="s">
        <v>304</v>
      </c>
      <c r="D26" s="9" t="s">
        <v>305</v>
      </c>
      <c r="E26" s="9" t="s">
        <v>18</v>
      </c>
      <c r="F26" s="10" t="n">
        <v>583.87</v>
      </c>
      <c r="G26" s="9" t="s">
        <v>281</v>
      </c>
      <c r="H26" s="9" t="s">
        <v>286</v>
      </c>
      <c r="I26" s="9" t="s">
        <v>122</v>
      </c>
      <c r="J26" s="9" t="s">
        <v>283</v>
      </c>
      <c r="K26" s="31" t="n">
        <v>3</v>
      </c>
      <c r="L26" s="31" t="n">
        <v>15</v>
      </c>
      <c r="M26" s="10" t="n">
        <v>16.78</v>
      </c>
      <c r="N26" s="10" t="n">
        <v>251.7</v>
      </c>
      <c r="O26" s="9" t="s">
        <v>287</v>
      </c>
      <c r="P26" s="11" t="n">
        <f aca="false">IF(J26="%mo","",IF(G26="MO",IF(J26="hh",INDEX(MO_HH,MATCH(I26,MO_CAT,0)),M26*P_FACT_IPC),IF(G26="SUBPART",IFERROR(INDEX(APU_SUBP!$C$7:$C$40,MATCH(H26,APU_SUBP!$A$7:$A$40,0)),M26*P_FACT_IPC),M26*P_FACT_IPC)))</f>
        <v>12.5</v>
      </c>
      <c r="Q26" s="11" t="n">
        <f aca="false">IF(J26="%mo",L26/100*SUMIFS($R$7:$R$782,$A$7:$A$782,A26),L26*P26)</f>
        <v>187.5</v>
      </c>
      <c r="R26" s="11" t="n">
        <f aca="false">IF(G26="MO",L26*P26,0)</f>
        <v>187.5</v>
      </c>
    </row>
    <row r="27" customFormat="false" ht="15" hidden="false" customHeight="false" outlineLevel="0" collapsed="false">
      <c r="A27" s="7" t="s">
        <v>303</v>
      </c>
      <c r="B27" s="7" t="s">
        <v>270</v>
      </c>
      <c r="C27" s="7" t="s">
        <v>304</v>
      </c>
      <c r="D27" s="7" t="s">
        <v>305</v>
      </c>
      <c r="E27" s="7" t="s">
        <v>18</v>
      </c>
      <c r="F27" s="11" t="n">
        <v>583.87</v>
      </c>
      <c r="G27" s="7" t="s">
        <v>307</v>
      </c>
      <c r="H27" s="7" t="s">
        <v>308</v>
      </c>
      <c r="I27" s="7" t="s">
        <v>309</v>
      </c>
      <c r="J27" s="7" t="s">
        <v>310</v>
      </c>
      <c r="K27" s="22"/>
      <c r="L27" s="22" t="n">
        <v>0.003</v>
      </c>
      <c r="M27" s="11" t="n">
        <v>14.7</v>
      </c>
      <c r="N27" s="11" t="n">
        <v>0.04</v>
      </c>
      <c r="O27" s="7"/>
      <c r="P27" s="11" t="n">
        <f aca="false">IF(J27="%mo","",IF(G27="MO",IF(J27="hh",INDEX(MO_HH,MATCH(I27,MO_CAT,0)),M27*P_FACT_IPC),IF(G27="SUBPART",IFERROR(INDEX(APU_SUBP!$C$7:$C$40,MATCH(H27,APU_SUBP!$A$7:$A$40,0)),M27*P_FACT_IPC),M27*P_FACT_IPC)))</f>
        <v>18.9085488631053</v>
      </c>
      <c r="Q27" s="11" t="n">
        <f aca="false">IF(J27="%mo",L27/100*SUMIFS($R$7:$R$782,$A$7:$A$782,A27),L27*P27)</f>
        <v>0.0567256465893159</v>
      </c>
      <c r="R27" s="11" t="n">
        <f aca="false">IF(G27="MO",L27*P27,0)</f>
        <v>0</v>
      </c>
    </row>
    <row r="28" customFormat="false" ht="15" hidden="false" customHeight="false" outlineLevel="0" collapsed="false">
      <c r="A28" s="9" t="s">
        <v>303</v>
      </c>
      <c r="B28" s="9" t="s">
        <v>270</v>
      </c>
      <c r="C28" s="9" t="s">
        <v>304</v>
      </c>
      <c r="D28" s="9" t="s">
        <v>305</v>
      </c>
      <c r="E28" s="9" t="s">
        <v>18</v>
      </c>
      <c r="F28" s="10" t="n">
        <v>583.87</v>
      </c>
      <c r="G28" s="9" t="s">
        <v>307</v>
      </c>
      <c r="H28" s="9" t="s">
        <v>311</v>
      </c>
      <c r="I28" s="9" t="s">
        <v>312</v>
      </c>
      <c r="J28" s="9" t="s">
        <v>313</v>
      </c>
      <c r="K28" s="31"/>
      <c r="L28" s="31" t="n">
        <v>0.01</v>
      </c>
      <c r="M28" s="10" t="n">
        <v>1.63</v>
      </c>
      <c r="N28" s="10" t="n">
        <v>0.02</v>
      </c>
      <c r="O28" s="9"/>
      <c r="P28" s="11" t="n">
        <f aca="false">IF(J28="%mo","",IF(G28="MO",IF(J28="hh",INDEX(MO_HH,MATCH(I28,MO_CAT,0)),M28*P_FACT_IPC),IF(G28="SUBPART",IFERROR(INDEX(APU_SUBP!$C$7:$C$40,MATCH(H28,APU_SUBP!$A$7:$A$40,0)),M28*P_FACT_IPC),M28*P_FACT_IPC)))</f>
        <v>2.09666222087494</v>
      </c>
      <c r="Q28" s="11" t="n">
        <f aca="false">IF(J28="%mo",L28/100*SUMIFS($R$7:$R$782,$A$7:$A$782,A28),L28*P28)</f>
        <v>0.0209666222087494</v>
      </c>
      <c r="R28" s="11" t="n">
        <f aca="false">IF(G28="MO",L28*P28,0)</f>
        <v>0</v>
      </c>
    </row>
    <row r="29" customFormat="false" ht="15" hidden="false" customHeight="false" outlineLevel="0" collapsed="false">
      <c r="A29" s="7" t="s">
        <v>303</v>
      </c>
      <c r="B29" s="7" t="s">
        <v>270</v>
      </c>
      <c r="C29" s="7" t="s">
        <v>304</v>
      </c>
      <c r="D29" s="7" t="s">
        <v>305</v>
      </c>
      <c r="E29" s="7" t="s">
        <v>18</v>
      </c>
      <c r="F29" s="11" t="n">
        <v>583.87</v>
      </c>
      <c r="G29" s="7" t="s">
        <v>307</v>
      </c>
      <c r="H29" s="7" t="s">
        <v>314</v>
      </c>
      <c r="I29" s="7" t="s">
        <v>315</v>
      </c>
      <c r="J29" s="7" t="s">
        <v>316</v>
      </c>
      <c r="K29" s="22"/>
      <c r="L29" s="22" t="n">
        <v>0.007</v>
      </c>
      <c r="M29" s="11" t="n">
        <v>1.63</v>
      </c>
      <c r="N29" s="11" t="n">
        <v>0.01</v>
      </c>
      <c r="O29" s="7"/>
      <c r="P29" s="11" t="n">
        <f aca="false">IF(J29="%mo","",IF(G29="MO",IF(J29="hh",INDEX(MO_HH,MATCH(I29,MO_CAT,0)),M29*P_FACT_IPC),IF(G29="SUBPART",IFERROR(INDEX(APU_SUBP!$C$7:$C$40,MATCH(H29,APU_SUBP!$A$7:$A$40,0)),M29*P_FACT_IPC),M29*P_FACT_IPC)))</f>
        <v>2.09666222087494</v>
      </c>
      <c r="Q29" s="11" t="n">
        <f aca="false">IF(J29="%mo",L29/100*SUMIFS($R$7:$R$782,$A$7:$A$782,A29),L29*P29)</f>
        <v>0.0146766355461246</v>
      </c>
      <c r="R29" s="11" t="n">
        <f aca="false">IF(G29="MO",L29*P29,0)</f>
        <v>0</v>
      </c>
    </row>
    <row r="30" customFormat="false" ht="15" hidden="false" customHeight="false" outlineLevel="0" collapsed="false">
      <c r="A30" s="9" t="s">
        <v>303</v>
      </c>
      <c r="B30" s="9" t="s">
        <v>270</v>
      </c>
      <c r="C30" s="9" t="s">
        <v>304</v>
      </c>
      <c r="D30" s="9" t="s">
        <v>305</v>
      </c>
      <c r="E30" s="9" t="s">
        <v>18</v>
      </c>
      <c r="F30" s="10" t="n">
        <v>583.87</v>
      </c>
      <c r="G30" s="9" t="s">
        <v>307</v>
      </c>
      <c r="H30" s="9" t="s">
        <v>317</v>
      </c>
      <c r="I30" s="9" t="s">
        <v>318</v>
      </c>
      <c r="J30" s="9" t="s">
        <v>319</v>
      </c>
      <c r="K30" s="31"/>
      <c r="L30" s="31" t="n">
        <v>0.002</v>
      </c>
      <c r="M30" s="10" t="n">
        <v>34.07</v>
      </c>
      <c r="N30" s="10" t="n">
        <v>0.07</v>
      </c>
      <c r="O30" s="9"/>
      <c r="P30" s="11" t="n">
        <f aca="false">IF(J30="%mo","",IF(G30="MO",IF(J30="hh",INDEX(MO_HH,MATCH(I30,MO_CAT,0)),M30*P_FACT_IPC),IF(G30="SUBPART",IFERROR(INDEX(APU_SUBP!$C$7:$C$40,MATCH(H30,APU_SUBP!$A$7:$A$40,0)),M30*P_FACT_IPC),M30*P_FACT_IPC)))</f>
        <v>43.8240993038094</v>
      </c>
      <c r="Q30" s="11" t="n">
        <f aca="false">IF(J30="%mo",L30/100*SUMIFS($R$7:$R$782,$A$7:$A$782,A30),L30*P30)</f>
        <v>0.0876481986076187</v>
      </c>
      <c r="R30" s="11" t="n">
        <f aca="false">IF(G30="MO",L30*P30,0)</f>
        <v>0</v>
      </c>
    </row>
    <row r="31" customFormat="false" ht="15" hidden="false" customHeight="false" outlineLevel="0" collapsed="false">
      <c r="A31" s="7" t="s">
        <v>303</v>
      </c>
      <c r="B31" s="7" t="s">
        <v>270</v>
      </c>
      <c r="C31" s="7" t="s">
        <v>304</v>
      </c>
      <c r="D31" s="7" t="s">
        <v>305</v>
      </c>
      <c r="E31" s="7" t="s">
        <v>18</v>
      </c>
      <c r="F31" s="11" t="n">
        <v>583.87</v>
      </c>
      <c r="G31" s="7" t="s">
        <v>288</v>
      </c>
      <c r="H31" s="7" t="s">
        <v>320</v>
      </c>
      <c r="I31" s="7" t="s">
        <v>321</v>
      </c>
      <c r="J31" s="7" t="s">
        <v>322</v>
      </c>
      <c r="K31" s="22" t="n">
        <v>0.5</v>
      </c>
      <c r="L31" s="22" t="n">
        <v>2.5</v>
      </c>
      <c r="M31" s="11" t="n">
        <v>9.71</v>
      </c>
      <c r="N31" s="11" t="n">
        <v>24.28</v>
      </c>
      <c r="O31" s="7"/>
      <c r="P31" s="11" t="n">
        <f aca="false">IF(J31="%mo","",IF(G31="MO",IF(J31="hh",INDEX(MO_HH,MATCH(I31,MO_CAT,0)),M31*P_FACT_IPC),IF(G31="SUBPART",IFERROR(INDEX(APU_SUBP!$C$7:$C$40,MATCH(H31,APU_SUBP!$A$7:$A$40,0)),M31*P_FACT_IPC),M31*P_FACT_IPC)))</f>
        <v>12.4899326163777</v>
      </c>
      <c r="Q31" s="11" t="n">
        <f aca="false">IF(J31="%mo",L31/100*SUMIFS($R$7:$R$782,$A$7:$A$782,A31),L31*P31)</f>
        <v>31.2248315409443</v>
      </c>
      <c r="R31" s="11" t="n">
        <f aca="false">IF(G31="MO",L31*P31,0)</f>
        <v>0</v>
      </c>
    </row>
    <row r="32" customFormat="false" ht="15" hidden="false" customHeight="false" outlineLevel="0" collapsed="false">
      <c r="A32" s="9" t="s">
        <v>303</v>
      </c>
      <c r="B32" s="9" t="s">
        <v>270</v>
      </c>
      <c r="C32" s="9" t="s">
        <v>304</v>
      </c>
      <c r="D32" s="9" t="s">
        <v>305</v>
      </c>
      <c r="E32" s="9" t="s">
        <v>18</v>
      </c>
      <c r="F32" s="10" t="n">
        <v>583.87</v>
      </c>
      <c r="G32" s="9" t="s">
        <v>288</v>
      </c>
      <c r="H32" s="9" t="s">
        <v>323</v>
      </c>
      <c r="I32" s="9" t="s">
        <v>324</v>
      </c>
      <c r="J32" s="9" t="s">
        <v>322</v>
      </c>
      <c r="K32" s="31" t="n">
        <v>1</v>
      </c>
      <c r="L32" s="31" t="n">
        <v>5</v>
      </c>
      <c r="M32" s="10" t="n">
        <v>16.7</v>
      </c>
      <c r="N32" s="10" t="n">
        <v>83.5</v>
      </c>
      <c r="O32" s="9"/>
      <c r="P32" s="11" t="n">
        <f aca="false">IF(J32="%mo","",IF(G32="MO",IF(J32="hh",INDEX(MO_HH,MATCH(I32,MO_CAT,0)),M32*P_FACT_IPC),IF(G32="SUBPART",IFERROR(INDEX(APU_SUBP!$C$7:$C$40,MATCH(H32,APU_SUBP!$A$7:$A$40,0)),M32*P_FACT_IPC),M32*P_FACT_IPC)))</f>
        <v>21.4811405451604</v>
      </c>
      <c r="Q32" s="11" t="n">
        <f aca="false">IF(J32="%mo",L32/100*SUMIFS($R$7:$R$782,$A$7:$A$782,A32),L32*P32)</f>
        <v>107.405702725802</v>
      </c>
      <c r="R32" s="11" t="n">
        <f aca="false">IF(G32="MO",L32*P32,0)</f>
        <v>0</v>
      </c>
    </row>
    <row r="33" customFormat="false" ht="15" hidden="false" customHeight="false" outlineLevel="0" collapsed="false">
      <c r="A33" s="7" t="s">
        <v>303</v>
      </c>
      <c r="B33" s="7" t="s">
        <v>270</v>
      </c>
      <c r="C33" s="7" t="s">
        <v>304</v>
      </c>
      <c r="D33" s="7" t="s">
        <v>305</v>
      </c>
      <c r="E33" s="7" t="s">
        <v>18</v>
      </c>
      <c r="F33" s="11" t="n">
        <v>583.87</v>
      </c>
      <c r="G33" s="7" t="s">
        <v>288</v>
      </c>
      <c r="H33" s="7" t="s">
        <v>325</v>
      </c>
      <c r="I33" s="7" t="s">
        <v>326</v>
      </c>
      <c r="J33" s="7" t="s">
        <v>322</v>
      </c>
      <c r="K33" s="22" t="n">
        <v>0.5</v>
      </c>
      <c r="L33" s="22" t="n">
        <v>2.5</v>
      </c>
      <c r="M33" s="11" t="n">
        <v>0.12</v>
      </c>
      <c r="N33" s="11" t="n">
        <v>0.3</v>
      </c>
      <c r="O33" s="7"/>
      <c r="P33" s="11" t="n">
        <f aca="false">IF(J33="%mo","",IF(G33="MO",IF(J33="hh",INDEX(MO_HH,MATCH(I33,MO_CAT,0)),M33*P_FACT_IPC),IF(G33="SUBPART",IFERROR(INDEX(APU_SUBP!$C$7:$C$40,MATCH(H33,APU_SUBP!$A$7:$A$40,0)),M33*P_FACT_IPC),M33*P_FACT_IPC)))</f>
        <v>0.154355500923309</v>
      </c>
      <c r="Q33" s="11" t="n">
        <f aca="false">IF(J33="%mo",L33/100*SUMIFS($R$7:$R$782,$A$7:$A$782,A33),L33*P33)</f>
        <v>0.385888752308271</v>
      </c>
      <c r="R33" s="11" t="n">
        <f aca="false">IF(G33="MO",L33*P33,0)</f>
        <v>0</v>
      </c>
    </row>
    <row r="34" customFormat="false" ht="15" hidden="false" customHeight="false" outlineLevel="0" collapsed="false">
      <c r="A34" s="9" t="s">
        <v>303</v>
      </c>
      <c r="B34" s="9" t="s">
        <v>270</v>
      </c>
      <c r="C34" s="9" t="s">
        <v>304</v>
      </c>
      <c r="D34" s="9" t="s">
        <v>305</v>
      </c>
      <c r="E34" s="9" t="s">
        <v>18</v>
      </c>
      <c r="F34" s="10" t="n">
        <v>583.87</v>
      </c>
      <c r="G34" s="9" t="s">
        <v>288</v>
      </c>
      <c r="H34" s="9" t="s">
        <v>327</v>
      </c>
      <c r="I34" s="9" t="s">
        <v>328</v>
      </c>
      <c r="J34" s="9" t="s">
        <v>329</v>
      </c>
      <c r="K34" s="31"/>
      <c r="L34" s="31" t="n">
        <v>3</v>
      </c>
      <c r="M34" s="10" t="n">
        <v>461.8</v>
      </c>
      <c r="N34" s="10" t="n">
        <v>13.85</v>
      </c>
      <c r="O34" s="9"/>
      <c r="P34" s="11" t="str">
        <f aca="false">IF(J34="%mo","",IF(G34="MO",IF(J34="hh",INDEX(MO_HH,MATCH(I34,MO_CAT,0)),M34*P_FACT_IPC),IF(G34="SUBPART",IFERROR(INDEX(APU_SUBP!$C$7:$C$40,MATCH(H34,APU_SUBP!$A$7:$A$40,0)),M34*P_FACT_IPC),M34*P_FACT_IPC)))</f>
        <v/>
      </c>
      <c r="Q34" s="11" t="n">
        <f aca="false">IF(J34="%mo",L34/100*SUMIFS($R$7:$R$782,$A$7:$A$782,A34),L34*P34)</f>
        <v>10.3203218116806</v>
      </c>
      <c r="R34" s="11" t="n">
        <f aca="false">IF(G34="MO",L34*P34,0)</f>
        <v>0</v>
      </c>
    </row>
    <row r="35" customFormat="false" ht="15" hidden="false" customHeight="false" outlineLevel="0" collapsed="false">
      <c r="A35" s="7" t="s">
        <v>330</v>
      </c>
      <c r="B35" s="7" t="s">
        <v>270</v>
      </c>
      <c r="C35" s="7" t="s">
        <v>331</v>
      </c>
      <c r="D35" s="7" t="s">
        <v>332</v>
      </c>
      <c r="E35" s="7" t="s">
        <v>12</v>
      </c>
      <c r="F35" s="11" t="n">
        <v>285.04</v>
      </c>
      <c r="G35" s="7" t="s">
        <v>281</v>
      </c>
      <c r="H35" s="7" t="s">
        <v>282</v>
      </c>
      <c r="I35" s="7" t="s">
        <v>107</v>
      </c>
      <c r="J35" s="7" t="s">
        <v>283</v>
      </c>
      <c r="K35" s="22" t="n">
        <v>1</v>
      </c>
      <c r="L35" s="22" t="n">
        <v>0.32</v>
      </c>
      <c r="M35" s="11" t="n">
        <v>25.81</v>
      </c>
      <c r="N35" s="11" t="n">
        <v>8.26</v>
      </c>
      <c r="O35" s="7" t="s">
        <v>284</v>
      </c>
      <c r="P35" s="11" t="n">
        <f aca="false">IF(J35="%mo","",IF(G35="MO",IF(J35="hh",INDEX(MO_HH,MATCH(I35,MO_CAT,0)),M35*P_FACT_IPC),IF(G35="SUBPART",IFERROR(INDEX(APU_SUBP!$C$7:$C$40,MATCH(H35,APU_SUBP!$A$7:$A$40,0)),M35*P_FACT_IPC),M35*P_FACT_IPC)))</f>
        <v>19.226758045292</v>
      </c>
      <c r="Q35" s="11" t="n">
        <f aca="false">IF(J35="%mo",L35/100*SUMIFS($R$7:$R$782,$A$7:$A$782,A35),L35*P35)</f>
        <v>6.15256257449344</v>
      </c>
      <c r="R35" s="11" t="n">
        <f aca="false">IF(G35="MO",L35*P35,0)</f>
        <v>6.15256257449344</v>
      </c>
    </row>
    <row r="36" customFormat="false" ht="15" hidden="false" customHeight="false" outlineLevel="0" collapsed="false">
      <c r="A36" s="9" t="s">
        <v>330</v>
      </c>
      <c r="B36" s="9" t="s">
        <v>270</v>
      </c>
      <c r="C36" s="9" t="s">
        <v>331</v>
      </c>
      <c r="D36" s="9" t="s">
        <v>332</v>
      </c>
      <c r="E36" s="9" t="s">
        <v>12</v>
      </c>
      <c r="F36" s="10" t="n">
        <v>285.04</v>
      </c>
      <c r="G36" s="9" t="s">
        <v>281</v>
      </c>
      <c r="H36" s="9" t="s">
        <v>286</v>
      </c>
      <c r="I36" s="9" t="s">
        <v>122</v>
      </c>
      <c r="J36" s="9" t="s">
        <v>283</v>
      </c>
      <c r="K36" s="31" t="n">
        <v>50</v>
      </c>
      <c r="L36" s="31" t="n">
        <v>16</v>
      </c>
      <c r="M36" s="10" t="n">
        <v>16.78</v>
      </c>
      <c r="N36" s="10" t="n">
        <v>268.48</v>
      </c>
      <c r="O36" s="9" t="s">
        <v>287</v>
      </c>
      <c r="P36" s="11" t="n">
        <f aca="false">IF(J36="%mo","",IF(G36="MO",IF(J36="hh",INDEX(MO_HH,MATCH(I36,MO_CAT,0)),M36*P_FACT_IPC),IF(G36="SUBPART",IFERROR(INDEX(APU_SUBP!$C$7:$C$40,MATCH(H36,APU_SUBP!$A$7:$A$40,0)),M36*P_FACT_IPC),M36*P_FACT_IPC)))</f>
        <v>12.5</v>
      </c>
      <c r="Q36" s="11" t="n">
        <f aca="false">IF(J36="%mo",L36/100*SUMIFS($R$7:$R$782,$A$7:$A$782,A36),L36*P36)</f>
        <v>200</v>
      </c>
      <c r="R36" s="11" t="n">
        <f aca="false">IF(G36="MO",L36*P36,0)</f>
        <v>200</v>
      </c>
    </row>
    <row r="37" customFormat="false" ht="15" hidden="false" customHeight="false" outlineLevel="0" collapsed="false">
      <c r="A37" s="7" t="s">
        <v>330</v>
      </c>
      <c r="B37" s="7" t="s">
        <v>270</v>
      </c>
      <c r="C37" s="7" t="s">
        <v>331</v>
      </c>
      <c r="D37" s="7" t="s">
        <v>332</v>
      </c>
      <c r="E37" s="7" t="s">
        <v>12</v>
      </c>
      <c r="F37" s="11" t="n">
        <v>285.04</v>
      </c>
      <c r="G37" s="7" t="s">
        <v>288</v>
      </c>
      <c r="H37" s="7" t="s">
        <v>327</v>
      </c>
      <c r="I37" s="7" t="s">
        <v>328</v>
      </c>
      <c r="J37" s="7" t="s">
        <v>329</v>
      </c>
      <c r="K37" s="22"/>
      <c r="L37" s="22" t="n">
        <v>3</v>
      </c>
      <c r="M37" s="11" t="n">
        <v>276.74</v>
      </c>
      <c r="N37" s="11" t="n">
        <v>8.3</v>
      </c>
      <c r="O37" s="7"/>
      <c r="P37" s="11" t="str">
        <f aca="false">IF(J37="%mo","",IF(G37="MO",IF(J37="hh",INDEX(MO_HH,MATCH(I37,MO_CAT,0)),M37*P_FACT_IPC),IF(G37="SUBPART",IFERROR(INDEX(APU_SUBP!$C$7:$C$40,MATCH(H37,APU_SUBP!$A$7:$A$40,0)),M37*P_FACT_IPC),M37*P_FACT_IPC)))</f>
        <v/>
      </c>
      <c r="Q37" s="11" t="n">
        <f aca="false">IF(J37="%mo",L37/100*SUMIFS($R$7:$R$782,$A$7:$A$782,A37),L37*P37)</f>
        <v>6.1845768772348</v>
      </c>
      <c r="R37" s="11" t="n">
        <f aca="false">IF(G37="MO",L37*P37,0)</f>
        <v>0</v>
      </c>
    </row>
    <row r="38" customFormat="false" ht="15" hidden="false" customHeight="false" outlineLevel="0" collapsed="false">
      <c r="A38" s="9" t="s">
        <v>333</v>
      </c>
      <c r="B38" s="9" t="s">
        <v>270</v>
      </c>
      <c r="C38" s="9" t="s">
        <v>334</v>
      </c>
      <c r="D38" s="9" t="s">
        <v>335</v>
      </c>
      <c r="E38" s="9" t="s">
        <v>16</v>
      </c>
      <c r="F38" s="10" t="n">
        <v>6000</v>
      </c>
      <c r="G38" s="9" t="s">
        <v>281</v>
      </c>
      <c r="H38" s="9" t="s">
        <v>336</v>
      </c>
      <c r="I38" s="9" t="s">
        <v>337</v>
      </c>
      <c r="J38" s="9" t="s">
        <v>277</v>
      </c>
      <c r="K38" s="31"/>
      <c r="L38" s="31" t="n">
        <v>1</v>
      </c>
      <c r="M38" s="10" t="n">
        <v>6000</v>
      </c>
      <c r="N38" s="10" t="n">
        <v>6000</v>
      </c>
      <c r="O38" s="9" t="s">
        <v>284</v>
      </c>
      <c r="P38" s="11" t="n">
        <f aca="false">IF(J38="%mo","",IF(G38="MO",IF(J38="hh",INDEX(MO_HH,MATCH(I38,MO_CAT,0)),M38*P_FACT_IPC),IF(G38="SUBPART",IFERROR(INDEX(APU_SUBP!$C$7:$C$40,MATCH(H38,APU_SUBP!$A$7:$A$40,0)),M38*P_FACT_IPC),M38*P_FACT_IPC)))</f>
        <v>7717.77504616543</v>
      </c>
      <c r="Q38" s="11" t="n">
        <f aca="false">IF(J38="%mo",L38/100*SUMIFS($R$7:$R$782,$A$7:$A$782,A38),L38*P38)</f>
        <v>7717.77504616543</v>
      </c>
      <c r="R38" s="11" t="n">
        <f aca="false">IF(G38="MO",L38*P38,0)</f>
        <v>7717.77504616543</v>
      </c>
    </row>
    <row r="39" customFormat="false" ht="15" hidden="false" customHeight="false" outlineLevel="0" collapsed="false">
      <c r="A39" s="7" t="s">
        <v>338</v>
      </c>
      <c r="B39" s="7" t="s">
        <v>270</v>
      </c>
      <c r="C39" s="7" t="s">
        <v>339</v>
      </c>
      <c r="D39" s="7" t="s">
        <v>340</v>
      </c>
      <c r="E39" s="7" t="s">
        <v>341</v>
      </c>
      <c r="F39" s="11" t="n">
        <v>202.06</v>
      </c>
      <c r="G39" s="7" t="s">
        <v>274</v>
      </c>
      <c r="H39" s="7" t="s">
        <v>342</v>
      </c>
      <c r="I39" s="7" t="s">
        <v>343</v>
      </c>
      <c r="J39" s="7" t="s">
        <v>341</v>
      </c>
      <c r="K39" s="22"/>
      <c r="L39" s="22" t="n">
        <v>1</v>
      </c>
      <c r="M39" s="11" t="n">
        <v>53.5</v>
      </c>
      <c r="N39" s="11" t="n">
        <v>53.5</v>
      </c>
      <c r="O39" s="7"/>
      <c r="P39" s="11" t="n">
        <f aca="false">IF(J39="%mo","",IF(G39="MO",IF(J39="hh",INDEX(MO_HH,MATCH(I39,MO_CAT,0)),M39*P_FACT_IPC),IF(G39="SUBPART",IFERROR(INDEX(APU_SUBP!$C$7:$C$40,MATCH(H39,APU_SUBP!$A$7:$A$40,0)),M39*P_FACT_IPC),M39*P_FACT_IPC)))</f>
        <v>68.8168274949751</v>
      </c>
      <c r="Q39" s="11" t="n">
        <f aca="false">IF(J39="%mo",L39/100*SUMIFS($R$7:$R$782,$A$7:$A$782,A39),L39*P39)</f>
        <v>68.8168274949751</v>
      </c>
      <c r="R39" s="11" t="n">
        <f aca="false">IF(G39="MO",L39*P39,0)</f>
        <v>0</v>
      </c>
    </row>
    <row r="40" customFormat="false" ht="15" hidden="false" customHeight="false" outlineLevel="0" collapsed="false">
      <c r="A40" s="9" t="s">
        <v>338</v>
      </c>
      <c r="B40" s="9" t="s">
        <v>270</v>
      </c>
      <c r="C40" s="9" t="s">
        <v>339</v>
      </c>
      <c r="D40" s="9" t="s">
        <v>340</v>
      </c>
      <c r="E40" s="9" t="s">
        <v>341</v>
      </c>
      <c r="F40" s="10" t="n">
        <v>202.06</v>
      </c>
      <c r="G40" s="9" t="s">
        <v>274</v>
      </c>
      <c r="H40" s="9" t="s">
        <v>344</v>
      </c>
      <c r="I40" s="9" t="s">
        <v>345</v>
      </c>
      <c r="J40" s="9" t="s">
        <v>341</v>
      </c>
      <c r="K40" s="31"/>
      <c r="L40" s="31" t="n">
        <v>1</v>
      </c>
      <c r="M40" s="10" t="n">
        <v>41.46</v>
      </c>
      <c r="N40" s="10" t="n">
        <v>41.46</v>
      </c>
      <c r="O40" s="9"/>
      <c r="P40" s="11" t="n">
        <f aca="false">IF(J40="%mo","",IF(G40="MO",IF(J40="hh",INDEX(MO_HH,MATCH(I40,MO_CAT,0)),M40*P_FACT_IPC),IF(G40="SUBPART",IFERROR(INDEX(APU_SUBP!$C$7:$C$40,MATCH(H40,APU_SUBP!$A$7:$A$40,0)),M40*P_FACT_IPC),M40*P_FACT_IPC)))</f>
        <v>53.3298255690031</v>
      </c>
      <c r="Q40" s="11" t="n">
        <f aca="false">IF(J40="%mo",L40/100*SUMIFS($R$7:$R$782,$A$7:$A$782,A40),L40*P40)</f>
        <v>53.3298255690031</v>
      </c>
      <c r="R40" s="11" t="n">
        <f aca="false">IF(G40="MO",L40*P40,0)</f>
        <v>0</v>
      </c>
    </row>
    <row r="41" customFormat="false" ht="15" hidden="false" customHeight="false" outlineLevel="0" collapsed="false">
      <c r="A41" s="7" t="s">
        <v>338</v>
      </c>
      <c r="B41" s="7" t="s">
        <v>270</v>
      </c>
      <c r="C41" s="7" t="s">
        <v>339</v>
      </c>
      <c r="D41" s="7" t="s">
        <v>340</v>
      </c>
      <c r="E41" s="7" t="s">
        <v>341</v>
      </c>
      <c r="F41" s="11" t="n">
        <v>202.06</v>
      </c>
      <c r="G41" s="7" t="s">
        <v>274</v>
      </c>
      <c r="H41" s="7" t="s">
        <v>346</v>
      </c>
      <c r="I41" s="7" t="s">
        <v>347</v>
      </c>
      <c r="J41" s="7" t="s">
        <v>341</v>
      </c>
      <c r="K41" s="22"/>
      <c r="L41" s="22" t="n">
        <v>1</v>
      </c>
      <c r="M41" s="11" t="n">
        <v>25.68</v>
      </c>
      <c r="N41" s="11" t="n">
        <v>25.68</v>
      </c>
      <c r="O41" s="7"/>
      <c r="P41" s="11" t="n">
        <f aca="false">IF(J41="%mo","",IF(G41="MO",IF(J41="hh",INDEX(MO_HH,MATCH(I41,MO_CAT,0)),M41*P_FACT_IPC),IF(G41="SUBPART",IFERROR(INDEX(APU_SUBP!$C$7:$C$40,MATCH(H41,APU_SUBP!$A$7:$A$40,0)),M41*P_FACT_IPC),M41*P_FACT_IPC)))</f>
        <v>33.032077197588</v>
      </c>
      <c r="Q41" s="11" t="n">
        <f aca="false">IF(J41="%mo",L41/100*SUMIFS($R$7:$R$782,$A$7:$A$782,A41),L41*P41)</f>
        <v>33.032077197588</v>
      </c>
      <c r="R41" s="11" t="n">
        <f aca="false">IF(G41="MO",L41*P41,0)</f>
        <v>0</v>
      </c>
    </row>
    <row r="42" customFormat="false" ht="15" hidden="false" customHeight="false" outlineLevel="0" collapsed="false">
      <c r="A42" s="9" t="s">
        <v>338</v>
      </c>
      <c r="B42" s="9" t="s">
        <v>270</v>
      </c>
      <c r="C42" s="9" t="s">
        <v>339</v>
      </c>
      <c r="D42" s="9" t="s">
        <v>340</v>
      </c>
      <c r="E42" s="9" t="s">
        <v>341</v>
      </c>
      <c r="F42" s="10" t="n">
        <v>202.06</v>
      </c>
      <c r="G42" s="9" t="s">
        <v>274</v>
      </c>
      <c r="H42" s="9" t="s">
        <v>348</v>
      </c>
      <c r="I42" s="9" t="s">
        <v>349</v>
      </c>
      <c r="J42" s="9" t="s">
        <v>341</v>
      </c>
      <c r="K42" s="31"/>
      <c r="L42" s="31" t="n">
        <v>1</v>
      </c>
      <c r="M42" s="10" t="n">
        <v>15.56</v>
      </c>
      <c r="N42" s="10" t="n">
        <v>15.56</v>
      </c>
      <c r="O42" s="9"/>
      <c r="P42" s="11" t="n">
        <f aca="false">IF(J42="%mo","",IF(G42="MO",IF(J42="hh",INDEX(MO_HH,MATCH(I42,MO_CAT,0)),M42*P_FACT_IPC),IF(G42="SUBPART",IFERROR(INDEX(APU_SUBP!$C$7:$C$40,MATCH(H42,APU_SUBP!$A$7:$A$40,0)),M42*P_FACT_IPC),M42*P_FACT_IPC)))</f>
        <v>20.014763286389</v>
      </c>
      <c r="Q42" s="11" t="n">
        <f aca="false">IF(J42="%mo",L42/100*SUMIFS($R$7:$R$782,$A$7:$A$782,A42),L42*P42)</f>
        <v>20.014763286389</v>
      </c>
      <c r="R42" s="11" t="n">
        <f aca="false">IF(G42="MO",L42*P42,0)</f>
        <v>0</v>
      </c>
    </row>
    <row r="43" customFormat="false" ht="15" hidden="false" customHeight="false" outlineLevel="0" collapsed="false">
      <c r="A43" s="7" t="s">
        <v>338</v>
      </c>
      <c r="B43" s="7" t="s">
        <v>270</v>
      </c>
      <c r="C43" s="7" t="s">
        <v>339</v>
      </c>
      <c r="D43" s="7" t="s">
        <v>340</v>
      </c>
      <c r="E43" s="7" t="s">
        <v>341</v>
      </c>
      <c r="F43" s="11" t="n">
        <v>202.06</v>
      </c>
      <c r="G43" s="7" t="s">
        <v>274</v>
      </c>
      <c r="H43" s="7" t="s">
        <v>350</v>
      </c>
      <c r="I43" s="7" t="s">
        <v>351</v>
      </c>
      <c r="J43" s="7" t="s">
        <v>341</v>
      </c>
      <c r="K43" s="22"/>
      <c r="L43" s="22" t="n">
        <v>1</v>
      </c>
      <c r="M43" s="11" t="n">
        <v>12.45</v>
      </c>
      <c r="N43" s="11" t="n">
        <v>12.45</v>
      </c>
      <c r="O43" s="7"/>
      <c r="P43" s="11" t="n">
        <f aca="false">IF(J43="%mo","",IF(G43="MO",IF(J43="hh",INDEX(MO_HH,MATCH(I43,MO_CAT,0)),M43*P_FACT_IPC),IF(G43="SUBPART",IFERROR(INDEX(APU_SUBP!$C$7:$C$40,MATCH(H43,APU_SUBP!$A$7:$A$40,0)),M43*P_FACT_IPC),M43*P_FACT_IPC)))</f>
        <v>16.0143832207933</v>
      </c>
      <c r="Q43" s="11" t="n">
        <f aca="false">IF(J43="%mo",L43/100*SUMIFS($R$7:$R$782,$A$7:$A$782,A43),L43*P43)</f>
        <v>16.0143832207933</v>
      </c>
      <c r="R43" s="11" t="n">
        <f aca="false">IF(G43="MO",L43*P43,0)</f>
        <v>0</v>
      </c>
    </row>
    <row r="44" customFormat="false" ht="15" hidden="false" customHeight="false" outlineLevel="0" collapsed="false">
      <c r="A44" s="9" t="s">
        <v>338</v>
      </c>
      <c r="B44" s="9" t="s">
        <v>270</v>
      </c>
      <c r="C44" s="9" t="s">
        <v>339</v>
      </c>
      <c r="D44" s="9" t="s">
        <v>340</v>
      </c>
      <c r="E44" s="9" t="s">
        <v>341</v>
      </c>
      <c r="F44" s="10" t="n">
        <v>202.06</v>
      </c>
      <c r="G44" s="9" t="s">
        <v>274</v>
      </c>
      <c r="H44" s="9" t="s">
        <v>352</v>
      </c>
      <c r="I44" s="9" t="s">
        <v>353</v>
      </c>
      <c r="J44" s="9" t="s">
        <v>341</v>
      </c>
      <c r="K44" s="31"/>
      <c r="L44" s="31" t="n">
        <v>1</v>
      </c>
      <c r="M44" s="10" t="n">
        <v>27.78</v>
      </c>
      <c r="N44" s="10" t="n">
        <v>27.78</v>
      </c>
      <c r="O44" s="9"/>
      <c r="P44" s="11" t="n">
        <f aca="false">IF(J44="%mo","",IF(G44="MO",IF(J44="hh",INDEX(MO_HH,MATCH(I44,MO_CAT,0)),M44*P_FACT_IPC),IF(G44="SUBPART",IFERROR(INDEX(APU_SUBP!$C$7:$C$40,MATCH(H44,APU_SUBP!$A$7:$A$40,0)),M44*P_FACT_IPC),M44*P_FACT_IPC)))</f>
        <v>35.7332984637459</v>
      </c>
      <c r="Q44" s="11" t="n">
        <f aca="false">IF(J44="%mo",L44/100*SUMIFS($R$7:$R$782,$A$7:$A$782,A44),L44*P44)</f>
        <v>35.7332984637459</v>
      </c>
      <c r="R44" s="11" t="n">
        <f aca="false">IF(G44="MO",L44*P44,0)</f>
        <v>0</v>
      </c>
    </row>
    <row r="45" customFormat="false" ht="15" hidden="false" customHeight="false" outlineLevel="0" collapsed="false">
      <c r="A45" s="7" t="s">
        <v>338</v>
      </c>
      <c r="B45" s="7" t="s">
        <v>270</v>
      </c>
      <c r="C45" s="7" t="s">
        <v>339</v>
      </c>
      <c r="D45" s="7" t="s">
        <v>340</v>
      </c>
      <c r="E45" s="7" t="s">
        <v>341</v>
      </c>
      <c r="F45" s="11" t="n">
        <v>202.06</v>
      </c>
      <c r="G45" s="7" t="s">
        <v>274</v>
      </c>
      <c r="H45" s="7" t="s">
        <v>354</v>
      </c>
      <c r="I45" s="7" t="s">
        <v>355</v>
      </c>
      <c r="J45" s="7" t="s">
        <v>341</v>
      </c>
      <c r="K45" s="22"/>
      <c r="L45" s="22" t="n">
        <v>1</v>
      </c>
      <c r="M45" s="11" t="n">
        <v>25.63</v>
      </c>
      <c r="N45" s="11" t="n">
        <v>25.63</v>
      </c>
      <c r="O45" s="7"/>
      <c r="P45" s="11" t="n">
        <f aca="false">IF(J45="%mo","",IF(G45="MO",IF(J45="hh",INDEX(MO_HH,MATCH(I45,MO_CAT,0)),M45*P_FACT_IPC),IF(G45="SUBPART",IFERROR(INDEX(APU_SUBP!$C$7:$C$40,MATCH(H45,APU_SUBP!$A$7:$A$40,0)),M45*P_FACT_IPC),M45*P_FACT_IPC)))</f>
        <v>32.9677624055367</v>
      </c>
      <c r="Q45" s="11" t="n">
        <f aca="false">IF(J45="%mo",L45/100*SUMIFS($R$7:$R$782,$A$7:$A$782,A45),L45*P45)</f>
        <v>32.9677624055367</v>
      </c>
      <c r="R45" s="11" t="n">
        <f aca="false">IF(G45="MO",L45*P45,0)</f>
        <v>0</v>
      </c>
    </row>
    <row r="46" customFormat="false" ht="15" hidden="false" customHeight="false" outlineLevel="0" collapsed="false">
      <c r="A46" s="9" t="s">
        <v>356</v>
      </c>
      <c r="B46" s="9" t="s">
        <v>270</v>
      </c>
      <c r="C46" s="9" t="s">
        <v>357</v>
      </c>
      <c r="D46" s="9" t="s">
        <v>358</v>
      </c>
      <c r="E46" s="9" t="s">
        <v>16</v>
      </c>
      <c r="F46" s="10" t="n">
        <v>4445.55</v>
      </c>
      <c r="G46" s="9" t="s">
        <v>281</v>
      </c>
      <c r="H46" s="9" t="s">
        <v>282</v>
      </c>
      <c r="I46" s="9" t="s">
        <v>107</v>
      </c>
      <c r="J46" s="9" t="s">
        <v>283</v>
      </c>
      <c r="K46" s="31" t="n">
        <v>0.5</v>
      </c>
      <c r="L46" s="31" t="n">
        <v>4</v>
      </c>
      <c r="M46" s="10" t="n">
        <v>25.81</v>
      </c>
      <c r="N46" s="10" t="n">
        <v>103.24</v>
      </c>
      <c r="O46" s="9" t="s">
        <v>284</v>
      </c>
      <c r="P46" s="11" t="n">
        <f aca="false">IF(J46="%mo","",IF(G46="MO",IF(J46="hh",INDEX(MO_HH,MATCH(I46,MO_CAT,0)),M46*P_FACT_IPC),IF(G46="SUBPART",IFERROR(INDEX(APU_SUBP!$C$7:$C$40,MATCH(H46,APU_SUBP!$A$7:$A$40,0)),M46*P_FACT_IPC),M46*P_FACT_IPC)))</f>
        <v>19.226758045292</v>
      </c>
      <c r="Q46" s="11" t="n">
        <f aca="false">IF(J46="%mo",L46/100*SUMIFS($R$7:$R$782,$A$7:$A$782,A46),L46*P46)</f>
        <v>76.9070321811681</v>
      </c>
      <c r="R46" s="11" t="n">
        <f aca="false">IF(G46="MO",L46*P46,0)</f>
        <v>76.9070321811681</v>
      </c>
    </row>
    <row r="47" customFormat="false" ht="15" hidden="false" customHeight="false" outlineLevel="0" collapsed="false">
      <c r="A47" s="7" t="s">
        <v>356</v>
      </c>
      <c r="B47" s="7" t="s">
        <v>270</v>
      </c>
      <c r="C47" s="7" t="s">
        <v>357</v>
      </c>
      <c r="D47" s="7" t="s">
        <v>358</v>
      </c>
      <c r="E47" s="7" t="s">
        <v>16</v>
      </c>
      <c r="F47" s="11" t="n">
        <v>4445.55</v>
      </c>
      <c r="G47" s="7" t="s">
        <v>281</v>
      </c>
      <c r="H47" s="7" t="s">
        <v>306</v>
      </c>
      <c r="I47" s="7" t="s">
        <v>112</v>
      </c>
      <c r="J47" s="7" t="s">
        <v>283</v>
      </c>
      <c r="K47" s="22" t="n">
        <v>1</v>
      </c>
      <c r="L47" s="22" t="n">
        <v>8</v>
      </c>
      <c r="M47" s="11" t="n">
        <v>23.46</v>
      </c>
      <c r="N47" s="11" t="n">
        <v>187.68</v>
      </c>
      <c r="O47" s="7" t="s">
        <v>284</v>
      </c>
      <c r="P47" s="11" t="n">
        <f aca="false">IF(J47="%mo","",IF(G47="MO",IF(J47="hh",INDEX(MO_HH,MATCH(I47,MO_CAT,0)),M47*P_FACT_IPC),IF(G47="SUBPART",IFERROR(INDEX(APU_SUBP!$C$7:$C$40,MATCH(H47,APU_SUBP!$A$7:$A$40,0)),M47*P_FACT_IPC),M47*P_FACT_IPC)))</f>
        <v>17.4761620977354</v>
      </c>
      <c r="Q47" s="11" t="n">
        <f aca="false">IF(J47="%mo",L47/100*SUMIFS($R$7:$R$782,$A$7:$A$782,A47),L47*P47)</f>
        <v>139.809296781883</v>
      </c>
      <c r="R47" s="11" t="n">
        <f aca="false">IF(G47="MO",L47*P47,0)</f>
        <v>139.809296781883</v>
      </c>
    </row>
    <row r="48" customFormat="false" ht="15" hidden="false" customHeight="false" outlineLevel="0" collapsed="false">
      <c r="A48" s="9" t="s">
        <v>356</v>
      </c>
      <c r="B48" s="9" t="s">
        <v>270</v>
      </c>
      <c r="C48" s="9" t="s">
        <v>357</v>
      </c>
      <c r="D48" s="9" t="s">
        <v>358</v>
      </c>
      <c r="E48" s="9" t="s">
        <v>16</v>
      </c>
      <c r="F48" s="10" t="n">
        <v>4445.55</v>
      </c>
      <c r="G48" s="9" t="s">
        <v>281</v>
      </c>
      <c r="H48" s="9" t="s">
        <v>286</v>
      </c>
      <c r="I48" s="9" t="s">
        <v>122</v>
      </c>
      <c r="J48" s="9" t="s">
        <v>283</v>
      </c>
      <c r="K48" s="31" t="n">
        <v>4</v>
      </c>
      <c r="L48" s="31" t="n">
        <v>32</v>
      </c>
      <c r="M48" s="10" t="n">
        <v>16.78</v>
      </c>
      <c r="N48" s="10" t="n">
        <v>536.96</v>
      </c>
      <c r="O48" s="9" t="s">
        <v>287</v>
      </c>
      <c r="P48" s="11" t="n">
        <f aca="false">IF(J48="%mo","",IF(G48="MO",IF(J48="hh",INDEX(MO_HH,MATCH(I48,MO_CAT,0)),M48*P_FACT_IPC),IF(G48="SUBPART",IFERROR(INDEX(APU_SUBP!$C$7:$C$40,MATCH(H48,APU_SUBP!$A$7:$A$40,0)),M48*P_FACT_IPC),M48*P_FACT_IPC)))</f>
        <v>12.5</v>
      </c>
      <c r="Q48" s="11" t="n">
        <f aca="false">IF(J48="%mo",L48/100*SUMIFS($R$7:$R$782,$A$7:$A$782,A48),L48*P48)</f>
        <v>400</v>
      </c>
      <c r="R48" s="11" t="n">
        <f aca="false">IF(G48="MO",L48*P48,0)</f>
        <v>400</v>
      </c>
    </row>
    <row r="49" customFormat="false" ht="15" hidden="false" customHeight="false" outlineLevel="0" collapsed="false">
      <c r="A49" s="7" t="s">
        <v>356</v>
      </c>
      <c r="B49" s="7" t="s">
        <v>270</v>
      </c>
      <c r="C49" s="7" t="s">
        <v>357</v>
      </c>
      <c r="D49" s="7" t="s">
        <v>358</v>
      </c>
      <c r="E49" s="7" t="s">
        <v>16</v>
      </c>
      <c r="F49" s="11" t="n">
        <v>4445.55</v>
      </c>
      <c r="G49" s="7" t="s">
        <v>307</v>
      </c>
      <c r="H49" s="7" t="s">
        <v>359</v>
      </c>
      <c r="I49" s="7" t="s">
        <v>360</v>
      </c>
      <c r="J49" s="7" t="s">
        <v>361</v>
      </c>
      <c r="K49" s="22"/>
      <c r="L49" s="22" t="n">
        <v>0.85</v>
      </c>
      <c r="M49" s="11" t="n">
        <v>4.43</v>
      </c>
      <c r="N49" s="11" t="n">
        <v>3.77</v>
      </c>
      <c r="O49" s="7"/>
      <c r="P49" s="11" t="n">
        <f aca="false">IF(J49="%mo","",IF(G49="MO",IF(J49="hh",INDEX(MO_HH,MATCH(I49,MO_CAT,0)),M49*P_FACT_IPC),IF(G49="SUBPART",IFERROR(INDEX(APU_SUBP!$C$7:$C$40,MATCH(H49,APU_SUBP!$A$7:$A$40,0)),M49*P_FACT_IPC),M49*P_FACT_IPC)))</f>
        <v>5.69829057575214</v>
      </c>
      <c r="Q49" s="11" t="n">
        <f aca="false">IF(J49="%mo",L49/100*SUMIFS($R$7:$R$782,$A$7:$A$782,A49),L49*P49)</f>
        <v>4.84354698938932</v>
      </c>
      <c r="R49" s="11" t="n">
        <f aca="false">IF(G49="MO",L49*P49,0)</f>
        <v>0</v>
      </c>
    </row>
    <row r="50" customFormat="false" ht="15" hidden="false" customHeight="false" outlineLevel="0" collapsed="false">
      <c r="A50" s="9" t="s">
        <v>356</v>
      </c>
      <c r="B50" s="9" t="s">
        <v>270</v>
      </c>
      <c r="C50" s="9" t="s">
        <v>357</v>
      </c>
      <c r="D50" s="9" t="s">
        <v>358</v>
      </c>
      <c r="E50" s="9" t="s">
        <v>16</v>
      </c>
      <c r="F50" s="10" t="n">
        <v>4445.55</v>
      </c>
      <c r="G50" s="9" t="s">
        <v>307</v>
      </c>
      <c r="H50" s="9" t="s">
        <v>362</v>
      </c>
      <c r="I50" s="9" t="s">
        <v>363</v>
      </c>
      <c r="J50" s="9" t="s">
        <v>310</v>
      </c>
      <c r="K50" s="31"/>
      <c r="L50" s="31" t="n">
        <v>1.05</v>
      </c>
      <c r="M50" s="10" t="n">
        <v>24.68</v>
      </c>
      <c r="N50" s="10" t="n">
        <v>25.91</v>
      </c>
      <c r="O50" s="9"/>
      <c r="P50" s="11" t="n">
        <f aca="false">IF(J50="%mo","",IF(G50="MO",IF(J50="hh",INDEX(MO_HH,MATCH(I50,MO_CAT,0)),M50*P_FACT_IPC),IF(G50="SUBPART",IFERROR(INDEX(APU_SUBP!$C$7:$C$40,MATCH(H50,APU_SUBP!$A$7:$A$40,0)),M50*P_FACT_IPC),M50*P_FACT_IPC)))</f>
        <v>31.7457813565605</v>
      </c>
      <c r="Q50" s="11" t="n">
        <f aca="false">IF(J50="%mo",L50/100*SUMIFS($R$7:$R$782,$A$7:$A$782,A50),L50*P50)</f>
        <v>33.3330704243885</v>
      </c>
      <c r="R50" s="11" t="n">
        <f aca="false">IF(G50="MO",L50*P50,0)</f>
        <v>0</v>
      </c>
    </row>
    <row r="51" customFormat="false" ht="15" hidden="false" customHeight="false" outlineLevel="0" collapsed="false">
      <c r="A51" s="7" t="s">
        <v>356</v>
      </c>
      <c r="B51" s="7" t="s">
        <v>270</v>
      </c>
      <c r="C51" s="7" t="s">
        <v>357</v>
      </c>
      <c r="D51" s="7" t="s">
        <v>358</v>
      </c>
      <c r="E51" s="7" t="s">
        <v>16</v>
      </c>
      <c r="F51" s="11" t="n">
        <v>4445.55</v>
      </c>
      <c r="G51" s="7" t="s">
        <v>307</v>
      </c>
      <c r="H51" s="7" t="s">
        <v>364</v>
      </c>
      <c r="I51" s="7" t="s">
        <v>365</v>
      </c>
      <c r="J51" s="7" t="s">
        <v>316</v>
      </c>
      <c r="K51" s="22"/>
      <c r="L51" s="22" t="n">
        <v>70</v>
      </c>
      <c r="M51" s="11" t="n">
        <v>4.13</v>
      </c>
      <c r="N51" s="11" t="n">
        <v>289.1</v>
      </c>
      <c r="O51" s="7"/>
      <c r="P51" s="11" t="n">
        <f aca="false">IF(J51="%mo","",IF(G51="MO",IF(J51="hh",INDEX(MO_HH,MATCH(I51,MO_CAT,0)),M51*P_FACT_IPC),IF(G51="SUBPART",IFERROR(INDEX(APU_SUBP!$C$7:$C$40,MATCH(H51,APU_SUBP!$A$7:$A$40,0)),M51*P_FACT_IPC),M51*P_FACT_IPC)))</f>
        <v>5.31240182344387</v>
      </c>
      <c r="Q51" s="11" t="n">
        <f aca="false">IF(J51="%mo",L51/100*SUMIFS($R$7:$R$782,$A$7:$A$782,A51),L51*P51)</f>
        <v>371.868127641071</v>
      </c>
      <c r="R51" s="11" t="n">
        <f aca="false">IF(G51="MO",L51*P51,0)</f>
        <v>0</v>
      </c>
    </row>
    <row r="52" customFormat="false" ht="15" hidden="false" customHeight="false" outlineLevel="0" collapsed="false">
      <c r="A52" s="9" t="s">
        <v>356</v>
      </c>
      <c r="B52" s="9" t="s">
        <v>270</v>
      </c>
      <c r="C52" s="9" t="s">
        <v>357</v>
      </c>
      <c r="D52" s="9" t="s">
        <v>358</v>
      </c>
      <c r="E52" s="9" t="s">
        <v>16</v>
      </c>
      <c r="F52" s="10" t="n">
        <v>4445.55</v>
      </c>
      <c r="G52" s="9" t="s">
        <v>307</v>
      </c>
      <c r="H52" s="9" t="s">
        <v>317</v>
      </c>
      <c r="I52" s="9" t="s">
        <v>318</v>
      </c>
      <c r="J52" s="9" t="s">
        <v>319</v>
      </c>
      <c r="K52" s="31"/>
      <c r="L52" s="31" t="n">
        <v>0.25</v>
      </c>
      <c r="M52" s="10" t="n">
        <v>34.07</v>
      </c>
      <c r="N52" s="10" t="n">
        <v>8.52</v>
      </c>
      <c r="O52" s="9"/>
      <c r="P52" s="11" t="n">
        <f aca="false">IF(J52="%mo","",IF(G52="MO",IF(J52="hh",INDEX(MO_HH,MATCH(I52,MO_CAT,0)),M52*P_FACT_IPC),IF(G52="SUBPART",IFERROR(INDEX(APU_SUBP!$C$7:$C$40,MATCH(H52,APU_SUBP!$A$7:$A$40,0)),M52*P_FACT_IPC),M52*P_FACT_IPC)))</f>
        <v>43.8240993038094</v>
      </c>
      <c r="Q52" s="11" t="n">
        <f aca="false">IF(J52="%mo",L52/100*SUMIFS($R$7:$R$782,$A$7:$A$782,A52),L52*P52)</f>
        <v>10.9560248259523</v>
      </c>
      <c r="R52" s="11" t="n">
        <f aca="false">IF(G52="MO",L52*P52,0)</f>
        <v>0</v>
      </c>
    </row>
    <row r="53" customFormat="false" ht="15" hidden="false" customHeight="false" outlineLevel="0" collapsed="false">
      <c r="A53" s="7" t="s">
        <v>356</v>
      </c>
      <c r="B53" s="7" t="s">
        <v>270</v>
      </c>
      <c r="C53" s="7" t="s">
        <v>357</v>
      </c>
      <c r="D53" s="7" t="s">
        <v>358</v>
      </c>
      <c r="E53" s="7" t="s">
        <v>16</v>
      </c>
      <c r="F53" s="11" t="n">
        <v>4445.55</v>
      </c>
      <c r="G53" s="7" t="s">
        <v>307</v>
      </c>
      <c r="H53" s="7" t="s">
        <v>366</v>
      </c>
      <c r="I53" s="7" t="s">
        <v>367</v>
      </c>
      <c r="J53" s="7" t="s">
        <v>16</v>
      </c>
      <c r="K53" s="22"/>
      <c r="L53" s="22" t="n">
        <v>15</v>
      </c>
      <c r="M53" s="11" t="n">
        <v>3.01</v>
      </c>
      <c r="N53" s="11" t="n">
        <v>45.15</v>
      </c>
      <c r="O53" s="7"/>
      <c r="P53" s="11" t="n">
        <f aca="false">IF(J53="%mo","",IF(G53="MO",IF(J53="hh",INDEX(MO_HH,MATCH(I53,MO_CAT,0)),M53*P_FACT_IPC),IF(G53="SUBPART",IFERROR(INDEX(APU_SUBP!$C$7:$C$40,MATCH(H53,APU_SUBP!$A$7:$A$40,0)),M53*P_FACT_IPC),M53*P_FACT_IPC)))</f>
        <v>3.87175048149299</v>
      </c>
      <c r="Q53" s="11" t="n">
        <f aca="false">IF(J53="%mo",L53/100*SUMIFS($R$7:$R$782,$A$7:$A$782,A53),L53*P53)</f>
        <v>58.0762572223949</v>
      </c>
      <c r="R53" s="11" t="n">
        <f aca="false">IF(G53="MO",L53*P53,0)</f>
        <v>0</v>
      </c>
    </row>
    <row r="54" customFormat="false" ht="15" hidden="false" customHeight="false" outlineLevel="0" collapsed="false">
      <c r="A54" s="9" t="s">
        <v>356</v>
      </c>
      <c r="B54" s="9" t="s">
        <v>270</v>
      </c>
      <c r="C54" s="9" t="s">
        <v>357</v>
      </c>
      <c r="D54" s="9" t="s">
        <v>358</v>
      </c>
      <c r="E54" s="9" t="s">
        <v>16</v>
      </c>
      <c r="F54" s="10" t="n">
        <v>4445.55</v>
      </c>
      <c r="G54" s="9" t="s">
        <v>288</v>
      </c>
      <c r="H54" s="9" t="s">
        <v>327</v>
      </c>
      <c r="I54" s="9" t="s">
        <v>328</v>
      </c>
      <c r="J54" s="9" t="s">
        <v>329</v>
      </c>
      <c r="K54" s="31"/>
      <c r="L54" s="31" t="n">
        <v>3</v>
      </c>
      <c r="M54" s="10" t="n">
        <v>827.88</v>
      </c>
      <c r="N54" s="10" t="n">
        <v>24.84</v>
      </c>
      <c r="O54" s="9"/>
      <c r="P54" s="11" t="str">
        <f aca="false">IF(J54="%mo","",IF(G54="MO",IF(J54="hh",INDEX(MO_HH,MATCH(I54,MO_CAT,0)),M54*P_FACT_IPC),IF(G54="SUBPART",IFERROR(INDEX(APU_SUBP!$C$7:$C$40,MATCH(H54,APU_SUBP!$A$7:$A$40,0)),M54*P_FACT_IPC),M54*P_FACT_IPC)))</f>
        <v/>
      </c>
      <c r="Q54" s="11" t="n">
        <f aca="false">IF(J54="%mo",L54/100*SUMIFS($R$7:$R$782,$A$7:$A$782,A54),L54*P54)</f>
        <v>18.5014898688915</v>
      </c>
      <c r="R54" s="11" t="n">
        <f aca="false">IF(G54="MO",L54*P54,0)</f>
        <v>0</v>
      </c>
    </row>
    <row r="55" customFormat="false" ht="15" hidden="false" customHeight="false" outlineLevel="0" collapsed="false">
      <c r="A55" s="7" t="s">
        <v>356</v>
      </c>
      <c r="B55" s="7" t="s">
        <v>270</v>
      </c>
      <c r="C55" s="7" t="s">
        <v>357</v>
      </c>
      <c r="D55" s="7" t="s">
        <v>358</v>
      </c>
      <c r="E55" s="7" t="s">
        <v>16</v>
      </c>
      <c r="F55" s="11" t="n">
        <v>4445.55</v>
      </c>
      <c r="G55" s="7" t="s">
        <v>274</v>
      </c>
      <c r="H55" s="7" t="s">
        <v>368</v>
      </c>
      <c r="I55" s="7" t="s">
        <v>369</v>
      </c>
      <c r="J55" s="7" t="s">
        <v>277</v>
      </c>
      <c r="K55" s="22"/>
      <c r="L55" s="22" t="n">
        <v>1</v>
      </c>
      <c r="M55" s="11" t="n">
        <v>3200</v>
      </c>
      <c r="N55" s="11" t="n">
        <v>3200</v>
      </c>
      <c r="O55" s="7"/>
      <c r="P55" s="11" t="n">
        <f aca="false">IF(J55="%mo","",IF(G55="MO",IF(J55="hh",INDEX(MO_HH,MATCH(I55,MO_CAT,0)),M55*P_FACT_IPC),IF(G55="SUBPART",IFERROR(INDEX(APU_SUBP!$C$7:$C$40,MATCH(H55,APU_SUBP!$A$7:$A$40,0)),M55*P_FACT_IPC),M55*P_FACT_IPC)))</f>
        <v>4116.14669128823</v>
      </c>
      <c r="Q55" s="11" t="n">
        <f aca="false">IF(J55="%mo",L55/100*SUMIFS($R$7:$R$782,$A$7:$A$782,A55),L55*P55)</f>
        <v>4116.14669128823</v>
      </c>
      <c r="R55" s="11" t="n">
        <f aca="false">IF(G55="MO",L55*P55,0)</f>
        <v>0</v>
      </c>
    </row>
    <row r="56" customFormat="false" ht="15" hidden="false" customHeight="false" outlineLevel="0" collapsed="false">
      <c r="A56" s="9" t="s">
        <v>356</v>
      </c>
      <c r="B56" s="9" t="s">
        <v>270</v>
      </c>
      <c r="C56" s="9" t="s">
        <v>357</v>
      </c>
      <c r="D56" s="9" t="s">
        <v>358</v>
      </c>
      <c r="E56" s="9" t="s">
        <v>16</v>
      </c>
      <c r="F56" s="10" t="n">
        <v>4445.55</v>
      </c>
      <c r="G56" s="9" t="s">
        <v>370</v>
      </c>
      <c r="H56" s="9" t="s">
        <v>371</v>
      </c>
      <c r="I56" s="9" t="s">
        <v>372</v>
      </c>
      <c r="J56" s="9" t="s">
        <v>273</v>
      </c>
      <c r="K56" s="31"/>
      <c r="L56" s="31" t="n">
        <v>0.36</v>
      </c>
      <c r="M56" s="10" t="n">
        <v>56.6</v>
      </c>
      <c r="N56" s="10" t="n">
        <v>20.38</v>
      </c>
      <c r="O56" s="9"/>
      <c r="P56" s="11" t="n">
        <f aca="false">IF(J56="%mo","",IF(G56="MO",IF(J56="hh",INDEX(MO_HH,MATCH(I56,MO_CAT,0)),M56*P_FACT_IPC),IF(G56="SUBPART",IFERROR(INDEX(APU_SUBP!$C$7:$C$40,MATCH(H56,APU_SUBP!$A$7:$A$40,0)),M56*P_FACT_IPC),M56*P_FACT_IPC)))</f>
        <v>69.1425112769682</v>
      </c>
      <c r="Q56" s="11" t="n">
        <f aca="false">IF(J56="%mo",L56/100*SUMIFS($R$7:$R$782,$A$7:$A$782,A56),L56*P56)</f>
        <v>24.8913040597086</v>
      </c>
      <c r="R56" s="11" t="n">
        <f aca="false">IF(G56="MO",L56*P56,0)</f>
        <v>0</v>
      </c>
    </row>
    <row r="57" customFormat="false" ht="15" hidden="false" customHeight="false" outlineLevel="0" collapsed="false">
      <c r="A57" s="7" t="s">
        <v>373</v>
      </c>
      <c r="B57" s="7" t="s">
        <v>270</v>
      </c>
      <c r="C57" s="7" t="s">
        <v>374</v>
      </c>
      <c r="D57" s="7" t="s">
        <v>375</v>
      </c>
      <c r="E57" s="7" t="s">
        <v>341</v>
      </c>
      <c r="F57" s="11" t="n">
        <v>7.45</v>
      </c>
      <c r="G57" s="7" t="s">
        <v>281</v>
      </c>
      <c r="H57" s="7" t="s">
        <v>282</v>
      </c>
      <c r="I57" s="7" t="s">
        <v>107</v>
      </c>
      <c r="J57" s="7" t="s">
        <v>283</v>
      </c>
      <c r="K57" s="22" t="n">
        <v>0.1</v>
      </c>
      <c r="L57" s="22" t="n">
        <v>0.02</v>
      </c>
      <c r="M57" s="11" t="n">
        <v>25.81</v>
      </c>
      <c r="N57" s="11" t="n">
        <v>0.52</v>
      </c>
      <c r="O57" s="7" t="s">
        <v>284</v>
      </c>
      <c r="P57" s="11" t="n">
        <f aca="false">IF(J57="%mo","",IF(G57="MO",IF(J57="hh",INDEX(MO_HH,MATCH(I57,MO_CAT,0)),M57*P_FACT_IPC),IF(G57="SUBPART",IFERROR(INDEX(APU_SUBP!$C$7:$C$40,MATCH(H57,APU_SUBP!$A$7:$A$40,0)),M57*P_FACT_IPC),M57*P_FACT_IPC)))</f>
        <v>19.226758045292</v>
      </c>
      <c r="Q57" s="11" t="n">
        <f aca="false">IF(J57="%mo",L57/100*SUMIFS($R$7:$R$782,$A$7:$A$782,A57),L57*P57)</f>
        <v>0.38453516090584</v>
      </c>
      <c r="R57" s="11" t="n">
        <f aca="false">IF(G57="MO",L57*P57,0)</f>
        <v>0.38453516090584</v>
      </c>
    </row>
    <row r="58" customFormat="false" ht="15" hidden="false" customHeight="false" outlineLevel="0" collapsed="false">
      <c r="A58" s="9" t="s">
        <v>373</v>
      </c>
      <c r="B58" s="9" t="s">
        <v>270</v>
      </c>
      <c r="C58" s="9" t="s">
        <v>374</v>
      </c>
      <c r="D58" s="9" t="s">
        <v>375</v>
      </c>
      <c r="E58" s="9" t="s">
        <v>341</v>
      </c>
      <c r="F58" s="10" t="n">
        <v>7.45</v>
      </c>
      <c r="G58" s="9" t="s">
        <v>281</v>
      </c>
      <c r="H58" s="9" t="s">
        <v>286</v>
      </c>
      <c r="I58" s="9" t="s">
        <v>122</v>
      </c>
      <c r="J58" s="9" t="s">
        <v>283</v>
      </c>
      <c r="K58" s="31" t="n">
        <v>2</v>
      </c>
      <c r="L58" s="31" t="n">
        <v>0.4</v>
      </c>
      <c r="M58" s="10" t="n">
        <v>16.78</v>
      </c>
      <c r="N58" s="10" t="n">
        <v>6.71</v>
      </c>
      <c r="O58" s="9" t="s">
        <v>287</v>
      </c>
      <c r="P58" s="11" t="n">
        <f aca="false">IF(J58="%mo","",IF(G58="MO",IF(J58="hh",INDEX(MO_HH,MATCH(I58,MO_CAT,0)),M58*P_FACT_IPC),IF(G58="SUBPART",IFERROR(INDEX(APU_SUBP!$C$7:$C$40,MATCH(H58,APU_SUBP!$A$7:$A$40,0)),M58*P_FACT_IPC),M58*P_FACT_IPC)))</f>
        <v>12.5</v>
      </c>
      <c r="Q58" s="11" t="n">
        <f aca="false">IF(J58="%mo",L58/100*SUMIFS($R$7:$R$782,$A$7:$A$782,A58),L58*P58)</f>
        <v>5</v>
      </c>
      <c r="R58" s="11" t="n">
        <f aca="false">IF(G58="MO",L58*P58,0)</f>
        <v>5</v>
      </c>
    </row>
    <row r="59" customFormat="false" ht="15" hidden="false" customHeight="false" outlineLevel="0" collapsed="false">
      <c r="A59" s="7" t="s">
        <v>373</v>
      </c>
      <c r="B59" s="7" t="s">
        <v>270</v>
      </c>
      <c r="C59" s="7" t="s">
        <v>374</v>
      </c>
      <c r="D59" s="7" t="s">
        <v>375</v>
      </c>
      <c r="E59" s="7" t="s">
        <v>341</v>
      </c>
      <c r="F59" s="11" t="n">
        <v>7.45</v>
      </c>
      <c r="G59" s="7" t="s">
        <v>288</v>
      </c>
      <c r="H59" s="7" t="s">
        <v>327</v>
      </c>
      <c r="I59" s="7" t="s">
        <v>328</v>
      </c>
      <c r="J59" s="7" t="s">
        <v>329</v>
      </c>
      <c r="K59" s="22"/>
      <c r="L59" s="22" t="n">
        <v>3</v>
      </c>
      <c r="M59" s="11" t="n">
        <v>7.23</v>
      </c>
      <c r="N59" s="11" t="n">
        <v>0.22</v>
      </c>
      <c r="O59" s="7"/>
      <c r="P59" s="11" t="str">
        <f aca="false">IF(J59="%mo","",IF(G59="MO",IF(J59="hh",INDEX(MO_HH,MATCH(I59,MO_CAT,0)),M59*P_FACT_IPC),IF(G59="SUBPART",IFERROR(INDEX(APU_SUBP!$C$7:$C$40,MATCH(H59,APU_SUBP!$A$7:$A$40,0)),M59*P_FACT_IPC),M59*P_FACT_IPC)))</f>
        <v/>
      </c>
      <c r="Q59" s="11" t="n">
        <f aca="false">IF(J59="%mo",L59/100*SUMIFS($R$7:$R$782,$A$7:$A$782,A59),L59*P59)</f>
        <v>0.161536054827175</v>
      </c>
      <c r="R59" s="11" t="n">
        <f aca="false">IF(G59="MO",L59*P59,0)</f>
        <v>0</v>
      </c>
    </row>
    <row r="60" customFormat="false" ht="15" hidden="false" customHeight="false" outlineLevel="0" collapsed="false">
      <c r="A60" s="9" t="s">
        <v>376</v>
      </c>
      <c r="B60" s="9" t="s">
        <v>270</v>
      </c>
      <c r="C60" s="9" t="s">
        <v>377</v>
      </c>
      <c r="D60" s="9" t="s">
        <v>378</v>
      </c>
      <c r="E60" s="9" t="s">
        <v>273</v>
      </c>
      <c r="F60" s="10" t="n">
        <v>63.82</v>
      </c>
      <c r="G60" s="9" t="s">
        <v>281</v>
      </c>
      <c r="H60" s="9" t="s">
        <v>282</v>
      </c>
      <c r="I60" s="9" t="s">
        <v>107</v>
      </c>
      <c r="J60" s="9" t="s">
        <v>283</v>
      </c>
      <c r="K60" s="31" t="n">
        <v>0.1</v>
      </c>
      <c r="L60" s="31" t="n">
        <v>0.32</v>
      </c>
      <c r="M60" s="10" t="n">
        <v>25.81</v>
      </c>
      <c r="N60" s="10" t="n">
        <v>8.26</v>
      </c>
      <c r="O60" s="9" t="s">
        <v>284</v>
      </c>
      <c r="P60" s="11" t="n">
        <f aca="false">IF(J60="%mo","",IF(G60="MO",IF(J60="hh",INDEX(MO_HH,MATCH(I60,MO_CAT,0)),M60*P_FACT_IPC),IF(G60="SUBPART",IFERROR(INDEX(APU_SUBP!$C$7:$C$40,MATCH(H60,APU_SUBP!$A$7:$A$40,0)),M60*P_FACT_IPC),M60*P_FACT_IPC)))</f>
        <v>19.226758045292</v>
      </c>
      <c r="Q60" s="11" t="n">
        <f aca="false">IF(J60="%mo",L60/100*SUMIFS($R$7:$R$782,$A$7:$A$782,A60),L60*P60)</f>
        <v>6.15256257449344</v>
      </c>
      <c r="R60" s="11" t="n">
        <f aca="false">IF(G60="MO",L60*P60,0)</f>
        <v>6.15256257449344</v>
      </c>
    </row>
    <row r="61" customFormat="false" ht="15" hidden="false" customHeight="false" outlineLevel="0" collapsed="false">
      <c r="A61" s="7" t="s">
        <v>376</v>
      </c>
      <c r="B61" s="7" t="s">
        <v>270</v>
      </c>
      <c r="C61" s="7" t="s">
        <v>377</v>
      </c>
      <c r="D61" s="7" t="s">
        <v>378</v>
      </c>
      <c r="E61" s="7" t="s">
        <v>273</v>
      </c>
      <c r="F61" s="11" t="n">
        <v>63.82</v>
      </c>
      <c r="G61" s="7" t="s">
        <v>281</v>
      </c>
      <c r="H61" s="7" t="s">
        <v>286</v>
      </c>
      <c r="I61" s="7" t="s">
        <v>122</v>
      </c>
      <c r="J61" s="7" t="s">
        <v>283</v>
      </c>
      <c r="K61" s="22" t="n">
        <v>1</v>
      </c>
      <c r="L61" s="22" t="n">
        <v>3.2</v>
      </c>
      <c r="M61" s="11" t="n">
        <v>16.78</v>
      </c>
      <c r="N61" s="11" t="n">
        <v>53.7</v>
      </c>
      <c r="O61" s="7" t="s">
        <v>287</v>
      </c>
      <c r="P61" s="11" t="n">
        <f aca="false">IF(J61="%mo","",IF(G61="MO",IF(J61="hh",INDEX(MO_HH,MATCH(I61,MO_CAT,0)),M61*P_FACT_IPC),IF(G61="SUBPART",IFERROR(INDEX(APU_SUBP!$C$7:$C$40,MATCH(H61,APU_SUBP!$A$7:$A$40,0)),M61*P_FACT_IPC),M61*P_FACT_IPC)))</f>
        <v>12.5</v>
      </c>
      <c r="Q61" s="11" t="n">
        <f aca="false">IF(J61="%mo",L61/100*SUMIFS($R$7:$R$782,$A$7:$A$782,A61),L61*P61)</f>
        <v>40</v>
      </c>
      <c r="R61" s="11" t="n">
        <f aca="false">IF(G61="MO",L61*P61,0)</f>
        <v>40</v>
      </c>
    </row>
    <row r="62" customFormat="false" ht="15" hidden="false" customHeight="false" outlineLevel="0" collapsed="false">
      <c r="A62" s="9" t="s">
        <v>376</v>
      </c>
      <c r="B62" s="9" t="s">
        <v>270</v>
      </c>
      <c r="C62" s="9" t="s">
        <v>377</v>
      </c>
      <c r="D62" s="9" t="s">
        <v>378</v>
      </c>
      <c r="E62" s="9" t="s">
        <v>273</v>
      </c>
      <c r="F62" s="10" t="n">
        <v>63.82</v>
      </c>
      <c r="G62" s="9" t="s">
        <v>288</v>
      </c>
      <c r="H62" s="9" t="s">
        <v>327</v>
      </c>
      <c r="I62" s="9" t="s">
        <v>328</v>
      </c>
      <c r="J62" s="9" t="s">
        <v>329</v>
      </c>
      <c r="K62" s="31"/>
      <c r="L62" s="31" t="n">
        <v>3</v>
      </c>
      <c r="M62" s="10" t="n">
        <v>61.96</v>
      </c>
      <c r="N62" s="10" t="n">
        <v>1.86</v>
      </c>
      <c r="O62" s="9"/>
      <c r="P62" s="11" t="str">
        <f aca="false">IF(J62="%mo","",IF(G62="MO",IF(J62="hh",INDEX(MO_HH,MATCH(I62,MO_CAT,0)),M62*P_FACT_IPC),IF(G62="SUBPART",IFERROR(INDEX(APU_SUBP!$C$7:$C$40,MATCH(H62,APU_SUBP!$A$7:$A$40,0)),M62*P_FACT_IPC),M62*P_FACT_IPC)))</f>
        <v/>
      </c>
      <c r="Q62" s="11" t="n">
        <f aca="false">IF(J62="%mo",L62/100*SUMIFS($R$7:$R$782,$A$7:$A$782,A62),L62*P62)</f>
        <v>1.3845768772348</v>
      </c>
      <c r="R62" s="11" t="n">
        <f aca="false">IF(G62="MO",L62*P62,0)</f>
        <v>0</v>
      </c>
    </row>
    <row r="63" customFormat="false" ht="15" hidden="false" customHeight="false" outlineLevel="0" collapsed="false">
      <c r="A63" s="7" t="s">
        <v>379</v>
      </c>
      <c r="B63" s="7" t="s">
        <v>270</v>
      </c>
      <c r="C63" s="7" t="s">
        <v>380</v>
      </c>
      <c r="D63" s="7" t="s">
        <v>381</v>
      </c>
      <c r="E63" s="7" t="s">
        <v>341</v>
      </c>
      <c r="F63" s="11" t="n">
        <v>3.19</v>
      </c>
      <c r="G63" s="7" t="s">
        <v>281</v>
      </c>
      <c r="H63" s="7" t="s">
        <v>282</v>
      </c>
      <c r="I63" s="7" t="s">
        <v>107</v>
      </c>
      <c r="J63" s="7" t="s">
        <v>283</v>
      </c>
      <c r="K63" s="22" t="n">
        <v>0.1</v>
      </c>
      <c r="L63" s="22" t="n">
        <v>0.0032</v>
      </c>
      <c r="M63" s="11" t="n">
        <v>25.81</v>
      </c>
      <c r="N63" s="11" t="n">
        <v>0.08</v>
      </c>
      <c r="O63" s="7" t="s">
        <v>284</v>
      </c>
      <c r="P63" s="11" t="n">
        <f aca="false">IF(J63="%mo","",IF(G63="MO",IF(J63="hh",INDEX(MO_HH,MATCH(I63,MO_CAT,0)),M63*P_FACT_IPC),IF(G63="SUBPART",IFERROR(INDEX(APU_SUBP!$C$7:$C$40,MATCH(H63,APU_SUBP!$A$7:$A$40,0)),M63*P_FACT_IPC),M63*P_FACT_IPC)))</f>
        <v>19.226758045292</v>
      </c>
      <c r="Q63" s="11" t="n">
        <f aca="false">IF(J63="%mo",L63/100*SUMIFS($R$7:$R$782,$A$7:$A$782,A63),L63*P63)</f>
        <v>0.0615256257449344</v>
      </c>
      <c r="R63" s="11" t="n">
        <f aca="false">IF(G63="MO",L63*P63,0)</f>
        <v>0.0615256257449344</v>
      </c>
    </row>
    <row r="64" customFormat="false" ht="15" hidden="false" customHeight="false" outlineLevel="0" collapsed="false">
      <c r="A64" s="9" t="s">
        <v>379</v>
      </c>
      <c r="B64" s="9" t="s">
        <v>270</v>
      </c>
      <c r="C64" s="9" t="s">
        <v>380</v>
      </c>
      <c r="D64" s="9" t="s">
        <v>381</v>
      </c>
      <c r="E64" s="9" t="s">
        <v>341</v>
      </c>
      <c r="F64" s="10" t="n">
        <v>3.19</v>
      </c>
      <c r="G64" s="9" t="s">
        <v>281</v>
      </c>
      <c r="H64" s="9" t="s">
        <v>306</v>
      </c>
      <c r="I64" s="9" t="s">
        <v>112</v>
      </c>
      <c r="J64" s="9" t="s">
        <v>283</v>
      </c>
      <c r="K64" s="31" t="n">
        <v>1</v>
      </c>
      <c r="L64" s="31" t="n">
        <v>0.032</v>
      </c>
      <c r="M64" s="10" t="n">
        <v>23.46</v>
      </c>
      <c r="N64" s="10" t="n">
        <v>0.75</v>
      </c>
      <c r="O64" s="9" t="s">
        <v>284</v>
      </c>
      <c r="P64" s="11" t="n">
        <f aca="false">IF(J64="%mo","",IF(G64="MO",IF(J64="hh",INDEX(MO_HH,MATCH(I64,MO_CAT,0)),M64*P_FACT_IPC),IF(G64="SUBPART",IFERROR(INDEX(APU_SUBP!$C$7:$C$40,MATCH(H64,APU_SUBP!$A$7:$A$40,0)),M64*P_FACT_IPC),M64*P_FACT_IPC)))</f>
        <v>17.4761620977354</v>
      </c>
      <c r="Q64" s="11" t="n">
        <f aca="false">IF(J64="%mo",L64/100*SUMIFS($R$7:$R$782,$A$7:$A$782,A64),L64*P64)</f>
        <v>0.559237187127533</v>
      </c>
      <c r="R64" s="11" t="n">
        <f aca="false">IF(G64="MO",L64*P64,0)</f>
        <v>0.559237187127533</v>
      </c>
    </row>
    <row r="65" customFormat="false" ht="15" hidden="false" customHeight="false" outlineLevel="0" collapsed="false">
      <c r="A65" s="7" t="s">
        <v>379</v>
      </c>
      <c r="B65" s="7" t="s">
        <v>270</v>
      </c>
      <c r="C65" s="7" t="s">
        <v>380</v>
      </c>
      <c r="D65" s="7" t="s">
        <v>381</v>
      </c>
      <c r="E65" s="7" t="s">
        <v>341</v>
      </c>
      <c r="F65" s="11" t="n">
        <v>3.19</v>
      </c>
      <c r="G65" s="7" t="s">
        <v>281</v>
      </c>
      <c r="H65" s="7" t="s">
        <v>286</v>
      </c>
      <c r="I65" s="7" t="s">
        <v>122</v>
      </c>
      <c r="J65" s="7" t="s">
        <v>283</v>
      </c>
      <c r="K65" s="22" t="n">
        <v>2</v>
      </c>
      <c r="L65" s="22" t="n">
        <v>0.064</v>
      </c>
      <c r="M65" s="11" t="n">
        <v>16.78</v>
      </c>
      <c r="N65" s="11" t="n">
        <v>1.07</v>
      </c>
      <c r="O65" s="7" t="s">
        <v>287</v>
      </c>
      <c r="P65" s="11" t="n">
        <f aca="false">IF(J65="%mo","",IF(G65="MO",IF(J65="hh",INDEX(MO_HH,MATCH(I65,MO_CAT,0)),M65*P_FACT_IPC),IF(G65="SUBPART",IFERROR(INDEX(APU_SUBP!$C$7:$C$40,MATCH(H65,APU_SUBP!$A$7:$A$40,0)),M65*P_FACT_IPC),M65*P_FACT_IPC)))</f>
        <v>12.5</v>
      </c>
      <c r="Q65" s="11" t="n">
        <f aca="false">IF(J65="%mo",L65/100*SUMIFS($R$7:$R$782,$A$7:$A$782,A65),L65*P65)</f>
        <v>0.8</v>
      </c>
      <c r="R65" s="11" t="n">
        <f aca="false">IF(G65="MO",L65*P65,0)</f>
        <v>0.8</v>
      </c>
    </row>
    <row r="66" customFormat="false" ht="15" hidden="false" customHeight="false" outlineLevel="0" collapsed="false">
      <c r="A66" s="9" t="s">
        <v>379</v>
      </c>
      <c r="B66" s="9" t="s">
        <v>270</v>
      </c>
      <c r="C66" s="9" t="s">
        <v>380</v>
      </c>
      <c r="D66" s="9" t="s">
        <v>381</v>
      </c>
      <c r="E66" s="9" t="s">
        <v>341</v>
      </c>
      <c r="F66" s="10" t="n">
        <v>3.19</v>
      </c>
      <c r="G66" s="9" t="s">
        <v>288</v>
      </c>
      <c r="H66" s="9" t="s">
        <v>327</v>
      </c>
      <c r="I66" s="9" t="s">
        <v>328</v>
      </c>
      <c r="J66" s="9" t="s">
        <v>329</v>
      </c>
      <c r="K66" s="31"/>
      <c r="L66" s="31" t="n">
        <v>3</v>
      </c>
      <c r="M66" s="10" t="n">
        <v>1.9</v>
      </c>
      <c r="N66" s="10" t="n">
        <v>0.06</v>
      </c>
      <c r="O66" s="9"/>
      <c r="P66" s="11" t="str">
        <f aca="false">IF(J66="%mo","",IF(G66="MO",IF(J66="hh",INDEX(MO_HH,MATCH(I66,MO_CAT,0)),M66*P_FACT_IPC),IF(G66="SUBPART",IFERROR(INDEX(APU_SUBP!$C$7:$C$40,MATCH(H66,APU_SUBP!$A$7:$A$40,0)),M66*P_FACT_IPC),M66*P_FACT_IPC)))</f>
        <v/>
      </c>
      <c r="Q66" s="11" t="n">
        <f aca="false">IF(J66="%mo",L66/100*SUMIFS($R$7:$R$782,$A$7:$A$782,A66),L66*P66)</f>
        <v>0.042622884386174</v>
      </c>
      <c r="R66" s="11" t="n">
        <f aca="false">IF(G66="MO",L66*P66,0)</f>
        <v>0</v>
      </c>
    </row>
    <row r="67" customFormat="false" ht="15" hidden="false" customHeight="false" outlineLevel="0" collapsed="false">
      <c r="A67" s="7" t="s">
        <v>379</v>
      </c>
      <c r="B67" s="7" t="s">
        <v>270</v>
      </c>
      <c r="C67" s="7" t="s">
        <v>380</v>
      </c>
      <c r="D67" s="7" t="s">
        <v>381</v>
      </c>
      <c r="E67" s="7" t="s">
        <v>341</v>
      </c>
      <c r="F67" s="11" t="n">
        <v>3.19</v>
      </c>
      <c r="G67" s="7" t="s">
        <v>288</v>
      </c>
      <c r="H67" s="7" t="s">
        <v>382</v>
      </c>
      <c r="I67" s="7" t="s">
        <v>383</v>
      </c>
      <c r="J67" s="7" t="s">
        <v>291</v>
      </c>
      <c r="K67" s="22" t="n">
        <v>1</v>
      </c>
      <c r="L67" s="22" t="n">
        <v>0.032</v>
      </c>
      <c r="M67" s="11" t="n">
        <v>38.5</v>
      </c>
      <c r="N67" s="11" t="n">
        <v>1.23</v>
      </c>
      <c r="O67" s="7"/>
      <c r="P67" s="11" t="n">
        <f aca="false">IF(J67="%mo","",IF(G67="MO",IF(J67="hh",INDEX(MO_HH,MATCH(I67,MO_CAT,0)),M67*P_FACT_IPC),IF(G67="SUBPART",IFERROR(INDEX(APU_SUBP!$C$7:$C$40,MATCH(H67,APU_SUBP!$A$7:$A$40,0)),M67*P_FACT_IPC),M67*P_FACT_IPC)))</f>
        <v>49.5223898795615</v>
      </c>
      <c r="Q67" s="11" t="n">
        <f aca="false">IF(J67="%mo",L67/100*SUMIFS($R$7:$R$782,$A$7:$A$782,A67),L67*P67)</f>
        <v>1.58471647614597</v>
      </c>
      <c r="R67" s="11" t="n">
        <f aca="false">IF(G67="MO",L67*P67,0)</f>
        <v>0</v>
      </c>
    </row>
    <row r="68" customFormat="false" ht="15" hidden="false" customHeight="false" outlineLevel="0" collapsed="false">
      <c r="A68" s="9" t="s">
        <v>384</v>
      </c>
      <c r="B68" s="9" t="s">
        <v>270</v>
      </c>
      <c r="C68" s="9" t="s">
        <v>385</v>
      </c>
      <c r="D68" s="9" t="s">
        <v>386</v>
      </c>
      <c r="E68" s="9" t="s">
        <v>273</v>
      </c>
      <c r="F68" s="10" t="n">
        <v>166</v>
      </c>
      <c r="G68" s="9" t="s">
        <v>281</v>
      </c>
      <c r="H68" s="9" t="s">
        <v>282</v>
      </c>
      <c r="I68" s="9" t="s">
        <v>107</v>
      </c>
      <c r="J68" s="9" t="s">
        <v>283</v>
      </c>
      <c r="K68" s="31" t="n">
        <v>0.1</v>
      </c>
      <c r="L68" s="31" t="n">
        <v>0.1</v>
      </c>
      <c r="M68" s="10" t="n">
        <v>25.81</v>
      </c>
      <c r="N68" s="10" t="n">
        <v>2.58</v>
      </c>
      <c r="O68" s="9" t="s">
        <v>284</v>
      </c>
      <c r="P68" s="11" t="n">
        <f aca="false">IF(J68="%mo","",IF(G68="MO",IF(J68="hh",INDEX(MO_HH,MATCH(I68,MO_CAT,0)),M68*P_FACT_IPC),IF(G68="SUBPART",IFERROR(INDEX(APU_SUBP!$C$7:$C$40,MATCH(H68,APU_SUBP!$A$7:$A$40,0)),M68*P_FACT_IPC),M68*P_FACT_IPC)))</f>
        <v>19.226758045292</v>
      </c>
      <c r="Q68" s="11" t="n">
        <f aca="false">IF(J68="%mo",L68/100*SUMIFS($R$7:$R$782,$A$7:$A$782,A68),L68*P68)</f>
        <v>1.9226758045292</v>
      </c>
      <c r="R68" s="11" t="n">
        <f aca="false">IF(G68="MO",L68*P68,0)</f>
        <v>1.9226758045292</v>
      </c>
    </row>
    <row r="69" customFormat="false" ht="15" hidden="false" customHeight="false" outlineLevel="0" collapsed="false">
      <c r="A69" s="7" t="s">
        <v>384</v>
      </c>
      <c r="B69" s="7" t="s">
        <v>270</v>
      </c>
      <c r="C69" s="7" t="s">
        <v>385</v>
      </c>
      <c r="D69" s="7" t="s">
        <v>386</v>
      </c>
      <c r="E69" s="7" t="s">
        <v>273</v>
      </c>
      <c r="F69" s="11" t="n">
        <v>166</v>
      </c>
      <c r="G69" s="7" t="s">
        <v>281</v>
      </c>
      <c r="H69" s="7" t="s">
        <v>285</v>
      </c>
      <c r="I69" s="7" t="s">
        <v>117</v>
      </c>
      <c r="J69" s="7" t="s">
        <v>283</v>
      </c>
      <c r="K69" s="22" t="n">
        <v>0.5</v>
      </c>
      <c r="L69" s="22" t="n">
        <v>0.5</v>
      </c>
      <c r="M69" s="11" t="n">
        <v>18.56</v>
      </c>
      <c r="N69" s="11" t="n">
        <v>9.28</v>
      </c>
      <c r="O69" s="7" t="s">
        <v>284</v>
      </c>
      <c r="P69" s="11" t="n">
        <f aca="false">IF(J69="%mo","",IF(G69="MO",IF(J69="hh",INDEX(MO_HH,MATCH(I69,MO_CAT,0)),M69*P_FACT_IPC),IF(G69="SUBPART",IFERROR(INDEX(APU_SUBP!$C$7:$C$40,MATCH(H69,APU_SUBP!$A$7:$A$40,0)),M69*P_FACT_IPC),M69*P_FACT_IPC)))</f>
        <v>13.8259833134684</v>
      </c>
      <c r="Q69" s="11" t="n">
        <f aca="false">IF(J69="%mo",L69/100*SUMIFS($R$7:$R$782,$A$7:$A$782,A69),L69*P69)</f>
        <v>6.91299165673421</v>
      </c>
      <c r="R69" s="11" t="n">
        <f aca="false">IF(G69="MO",L69*P69,0)</f>
        <v>6.91299165673421</v>
      </c>
    </row>
    <row r="70" customFormat="false" ht="15" hidden="false" customHeight="false" outlineLevel="0" collapsed="false">
      <c r="A70" s="9" t="s">
        <v>384</v>
      </c>
      <c r="B70" s="9" t="s">
        <v>270</v>
      </c>
      <c r="C70" s="9" t="s">
        <v>385</v>
      </c>
      <c r="D70" s="9" t="s">
        <v>386</v>
      </c>
      <c r="E70" s="9" t="s">
        <v>273</v>
      </c>
      <c r="F70" s="10" t="n">
        <v>166</v>
      </c>
      <c r="G70" s="9" t="s">
        <v>281</v>
      </c>
      <c r="H70" s="9" t="s">
        <v>286</v>
      </c>
      <c r="I70" s="9" t="s">
        <v>122</v>
      </c>
      <c r="J70" s="9" t="s">
        <v>283</v>
      </c>
      <c r="K70" s="31" t="n">
        <v>2</v>
      </c>
      <c r="L70" s="31" t="n">
        <v>2</v>
      </c>
      <c r="M70" s="10" t="n">
        <v>16.78</v>
      </c>
      <c r="N70" s="10" t="n">
        <v>33.56</v>
      </c>
      <c r="O70" s="9" t="s">
        <v>287</v>
      </c>
      <c r="P70" s="11" t="n">
        <f aca="false">IF(J70="%mo","",IF(G70="MO",IF(J70="hh",INDEX(MO_HH,MATCH(I70,MO_CAT,0)),M70*P_FACT_IPC),IF(G70="SUBPART",IFERROR(INDEX(APU_SUBP!$C$7:$C$40,MATCH(H70,APU_SUBP!$A$7:$A$40,0)),M70*P_FACT_IPC),M70*P_FACT_IPC)))</f>
        <v>12.5</v>
      </c>
      <c r="Q70" s="11" t="n">
        <f aca="false">IF(J70="%mo",L70/100*SUMIFS($R$7:$R$782,$A$7:$A$782,A70),L70*P70)</f>
        <v>25</v>
      </c>
      <c r="R70" s="11" t="n">
        <f aca="false">IF(G70="MO",L70*P70,0)</f>
        <v>25</v>
      </c>
    </row>
    <row r="71" customFormat="false" ht="15" hidden="false" customHeight="false" outlineLevel="0" collapsed="false">
      <c r="A71" s="7" t="s">
        <v>384</v>
      </c>
      <c r="B71" s="7" t="s">
        <v>270</v>
      </c>
      <c r="C71" s="7" t="s">
        <v>385</v>
      </c>
      <c r="D71" s="7" t="s">
        <v>386</v>
      </c>
      <c r="E71" s="7" t="s">
        <v>273</v>
      </c>
      <c r="F71" s="11" t="n">
        <v>166</v>
      </c>
      <c r="G71" s="7" t="s">
        <v>288</v>
      </c>
      <c r="H71" s="7" t="s">
        <v>327</v>
      </c>
      <c r="I71" s="7" t="s">
        <v>328</v>
      </c>
      <c r="J71" s="7" t="s">
        <v>329</v>
      </c>
      <c r="K71" s="22"/>
      <c r="L71" s="22" t="n">
        <v>3</v>
      </c>
      <c r="M71" s="11" t="n">
        <v>45.42</v>
      </c>
      <c r="N71" s="11" t="n">
        <v>1.36</v>
      </c>
      <c r="O71" s="7"/>
      <c r="P71" s="11" t="str">
        <f aca="false">IF(J71="%mo","",IF(G71="MO",IF(J71="hh",INDEX(MO_HH,MATCH(I71,MO_CAT,0)),M71*P_FACT_IPC),IF(G71="SUBPART",IFERROR(INDEX(APU_SUBP!$C$7:$C$40,MATCH(H71,APU_SUBP!$A$7:$A$40,0)),M71*P_FACT_IPC),M71*P_FACT_IPC)))</f>
        <v/>
      </c>
      <c r="Q71" s="11" t="n">
        <f aca="false">IF(J71="%mo",L71/100*SUMIFS($R$7:$R$782,$A$7:$A$782,A71),L71*P71)</f>
        <v>1.0150700238379</v>
      </c>
      <c r="R71" s="11" t="n">
        <f aca="false">IF(G71="MO",L71*P71,0)</f>
        <v>0</v>
      </c>
    </row>
    <row r="72" customFormat="false" ht="15" hidden="false" customHeight="false" outlineLevel="0" collapsed="false">
      <c r="A72" s="9" t="s">
        <v>384</v>
      </c>
      <c r="B72" s="9" t="s">
        <v>270</v>
      </c>
      <c r="C72" s="9" t="s">
        <v>385</v>
      </c>
      <c r="D72" s="9" t="s">
        <v>386</v>
      </c>
      <c r="E72" s="9" t="s">
        <v>273</v>
      </c>
      <c r="F72" s="10" t="n">
        <v>166</v>
      </c>
      <c r="G72" s="9" t="s">
        <v>370</v>
      </c>
      <c r="H72" s="9" t="s">
        <v>387</v>
      </c>
      <c r="I72" s="9" t="s">
        <v>388</v>
      </c>
      <c r="J72" s="9" t="s">
        <v>273</v>
      </c>
      <c r="K72" s="31"/>
      <c r="L72" s="31" t="n">
        <v>1.05</v>
      </c>
      <c r="M72" s="10" t="n">
        <v>113.54</v>
      </c>
      <c r="N72" s="10" t="n">
        <v>119.22</v>
      </c>
      <c r="O72" s="9"/>
      <c r="P72" s="11" t="n">
        <f aca="false">IF(J72="%mo","",IF(G72="MO",IF(J72="hh",INDEX(MO_HH,MATCH(I72,MO_CAT,0)),M72*P_FACT_IPC),IF(G72="SUBPART",IFERROR(INDEX(APU_SUBP!$C$7:$C$40,MATCH(H72,APU_SUBP!$A$7:$A$40,0)),M72*P_FACT_IPC),M72*P_FACT_IPC)))</f>
        <v>86.4416917676172</v>
      </c>
      <c r="Q72" s="11" t="n">
        <f aca="false">IF(J72="%mo",L72/100*SUMIFS($R$7:$R$782,$A$7:$A$782,A72),L72*P72)</f>
        <v>90.7637763559981</v>
      </c>
      <c r="R72" s="11" t="n">
        <f aca="false">IF(G72="MO",L72*P72,0)</f>
        <v>0</v>
      </c>
    </row>
    <row r="73" customFormat="false" ht="15" hidden="false" customHeight="false" outlineLevel="0" collapsed="false">
      <c r="A73" s="7" t="s">
        <v>389</v>
      </c>
      <c r="B73" s="7" t="s">
        <v>270</v>
      </c>
      <c r="C73" s="7" t="s">
        <v>390</v>
      </c>
      <c r="D73" s="7" t="s">
        <v>391</v>
      </c>
      <c r="E73" s="7" t="s">
        <v>16</v>
      </c>
      <c r="F73" s="11" t="n">
        <v>1.73</v>
      </c>
      <c r="G73" s="7" t="s">
        <v>281</v>
      </c>
      <c r="H73" s="7" t="s">
        <v>282</v>
      </c>
      <c r="I73" s="7" t="s">
        <v>107</v>
      </c>
      <c r="J73" s="7" t="s">
        <v>283</v>
      </c>
      <c r="K73" s="22" t="n">
        <v>0.1</v>
      </c>
      <c r="L73" s="22" t="n">
        <v>0.0087</v>
      </c>
      <c r="M73" s="11" t="n">
        <v>25.81</v>
      </c>
      <c r="N73" s="11" t="n">
        <v>0.22</v>
      </c>
      <c r="O73" s="7" t="s">
        <v>284</v>
      </c>
      <c r="P73" s="11" t="n">
        <f aca="false">IF(J73="%mo","",IF(G73="MO",IF(J73="hh",INDEX(MO_HH,MATCH(I73,MO_CAT,0)),M73*P_FACT_IPC),IF(G73="SUBPART",IFERROR(INDEX(APU_SUBP!$C$7:$C$40,MATCH(H73,APU_SUBP!$A$7:$A$40,0)),M73*P_FACT_IPC),M73*P_FACT_IPC)))</f>
        <v>19.226758045292</v>
      </c>
      <c r="Q73" s="11" t="n">
        <f aca="false">IF(J73="%mo",L73/100*SUMIFS($R$7:$R$782,$A$7:$A$782,A73),L73*P73)</f>
        <v>0.167272794994041</v>
      </c>
      <c r="R73" s="11" t="n">
        <f aca="false">IF(G73="MO",L73*P73,0)</f>
        <v>0.167272794994041</v>
      </c>
    </row>
    <row r="74" customFormat="false" ht="15" hidden="false" customHeight="false" outlineLevel="0" collapsed="false">
      <c r="A74" s="9" t="s">
        <v>389</v>
      </c>
      <c r="B74" s="9" t="s">
        <v>270</v>
      </c>
      <c r="C74" s="9" t="s">
        <v>390</v>
      </c>
      <c r="D74" s="9" t="s">
        <v>391</v>
      </c>
      <c r="E74" s="9" t="s">
        <v>16</v>
      </c>
      <c r="F74" s="10" t="n">
        <v>1.73</v>
      </c>
      <c r="G74" s="9" t="s">
        <v>281</v>
      </c>
      <c r="H74" s="9" t="s">
        <v>286</v>
      </c>
      <c r="I74" s="9" t="s">
        <v>122</v>
      </c>
      <c r="J74" s="9" t="s">
        <v>283</v>
      </c>
      <c r="K74" s="31" t="n">
        <v>1</v>
      </c>
      <c r="L74" s="31" t="n">
        <v>0.087</v>
      </c>
      <c r="M74" s="10" t="n">
        <v>16.78</v>
      </c>
      <c r="N74" s="10" t="n">
        <v>1.46</v>
      </c>
      <c r="O74" s="9" t="s">
        <v>287</v>
      </c>
      <c r="P74" s="11" t="n">
        <f aca="false">IF(J74="%mo","",IF(G74="MO",IF(J74="hh",INDEX(MO_HH,MATCH(I74,MO_CAT,0)),M74*P_FACT_IPC),IF(G74="SUBPART",IFERROR(INDEX(APU_SUBP!$C$7:$C$40,MATCH(H74,APU_SUBP!$A$7:$A$40,0)),M74*P_FACT_IPC),M74*P_FACT_IPC)))</f>
        <v>12.5</v>
      </c>
      <c r="Q74" s="11" t="n">
        <f aca="false">IF(J74="%mo",L74/100*SUMIFS($R$7:$R$782,$A$7:$A$782,A74),L74*P74)</f>
        <v>1.0875</v>
      </c>
      <c r="R74" s="11" t="n">
        <f aca="false">IF(G74="MO",L74*P74,0)</f>
        <v>1.0875</v>
      </c>
    </row>
    <row r="75" customFormat="false" ht="15" hidden="false" customHeight="false" outlineLevel="0" collapsed="false">
      <c r="A75" s="7" t="s">
        <v>389</v>
      </c>
      <c r="B75" s="7" t="s">
        <v>270</v>
      </c>
      <c r="C75" s="7" t="s">
        <v>390</v>
      </c>
      <c r="D75" s="7" t="s">
        <v>391</v>
      </c>
      <c r="E75" s="7" t="s">
        <v>16</v>
      </c>
      <c r="F75" s="11" t="n">
        <v>1.73</v>
      </c>
      <c r="G75" s="7" t="s">
        <v>288</v>
      </c>
      <c r="H75" s="7" t="s">
        <v>327</v>
      </c>
      <c r="I75" s="7" t="s">
        <v>328</v>
      </c>
      <c r="J75" s="7" t="s">
        <v>329</v>
      </c>
      <c r="K75" s="22"/>
      <c r="L75" s="22" t="n">
        <v>3</v>
      </c>
      <c r="M75" s="11" t="n">
        <v>1.68</v>
      </c>
      <c r="N75" s="11" t="n">
        <v>0.05</v>
      </c>
      <c r="O75" s="7"/>
      <c r="P75" s="11" t="str">
        <f aca="false">IF(J75="%mo","",IF(G75="MO",IF(J75="hh",INDEX(MO_HH,MATCH(I75,MO_CAT,0)),M75*P_FACT_IPC),IF(G75="SUBPART",IFERROR(INDEX(APU_SUBP!$C$7:$C$40,MATCH(H75,APU_SUBP!$A$7:$A$40,0)),M75*P_FACT_IPC),M75*P_FACT_IPC)))</f>
        <v/>
      </c>
      <c r="Q75" s="11" t="n">
        <f aca="false">IF(J75="%mo",L75/100*SUMIFS($R$7:$R$782,$A$7:$A$782,A75),L75*P75)</f>
        <v>0.0376431838498212</v>
      </c>
      <c r="R75" s="11" t="n">
        <f aca="false">IF(G75="MO",L75*P75,0)</f>
        <v>0</v>
      </c>
    </row>
    <row r="76" customFormat="false" ht="15" hidden="false" customHeight="false" outlineLevel="0" collapsed="false">
      <c r="A76" s="9" t="s">
        <v>392</v>
      </c>
      <c r="B76" s="9" t="s">
        <v>270</v>
      </c>
      <c r="C76" s="9" t="s">
        <v>393</v>
      </c>
      <c r="D76" s="9" t="s">
        <v>394</v>
      </c>
      <c r="E76" s="9" t="s">
        <v>16</v>
      </c>
      <c r="F76" s="10" t="n">
        <v>1.17</v>
      </c>
      <c r="G76" s="9" t="s">
        <v>281</v>
      </c>
      <c r="H76" s="9" t="s">
        <v>285</v>
      </c>
      <c r="I76" s="9" t="s">
        <v>117</v>
      </c>
      <c r="J76" s="9" t="s">
        <v>283</v>
      </c>
      <c r="K76" s="31" t="n">
        <v>0.1</v>
      </c>
      <c r="L76" s="31" t="n">
        <v>0.005</v>
      </c>
      <c r="M76" s="10" t="n">
        <v>18.56</v>
      </c>
      <c r="N76" s="10" t="n">
        <v>0.09</v>
      </c>
      <c r="O76" s="9" t="s">
        <v>284</v>
      </c>
      <c r="P76" s="11" t="n">
        <f aca="false">IF(J76="%mo","",IF(G76="MO",IF(J76="hh",INDEX(MO_HH,MATCH(I76,MO_CAT,0)),M76*P_FACT_IPC),IF(G76="SUBPART",IFERROR(INDEX(APU_SUBP!$C$7:$C$40,MATCH(H76,APU_SUBP!$A$7:$A$40,0)),M76*P_FACT_IPC),M76*P_FACT_IPC)))</f>
        <v>13.8259833134684</v>
      </c>
      <c r="Q76" s="11" t="n">
        <f aca="false">IF(J76="%mo",L76/100*SUMIFS($R$7:$R$782,$A$7:$A$782,A76),L76*P76)</f>
        <v>0.0691299165673421</v>
      </c>
      <c r="R76" s="11" t="n">
        <f aca="false">IF(G76="MO",L76*P76,0)</f>
        <v>0.0691299165673421</v>
      </c>
    </row>
    <row r="77" customFormat="false" ht="15" hidden="false" customHeight="false" outlineLevel="0" collapsed="false">
      <c r="A77" s="7" t="s">
        <v>392</v>
      </c>
      <c r="B77" s="7" t="s">
        <v>270</v>
      </c>
      <c r="C77" s="7" t="s">
        <v>393</v>
      </c>
      <c r="D77" s="7" t="s">
        <v>394</v>
      </c>
      <c r="E77" s="7" t="s">
        <v>16</v>
      </c>
      <c r="F77" s="11" t="n">
        <v>1.17</v>
      </c>
      <c r="G77" s="7" t="s">
        <v>281</v>
      </c>
      <c r="H77" s="7" t="s">
        <v>286</v>
      </c>
      <c r="I77" s="7" t="s">
        <v>122</v>
      </c>
      <c r="J77" s="7" t="s">
        <v>283</v>
      </c>
      <c r="K77" s="22" t="n">
        <v>1</v>
      </c>
      <c r="L77" s="22" t="n">
        <v>0.05</v>
      </c>
      <c r="M77" s="11" t="n">
        <v>16.78</v>
      </c>
      <c r="N77" s="11" t="n">
        <v>0.84</v>
      </c>
      <c r="O77" s="7" t="s">
        <v>287</v>
      </c>
      <c r="P77" s="11" t="n">
        <f aca="false">IF(J77="%mo","",IF(G77="MO",IF(J77="hh",INDEX(MO_HH,MATCH(I77,MO_CAT,0)),M77*P_FACT_IPC),IF(G77="SUBPART",IFERROR(INDEX(APU_SUBP!$C$7:$C$40,MATCH(H77,APU_SUBP!$A$7:$A$40,0)),M77*P_FACT_IPC),M77*P_FACT_IPC)))</f>
        <v>12.5</v>
      </c>
      <c r="Q77" s="11" t="n">
        <f aca="false">IF(J77="%mo",L77/100*SUMIFS($R$7:$R$782,$A$7:$A$782,A77),L77*P77)</f>
        <v>0.625</v>
      </c>
      <c r="R77" s="11" t="n">
        <f aca="false">IF(G77="MO",L77*P77,0)</f>
        <v>0.625</v>
      </c>
    </row>
    <row r="78" customFormat="false" ht="15" hidden="false" customHeight="false" outlineLevel="0" collapsed="false">
      <c r="A78" s="9" t="s">
        <v>392</v>
      </c>
      <c r="B78" s="9" t="s">
        <v>270</v>
      </c>
      <c r="C78" s="9" t="s">
        <v>393</v>
      </c>
      <c r="D78" s="9" t="s">
        <v>394</v>
      </c>
      <c r="E78" s="9" t="s">
        <v>16</v>
      </c>
      <c r="F78" s="10" t="n">
        <v>1.17</v>
      </c>
      <c r="G78" s="9" t="s">
        <v>307</v>
      </c>
      <c r="H78" s="9" t="s">
        <v>395</v>
      </c>
      <c r="I78" s="9" t="s">
        <v>396</v>
      </c>
      <c r="J78" s="9" t="s">
        <v>361</v>
      </c>
      <c r="K78" s="31"/>
      <c r="L78" s="31" t="n">
        <v>0.11</v>
      </c>
      <c r="M78" s="10" t="n">
        <v>1.16</v>
      </c>
      <c r="N78" s="10" t="n">
        <v>0.13</v>
      </c>
      <c r="O78" s="9"/>
      <c r="P78" s="11" t="n">
        <f aca="false">IF(J78="%mo","",IF(G78="MO",IF(J78="hh",INDEX(MO_HH,MATCH(I78,MO_CAT,0)),M78*P_FACT_IPC),IF(G78="SUBPART",IFERROR(INDEX(APU_SUBP!$C$7:$C$40,MATCH(H78,APU_SUBP!$A$7:$A$40,0)),M78*P_FACT_IPC),M78*P_FACT_IPC)))</f>
        <v>1.49210317559198</v>
      </c>
      <c r="Q78" s="11" t="n">
        <f aca="false">IF(J78="%mo",L78/100*SUMIFS($R$7:$R$782,$A$7:$A$782,A78),L78*P78)</f>
        <v>0.164131349315118</v>
      </c>
      <c r="R78" s="11" t="n">
        <f aca="false">IF(G78="MO",L78*P78,0)</f>
        <v>0</v>
      </c>
    </row>
    <row r="79" customFormat="false" ht="15" hidden="false" customHeight="false" outlineLevel="0" collapsed="false">
      <c r="A79" s="7" t="s">
        <v>392</v>
      </c>
      <c r="B79" s="7" t="s">
        <v>270</v>
      </c>
      <c r="C79" s="7" t="s">
        <v>393</v>
      </c>
      <c r="D79" s="7" t="s">
        <v>394</v>
      </c>
      <c r="E79" s="7" t="s">
        <v>16</v>
      </c>
      <c r="F79" s="11" t="n">
        <v>1.17</v>
      </c>
      <c r="G79" s="7" t="s">
        <v>307</v>
      </c>
      <c r="H79" s="7" t="s">
        <v>397</v>
      </c>
      <c r="I79" s="7" t="s">
        <v>398</v>
      </c>
      <c r="J79" s="7" t="s">
        <v>16</v>
      </c>
      <c r="K79" s="22"/>
      <c r="L79" s="22" t="n">
        <v>1</v>
      </c>
      <c r="M79" s="11" t="n">
        <v>0.05</v>
      </c>
      <c r="N79" s="11" t="n">
        <v>0.05</v>
      </c>
      <c r="O79" s="7"/>
      <c r="P79" s="11" t="n">
        <f aca="false">IF(J79="%mo","",IF(G79="MO",IF(J79="hh",INDEX(MO_HH,MATCH(I79,MO_CAT,0)),M79*P_FACT_IPC),IF(G79="SUBPART",IFERROR(INDEX(APU_SUBP!$C$7:$C$40,MATCH(H79,APU_SUBP!$A$7:$A$40,0)),M79*P_FACT_IPC),M79*P_FACT_IPC)))</f>
        <v>0.0643147920513786</v>
      </c>
      <c r="Q79" s="11" t="n">
        <f aca="false">IF(J79="%mo",L79/100*SUMIFS($R$7:$R$782,$A$7:$A$782,A79),L79*P79)</f>
        <v>0.0643147920513786</v>
      </c>
      <c r="R79" s="11" t="n">
        <f aca="false">IF(G79="MO",L79*P79,0)</f>
        <v>0</v>
      </c>
    </row>
    <row r="80" customFormat="false" ht="15" hidden="false" customHeight="false" outlineLevel="0" collapsed="false">
      <c r="A80" s="9" t="s">
        <v>392</v>
      </c>
      <c r="B80" s="9" t="s">
        <v>270</v>
      </c>
      <c r="C80" s="9" t="s">
        <v>393</v>
      </c>
      <c r="D80" s="9" t="s">
        <v>394</v>
      </c>
      <c r="E80" s="9" t="s">
        <v>16</v>
      </c>
      <c r="F80" s="10" t="n">
        <v>1.17</v>
      </c>
      <c r="G80" s="9" t="s">
        <v>288</v>
      </c>
      <c r="H80" s="9" t="s">
        <v>327</v>
      </c>
      <c r="I80" s="9" t="s">
        <v>328</v>
      </c>
      <c r="J80" s="9" t="s">
        <v>329</v>
      </c>
      <c r="K80" s="31"/>
      <c r="L80" s="31" t="n">
        <v>3</v>
      </c>
      <c r="M80" s="10" t="n">
        <v>0.93</v>
      </c>
      <c r="N80" s="10" t="n">
        <v>0.03</v>
      </c>
      <c r="O80" s="9"/>
      <c r="P80" s="11" t="str">
        <f aca="false">IF(J80="%mo","",IF(G80="MO",IF(J80="hh",INDEX(MO_HH,MATCH(I80,MO_CAT,0)),M80*P_FACT_IPC),IF(G80="SUBPART",IFERROR(INDEX(APU_SUBP!$C$7:$C$40,MATCH(H80,APU_SUBP!$A$7:$A$40,0)),M80*P_FACT_IPC),M80*P_FACT_IPC)))</f>
        <v/>
      </c>
      <c r="Q80" s="11" t="n">
        <f aca="false">IF(J80="%mo",L80/100*SUMIFS($R$7:$R$782,$A$7:$A$782,A80),L80*P80)</f>
        <v>0.0208238974970203</v>
      </c>
      <c r="R80" s="11" t="n">
        <f aca="false">IF(G80="MO",L80*P80,0)</f>
        <v>0</v>
      </c>
    </row>
    <row r="81" customFormat="false" ht="15" hidden="false" customHeight="false" outlineLevel="0" collapsed="false">
      <c r="A81" s="7" t="s">
        <v>392</v>
      </c>
      <c r="B81" s="7" t="s">
        <v>270</v>
      </c>
      <c r="C81" s="7" t="s">
        <v>393</v>
      </c>
      <c r="D81" s="7" t="s">
        <v>394</v>
      </c>
      <c r="E81" s="7" t="s">
        <v>16</v>
      </c>
      <c r="F81" s="11" t="n">
        <v>1.17</v>
      </c>
      <c r="G81" s="7" t="s">
        <v>370</v>
      </c>
      <c r="H81" s="7" t="s">
        <v>399</v>
      </c>
      <c r="I81" s="7" t="s">
        <v>400</v>
      </c>
      <c r="J81" s="7" t="s">
        <v>273</v>
      </c>
      <c r="K81" s="22"/>
      <c r="L81" s="22" t="n">
        <v>0.0012</v>
      </c>
      <c r="M81" s="11" t="n">
        <v>24.35</v>
      </c>
      <c r="N81" s="11" t="n">
        <v>0.03</v>
      </c>
      <c r="O81" s="7"/>
      <c r="P81" s="11" t="n">
        <f aca="false">IF(J81="%mo","",IF(G81="MO",IF(J81="hh",INDEX(MO_HH,MATCH(I81,MO_CAT,0)),M81*P_FACT_IPC),IF(G81="SUBPART",IFERROR(INDEX(APU_SUBP!$C$7:$C$40,MATCH(H81,APU_SUBP!$A$7:$A$40,0)),M81*P_FACT_IPC),M81*P_FACT_IPC)))</f>
        <v>30.5614930535066</v>
      </c>
      <c r="Q81" s="11" t="n">
        <f aca="false">IF(J81="%mo",L81/100*SUMIFS($R$7:$R$782,$A$7:$A$782,A81),L81*P81)</f>
        <v>0.036673791664208</v>
      </c>
      <c r="R81" s="11" t="n">
        <f aca="false">IF(G81="MO",L81*P81,0)</f>
        <v>0</v>
      </c>
    </row>
    <row r="82" customFormat="false" ht="15" hidden="false" customHeight="false" outlineLevel="0" collapsed="false">
      <c r="A82" s="9" t="s">
        <v>401</v>
      </c>
      <c r="B82" s="9" t="s">
        <v>270</v>
      </c>
      <c r="C82" s="9" t="s">
        <v>402</v>
      </c>
      <c r="D82" s="9" t="s">
        <v>403</v>
      </c>
      <c r="E82" s="9" t="s">
        <v>16</v>
      </c>
      <c r="F82" s="10" t="n">
        <v>0.16</v>
      </c>
      <c r="G82" s="9" t="s">
        <v>281</v>
      </c>
      <c r="H82" s="9" t="s">
        <v>285</v>
      </c>
      <c r="I82" s="9" t="s">
        <v>117</v>
      </c>
      <c r="J82" s="9" t="s">
        <v>283</v>
      </c>
      <c r="K82" s="31" t="n">
        <v>1</v>
      </c>
      <c r="L82" s="31" t="n">
        <v>0.0013</v>
      </c>
      <c r="M82" s="10" t="n">
        <v>18.56</v>
      </c>
      <c r="N82" s="10" t="n">
        <v>0.02</v>
      </c>
      <c r="O82" s="9" t="s">
        <v>284</v>
      </c>
      <c r="P82" s="11" t="n">
        <f aca="false">IF(J82="%mo","",IF(G82="MO",IF(J82="hh",INDEX(MO_HH,MATCH(I82,MO_CAT,0)),M82*P_FACT_IPC),IF(G82="SUBPART",IFERROR(INDEX(APU_SUBP!$C$7:$C$40,MATCH(H82,APU_SUBP!$A$7:$A$40,0)),M82*P_FACT_IPC),M82*P_FACT_IPC)))</f>
        <v>13.8259833134684</v>
      </c>
      <c r="Q82" s="11" t="n">
        <f aca="false">IF(J82="%mo",L82/100*SUMIFS($R$7:$R$782,$A$7:$A$782,A82),L82*P82)</f>
        <v>0.0179737783075089</v>
      </c>
      <c r="R82" s="11" t="n">
        <f aca="false">IF(G82="MO",L82*P82,0)</f>
        <v>0.0179737783075089</v>
      </c>
    </row>
    <row r="83" customFormat="false" ht="15" hidden="false" customHeight="false" outlineLevel="0" collapsed="false">
      <c r="A83" s="7" t="s">
        <v>401</v>
      </c>
      <c r="B83" s="7" t="s">
        <v>270</v>
      </c>
      <c r="C83" s="7" t="s">
        <v>402</v>
      </c>
      <c r="D83" s="7" t="s">
        <v>403</v>
      </c>
      <c r="E83" s="7" t="s">
        <v>16</v>
      </c>
      <c r="F83" s="11" t="n">
        <v>0.16</v>
      </c>
      <c r="G83" s="7" t="s">
        <v>281</v>
      </c>
      <c r="H83" s="7" t="s">
        <v>286</v>
      </c>
      <c r="I83" s="7" t="s">
        <v>122</v>
      </c>
      <c r="J83" s="7" t="s">
        <v>283</v>
      </c>
      <c r="K83" s="22" t="n">
        <v>2</v>
      </c>
      <c r="L83" s="22" t="n">
        <v>0.0027</v>
      </c>
      <c r="M83" s="11" t="n">
        <v>16.78</v>
      </c>
      <c r="N83" s="11" t="n">
        <v>0.05</v>
      </c>
      <c r="O83" s="7" t="s">
        <v>287</v>
      </c>
      <c r="P83" s="11" t="n">
        <f aca="false">IF(J83="%mo","",IF(G83="MO",IF(J83="hh",INDEX(MO_HH,MATCH(I83,MO_CAT,0)),M83*P_FACT_IPC),IF(G83="SUBPART",IFERROR(INDEX(APU_SUBP!$C$7:$C$40,MATCH(H83,APU_SUBP!$A$7:$A$40,0)),M83*P_FACT_IPC),M83*P_FACT_IPC)))</f>
        <v>12.5</v>
      </c>
      <c r="Q83" s="11" t="n">
        <f aca="false">IF(J83="%mo",L83/100*SUMIFS($R$7:$R$782,$A$7:$A$782,A83),L83*P83)</f>
        <v>0.03375</v>
      </c>
      <c r="R83" s="11" t="n">
        <f aca="false">IF(G83="MO",L83*P83,0)</f>
        <v>0.03375</v>
      </c>
    </row>
    <row r="84" customFormat="false" ht="15" hidden="false" customHeight="false" outlineLevel="0" collapsed="false">
      <c r="A84" s="9" t="s">
        <v>401</v>
      </c>
      <c r="B84" s="9" t="s">
        <v>270</v>
      </c>
      <c r="C84" s="9" t="s">
        <v>402</v>
      </c>
      <c r="D84" s="9" t="s">
        <v>403</v>
      </c>
      <c r="E84" s="9" t="s">
        <v>16</v>
      </c>
      <c r="F84" s="10" t="n">
        <v>0.16</v>
      </c>
      <c r="G84" s="9" t="s">
        <v>288</v>
      </c>
      <c r="H84" s="9" t="s">
        <v>404</v>
      </c>
      <c r="I84" s="9" t="s">
        <v>405</v>
      </c>
      <c r="J84" s="9" t="s">
        <v>291</v>
      </c>
      <c r="K84" s="31" t="n">
        <v>1</v>
      </c>
      <c r="L84" s="31" t="n">
        <v>0.0013</v>
      </c>
      <c r="M84" s="10" t="n">
        <v>65.48</v>
      </c>
      <c r="N84" s="10" t="n">
        <v>0.09</v>
      </c>
      <c r="O84" s="9"/>
      <c r="P84" s="11" t="n">
        <f aca="false">IF(J84="%mo","",IF(G84="MO",IF(J84="hh",INDEX(MO_HH,MATCH(I84,MO_CAT,0)),M84*P_FACT_IPC),IF(G84="SUBPART",IFERROR(INDEX(APU_SUBP!$C$7:$C$40,MATCH(H84,APU_SUBP!$A$7:$A$40,0)),M84*P_FACT_IPC),M84*P_FACT_IPC)))</f>
        <v>84.2266516704854</v>
      </c>
      <c r="Q84" s="11" t="n">
        <f aca="false">IF(J84="%mo",L84/100*SUMIFS($R$7:$R$782,$A$7:$A$782,A84),L84*P84)</f>
        <v>0.109494647171631</v>
      </c>
      <c r="R84" s="11" t="n">
        <f aca="false">IF(G84="MO",L84*P84,0)</f>
        <v>0</v>
      </c>
    </row>
    <row r="85" customFormat="false" ht="15" hidden="false" customHeight="false" outlineLevel="0" collapsed="false">
      <c r="A85" s="7" t="s">
        <v>406</v>
      </c>
      <c r="B85" s="7" t="s">
        <v>270</v>
      </c>
      <c r="C85" s="7" t="s">
        <v>407</v>
      </c>
      <c r="D85" s="7" t="s">
        <v>408</v>
      </c>
      <c r="E85" s="7" t="s">
        <v>16</v>
      </c>
      <c r="F85" s="11" t="n">
        <v>0.34</v>
      </c>
      <c r="G85" s="7" t="s">
        <v>281</v>
      </c>
      <c r="H85" s="7" t="s">
        <v>282</v>
      </c>
      <c r="I85" s="7" t="s">
        <v>107</v>
      </c>
      <c r="J85" s="7" t="s">
        <v>283</v>
      </c>
      <c r="K85" s="22" t="n">
        <v>0.1</v>
      </c>
      <c r="L85" s="22" t="n">
        <v>0.0007</v>
      </c>
      <c r="M85" s="11" t="n">
        <v>25.81</v>
      </c>
      <c r="N85" s="11" t="n">
        <v>0.02</v>
      </c>
      <c r="O85" s="7" t="s">
        <v>284</v>
      </c>
      <c r="P85" s="11" t="n">
        <f aca="false">IF(J85="%mo","",IF(G85="MO",IF(J85="hh",INDEX(MO_HH,MATCH(I85,MO_CAT,0)),M85*P_FACT_IPC),IF(G85="SUBPART",IFERROR(INDEX(APU_SUBP!$C$7:$C$40,MATCH(H85,APU_SUBP!$A$7:$A$40,0)),M85*P_FACT_IPC),M85*P_FACT_IPC)))</f>
        <v>19.226758045292</v>
      </c>
      <c r="Q85" s="11" t="n">
        <f aca="false">IF(J85="%mo",L85/100*SUMIFS($R$7:$R$782,$A$7:$A$782,A85),L85*P85)</f>
        <v>0.0134587306317044</v>
      </c>
      <c r="R85" s="11" t="n">
        <f aca="false">IF(G85="MO",L85*P85,0)</f>
        <v>0.0134587306317044</v>
      </c>
    </row>
    <row r="86" customFormat="false" ht="15" hidden="false" customHeight="false" outlineLevel="0" collapsed="false">
      <c r="A86" s="9" t="s">
        <v>406</v>
      </c>
      <c r="B86" s="9" t="s">
        <v>270</v>
      </c>
      <c r="C86" s="9" t="s">
        <v>407</v>
      </c>
      <c r="D86" s="9" t="s">
        <v>408</v>
      </c>
      <c r="E86" s="9" t="s">
        <v>16</v>
      </c>
      <c r="F86" s="10" t="n">
        <v>0.34</v>
      </c>
      <c r="G86" s="9" t="s">
        <v>281</v>
      </c>
      <c r="H86" s="9" t="s">
        <v>286</v>
      </c>
      <c r="I86" s="9" t="s">
        <v>122</v>
      </c>
      <c r="J86" s="9" t="s">
        <v>283</v>
      </c>
      <c r="K86" s="31" t="n">
        <v>1</v>
      </c>
      <c r="L86" s="31" t="n">
        <v>0.0067</v>
      </c>
      <c r="M86" s="10" t="n">
        <v>16.78</v>
      </c>
      <c r="N86" s="10" t="n">
        <v>0.11</v>
      </c>
      <c r="O86" s="9" t="s">
        <v>287</v>
      </c>
      <c r="P86" s="11" t="n">
        <f aca="false">IF(J86="%mo","",IF(G86="MO",IF(J86="hh",INDEX(MO_HH,MATCH(I86,MO_CAT,0)),M86*P_FACT_IPC),IF(G86="SUBPART",IFERROR(INDEX(APU_SUBP!$C$7:$C$40,MATCH(H86,APU_SUBP!$A$7:$A$40,0)),M86*P_FACT_IPC),M86*P_FACT_IPC)))</f>
        <v>12.5</v>
      </c>
      <c r="Q86" s="11" t="n">
        <f aca="false">IF(J86="%mo",L86/100*SUMIFS($R$7:$R$782,$A$7:$A$782,A86),L86*P86)</f>
        <v>0.08375</v>
      </c>
      <c r="R86" s="11" t="n">
        <f aca="false">IF(G86="MO",L86*P86,0)</f>
        <v>0.08375</v>
      </c>
    </row>
    <row r="87" customFormat="false" ht="15" hidden="false" customHeight="false" outlineLevel="0" collapsed="false">
      <c r="A87" s="7" t="s">
        <v>406</v>
      </c>
      <c r="B87" s="7" t="s">
        <v>270</v>
      </c>
      <c r="C87" s="7" t="s">
        <v>407</v>
      </c>
      <c r="D87" s="7" t="s">
        <v>408</v>
      </c>
      <c r="E87" s="7" t="s">
        <v>16</v>
      </c>
      <c r="F87" s="11" t="n">
        <v>0.34</v>
      </c>
      <c r="G87" s="7" t="s">
        <v>307</v>
      </c>
      <c r="H87" s="7" t="s">
        <v>409</v>
      </c>
      <c r="I87" s="7" t="s">
        <v>410</v>
      </c>
      <c r="J87" s="7" t="s">
        <v>411</v>
      </c>
      <c r="K87" s="22"/>
      <c r="L87" s="22" t="n">
        <v>0.002</v>
      </c>
      <c r="M87" s="11" t="n">
        <v>107.04</v>
      </c>
      <c r="N87" s="11" t="n">
        <v>0.21</v>
      </c>
      <c r="O87" s="7"/>
      <c r="P87" s="11" t="n">
        <f aca="false">IF(J87="%mo","",IF(G87="MO",IF(J87="hh",INDEX(MO_HH,MATCH(I87,MO_CAT,0)),M87*P_FACT_IPC),IF(G87="SUBPART",IFERROR(INDEX(APU_SUBP!$C$7:$C$40,MATCH(H87,APU_SUBP!$A$7:$A$40,0)),M87*P_FACT_IPC),M87*P_FACT_IPC)))</f>
        <v>137.685106823591</v>
      </c>
      <c r="Q87" s="11" t="n">
        <f aca="false">IF(J87="%mo",L87/100*SUMIFS($R$7:$R$782,$A$7:$A$782,A87),L87*P87)</f>
        <v>0.275370213647183</v>
      </c>
      <c r="R87" s="11" t="n">
        <f aca="false">IF(G87="MO",L87*P87,0)</f>
        <v>0</v>
      </c>
    </row>
    <row r="88" customFormat="false" ht="15" hidden="false" customHeight="false" outlineLevel="0" collapsed="false">
      <c r="A88" s="9" t="s">
        <v>406</v>
      </c>
      <c r="B88" s="9" t="s">
        <v>270</v>
      </c>
      <c r="C88" s="9" t="s">
        <v>407</v>
      </c>
      <c r="D88" s="9" t="s">
        <v>408</v>
      </c>
      <c r="E88" s="9" t="s">
        <v>16</v>
      </c>
      <c r="F88" s="10" t="n">
        <v>0.34</v>
      </c>
      <c r="G88" s="9" t="s">
        <v>288</v>
      </c>
      <c r="H88" s="9" t="s">
        <v>327</v>
      </c>
      <c r="I88" s="9" t="s">
        <v>328</v>
      </c>
      <c r="J88" s="9" t="s">
        <v>329</v>
      </c>
      <c r="K88" s="31"/>
      <c r="L88" s="31" t="n">
        <v>3</v>
      </c>
      <c r="M88" s="10" t="n">
        <v>0.13</v>
      </c>
      <c r="N88" s="10" t="n">
        <v>0.0039</v>
      </c>
      <c r="O88" s="9"/>
      <c r="P88" s="11" t="str">
        <f aca="false">IF(J88="%mo","",IF(G88="MO",IF(J88="hh",INDEX(MO_HH,MATCH(I88,MO_CAT,0)),M88*P_FACT_IPC),IF(G88="SUBPART",IFERROR(INDEX(APU_SUBP!$C$7:$C$40,MATCH(H88,APU_SUBP!$A$7:$A$40,0)),M88*P_FACT_IPC),M88*P_FACT_IPC)))</f>
        <v/>
      </c>
      <c r="Q88" s="11" t="n">
        <f aca="false">IF(J88="%mo",L88/100*SUMIFS($R$7:$R$782,$A$7:$A$782,A88),L88*P88)</f>
        <v>0.00291626191895113</v>
      </c>
      <c r="R88" s="11" t="n">
        <f aca="false">IF(G88="MO",L88*P88,0)</f>
        <v>0</v>
      </c>
    </row>
    <row r="89" customFormat="false" ht="15" hidden="false" customHeight="false" outlineLevel="0" collapsed="false">
      <c r="A89" s="7" t="s">
        <v>412</v>
      </c>
      <c r="B89" s="7" t="s">
        <v>270</v>
      </c>
      <c r="C89" s="7" t="s">
        <v>413</v>
      </c>
      <c r="D89" s="7" t="s">
        <v>414</v>
      </c>
      <c r="E89" s="7" t="s">
        <v>341</v>
      </c>
      <c r="F89" s="11" t="n">
        <v>0.81</v>
      </c>
      <c r="G89" s="7" t="s">
        <v>281</v>
      </c>
      <c r="H89" s="7" t="s">
        <v>282</v>
      </c>
      <c r="I89" s="7" t="s">
        <v>107</v>
      </c>
      <c r="J89" s="7" t="s">
        <v>283</v>
      </c>
      <c r="K89" s="22" t="n">
        <v>0.1</v>
      </c>
      <c r="L89" s="22" t="n">
        <v>0.004</v>
      </c>
      <c r="M89" s="11" t="n">
        <v>25.81</v>
      </c>
      <c r="N89" s="11" t="n">
        <v>0.1</v>
      </c>
      <c r="O89" s="7" t="s">
        <v>284</v>
      </c>
      <c r="P89" s="11" t="n">
        <f aca="false">IF(J89="%mo","",IF(G89="MO",IF(J89="hh",INDEX(MO_HH,MATCH(I89,MO_CAT,0)),M89*P_FACT_IPC),IF(G89="SUBPART",IFERROR(INDEX(APU_SUBP!$C$7:$C$40,MATCH(H89,APU_SUBP!$A$7:$A$40,0)),M89*P_FACT_IPC),M89*P_FACT_IPC)))</f>
        <v>19.226758045292</v>
      </c>
      <c r="Q89" s="11" t="n">
        <f aca="false">IF(J89="%mo",L89/100*SUMIFS($R$7:$R$782,$A$7:$A$782,A89),L89*P89)</f>
        <v>0.0769070321811681</v>
      </c>
      <c r="R89" s="11" t="n">
        <f aca="false">IF(G89="MO",L89*P89,0)</f>
        <v>0.0769070321811681</v>
      </c>
    </row>
    <row r="90" customFormat="false" ht="15" hidden="false" customHeight="false" outlineLevel="0" collapsed="false">
      <c r="A90" s="9" t="s">
        <v>412</v>
      </c>
      <c r="B90" s="9" t="s">
        <v>270</v>
      </c>
      <c r="C90" s="9" t="s">
        <v>413</v>
      </c>
      <c r="D90" s="9" t="s">
        <v>414</v>
      </c>
      <c r="E90" s="9" t="s">
        <v>341</v>
      </c>
      <c r="F90" s="10" t="n">
        <v>0.81</v>
      </c>
      <c r="G90" s="9" t="s">
        <v>281</v>
      </c>
      <c r="H90" s="9" t="s">
        <v>286</v>
      </c>
      <c r="I90" s="9" t="s">
        <v>122</v>
      </c>
      <c r="J90" s="9" t="s">
        <v>283</v>
      </c>
      <c r="K90" s="31" t="n">
        <v>1</v>
      </c>
      <c r="L90" s="31" t="n">
        <v>0.04</v>
      </c>
      <c r="M90" s="10" t="n">
        <v>16.78</v>
      </c>
      <c r="N90" s="10" t="n">
        <v>0.67</v>
      </c>
      <c r="O90" s="9" t="s">
        <v>287</v>
      </c>
      <c r="P90" s="11" t="n">
        <f aca="false">IF(J90="%mo","",IF(G90="MO",IF(J90="hh",INDEX(MO_HH,MATCH(I90,MO_CAT,0)),M90*P_FACT_IPC),IF(G90="SUBPART",IFERROR(INDEX(APU_SUBP!$C$7:$C$40,MATCH(H90,APU_SUBP!$A$7:$A$40,0)),M90*P_FACT_IPC),M90*P_FACT_IPC)))</f>
        <v>12.5</v>
      </c>
      <c r="Q90" s="11" t="n">
        <f aca="false">IF(J90="%mo",L90/100*SUMIFS($R$7:$R$782,$A$7:$A$782,A90),L90*P90)</f>
        <v>0.5</v>
      </c>
      <c r="R90" s="11" t="n">
        <f aca="false">IF(G90="MO",L90*P90,0)</f>
        <v>0.5</v>
      </c>
    </row>
    <row r="91" customFormat="false" ht="15" hidden="false" customHeight="false" outlineLevel="0" collapsed="false">
      <c r="A91" s="7" t="s">
        <v>412</v>
      </c>
      <c r="B91" s="7" t="s">
        <v>270</v>
      </c>
      <c r="C91" s="7" t="s">
        <v>413</v>
      </c>
      <c r="D91" s="7" t="s">
        <v>414</v>
      </c>
      <c r="E91" s="7" t="s">
        <v>341</v>
      </c>
      <c r="F91" s="11" t="n">
        <v>0.81</v>
      </c>
      <c r="G91" s="7" t="s">
        <v>288</v>
      </c>
      <c r="H91" s="7" t="s">
        <v>327</v>
      </c>
      <c r="I91" s="7" t="s">
        <v>328</v>
      </c>
      <c r="J91" s="7" t="s">
        <v>329</v>
      </c>
      <c r="K91" s="22"/>
      <c r="L91" s="22" t="n">
        <v>3</v>
      </c>
      <c r="M91" s="11" t="n">
        <v>0.77</v>
      </c>
      <c r="N91" s="11" t="n">
        <v>0.02</v>
      </c>
      <c r="O91" s="7"/>
      <c r="P91" s="11" t="str">
        <f aca="false">IF(J91="%mo","",IF(G91="MO",IF(J91="hh",INDEX(MO_HH,MATCH(I91,MO_CAT,0)),M91*P_FACT_IPC),IF(G91="SUBPART",IFERROR(INDEX(APU_SUBP!$C$7:$C$40,MATCH(H91,APU_SUBP!$A$7:$A$40,0)),M91*P_FACT_IPC),M91*P_FACT_IPC)))</f>
        <v/>
      </c>
      <c r="Q91" s="11" t="n">
        <f aca="false">IF(J91="%mo",L91/100*SUMIFS($R$7:$R$782,$A$7:$A$782,A91),L91*P91)</f>
        <v>0.017307210965435</v>
      </c>
      <c r="R91" s="11" t="n">
        <f aca="false">IF(G91="MO",L91*P91,0)</f>
        <v>0</v>
      </c>
    </row>
    <row r="92" customFormat="false" ht="15" hidden="false" customHeight="false" outlineLevel="0" collapsed="false">
      <c r="A92" s="9" t="s">
        <v>412</v>
      </c>
      <c r="B92" s="9" t="s">
        <v>270</v>
      </c>
      <c r="C92" s="9" t="s">
        <v>413</v>
      </c>
      <c r="D92" s="9" t="s">
        <v>414</v>
      </c>
      <c r="E92" s="9" t="s">
        <v>341</v>
      </c>
      <c r="F92" s="10" t="n">
        <v>0.81</v>
      </c>
      <c r="G92" s="9" t="s">
        <v>370</v>
      </c>
      <c r="H92" s="9" t="s">
        <v>415</v>
      </c>
      <c r="I92" s="9" t="s">
        <v>416</v>
      </c>
      <c r="J92" s="9" t="s">
        <v>273</v>
      </c>
      <c r="K92" s="31"/>
      <c r="L92" s="31" t="n">
        <v>0.001</v>
      </c>
      <c r="M92" s="10" t="n">
        <v>21.15</v>
      </c>
      <c r="N92" s="10" t="n">
        <v>0.02</v>
      </c>
      <c r="O92" s="9"/>
      <c r="P92" s="11" t="n">
        <f aca="false">IF(J92="%mo","",IF(G92="MO",IF(J92="hh",INDEX(MO_HH,MATCH(I92,MO_CAT,0)),M92*P_FACT_IPC),IF(G92="SUBPART",IFERROR(INDEX(APU_SUBP!$C$7:$C$40,MATCH(H92,APU_SUBP!$A$7:$A$40,0)),M92*P_FACT_IPC),M92*P_FACT_IPC)))</f>
        <v>22.7438822970285</v>
      </c>
      <c r="Q92" s="11" t="n">
        <f aca="false">IF(J92="%mo",L92/100*SUMIFS($R$7:$R$782,$A$7:$A$782,A92),L92*P92)</f>
        <v>0.0227438822970285</v>
      </c>
      <c r="R92" s="11" t="n">
        <f aca="false">IF(G92="MO",L92*P92,0)</f>
        <v>0</v>
      </c>
    </row>
    <row r="93" customFormat="false" ht="15" hidden="false" customHeight="false" outlineLevel="0" collapsed="false">
      <c r="A93" s="7" t="s">
        <v>417</v>
      </c>
      <c r="B93" s="7" t="s">
        <v>270</v>
      </c>
      <c r="C93" s="7" t="s">
        <v>418</v>
      </c>
      <c r="D93" s="7" t="s">
        <v>419</v>
      </c>
      <c r="E93" s="7" t="s">
        <v>16</v>
      </c>
      <c r="F93" s="11" t="n">
        <v>1.48</v>
      </c>
      <c r="G93" s="7" t="s">
        <v>281</v>
      </c>
      <c r="H93" s="7" t="s">
        <v>282</v>
      </c>
      <c r="I93" s="7" t="s">
        <v>107</v>
      </c>
      <c r="J93" s="7" t="s">
        <v>283</v>
      </c>
      <c r="K93" s="22" t="n">
        <v>1</v>
      </c>
      <c r="L93" s="22" t="n">
        <v>0.001</v>
      </c>
      <c r="M93" s="11" t="n">
        <v>25.81</v>
      </c>
      <c r="N93" s="11" t="n">
        <v>0.03</v>
      </c>
      <c r="O93" s="7" t="s">
        <v>284</v>
      </c>
      <c r="P93" s="11" t="n">
        <f aca="false">IF(J93="%mo","",IF(G93="MO",IF(J93="hh",INDEX(MO_HH,MATCH(I93,MO_CAT,0)),M93*P_FACT_IPC),IF(G93="SUBPART",IFERROR(INDEX(APU_SUBP!$C$7:$C$40,MATCH(H93,APU_SUBP!$A$7:$A$40,0)),M93*P_FACT_IPC),M93*P_FACT_IPC)))</f>
        <v>19.226758045292</v>
      </c>
      <c r="Q93" s="11" t="n">
        <f aca="false">IF(J93="%mo",L93/100*SUMIFS($R$7:$R$782,$A$7:$A$782,A93),L93*P93)</f>
        <v>0.019226758045292</v>
      </c>
      <c r="R93" s="11" t="n">
        <f aca="false">IF(G93="MO",L93*P93,0)</f>
        <v>0.019226758045292</v>
      </c>
    </row>
    <row r="94" customFormat="false" ht="15" hidden="false" customHeight="false" outlineLevel="0" collapsed="false">
      <c r="A94" s="9" t="s">
        <v>417</v>
      </c>
      <c r="B94" s="9" t="s">
        <v>270</v>
      </c>
      <c r="C94" s="9" t="s">
        <v>418</v>
      </c>
      <c r="D94" s="9" t="s">
        <v>419</v>
      </c>
      <c r="E94" s="9" t="s">
        <v>16</v>
      </c>
      <c r="F94" s="10" t="n">
        <v>1.48</v>
      </c>
      <c r="G94" s="9" t="s">
        <v>281</v>
      </c>
      <c r="H94" s="9" t="s">
        <v>286</v>
      </c>
      <c r="I94" s="9" t="s">
        <v>122</v>
      </c>
      <c r="J94" s="9" t="s">
        <v>283</v>
      </c>
      <c r="K94" s="31" t="n">
        <v>50</v>
      </c>
      <c r="L94" s="31" t="n">
        <v>0.05</v>
      </c>
      <c r="M94" s="10" t="n">
        <v>16.78</v>
      </c>
      <c r="N94" s="10" t="n">
        <v>0.84</v>
      </c>
      <c r="O94" s="9" t="s">
        <v>287</v>
      </c>
      <c r="P94" s="11" t="n">
        <f aca="false">IF(J94="%mo","",IF(G94="MO",IF(J94="hh",INDEX(MO_HH,MATCH(I94,MO_CAT,0)),M94*P_FACT_IPC),IF(G94="SUBPART",IFERROR(INDEX(APU_SUBP!$C$7:$C$40,MATCH(H94,APU_SUBP!$A$7:$A$40,0)),M94*P_FACT_IPC),M94*P_FACT_IPC)))</f>
        <v>12.5</v>
      </c>
      <c r="Q94" s="11" t="n">
        <f aca="false">IF(J94="%mo",L94/100*SUMIFS($R$7:$R$782,$A$7:$A$782,A94),L94*P94)</f>
        <v>0.625</v>
      </c>
      <c r="R94" s="11" t="n">
        <f aca="false">IF(G94="MO",L94*P94,0)</f>
        <v>0.625</v>
      </c>
    </row>
    <row r="95" customFormat="false" ht="15" hidden="false" customHeight="false" outlineLevel="0" collapsed="false">
      <c r="A95" s="7" t="s">
        <v>417</v>
      </c>
      <c r="B95" s="7" t="s">
        <v>270</v>
      </c>
      <c r="C95" s="7" t="s">
        <v>418</v>
      </c>
      <c r="D95" s="7" t="s">
        <v>419</v>
      </c>
      <c r="E95" s="7" t="s">
        <v>16</v>
      </c>
      <c r="F95" s="11" t="n">
        <v>1.48</v>
      </c>
      <c r="G95" s="7" t="s">
        <v>307</v>
      </c>
      <c r="H95" s="7" t="s">
        <v>395</v>
      </c>
      <c r="I95" s="7" t="s">
        <v>396</v>
      </c>
      <c r="J95" s="7" t="s">
        <v>361</v>
      </c>
      <c r="K95" s="22"/>
      <c r="L95" s="22" t="n">
        <v>0.5</v>
      </c>
      <c r="M95" s="11" t="n">
        <v>1.16</v>
      </c>
      <c r="N95" s="11" t="n">
        <v>0.58</v>
      </c>
      <c r="O95" s="7"/>
      <c r="P95" s="11" t="n">
        <f aca="false">IF(J95="%mo","",IF(G95="MO",IF(J95="hh",INDEX(MO_HH,MATCH(I95,MO_CAT,0)),M95*P_FACT_IPC),IF(G95="SUBPART",IFERROR(INDEX(APU_SUBP!$C$7:$C$40,MATCH(H95,APU_SUBP!$A$7:$A$40,0)),M95*P_FACT_IPC),M95*P_FACT_IPC)))</f>
        <v>1.49210317559198</v>
      </c>
      <c r="Q95" s="11" t="n">
        <f aca="false">IF(J95="%mo",L95/100*SUMIFS($R$7:$R$782,$A$7:$A$782,A95),L95*P95)</f>
        <v>0.746051587795992</v>
      </c>
      <c r="R95" s="11" t="n">
        <f aca="false">IF(G95="MO",L95*P95,0)</f>
        <v>0</v>
      </c>
    </row>
    <row r="96" customFormat="false" ht="15" hidden="false" customHeight="false" outlineLevel="0" collapsed="false">
      <c r="A96" s="9" t="s">
        <v>417</v>
      </c>
      <c r="B96" s="9" t="s">
        <v>270</v>
      </c>
      <c r="C96" s="9" t="s">
        <v>418</v>
      </c>
      <c r="D96" s="9" t="s">
        <v>419</v>
      </c>
      <c r="E96" s="9" t="s">
        <v>16</v>
      </c>
      <c r="F96" s="10" t="n">
        <v>1.48</v>
      </c>
      <c r="G96" s="9" t="s">
        <v>288</v>
      </c>
      <c r="H96" s="9" t="s">
        <v>327</v>
      </c>
      <c r="I96" s="9" t="s">
        <v>328</v>
      </c>
      <c r="J96" s="9" t="s">
        <v>329</v>
      </c>
      <c r="K96" s="31"/>
      <c r="L96" s="31" t="n">
        <v>3</v>
      </c>
      <c r="M96" s="10" t="n">
        <v>0.87</v>
      </c>
      <c r="N96" s="10" t="n">
        <v>0.03</v>
      </c>
      <c r="O96" s="9"/>
      <c r="P96" s="11" t="str">
        <f aca="false">IF(J96="%mo","",IF(G96="MO",IF(J96="hh",INDEX(MO_HH,MATCH(I96,MO_CAT,0)),M96*P_FACT_IPC),IF(G96="SUBPART",IFERROR(INDEX(APU_SUBP!$C$7:$C$40,MATCH(H96,APU_SUBP!$A$7:$A$40,0)),M96*P_FACT_IPC),M96*P_FACT_IPC)))</f>
        <v/>
      </c>
      <c r="Q96" s="11" t="n">
        <f aca="false">IF(J96="%mo",L96/100*SUMIFS($R$7:$R$782,$A$7:$A$782,A96),L96*P96)</f>
        <v>0.0193268027413588</v>
      </c>
      <c r="R96" s="11" t="n">
        <f aca="false">IF(G96="MO",L96*P96,0)</f>
        <v>0</v>
      </c>
    </row>
    <row r="97" customFormat="false" ht="15" hidden="false" customHeight="false" outlineLevel="0" collapsed="false">
      <c r="A97" s="7" t="s">
        <v>420</v>
      </c>
      <c r="B97" s="7" t="s">
        <v>270</v>
      </c>
      <c r="C97" s="7" t="s">
        <v>421</v>
      </c>
      <c r="D97" s="7" t="s">
        <v>422</v>
      </c>
      <c r="E97" s="7" t="s">
        <v>16</v>
      </c>
      <c r="F97" s="11" t="n">
        <v>1.05</v>
      </c>
      <c r="G97" s="7" t="s">
        <v>281</v>
      </c>
      <c r="H97" s="7" t="s">
        <v>282</v>
      </c>
      <c r="I97" s="7" t="s">
        <v>107</v>
      </c>
      <c r="J97" s="7" t="s">
        <v>283</v>
      </c>
      <c r="K97" s="22" t="n">
        <v>1</v>
      </c>
      <c r="L97" s="22" t="n">
        <v>0.001</v>
      </c>
      <c r="M97" s="11" t="n">
        <v>25.81</v>
      </c>
      <c r="N97" s="11" t="n">
        <v>0.03</v>
      </c>
      <c r="O97" s="7" t="s">
        <v>284</v>
      </c>
      <c r="P97" s="11" t="n">
        <f aca="false">IF(J97="%mo","",IF(G97="MO",IF(J97="hh",INDEX(MO_HH,MATCH(I97,MO_CAT,0)),M97*P_FACT_IPC),IF(G97="SUBPART",IFERROR(INDEX(APU_SUBP!$C$7:$C$40,MATCH(H97,APU_SUBP!$A$7:$A$40,0)),M97*P_FACT_IPC),M97*P_FACT_IPC)))</f>
        <v>19.226758045292</v>
      </c>
      <c r="Q97" s="11" t="n">
        <f aca="false">IF(J97="%mo",L97/100*SUMIFS($R$7:$R$782,$A$7:$A$782,A97),L97*P97)</f>
        <v>0.019226758045292</v>
      </c>
      <c r="R97" s="11" t="n">
        <f aca="false">IF(G97="MO",L97*P97,0)</f>
        <v>0.019226758045292</v>
      </c>
    </row>
    <row r="98" customFormat="false" ht="15" hidden="false" customHeight="false" outlineLevel="0" collapsed="false">
      <c r="A98" s="9" t="s">
        <v>420</v>
      </c>
      <c r="B98" s="9" t="s">
        <v>270</v>
      </c>
      <c r="C98" s="9" t="s">
        <v>421</v>
      </c>
      <c r="D98" s="9" t="s">
        <v>422</v>
      </c>
      <c r="E98" s="9" t="s">
        <v>16</v>
      </c>
      <c r="F98" s="10" t="n">
        <v>1.05</v>
      </c>
      <c r="G98" s="9" t="s">
        <v>281</v>
      </c>
      <c r="H98" s="9" t="s">
        <v>286</v>
      </c>
      <c r="I98" s="9" t="s">
        <v>122</v>
      </c>
      <c r="J98" s="9" t="s">
        <v>283</v>
      </c>
      <c r="K98" s="31" t="n">
        <v>50</v>
      </c>
      <c r="L98" s="31" t="n">
        <v>0.05</v>
      </c>
      <c r="M98" s="10" t="n">
        <v>16.78</v>
      </c>
      <c r="N98" s="10" t="n">
        <v>0.84</v>
      </c>
      <c r="O98" s="9" t="s">
        <v>287</v>
      </c>
      <c r="P98" s="11" t="n">
        <f aca="false">IF(J98="%mo","",IF(G98="MO",IF(J98="hh",INDEX(MO_HH,MATCH(I98,MO_CAT,0)),M98*P_FACT_IPC),IF(G98="SUBPART",IFERROR(INDEX(APU_SUBP!$C$7:$C$40,MATCH(H98,APU_SUBP!$A$7:$A$40,0)),M98*P_FACT_IPC),M98*P_FACT_IPC)))</f>
        <v>12.5</v>
      </c>
      <c r="Q98" s="11" t="n">
        <f aca="false">IF(J98="%mo",L98/100*SUMIFS($R$7:$R$782,$A$7:$A$782,A98),L98*P98)</f>
        <v>0.625</v>
      </c>
      <c r="R98" s="11" t="n">
        <f aca="false">IF(G98="MO",L98*P98,0)</f>
        <v>0.625</v>
      </c>
    </row>
    <row r="99" customFormat="false" ht="15" hidden="false" customHeight="false" outlineLevel="0" collapsed="false">
      <c r="A99" s="7" t="s">
        <v>420</v>
      </c>
      <c r="B99" s="7" t="s">
        <v>270</v>
      </c>
      <c r="C99" s="7" t="s">
        <v>421</v>
      </c>
      <c r="D99" s="7" t="s">
        <v>422</v>
      </c>
      <c r="E99" s="7" t="s">
        <v>16</v>
      </c>
      <c r="F99" s="11" t="n">
        <v>1.05</v>
      </c>
      <c r="G99" s="7" t="s">
        <v>307</v>
      </c>
      <c r="H99" s="7" t="s">
        <v>423</v>
      </c>
      <c r="I99" s="7" t="s">
        <v>424</v>
      </c>
      <c r="J99" s="7" t="s">
        <v>21</v>
      </c>
      <c r="K99" s="22"/>
      <c r="L99" s="22" t="n">
        <v>0.01</v>
      </c>
      <c r="M99" s="11" t="n">
        <v>0.7</v>
      </c>
      <c r="N99" s="11" t="n">
        <v>0.01</v>
      </c>
      <c r="O99" s="7"/>
      <c r="P99" s="11" t="n">
        <f aca="false">IF(J99="%mo","",IF(G99="MO",IF(J99="hh",INDEX(MO_HH,MATCH(I99,MO_CAT,0)),M99*P_FACT_IPC),IF(G99="SUBPART",IFERROR(INDEX(APU_SUBP!$C$7:$C$40,MATCH(H99,APU_SUBP!$A$7:$A$40,0)),M99*P_FACT_IPC),M99*P_FACT_IPC)))</f>
        <v>0.9004070887193</v>
      </c>
      <c r="Q99" s="11" t="n">
        <f aca="false">IF(J99="%mo",L99/100*SUMIFS($R$7:$R$782,$A$7:$A$782,A99),L99*P99)</f>
        <v>0.009004070887193</v>
      </c>
      <c r="R99" s="11" t="n">
        <f aca="false">IF(G99="MO",L99*P99,0)</f>
        <v>0</v>
      </c>
    </row>
    <row r="100" customFormat="false" ht="15" hidden="false" customHeight="false" outlineLevel="0" collapsed="false">
      <c r="A100" s="9" t="s">
        <v>420</v>
      </c>
      <c r="B100" s="9" t="s">
        <v>270</v>
      </c>
      <c r="C100" s="9" t="s">
        <v>421</v>
      </c>
      <c r="D100" s="9" t="s">
        <v>422</v>
      </c>
      <c r="E100" s="9" t="s">
        <v>16</v>
      </c>
      <c r="F100" s="10" t="n">
        <v>1.05</v>
      </c>
      <c r="G100" s="9" t="s">
        <v>307</v>
      </c>
      <c r="H100" s="9" t="s">
        <v>425</v>
      </c>
      <c r="I100" s="9" t="s">
        <v>426</v>
      </c>
      <c r="J100" s="9" t="s">
        <v>427</v>
      </c>
      <c r="K100" s="31"/>
      <c r="L100" s="31" t="n">
        <v>0.0025</v>
      </c>
      <c r="M100" s="10" t="n">
        <v>14.5</v>
      </c>
      <c r="N100" s="10" t="n">
        <v>0.04</v>
      </c>
      <c r="O100" s="9"/>
      <c r="P100" s="11" t="n">
        <f aca="false">IF(J100="%mo","",IF(G100="MO",IF(J100="hh",INDEX(MO_HH,MATCH(I100,MO_CAT,0)),M100*P_FACT_IPC),IF(G100="SUBPART",IFERROR(INDEX(APU_SUBP!$C$7:$C$40,MATCH(H100,APU_SUBP!$A$7:$A$40,0)),M100*P_FACT_IPC),M100*P_FACT_IPC)))</f>
        <v>18.6512896948998</v>
      </c>
      <c r="Q100" s="11" t="n">
        <f aca="false">IF(J100="%mo",L100/100*SUMIFS($R$7:$R$782,$A$7:$A$782,A100),L100*P100)</f>
        <v>0.0466282242372495</v>
      </c>
      <c r="R100" s="11" t="n">
        <f aca="false">IF(G100="MO",L100*P100,0)</f>
        <v>0</v>
      </c>
    </row>
    <row r="101" customFormat="false" ht="15" hidden="false" customHeight="false" outlineLevel="0" collapsed="false">
      <c r="A101" s="7" t="s">
        <v>420</v>
      </c>
      <c r="B101" s="7" t="s">
        <v>270</v>
      </c>
      <c r="C101" s="7" t="s">
        <v>421</v>
      </c>
      <c r="D101" s="7" t="s">
        <v>422</v>
      </c>
      <c r="E101" s="7" t="s">
        <v>16</v>
      </c>
      <c r="F101" s="11" t="n">
        <v>1.05</v>
      </c>
      <c r="G101" s="7" t="s">
        <v>288</v>
      </c>
      <c r="H101" s="7" t="s">
        <v>428</v>
      </c>
      <c r="I101" s="7" t="s">
        <v>429</v>
      </c>
      <c r="J101" s="7" t="s">
        <v>322</v>
      </c>
      <c r="K101" s="22" t="n">
        <v>1</v>
      </c>
      <c r="L101" s="22" t="n">
        <v>0.001</v>
      </c>
      <c r="M101" s="11" t="n">
        <v>15.62</v>
      </c>
      <c r="N101" s="11" t="n">
        <v>0.02</v>
      </c>
      <c r="O101" s="7"/>
      <c r="P101" s="11" t="n">
        <f aca="false">IF(J101="%mo","",IF(G101="MO",IF(J101="hh",INDEX(MO_HH,MATCH(I101,MO_CAT,0)),M101*P_FACT_IPC),IF(G101="SUBPART",IFERROR(INDEX(APU_SUBP!$C$7:$C$40,MATCH(H101,APU_SUBP!$A$7:$A$40,0)),M101*P_FACT_IPC),M101*P_FACT_IPC)))</f>
        <v>20.0919410368507</v>
      </c>
      <c r="Q101" s="11" t="n">
        <f aca="false">IF(J101="%mo",L101/100*SUMIFS($R$7:$R$782,$A$7:$A$782,A101),L101*P101)</f>
        <v>0.0200919410368507</v>
      </c>
      <c r="R101" s="11" t="n">
        <f aca="false">IF(G101="MO",L101*P101,0)</f>
        <v>0</v>
      </c>
    </row>
    <row r="102" customFormat="false" ht="15" hidden="false" customHeight="false" outlineLevel="0" collapsed="false">
      <c r="A102" s="9" t="s">
        <v>420</v>
      </c>
      <c r="B102" s="9" t="s">
        <v>270</v>
      </c>
      <c r="C102" s="9" t="s">
        <v>421</v>
      </c>
      <c r="D102" s="9" t="s">
        <v>422</v>
      </c>
      <c r="E102" s="9" t="s">
        <v>16</v>
      </c>
      <c r="F102" s="10" t="n">
        <v>1.05</v>
      </c>
      <c r="G102" s="9" t="s">
        <v>370</v>
      </c>
      <c r="H102" s="9" t="s">
        <v>415</v>
      </c>
      <c r="I102" s="9" t="s">
        <v>416</v>
      </c>
      <c r="J102" s="9" t="s">
        <v>273</v>
      </c>
      <c r="K102" s="31"/>
      <c r="L102" s="31" t="n">
        <v>0.005</v>
      </c>
      <c r="M102" s="10" t="n">
        <v>21.15</v>
      </c>
      <c r="N102" s="10" t="n">
        <v>0.11</v>
      </c>
      <c r="O102" s="9"/>
      <c r="P102" s="11" t="n">
        <f aca="false">IF(J102="%mo","",IF(G102="MO",IF(J102="hh",INDEX(MO_HH,MATCH(I102,MO_CAT,0)),M102*P_FACT_IPC),IF(G102="SUBPART",IFERROR(INDEX(APU_SUBP!$C$7:$C$40,MATCH(H102,APU_SUBP!$A$7:$A$40,0)),M102*P_FACT_IPC),M102*P_FACT_IPC)))</f>
        <v>22.7438822970285</v>
      </c>
      <c r="Q102" s="11" t="n">
        <f aca="false">IF(J102="%mo",L102/100*SUMIFS($R$7:$R$782,$A$7:$A$782,A102),L102*P102)</f>
        <v>0.113719411485142</v>
      </c>
      <c r="R102" s="11" t="n">
        <f aca="false">IF(G102="MO",L102*P102,0)</f>
        <v>0</v>
      </c>
    </row>
    <row r="103" customFormat="false" ht="15" hidden="false" customHeight="false" outlineLevel="0" collapsed="false">
      <c r="A103" s="7" t="s">
        <v>430</v>
      </c>
      <c r="B103" s="7" t="s">
        <v>270</v>
      </c>
      <c r="C103" s="7" t="s">
        <v>431</v>
      </c>
      <c r="D103" s="7" t="s">
        <v>375</v>
      </c>
      <c r="E103" s="7" t="s">
        <v>341</v>
      </c>
      <c r="F103" s="11" t="n">
        <v>7.45</v>
      </c>
      <c r="G103" s="7" t="s">
        <v>281</v>
      </c>
      <c r="H103" s="7" t="s">
        <v>282</v>
      </c>
      <c r="I103" s="7" t="s">
        <v>107</v>
      </c>
      <c r="J103" s="7" t="s">
        <v>283</v>
      </c>
      <c r="K103" s="22" t="n">
        <v>0.1</v>
      </c>
      <c r="L103" s="22" t="n">
        <v>0.02</v>
      </c>
      <c r="M103" s="11" t="n">
        <v>25.81</v>
      </c>
      <c r="N103" s="11" t="n">
        <v>0.52</v>
      </c>
      <c r="O103" s="7" t="s">
        <v>284</v>
      </c>
      <c r="P103" s="11" t="n">
        <f aca="false">IF(J103="%mo","",IF(G103="MO",IF(J103="hh",INDEX(MO_HH,MATCH(I103,MO_CAT,0)),M103*P_FACT_IPC),IF(G103="SUBPART",IFERROR(INDEX(APU_SUBP!$C$7:$C$40,MATCH(H103,APU_SUBP!$A$7:$A$40,0)),M103*P_FACT_IPC),M103*P_FACT_IPC)))</f>
        <v>19.226758045292</v>
      </c>
      <c r="Q103" s="11" t="n">
        <f aca="false">IF(J103="%mo",L103/100*SUMIFS($R$7:$R$782,$A$7:$A$782,A103),L103*P103)</f>
        <v>0.38453516090584</v>
      </c>
      <c r="R103" s="11" t="n">
        <f aca="false">IF(G103="MO",L103*P103,0)</f>
        <v>0.38453516090584</v>
      </c>
    </row>
    <row r="104" customFormat="false" ht="15" hidden="false" customHeight="false" outlineLevel="0" collapsed="false">
      <c r="A104" s="9" t="s">
        <v>430</v>
      </c>
      <c r="B104" s="9" t="s">
        <v>270</v>
      </c>
      <c r="C104" s="9" t="s">
        <v>431</v>
      </c>
      <c r="D104" s="9" t="s">
        <v>375</v>
      </c>
      <c r="E104" s="9" t="s">
        <v>341</v>
      </c>
      <c r="F104" s="10" t="n">
        <v>7.45</v>
      </c>
      <c r="G104" s="9" t="s">
        <v>281</v>
      </c>
      <c r="H104" s="9" t="s">
        <v>286</v>
      </c>
      <c r="I104" s="9" t="s">
        <v>122</v>
      </c>
      <c r="J104" s="9" t="s">
        <v>283</v>
      </c>
      <c r="K104" s="31" t="n">
        <v>2</v>
      </c>
      <c r="L104" s="31" t="n">
        <v>0.4</v>
      </c>
      <c r="M104" s="10" t="n">
        <v>16.78</v>
      </c>
      <c r="N104" s="10" t="n">
        <v>6.71</v>
      </c>
      <c r="O104" s="9" t="s">
        <v>287</v>
      </c>
      <c r="P104" s="11" t="n">
        <f aca="false">IF(J104="%mo","",IF(G104="MO",IF(J104="hh",INDEX(MO_HH,MATCH(I104,MO_CAT,0)),M104*P_FACT_IPC),IF(G104="SUBPART",IFERROR(INDEX(APU_SUBP!$C$7:$C$40,MATCH(H104,APU_SUBP!$A$7:$A$40,0)),M104*P_FACT_IPC),M104*P_FACT_IPC)))</f>
        <v>12.5</v>
      </c>
      <c r="Q104" s="11" t="n">
        <f aca="false">IF(J104="%mo",L104/100*SUMIFS($R$7:$R$782,$A$7:$A$782,A104),L104*P104)</f>
        <v>5</v>
      </c>
      <c r="R104" s="11" t="n">
        <f aca="false">IF(G104="MO",L104*P104,0)</f>
        <v>5</v>
      </c>
    </row>
    <row r="105" customFormat="false" ht="15" hidden="false" customHeight="false" outlineLevel="0" collapsed="false">
      <c r="A105" s="7" t="s">
        <v>430</v>
      </c>
      <c r="B105" s="7" t="s">
        <v>270</v>
      </c>
      <c r="C105" s="7" t="s">
        <v>431</v>
      </c>
      <c r="D105" s="7" t="s">
        <v>375</v>
      </c>
      <c r="E105" s="7" t="s">
        <v>341</v>
      </c>
      <c r="F105" s="11" t="n">
        <v>7.45</v>
      </c>
      <c r="G105" s="7" t="s">
        <v>288</v>
      </c>
      <c r="H105" s="7" t="s">
        <v>327</v>
      </c>
      <c r="I105" s="7" t="s">
        <v>328</v>
      </c>
      <c r="J105" s="7" t="s">
        <v>329</v>
      </c>
      <c r="K105" s="22"/>
      <c r="L105" s="22" t="n">
        <v>3</v>
      </c>
      <c r="M105" s="11" t="n">
        <v>7.23</v>
      </c>
      <c r="N105" s="11" t="n">
        <v>0.22</v>
      </c>
      <c r="O105" s="7"/>
      <c r="P105" s="11" t="str">
        <f aca="false">IF(J105="%mo","",IF(G105="MO",IF(J105="hh",INDEX(MO_HH,MATCH(I105,MO_CAT,0)),M105*P_FACT_IPC),IF(G105="SUBPART",IFERROR(INDEX(APU_SUBP!$C$7:$C$40,MATCH(H105,APU_SUBP!$A$7:$A$40,0)),M105*P_FACT_IPC),M105*P_FACT_IPC)))</f>
        <v/>
      </c>
      <c r="Q105" s="11" t="n">
        <f aca="false">IF(J105="%mo",L105/100*SUMIFS($R$7:$R$782,$A$7:$A$782,A105),L105*P105)</f>
        <v>0.161536054827175</v>
      </c>
      <c r="R105" s="11" t="n">
        <f aca="false">IF(G105="MO",L105*P105,0)</f>
        <v>0</v>
      </c>
    </row>
    <row r="106" customFormat="false" ht="15" hidden="false" customHeight="false" outlineLevel="0" collapsed="false">
      <c r="A106" s="9" t="s">
        <v>432</v>
      </c>
      <c r="B106" s="9" t="s">
        <v>270</v>
      </c>
      <c r="C106" s="9" t="s">
        <v>433</v>
      </c>
      <c r="D106" s="9" t="s">
        <v>378</v>
      </c>
      <c r="E106" s="9" t="s">
        <v>273</v>
      </c>
      <c r="F106" s="10" t="n">
        <v>63.82</v>
      </c>
      <c r="G106" s="9" t="s">
        <v>281</v>
      </c>
      <c r="H106" s="9" t="s">
        <v>282</v>
      </c>
      <c r="I106" s="9" t="s">
        <v>107</v>
      </c>
      <c r="J106" s="9" t="s">
        <v>283</v>
      </c>
      <c r="K106" s="31" t="n">
        <v>0.1</v>
      </c>
      <c r="L106" s="31" t="n">
        <v>0.32</v>
      </c>
      <c r="M106" s="10" t="n">
        <v>25.81</v>
      </c>
      <c r="N106" s="10" t="n">
        <v>8.26</v>
      </c>
      <c r="O106" s="9" t="s">
        <v>284</v>
      </c>
      <c r="P106" s="11" t="n">
        <f aca="false">IF(J106="%mo","",IF(G106="MO",IF(J106="hh",INDEX(MO_HH,MATCH(I106,MO_CAT,0)),M106*P_FACT_IPC),IF(G106="SUBPART",IFERROR(INDEX(APU_SUBP!$C$7:$C$40,MATCH(H106,APU_SUBP!$A$7:$A$40,0)),M106*P_FACT_IPC),M106*P_FACT_IPC)))</f>
        <v>19.226758045292</v>
      </c>
      <c r="Q106" s="11" t="n">
        <f aca="false">IF(J106="%mo",L106/100*SUMIFS($R$7:$R$782,$A$7:$A$782,A106),L106*P106)</f>
        <v>6.15256257449344</v>
      </c>
      <c r="R106" s="11" t="n">
        <f aca="false">IF(G106="MO",L106*P106,0)</f>
        <v>6.15256257449344</v>
      </c>
    </row>
    <row r="107" customFormat="false" ht="15" hidden="false" customHeight="false" outlineLevel="0" collapsed="false">
      <c r="A107" s="7" t="s">
        <v>432</v>
      </c>
      <c r="B107" s="7" t="s">
        <v>270</v>
      </c>
      <c r="C107" s="7" t="s">
        <v>433</v>
      </c>
      <c r="D107" s="7" t="s">
        <v>378</v>
      </c>
      <c r="E107" s="7" t="s">
        <v>273</v>
      </c>
      <c r="F107" s="11" t="n">
        <v>63.82</v>
      </c>
      <c r="G107" s="7" t="s">
        <v>281</v>
      </c>
      <c r="H107" s="7" t="s">
        <v>286</v>
      </c>
      <c r="I107" s="7" t="s">
        <v>122</v>
      </c>
      <c r="J107" s="7" t="s">
        <v>283</v>
      </c>
      <c r="K107" s="22" t="n">
        <v>1</v>
      </c>
      <c r="L107" s="22" t="n">
        <v>3.2</v>
      </c>
      <c r="M107" s="11" t="n">
        <v>16.78</v>
      </c>
      <c r="N107" s="11" t="n">
        <v>53.7</v>
      </c>
      <c r="O107" s="7" t="s">
        <v>287</v>
      </c>
      <c r="P107" s="11" t="n">
        <f aca="false">IF(J107="%mo","",IF(G107="MO",IF(J107="hh",INDEX(MO_HH,MATCH(I107,MO_CAT,0)),M107*P_FACT_IPC),IF(G107="SUBPART",IFERROR(INDEX(APU_SUBP!$C$7:$C$40,MATCH(H107,APU_SUBP!$A$7:$A$40,0)),M107*P_FACT_IPC),M107*P_FACT_IPC)))</f>
        <v>12.5</v>
      </c>
      <c r="Q107" s="11" t="n">
        <f aca="false">IF(J107="%mo",L107/100*SUMIFS($R$7:$R$782,$A$7:$A$782,A107),L107*P107)</f>
        <v>40</v>
      </c>
      <c r="R107" s="11" t="n">
        <f aca="false">IF(G107="MO",L107*P107,0)</f>
        <v>40</v>
      </c>
    </row>
    <row r="108" customFormat="false" ht="15" hidden="false" customHeight="false" outlineLevel="0" collapsed="false">
      <c r="A108" s="9" t="s">
        <v>432</v>
      </c>
      <c r="B108" s="9" t="s">
        <v>270</v>
      </c>
      <c r="C108" s="9" t="s">
        <v>433</v>
      </c>
      <c r="D108" s="9" t="s">
        <v>378</v>
      </c>
      <c r="E108" s="9" t="s">
        <v>273</v>
      </c>
      <c r="F108" s="10" t="n">
        <v>63.82</v>
      </c>
      <c r="G108" s="9" t="s">
        <v>288</v>
      </c>
      <c r="H108" s="9" t="s">
        <v>327</v>
      </c>
      <c r="I108" s="9" t="s">
        <v>328</v>
      </c>
      <c r="J108" s="9" t="s">
        <v>329</v>
      </c>
      <c r="K108" s="31"/>
      <c r="L108" s="31" t="n">
        <v>3</v>
      </c>
      <c r="M108" s="10" t="n">
        <v>61.96</v>
      </c>
      <c r="N108" s="10" t="n">
        <v>1.86</v>
      </c>
      <c r="O108" s="9"/>
      <c r="P108" s="11" t="str">
        <f aca="false">IF(J108="%mo","",IF(G108="MO",IF(J108="hh",INDEX(MO_HH,MATCH(I108,MO_CAT,0)),M108*P_FACT_IPC),IF(G108="SUBPART",IFERROR(INDEX(APU_SUBP!$C$7:$C$40,MATCH(H108,APU_SUBP!$A$7:$A$40,0)),M108*P_FACT_IPC),M108*P_FACT_IPC)))</f>
        <v/>
      </c>
      <c r="Q108" s="11" t="n">
        <f aca="false">IF(J108="%mo",L108/100*SUMIFS($R$7:$R$782,$A$7:$A$782,A108),L108*P108)</f>
        <v>1.3845768772348</v>
      </c>
      <c r="R108" s="11" t="n">
        <f aca="false">IF(G108="MO",L108*P108,0)</f>
        <v>0</v>
      </c>
    </row>
    <row r="109" customFormat="false" ht="15" hidden="false" customHeight="false" outlineLevel="0" collapsed="false">
      <c r="A109" s="7" t="s">
        <v>434</v>
      </c>
      <c r="B109" s="7" t="s">
        <v>270</v>
      </c>
      <c r="C109" s="7" t="s">
        <v>435</v>
      </c>
      <c r="D109" s="7" t="s">
        <v>381</v>
      </c>
      <c r="E109" s="7" t="s">
        <v>341</v>
      </c>
      <c r="F109" s="11" t="n">
        <v>3.19</v>
      </c>
      <c r="G109" s="7" t="s">
        <v>281</v>
      </c>
      <c r="H109" s="7" t="s">
        <v>282</v>
      </c>
      <c r="I109" s="7" t="s">
        <v>107</v>
      </c>
      <c r="J109" s="7" t="s">
        <v>283</v>
      </c>
      <c r="K109" s="22" t="n">
        <v>0.1</v>
      </c>
      <c r="L109" s="22" t="n">
        <v>0.0032</v>
      </c>
      <c r="M109" s="11" t="n">
        <v>25.81</v>
      </c>
      <c r="N109" s="11" t="n">
        <v>0.08</v>
      </c>
      <c r="O109" s="7" t="s">
        <v>284</v>
      </c>
      <c r="P109" s="11" t="n">
        <f aca="false">IF(J109="%mo","",IF(G109="MO",IF(J109="hh",INDEX(MO_HH,MATCH(I109,MO_CAT,0)),M109*P_FACT_IPC),IF(G109="SUBPART",IFERROR(INDEX(APU_SUBP!$C$7:$C$40,MATCH(H109,APU_SUBP!$A$7:$A$40,0)),M109*P_FACT_IPC),M109*P_FACT_IPC)))</f>
        <v>19.226758045292</v>
      </c>
      <c r="Q109" s="11" t="n">
        <f aca="false">IF(J109="%mo",L109/100*SUMIFS($R$7:$R$782,$A$7:$A$782,A109),L109*P109)</f>
        <v>0.0615256257449344</v>
      </c>
      <c r="R109" s="11" t="n">
        <f aca="false">IF(G109="MO",L109*P109,0)</f>
        <v>0.0615256257449344</v>
      </c>
    </row>
    <row r="110" customFormat="false" ht="15" hidden="false" customHeight="false" outlineLevel="0" collapsed="false">
      <c r="A110" s="9" t="s">
        <v>434</v>
      </c>
      <c r="B110" s="9" t="s">
        <v>270</v>
      </c>
      <c r="C110" s="9" t="s">
        <v>435</v>
      </c>
      <c r="D110" s="9" t="s">
        <v>381</v>
      </c>
      <c r="E110" s="9" t="s">
        <v>341</v>
      </c>
      <c r="F110" s="10" t="n">
        <v>3.19</v>
      </c>
      <c r="G110" s="9" t="s">
        <v>281</v>
      </c>
      <c r="H110" s="9" t="s">
        <v>306</v>
      </c>
      <c r="I110" s="9" t="s">
        <v>112</v>
      </c>
      <c r="J110" s="9" t="s">
        <v>283</v>
      </c>
      <c r="K110" s="31" t="n">
        <v>1</v>
      </c>
      <c r="L110" s="31" t="n">
        <v>0.032</v>
      </c>
      <c r="M110" s="10" t="n">
        <v>23.46</v>
      </c>
      <c r="N110" s="10" t="n">
        <v>0.75</v>
      </c>
      <c r="O110" s="9" t="s">
        <v>284</v>
      </c>
      <c r="P110" s="11" t="n">
        <f aca="false">IF(J110="%mo","",IF(G110="MO",IF(J110="hh",INDEX(MO_HH,MATCH(I110,MO_CAT,0)),M110*P_FACT_IPC),IF(G110="SUBPART",IFERROR(INDEX(APU_SUBP!$C$7:$C$40,MATCH(H110,APU_SUBP!$A$7:$A$40,0)),M110*P_FACT_IPC),M110*P_FACT_IPC)))</f>
        <v>17.4761620977354</v>
      </c>
      <c r="Q110" s="11" t="n">
        <f aca="false">IF(J110="%mo",L110/100*SUMIFS($R$7:$R$782,$A$7:$A$782,A110),L110*P110)</f>
        <v>0.559237187127533</v>
      </c>
      <c r="R110" s="11" t="n">
        <f aca="false">IF(G110="MO",L110*P110,0)</f>
        <v>0.559237187127533</v>
      </c>
    </row>
    <row r="111" customFormat="false" ht="15" hidden="false" customHeight="false" outlineLevel="0" collapsed="false">
      <c r="A111" s="7" t="s">
        <v>434</v>
      </c>
      <c r="B111" s="7" t="s">
        <v>270</v>
      </c>
      <c r="C111" s="7" t="s">
        <v>435</v>
      </c>
      <c r="D111" s="7" t="s">
        <v>381</v>
      </c>
      <c r="E111" s="7" t="s">
        <v>341</v>
      </c>
      <c r="F111" s="11" t="n">
        <v>3.19</v>
      </c>
      <c r="G111" s="7" t="s">
        <v>281</v>
      </c>
      <c r="H111" s="7" t="s">
        <v>286</v>
      </c>
      <c r="I111" s="7" t="s">
        <v>122</v>
      </c>
      <c r="J111" s="7" t="s">
        <v>283</v>
      </c>
      <c r="K111" s="22" t="n">
        <v>2</v>
      </c>
      <c r="L111" s="22" t="n">
        <v>0.064</v>
      </c>
      <c r="M111" s="11" t="n">
        <v>16.78</v>
      </c>
      <c r="N111" s="11" t="n">
        <v>1.07</v>
      </c>
      <c r="O111" s="7" t="s">
        <v>287</v>
      </c>
      <c r="P111" s="11" t="n">
        <f aca="false">IF(J111="%mo","",IF(G111="MO",IF(J111="hh",INDEX(MO_HH,MATCH(I111,MO_CAT,0)),M111*P_FACT_IPC),IF(G111="SUBPART",IFERROR(INDEX(APU_SUBP!$C$7:$C$40,MATCH(H111,APU_SUBP!$A$7:$A$40,0)),M111*P_FACT_IPC),M111*P_FACT_IPC)))</f>
        <v>12.5</v>
      </c>
      <c r="Q111" s="11" t="n">
        <f aca="false">IF(J111="%mo",L111/100*SUMIFS($R$7:$R$782,$A$7:$A$782,A111),L111*P111)</f>
        <v>0.8</v>
      </c>
      <c r="R111" s="11" t="n">
        <f aca="false">IF(G111="MO",L111*P111,0)</f>
        <v>0.8</v>
      </c>
    </row>
    <row r="112" customFormat="false" ht="15" hidden="false" customHeight="false" outlineLevel="0" collapsed="false">
      <c r="A112" s="9" t="s">
        <v>434</v>
      </c>
      <c r="B112" s="9" t="s">
        <v>270</v>
      </c>
      <c r="C112" s="9" t="s">
        <v>435</v>
      </c>
      <c r="D112" s="9" t="s">
        <v>381</v>
      </c>
      <c r="E112" s="9" t="s">
        <v>341</v>
      </c>
      <c r="F112" s="10" t="n">
        <v>3.19</v>
      </c>
      <c r="G112" s="9" t="s">
        <v>288</v>
      </c>
      <c r="H112" s="9" t="s">
        <v>327</v>
      </c>
      <c r="I112" s="9" t="s">
        <v>328</v>
      </c>
      <c r="J112" s="9" t="s">
        <v>329</v>
      </c>
      <c r="K112" s="31"/>
      <c r="L112" s="31" t="n">
        <v>3</v>
      </c>
      <c r="M112" s="10" t="n">
        <v>1.9</v>
      </c>
      <c r="N112" s="10" t="n">
        <v>0.06</v>
      </c>
      <c r="O112" s="9"/>
      <c r="P112" s="11" t="str">
        <f aca="false">IF(J112="%mo","",IF(G112="MO",IF(J112="hh",INDEX(MO_HH,MATCH(I112,MO_CAT,0)),M112*P_FACT_IPC),IF(G112="SUBPART",IFERROR(INDEX(APU_SUBP!$C$7:$C$40,MATCH(H112,APU_SUBP!$A$7:$A$40,0)),M112*P_FACT_IPC),M112*P_FACT_IPC)))</f>
        <v/>
      </c>
      <c r="Q112" s="11" t="n">
        <f aca="false">IF(J112="%mo",L112/100*SUMIFS($R$7:$R$782,$A$7:$A$782,A112),L112*P112)</f>
        <v>0.042622884386174</v>
      </c>
      <c r="R112" s="11" t="n">
        <f aca="false">IF(G112="MO",L112*P112,0)</f>
        <v>0</v>
      </c>
    </row>
    <row r="113" customFormat="false" ht="15" hidden="false" customHeight="false" outlineLevel="0" collapsed="false">
      <c r="A113" s="7" t="s">
        <v>434</v>
      </c>
      <c r="B113" s="7" t="s">
        <v>270</v>
      </c>
      <c r="C113" s="7" t="s">
        <v>435</v>
      </c>
      <c r="D113" s="7" t="s">
        <v>381</v>
      </c>
      <c r="E113" s="7" t="s">
        <v>341</v>
      </c>
      <c r="F113" s="11" t="n">
        <v>3.19</v>
      </c>
      <c r="G113" s="7" t="s">
        <v>288</v>
      </c>
      <c r="H113" s="7" t="s">
        <v>382</v>
      </c>
      <c r="I113" s="7" t="s">
        <v>383</v>
      </c>
      <c r="J113" s="7" t="s">
        <v>291</v>
      </c>
      <c r="K113" s="22" t="n">
        <v>1</v>
      </c>
      <c r="L113" s="22" t="n">
        <v>0.032</v>
      </c>
      <c r="M113" s="11" t="n">
        <v>38.5</v>
      </c>
      <c r="N113" s="11" t="n">
        <v>1.23</v>
      </c>
      <c r="O113" s="7"/>
      <c r="P113" s="11" t="n">
        <f aca="false">IF(J113="%mo","",IF(G113="MO",IF(J113="hh",INDEX(MO_HH,MATCH(I113,MO_CAT,0)),M113*P_FACT_IPC),IF(G113="SUBPART",IFERROR(INDEX(APU_SUBP!$C$7:$C$40,MATCH(H113,APU_SUBP!$A$7:$A$40,0)),M113*P_FACT_IPC),M113*P_FACT_IPC)))</f>
        <v>49.5223898795615</v>
      </c>
      <c r="Q113" s="11" t="n">
        <f aca="false">IF(J113="%mo",L113/100*SUMIFS($R$7:$R$782,$A$7:$A$782,A113),L113*P113)</f>
        <v>1.58471647614597</v>
      </c>
      <c r="R113" s="11" t="n">
        <f aca="false">IF(G113="MO",L113*P113,0)</f>
        <v>0</v>
      </c>
    </row>
    <row r="114" customFormat="false" ht="15" hidden="false" customHeight="false" outlineLevel="0" collapsed="false">
      <c r="A114" s="9" t="s">
        <v>436</v>
      </c>
      <c r="B114" s="9" t="s">
        <v>270</v>
      </c>
      <c r="C114" s="9" t="s">
        <v>437</v>
      </c>
      <c r="D114" s="9" t="s">
        <v>438</v>
      </c>
      <c r="E114" s="9" t="s">
        <v>273</v>
      </c>
      <c r="F114" s="10" t="n">
        <v>304.91</v>
      </c>
      <c r="G114" s="9" t="s">
        <v>281</v>
      </c>
      <c r="H114" s="9" t="s">
        <v>282</v>
      </c>
      <c r="I114" s="9" t="s">
        <v>107</v>
      </c>
      <c r="J114" s="9" t="s">
        <v>283</v>
      </c>
      <c r="K114" s="31" t="n">
        <v>1</v>
      </c>
      <c r="L114" s="31" t="n">
        <v>1</v>
      </c>
      <c r="M114" s="10" t="n">
        <v>25.81</v>
      </c>
      <c r="N114" s="10" t="n">
        <v>25.81</v>
      </c>
      <c r="O114" s="9" t="s">
        <v>284</v>
      </c>
      <c r="P114" s="11" t="n">
        <f aca="false">IF(J114="%mo","",IF(G114="MO",IF(J114="hh",INDEX(MO_HH,MATCH(I114,MO_CAT,0)),M114*P_FACT_IPC),IF(G114="SUBPART",IFERROR(INDEX(APU_SUBP!$C$7:$C$40,MATCH(H114,APU_SUBP!$A$7:$A$40,0)),M114*P_FACT_IPC),M114*P_FACT_IPC)))</f>
        <v>19.226758045292</v>
      </c>
      <c r="Q114" s="11" t="n">
        <f aca="false">IF(J114="%mo",L114/100*SUMIFS($R$7:$R$782,$A$7:$A$782,A114),L114*P114)</f>
        <v>19.226758045292</v>
      </c>
      <c r="R114" s="11" t="n">
        <f aca="false">IF(G114="MO",L114*P114,0)</f>
        <v>19.226758045292</v>
      </c>
    </row>
    <row r="115" customFormat="false" ht="15" hidden="false" customHeight="false" outlineLevel="0" collapsed="false">
      <c r="A115" s="7" t="s">
        <v>436</v>
      </c>
      <c r="B115" s="7" t="s">
        <v>270</v>
      </c>
      <c r="C115" s="7" t="s">
        <v>437</v>
      </c>
      <c r="D115" s="7" t="s">
        <v>438</v>
      </c>
      <c r="E115" s="7" t="s">
        <v>273</v>
      </c>
      <c r="F115" s="11" t="n">
        <v>304.91</v>
      </c>
      <c r="G115" s="7" t="s">
        <v>281</v>
      </c>
      <c r="H115" s="7" t="s">
        <v>306</v>
      </c>
      <c r="I115" s="7" t="s">
        <v>112</v>
      </c>
      <c r="J115" s="7" t="s">
        <v>283</v>
      </c>
      <c r="K115" s="22" t="n">
        <v>1</v>
      </c>
      <c r="L115" s="22" t="n">
        <v>1</v>
      </c>
      <c r="M115" s="11" t="n">
        <v>23.46</v>
      </c>
      <c r="N115" s="11" t="n">
        <v>23.46</v>
      </c>
      <c r="O115" s="7" t="s">
        <v>284</v>
      </c>
      <c r="P115" s="11" t="n">
        <f aca="false">IF(J115="%mo","",IF(G115="MO",IF(J115="hh",INDEX(MO_HH,MATCH(I115,MO_CAT,0)),M115*P_FACT_IPC),IF(G115="SUBPART",IFERROR(INDEX(APU_SUBP!$C$7:$C$40,MATCH(H115,APU_SUBP!$A$7:$A$40,0)),M115*P_FACT_IPC),M115*P_FACT_IPC)))</f>
        <v>17.4761620977354</v>
      </c>
      <c r="Q115" s="11" t="n">
        <f aca="false">IF(J115="%mo",L115/100*SUMIFS($R$7:$R$782,$A$7:$A$782,A115),L115*P115)</f>
        <v>17.4761620977354</v>
      </c>
      <c r="R115" s="11" t="n">
        <f aca="false">IF(G115="MO",L115*P115,0)</f>
        <v>17.4761620977354</v>
      </c>
    </row>
    <row r="116" customFormat="false" ht="15" hidden="false" customHeight="false" outlineLevel="0" collapsed="false">
      <c r="A116" s="9" t="s">
        <v>436</v>
      </c>
      <c r="B116" s="9" t="s">
        <v>270</v>
      </c>
      <c r="C116" s="9" t="s">
        <v>437</v>
      </c>
      <c r="D116" s="9" t="s">
        <v>438</v>
      </c>
      <c r="E116" s="9" t="s">
        <v>273</v>
      </c>
      <c r="F116" s="10" t="n">
        <v>304.91</v>
      </c>
      <c r="G116" s="9" t="s">
        <v>281</v>
      </c>
      <c r="H116" s="9" t="s">
        <v>286</v>
      </c>
      <c r="I116" s="9" t="s">
        <v>122</v>
      </c>
      <c r="J116" s="9" t="s">
        <v>283</v>
      </c>
      <c r="K116" s="31" t="n">
        <v>4</v>
      </c>
      <c r="L116" s="31" t="n">
        <v>4</v>
      </c>
      <c r="M116" s="10" t="n">
        <v>16.78</v>
      </c>
      <c r="N116" s="10" t="n">
        <v>67.12</v>
      </c>
      <c r="O116" s="9" t="s">
        <v>287</v>
      </c>
      <c r="P116" s="11" t="n">
        <f aca="false">IF(J116="%mo","",IF(G116="MO",IF(J116="hh",INDEX(MO_HH,MATCH(I116,MO_CAT,0)),M116*P_FACT_IPC),IF(G116="SUBPART",IFERROR(INDEX(APU_SUBP!$C$7:$C$40,MATCH(H116,APU_SUBP!$A$7:$A$40,0)),M116*P_FACT_IPC),M116*P_FACT_IPC)))</f>
        <v>12.5</v>
      </c>
      <c r="Q116" s="11" t="n">
        <f aca="false">IF(J116="%mo",L116/100*SUMIFS($R$7:$R$782,$A$7:$A$782,A116),L116*P116)</f>
        <v>50</v>
      </c>
      <c r="R116" s="11" t="n">
        <f aca="false">IF(G116="MO",L116*P116,0)</f>
        <v>50</v>
      </c>
    </row>
    <row r="117" customFormat="false" ht="15" hidden="false" customHeight="false" outlineLevel="0" collapsed="false">
      <c r="A117" s="7" t="s">
        <v>436</v>
      </c>
      <c r="B117" s="7" t="s">
        <v>270</v>
      </c>
      <c r="C117" s="7" t="s">
        <v>437</v>
      </c>
      <c r="D117" s="7" t="s">
        <v>438</v>
      </c>
      <c r="E117" s="7" t="s">
        <v>273</v>
      </c>
      <c r="F117" s="11" t="n">
        <v>304.91</v>
      </c>
      <c r="G117" s="7" t="s">
        <v>288</v>
      </c>
      <c r="H117" s="7" t="s">
        <v>327</v>
      </c>
      <c r="I117" s="7" t="s">
        <v>328</v>
      </c>
      <c r="J117" s="7" t="s">
        <v>329</v>
      </c>
      <c r="K117" s="22"/>
      <c r="L117" s="22" t="n">
        <v>3</v>
      </c>
      <c r="M117" s="11" t="n">
        <v>116.39</v>
      </c>
      <c r="N117" s="11" t="n">
        <v>3.49</v>
      </c>
      <c r="O117" s="7"/>
      <c r="P117" s="11" t="str">
        <f aca="false">IF(J117="%mo","",IF(G117="MO",IF(J117="hh",INDEX(MO_HH,MATCH(I117,MO_CAT,0)),M117*P_FACT_IPC),IF(G117="SUBPART",IFERROR(INDEX(APU_SUBP!$C$7:$C$40,MATCH(H117,APU_SUBP!$A$7:$A$40,0)),M117*P_FACT_IPC),M117*P_FACT_IPC)))</f>
        <v/>
      </c>
      <c r="Q117" s="11" t="n">
        <f aca="false">IF(J117="%mo",L117/100*SUMIFS($R$7:$R$782,$A$7:$A$782,A117),L117*P117)</f>
        <v>2.60108760429082</v>
      </c>
      <c r="R117" s="11" t="n">
        <f aca="false">IF(G117="MO",L117*P117,0)</f>
        <v>0</v>
      </c>
    </row>
    <row r="118" customFormat="false" ht="15" hidden="false" customHeight="false" outlineLevel="0" collapsed="false">
      <c r="A118" s="9" t="s">
        <v>436</v>
      </c>
      <c r="B118" s="9" t="s">
        <v>270</v>
      </c>
      <c r="C118" s="9" t="s">
        <v>437</v>
      </c>
      <c r="D118" s="9" t="s">
        <v>438</v>
      </c>
      <c r="E118" s="9" t="s">
        <v>273</v>
      </c>
      <c r="F118" s="10" t="n">
        <v>304.91</v>
      </c>
      <c r="G118" s="9" t="s">
        <v>370</v>
      </c>
      <c r="H118" s="9" t="s">
        <v>387</v>
      </c>
      <c r="I118" s="9" t="s">
        <v>388</v>
      </c>
      <c r="J118" s="9" t="s">
        <v>273</v>
      </c>
      <c r="K118" s="31"/>
      <c r="L118" s="31" t="n">
        <v>0.8</v>
      </c>
      <c r="M118" s="10" t="n">
        <v>113.54</v>
      </c>
      <c r="N118" s="10" t="n">
        <v>90.83</v>
      </c>
      <c r="O118" s="9"/>
      <c r="P118" s="11" t="n">
        <f aca="false">IF(J118="%mo","",IF(G118="MO",IF(J118="hh",INDEX(MO_HH,MATCH(I118,MO_CAT,0)),M118*P_FACT_IPC),IF(G118="SUBPART",IFERROR(INDEX(APU_SUBP!$C$7:$C$40,MATCH(H118,APU_SUBP!$A$7:$A$40,0)),M118*P_FACT_IPC),M118*P_FACT_IPC)))</f>
        <v>86.4416917676172</v>
      </c>
      <c r="Q118" s="11" t="n">
        <f aca="false">IF(J118="%mo",L118/100*SUMIFS($R$7:$R$782,$A$7:$A$782,A118),L118*P118)</f>
        <v>69.1533534140938</v>
      </c>
      <c r="R118" s="11" t="n">
        <f aca="false">IF(G118="MO",L118*P118,0)</f>
        <v>0</v>
      </c>
    </row>
    <row r="119" customFormat="false" ht="15" hidden="false" customHeight="false" outlineLevel="0" collapsed="false">
      <c r="A119" s="7" t="s">
        <v>436</v>
      </c>
      <c r="B119" s="7" t="s">
        <v>270</v>
      </c>
      <c r="C119" s="7" t="s">
        <v>437</v>
      </c>
      <c r="D119" s="7" t="s">
        <v>438</v>
      </c>
      <c r="E119" s="7" t="s">
        <v>273</v>
      </c>
      <c r="F119" s="11" t="n">
        <v>304.91</v>
      </c>
      <c r="G119" s="7" t="s">
        <v>370</v>
      </c>
      <c r="H119" s="7" t="s">
        <v>439</v>
      </c>
      <c r="I119" s="7" t="s">
        <v>440</v>
      </c>
      <c r="J119" s="7" t="s">
        <v>273</v>
      </c>
      <c r="K119" s="22"/>
      <c r="L119" s="22" t="n">
        <v>0.2</v>
      </c>
      <c r="M119" s="11" t="n">
        <v>471.02</v>
      </c>
      <c r="N119" s="11" t="n">
        <v>94.2</v>
      </c>
      <c r="O119" s="7"/>
      <c r="P119" s="11" t="n">
        <f aca="false">IF(J119="%mo","",IF(G119="MO",IF(J119="hh",INDEX(MO_HH,MATCH(I119,MO_CAT,0)),M119*P_FACT_IPC),IF(G119="SUBPART",IFERROR(INDEX(APU_SUBP!$C$7:$C$40,MATCH(H119,APU_SUBP!$A$7:$A$40,0)),M119*P_FACT_IPC),M119*P_FACT_IPC)))</f>
        <v>489.331206841788</v>
      </c>
      <c r="Q119" s="11" t="n">
        <f aca="false">IF(J119="%mo",L119/100*SUMIFS($R$7:$R$782,$A$7:$A$782,A119),L119*P119)</f>
        <v>97.8662413683576</v>
      </c>
      <c r="R119" s="11" t="n">
        <f aca="false">IF(G119="MO",L119*P119,0)</f>
        <v>0</v>
      </c>
    </row>
    <row r="120" customFormat="false" ht="15" hidden="false" customHeight="false" outlineLevel="0" collapsed="false">
      <c r="A120" s="9" t="s">
        <v>441</v>
      </c>
      <c r="B120" s="9" t="s">
        <v>270</v>
      </c>
      <c r="C120" s="9" t="s">
        <v>442</v>
      </c>
      <c r="D120" s="9" t="s">
        <v>391</v>
      </c>
      <c r="E120" s="9" t="s">
        <v>16</v>
      </c>
      <c r="F120" s="10" t="n">
        <v>1.73</v>
      </c>
      <c r="G120" s="9" t="s">
        <v>281</v>
      </c>
      <c r="H120" s="9" t="s">
        <v>282</v>
      </c>
      <c r="I120" s="9" t="s">
        <v>107</v>
      </c>
      <c r="J120" s="9" t="s">
        <v>283</v>
      </c>
      <c r="K120" s="31" t="n">
        <v>0.1</v>
      </c>
      <c r="L120" s="31" t="n">
        <v>0.0087</v>
      </c>
      <c r="M120" s="10" t="n">
        <v>25.81</v>
      </c>
      <c r="N120" s="10" t="n">
        <v>0.22</v>
      </c>
      <c r="O120" s="9" t="s">
        <v>284</v>
      </c>
      <c r="P120" s="11" t="n">
        <f aca="false">IF(J120="%mo","",IF(G120="MO",IF(J120="hh",INDEX(MO_HH,MATCH(I120,MO_CAT,0)),M120*P_FACT_IPC),IF(G120="SUBPART",IFERROR(INDEX(APU_SUBP!$C$7:$C$40,MATCH(H120,APU_SUBP!$A$7:$A$40,0)),M120*P_FACT_IPC),M120*P_FACT_IPC)))</f>
        <v>19.226758045292</v>
      </c>
      <c r="Q120" s="11" t="n">
        <f aca="false">IF(J120="%mo",L120/100*SUMIFS($R$7:$R$782,$A$7:$A$782,A120),L120*P120)</f>
        <v>0.167272794994041</v>
      </c>
      <c r="R120" s="11" t="n">
        <f aca="false">IF(G120="MO",L120*P120,0)</f>
        <v>0.167272794994041</v>
      </c>
    </row>
    <row r="121" customFormat="false" ht="15" hidden="false" customHeight="false" outlineLevel="0" collapsed="false">
      <c r="A121" s="7" t="s">
        <v>441</v>
      </c>
      <c r="B121" s="7" t="s">
        <v>270</v>
      </c>
      <c r="C121" s="7" t="s">
        <v>442</v>
      </c>
      <c r="D121" s="7" t="s">
        <v>391</v>
      </c>
      <c r="E121" s="7" t="s">
        <v>16</v>
      </c>
      <c r="F121" s="11" t="n">
        <v>1.73</v>
      </c>
      <c r="G121" s="7" t="s">
        <v>281</v>
      </c>
      <c r="H121" s="7" t="s">
        <v>286</v>
      </c>
      <c r="I121" s="7" t="s">
        <v>122</v>
      </c>
      <c r="J121" s="7" t="s">
        <v>283</v>
      </c>
      <c r="K121" s="22" t="n">
        <v>1</v>
      </c>
      <c r="L121" s="22" t="n">
        <v>0.087</v>
      </c>
      <c r="M121" s="11" t="n">
        <v>16.78</v>
      </c>
      <c r="N121" s="11" t="n">
        <v>1.46</v>
      </c>
      <c r="O121" s="7" t="s">
        <v>287</v>
      </c>
      <c r="P121" s="11" t="n">
        <f aca="false">IF(J121="%mo","",IF(G121="MO",IF(J121="hh",INDEX(MO_HH,MATCH(I121,MO_CAT,0)),M121*P_FACT_IPC),IF(G121="SUBPART",IFERROR(INDEX(APU_SUBP!$C$7:$C$40,MATCH(H121,APU_SUBP!$A$7:$A$40,0)),M121*P_FACT_IPC),M121*P_FACT_IPC)))</f>
        <v>12.5</v>
      </c>
      <c r="Q121" s="11" t="n">
        <f aca="false">IF(J121="%mo",L121/100*SUMIFS($R$7:$R$782,$A$7:$A$782,A121),L121*P121)</f>
        <v>1.0875</v>
      </c>
      <c r="R121" s="11" t="n">
        <f aca="false">IF(G121="MO",L121*P121,0)</f>
        <v>1.0875</v>
      </c>
    </row>
    <row r="122" customFormat="false" ht="15" hidden="false" customHeight="false" outlineLevel="0" collapsed="false">
      <c r="A122" s="9" t="s">
        <v>441</v>
      </c>
      <c r="B122" s="9" t="s">
        <v>270</v>
      </c>
      <c r="C122" s="9" t="s">
        <v>442</v>
      </c>
      <c r="D122" s="9" t="s">
        <v>391</v>
      </c>
      <c r="E122" s="9" t="s">
        <v>16</v>
      </c>
      <c r="F122" s="10" t="n">
        <v>1.73</v>
      </c>
      <c r="G122" s="9" t="s">
        <v>288</v>
      </c>
      <c r="H122" s="9" t="s">
        <v>327</v>
      </c>
      <c r="I122" s="9" t="s">
        <v>328</v>
      </c>
      <c r="J122" s="9" t="s">
        <v>329</v>
      </c>
      <c r="K122" s="31"/>
      <c r="L122" s="31" t="n">
        <v>3</v>
      </c>
      <c r="M122" s="10" t="n">
        <v>1.68</v>
      </c>
      <c r="N122" s="10" t="n">
        <v>0.05</v>
      </c>
      <c r="O122" s="9"/>
      <c r="P122" s="11" t="str">
        <f aca="false">IF(J122="%mo","",IF(G122="MO",IF(J122="hh",INDEX(MO_HH,MATCH(I122,MO_CAT,0)),M122*P_FACT_IPC),IF(G122="SUBPART",IFERROR(INDEX(APU_SUBP!$C$7:$C$40,MATCH(H122,APU_SUBP!$A$7:$A$40,0)),M122*P_FACT_IPC),M122*P_FACT_IPC)))</f>
        <v/>
      </c>
      <c r="Q122" s="11" t="n">
        <f aca="false">IF(J122="%mo",L122/100*SUMIFS($R$7:$R$782,$A$7:$A$782,A122),L122*P122)</f>
        <v>0.0376431838498212</v>
      </c>
      <c r="R122" s="11" t="n">
        <f aca="false">IF(G122="MO",L122*P122,0)</f>
        <v>0</v>
      </c>
    </row>
    <row r="123" customFormat="false" ht="15" hidden="false" customHeight="false" outlineLevel="0" collapsed="false">
      <c r="A123" s="7" t="s">
        <v>443</v>
      </c>
      <c r="B123" s="7" t="s">
        <v>270</v>
      </c>
      <c r="C123" s="7" t="s">
        <v>444</v>
      </c>
      <c r="D123" s="7" t="s">
        <v>394</v>
      </c>
      <c r="E123" s="7" t="s">
        <v>16</v>
      </c>
      <c r="F123" s="11" t="n">
        <v>1.17</v>
      </c>
      <c r="G123" s="7" t="s">
        <v>281</v>
      </c>
      <c r="H123" s="7" t="s">
        <v>285</v>
      </c>
      <c r="I123" s="7" t="s">
        <v>117</v>
      </c>
      <c r="J123" s="7" t="s">
        <v>283</v>
      </c>
      <c r="K123" s="22" t="n">
        <v>0.1</v>
      </c>
      <c r="L123" s="22" t="n">
        <v>0.005</v>
      </c>
      <c r="M123" s="11" t="n">
        <v>18.56</v>
      </c>
      <c r="N123" s="11" t="n">
        <v>0.09</v>
      </c>
      <c r="O123" s="7" t="s">
        <v>284</v>
      </c>
      <c r="P123" s="11" t="n">
        <f aca="false">IF(J123="%mo","",IF(G123="MO",IF(J123="hh",INDEX(MO_HH,MATCH(I123,MO_CAT,0)),M123*P_FACT_IPC),IF(G123="SUBPART",IFERROR(INDEX(APU_SUBP!$C$7:$C$40,MATCH(H123,APU_SUBP!$A$7:$A$40,0)),M123*P_FACT_IPC),M123*P_FACT_IPC)))</f>
        <v>13.8259833134684</v>
      </c>
      <c r="Q123" s="11" t="n">
        <f aca="false">IF(J123="%mo",L123/100*SUMIFS($R$7:$R$782,$A$7:$A$782,A123),L123*P123)</f>
        <v>0.0691299165673421</v>
      </c>
      <c r="R123" s="11" t="n">
        <f aca="false">IF(G123="MO",L123*P123,0)</f>
        <v>0.0691299165673421</v>
      </c>
    </row>
    <row r="124" customFormat="false" ht="15" hidden="false" customHeight="false" outlineLevel="0" collapsed="false">
      <c r="A124" s="9" t="s">
        <v>443</v>
      </c>
      <c r="B124" s="9" t="s">
        <v>270</v>
      </c>
      <c r="C124" s="9" t="s">
        <v>444</v>
      </c>
      <c r="D124" s="9" t="s">
        <v>394</v>
      </c>
      <c r="E124" s="9" t="s">
        <v>16</v>
      </c>
      <c r="F124" s="10" t="n">
        <v>1.17</v>
      </c>
      <c r="G124" s="9" t="s">
        <v>281</v>
      </c>
      <c r="H124" s="9" t="s">
        <v>286</v>
      </c>
      <c r="I124" s="9" t="s">
        <v>122</v>
      </c>
      <c r="J124" s="9" t="s">
        <v>283</v>
      </c>
      <c r="K124" s="31" t="n">
        <v>1</v>
      </c>
      <c r="L124" s="31" t="n">
        <v>0.05</v>
      </c>
      <c r="M124" s="10" t="n">
        <v>16.78</v>
      </c>
      <c r="N124" s="10" t="n">
        <v>0.84</v>
      </c>
      <c r="O124" s="9" t="s">
        <v>287</v>
      </c>
      <c r="P124" s="11" t="n">
        <f aca="false">IF(J124="%mo","",IF(G124="MO",IF(J124="hh",INDEX(MO_HH,MATCH(I124,MO_CAT,0)),M124*P_FACT_IPC),IF(G124="SUBPART",IFERROR(INDEX(APU_SUBP!$C$7:$C$40,MATCH(H124,APU_SUBP!$A$7:$A$40,0)),M124*P_FACT_IPC),M124*P_FACT_IPC)))</f>
        <v>12.5</v>
      </c>
      <c r="Q124" s="11" t="n">
        <f aca="false">IF(J124="%mo",L124/100*SUMIFS($R$7:$R$782,$A$7:$A$782,A124),L124*P124)</f>
        <v>0.625</v>
      </c>
      <c r="R124" s="11" t="n">
        <f aca="false">IF(G124="MO",L124*P124,0)</f>
        <v>0.625</v>
      </c>
    </row>
    <row r="125" customFormat="false" ht="15" hidden="false" customHeight="false" outlineLevel="0" collapsed="false">
      <c r="A125" s="7" t="s">
        <v>443</v>
      </c>
      <c r="B125" s="7" t="s">
        <v>270</v>
      </c>
      <c r="C125" s="7" t="s">
        <v>444</v>
      </c>
      <c r="D125" s="7" t="s">
        <v>394</v>
      </c>
      <c r="E125" s="7" t="s">
        <v>16</v>
      </c>
      <c r="F125" s="11" t="n">
        <v>1.17</v>
      </c>
      <c r="G125" s="7" t="s">
        <v>307</v>
      </c>
      <c r="H125" s="7" t="s">
        <v>395</v>
      </c>
      <c r="I125" s="7" t="s">
        <v>396</v>
      </c>
      <c r="J125" s="7" t="s">
        <v>361</v>
      </c>
      <c r="K125" s="22"/>
      <c r="L125" s="22" t="n">
        <v>0.11</v>
      </c>
      <c r="M125" s="11" t="n">
        <v>1.16</v>
      </c>
      <c r="N125" s="11" t="n">
        <v>0.13</v>
      </c>
      <c r="O125" s="7"/>
      <c r="P125" s="11" t="n">
        <f aca="false">IF(J125="%mo","",IF(G125="MO",IF(J125="hh",INDEX(MO_HH,MATCH(I125,MO_CAT,0)),M125*P_FACT_IPC),IF(G125="SUBPART",IFERROR(INDEX(APU_SUBP!$C$7:$C$40,MATCH(H125,APU_SUBP!$A$7:$A$40,0)),M125*P_FACT_IPC),M125*P_FACT_IPC)))</f>
        <v>1.49210317559198</v>
      </c>
      <c r="Q125" s="11" t="n">
        <f aca="false">IF(J125="%mo",L125/100*SUMIFS($R$7:$R$782,$A$7:$A$782,A125),L125*P125)</f>
        <v>0.164131349315118</v>
      </c>
      <c r="R125" s="11" t="n">
        <f aca="false">IF(G125="MO",L125*P125,0)</f>
        <v>0</v>
      </c>
    </row>
    <row r="126" customFormat="false" ht="15" hidden="false" customHeight="false" outlineLevel="0" collapsed="false">
      <c r="A126" s="9" t="s">
        <v>443</v>
      </c>
      <c r="B126" s="9" t="s">
        <v>270</v>
      </c>
      <c r="C126" s="9" t="s">
        <v>444</v>
      </c>
      <c r="D126" s="9" t="s">
        <v>394</v>
      </c>
      <c r="E126" s="9" t="s">
        <v>16</v>
      </c>
      <c r="F126" s="10" t="n">
        <v>1.17</v>
      </c>
      <c r="G126" s="9" t="s">
        <v>307</v>
      </c>
      <c r="H126" s="9" t="s">
        <v>397</v>
      </c>
      <c r="I126" s="9" t="s">
        <v>398</v>
      </c>
      <c r="J126" s="9" t="s">
        <v>16</v>
      </c>
      <c r="K126" s="31"/>
      <c r="L126" s="31" t="n">
        <v>1</v>
      </c>
      <c r="M126" s="10" t="n">
        <v>0.05</v>
      </c>
      <c r="N126" s="10" t="n">
        <v>0.05</v>
      </c>
      <c r="O126" s="9"/>
      <c r="P126" s="11" t="n">
        <f aca="false">IF(J126="%mo","",IF(G126="MO",IF(J126="hh",INDEX(MO_HH,MATCH(I126,MO_CAT,0)),M126*P_FACT_IPC),IF(G126="SUBPART",IFERROR(INDEX(APU_SUBP!$C$7:$C$40,MATCH(H126,APU_SUBP!$A$7:$A$40,0)),M126*P_FACT_IPC),M126*P_FACT_IPC)))</f>
        <v>0.0643147920513786</v>
      </c>
      <c r="Q126" s="11" t="n">
        <f aca="false">IF(J126="%mo",L126/100*SUMIFS($R$7:$R$782,$A$7:$A$782,A126),L126*P126)</f>
        <v>0.0643147920513786</v>
      </c>
      <c r="R126" s="11" t="n">
        <f aca="false">IF(G126="MO",L126*P126,0)</f>
        <v>0</v>
      </c>
    </row>
    <row r="127" customFormat="false" ht="15" hidden="false" customHeight="false" outlineLevel="0" collapsed="false">
      <c r="A127" s="7" t="s">
        <v>443</v>
      </c>
      <c r="B127" s="7" t="s">
        <v>270</v>
      </c>
      <c r="C127" s="7" t="s">
        <v>444</v>
      </c>
      <c r="D127" s="7" t="s">
        <v>394</v>
      </c>
      <c r="E127" s="7" t="s">
        <v>16</v>
      </c>
      <c r="F127" s="11" t="n">
        <v>1.17</v>
      </c>
      <c r="G127" s="7" t="s">
        <v>288</v>
      </c>
      <c r="H127" s="7" t="s">
        <v>327</v>
      </c>
      <c r="I127" s="7" t="s">
        <v>328</v>
      </c>
      <c r="J127" s="7" t="s">
        <v>329</v>
      </c>
      <c r="K127" s="22"/>
      <c r="L127" s="22" t="n">
        <v>3</v>
      </c>
      <c r="M127" s="11" t="n">
        <v>0.93</v>
      </c>
      <c r="N127" s="11" t="n">
        <v>0.03</v>
      </c>
      <c r="O127" s="7"/>
      <c r="P127" s="11" t="str">
        <f aca="false">IF(J127="%mo","",IF(G127="MO",IF(J127="hh",INDEX(MO_HH,MATCH(I127,MO_CAT,0)),M127*P_FACT_IPC),IF(G127="SUBPART",IFERROR(INDEX(APU_SUBP!$C$7:$C$40,MATCH(H127,APU_SUBP!$A$7:$A$40,0)),M127*P_FACT_IPC),M127*P_FACT_IPC)))</f>
        <v/>
      </c>
      <c r="Q127" s="11" t="n">
        <f aca="false">IF(J127="%mo",L127/100*SUMIFS($R$7:$R$782,$A$7:$A$782,A127),L127*P127)</f>
        <v>0.0208238974970203</v>
      </c>
      <c r="R127" s="11" t="n">
        <f aca="false">IF(G127="MO",L127*P127,0)</f>
        <v>0</v>
      </c>
    </row>
    <row r="128" customFormat="false" ht="15" hidden="false" customHeight="false" outlineLevel="0" collapsed="false">
      <c r="A128" s="9" t="s">
        <v>443</v>
      </c>
      <c r="B128" s="9" t="s">
        <v>270</v>
      </c>
      <c r="C128" s="9" t="s">
        <v>444</v>
      </c>
      <c r="D128" s="9" t="s">
        <v>394</v>
      </c>
      <c r="E128" s="9" t="s">
        <v>16</v>
      </c>
      <c r="F128" s="10" t="n">
        <v>1.17</v>
      </c>
      <c r="G128" s="9" t="s">
        <v>370</v>
      </c>
      <c r="H128" s="9" t="s">
        <v>399</v>
      </c>
      <c r="I128" s="9" t="s">
        <v>400</v>
      </c>
      <c r="J128" s="9" t="s">
        <v>273</v>
      </c>
      <c r="K128" s="31"/>
      <c r="L128" s="31" t="n">
        <v>0.0012</v>
      </c>
      <c r="M128" s="10" t="n">
        <v>24.35</v>
      </c>
      <c r="N128" s="10" t="n">
        <v>0.03</v>
      </c>
      <c r="O128" s="9"/>
      <c r="P128" s="11" t="n">
        <f aca="false">IF(J128="%mo","",IF(G128="MO",IF(J128="hh",INDEX(MO_HH,MATCH(I128,MO_CAT,0)),M128*P_FACT_IPC),IF(G128="SUBPART",IFERROR(INDEX(APU_SUBP!$C$7:$C$40,MATCH(H128,APU_SUBP!$A$7:$A$40,0)),M128*P_FACT_IPC),M128*P_FACT_IPC)))</f>
        <v>30.5614930535066</v>
      </c>
      <c r="Q128" s="11" t="n">
        <f aca="false">IF(J128="%mo",L128/100*SUMIFS($R$7:$R$782,$A$7:$A$782,A128),L128*P128)</f>
        <v>0.036673791664208</v>
      </c>
      <c r="R128" s="11" t="n">
        <f aca="false">IF(G128="MO",L128*P128,0)</f>
        <v>0</v>
      </c>
    </row>
    <row r="129" customFormat="false" ht="15" hidden="false" customHeight="false" outlineLevel="0" collapsed="false">
      <c r="A129" s="7" t="s">
        <v>445</v>
      </c>
      <c r="B129" s="7" t="s">
        <v>270</v>
      </c>
      <c r="C129" s="7" t="s">
        <v>446</v>
      </c>
      <c r="D129" s="7" t="s">
        <v>403</v>
      </c>
      <c r="E129" s="7" t="s">
        <v>16</v>
      </c>
      <c r="F129" s="11" t="n">
        <v>0.16</v>
      </c>
      <c r="G129" s="7" t="s">
        <v>281</v>
      </c>
      <c r="H129" s="7" t="s">
        <v>285</v>
      </c>
      <c r="I129" s="7" t="s">
        <v>117</v>
      </c>
      <c r="J129" s="7" t="s">
        <v>283</v>
      </c>
      <c r="K129" s="22" t="n">
        <v>1</v>
      </c>
      <c r="L129" s="22" t="n">
        <v>0.0013</v>
      </c>
      <c r="M129" s="11" t="n">
        <v>18.56</v>
      </c>
      <c r="N129" s="11" t="n">
        <v>0.02</v>
      </c>
      <c r="O129" s="7" t="s">
        <v>284</v>
      </c>
      <c r="P129" s="11" t="n">
        <f aca="false">IF(J129="%mo","",IF(G129="MO",IF(J129="hh",INDEX(MO_HH,MATCH(I129,MO_CAT,0)),M129*P_FACT_IPC),IF(G129="SUBPART",IFERROR(INDEX(APU_SUBP!$C$7:$C$40,MATCH(H129,APU_SUBP!$A$7:$A$40,0)),M129*P_FACT_IPC),M129*P_FACT_IPC)))</f>
        <v>13.8259833134684</v>
      </c>
      <c r="Q129" s="11" t="n">
        <f aca="false">IF(J129="%mo",L129/100*SUMIFS($R$7:$R$782,$A$7:$A$782,A129),L129*P129)</f>
        <v>0.0179737783075089</v>
      </c>
      <c r="R129" s="11" t="n">
        <f aca="false">IF(G129="MO",L129*P129,0)</f>
        <v>0.0179737783075089</v>
      </c>
    </row>
    <row r="130" customFormat="false" ht="15" hidden="false" customHeight="false" outlineLevel="0" collapsed="false">
      <c r="A130" s="9" t="s">
        <v>445</v>
      </c>
      <c r="B130" s="9" t="s">
        <v>270</v>
      </c>
      <c r="C130" s="9" t="s">
        <v>446</v>
      </c>
      <c r="D130" s="9" t="s">
        <v>403</v>
      </c>
      <c r="E130" s="9" t="s">
        <v>16</v>
      </c>
      <c r="F130" s="10" t="n">
        <v>0.16</v>
      </c>
      <c r="G130" s="9" t="s">
        <v>281</v>
      </c>
      <c r="H130" s="9" t="s">
        <v>286</v>
      </c>
      <c r="I130" s="9" t="s">
        <v>122</v>
      </c>
      <c r="J130" s="9" t="s">
        <v>283</v>
      </c>
      <c r="K130" s="31" t="n">
        <v>2</v>
      </c>
      <c r="L130" s="31" t="n">
        <v>0.0027</v>
      </c>
      <c r="M130" s="10" t="n">
        <v>16.78</v>
      </c>
      <c r="N130" s="10" t="n">
        <v>0.05</v>
      </c>
      <c r="O130" s="9" t="s">
        <v>287</v>
      </c>
      <c r="P130" s="11" t="n">
        <f aca="false">IF(J130="%mo","",IF(G130="MO",IF(J130="hh",INDEX(MO_HH,MATCH(I130,MO_CAT,0)),M130*P_FACT_IPC),IF(G130="SUBPART",IFERROR(INDEX(APU_SUBP!$C$7:$C$40,MATCH(H130,APU_SUBP!$A$7:$A$40,0)),M130*P_FACT_IPC),M130*P_FACT_IPC)))</f>
        <v>12.5</v>
      </c>
      <c r="Q130" s="11" t="n">
        <f aca="false">IF(J130="%mo",L130/100*SUMIFS($R$7:$R$782,$A$7:$A$782,A130),L130*P130)</f>
        <v>0.03375</v>
      </c>
      <c r="R130" s="11" t="n">
        <f aca="false">IF(G130="MO",L130*P130,0)</f>
        <v>0.03375</v>
      </c>
    </row>
    <row r="131" customFormat="false" ht="15" hidden="false" customHeight="false" outlineLevel="0" collapsed="false">
      <c r="A131" s="7" t="s">
        <v>445</v>
      </c>
      <c r="B131" s="7" t="s">
        <v>270</v>
      </c>
      <c r="C131" s="7" t="s">
        <v>446</v>
      </c>
      <c r="D131" s="7" t="s">
        <v>403</v>
      </c>
      <c r="E131" s="7" t="s">
        <v>16</v>
      </c>
      <c r="F131" s="11" t="n">
        <v>0.16</v>
      </c>
      <c r="G131" s="7" t="s">
        <v>288</v>
      </c>
      <c r="H131" s="7" t="s">
        <v>404</v>
      </c>
      <c r="I131" s="7" t="s">
        <v>405</v>
      </c>
      <c r="J131" s="7" t="s">
        <v>291</v>
      </c>
      <c r="K131" s="22" t="n">
        <v>1</v>
      </c>
      <c r="L131" s="22" t="n">
        <v>0.0013</v>
      </c>
      <c r="M131" s="11" t="n">
        <v>65.48</v>
      </c>
      <c r="N131" s="11" t="n">
        <v>0.09</v>
      </c>
      <c r="O131" s="7"/>
      <c r="P131" s="11" t="n">
        <f aca="false">IF(J131="%mo","",IF(G131="MO",IF(J131="hh",INDEX(MO_HH,MATCH(I131,MO_CAT,0)),M131*P_FACT_IPC),IF(G131="SUBPART",IFERROR(INDEX(APU_SUBP!$C$7:$C$40,MATCH(H131,APU_SUBP!$A$7:$A$40,0)),M131*P_FACT_IPC),M131*P_FACT_IPC)))</f>
        <v>84.2266516704854</v>
      </c>
      <c r="Q131" s="11" t="n">
        <f aca="false">IF(J131="%mo",L131/100*SUMIFS($R$7:$R$782,$A$7:$A$782,A131),L131*P131)</f>
        <v>0.109494647171631</v>
      </c>
      <c r="R131" s="11" t="n">
        <f aca="false">IF(G131="MO",L131*P131,0)</f>
        <v>0</v>
      </c>
    </row>
    <row r="132" customFormat="false" ht="15" hidden="false" customHeight="false" outlineLevel="0" collapsed="false">
      <c r="A132" s="9" t="s">
        <v>447</v>
      </c>
      <c r="B132" s="9" t="s">
        <v>270</v>
      </c>
      <c r="C132" s="9" t="s">
        <v>448</v>
      </c>
      <c r="D132" s="9" t="s">
        <v>408</v>
      </c>
      <c r="E132" s="9" t="s">
        <v>16</v>
      </c>
      <c r="F132" s="10" t="n">
        <v>0.34</v>
      </c>
      <c r="G132" s="9" t="s">
        <v>281</v>
      </c>
      <c r="H132" s="9" t="s">
        <v>282</v>
      </c>
      <c r="I132" s="9" t="s">
        <v>107</v>
      </c>
      <c r="J132" s="9" t="s">
        <v>283</v>
      </c>
      <c r="K132" s="31" t="n">
        <v>0.1</v>
      </c>
      <c r="L132" s="31" t="n">
        <v>0.0007</v>
      </c>
      <c r="M132" s="10" t="n">
        <v>25.81</v>
      </c>
      <c r="N132" s="10" t="n">
        <v>0.02</v>
      </c>
      <c r="O132" s="9" t="s">
        <v>284</v>
      </c>
      <c r="P132" s="11" t="n">
        <f aca="false">IF(J132="%mo","",IF(G132="MO",IF(J132="hh",INDEX(MO_HH,MATCH(I132,MO_CAT,0)),M132*P_FACT_IPC),IF(G132="SUBPART",IFERROR(INDEX(APU_SUBP!$C$7:$C$40,MATCH(H132,APU_SUBP!$A$7:$A$40,0)),M132*P_FACT_IPC),M132*P_FACT_IPC)))</f>
        <v>19.226758045292</v>
      </c>
      <c r="Q132" s="11" t="n">
        <f aca="false">IF(J132="%mo",L132/100*SUMIFS($R$7:$R$782,$A$7:$A$782,A132),L132*P132)</f>
        <v>0.0134587306317044</v>
      </c>
      <c r="R132" s="11" t="n">
        <f aca="false">IF(G132="MO",L132*P132,0)</f>
        <v>0.0134587306317044</v>
      </c>
    </row>
    <row r="133" customFormat="false" ht="15" hidden="false" customHeight="false" outlineLevel="0" collapsed="false">
      <c r="A133" s="7" t="s">
        <v>447</v>
      </c>
      <c r="B133" s="7" t="s">
        <v>270</v>
      </c>
      <c r="C133" s="7" t="s">
        <v>448</v>
      </c>
      <c r="D133" s="7" t="s">
        <v>408</v>
      </c>
      <c r="E133" s="7" t="s">
        <v>16</v>
      </c>
      <c r="F133" s="11" t="n">
        <v>0.34</v>
      </c>
      <c r="G133" s="7" t="s">
        <v>281</v>
      </c>
      <c r="H133" s="7" t="s">
        <v>286</v>
      </c>
      <c r="I133" s="7" t="s">
        <v>122</v>
      </c>
      <c r="J133" s="7" t="s">
        <v>283</v>
      </c>
      <c r="K133" s="22" t="n">
        <v>1</v>
      </c>
      <c r="L133" s="22" t="n">
        <v>0.0067</v>
      </c>
      <c r="M133" s="11" t="n">
        <v>16.78</v>
      </c>
      <c r="N133" s="11" t="n">
        <v>0.11</v>
      </c>
      <c r="O133" s="7" t="s">
        <v>287</v>
      </c>
      <c r="P133" s="11" t="n">
        <f aca="false">IF(J133="%mo","",IF(G133="MO",IF(J133="hh",INDEX(MO_HH,MATCH(I133,MO_CAT,0)),M133*P_FACT_IPC),IF(G133="SUBPART",IFERROR(INDEX(APU_SUBP!$C$7:$C$40,MATCH(H133,APU_SUBP!$A$7:$A$40,0)),M133*P_FACT_IPC),M133*P_FACT_IPC)))</f>
        <v>12.5</v>
      </c>
      <c r="Q133" s="11" t="n">
        <f aca="false">IF(J133="%mo",L133/100*SUMIFS($R$7:$R$782,$A$7:$A$782,A133),L133*P133)</f>
        <v>0.08375</v>
      </c>
      <c r="R133" s="11" t="n">
        <f aca="false">IF(G133="MO",L133*P133,0)</f>
        <v>0.08375</v>
      </c>
    </row>
    <row r="134" customFormat="false" ht="15" hidden="false" customHeight="false" outlineLevel="0" collapsed="false">
      <c r="A134" s="9" t="s">
        <v>447</v>
      </c>
      <c r="B134" s="9" t="s">
        <v>270</v>
      </c>
      <c r="C134" s="9" t="s">
        <v>448</v>
      </c>
      <c r="D134" s="9" t="s">
        <v>408</v>
      </c>
      <c r="E134" s="9" t="s">
        <v>16</v>
      </c>
      <c r="F134" s="10" t="n">
        <v>0.34</v>
      </c>
      <c r="G134" s="9" t="s">
        <v>307</v>
      </c>
      <c r="H134" s="9" t="s">
        <v>409</v>
      </c>
      <c r="I134" s="9" t="s">
        <v>410</v>
      </c>
      <c r="J134" s="9" t="s">
        <v>411</v>
      </c>
      <c r="K134" s="31"/>
      <c r="L134" s="31" t="n">
        <v>0.002</v>
      </c>
      <c r="M134" s="10" t="n">
        <v>107.04</v>
      </c>
      <c r="N134" s="10" t="n">
        <v>0.21</v>
      </c>
      <c r="O134" s="9"/>
      <c r="P134" s="11" t="n">
        <f aca="false">IF(J134="%mo","",IF(G134="MO",IF(J134="hh",INDEX(MO_HH,MATCH(I134,MO_CAT,0)),M134*P_FACT_IPC),IF(G134="SUBPART",IFERROR(INDEX(APU_SUBP!$C$7:$C$40,MATCH(H134,APU_SUBP!$A$7:$A$40,0)),M134*P_FACT_IPC),M134*P_FACT_IPC)))</f>
        <v>137.685106823591</v>
      </c>
      <c r="Q134" s="11" t="n">
        <f aca="false">IF(J134="%mo",L134/100*SUMIFS($R$7:$R$782,$A$7:$A$782,A134),L134*P134)</f>
        <v>0.275370213647183</v>
      </c>
      <c r="R134" s="11" t="n">
        <f aca="false">IF(G134="MO",L134*P134,0)</f>
        <v>0</v>
      </c>
    </row>
    <row r="135" customFormat="false" ht="15" hidden="false" customHeight="false" outlineLevel="0" collapsed="false">
      <c r="A135" s="7" t="s">
        <v>447</v>
      </c>
      <c r="B135" s="7" t="s">
        <v>270</v>
      </c>
      <c r="C135" s="7" t="s">
        <v>448</v>
      </c>
      <c r="D135" s="7" t="s">
        <v>408</v>
      </c>
      <c r="E135" s="7" t="s">
        <v>16</v>
      </c>
      <c r="F135" s="11" t="n">
        <v>0.34</v>
      </c>
      <c r="G135" s="7" t="s">
        <v>288</v>
      </c>
      <c r="H135" s="7" t="s">
        <v>327</v>
      </c>
      <c r="I135" s="7" t="s">
        <v>328</v>
      </c>
      <c r="J135" s="7" t="s">
        <v>329</v>
      </c>
      <c r="K135" s="22"/>
      <c r="L135" s="22" t="n">
        <v>3</v>
      </c>
      <c r="M135" s="11" t="n">
        <v>0.13</v>
      </c>
      <c r="N135" s="11" t="n">
        <v>0.0039</v>
      </c>
      <c r="O135" s="7"/>
      <c r="P135" s="11" t="str">
        <f aca="false">IF(J135="%mo","",IF(G135="MO",IF(J135="hh",INDEX(MO_HH,MATCH(I135,MO_CAT,0)),M135*P_FACT_IPC),IF(G135="SUBPART",IFERROR(INDEX(APU_SUBP!$C$7:$C$40,MATCH(H135,APU_SUBP!$A$7:$A$40,0)),M135*P_FACT_IPC),M135*P_FACT_IPC)))</f>
        <v/>
      </c>
      <c r="Q135" s="11" t="n">
        <f aca="false">IF(J135="%mo",L135/100*SUMIFS($R$7:$R$782,$A$7:$A$782,A135),L135*P135)</f>
        <v>0.00291626191895113</v>
      </c>
      <c r="R135" s="11" t="n">
        <f aca="false">IF(G135="MO",L135*P135,0)</f>
        <v>0</v>
      </c>
    </row>
    <row r="136" customFormat="false" ht="15" hidden="false" customHeight="false" outlineLevel="0" collapsed="false">
      <c r="A136" s="9" t="s">
        <v>449</v>
      </c>
      <c r="B136" s="9" t="s">
        <v>270</v>
      </c>
      <c r="C136" s="9" t="s">
        <v>450</v>
      </c>
      <c r="D136" s="9" t="s">
        <v>414</v>
      </c>
      <c r="E136" s="9" t="s">
        <v>341</v>
      </c>
      <c r="F136" s="10" t="n">
        <v>0.81</v>
      </c>
      <c r="G136" s="9" t="s">
        <v>281</v>
      </c>
      <c r="H136" s="9" t="s">
        <v>282</v>
      </c>
      <c r="I136" s="9" t="s">
        <v>107</v>
      </c>
      <c r="J136" s="9" t="s">
        <v>283</v>
      </c>
      <c r="K136" s="31" t="n">
        <v>0.1</v>
      </c>
      <c r="L136" s="31" t="n">
        <v>0.004</v>
      </c>
      <c r="M136" s="10" t="n">
        <v>25.81</v>
      </c>
      <c r="N136" s="10" t="n">
        <v>0.1</v>
      </c>
      <c r="O136" s="9" t="s">
        <v>284</v>
      </c>
      <c r="P136" s="11" t="n">
        <f aca="false">IF(J136="%mo","",IF(G136="MO",IF(J136="hh",INDEX(MO_HH,MATCH(I136,MO_CAT,0)),M136*P_FACT_IPC),IF(G136="SUBPART",IFERROR(INDEX(APU_SUBP!$C$7:$C$40,MATCH(H136,APU_SUBP!$A$7:$A$40,0)),M136*P_FACT_IPC),M136*P_FACT_IPC)))</f>
        <v>19.226758045292</v>
      </c>
      <c r="Q136" s="11" t="n">
        <f aca="false">IF(J136="%mo",L136/100*SUMIFS($R$7:$R$782,$A$7:$A$782,A136),L136*P136)</f>
        <v>0.0769070321811681</v>
      </c>
      <c r="R136" s="11" t="n">
        <f aca="false">IF(G136="MO",L136*P136,0)</f>
        <v>0.0769070321811681</v>
      </c>
    </row>
    <row r="137" customFormat="false" ht="15" hidden="false" customHeight="false" outlineLevel="0" collapsed="false">
      <c r="A137" s="7" t="s">
        <v>449</v>
      </c>
      <c r="B137" s="7" t="s">
        <v>270</v>
      </c>
      <c r="C137" s="7" t="s">
        <v>450</v>
      </c>
      <c r="D137" s="7" t="s">
        <v>414</v>
      </c>
      <c r="E137" s="7" t="s">
        <v>341</v>
      </c>
      <c r="F137" s="11" t="n">
        <v>0.81</v>
      </c>
      <c r="G137" s="7" t="s">
        <v>281</v>
      </c>
      <c r="H137" s="7" t="s">
        <v>286</v>
      </c>
      <c r="I137" s="7" t="s">
        <v>122</v>
      </c>
      <c r="J137" s="7" t="s">
        <v>283</v>
      </c>
      <c r="K137" s="22" t="n">
        <v>1</v>
      </c>
      <c r="L137" s="22" t="n">
        <v>0.04</v>
      </c>
      <c r="M137" s="11" t="n">
        <v>16.78</v>
      </c>
      <c r="N137" s="11" t="n">
        <v>0.67</v>
      </c>
      <c r="O137" s="7" t="s">
        <v>287</v>
      </c>
      <c r="P137" s="11" t="n">
        <f aca="false">IF(J137="%mo","",IF(G137="MO",IF(J137="hh",INDEX(MO_HH,MATCH(I137,MO_CAT,0)),M137*P_FACT_IPC),IF(G137="SUBPART",IFERROR(INDEX(APU_SUBP!$C$7:$C$40,MATCH(H137,APU_SUBP!$A$7:$A$40,0)),M137*P_FACT_IPC),M137*P_FACT_IPC)))</f>
        <v>12.5</v>
      </c>
      <c r="Q137" s="11" t="n">
        <f aca="false">IF(J137="%mo",L137/100*SUMIFS($R$7:$R$782,$A$7:$A$782,A137),L137*P137)</f>
        <v>0.5</v>
      </c>
      <c r="R137" s="11" t="n">
        <f aca="false">IF(G137="MO",L137*P137,0)</f>
        <v>0.5</v>
      </c>
    </row>
    <row r="138" customFormat="false" ht="15" hidden="false" customHeight="false" outlineLevel="0" collapsed="false">
      <c r="A138" s="9" t="s">
        <v>449</v>
      </c>
      <c r="B138" s="9" t="s">
        <v>270</v>
      </c>
      <c r="C138" s="9" t="s">
        <v>450</v>
      </c>
      <c r="D138" s="9" t="s">
        <v>414</v>
      </c>
      <c r="E138" s="9" t="s">
        <v>341</v>
      </c>
      <c r="F138" s="10" t="n">
        <v>0.81</v>
      </c>
      <c r="G138" s="9" t="s">
        <v>288</v>
      </c>
      <c r="H138" s="9" t="s">
        <v>327</v>
      </c>
      <c r="I138" s="9" t="s">
        <v>328</v>
      </c>
      <c r="J138" s="9" t="s">
        <v>329</v>
      </c>
      <c r="K138" s="31"/>
      <c r="L138" s="31" t="n">
        <v>3</v>
      </c>
      <c r="M138" s="10" t="n">
        <v>0.77</v>
      </c>
      <c r="N138" s="10" t="n">
        <v>0.02</v>
      </c>
      <c r="O138" s="9"/>
      <c r="P138" s="11" t="str">
        <f aca="false">IF(J138="%mo","",IF(G138="MO",IF(J138="hh",INDEX(MO_HH,MATCH(I138,MO_CAT,0)),M138*P_FACT_IPC),IF(G138="SUBPART",IFERROR(INDEX(APU_SUBP!$C$7:$C$40,MATCH(H138,APU_SUBP!$A$7:$A$40,0)),M138*P_FACT_IPC),M138*P_FACT_IPC)))</f>
        <v/>
      </c>
      <c r="Q138" s="11" t="n">
        <f aca="false">IF(J138="%mo",L138/100*SUMIFS($R$7:$R$782,$A$7:$A$782,A138),L138*P138)</f>
        <v>0.017307210965435</v>
      </c>
      <c r="R138" s="11" t="n">
        <f aca="false">IF(G138="MO",L138*P138,0)</f>
        <v>0</v>
      </c>
    </row>
    <row r="139" customFormat="false" ht="15" hidden="false" customHeight="false" outlineLevel="0" collapsed="false">
      <c r="A139" s="7" t="s">
        <v>449</v>
      </c>
      <c r="B139" s="7" t="s">
        <v>270</v>
      </c>
      <c r="C139" s="7" t="s">
        <v>450</v>
      </c>
      <c r="D139" s="7" t="s">
        <v>414</v>
      </c>
      <c r="E139" s="7" t="s">
        <v>341</v>
      </c>
      <c r="F139" s="11" t="n">
        <v>0.81</v>
      </c>
      <c r="G139" s="7" t="s">
        <v>370</v>
      </c>
      <c r="H139" s="7" t="s">
        <v>415</v>
      </c>
      <c r="I139" s="7" t="s">
        <v>416</v>
      </c>
      <c r="J139" s="7" t="s">
        <v>273</v>
      </c>
      <c r="K139" s="22"/>
      <c r="L139" s="22" t="n">
        <v>0.001</v>
      </c>
      <c r="M139" s="11" t="n">
        <v>21.15</v>
      </c>
      <c r="N139" s="11" t="n">
        <v>0.02</v>
      </c>
      <c r="O139" s="7"/>
      <c r="P139" s="11" t="n">
        <f aca="false">IF(J139="%mo","",IF(G139="MO",IF(J139="hh",INDEX(MO_HH,MATCH(I139,MO_CAT,0)),M139*P_FACT_IPC),IF(G139="SUBPART",IFERROR(INDEX(APU_SUBP!$C$7:$C$40,MATCH(H139,APU_SUBP!$A$7:$A$40,0)),M139*P_FACT_IPC),M139*P_FACT_IPC)))</f>
        <v>22.7438822970285</v>
      </c>
      <c r="Q139" s="11" t="n">
        <f aca="false">IF(J139="%mo",L139/100*SUMIFS($R$7:$R$782,$A$7:$A$782,A139),L139*P139)</f>
        <v>0.0227438822970285</v>
      </c>
      <c r="R139" s="11" t="n">
        <f aca="false">IF(G139="MO",L139*P139,0)</f>
        <v>0</v>
      </c>
    </row>
    <row r="140" customFormat="false" ht="15" hidden="false" customHeight="false" outlineLevel="0" collapsed="false">
      <c r="A140" s="9" t="s">
        <v>451</v>
      </c>
      <c r="B140" s="9" t="s">
        <v>270</v>
      </c>
      <c r="C140" s="9" t="s">
        <v>452</v>
      </c>
      <c r="D140" s="9" t="s">
        <v>419</v>
      </c>
      <c r="E140" s="9" t="s">
        <v>16</v>
      </c>
      <c r="F140" s="10" t="n">
        <v>1.48</v>
      </c>
      <c r="G140" s="9" t="s">
        <v>281</v>
      </c>
      <c r="H140" s="9" t="s">
        <v>282</v>
      </c>
      <c r="I140" s="9" t="s">
        <v>107</v>
      </c>
      <c r="J140" s="9" t="s">
        <v>283</v>
      </c>
      <c r="K140" s="31" t="n">
        <v>1</v>
      </c>
      <c r="L140" s="31" t="n">
        <v>0.001</v>
      </c>
      <c r="M140" s="10" t="n">
        <v>25.81</v>
      </c>
      <c r="N140" s="10" t="n">
        <v>0.03</v>
      </c>
      <c r="O140" s="9" t="s">
        <v>284</v>
      </c>
      <c r="P140" s="11" t="n">
        <f aca="false">IF(J140="%mo","",IF(G140="MO",IF(J140="hh",INDEX(MO_HH,MATCH(I140,MO_CAT,0)),M140*P_FACT_IPC),IF(G140="SUBPART",IFERROR(INDEX(APU_SUBP!$C$7:$C$40,MATCH(H140,APU_SUBP!$A$7:$A$40,0)),M140*P_FACT_IPC),M140*P_FACT_IPC)))</f>
        <v>19.226758045292</v>
      </c>
      <c r="Q140" s="11" t="n">
        <f aca="false">IF(J140="%mo",L140/100*SUMIFS($R$7:$R$782,$A$7:$A$782,A140),L140*P140)</f>
        <v>0.019226758045292</v>
      </c>
      <c r="R140" s="11" t="n">
        <f aca="false">IF(G140="MO",L140*P140,0)</f>
        <v>0.019226758045292</v>
      </c>
    </row>
    <row r="141" customFormat="false" ht="15" hidden="false" customHeight="false" outlineLevel="0" collapsed="false">
      <c r="A141" s="7" t="s">
        <v>451</v>
      </c>
      <c r="B141" s="7" t="s">
        <v>270</v>
      </c>
      <c r="C141" s="7" t="s">
        <v>452</v>
      </c>
      <c r="D141" s="7" t="s">
        <v>419</v>
      </c>
      <c r="E141" s="7" t="s">
        <v>16</v>
      </c>
      <c r="F141" s="11" t="n">
        <v>1.48</v>
      </c>
      <c r="G141" s="7" t="s">
        <v>281</v>
      </c>
      <c r="H141" s="7" t="s">
        <v>286</v>
      </c>
      <c r="I141" s="7" t="s">
        <v>122</v>
      </c>
      <c r="J141" s="7" t="s">
        <v>283</v>
      </c>
      <c r="K141" s="22" t="n">
        <v>50</v>
      </c>
      <c r="L141" s="22" t="n">
        <v>0.05</v>
      </c>
      <c r="M141" s="11" t="n">
        <v>16.78</v>
      </c>
      <c r="N141" s="11" t="n">
        <v>0.84</v>
      </c>
      <c r="O141" s="7" t="s">
        <v>287</v>
      </c>
      <c r="P141" s="11" t="n">
        <f aca="false">IF(J141="%mo","",IF(G141="MO",IF(J141="hh",INDEX(MO_HH,MATCH(I141,MO_CAT,0)),M141*P_FACT_IPC),IF(G141="SUBPART",IFERROR(INDEX(APU_SUBP!$C$7:$C$40,MATCH(H141,APU_SUBP!$A$7:$A$40,0)),M141*P_FACT_IPC),M141*P_FACT_IPC)))</f>
        <v>12.5</v>
      </c>
      <c r="Q141" s="11" t="n">
        <f aca="false">IF(J141="%mo",L141/100*SUMIFS($R$7:$R$782,$A$7:$A$782,A141),L141*P141)</f>
        <v>0.625</v>
      </c>
      <c r="R141" s="11" t="n">
        <f aca="false">IF(G141="MO",L141*P141,0)</f>
        <v>0.625</v>
      </c>
    </row>
    <row r="142" customFormat="false" ht="15" hidden="false" customHeight="false" outlineLevel="0" collapsed="false">
      <c r="A142" s="9" t="s">
        <v>451</v>
      </c>
      <c r="B142" s="9" t="s">
        <v>270</v>
      </c>
      <c r="C142" s="9" t="s">
        <v>452</v>
      </c>
      <c r="D142" s="9" t="s">
        <v>419</v>
      </c>
      <c r="E142" s="9" t="s">
        <v>16</v>
      </c>
      <c r="F142" s="10" t="n">
        <v>1.48</v>
      </c>
      <c r="G142" s="9" t="s">
        <v>307</v>
      </c>
      <c r="H142" s="9" t="s">
        <v>395</v>
      </c>
      <c r="I142" s="9" t="s">
        <v>396</v>
      </c>
      <c r="J142" s="9" t="s">
        <v>361</v>
      </c>
      <c r="K142" s="31"/>
      <c r="L142" s="31" t="n">
        <v>0.5</v>
      </c>
      <c r="M142" s="10" t="n">
        <v>1.16</v>
      </c>
      <c r="N142" s="10" t="n">
        <v>0.58</v>
      </c>
      <c r="O142" s="9"/>
      <c r="P142" s="11" t="n">
        <f aca="false">IF(J142="%mo","",IF(G142="MO",IF(J142="hh",INDEX(MO_HH,MATCH(I142,MO_CAT,0)),M142*P_FACT_IPC),IF(G142="SUBPART",IFERROR(INDEX(APU_SUBP!$C$7:$C$40,MATCH(H142,APU_SUBP!$A$7:$A$40,0)),M142*P_FACT_IPC),M142*P_FACT_IPC)))</f>
        <v>1.49210317559198</v>
      </c>
      <c r="Q142" s="11" t="n">
        <f aca="false">IF(J142="%mo",L142/100*SUMIFS($R$7:$R$782,$A$7:$A$782,A142),L142*P142)</f>
        <v>0.746051587795992</v>
      </c>
      <c r="R142" s="11" t="n">
        <f aca="false">IF(G142="MO",L142*P142,0)</f>
        <v>0</v>
      </c>
    </row>
    <row r="143" customFormat="false" ht="15" hidden="false" customHeight="false" outlineLevel="0" collapsed="false">
      <c r="A143" s="7" t="s">
        <v>451</v>
      </c>
      <c r="B143" s="7" t="s">
        <v>270</v>
      </c>
      <c r="C143" s="7" t="s">
        <v>452</v>
      </c>
      <c r="D143" s="7" t="s">
        <v>419</v>
      </c>
      <c r="E143" s="7" t="s">
        <v>16</v>
      </c>
      <c r="F143" s="11" t="n">
        <v>1.48</v>
      </c>
      <c r="G143" s="7" t="s">
        <v>288</v>
      </c>
      <c r="H143" s="7" t="s">
        <v>327</v>
      </c>
      <c r="I143" s="7" t="s">
        <v>328</v>
      </c>
      <c r="J143" s="7" t="s">
        <v>329</v>
      </c>
      <c r="K143" s="22"/>
      <c r="L143" s="22" t="n">
        <v>3</v>
      </c>
      <c r="M143" s="11" t="n">
        <v>0.87</v>
      </c>
      <c r="N143" s="11" t="n">
        <v>0.03</v>
      </c>
      <c r="O143" s="7"/>
      <c r="P143" s="11" t="str">
        <f aca="false">IF(J143="%mo","",IF(G143="MO",IF(J143="hh",INDEX(MO_HH,MATCH(I143,MO_CAT,0)),M143*P_FACT_IPC),IF(G143="SUBPART",IFERROR(INDEX(APU_SUBP!$C$7:$C$40,MATCH(H143,APU_SUBP!$A$7:$A$40,0)),M143*P_FACT_IPC),M143*P_FACT_IPC)))</f>
        <v/>
      </c>
      <c r="Q143" s="11" t="n">
        <f aca="false">IF(J143="%mo",L143/100*SUMIFS($R$7:$R$782,$A$7:$A$782,A143),L143*P143)</f>
        <v>0.0193268027413588</v>
      </c>
      <c r="R143" s="11" t="n">
        <f aca="false">IF(G143="MO",L143*P143,0)</f>
        <v>0</v>
      </c>
    </row>
    <row r="144" customFormat="false" ht="15" hidden="false" customHeight="false" outlineLevel="0" collapsed="false">
      <c r="A144" s="9" t="s">
        <v>453</v>
      </c>
      <c r="B144" s="9" t="s">
        <v>270</v>
      </c>
      <c r="C144" s="9" t="s">
        <v>454</v>
      </c>
      <c r="D144" s="9" t="s">
        <v>422</v>
      </c>
      <c r="E144" s="9" t="s">
        <v>16</v>
      </c>
      <c r="F144" s="10" t="n">
        <v>1.05</v>
      </c>
      <c r="G144" s="9" t="s">
        <v>281</v>
      </c>
      <c r="H144" s="9" t="s">
        <v>282</v>
      </c>
      <c r="I144" s="9" t="s">
        <v>107</v>
      </c>
      <c r="J144" s="9" t="s">
        <v>283</v>
      </c>
      <c r="K144" s="31" t="n">
        <v>1</v>
      </c>
      <c r="L144" s="31" t="n">
        <v>0.001</v>
      </c>
      <c r="M144" s="10" t="n">
        <v>25.81</v>
      </c>
      <c r="N144" s="10" t="n">
        <v>0.03</v>
      </c>
      <c r="O144" s="9" t="s">
        <v>284</v>
      </c>
      <c r="P144" s="11" t="n">
        <f aca="false">IF(J144="%mo","",IF(G144="MO",IF(J144="hh",INDEX(MO_HH,MATCH(I144,MO_CAT,0)),M144*P_FACT_IPC),IF(G144="SUBPART",IFERROR(INDEX(APU_SUBP!$C$7:$C$40,MATCH(H144,APU_SUBP!$A$7:$A$40,0)),M144*P_FACT_IPC),M144*P_FACT_IPC)))</f>
        <v>19.226758045292</v>
      </c>
      <c r="Q144" s="11" t="n">
        <f aca="false">IF(J144="%mo",L144/100*SUMIFS($R$7:$R$782,$A$7:$A$782,A144),L144*P144)</f>
        <v>0.019226758045292</v>
      </c>
      <c r="R144" s="11" t="n">
        <f aca="false">IF(G144="MO",L144*P144,0)</f>
        <v>0.019226758045292</v>
      </c>
    </row>
    <row r="145" customFormat="false" ht="15" hidden="false" customHeight="false" outlineLevel="0" collapsed="false">
      <c r="A145" s="7" t="s">
        <v>453</v>
      </c>
      <c r="B145" s="7" t="s">
        <v>270</v>
      </c>
      <c r="C145" s="7" t="s">
        <v>454</v>
      </c>
      <c r="D145" s="7" t="s">
        <v>422</v>
      </c>
      <c r="E145" s="7" t="s">
        <v>16</v>
      </c>
      <c r="F145" s="11" t="n">
        <v>1.05</v>
      </c>
      <c r="G145" s="7" t="s">
        <v>281</v>
      </c>
      <c r="H145" s="7" t="s">
        <v>286</v>
      </c>
      <c r="I145" s="7" t="s">
        <v>122</v>
      </c>
      <c r="J145" s="7" t="s">
        <v>283</v>
      </c>
      <c r="K145" s="22" t="n">
        <v>50</v>
      </c>
      <c r="L145" s="22" t="n">
        <v>0.05</v>
      </c>
      <c r="M145" s="11" t="n">
        <v>16.78</v>
      </c>
      <c r="N145" s="11" t="n">
        <v>0.84</v>
      </c>
      <c r="O145" s="7" t="s">
        <v>287</v>
      </c>
      <c r="P145" s="11" t="n">
        <f aca="false">IF(J145="%mo","",IF(G145="MO",IF(J145="hh",INDEX(MO_HH,MATCH(I145,MO_CAT,0)),M145*P_FACT_IPC),IF(G145="SUBPART",IFERROR(INDEX(APU_SUBP!$C$7:$C$40,MATCH(H145,APU_SUBP!$A$7:$A$40,0)),M145*P_FACT_IPC),M145*P_FACT_IPC)))</f>
        <v>12.5</v>
      </c>
      <c r="Q145" s="11" t="n">
        <f aca="false">IF(J145="%mo",L145/100*SUMIFS($R$7:$R$782,$A$7:$A$782,A145),L145*P145)</f>
        <v>0.625</v>
      </c>
      <c r="R145" s="11" t="n">
        <f aca="false">IF(G145="MO",L145*P145,0)</f>
        <v>0.625</v>
      </c>
    </row>
    <row r="146" customFormat="false" ht="15" hidden="false" customHeight="false" outlineLevel="0" collapsed="false">
      <c r="A146" s="9" t="s">
        <v>453</v>
      </c>
      <c r="B146" s="9" t="s">
        <v>270</v>
      </c>
      <c r="C146" s="9" t="s">
        <v>454</v>
      </c>
      <c r="D146" s="9" t="s">
        <v>422</v>
      </c>
      <c r="E146" s="9" t="s">
        <v>16</v>
      </c>
      <c r="F146" s="10" t="n">
        <v>1.05</v>
      </c>
      <c r="G146" s="9" t="s">
        <v>307</v>
      </c>
      <c r="H146" s="9" t="s">
        <v>423</v>
      </c>
      <c r="I146" s="9" t="s">
        <v>424</v>
      </c>
      <c r="J146" s="9" t="s">
        <v>21</v>
      </c>
      <c r="K146" s="31"/>
      <c r="L146" s="31" t="n">
        <v>0.01</v>
      </c>
      <c r="M146" s="10" t="n">
        <v>0.7</v>
      </c>
      <c r="N146" s="10" t="n">
        <v>0.01</v>
      </c>
      <c r="O146" s="9"/>
      <c r="P146" s="11" t="n">
        <f aca="false">IF(J146="%mo","",IF(G146="MO",IF(J146="hh",INDEX(MO_HH,MATCH(I146,MO_CAT,0)),M146*P_FACT_IPC),IF(G146="SUBPART",IFERROR(INDEX(APU_SUBP!$C$7:$C$40,MATCH(H146,APU_SUBP!$A$7:$A$40,0)),M146*P_FACT_IPC),M146*P_FACT_IPC)))</f>
        <v>0.9004070887193</v>
      </c>
      <c r="Q146" s="11" t="n">
        <f aca="false">IF(J146="%mo",L146/100*SUMIFS($R$7:$R$782,$A$7:$A$782,A146),L146*P146)</f>
        <v>0.009004070887193</v>
      </c>
      <c r="R146" s="11" t="n">
        <f aca="false">IF(G146="MO",L146*P146,0)</f>
        <v>0</v>
      </c>
    </row>
    <row r="147" customFormat="false" ht="15" hidden="false" customHeight="false" outlineLevel="0" collapsed="false">
      <c r="A147" s="7" t="s">
        <v>453</v>
      </c>
      <c r="B147" s="7" t="s">
        <v>270</v>
      </c>
      <c r="C147" s="7" t="s">
        <v>454</v>
      </c>
      <c r="D147" s="7" t="s">
        <v>422</v>
      </c>
      <c r="E147" s="7" t="s">
        <v>16</v>
      </c>
      <c r="F147" s="11" t="n">
        <v>1.05</v>
      </c>
      <c r="G147" s="7" t="s">
        <v>307</v>
      </c>
      <c r="H147" s="7" t="s">
        <v>425</v>
      </c>
      <c r="I147" s="7" t="s">
        <v>426</v>
      </c>
      <c r="J147" s="7" t="s">
        <v>427</v>
      </c>
      <c r="K147" s="22"/>
      <c r="L147" s="22" t="n">
        <v>0.0025</v>
      </c>
      <c r="M147" s="11" t="n">
        <v>14.5</v>
      </c>
      <c r="N147" s="11" t="n">
        <v>0.04</v>
      </c>
      <c r="O147" s="7"/>
      <c r="P147" s="11" t="n">
        <f aca="false">IF(J147="%mo","",IF(G147="MO",IF(J147="hh",INDEX(MO_HH,MATCH(I147,MO_CAT,0)),M147*P_FACT_IPC),IF(G147="SUBPART",IFERROR(INDEX(APU_SUBP!$C$7:$C$40,MATCH(H147,APU_SUBP!$A$7:$A$40,0)),M147*P_FACT_IPC),M147*P_FACT_IPC)))</f>
        <v>18.6512896948998</v>
      </c>
      <c r="Q147" s="11" t="n">
        <f aca="false">IF(J147="%mo",L147/100*SUMIFS($R$7:$R$782,$A$7:$A$782,A147),L147*P147)</f>
        <v>0.0466282242372495</v>
      </c>
      <c r="R147" s="11" t="n">
        <f aca="false">IF(G147="MO",L147*P147,0)</f>
        <v>0</v>
      </c>
    </row>
    <row r="148" customFormat="false" ht="15" hidden="false" customHeight="false" outlineLevel="0" collapsed="false">
      <c r="A148" s="9" t="s">
        <v>453</v>
      </c>
      <c r="B148" s="9" t="s">
        <v>270</v>
      </c>
      <c r="C148" s="9" t="s">
        <v>454</v>
      </c>
      <c r="D148" s="9" t="s">
        <v>422</v>
      </c>
      <c r="E148" s="9" t="s">
        <v>16</v>
      </c>
      <c r="F148" s="10" t="n">
        <v>1.05</v>
      </c>
      <c r="G148" s="9" t="s">
        <v>288</v>
      </c>
      <c r="H148" s="9" t="s">
        <v>428</v>
      </c>
      <c r="I148" s="9" t="s">
        <v>429</v>
      </c>
      <c r="J148" s="9" t="s">
        <v>322</v>
      </c>
      <c r="K148" s="31" t="n">
        <v>1</v>
      </c>
      <c r="L148" s="31" t="n">
        <v>0.001</v>
      </c>
      <c r="M148" s="10" t="n">
        <v>15.62</v>
      </c>
      <c r="N148" s="10" t="n">
        <v>0.02</v>
      </c>
      <c r="O148" s="9"/>
      <c r="P148" s="11" t="n">
        <f aca="false">IF(J148="%mo","",IF(G148="MO",IF(J148="hh",INDEX(MO_HH,MATCH(I148,MO_CAT,0)),M148*P_FACT_IPC),IF(G148="SUBPART",IFERROR(INDEX(APU_SUBP!$C$7:$C$40,MATCH(H148,APU_SUBP!$A$7:$A$40,0)),M148*P_FACT_IPC),M148*P_FACT_IPC)))</f>
        <v>20.0919410368507</v>
      </c>
      <c r="Q148" s="11" t="n">
        <f aca="false">IF(J148="%mo",L148/100*SUMIFS($R$7:$R$782,$A$7:$A$782,A148),L148*P148)</f>
        <v>0.0200919410368507</v>
      </c>
      <c r="R148" s="11" t="n">
        <f aca="false">IF(G148="MO",L148*P148,0)</f>
        <v>0</v>
      </c>
    </row>
    <row r="149" customFormat="false" ht="15" hidden="false" customHeight="false" outlineLevel="0" collapsed="false">
      <c r="A149" s="7" t="s">
        <v>453</v>
      </c>
      <c r="B149" s="7" t="s">
        <v>270</v>
      </c>
      <c r="C149" s="7" t="s">
        <v>454</v>
      </c>
      <c r="D149" s="7" t="s">
        <v>422</v>
      </c>
      <c r="E149" s="7" t="s">
        <v>16</v>
      </c>
      <c r="F149" s="11" t="n">
        <v>1.05</v>
      </c>
      <c r="G149" s="7" t="s">
        <v>370</v>
      </c>
      <c r="H149" s="7" t="s">
        <v>415</v>
      </c>
      <c r="I149" s="7" t="s">
        <v>416</v>
      </c>
      <c r="J149" s="7" t="s">
        <v>273</v>
      </c>
      <c r="K149" s="22"/>
      <c r="L149" s="22" t="n">
        <v>0.005</v>
      </c>
      <c r="M149" s="11" t="n">
        <v>21.15</v>
      </c>
      <c r="N149" s="11" t="n">
        <v>0.11</v>
      </c>
      <c r="O149" s="7"/>
      <c r="P149" s="11" t="n">
        <f aca="false">IF(J149="%mo","",IF(G149="MO",IF(J149="hh",INDEX(MO_HH,MATCH(I149,MO_CAT,0)),M149*P_FACT_IPC),IF(G149="SUBPART",IFERROR(INDEX(APU_SUBP!$C$7:$C$40,MATCH(H149,APU_SUBP!$A$7:$A$40,0)),M149*P_FACT_IPC),M149*P_FACT_IPC)))</f>
        <v>22.7438822970285</v>
      </c>
      <c r="Q149" s="11" t="n">
        <f aca="false">IF(J149="%mo",L149/100*SUMIFS($R$7:$R$782,$A$7:$A$782,A149),L149*P149)</f>
        <v>0.113719411485142</v>
      </c>
      <c r="R149" s="11" t="n">
        <f aca="false">IF(G149="MO",L149*P149,0)</f>
        <v>0</v>
      </c>
    </row>
    <row r="150" customFormat="false" ht="15" hidden="false" customHeight="false" outlineLevel="0" collapsed="false">
      <c r="A150" s="9" t="s">
        <v>455</v>
      </c>
      <c r="B150" s="9" t="s">
        <v>270</v>
      </c>
      <c r="C150" s="9" t="s">
        <v>456</v>
      </c>
      <c r="D150" s="9" t="s">
        <v>375</v>
      </c>
      <c r="E150" s="9" t="s">
        <v>341</v>
      </c>
      <c r="F150" s="10" t="n">
        <v>7.45</v>
      </c>
      <c r="G150" s="9" t="s">
        <v>281</v>
      </c>
      <c r="H150" s="9" t="s">
        <v>282</v>
      </c>
      <c r="I150" s="9" t="s">
        <v>107</v>
      </c>
      <c r="J150" s="9" t="s">
        <v>283</v>
      </c>
      <c r="K150" s="31" t="n">
        <v>0.1</v>
      </c>
      <c r="L150" s="31" t="n">
        <v>0.02</v>
      </c>
      <c r="M150" s="10" t="n">
        <v>25.81</v>
      </c>
      <c r="N150" s="10" t="n">
        <v>0.52</v>
      </c>
      <c r="O150" s="9" t="s">
        <v>284</v>
      </c>
      <c r="P150" s="11" t="n">
        <f aca="false">IF(J150="%mo","",IF(G150="MO",IF(J150="hh",INDEX(MO_HH,MATCH(I150,MO_CAT,0)),M150*P_FACT_IPC),IF(G150="SUBPART",IFERROR(INDEX(APU_SUBP!$C$7:$C$40,MATCH(H150,APU_SUBP!$A$7:$A$40,0)),M150*P_FACT_IPC),M150*P_FACT_IPC)))</f>
        <v>19.226758045292</v>
      </c>
      <c r="Q150" s="11" t="n">
        <f aca="false">IF(J150="%mo",L150/100*SUMIFS($R$7:$R$782,$A$7:$A$782,A150),L150*P150)</f>
        <v>0.38453516090584</v>
      </c>
      <c r="R150" s="11" t="n">
        <f aca="false">IF(G150="MO",L150*P150,0)</f>
        <v>0.38453516090584</v>
      </c>
    </row>
    <row r="151" customFormat="false" ht="15" hidden="false" customHeight="false" outlineLevel="0" collapsed="false">
      <c r="A151" s="7" t="s">
        <v>455</v>
      </c>
      <c r="B151" s="7" t="s">
        <v>270</v>
      </c>
      <c r="C151" s="7" t="s">
        <v>456</v>
      </c>
      <c r="D151" s="7" t="s">
        <v>375</v>
      </c>
      <c r="E151" s="7" t="s">
        <v>341</v>
      </c>
      <c r="F151" s="11" t="n">
        <v>7.45</v>
      </c>
      <c r="G151" s="7" t="s">
        <v>281</v>
      </c>
      <c r="H151" s="7" t="s">
        <v>286</v>
      </c>
      <c r="I151" s="7" t="s">
        <v>122</v>
      </c>
      <c r="J151" s="7" t="s">
        <v>283</v>
      </c>
      <c r="K151" s="22" t="n">
        <v>2</v>
      </c>
      <c r="L151" s="22" t="n">
        <v>0.4</v>
      </c>
      <c r="M151" s="11" t="n">
        <v>16.78</v>
      </c>
      <c r="N151" s="11" t="n">
        <v>6.71</v>
      </c>
      <c r="O151" s="7" t="s">
        <v>287</v>
      </c>
      <c r="P151" s="11" t="n">
        <f aca="false">IF(J151="%mo","",IF(G151="MO",IF(J151="hh",INDEX(MO_HH,MATCH(I151,MO_CAT,0)),M151*P_FACT_IPC),IF(G151="SUBPART",IFERROR(INDEX(APU_SUBP!$C$7:$C$40,MATCH(H151,APU_SUBP!$A$7:$A$40,0)),M151*P_FACT_IPC),M151*P_FACT_IPC)))</f>
        <v>12.5</v>
      </c>
      <c r="Q151" s="11" t="n">
        <f aca="false">IF(J151="%mo",L151/100*SUMIFS($R$7:$R$782,$A$7:$A$782,A151),L151*P151)</f>
        <v>5</v>
      </c>
      <c r="R151" s="11" t="n">
        <f aca="false">IF(G151="MO",L151*P151,0)</f>
        <v>5</v>
      </c>
    </row>
    <row r="152" customFormat="false" ht="15" hidden="false" customHeight="false" outlineLevel="0" collapsed="false">
      <c r="A152" s="9" t="s">
        <v>455</v>
      </c>
      <c r="B152" s="9" t="s">
        <v>270</v>
      </c>
      <c r="C152" s="9" t="s">
        <v>456</v>
      </c>
      <c r="D152" s="9" t="s">
        <v>375</v>
      </c>
      <c r="E152" s="9" t="s">
        <v>341</v>
      </c>
      <c r="F152" s="10" t="n">
        <v>7.45</v>
      </c>
      <c r="G152" s="9" t="s">
        <v>288</v>
      </c>
      <c r="H152" s="9" t="s">
        <v>327</v>
      </c>
      <c r="I152" s="9" t="s">
        <v>328</v>
      </c>
      <c r="J152" s="9" t="s">
        <v>329</v>
      </c>
      <c r="K152" s="31"/>
      <c r="L152" s="31" t="n">
        <v>3</v>
      </c>
      <c r="M152" s="10" t="n">
        <v>7.23</v>
      </c>
      <c r="N152" s="10" t="n">
        <v>0.22</v>
      </c>
      <c r="O152" s="9"/>
      <c r="P152" s="11" t="str">
        <f aca="false">IF(J152="%mo","",IF(G152="MO",IF(J152="hh",INDEX(MO_HH,MATCH(I152,MO_CAT,0)),M152*P_FACT_IPC),IF(G152="SUBPART",IFERROR(INDEX(APU_SUBP!$C$7:$C$40,MATCH(H152,APU_SUBP!$A$7:$A$40,0)),M152*P_FACT_IPC),M152*P_FACT_IPC)))</f>
        <v/>
      </c>
      <c r="Q152" s="11" t="n">
        <f aca="false">IF(J152="%mo",L152/100*SUMIFS($R$7:$R$782,$A$7:$A$782,A152),L152*P152)</f>
        <v>0.161536054827175</v>
      </c>
      <c r="R152" s="11" t="n">
        <f aca="false">IF(G152="MO",L152*P152,0)</f>
        <v>0</v>
      </c>
    </row>
    <row r="153" customFormat="false" ht="15" hidden="false" customHeight="false" outlineLevel="0" collapsed="false">
      <c r="A153" s="7" t="s">
        <v>457</v>
      </c>
      <c r="B153" s="7" t="s">
        <v>270</v>
      </c>
      <c r="C153" s="7" t="s">
        <v>458</v>
      </c>
      <c r="D153" s="7" t="s">
        <v>378</v>
      </c>
      <c r="E153" s="7" t="s">
        <v>273</v>
      </c>
      <c r="F153" s="11" t="n">
        <v>63.82</v>
      </c>
      <c r="G153" s="7" t="s">
        <v>281</v>
      </c>
      <c r="H153" s="7" t="s">
        <v>282</v>
      </c>
      <c r="I153" s="7" t="s">
        <v>107</v>
      </c>
      <c r="J153" s="7" t="s">
        <v>283</v>
      </c>
      <c r="K153" s="22" t="n">
        <v>0.1</v>
      </c>
      <c r="L153" s="22" t="n">
        <v>0.32</v>
      </c>
      <c r="M153" s="11" t="n">
        <v>25.81</v>
      </c>
      <c r="N153" s="11" t="n">
        <v>8.26</v>
      </c>
      <c r="O153" s="7" t="s">
        <v>284</v>
      </c>
      <c r="P153" s="11" t="n">
        <f aca="false">IF(J153="%mo","",IF(G153="MO",IF(J153="hh",INDEX(MO_HH,MATCH(I153,MO_CAT,0)),M153*P_FACT_IPC),IF(G153="SUBPART",IFERROR(INDEX(APU_SUBP!$C$7:$C$40,MATCH(H153,APU_SUBP!$A$7:$A$40,0)),M153*P_FACT_IPC),M153*P_FACT_IPC)))</f>
        <v>19.226758045292</v>
      </c>
      <c r="Q153" s="11" t="n">
        <f aca="false">IF(J153="%mo",L153/100*SUMIFS($R$7:$R$782,$A$7:$A$782,A153),L153*P153)</f>
        <v>6.15256257449344</v>
      </c>
      <c r="R153" s="11" t="n">
        <f aca="false">IF(G153="MO",L153*P153,0)</f>
        <v>6.15256257449344</v>
      </c>
    </row>
    <row r="154" customFormat="false" ht="15" hidden="false" customHeight="false" outlineLevel="0" collapsed="false">
      <c r="A154" s="9" t="s">
        <v>457</v>
      </c>
      <c r="B154" s="9" t="s">
        <v>270</v>
      </c>
      <c r="C154" s="9" t="s">
        <v>458</v>
      </c>
      <c r="D154" s="9" t="s">
        <v>378</v>
      </c>
      <c r="E154" s="9" t="s">
        <v>273</v>
      </c>
      <c r="F154" s="10" t="n">
        <v>63.82</v>
      </c>
      <c r="G154" s="9" t="s">
        <v>281</v>
      </c>
      <c r="H154" s="9" t="s">
        <v>286</v>
      </c>
      <c r="I154" s="9" t="s">
        <v>122</v>
      </c>
      <c r="J154" s="9" t="s">
        <v>283</v>
      </c>
      <c r="K154" s="31" t="n">
        <v>1</v>
      </c>
      <c r="L154" s="31" t="n">
        <v>3.2</v>
      </c>
      <c r="M154" s="10" t="n">
        <v>16.78</v>
      </c>
      <c r="N154" s="10" t="n">
        <v>53.7</v>
      </c>
      <c r="O154" s="9" t="s">
        <v>287</v>
      </c>
      <c r="P154" s="11" t="n">
        <f aca="false">IF(J154="%mo","",IF(G154="MO",IF(J154="hh",INDEX(MO_HH,MATCH(I154,MO_CAT,0)),M154*P_FACT_IPC),IF(G154="SUBPART",IFERROR(INDEX(APU_SUBP!$C$7:$C$40,MATCH(H154,APU_SUBP!$A$7:$A$40,0)),M154*P_FACT_IPC),M154*P_FACT_IPC)))</f>
        <v>12.5</v>
      </c>
      <c r="Q154" s="11" t="n">
        <f aca="false">IF(J154="%mo",L154/100*SUMIFS($R$7:$R$782,$A$7:$A$782,A154),L154*P154)</f>
        <v>40</v>
      </c>
      <c r="R154" s="11" t="n">
        <f aca="false">IF(G154="MO",L154*P154,0)</f>
        <v>40</v>
      </c>
    </row>
    <row r="155" customFormat="false" ht="15" hidden="false" customHeight="false" outlineLevel="0" collapsed="false">
      <c r="A155" s="7" t="s">
        <v>457</v>
      </c>
      <c r="B155" s="7" t="s">
        <v>270</v>
      </c>
      <c r="C155" s="7" t="s">
        <v>458</v>
      </c>
      <c r="D155" s="7" t="s">
        <v>378</v>
      </c>
      <c r="E155" s="7" t="s">
        <v>273</v>
      </c>
      <c r="F155" s="11" t="n">
        <v>63.82</v>
      </c>
      <c r="G155" s="7" t="s">
        <v>288</v>
      </c>
      <c r="H155" s="7" t="s">
        <v>327</v>
      </c>
      <c r="I155" s="7" t="s">
        <v>328</v>
      </c>
      <c r="J155" s="7" t="s">
        <v>329</v>
      </c>
      <c r="K155" s="22"/>
      <c r="L155" s="22" t="n">
        <v>3</v>
      </c>
      <c r="M155" s="11" t="n">
        <v>61.96</v>
      </c>
      <c r="N155" s="11" t="n">
        <v>1.86</v>
      </c>
      <c r="O155" s="7"/>
      <c r="P155" s="11" t="str">
        <f aca="false">IF(J155="%mo","",IF(G155="MO",IF(J155="hh",INDEX(MO_HH,MATCH(I155,MO_CAT,0)),M155*P_FACT_IPC),IF(G155="SUBPART",IFERROR(INDEX(APU_SUBP!$C$7:$C$40,MATCH(H155,APU_SUBP!$A$7:$A$40,0)),M155*P_FACT_IPC),M155*P_FACT_IPC)))</f>
        <v/>
      </c>
      <c r="Q155" s="11" t="n">
        <f aca="false">IF(J155="%mo",L155/100*SUMIFS($R$7:$R$782,$A$7:$A$782,A155),L155*P155)</f>
        <v>1.3845768772348</v>
      </c>
      <c r="R155" s="11" t="n">
        <f aca="false">IF(G155="MO",L155*P155,0)</f>
        <v>0</v>
      </c>
    </row>
    <row r="156" customFormat="false" ht="15" hidden="false" customHeight="false" outlineLevel="0" collapsed="false">
      <c r="A156" s="9" t="s">
        <v>459</v>
      </c>
      <c r="B156" s="9" t="s">
        <v>270</v>
      </c>
      <c r="C156" s="9" t="s">
        <v>460</v>
      </c>
      <c r="D156" s="9" t="s">
        <v>381</v>
      </c>
      <c r="E156" s="9" t="s">
        <v>341</v>
      </c>
      <c r="F156" s="10" t="n">
        <v>3.19</v>
      </c>
      <c r="G156" s="9" t="s">
        <v>281</v>
      </c>
      <c r="H156" s="9" t="s">
        <v>282</v>
      </c>
      <c r="I156" s="9" t="s">
        <v>107</v>
      </c>
      <c r="J156" s="9" t="s">
        <v>283</v>
      </c>
      <c r="K156" s="31" t="n">
        <v>0.1</v>
      </c>
      <c r="L156" s="31" t="n">
        <v>0.0032</v>
      </c>
      <c r="M156" s="10" t="n">
        <v>25.81</v>
      </c>
      <c r="N156" s="10" t="n">
        <v>0.08</v>
      </c>
      <c r="O156" s="9" t="s">
        <v>284</v>
      </c>
      <c r="P156" s="11" t="n">
        <f aca="false">IF(J156="%mo","",IF(G156="MO",IF(J156="hh",INDEX(MO_HH,MATCH(I156,MO_CAT,0)),M156*P_FACT_IPC),IF(G156="SUBPART",IFERROR(INDEX(APU_SUBP!$C$7:$C$40,MATCH(H156,APU_SUBP!$A$7:$A$40,0)),M156*P_FACT_IPC),M156*P_FACT_IPC)))</f>
        <v>19.226758045292</v>
      </c>
      <c r="Q156" s="11" t="n">
        <f aca="false">IF(J156="%mo",L156/100*SUMIFS($R$7:$R$782,$A$7:$A$782,A156),L156*P156)</f>
        <v>0.0615256257449344</v>
      </c>
      <c r="R156" s="11" t="n">
        <f aca="false">IF(G156="MO",L156*P156,0)</f>
        <v>0.0615256257449344</v>
      </c>
    </row>
    <row r="157" customFormat="false" ht="15" hidden="false" customHeight="false" outlineLevel="0" collapsed="false">
      <c r="A157" s="7" t="s">
        <v>459</v>
      </c>
      <c r="B157" s="7" t="s">
        <v>270</v>
      </c>
      <c r="C157" s="7" t="s">
        <v>460</v>
      </c>
      <c r="D157" s="7" t="s">
        <v>381</v>
      </c>
      <c r="E157" s="7" t="s">
        <v>341</v>
      </c>
      <c r="F157" s="11" t="n">
        <v>3.19</v>
      </c>
      <c r="G157" s="7" t="s">
        <v>281</v>
      </c>
      <c r="H157" s="7" t="s">
        <v>306</v>
      </c>
      <c r="I157" s="7" t="s">
        <v>112</v>
      </c>
      <c r="J157" s="7" t="s">
        <v>283</v>
      </c>
      <c r="K157" s="22" t="n">
        <v>1</v>
      </c>
      <c r="L157" s="22" t="n">
        <v>0.032</v>
      </c>
      <c r="M157" s="11" t="n">
        <v>23.46</v>
      </c>
      <c r="N157" s="11" t="n">
        <v>0.75</v>
      </c>
      <c r="O157" s="7" t="s">
        <v>284</v>
      </c>
      <c r="P157" s="11" t="n">
        <f aca="false">IF(J157="%mo","",IF(G157="MO",IF(J157="hh",INDEX(MO_HH,MATCH(I157,MO_CAT,0)),M157*P_FACT_IPC),IF(G157="SUBPART",IFERROR(INDEX(APU_SUBP!$C$7:$C$40,MATCH(H157,APU_SUBP!$A$7:$A$40,0)),M157*P_FACT_IPC),M157*P_FACT_IPC)))</f>
        <v>17.4761620977354</v>
      </c>
      <c r="Q157" s="11" t="n">
        <f aca="false">IF(J157="%mo",L157/100*SUMIFS($R$7:$R$782,$A$7:$A$782,A157),L157*P157)</f>
        <v>0.559237187127533</v>
      </c>
      <c r="R157" s="11" t="n">
        <f aca="false">IF(G157="MO",L157*P157,0)</f>
        <v>0.559237187127533</v>
      </c>
    </row>
    <row r="158" customFormat="false" ht="15" hidden="false" customHeight="false" outlineLevel="0" collapsed="false">
      <c r="A158" s="9" t="s">
        <v>459</v>
      </c>
      <c r="B158" s="9" t="s">
        <v>270</v>
      </c>
      <c r="C158" s="9" t="s">
        <v>460</v>
      </c>
      <c r="D158" s="9" t="s">
        <v>381</v>
      </c>
      <c r="E158" s="9" t="s">
        <v>341</v>
      </c>
      <c r="F158" s="10" t="n">
        <v>3.19</v>
      </c>
      <c r="G158" s="9" t="s">
        <v>281</v>
      </c>
      <c r="H158" s="9" t="s">
        <v>286</v>
      </c>
      <c r="I158" s="9" t="s">
        <v>122</v>
      </c>
      <c r="J158" s="9" t="s">
        <v>283</v>
      </c>
      <c r="K158" s="31" t="n">
        <v>2</v>
      </c>
      <c r="L158" s="31" t="n">
        <v>0.064</v>
      </c>
      <c r="M158" s="10" t="n">
        <v>16.78</v>
      </c>
      <c r="N158" s="10" t="n">
        <v>1.07</v>
      </c>
      <c r="O158" s="9" t="s">
        <v>287</v>
      </c>
      <c r="P158" s="11" t="n">
        <f aca="false">IF(J158="%mo","",IF(G158="MO",IF(J158="hh",INDEX(MO_HH,MATCH(I158,MO_CAT,0)),M158*P_FACT_IPC),IF(G158="SUBPART",IFERROR(INDEX(APU_SUBP!$C$7:$C$40,MATCH(H158,APU_SUBP!$A$7:$A$40,0)),M158*P_FACT_IPC),M158*P_FACT_IPC)))</f>
        <v>12.5</v>
      </c>
      <c r="Q158" s="11" t="n">
        <f aca="false">IF(J158="%mo",L158/100*SUMIFS($R$7:$R$782,$A$7:$A$782,A158),L158*P158)</f>
        <v>0.8</v>
      </c>
      <c r="R158" s="11" t="n">
        <f aca="false">IF(G158="MO",L158*P158,0)</f>
        <v>0.8</v>
      </c>
    </row>
    <row r="159" customFormat="false" ht="15" hidden="false" customHeight="false" outlineLevel="0" collapsed="false">
      <c r="A159" s="7" t="s">
        <v>459</v>
      </c>
      <c r="B159" s="7" t="s">
        <v>270</v>
      </c>
      <c r="C159" s="7" t="s">
        <v>460</v>
      </c>
      <c r="D159" s="7" t="s">
        <v>381</v>
      </c>
      <c r="E159" s="7" t="s">
        <v>341</v>
      </c>
      <c r="F159" s="11" t="n">
        <v>3.19</v>
      </c>
      <c r="G159" s="7" t="s">
        <v>288</v>
      </c>
      <c r="H159" s="7" t="s">
        <v>327</v>
      </c>
      <c r="I159" s="7" t="s">
        <v>328</v>
      </c>
      <c r="J159" s="7" t="s">
        <v>329</v>
      </c>
      <c r="K159" s="22"/>
      <c r="L159" s="22" t="n">
        <v>3</v>
      </c>
      <c r="M159" s="11" t="n">
        <v>1.9</v>
      </c>
      <c r="N159" s="11" t="n">
        <v>0.06</v>
      </c>
      <c r="O159" s="7"/>
      <c r="P159" s="11" t="str">
        <f aca="false">IF(J159="%mo","",IF(G159="MO",IF(J159="hh",INDEX(MO_HH,MATCH(I159,MO_CAT,0)),M159*P_FACT_IPC),IF(G159="SUBPART",IFERROR(INDEX(APU_SUBP!$C$7:$C$40,MATCH(H159,APU_SUBP!$A$7:$A$40,0)),M159*P_FACT_IPC),M159*P_FACT_IPC)))</f>
        <v/>
      </c>
      <c r="Q159" s="11" t="n">
        <f aca="false">IF(J159="%mo",L159/100*SUMIFS($R$7:$R$782,$A$7:$A$782,A159),L159*P159)</f>
        <v>0.042622884386174</v>
      </c>
      <c r="R159" s="11" t="n">
        <f aca="false">IF(G159="MO",L159*P159,0)</f>
        <v>0</v>
      </c>
    </row>
    <row r="160" customFormat="false" ht="15" hidden="false" customHeight="false" outlineLevel="0" collapsed="false">
      <c r="A160" s="9" t="s">
        <v>459</v>
      </c>
      <c r="B160" s="9" t="s">
        <v>270</v>
      </c>
      <c r="C160" s="9" t="s">
        <v>460</v>
      </c>
      <c r="D160" s="9" t="s">
        <v>381</v>
      </c>
      <c r="E160" s="9" t="s">
        <v>341</v>
      </c>
      <c r="F160" s="10" t="n">
        <v>3.19</v>
      </c>
      <c r="G160" s="9" t="s">
        <v>288</v>
      </c>
      <c r="H160" s="9" t="s">
        <v>382</v>
      </c>
      <c r="I160" s="9" t="s">
        <v>383</v>
      </c>
      <c r="J160" s="9" t="s">
        <v>291</v>
      </c>
      <c r="K160" s="31" t="n">
        <v>1</v>
      </c>
      <c r="L160" s="31" t="n">
        <v>0.032</v>
      </c>
      <c r="M160" s="10" t="n">
        <v>38.5</v>
      </c>
      <c r="N160" s="10" t="n">
        <v>1.23</v>
      </c>
      <c r="O160" s="9"/>
      <c r="P160" s="11" t="n">
        <f aca="false">IF(J160="%mo","",IF(G160="MO",IF(J160="hh",INDEX(MO_HH,MATCH(I160,MO_CAT,0)),M160*P_FACT_IPC),IF(G160="SUBPART",IFERROR(INDEX(APU_SUBP!$C$7:$C$40,MATCH(H160,APU_SUBP!$A$7:$A$40,0)),M160*P_FACT_IPC),M160*P_FACT_IPC)))</f>
        <v>49.5223898795615</v>
      </c>
      <c r="Q160" s="11" t="n">
        <f aca="false">IF(J160="%mo",L160/100*SUMIFS($R$7:$R$782,$A$7:$A$782,A160),L160*P160)</f>
        <v>1.58471647614597</v>
      </c>
      <c r="R160" s="11" t="n">
        <f aca="false">IF(G160="MO",L160*P160,0)</f>
        <v>0</v>
      </c>
    </row>
    <row r="161" customFormat="false" ht="15" hidden="false" customHeight="false" outlineLevel="0" collapsed="false">
      <c r="A161" s="7" t="s">
        <v>461</v>
      </c>
      <c r="B161" s="7" t="s">
        <v>270</v>
      </c>
      <c r="C161" s="7" t="s">
        <v>462</v>
      </c>
      <c r="D161" s="7" t="s">
        <v>463</v>
      </c>
      <c r="E161" s="7" t="s">
        <v>16</v>
      </c>
      <c r="F161" s="11" t="n">
        <v>6.75</v>
      </c>
      <c r="G161" s="7" t="s">
        <v>281</v>
      </c>
      <c r="H161" s="7" t="s">
        <v>282</v>
      </c>
      <c r="I161" s="7" t="s">
        <v>107</v>
      </c>
      <c r="J161" s="7" t="s">
        <v>283</v>
      </c>
      <c r="K161" s="22" t="n">
        <v>0.1</v>
      </c>
      <c r="L161" s="22" t="n">
        <v>0.0083</v>
      </c>
      <c r="M161" s="11" t="n">
        <v>25.81</v>
      </c>
      <c r="N161" s="11" t="n">
        <v>0.21</v>
      </c>
      <c r="O161" s="7" t="s">
        <v>284</v>
      </c>
      <c r="P161" s="11" t="n">
        <f aca="false">IF(J161="%mo","",IF(G161="MO",IF(J161="hh",INDEX(MO_HH,MATCH(I161,MO_CAT,0)),M161*P_FACT_IPC),IF(G161="SUBPART",IFERROR(INDEX(APU_SUBP!$C$7:$C$40,MATCH(H161,APU_SUBP!$A$7:$A$40,0)),M161*P_FACT_IPC),M161*P_FACT_IPC)))</f>
        <v>19.226758045292</v>
      </c>
      <c r="Q161" s="11" t="n">
        <f aca="false">IF(J161="%mo",L161/100*SUMIFS($R$7:$R$782,$A$7:$A$782,A161),L161*P161)</f>
        <v>0.159582091775924</v>
      </c>
      <c r="R161" s="11" t="n">
        <f aca="false">IF(G161="MO",L161*P161,0)</f>
        <v>0.159582091775924</v>
      </c>
    </row>
    <row r="162" customFormat="false" ht="15" hidden="false" customHeight="false" outlineLevel="0" collapsed="false">
      <c r="A162" s="9" t="s">
        <v>461</v>
      </c>
      <c r="B162" s="9" t="s">
        <v>270</v>
      </c>
      <c r="C162" s="9" t="s">
        <v>462</v>
      </c>
      <c r="D162" s="9" t="s">
        <v>463</v>
      </c>
      <c r="E162" s="9" t="s">
        <v>16</v>
      </c>
      <c r="F162" s="10" t="n">
        <v>6.75</v>
      </c>
      <c r="G162" s="9" t="s">
        <v>281</v>
      </c>
      <c r="H162" s="9" t="s">
        <v>286</v>
      </c>
      <c r="I162" s="9" t="s">
        <v>122</v>
      </c>
      <c r="J162" s="9" t="s">
        <v>283</v>
      </c>
      <c r="K162" s="31" t="n">
        <v>2</v>
      </c>
      <c r="L162" s="31" t="n">
        <v>0.1667</v>
      </c>
      <c r="M162" s="10" t="n">
        <v>16.78</v>
      </c>
      <c r="N162" s="10" t="n">
        <v>2.8</v>
      </c>
      <c r="O162" s="9" t="s">
        <v>287</v>
      </c>
      <c r="P162" s="11" t="n">
        <f aca="false">IF(J162="%mo","",IF(G162="MO",IF(J162="hh",INDEX(MO_HH,MATCH(I162,MO_CAT,0)),M162*P_FACT_IPC),IF(G162="SUBPART",IFERROR(INDEX(APU_SUBP!$C$7:$C$40,MATCH(H162,APU_SUBP!$A$7:$A$40,0)),M162*P_FACT_IPC),M162*P_FACT_IPC)))</f>
        <v>12.5</v>
      </c>
      <c r="Q162" s="11" t="n">
        <f aca="false">IF(J162="%mo",L162/100*SUMIFS($R$7:$R$782,$A$7:$A$782,A162),L162*P162)</f>
        <v>2.08375</v>
      </c>
      <c r="R162" s="11" t="n">
        <f aca="false">IF(G162="MO",L162*P162,0)</f>
        <v>2.08375</v>
      </c>
    </row>
    <row r="163" customFormat="false" ht="15" hidden="false" customHeight="false" outlineLevel="0" collapsed="false">
      <c r="A163" s="7" t="s">
        <v>461</v>
      </c>
      <c r="B163" s="7" t="s">
        <v>270</v>
      </c>
      <c r="C163" s="7" t="s">
        <v>462</v>
      </c>
      <c r="D163" s="7" t="s">
        <v>463</v>
      </c>
      <c r="E163" s="7" t="s">
        <v>16</v>
      </c>
      <c r="F163" s="11" t="n">
        <v>6.75</v>
      </c>
      <c r="G163" s="7" t="s">
        <v>307</v>
      </c>
      <c r="H163" s="7" t="s">
        <v>464</v>
      </c>
      <c r="I163" s="7" t="s">
        <v>465</v>
      </c>
      <c r="J163" s="7" t="s">
        <v>16</v>
      </c>
      <c r="K163" s="22"/>
      <c r="L163" s="22" t="n">
        <v>1</v>
      </c>
      <c r="M163" s="11" t="n">
        <v>1.21</v>
      </c>
      <c r="N163" s="11" t="n">
        <v>1.21</v>
      </c>
      <c r="O163" s="7"/>
      <c r="P163" s="11" t="n">
        <f aca="false">IF(J163="%mo","",IF(G163="MO",IF(J163="hh",INDEX(MO_HH,MATCH(I163,MO_CAT,0)),M163*P_FACT_IPC),IF(G163="SUBPART",IFERROR(INDEX(APU_SUBP!$C$7:$C$40,MATCH(H163,APU_SUBP!$A$7:$A$40,0)),M163*P_FACT_IPC),M163*P_FACT_IPC)))</f>
        <v>1.55641796764336</v>
      </c>
      <c r="Q163" s="11" t="n">
        <f aca="false">IF(J163="%mo",L163/100*SUMIFS($R$7:$R$782,$A$7:$A$782,A163),L163*P163)</f>
        <v>1.55641796764336</v>
      </c>
      <c r="R163" s="11" t="n">
        <f aca="false">IF(G163="MO",L163*P163,0)</f>
        <v>0</v>
      </c>
    </row>
    <row r="164" customFormat="false" ht="15" hidden="false" customHeight="false" outlineLevel="0" collapsed="false">
      <c r="A164" s="9" t="s">
        <v>461</v>
      </c>
      <c r="B164" s="9" t="s">
        <v>270</v>
      </c>
      <c r="C164" s="9" t="s">
        <v>462</v>
      </c>
      <c r="D164" s="9" t="s">
        <v>463</v>
      </c>
      <c r="E164" s="9" t="s">
        <v>16</v>
      </c>
      <c r="F164" s="10" t="n">
        <v>6.75</v>
      </c>
      <c r="G164" s="9" t="s">
        <v>288</v>
      </c>
      <c r="H164" s="9" t="s">
        <v>327</v>
      </c>
      <c r="I164" s="9" t="s">
        <v>328</v>
      </c>
      <c r="J164" s="9" t="s">
        <v>329</v>
      </c>
      <c r="K164" s="31"/>
      <c r="L164" s="31" t="n">
        <v>3</v>
      </c>
      <c r="M164" s="10" t="n">
        <v>3.01</v>
      </c>
      <c r="N164" s="10" t="n">
        <v>0.09</v>
      </c>
      <c r="O164" s="9"/>
      <c r="P164" s="11" t="str">
        <f aca="false">IF(J164="%mo","",IF(G164="MO",IF(J164="hh",INDEX(MO_HH,MATCH(I164,MO_CAT,0)),M164*P_FACT_IPC),IF(G164="SUBPART",IFERROR(INDEX(APU_SUBP!$C$7:$C$40,MATCH(H164,APU_SUBP!$A$7:$A$40,0)),M164*P_FACT_IPC),M164*P_FACT_IPC)))</f>
        <v/>
      </c>
      <c r="Q164" s="11" t="n">
        <f aca="false">IF(J164="%mo",L164/100*SUMIFS($R$7:$R$782,$A$7:$A$782,A164),L164*P164)</f>
        <v>0.0672999627532777</v>
      </c>
      <c r="R164" s="11" t="n">
        <f aca="false">IF(G164="MO",L164*P164,0)</f>
        <v>0</v>
      </c>
    </row>
    <row r="165" customFormat="false" ht="15" hidden="false" customHeight="false" outlineLevel="0" collapsed="false">
      <c r="A165" s="7" t="s">
        <v>461</v>
      </c>
      <c r="B165" s="7" t="s">
        <v>270</v>
      </c>
      <c r="C165" s="7" t="s">
        <v>462</v>
      </c>
      <c r="D165" s="7" t="s">
        <v>463</v>
      </c>
      <c r="E165" s="7" t="s">
        <v>16</v>
      </c>
      <c r="F165" s="11" t="n">
        <v>6.75</v>
      </c>
      <c r="G165" s="7" t="s">
        <v>370</v>
      </c>
      <c r="H165" s="7" t="s">
        <v>466</v>
      </c>
      <c r="I165" s="7" t="s">
        <v>467</v>
      </c>
      <c r="J165" s="7" t="s">
        <v>273</v>
      </c>
      <c r="K165" s="22"/>
      <c r="L165" s="22" t="n">
        <v>0.0283</v>
      </c>
      <c r="M165" s="11" t="n">
        <v>86.3</v>
      </c>
      <c r="N165" s="11" t="n">
        <v>2.44</v>
      </c>
      <c r="O165" s="7"/>
      <c r="P165" s="11" t="n">
        <f aca="false">IF(J165="%mo","",IF(G165="MO",IF(J165="hh",INDEX(MO_HH,MATCH(I165,MO_CAT,0)),M165*P_FACT_IPC),IF(G165="SUBPART",IFERROR(INDEX(APU_SUBP!$C$7:$C$40,MATCH(H165,APU_SUBP!$A$7:$A$40,0)),M165*P_FACT_IPC),M165*P_FACT_IPC)))</f>
        <v>64.499738837007</v>
      </c>
      <c r="Q165" s="11" t="n">
        <f aca="false">IF(J165="%mo",L165/100*SUMIFS($R$7:$R$782,$A$7:$A$782,A165),L165*P165)</f>
        <v>1.8253426090873</v>
      </c>
      <c r="R165" s="11" t="n">
        <f aca="false">IF(G165="MO",L165*P165,0)</f>
        <v>0</v>
      </c>
    </row>
    <row r="166" customFormat="false" ht="15" hidden="false" customHeight="false" outlineLevel="0" collapsed="false">
      <c r="A166" s="9" t="s">
        <v>468</v>
      </c>
      <c r="B166" s="9" t="s">
        <v>270</v>
      </c>
      <c r="C166" s="9" t="s">
        <v>469</v>
      </c>
      <c r="D166" s="9" t="s">
        <v>391</v>
      </c>
      <c r="E166" s="9" t="s">
        <v>16</v>
      </c>
      <c r="F166" s="10" t="n">
        <v>1.73</v>
      </c>
      <c r="G166" s="9" t="s">
        <v>281</v>
      </c>
      <c r="H166" s="9" t="s">
        <v>282</v>
      </c>
      <c r="I166" s="9" t="s">
        <v>107</v>
      </c>
      <c r="J166" s="9" t="s">
        <v>283</v>
      </c>
      <c r="K166" s="31" t="n">
        <v>0.1</v>
      </c>
      <c r="L166" s="31" t="n">
        <v>0.0087</v>
      </c>
      <c r="M166" s="10" t="n">
        <v>25.81</v>
      </c>
      <c r="N166" s="10" t="n">
        <v>0.22</v>
      </c>
      <c r="O166" s="9" t="s">
        <v>284</v>
      </c>
      <c r="P166" s="11" t="n">
        <f aca="false">IF(J166="%mo","",IF(G166="MO",IF(J166="hh",INDEX(MO_HH,MATCH(I166,MO_CAT,0)),M166*P_FACT_IPC),IF(G166="SUBPART",IFERROR(INDEX(APU_SUBP!$C$7:$C$40,MATCH(H166,APU_SUBP!$A$7:$A$40,0)),M166*P_FACT_IPC),M166*P_FACT_IPC)))</f>
        <v>19.226758045292</v>
      </c>
      <c r="Q166" s="11" t="n">
        <f aca="false">IF(J166="%mo",L166/100*SUMIFS($R$7:$R$782,$A$7:$A$782,A166),L166*P166)</f>
        <v>0.167272794994041</v>
      </c>
      <c r="R166" s="11" t="n">
        <f aca="false">IF(G166="MO",L166*P166,0)</f>
        <v>0.167272794994041</v>
      </c>
    </row>
    <row r="167" customFormat="false" ht="15" hidden="false" customHeight="false" outlineLevel="0" collapsed="false">
      <c r="A167" s="7" t="s">
        <v>468</v>
      </c>
      <c r="B167" s="7" t="s">
        <v>270</v>
      </c>
      <c r="C167" s="7" t="s">
        <v>469</v>
      </c>
      <c r="D167" s="7" t="s">
        <v>391</v>
      </c>
      <c r="E167" s="7" t="s">
        <v>16</v>
      </c>
      <c r="F167" s="11" t="n">
        <v>1.73</v>
      </c>
      <c r="G167" s="7" t="s">
        <v>281</v>
      </c>
      <c r="H167" s="7" t="s">
        <v>286</v>
      </c>
      <c r="I167" s="7" t="s">
        <v>122</v>
      </c>
      <c r="J167" s="7" t="s">
        <v>283</v>
      </c>
      <c r="K167" s="22" t="n">
        <v>1</v>
      </c>
      <c r="L167" s="22" t="n">
        <v>0.087</v>
      </c>
      <c r="M167" s="11" t="n">
        <v>16.78</v>
      </c>
      <c r="N167" s="11" t="n">
        <v>1.46</v>
      </c>
      <c r="O167" s="7" t="s">
        <v>287</v>
      </c>
      <c r="P167" s="11" t="n">
        <f aca="false">IF(J167="%mo","",IF(G167="MO",IF(J167="hh",INDEX(MO_HH,MATCH(I167,MO_CAT,0)),M167*P_FACT_IPC),IF(G167="SUBPART",IFERROR(INDEX(APU_SUBP!$C$7:$C$40,MATCH(H167,APU_SUBP!$A$7:$A$40,0)),M167*P_FACT_IPC),M167*P_FACT_IPC)))</f>
        <v>12.5</v>
      </c>
      <c r="Q167" s="11" t="n">
        <f aca="false">IF(J167="%mo",L167/100*SUMIFS($R$7:$R$782,$A$7:$A$782,A167),L167*P167)</f>
        <v>1.0875</v>
      </c>
      <c r="R167" s="11" t="n">
        <f aca="false">IF(G167="MO",L167*P167,0)</f>
        <v>1.0875</v>
      </c>
    </row>
    <row r="168" customFormat="false" ht="15" hidden="false" customHeight="false" outlineLevel="0" collapsed="false">
      <c r="A168" s="9" t="s">
        <v>468</v>
      </c>
      <c r="B168" s="9" t="s">
        <v>270</v>
      </c>
      <c r="C168" s="9" t="s">
        <v>469</v>
      </c>
      <c r="D168" s="9" t="s">
        <v>391</v>
      </c>
      <c r="E168" s="9" t="s">
        <v>16</v>
      </c>
      <c r="F168" s="10" t="n">
        <v>1.73</v>
      </c>
      <c r="G168" s="9" t="s">
        <v>288</v>
      </c>
      <c r="H168" s="9" t="s">
        <v>327</v>
      </c>
      <c r="I168" s="9" t="s">
        <v>328</v>
      </c>
      <c r="J168" s="9" t="s">
        <v>329</v>
      </c>
      <c r="K168" s="31"/>
      <c r="L168" s="31" t="n">
        <v>3</v>
      </c>
      <c r="M168" s="10" t="n">
        <v>1.68</v>
      </c>
      <c r="N168" s="10" t="n">
        <v>0.05</v>
      </c>
      <c r="O168" s="9"/>
      <c r="P168" s="11" t="str">
        <f aca="false">IF(J168="%mo","",IF(G168="MO",IF(J168="hh",INDEX(MO_HH,MATCH(I168,MO_CAT,0)),M168*P_FACT_IPC),IF(G168="SUBPART",IFERROR(INDEX(APU_SUBP!$C$7:$C$40,MATCH(H168,APU_SUBP!$A$7:$A$40,0)),M168*P_FACT_IPC),M168*P_FACT_IPC)))</f>
        <v/>
      </c>
      <c r="Q168" s="11" t="n">
        <f aca="false">IF(J168="%mo",L168/100*SUMIFS($R$7:$R$782,$A$7:$A$782,A168),L168*P168)</f>
        <v>0.0376431838498212</v>
      </c>
      <c r="R168" s="11" t="n">
        <f aca="false">IF(G168="MO",L168*P168,0)</f>
        <v>0</v>
      </c>
    </row>
    <row r="169" customFormat="false" ht="15" hidden="false" customHeight="false" outlineLevel="0" collapsed="false">
      <c r="A169" s="7" t="s">
        <v>470</v>
      </c>
      <c r="B169" s="7" t="s">
        <v>270</v>
      </c>
      <c r="C169" s="7" t="s">
        <v>471</v>
      </c>
      <c r="D169" s="7" t="s">
        <v>394</v>
      </c>
      <c r="E169" s="7" t="s">
        <v>16</v>
      </c>
      <c r="F169" s="11" t="n">
        <v>1.17</v>
      </c>
      <c r="G169" s="7" t="s">
        <v>281</v>
      </c>
      <c r="H169" s="7" t="s">
        <v>285</v>
      </c>
      <c r="I169" s="7" t="s">
        <v>117</v>
      </c>
      <c r="J169" s="7" t="s">
        <v>283</v>
      </c>
      <c r="K169" s="22" t="n">
        <v>0.1</v>
      </c>
      <c r="L169" s="22" t="n">
        <v>0.005</v>
      </c>
      <c r="M169" s="11" t="n">
        <v>18.56</v>
      </c>
      <c r="N169" s="11" t="n">
        <v>0.09</v>
      </c>
      <c r="O169" s="7" t="s">
        <v>284</v>
      </c>
      <c r="P169" s="11" t="n">
        <f aca="false">IF(J169="%mo","",IF(G169="MO",IF(J169="hh",INDEX(MO_HH,MATCH(I169,MO_CAT,0)),M169*P_FACT_IPC),IF(G169="SUBPART",IFERROR(INDEX(APU_SUBP!$C$7:$C$40,MATCH(H169,APU_SUBP!$A$7:$A$40,0)),M169*P_FACT_IPC),M169*P_FACT_IPC)))</f>
        <v>13.8259833134684</v>
      </c>
      <c r="Q169" s="11" t="n">
        <f aca="false">IF(J169="%mo",L169/100*SUMIFS($R$7:$R$782,$A$7:$A$782,A169),L169*P169)</f>
        <v>0.0691299165673421</v>
      </c>
      <c r="R169" s="11" t="n">
        <f aca="false">IF(G169="MO",L169*P169,0)</f>
        <v>0.0691299165673421</v>
      </c>
    </row>
    <row r="170" customFormat="false" ht="15" hidden="false" customHeight="false" outlineLevel="0" collapsed="false">
      <c r="A170" s="9" t="s">
        <v>470</v>
      </c>
      <c r="B170" s="9" t="s">
        <v>270</v>
      </c>
      <c r="C170" s="9" t="s">
        <v>471</v>
      </c>
      <c r="D170" s="9" t="s">
        <v>394</v>
      </c>
      <c r="E170" s="9" t="s">
        <v>16</v>
      </c>
      <c r="F170" s="10" t="n">
        <v>1.17</v>
      </c>
      <c r="G170" s="9" t="s">
        <v>281</v>
      </c>
      <c r="H170" s="9" t="s">
        <v>286</v>
      </c>
      <c r="I170" s="9" t="s">
        <v>122</v>
      </c>
      <c r="J170" s="9" t="s">
        <v>283</v>
      </c>
      <c r="K170" s="31" t="n">
        <v>1</v>
      </c>
      <c r="L170" s="31" t="n">
        <v>0.05</v>
      </c>
      <c r="M170" s="10" t="n">
        <v>16.78</v>
      </c>
      <c r="N170" s="10" t="n">
        <v>0.84</v>
      </c>
      <c r="O170" s="9" t="s">
        <v>287</v>
      </c>
      <c r="P170" s="11" t="n">
        <f aca="false">IF(J170="%mo","",IF(G170="MO",IF(J170="hh",INDEX(MO_HH,MATCH(I170,MO_CAT,0)),M170*P_FACT_IPC),IF(G170="SUBPART",IFERROR(INDEX(APU_SUBP!$C$7:$C$40,MATCH(H170,APU_SUBP!$A$7:$A$40,0)),M170*P_FACT_IPC),M170*P_FACT_IPC)))</f>
        <v>12.5</v>
      </c>
      <c r="Q170" s="11" t="n">
        <f aca="false">IF(J170="%mo",L170/100*SUMIFS($R$7:$R$782,$A$7:$A$782,A170),L170*P170)</f>
        <v>0.625</v>
      </c>
      <c r="R170" s="11" t="n">
        <f aca="false">IF(G170="MO",L170*P170,0)</f>
        <v>0.625</v>
      </c>
    </row>
    <row r="171" customFormat="false" ht="15" hidden="false" customHeight="false" outlineLevel="0" collapsed="false">
      <c r="A171" s="7" t="s">
        <v>470</v>
      </c>
      <c r="B171" s="7" t="s">
        <v>270</v>
      </c>
      <c r="C171" s="7" t="s">
        <v>471</v>
      </c>
      <c r="D171" s="7" t="s">
        <v>394</v>
      </c>
      <c r="E171" s="7" t="s">
        <v>16</v>
      </c>
      <c r="F171" s="11" t="n">
        <v>1.17</v>
      </c>
      <c r="G171" s="7" t="s">
        <v>307</v>
      </c>
      <c r="H171" s="7" t="s">
        <v>395</v>
      </c>
      <c r="I171" s="7" t="s">
        <v>396</v>
      </c>
      <c r="J171" s="7" t="s">
        <v>361</v>
      </c>
      <c r="K171" s="22"/>
      <c r="L171" s="22" t="n">
        <v>0.11</v>
      </c>
      <c r="M171" s="11" t="n">
        <v>1.16</v>
      </c>
      <c r="N171" s="11" t="n">
        <v>0.13</v>
      </c>
      <c r="O171" s="7"/>
      <c r="P171" s="11" t="n">
        <f aca="false">IF(J171="%mo","",IF(G171="MO",IF(J171="hh",INDEX(MO_HH,MATCH(I171,MO_CAT,0)),M171*P_FACT_IPC),IF(G171="SUBPART",IFERROR(INDEX(APU_SUBP!$C$7:$C$40,MATCH(H171,APU_SUBP!$A$7:$A$40,0)),M171*P_FACT_IPC),M171*P_FACT_IPC)))</f>
        <v>1.49210317559198</v>
      </c>
      <c r="Q171" s="11" t="n">
        <f aca="false">IF(J171="%mo",L171/100*SUMIFS($R$7:$R$782,$A$7:$A$782,A171),L171*P171)</f>
        <v>0.164131349315118</v>
      </c>
      <c r="R171" s="11" t="n">
        <f aca="false">IF(G171="MO",L171*P171,0)</f>
        <v>0</v>
      </c>
    </row>
    <row r="172" customFormat="false" ht="15" hidden="false" customHeight="false" outlineLevel="0" collapsed="false">
      <c r="A172" s="9" t="s">
        <v>470</v>
      </c>
      <c r="B172" s="9" t="s">
        <v>270</v>
      </c>
      <c r="C172" s="9" t="s">
        <v>471</v>
      </c>
      <c r="D172" s="9" t="s">
        <v>394</v>
      </c>
      <c r="E172" s="9" t="s">
        <v>16</v>
      </c>
      <c r="F172" s="10" t="n">
        <v>1.17</v>
      </c>
      <c r="G172" s="9" t="s">
        <v>307</v>
      </c>
      <c r="H172" s="9" t="s">
        <v>397</v>
      </c>
      <c r="I172" s="9" t="s">
        <v>398</v>
      </c>
      <c r="J172" s="9" t="s">
        <v>16</v>
      </c>
      <c r="K172" s="31"/>
      <c r="L172" s="31" t="n">
        <v>1</v>
      </c>
      <c r="M172" s="10" t="n">
        <v>0.05</v>
      </c>
      <c r="N172" s="10" t="n">
        <v>0.05</v>
      </c>
      <c r="O172" s="9"/>
      <c r="P172" s="11" t="n">
        <f aca="false">IF(J172="%mo","",IF(G172="MO",IF(J172="hh",INDEX(MO_HH,MATCH(I172,MO_CAT,0)),M172*P_FACT_IPC),IF(G172="SUBPART",IFERROR(INDEX(APU_SUBP!$C$7:$C$40,MATCH(H172,APU_SUBP!$A$7:$A$40,0)),M172*P_FACT_IPC),M172*P_FACT_IPC)))</f>
        <v>0.0643147920513786</v>
      </c>
      <c r="Q172" s="11" t="n">
        <f aca="false">IF(J172="%mo",L172/100*SUMIFS($R$7:$R$782,$A$7:$A$782,A172),L172*P172)</f>
        <v>0.0643147920513786</v>
      </c>
      <c r="R172" s="11" t="n">
        <f aca="false">IF(G172="MO",L172*P172,0)</f>
        <v>0</v>
      </c>
    </row>
    <row r="173" customFormat="false" ht="15" hidden="false" customHeight="false" outlineLevel="0" collapsed="false">
      <c r="A173" s="7" t="s">
        <v>470</v>
      </c>
      <c r="B173" s="7" t="s">
        <v>270</v>
      </c>
      <c r="C173" s="7" t="s">
        <v>471</v>
      </c>
      <c r="D173" s="7" t="s">
        <v>394</v>
      </c>
      <c r="E173" s="7" t="s">
        <v>16</v>
      </c>
      <c r="F173" s="11" t="n">
        <v>1.17</v>
      </c>
      <c r="G173" s="7" t="s">
        <v>288</v>
      </c>
      <c r="H173" s="7" t="s">
        <v>327</v>
      </c>
      <c r="I173" s="7" t="s">
        <v>328</v>
      </c>
      <c r="J173" s="7" t="s">
        <v>329</v>
      </c>
      <c r="K173" s="22"/>
      <c r="L173" s="22" t="n">
        <v>3</v>
      </c>
      <c r="M173" s="11" t="n">
        <v>0.93</v>
      </c>
      <c r="N173" s="11" t="n">
        <v>0.03</v>
      </c>
      <c r="O173" s="7"/>
      <c r="P173" s="11" t="str">
        <f aca="false">IF(J173="%mo","",IF(G173="MO",IF(J173="hh",INDEX(MO_HH,MATCH(I173,MO_CAT,0)),M173*P_FACT_IPC),IF(G173="SUBPART",IFERROR(INDEX(APU_SUBP!$C$7:$C$40,MATCH(H173,APU_SUBP!$A$7:$A$40,0)),M173*P_FACT_IPC),M173*P_FACT_IPC)))</f>
        <v/>
      </c>
      <c r="Q173" s="11" t="n">
        <f aca="false">IF(J173="%mo",L173/100*SUMIFS($R$7:$R$782,$A$7:$A$782,A173),L173*P173)</f>
        <v>0.0208238974970203</v>
      </c>
      <c r="R173" s="11" t="n">
        <f aca="false">IF(G173="MO",L173*P173,0)</f>
        <v>0</v>
      </c>
    </row>
    <row r="174" customFormat="false" ht="15" hidden="false" customHeight="false" outlineLevel="0" collapsed="false">
      <c r="A174" s="9" t="s">
        <v>470</v>
      </c>
      <c r="B174" s="9" t="s">
        <v>270</v>
      </c>
      <c r="C174" s="9" t="s">
        <v>471</v>
      </c>
      <c r="D174" s="9" t="s">
        <v>394</v>
      </c>
      <c r="E174" s="9" t="s">
        <v>16</v>
      </c>
      <c r="F174" s="10" t="n">
        <v>1.17</v>
      </c>
      <c r="G174" s="9" t="s">
        <v>370</v>
      </c>
      <c r="H174" s="9" t="s">
        <v>399</v>
      </c>
      <c r="I174" s="9" t="s">
        <v>400</v>
      </c>
      <c r="J174" s="9" t="s">
        <v>273</v>
      </c>
      <c r="K174" s="31"/>
      <c r="L174" s="31" t="n">
        <v>0.0012</v>
      </c>
      <c r="M174" s="10" t="n">
        <v>24.35</v>
      </c>
      <c r="N174" s="10" t="n">
        <v>0.03</v>
      </c>
      <c r="O174" s="9"/>
      <c r="P174" s="11" t="n">
        <f aca="false">IF(J174="%mo","",IF(G174="MO",IF(J174="hh",INDEX(MO_HH,MATCH(I174,MO_CAT,0)),M174*P_FACT_IPC),IF(G174="SUBPART",IFERROR(INDEX(APU_SUBP!$C$7:$C$40,MATCH(H174,APU_SUBP!$A$7:$A$40,0)),M174*P_FACT_IPC),M174*P_FACT_IPC)))</f>
        <v>30.5614930535066</v>
      </c>
      <c r="Q174" s="11" t="n">
        <f aca="false">IF(J174="%mo",L174/100*SUMIFS($R$7:$R$782,$A$7:$A$782,A174),L174*P174)</f>
        <v>0.036673791664208</v>
      </c>
      <c r="R174" s="11" t="n">
        <f aca="false">IF(G174="MO",L174*P174,0)</f>
        <v>0</v>
      </c>
    </row>
    <row r="175" customFormat="false" ht="15" hidden="false" customHeight="false" outlineLevel="0" collapsed="false">
      <c r="A175" s="7" t="s">
        <v>472</v>
      </c>
      <c r="B175" s="7" t="s">
        <v>270</v>
      </c>
      <c r="C175" s="7" t="s">
        <v>473</v>
      </c>
      <c r="D175" s="7" t="s">
        <v>403</v>
      </c>
      <c r="E175" s="7" t="s">
        <v>16</v>
      </c>
      <c r="F175" s="11" t="n">
        <v>0.16</v>
      </c>
      <c r="G175" s="7" t="s">
        <v>281</v>
      </c>
      <c r="H175" s="7" t="s">
        <v>285</v>
      </c>
      <c r="I175" s="7" t="s">
        <v>117</v>
      </c>
      <c r="J175" s="7" t="s">
        <v>283</v>
      </c>
      <c r="K175" s="22" t="n">
        <v>1</v>
      </c>
      <c r="L175" s="22" t="n">
        <v>0.0013</v>
      </c>
      <c r="M175" s="11" t="n">
        <v>18.56</v>
      </c>
      <c r="N175" s="11" t="n">
        <v>0.02</v>
      </c>
      <c r="O175" s="7" t="s">
        <v>284</v>
      </c>
      <c r="P175" s="11" t="n">
        <f aca="false">IF(J175="%mo","",IF(G175="MO",IF(J175="hh",INDEX(MO_HH,MATCH(I175,MO_CAT,0)),M175*P_FACT_IPC),IF(G175="SUBPART",IFERROR(INDEX(APU_SUBP!$C$7:$C$40,MATCH(H175,APU_SUBP!$A$7:$A$40,0)),M175*P_FACT_IPC),M175*P_FACT_IPC)))</f>
        <v>13.8259833134684</v>
      </c>
      <c r="Q175" s="11" t="n">
        <f aca="false">IF(J175="%mo",L175/100*SUMIFS($R$7:$R$782,$A$7:$A$782,A175),L175*P175)</f>
        <v>0.0179737783075089</v>
      </c>
      <c r="R175" s="11" t="n">
        <f aca="false">IF(G175="MO",L175*P175,0)</f>
        <v>0.0179737783075089</v>
      </c>
    </row>
    <row r="176" customFormat="false" ht="15" hidden="false" customHeight="false" outlineLevel="0" collapsed="false">
      <c r="A176" s="9" t="s">
        <v>472</v>
      </c>
      <c r="B176" s="9" t="s">
        <v>270</v>
      </c>
      <c r="C176" s="9" t="s">
        <v>473</v>
      </c>
      <c r="D176" s="9" t="s">
        <v>403</v>
      </c>
      <c r="E176" s="9" t="s">
        <v>16</v>
      </c>
      <c r="F176" s="10" t="n">
        <v>0.16</v>
      </c>
      <c r="G176" s="9" t="s">
        <v>281</v>
      </c>
      <c r="H176" s="9" t="s">
        <v>286</v>
      </c>
      <c r="I176" s="9" t="s">
        <v>122</v>
      </c>
      <c r="J176" s="9" t="s">
        <v>283</v>
      </c>
      <c r="K176" s="31" t="n">
        <v>2</v>
      </c>
      <c r="L176" s="31" t="n">
        <v>0.0027</v>
      </c>
      <c r="M176" s="10" t="n">
        <v>16.78</v>
      </c>
      <c r="N176" s="10" t="n">
        <v>0.05</v>
      </c>
      <c r="O176" s="9" t="s">
        <v>287</v>
      </c>
      <c r="P176" s="11" t="n">
        <f aca="false">IF(J176="%mo","",IF(G176="MO",IF(J176="hh",INDEX(MO_HH,MATCH(I176,MO_CAT,0)),M176*P_FACT_IPC),IF(G176="SUBPART",IFERROR(INDEX(APU_SUBP!$C$7:$C$40,MATCH(H176,APU_SUBP!$A$7:$A$40,0)),M176*P_FACT_IPC),M176*P_FACT_IPC)))</f>
        <v>12.5</v>
      </c>
      <c r="Q176" s="11" t="n">
        <f aca="false">IF(J176="%mo",L176/100*SUMIFS($R$7:$R$782,$A$7:$A$782,A176),L176*P176)</f>
        <v>0.03375</v>
      </c>
      <c r="R176" s="11" t="n">
        <f aca="false">IF(G176="MO",L176*P176,0)</f>
        <v>0.03375</v>
      </c>
    </row>
    <row r="177" customFormat="false" ht="15" hidden="false" customHeight="false" outlineLevel="0" collapsed="false">
      <c r="A177" s="7" t="s">
        <v>472</v>
      </c>
      <c r="B177" s="7" t="s">
        <v>270</v>
      </c>
      <c r="C177" s="7" t="s">
        <v>473</v>
      </c>
      <c r="D177" s="7" t="s">
        <v>403</v>
      </c>
      <c r="E177" s="7" t="s">
        <v>16</v>
      </c>
      <c r="F177" s="11" t="n">
        <v>0.16</v>
      </c>
      <c r="G177" s="7" t="s">
        <v>288</v>
      </c>
      <c r="H177" s="7" t="s">
        <v>404</v>
      </c>
      <c r="I177" s="7" t="s">
        <v>405</v>
      </c>
      <c r="J177" s="7" t="s">
        <v>291</v>
      </c>
      <c r="K177" s="22" t="n">
        <v>1</v>
      </c>
      <c r="L177" s="22" t="n">
        <v>0.0013</v>
      </c>
      <c r="M177" s="11" t="n">
        <v>65.48</v>
      </c>
      <c r="N177" s="11" t="n">
        <v>0.09</v>
      </c>
      <c r="O177" s="7"/>
      <c r="P177" s="11" t="n">
        <f aca="false">IF(J177="%mo","",IF(G177="MO",IF(J177="hh",INDEX(MO_HH,MATCH(I177,MO_CAT,0)),M177*P_FACT_IPC),IF(G177="SUBPART",IFERROR(INDEX(APU_SUBP!$C$7:$C$40,MATCH(H177,APU_SUBP!$A$7:$A$40,0)),M177*P_FACT_IPC),M177*P_FACT_IPC)))</f>
        <v>84.2266516704854</v>
      </c>
      <c r="Q177" s="11" t="n">
        <f aca="false">IF(J177="%mo",L177/100*SUMIFS($R$7:$R$782,$A$7:$A$782,A177),L177*P177)</f>
        <v>0.109494647171631</v>
      </c>
      <c r="R177" s="11" t="n">
        <f aca="false">IF(G177="MO",L177*P177,0)</f>
        <v>0</v>
      </c>
    </row>
    <row r="178" customFormat="false" ht="15" hidden="false" customHeight="false" outlineLevel="0" collapsed="false">
      <c r="A178" s="9" t="s">
        <v>474</v>
      </c>
      <c r="B178" s="9" t="s">
        <v>270</v>
      </c>
      <c r="C178" s="9" t="s">
        <v>475</v>
      </c>
      <c r="D178" s="9" t="s">
        <v>408</v>
      </c>
      <c r="E178" s="9" t="s">
        <v>16</v>
      </c>
      <c r="F178" s="10" t="n">
        <v>0.34</v>
      </c>
      <c r="G178" s="9" t="s">
        <v>281</v>
      </c>
      <c r="H178" s="9" t="s">
        <v>282</v>
      </c>
      <c r="I178" s="9" t="s">
        <v>107</v>
      </c>
      <c r="J178" s="9" t="s">
        <v>283</v>
      </c>
      <c r="K178" s="31" t="n">
        <v>0.1</v>
      </c>
      <c r="L178" s="31" t="n">
        <v>0.0007</v>
      </c>
      <c r="M178" s="10" t="n">
        <v>25.81</v>
      </c>
      <c r="N178" s="10" t="n">
        <v>0.02</v>
      </c>
      <c r="O178" s="9" t="s">
        <v>284</v>
      </c>
      <c r="P178" s="11" t="n">
        <f aca="false">IF(J178="%mo","",IF(G178="MO",IF(J178="hh",INDEX(MO_HH,MATCH(I178,MO_CAT,0)),M178*P_FACT_IPC),IF(G178="SUBPART",IFERROR(INDEX(APU_SUBP!$C$7:$C$40,MATCH(H178,APU_SUBP!$A$7:$A$40,0)),M178*P_FACT_IPC),M178*P_FACT_IPC)))</f>
        <v>19.226758045292</v>
      </c>
      <c r="Q178" s="11" t="n">
        <f aca="false">IF(J178="%mo",L178/100*SUMIFS($R$7:$R$782,$A$7:$A$782,A178),L178*P178)</f>
        <v>0.0134587306317044</v>
      </c>
      <c r="R178" s="11" t="n">
        <f aca="false">IF(G178="MO",L178*P178,0)</f>
        <v>0.0134587306317044</v>
      </c>
    </row>
    <row r="179" customFormat="false" ht="15" hidden="false" customHeight="false" outlineLevel="0" collapsed="false">
      <c r="A179" s="7" t="s">
        <v>474</v>
      </c>
      <c r="B179" s="7" t="s">
        <v>270</v>
      </c>
      <c r="C179" s="7" t="s">
        <v>475</v>
      </c>
      <c r="D179" s="7" t="s">
        <v>408</v>
      </c>
      <c r="E179" s="7" t="s">
        <v>16</v>
      </c>
      <c r="F179" s="11" t="n">
        <v>0.34</v>
      </c>
      <c r="G179" s="7" t="s">
        <v>281</v>
      </c>
      <c r="H179" s="7" t="s">
        <v>286</v>
      </c>
      <c r="I179" s="7" t="s">
        <v>122</v>
      </c>
      <c r="J179" s="7" t="s">
        <v>283</v>
      </c>
      <c r="K179" s="22" t="n">
        <v>1</v>
      </c>
      <c r="L179" s="22" t="n">
        <v>0.0067</v>
      </c>
      <c r="M179" s="11" t="n">
        <v>16.78</v>
      </c>
      <c r="N179" s="11" t="n">
        <v>0.11</v>
      </c>
      <c r="O179" s="7" t="s">
        <v>287</v>
      </c>
      <c r="P179" s="11" t="n">
        <f aca="false">IF(J179="%mo","",IF(G179="MO",IF(J179="hh",INDEX(MO_HH,MATCH(I179,MO_CAT,0)),M179*P_FACT_IPC),IF(G179="SUBPART",IFERROR(INDEX(APU_SUBP!$C$7:$C$40,MATCH(H179,APU_SUBP!$A$7:$A$40,0)),M179*P_FACT_IPC),M179*P_FACT_IPC)))</f>
        <v>12.5</v>
      </c>
      <c r="Q179" s="11" t="n">
        <f aca="false">IF(J179="%mo",L179/100*SUMIFS($R$7:$R$782,$A$7:$A$782,A179),L179*P179)</f>
        <v>0.08375</v>
      </c>
      <c r="R179" s="11" t="n">
        <f aca="false">IF(G179="MO",L179*P179,0)</f>
        <v>0.08375</v>
      </c>
    </row>
    <row r="180" customFormat="false" ht="15" hidden="false" customHeight="false" outlineLevel="0" collapsed="false">
      <c r="A180" s="9" t="s">
        <v>474</v>
      </c>
      <c r="B180" s="9" t="s">
        <v>270</v>
      </c>
      <c r="C180" s="9" t="s">
        <v>475</v>
      </c>
      <c r="D180" s="9" t="s">
        <v>408</v>
      </c>
      <c r="E180" s="9" t="s">
        <v>16</v>
      </c>
      <c r="F180" s="10" t="n">
        <v>0.34</v>
      </c>
      <c r="G180" s="9" t="s">
        <v>307</v>
      </c>
      <c r="H180" s="9" t="s">
        <v>409</v>
      </c>
      <c r="I180" s="9" t="s">
        <v>410</v>
      </c>
      <c r="J180" s="9" t="s">
        <v>411</v>
      </c>
      <c r="K180" s="31"/>
      <c r="L180" s="31" t="n">
        <v>0.002</v>
      </c>
      <c r="M180" s="10" t="n">
        <v>107.04</v>
      </c>
      <c r="N180" s="10" t="n">
        <v>0.21</v>
      </c>
      <c r="O180" s="9"/>
      <c r="P180" s="11" t="n">
        <f aca="false">IF(J180="%mo","",IF(G180="MO",IF(J180="hh",INDEX(MO_HH,MATCH(I180,MO_CAT,0)),M180*P_FACT_IPC),IF(G180="SUBPART",IFERROR(INDEX(APU_SUBP!$C$7:$C$40,MATCH(H180,APU_SUBP!$A$7:$A$40,0)),M180*P_FACT_IPC),M180*P_FACT_IPC)))</f>
        <v>137.685106823591</v>
      </c>
      <c r="Q180" s="11" t="n">
        <f aca="false">IF(J180="%mo",L180/100*SUMIFS($R$7:$R$782,$A$7:$A$782,A180),L180*P180)</f>
        <v>0.275370213647183</v>
      </c>
      <c r="R180" s="11" t="n">
        <f aca="false">IF(G180="MO",L180*P180,0)</f>
        <v>0</v>
      </c>
    </row>
    <row r="181" customFormat="false" ht="15" hidden="false" customHeight="false" outlineLevel="0" collapsed="false">
      <c r="A181" s="7" t="s">
        <v>474</v>
      </c>
      <c r="B181" s="7" t="s">
        <v>270</v>
      </c>
      <c r="C181" s="7" t="s">
        <v>475</v>
      </c>
      <c r="D181" s="7" t="s">
        <v>408</v>
      </c>
      <c r="E181" s="7" t="s">
        <v>16</v>
      </c>
      <c r="F181" s="11" t="n">
        <v>0.34</v>
      </c>
      <c r="G181" s="7" t="s">
        <v>288</v>
      </c>
      <c r="H181" s="7" t="s">
        <v>327</v>
      </c>
      <c r="I181" s="7" t="s">
        <v>328</v>
      </c>
      <c r="J181" s="7" t="s">
        <v>329</v>
      </c>
      <c r="K181" s="22"/>
      <c r="L181" s="22" t="n">
        <v>3</v>
      </c>
      <c r="M181" s="11" t="n">
        <v>0.13</v>
      </c>
      <c r="N181" s="11" t="n">
        <v>0.0039</v>
      </c>
      <c r="O181" s="7"/>
      <c r="P181" s="11" t="str">
        <f aca="false">IF(J181="%mo","",IF(G181="MO",IF(J181="hh",INDEX(MO_HH,MATCH(I181,MO_CAT,0)),M181*P_FACT_IPC),IF(G181="SUBPART",IFERROR(INDEX(APU_SUBP!$C$7:$C$40,MATCH(H181,APU_SUBP!$A$7:$A$40,0)),M181*P_FACT_IPC),M181*P_FACT_IPC)))</f>
        <v/>
      </c>
      <c r="Q181" s="11" t="n">
        <f aca="false">IF(J181="%mo",L181/100*SUMIFS($R$7:$R$782,$A$7:$A$782,A181),L181*P181)</f>
        <v>0.00291626191895113</v>
      </c>
      <c r="R181" s="11" t="n">
        <f aca="false">IF(G181="MO",L181*P181,0)</f>
        <v>0</v>
      </c>
    </row>
    <row r="182" customFormat="false" ht="15" hidden="false" customHeight="false" outlineLevel="0" collapsed="false">
      <c r="A182" s="9" t="s">
        <v>476</v>
      </c>
      <c r="B182" s="9" t="s">
        <v>270</v>
      </c>
      <c r="C182" s="9" t="s">
        <v>477</v>
      </c>
      <c r="D182" s="9" t="s">
        <v>414</v>
      </c>
      <c r="E182" s="9" t="s">
        <v>341</v>
      </c>
      <c r="F182" s="10" t="n">
        <v>0.81</v>
      </c>
      <c r="G182" s="9" t="s">
        <v>281</v>
      </c>
      <c r="H182" s="9" t="s">
        <v>282</v>
      </c>
      <c r="I182" s="9" t="s">
        <v>107</v>
      </c>
      <c r="J182" s="9" t="s">
        <v>283</v>
      </c>
      <c r="K182" s="31" t="n">
        <v>0.1</v>
      </c>
      <c r="L182" s="31" t="n">
        <v>0.004</v>
      </c>
      <c r="M182" s="10" t="n">
        <v>25.81</v>
      </c>
      <c r="N182" s="10" t="n">
        <v>0.1</v>
      </c>
      <c r="O182" s="9" t="s">
        <v>284</v>
      </c>
      <c r="P182" s="11" t="n">
        <f aca="false">IF(J182="%mo","",IF(G182="MO",IF(J182="hh",INDEX(MO_HH,MATCH(I182,MO_CAT,0)),M182*P_FACT_IPC),IF(G182="SUBPART",IFERROR(INDEX(APU_SUBP!$C$7:$C$40,MATCH(H182,APU_SUBP!$A$7:$A$40,0)),M182*P_FACT_IPC),M182*P_FACT_IPC)))</f>
        <v>19.226758045292</v>
      </c>
      <c r="Q182" s="11" t="n">
        <f aca="false">IF(J182="%mo",L182/100*SUMIFS($R$7:$R$782,$A$7:$A$782,A182),L182*P182)</f>
        <v>0.0769070321811681</v>
      </c>
      <c r="R182" s="11" t="n">
        <f aca="false">IF(G182="MO",L182*P182,0)</f>
        <v>0.0769070321811681</v>
      </c>
    </row>
    <row r="183" customFormat="false" ht="15" hidden="false" customHeight="false" outlineLevel="0" collapsed="false">
      <c r="A183" s="7" t="s">
        <v>476</v>
      </c>
      <c r="B183" s="7" t="s">
        <v>270</v>
      </c>
      <c r="C183" s="7" t="s">
        <v>477</v>
      </c>
      <c r="D183" s="7" t="s">
        <v>414</v>
      </c>
      <c r="E183" s="7" t="s">
        <v>341</v>
      </c>
      <c r="F183" s="11" t="n">
        <v>0.81</v>
      </c>
      <c r="G183" s="7" t="s">
        <v>281</v>
      </c>
      <c r="H183" s="7" t="s">
        <v>286</v>
      </c>
      <c r="I183" s="7" t="s">
        <v>122</v>
      </c>
      <c r="J183" s="7" t="s">
        <v>283</v>
      </c>
      <c r="K183" s="22" t="n">
        <v>1</v>
      </c>
      <c r="L183" s="22" t="n">
        <v>0.04</v>
      </c>
      <c r="M183" s="11" t="n">
        <v>16.78</v>
      </c>
      <c r="N183" s="11" t="n">
        <v>0.67</v>
      </c>
      <c r="O183" s="7" t="s">
        <v>287</v>
      </c>
      <c r="P183" s="11" t="n">
        <f aca="false">IF(J183="%mo","",IF(G183="MO",IF(J183="hh",INDEX(MO_HH,MATCH(I183,MO_CAT,0)),M183*P_FACT_IPC),IF(G183="SUBPART",IFERROR(INDEX(APU_SUBP!$C$7:$C$40,MATCH(H183,APU_SUBP!$A$7:$A$40,0)),M183*P_FACT_IPC),M183*P_FACT_IPC)))</f>
        <v>12.5</v>
      </c>
      <c r="Q183" s="11" t="n">
        <f aca="false">IF(J183="%mo",L183/100*SUMIFS($R$7:$R$782,$A$7:$A$782,A183),L183*P183)</f>
        <v>0.5</v>
      </c>
      <c r="R183" s="11" t="n">
        <f aca="false">IF(G183="MO",L183*P183,0)</f>
        <v>0.5</v>
      </c>
    </row>
    <row r="184" customFormat="false" ht="15" hidden="false" customHeight="false" outlineLevel="0" collapsed="false">
      <c r="A184" s="9" t="s">
        <v>476</v>
      </c>
      <c r="B184" s="9" t="s">
        <v>270</v>
      </c>
      <c r="C184" s="9" t="s">
        <v>477</v>
      </c>
      <c r="D184" s="9" t="s">
        <v>414</v>
      </c>
      <c r="E184" s="9" t="s">
        <v>341</v>
      </c>
      <c r="F184" s="10" t="n">
        <v>0.81</v>
      </c>
      <c r="G184" s="9" t="s">
        <v>288</v>
      </c>
      <c r="H184" s="9" t="s">
        <v>327</v>
      </c>
      <c r="I184" s="9" t="s">
        <v>328</v>
      </c>
      <c r="J184" s="9" t="s">
        <v>329</v>
      </c>
      <c r="K184" s="31"/>
      <c r="L184" s="31" t="n">
        <v>3</v>
      </c>
      <c r="M184" s="10" t="n">
        <v>0.77</v>
      </c>
      <c r="N184" s="10" t="n">
        <v>0.02</v>
      </c>
      <c r="O184" s="9"/>
      <c r="P184" s="11" t="str">
        <f aca="false">IF(J184="%mo","",IF(G184="MO",IF(J184="hh",INDEX(MO_HH,MATCH(I184,MO_CAT,0)),M184*P_FACT_IPC),IF(G184="SUBPART",IFERROR(INDEX(APU_SUBP!$C$7:$C$40,MATCH(H184,APU_SUBP!$A$7:$A$40,0)),M184*P_FACT_IPC),M184*P_FACT_IPC)))</f>
        <v/>
      </c>
      <c r="Q184" s="11" t="n">
        <f aca="false">IF(J184="%mo",L184/100*SUMIFS($R$7:$R$782,$A$7:$A$782,A184),L184*P184)</f>
        <v>0.017307210965435</v>
      </c>
      <c r="R184" s="11" t="n">
        <f aca="false">IF(G184="MO",L184*P184,0)</f>
        <v>0</v>
      </c>
    </row>
    <row r="185" customFormat="false" ht="15" hidden="false" customHeight="false" outlineLevel="0" collapsed="false">
      <c r="A185" s="7" t="s">
        <v>476</v>
      </c>
      <c r="B185" s="7" t="s">
        <v>270</v>
      </c>
      <c r="C185" s="7" t="s">
        <v>477</v>
      </c>
      <c r="D185" s="7" t="s">
        <v>414</v>
      </c>
      <c r="E185" s="7" t="s">
        <v>341</v>
      </c>
      <c r="F185" s="11" t="n">
        <v>0.81</v>
      </c>
      <c r="G185" s="7" t="s">
        <v>370</v>
      </c>
      <c r="H185" s="7" t="s">
        <v>415</v>
      </c>
      <c r="I185" s="7" t="s">
        <v>416</v>
      </c>
      <c r="J185" s="7" t="s">
        <v>273</v>
      </c>
      <c r="K185" s="22"/>
      <c r="L185" s="22" t="n">
        <v>0.001</v>
      </c>
      <c r="M185" s="11" t="n">
        <v>21.15</v>
      </c>
      <c r="N185" s="11" t="n">
        <v>0.02</v>
      </c>
      <c r="O185" s="7"/>
      <c r="P185" s="11" t="n">
        <f aca="false">IF(J185="%mo","",IF(G185="MO",IF(J185="hh",INDEX(MO_HH,MATCH(I185,MO_CAT,0)),M185*P_FACT_IPC),IF(G185="SUBPART",IFERROR(INDEX(APU_SUBP!$C$7:$C$40,MATCH(H185,APU_SUBP!$A$7:$A$40,0)),M185*P_FACT_IPC),M185*P_FACT_IPC)))</f>
        <v>22.7438822970285</v>
      </c>
      <c r="Q185" s="11" t="n">
        <f aca="false">IF(J185="%mo",L185/100*SUMIFS($R$7:$R$782,$A$7:$A$782,A185),L185*P185)</f>
        <v>0.0227438822970285</v>
      </c>
      <c r="R185" s="11" t="n">
        <f aca="false">IF(G185="MO",L185*P185,0)</f>
        <v>0</v>
      </c>
    </row>
    <row r="186" customFormat="false" ht="15" hidden="false" customHeight="false" outlineLevel="0" collapsed="false">
      <c r="A186" s="9" t="s">
        <v>478</v>
      </c>
      <c r="B186" s="9" t="s">
        <v>270</v>
      </c>
      <c r="C186" s="9" t="s">
        <v>479</v>
      </c>
      <c r="D186" s="9" t="s">
        <v>419</v>
      </c>
      <c r="E186" s="9" t="s">
        <v>16</v>
      </c>
      <c r="F186" s="10" t="n">
        <v>1.48</v>
      </c>
      <c r="G186" s="9" t="s">
        <v>281</v>
      </c>
      <c r="H186" s="9" t="s">
        <v>282</v>
      </c>
      <c r="I186" s="9" t="s">
        <v>107</v>
      </c>
      <c r="J186" s="9" t="s">
        <v>283</v>
      </c>
      <c r="K186" s="31" t="n">
        <v>1</v>
      </c>
      <c r="L186" s="31" t="n">
        <v>0.001</v>
      </c>
      <c r="M186" s="10" t="n">
        <v>25.81</v>
      </c>
      <c r="N186" s="10" t="n">
        <v>0.03</v>
      </c>
      <c r="O186" s="9" t="s">
        <v>284</v>
      </c>
      <c r="P186" s="11" t="n">
        <f aca="false">IF(J186="%mo","",IF(G186="MO",IF(J186="hh",INDEX(MO_HH,MATCH(I186,MO_CAT,0)),M186*P_FACT_IPC),IF(G186="SUBPART",IFERROR(INDEX(APU_SUBP!$C$7:$C$40,MATCH(H186,APU_SUBP!$A$7:$A$40,0)),M186*P_FACT_IPC),M186*P_FACT_IPC)))</f>
        <v>19.226758045292</v>
      </c>
      <c r="Q186" s="11" t="n">
        <f aca="false">IF(J186="%mo",L186/100*SUMIFS($R$7:$R$782,$A$7:$A$782,A186),L186*P186)</f>
        <v>0.019226758045292</v>
      </c>
      <c r="R186" s="11" t="n">
        <f aca="false">IF(G186="MO",L186*P186,0)</f>
        <v>0.019226758045292</v>
      </c>
    </row>
    <row r="187" customFormat="false" ht="15" hidden="false" customHeight="false" outlineLevel="0" collapsed="false">
      <c r="A187" s="7" t="s">
        <v>478</v>
      </c>
      <c r="B187" s="7" t="s">
        <v>270</v>
      </c>
      <c r="C187" s="7" t="s">
        <v>479</v>
      </c>
      <c r="D187" s="7" t="s">
        <v>419</v>
      </c>
      <c r="E187" s="7" t="s">
        <v>16</v>
      </c>
      <c r="F187" s="11" t="n">
        <v>1.48</v>
      </c>
      <c r="G187" s="7" t="s">
        <v>281</v>
      </c>
      <c r="H187" s="7" t="s">
        <v>286</v>
      </c>
      <c r="I187" s="7" t="s">
        <v>122</v>
      </c>
      <c r="J187" s="7" t="s">
        <v>283</v>
      </c>
      <c r="K187" s="22" t="n">
        <v>50</v>
      </c>
      <c r="L187" s="22" t="n">
        <v>0.05</v>
      </c>
      <c r="M187" s="11" t="n">
        <v>16.78</v>
      </c>
      <c r="N187" s="11" t="n">
        <v>0.84</v>
      </c>
      <c r="O187" s="7" t="s">
        <v>287</v>
      </c>
      <c r="P187" s="11" t="n">
        <f aca="false">IF(J187="%mo","",IF(G187="MO",IF(J187="hh",INDEX(MO_HH,MATCH(I187,MO_CAT,0)),M187*P_FACT_IPC),IF(G187="SUBPART",IFERROR(INDEX(APU_SUBP!$C$7:$C$40,MATCH(H187,APU_SUBP!$A$7:$A$40,0)),M187*P_FACT_IPC),M187*P_FACT_IPC)))</f>
        <v>12.5</v>
      </c>
      <c r="Q187" s="11" t="n">
        <f aca="false">IF(J187="%mo",L187/100*SUMIFS($R$7:$R$782,$A$7:$A$782,A187),L187*P187)</f>
        <v>0.625</v>
      </c>
      <c r="R187" s="11" t="n">
        <f aca="false">IF(G187="MO",L187*P187,0)</f>
        <v>0.625</v>
      </c>
    </row>
    <row r="188" customFormat="false" ht="15" hidden="false" customHeight="false" outlineLevel="0" collapsed="false">
      <c r="A188" s="9" t="s">
        <v>478</v>
      </c>
      <c r="B188" s="9" t="s">
        <v>270</v>
      </c>
      <c r="C188" s="9" t="s">
        <v>479</v>
      </c>
      <c r="D188" s="9" t="s">
        <v>419</v>
      </c>
      <c r="E188" s="9" t="s">
        <v>16</v>
      </c>
      <c r="F188" s="10" t="n">
        <v>1.48</v>
      </c>
      <c r="G188" s="9" t="s">
        <v>307</v>
      </c>
      <c r="H188" s="9" t="s">
        <v>395</v>
      </c>
      <c r="I188" s="9" t="s">
        <v>396</v>
      </c>
      <c r="J188" s="9" t="s">
        <v>361</v>
      </c>
      <c r="K188" s="31"/>
      <c r="L188" s="31" t="n">
        <v>0.5</v>
      </c>
      <c r="M188" s="10" t="n">
        <v>1.16</v>
      </c>
      <c r="N188" s="10" t="n">
        <v>0.58</v>
      </c>
      <c r="O188" s="9"/>
      <c r="P188" s="11" t="n">
        <f aca="false">IF(J188="%mo","",IF(G188="MO",IF(J188="hh",INDEX(MO_HH,MATCH(I188,MO_CAT,0)),M188*P_FACT_IPC),IF(G188="SUBPART",IFERROR(INDEX(APU_SUBP!$C$7:$C$40,MATCH(H188,APU_SUBP!$A$7:$A$40,0)),M188*P_FACT_IPC),M188*P_FACT_IPC)))</f>
        <v>1.49210317559198</v>
      </c>
      <c r="Q188" s="11" t="n">
        <f aca="false">IF(J188="%mo",L188/100*SUMIFS($R$7:$R$782,$A$7:$A$782,A188),L188*P188)</f>
        <v>0.746051587795992</v>
      </c>
      <c r="R188" s="11" t="n">
        <f aca="false">IF(G188="MO",L188*P188,0)</f>
        <v>0</v>
      </c>
    </row>
    <row r="189" customFormat="false" ht="15" hidden="false" customHeight="false" outlineLevel="0" collapsed="false">
      <c r="A189" s="7" t="s">
        <v>478</v>
      </c>
      <c r="B189" s="7" t="s">
        <v>270</v>
      </c>
      <c r="C189" s="7" t="s">
        <v>479</v>
      </c>
      <c r="D189" s="7" t="s">
        <v>419</v>
      </c>
      <c r="E189" s="7" t="s">
        <v>16</v>
      </c>
      <c r="F189" s="11" t="n">
        <v>1.48</v>
      </c>
      <c r="G189" s="7" t="s">
        <v>288</v>
      </c>
      <c r="H189" s="7" t="s">
        <v>327</v>
      </c>
      <c r="I189" s="7" t="s">
        <v>328</v>
      </c>
      <c r="J189" s="7" t="s">
        <v>329</v>
      </c>
      <c r="K189" s="22"/>
      <c r="L189" s="22" t="n">
        <v>3</v>
      </c>
      <c r="M189" s="11" t="n">
        <v>0.87</v>
      </c>
      <c r="N189" s="11" t="n">
        <v>0.03</v>
      </c>
      <c r="O189" s="7"/>
      <c r="P189" s="11" t="str">
        <f aca="false">IF(J189="%mo","",IF(G189="MO",IF(J189="hh",INDEX(MO_HH,MATCH(I189,MO_CAT,0)),M189*P_FACT_IPC),IF(G189="SUBPART",IFERROR(INDEX(APU_SUBP!$C$7:$C$40,MATCH(H189,APU_SUBP!$A$7:$A$40,0)),M189*P_FACT_IPC),M189*P_FACT_IPC)))</f>
        <v/>
      </c>
      <c r="Q189" s="11" t="n">
        <f aca="false">IF(J189="%mo",L189/100*SUMIFS($R$7:$R$782,$A$7:$A$782,A189),L189*P189)</f>
        <v>0.0193268027413588</v>
      </c>
      <c r="R189" s="11" t="n">
        <f aca="false">IF(G189="MO",L189*P189,0)</f>
        <v>0</v>
      </c>
    </row>
    <row r="190" customFormat="false" ht="15" hidden="false" customHeight="false" outlineLevel="0" collapsed="false">
      <c r="A190" s="9" t="s">
        <v>480</v>
      </c>
      <c r="B190" s="9" t="s">
        <v>270</v>
      </c>
      <c r="C190" s="9" t="s">
        <v>481</v>
      </c>
      <c r="D190" s="9" t="s">
        <v>422</v>
      </c>
      <c r="E190" s="9" t="s">
        <v>16</v>
      </c>
      <c r="F190" s="10" t="n">
        <v>1.05</v>
      </c>
      <c r="G190" s="9" t="s">
        <v>281</v>
      </c>
      <c r="H190" s="9" t="s">
        <v>282</v>
      </c>
      <c r="I190" s="9" t="s">
        <v>107</v>
      </c>
      <c r="J190" s="9" t="s">
        <v>283</v>
      </c>
      <c r="K190" s="31" t="n">
        <v>1</v>
      </c>
      <c r="L190" s="31" t="n">
        <v>0.001</v>
      </c>
      <c r="M190" s="10" t="n">
        <v>25.81</v>
      </c>
      <c r="N190" s="10" t="n">
        <v>0.03</v>
      </c>
      <c r="O190" s="9" t="s">
        <v>284</v>
      </c>
      <c r="P190" s="11" t="n">
        <f aca="false">IF(J190="%mo","",IF(G190="MO",IF(J190="hh",INDEX(MO_HH,MATCH(I190,MO_CAT,0)),M190*P_FACT_IPC),IF(G190="SUBPART",IFERROR(INDEX(APU_SUBP!$C$7:$C$40,MATCH(H190,APU_SUBP!$A$7:$A$40,0)),M190*P_FACT_IPC),M190*P_FACT_IPC)))</f>
        <v>19.226758045292</v>
      </c>
      <c r="Q190" s="11" t="n">
        <f aca="false">IF(J190="%mo",L190/100*SUMIFS($R$7:$R$782,$A$7:$A$782,A190),L190*P190)</f>
        <v>0.019226758045292</v>
      </c>
      <c r="R190" s="11" t="n">
        <f aca="false">IF(G190="MO",L190*P190,0)</f>
        <v>0.019226758045292</v>
      </c>
    </row>
    <row r="191" customFormat="false" ht="15" hidden="false" customHeight="false" outlineLevel="0" collapsed="false">
      <c r="A191" s="7" t="s">
        <v>480</v>
      </c>
      <c r="B191" s="7" t="s">
        <v>270</v>
      </c>
      <c r="C191" s="7" t="s">
        <v>481</v>
      </c>
      <c r="D191" s="7" t="s">
        <v>422</v>
      </c>
      <c r="E191" s="7" t="s">
        <v>16</v>
      </c>
      <c r="F191" s="11" t="n">
        <v>1.05</v>
      </c>
      <c r="G191" s="7" t="s">
        <v>281</v>
      </c>
      <c r="H191" s="7" t="s">
        <v>286</v>
      </c>
      <c r="I191" s="7" t="s">
        <v>122</v>
      </c>
      <c r="J191" s="7" t="s">
        <v>283</v>
      </c>
      <c r="K191" s="22" t="n">
        <v>50</v>
      </c>
      <c r="L191" s="22" t="n">
        <v>0.05</v>
      </c>
      <c r="M191" s="11" t="n">
        <v>16.78</v>
      </c>
      <c r="N191" s="11" t="n">
        <v>0.84</v>
      </c>
      <c r="O191" s="7" t="s">
        <v>287</v>
      </c>
      <c r="P191" s="11" t="n">
        <f aca="false">IF(J191="%mo","",IF(G191="MO",IF(J191="hh",INDEX(MO_HH,MATCH(I191,MO_CAT,0)),M191*P_FACT_IPC),IF(G191="SUBPART",IFERROR(INDEX(APU_SUBP!$C$7:$C$40,MATCH(H191,APU_SUBP!$A$7:$A$40,0)),M191*P_FACT_IPC),M191*P_FACT_IPC)))</f>
        <v>12.5</v>
      </c>
      <c r="Q191" s="11" t="n">
        <f aca="false">IF(J191="%mo",L191/100*SUMIFS($R$7:$R$782,$A$7:$A$782,A191),L191*P191)</f>
        <v>0.625</v>
      </c>
      <c r="R191" s="11" t="n">
        <f aca="false">IF(G191="MO",L191*P191,0)</f>
        <v>0.625</v>
      </c>
    </row>
    <row r="192" customFormat="false" ht="15" hidden="false" customHeight="false" outlineLevel="0" collapsed="false">
      <c r="A192" s="9" t="s">
        <v>480</v>
      </c>
      <c r="B192" s="9" t="s">
        <v>270</v>
      </c>
      <c r="C192" s="9" t="s">
        <v>481</v>
      </c>
      <c r="D192" s="9" t="s">
        <v>422</v>
      </c>
      <c r="E192" s="9" t="s">
        <v>16</v>
      </c>
      <c r="F192" s="10" t="n">
        <v>1.05</v>
      </c>
      <c r="G192" s="9" t="s">
        <v>307</v>
      </c>
      <c r="H192" s="9" t="s">
        <v>423</v>
      </c>
      <c r="I192" s="9" t="s">
        <v>424</v>
      </c>
      <c r="J192" s="9" t="s">
        <v>21</v>
      </c>
      <c r="K192" s="31"/>
      <c r="L192" s="31" t="n">
        <v>0.01</v>
      </c>
      <c r="M192" s="10" t="n">
        <v>0.7</v>
      </c>
      <c r="N192" s="10" t="n">
        <v>0.01</v>
      </c>
      <c r="O192" s="9"/>
      <c r="P192" s="11" t="n">
        <f aca="false">IF(J192="%mo","",IF(G192="MO",IF(J192="hh",INDEX(MO_HH,MATCH(I192,MO_CAT,0)),M192*P_FACT_IPC),IF(G192="SUBPART",IFERROR(INDEX(APU_SUBP!$C$7:$C$40,MATCH(H192,APU_SUBP!$A$7:$A$40,0)),M192*P_FACT_IPC),M192*P_FACT_IPC)))</f>
        <v>0.9004070887193</v>
      </c>
      <c r="Q192" s="11" t="n">
        <f aca="false">IF(J192="%mo",L192/100*SUMIFS($R$7:$R$782,$A$7:$A$782,A192),L192*P192)</f>
        <v>0.009004070887193</v>
      </c>
      <c r="R192" s="11" t="n">
        <f aca="false">IF(G192="MO",L192*P192,0)</f>
        <v>0</v>
      </c>
    </row>
    <row r="193" customFormat="false" ht="15" hidden="false" customHeight="false" outlineLevel="0" collapsed="false">
      <c r="A193" s="7" t="s">
        <v>480</v>
      </c>
      <c r="B193" s="7" t="s">
        <v>270</v>
      </c>
      <c r="C193" s="7" t="s">
        <v>481</v>
      </c>
      <c r="D193" s="7" t="s">
        <v>422</v>
      </c>
      <c r="E193" s="7" t="s">
        <v>16</v>
      </c>
      <c r="F193" s="11" t="n">
        <v>1.05</v>
      </c>
      <c r="G193" s="7" t="s">
        <v>307</v>
      </c>
      <c r="H193" s="7" t="s">
        <v>425</v>
      </c>
      <c r="I193" s="7" t="s">
        <v>426</v>
      </c>
      <c r="J193" s="7" t="s">
        <v>427</v>
      </c>
      <c r="K193" s="22"/>
      <c r="L193" s="22" t="n">
        <v>0.0025</v>
      </c>
      <c r="M193" s="11" t="n">
        <v>14.5</v>
      </c>
      <c r="N193" s="11" t="n">
        <v>0.04</v>
      </c>
      <c r="O193" s="7"/>
      <c r="P193" s="11" t="n">
        <f aca="false">IF(J193="%mo","",IF(G193="MO",IF(J193="hh",INDEX(MO_HH,MATCH(I193,MO_CAT,0)),M193*P_FACT_IPC),IF(G193="SUBPART",IFERROR(INDEX(APU_SUBP!$C$7:$C$40,MATCH(H193,APU_SUBP!$A$7:$A$40,0)),M193*P_FACT_IPC),M193*P_FACT_IPC)))</f>
        <v>18.6512896948998</v>
      </c>
      <c r="Q193" s="11" t="n">
        <f aca="false">IF(J193="%mo",L193/100*SUMIFS($R$7:$R$782,$A$7:$A$782,A193),L193*P193)</f>
        <v>0.0466282242372495</v>
      </c>
      <c r="R193" s="11" t="n">
        <f aca="false">IF(G193="MO",L193*P193,0)</f>
        <v>0</v>
      </c>
    </row>
    <row r="194" customFormat="false" ht="15" hidden="false" customHeight="false" outlineLevel="0" collapsed="false">
      <c r="A194" s="9" t="s">
        <v>480</v>
      </c>
      <c r="B194" s="9" t="s">
        <v>270</v>
      </c>
      <c r="C194" s="9" t="s">
        <v>481</v>
      </c>
      <c r="D194" s="9" t="s">
        <v>422</v>
      </c>
      <c r="E194" s="9" t="s">
        <v>16</v>
      </c>
      <c r="F194" s="10" t="n">
        <v>1.05</v>
      </c>
      <c r="G194" s="9" t="s">
        <v>288</v>
      </c>
      <c r="H194" s="9" t="s">
        <v>428</v>
      </c>
      <c r="I194" s="9" t="s">
        <v>429</v>
      </c>
      <c r="J194" s="9" t="s">
        <v>322</v>
      </c>
      <c r="K194" s="31" t="n">
        <v>1</v>
      </c>
      <c r="L194" s="31" t="n">
        <v>0.001</v>
      </c>
      <c r="M194" s="10" t="n">
        <v>15.62</v>
      </c>
      <c r="N194" s="10" t="n">
        <v>0.02</v>
      </c>
      <c r="O194" s="9"/>
      <c r="P194" s="11" t="n">
        <f aca="false">IF(J194="%mo","",IF(G194="MO",IF(J194="hh",INDEX(MO_HH,MATCH(I194,MO_CAT,0)),M194*P_FACT_IPC),IF(G194="SUBPART",IFERROR(INDEX(APU_SUBP!$C$7:$C$40,MATCH(H194,APU_SUBP!$A$7:$A$40,0)),M194*P_FACT_IPC),M194*P_FACT_IPC)))</f>
        <v>20.0919410368507</v>
      </c>
      <c r="Q194" s="11" t="n">
        <f aca="false">IF(J194="%mo",L194/100*SUMIFS($R$7:$R$782,$A$7:$A$782,A194),L194*P194)</f>
        <v>0.0200919410368507</v>
      </c>
      <c r="R194" s="11" t="n">
        <f aca="false">IF(G194="MO",L194*P194,0)</f>
        <v>0</v>
      </c>
    </row>
    <row r="195" customFormat="false" ht="15" hidden="false" customHeight="false" outlineLevel="0" collapsed="false">
      <c r="A195" s="7" t="s">
        <v>480</v>
      </c>
      <c r="B195" s="7" t="s">
        <v>270</v>
      </c>
      <c r="C195" s="7" t="s">
        <v>481</v>
      </c>
      <c r="D195" s="7" t="s">
        <v>422</v>
      </c>
      <c r="E195" s="7" t="s">
        <v>16</v>
      </c>
      <c r="F195" s="11" t="n">
        <v>1.05</v>
      </c>
      <c r="G195" s="7" t="s">
        <v>370</v>
      </c>
      <c r="H195" s="7" t="s">
        <v>415</v>
      </c>
      <c r="I195" s="7" t="s">
        <v>416</v>
      </c>
      <c r="J195" s="7" t="s">
        <v>273</v>
      </c>
      <c r="K195" s="22"/>
      <c r="L195" s="22" t="n">
        <v>0.005</v>
      </c>
      <c r="M195" s="11" t="n">
        <v>21.15</v>
      </c>
      <c r="N195" s="11" t="n">
        <v>0.11</v>
      </c>
      <c r="O195" s="7"/>
      <c r="P195" s="11" t="n">
        <f aca="false">IF(J195="%mo","",IF(G195="MO",IF(J195="hh",INDEX(MO_HH,MATCH(I195,MO_CAT,0)),M195*P_FACT_IPC),IF(G195="SUBPART",IFERROR(INDEX(APU_SUBP!$C$7:$C$40,MATCH(H195,APU_SUBP!$A$7:$A$40,0)),M195*P_FACT_IPC),M195*P_FACT_IPC)))</f>
        <v>22.7438822970285</v>
      </c>
      <c r="Q195" s="11" t="n">
        <f aca="false">IF(J195="%mo",L195/100*SUMIFS($R$7:$R$782,$A$7:$A$782,A195),L195*P195)</f>
        <v>0.113719411485142</v>
      </c>
      <c r="R195" s="11" t="n">
        <f aca="false">IF(G195="MO",L195*P195,0)</f>
        <v>0</v>
      </c>
    </row>
    <row r="196" customFormat="false" ht="15" hidden="false" customHeight="false" outlineLevel="0" collapsed="false">
      <c r="A196" s="9" t="s">
        <v>482</v>
      </c>
      <c r="B196" s="9" t="s">
        <v>483</v>
      </c>
      <c r="C196" s="9" t="s">
        <v>271</v>
      </c>
      <c r="D196" s="9" t="s">
        <v>484</v>
      </c>
      <c r="E196" s="9" t="s">
        <v>277</v>
      </c>
      <c r="F196" s="10" t="n">
        <v>93478.43</v>
      </c>
      <c r="G196" s="9" t="s">
        <v>274</v>
      </c>
      <c r="H196" s="9" t="s">
        <v>485</v>
      </c>
      <c r="I196" s="9" t="s">
        <v>486</v>
      </c>
      <c r="J196" s="9" t="s">
        <v>277</v>
      </c>
      <c r="K196" s="31"/>
      <c r="L196" s="31" t="n">
        <v>1</v>
      </c>
      <c r="M196" s="10" t="n">
        <v>93478.43</v>
      </c>
      <c r="N196" s="10" t="n">
        <v>93478.43</v>
      </c>
      <c r="O196" s="9"/>
      <c r="P196" s="11" t="n">
        <f aca="false">IF(J196="%mo","",IF(G196="MO",IF(J196="hh",INDEX(MO_HH,MATCH(I196,MO_CAT,0)),M196*P_FACT_IPC),IF(G196="SUBPART",IFERROR(INDEX(APU_SUBP!$C$7:$C$40,MATCH(H196,APU_SUBP!$A$7:$A$40,0)),M196*P_FACT_IPC),M196*P_FACT_IPC)))</f>
        <v>120240.915734787</v>
      </c>
      <c r="Q196" s="11" t="n">
        <f aca="false">IF(J196="%mo",L196/100*SUMIFS($R$7:$R$782,$A$7:$A$782,A196),L196*P196)</f>
        <v>120240.915734787</v>
      </c>
      <c r="R196" s="11" t="n">
        <f aca="false">IF(G196="MO",L196*P196,0)</f>
        <v>0</v>
      </c>
    </row>
    <row r="197" customFormat="false" ht="15" hidden="false" customHeight="false" outlineLevel="0" collapsed="false">
      <c r="A197" s="7" t="s">
        <v>487</v>
      </c>
      <c r="B197" s="7" t="s">
        <v>483</v>
      </c>
      <c r="C197" s="7" t="s">
        <v>279</v>
      </c>
      <c r="D197" s="7" t="s">
        <v>280</v>
      </c>
      <c r="E197" s="7" t="s">
        <v>18</v>
      </c>
      <c r="F197" s="11" t="n">
        <v>27992.8</v>
      </c>
      <c r="G197" s="7" t="s">
        <v>281</v>
      </c>
      <c r="H197" s="7" t="s">
        <v>282</v>
      </c>
      <c r="I197" s="7" t="s">
        <v>107</v>
      </c>
      <c r="J197" s="7" t="s">
        <v>283</v>
      </c>
      <c r="K197" s="22" t="n">
        <v>0.5</v>
      </c>
      <c r="L197" s="22" t="n">
        <v>16</v>
      </c>
      <c r="M197" s="11" t="n">
        <v>25.81</v>
      </c>
      <c r="N197" s="11" t="n">
        <v>412.96</v>
      </c>
      <c r="O197" s="7" t="s">
        <v>284</v>
      </c>
      <c r="P197" s="11" t="n">
        <f aca="false">IF(J197="%mo","",IF(G197="MO",IF(J197="hh",INDEX(MO_HH,MATCH(I197,MO_CAT,0)),M197*P_FACT_IPC),IF(G197="SUBPART",IFERROR(INDEX(APU_SUBP!$C$7:$C$40,MATCH(H197,APU_SUBP!$A$7:$A$40,0)),M197*P_FACT_IPC),M197*P_FACT_IPC)))</f>
        <v>19.226758045292</v>
      </c>
      <c r="Q197" s="11" t="n">
        <f aca="false">IF(J197="%mo",L197/100*SUMIFS($R$7:$R$782,$A$7:$A$782,A197),L197*P197)</f>
        <v>307.628128724672</v>
      </c>
      <c r="R197" s="11" t="n">
        <f aca="false">IF(G197="MO",L197*P197,0)</f>
        <v>307.628128724672</v>
      </c>
    </row>
    <row r="198" customFormat="false" ht="15" hidden="false" customHeight="false" outlineLevel="0" collapsed="false">
      <c r="A198" s="9" t="s">
        <v>487</v>
      </c>
      <c r="B198" s="9" t="s">
        <v>483</v>
      </c>
      <c r="C198" s="9" t="s">
        <v>279</v>
      </c>
      <c r="D198" s="9" t="s">
        <v>280</v>
      </c>
      <c r="E198" s="9" t="s">
        <v>18</v>
      </c>
      <c r="F198" s="10" t="n">
        <v>27992.8</v>
      </c>
      <c r="G198" s="9" t="s">
        <v>281</v>
      </c>
      <c r="H198" s="9" t="s">
        <v>285</v>
      </c>
      <c r="I198" s="9" t="s">
        <v>117</v>
      </c>
      <c r="J198" s="9" t="s">
        <v>283</v>
      </c>
      <c r="K198" s="31" t="n">
        <v>2</v>
      </c>
      <c r="L198" s="31" t="n">
        <v>64</v>
      </c>
      <c r="M198" s="10" t="n">
        <v>18.56</v>
      </c>
      <c r="N198" s="10" t="n">
        <v>1187.84</v>
      </c>
      <c r="O198" s="9" t="s">
        <v>284</v>
      </c>
      <c r="P198" s="11" t="n">
        <f aca="false">IF(J198="%mo","",IF(G198="MO",IF(J198="hh",INDEX(MO_HH,MATCH(I198,MO_CAT,0)),M198*P_FACT_IPC),IF(G198="SUBPART",IFERROR(INDEX(APU_SUBP!$C$7:$C$40,MATCH(H198,APU_SUBP!$A$7:$A$40,0)),M198*P_FACT_IPC),M198*P_FACT_IPC)))</f>
        <v>13.8259833134684</v>
      </c>
      <c r="Q198" s="11" t="n">
        <f aca="false">IF(J198="%mo",L198/100*SUMIFS($R$7:$R$782,$A$7:$A$782,A198),L198*P198)</f>
        <v>884.862932061978</v>
      </c>
      <c r="R198" s="11" t="n">
        <f aca="false">IF(G198="MO",L198*P198,0)</f>
        <v>884.862932061978</v>
      </c>
    </row>
    <row r="199" customFormat="false" ht="15" hidden="false" customHeight="false" outlineLevel="0" collapsed="false">
      <c r="A199" s="7" t="s">
        <v>487</v>
      </c>
      <c r="B199" s="7" t="s">
        <v>483</v>
      </c>
      <c r="C199" s="7" t="s">
        <v>279</v>
      </c>
      <c r="D199" s="7" t="s">
        <v>280</v>
      </c>
      <c r="E199" s="7" t="s">
        <v>18</v>
      </c>
      <c r="F199" s="11" t="n">
        <v>27992.8</v>
      </c>
      <c r="G199" s="7" t="s">
        <v>281</v>
      </c>
      <c r="H199" s="7" t="s">
        <v>286</v>
      </c>
      <c r="I199" s="7" t="s">
        <v>122</v>
      </c>
      <c r="J199" s="7" t="s">
        <v>283</v>
      </c>
      <c r="K199" s="22" t="n">
        <v>4</v>
      </c>
      <c r="L199" s="22" t="n">
        <v>128</v>
      </c>
      <c r="M199" s="11" t="n">
        <v>16.78</v>
      </c>
      <c r="N199" s="11" t="n">
        <v>2147.84</v>
      </c>
      <c r="O199" s="7" t="s">
        <v>287</v>
      </c>
      <c r="P199" s="11" t="n">
        <f aca="false">IF(J199="%mo","",IF(G199="MO",IF(J199="hh",INDEX(MO_HH,MATCH(I199,MO_CAT,0)),M199*P_FACT_IPC),IF(G199="SUBPART",IFERROR(INDEX(APU_SUBP!$C$7:$C$40,MATCH(H199,APU_SUBP!$A$7:$A$40,0)),M199*P_FACT_IPC),M199*P_FACT_IPC)))</f>
        <v>12.5</v>
      </c>
      <c r="Q199" s="11" t="n">
        <f aca="false">IF(J199="%mo",L199/100*SUMIFS($R$7:$R$782,$A$7:$A$782,A199),L199*P199)</f>
        <v>1600</v>
      </c>
      <c r="R199" s="11" t="n">
        <f aca="false">IF(G199="MO",L199*P199,0)</f>
        <v>1600</v>
      </c>
    </row>
    <row r="200" customFormat="false" ht="15" hidden="false" customHeight="false" outlineLevel="0" collapsed="false">
      <c r="A200" s="9" t="s">
        <v>487</v>
      </c>
      <c r="B200" s="9" t="s">
        <v>483</v>
      </c>
      <c r="C200" s="9" t="s">
        <v>279</v>
      </c>
      <c r="D200" s="9" t="s">
        <v>280</v>
      </c>
      <c r="E200" s="9" t="s">
        <v>18</v>
      </c>
      <c r="F200" s="10" t="n">
        <v>27992.8</v>
      </c>
      <c r="G200" s="9" t="s">
        <v>288</v>
      </c>
      <c r="H200" s="9" t="s">
        <v>289</v>
      </c>
      <c r="I200" s="9" t="s">
        <v>290</v>
      </c>
      <c r="J200" s="9" t="s">
        <v>291</v>
      </c>
      <c r="K200" s="31" t="n">
        <v>0.5</v>
      </c>
      <c r="L200" s="31" t="n">
        <v>16</v>
      </c>
      <c r="M200" s="10" t="n">
        <v>170.08</v>
      </c>
      <c r="N200" s="10" t="n">
        <v>2721.28</v>
      </c>
      <c r="O200" s="9"/>
      <c r="P200" s="11" t="n">
        <f aca="false">IF(J200="%mo","",IF(G200="MO",IF(J200="hh",INDEX(MO_HH,MATCH(I200,MO_CAT,0)),M200*P_FACT_IPC),IF(G200="SUBPART",IFERROR(INDEX(APU_SUBP!$C$7:$C$40,MATCH(H200,APU_SUBP!$A$7:$A$40,0)),M200*P_FACT_IPC),M200*P_FACT_IPC)))</f>
        <v>218.773196641969</v>
      </c>
      <c r="Q200" s="11" t="n">
        <f aca="false">IF(J200="%mo",L200/100*SUMIFS($R$7:$R$782,$A$7:$A$782,A200),L200*P200)</f>
        <v>3500.37114627151</v>
      </c>
      <c r="R200" s="11" t="n">
        <f aca="false">IF(G200="MO",L200*P200,0)</f>
        <v>0</v>
      </c>
    </row>
    <row r="201" customFormat="false" ht="15" hidden="false" customHeight="false" outlineLevel="0" collapsed="false">
      <c r="A201" s="7" t="s">
        <v>487</v>
      </c>
      <c r="B201" s="7" t="s">
        <v>483</v>
      </c>
      <c r="C201" s="7" t="s">
        <v>279</v>
      </c>
      <c r="D201" s="7" t="s">
        <v>280</v>
      </c>
      <c r="E201" s="7" t="s">
        <v>18</v>
      </c>
      <c r="F201" s="11" t="n">
        <v>27992.8</v>
      </c>
      <c r="G201" s="7" t="s">
        <v>288</v>
      </c>
      <c r="H201" s="7" t="s">
        <v>292</v>
      </c>
      <c r="I201" s="7" t="s">
        <v>293</v>
      </c>
      <c r="J201" s="7" t="s">
        <v>291</v>
      </c>
      <c r="K201" s="22" t="n">
        <v>1</v>
      </c>
      <c r="L201" s="22" t="n">
        <v>32</v>
      </c>
      <c r="M201" s="11" t="n">
        <v>159.96</v>
      </c>
      <c r="N201" s="11" t="n">
        <v>5118.72</v>
      </c>
      <c r="O201" s="7"/>
      <c r="P201" s="11" t="n">
        <f aca="false">IF(J201="%mo","",IF(G201="MO",IF(J201="hh",INDEX(MO_HH,MATCH(I201,MO_CAT,0)),M201*P_FACT_IPC),IF(G201="SUBPART",IFERROR(INDEX(APU_SUBP!$C$7:$C$40,MATCH(H201,APU_SUBP!$A$7:$A$40,0)),M201*P_FACT_IPC),M201*P_FACT_IPC)))</f>
        <v>205.75588273077</v>
      </c>
      <c r="Q201" s="11" t="n">
        <f aca="false">IF(J201="%mo",L201/100*SUMIFS($R$7:$R$782,$A$7:$A$782,A201),L201*P201)</f>
        <v>6584.18824738465</v>
      </c>
      <c r="R201" s="11" t="n">
        <f aca="false">IF(G201="MO",L201*P201,0)</f>
        <v>0</v>
      </c>
    </row>
    <row r="202" customFormat="false" ht="15" hidden="false" customHeight="false" outlineLevel="0" collapsed="false">
      <c r="A202" s="9" t="s">
        <v>487</v>
      </c>
      <c r="B202" s="9" t="s">
        <v>483</v>
      </c>
      <c r="C202" s="9" t="s">
        <v>279</v>
      </c>
      <c r="D202" s="9" t="s">
        <v>280</v>
      </c>
      <c r="E202" s="9" t="s">
        <v>18</v>
      </c>
      <c r="F202" s="10" t="n">
        <v>27992.8</v>
      </c>
      <c r="G202" s="9" t="s">
        <v>288</v>
      </c>
      <c r="H202" s="9" t="s">
        <v>294</v>
      </c>
      <c r="I202" s="9" t="s">
        <v>295</v>
      </c>
      <c r="J202" s="9" t="s">
        <v>291</v>
      </c>
      <c r="K202" s="31" t="n">
        <v>1</v>
      </c>
      <c r="L202" s="31" t="n">
        <v>32</v>
      </c>
      <c r="M202" s="10" t="n">
        <v>182.88</v>
      </c>
      <c r="N202" s="10" t="n">
        <v>5852.16</v>
      </c>
      <c r="O202" s="9"/>
      <c r="P202" s="11" t="n">
        <f aca="false">IF(J202="%mo","",IF(G202="MO",IF(J202="hh",INDEX(MO_HH,MATCH(I202,MO_CAT,0)),M202*P_FACT_IPC),IF(G202="SUBPART",IFERROR(INDEX(APU_SUBP!$C$7:$C$40,MATCH(H202,APU_SUBP!$A$7:$A$40,0)),M202*P_FACT_IPC),M202*P_FACT_IPC)))</f>
        <v>235.237783407122</v>
      </c>
      <c r="Q202" s="11" t="n">
        <f aca="false">IF(J202="%mo",L202/100*SUMIFS($R$7:$R$782,$A$7:$A$782,A202),L202*P202)</f>
        <v>7527.60906902791</v>
      </c>
      <c r="R202" s="11" t="n">
        <f aca="false">IF(G202="MO",L202*P202,0)</f>
        <v>0</v>
      </c>
    </row>
    <row r="203" customFormat="false" ht="15" hidden="false" customHeight="false" outlineLevel="0" collapsed="false">
      <c r="A203" s="7" t="s">
        <v>487</v>
      </c>
      <c r="B203" s="7" t="s">
        <v>483</v>
      </c>
      <c r="C203" s="7" t="s">
        <v>279</v>
      </c>
      <c r="D203" s="7" t="s">
        <v>280</v>
      </c>
      <c r="E203" s="7" t="s">
        <v>18</v>
      </c>
      <c r="F203" s="11" t="n">
        <v>27992.8</v>
      </c>
      <c r="G203" s="7" t="s">
        <v>288</v>
      </c>
      <c r="H203" s="7" t="s">
        <v>296</v>
      </c>
      <c r="I203" s="7" t="s">
        <v>297</v>
      </c>
      <c r="J203" s="7" t="s">
        <v>291</v>
      </c>
      <c r="K203" s="22" t="n">
        <v>1</v>
      </c>
      <c r="L203" s="22" t="n">
        <v>32</v>
      </c>
      <c r="M203" s="11" t="n">
        <v>188.87</v>
      </c>
      <c r="N203" s="11" t="n">
        <v>6043.84</v>
      </c>
      <c r="O203" s="7"/>
      <c r="P203" s="11" t="n">
        <f aca="false">IF(J203="%mo","",IF(G203="MO",IF(J203="hh",INDEX(MO_HH,MATCH(I203,MO_CAT,0)),M203*P_FACT_IPC),IF(G203="SUBPART",IFERROR(INDEX(APU_SUBP!$C$7:$C$40,MATCH(H203,APU_SUBP!$A$7:$A$40,0)),M203*P_FACT_IPC),M203*P_FACT_IPC)))</f>
        <v>242.942695494877</v>
      </c>
      <c r="Q203" s="11" t="n">
        <f aca="false">IF(J203="%mo",L203/100*SUMIFS($R$7:$R$782,$A$7:$A$782,A203),L203*P203)</f>
        <v>7774.16625583608</v>
      </c>
      <c r="R203" s="11" t="n">
        <f aca="false">IF(G203="MO",L203*P203,0)</f>
        <v>0</v>
      </c>
    </row>
    <row r="204" customFormat="false" ht="15" hidden="false" customHeight="false" outlineLevel="0" collapsed="false">
      <c r="A204" s="9" t="s">
        <v>487</v>
      </c>
      <c r="B204" s="9" t="s">
        <v>483</v>
      </c>
      <c r="C204" s="9" t="s">
        <v>279</v>
      </c>
      <c r="D204" s="9" t="s">
        <v>280</v>
      </c>
      <c r="E204" s="9" t="s">
        <v>18</v>
      </c>
      <c r="F204" s="10" t="n">
        <v>27992.8</v>
      </c>
      <c r="G204" s="9" t="s">
        <v>288</v>
      </c>
      <c r="H204" s="9" t="s">
        <v>298</v>
      </c>
      <c r="I204" s="9" t="s">
        <v>299</v>
      </c>
      <c r="J204" s="9" t="s">
        <v>291</v>
      </c>
      <c r="K204" s="31" t="n">
        <v>1</v>
      </c>
      <c r="L204" s="31" t="n">
        <v>32</v>
      </c>
      <c r="M204" s="10" t="n">
        <v>140.88</v>
      </c>
      <c r="N204" s="10" t="n">
        <v>4508.16</v>
      </c>
      <c r="O204" s="9"/>
      <c r="P204" s="11" t="n">
        <f aca="false">IF(J204="%mo","",IF(G204="MO",IF(J204="hh",INDEX(MO_HH,MATCH(I204,MO_CAT,0)),M204*P_FACT_IPC),IF(G204="SUBPART",IFERROR(INDEX(APU_SUBP!$C$7:$C$40,MATCH(H204,APU_SUBP!$A$7:$A$40,0)),M204*P_FACT_IPC),M204*P_FACT_IPC)))</f>
        <v>181.213358083964</v>
      </c>
      <c r="Q204" s="11" t="n">
        <f aca="false">IF(J204="%mo",L204/100*SUMIFS($R$7:$R$782,$A$7:$A$782,A204),L204*P204)</f>
        <v>5798.82745868686</v>
      </c>
      <c r="R204" s="11" t="n">
        <f aca="false">IF(G204="MO",L204*P204,0)</f>
        <v>0</v>
      </c>
    </row>
    <row r="205" customFormat="false" ht="15" hidden="false" customHeight="false" outlineLevel="0" collapsed="false">
      <c r="A205" s="7" t="s">
        <v>488</v>
      </c>
      <c r="B205" s="7" t="s">
        <v>483</v>
      </c>
      <c r="C205" s="7" t="s">
        <v>301</v>
      </c>
      <c r="D205" s="7" t="s">
        <v>302</v>
      </c>
      <c r="E205" s="7" t="s">
        <v>18</v>
      </c>
      <c r="F205" s="11" t="n">
        <v>4665.44</v>
      </c>
      <c r="G205" s="7" t="s">
        <v>281</v>
      </c>
      <c r="H205" s="7" t="s">
        <v>282</v>
      </c>
      <c r="I205" s="7" t="s">
        <v>107</v>
      </c>
      <c r="J205" s="7" t="s">
        <v>283</v>
      </c>
      <c r="K205" s="22" t="n">
        <v>0.5</v>
      </c>
      <c r="L205" s="22" t="n">
        <v>2.6667</v>
      </c>
      <c r="M205" s="11" t="n">
        <v>25.81</v>
      </c>
      <c r="N205" s="11" t="n">
        <v>68.83</v>
      </c>
      <c r="O205" s="7" t="s">
        <v>284</v>
      </c>
      <c r="P205" s="11" t="n">
        <f aca="false">IF(J205="%mo","",IF(G205="MO",IF(J205="hh",INDEX(MO_HH,MATCH(I205,MO_CAT,0)),M205*P_FACT_IPC),IF(G205="SUBPART",IFERROR(INDEX(APU_SUBP!$C$7:$C$40,MATCH(H205,APU_SUBP!$A$7:$A$40,0)),M205*P_FACT_IPC),M205*P_FACT_IPC)))</f>
        <v>19.226758045292</v>
      </c>
      <c r="Q205" s="11" t="n">
        <f aca="false">IF(J205="%mo",L205/100*SUMIFS($R$7:$R$782,$A$7:$A$782,A205),L205*P205)</f>
        <v>51.2719956793802</v>
      </c>
      <c r="R205" s="11" t="n">
        <f aca="false">IF(G205="MO",L205*P205,0)</f>
        <v>51.2719956793802</v>
      </c>
    </row>
    <row r="206" customFormat="false" ht="15" hidden="false" customHeight="false" outlineLevel="0" collapsed="false">
      <c r="A206" s="9" t="s">
        <v>488</v>
      </c>
      <c r="B206" s="9" t="s">
        <v>483</v>
      </c>
      <c r="C206" s="9" t="s">
        <v>301</v>
      </c>
      <c r="D206" s="9" t="s">
        <v>302</v>
      </c>
      <c r="E206" s="9" t="s">
        <v>18</v>
      </c>
      <c r="F206" s="10" t="n">
        <v>4665.44</v>
      </c>
      <c r="G206" s="9" t="s">
        <v>281</v>
      </c>
      <c r="H206" s="9" t="s">
        <v>285</v>
      </c>
      <c r="I206" s="9" t="s">
        <v>117</v>
      </c>
      <c r="J206" s="9" t="s">
        <v>283</v>
      </c>
      <c r="K206" s="31" t="n">
        <v>2</v>
      </c>
      <c r="L206" s="31" t="n">
        <v>10.6667</v>
      </c>
      <c r="M206" s="10" t="n">
        <v>18.56</v>
      </c>
      <c r="N206" s="10" t="n">
        <v>197.97</v>
      </c>
      <c r="O206" s="9" t="s">
        <v>284</v>
      </c>
      <c r="P206" s="11" t="n">
        <f aca="false">IF(J206="%mo","",IF(G206="MO",IF(J206="hh",INDEX(MO_HH,MATCH(I206,MO_CAT,0)),M206*P_FACT_IPC),IF(G206="SUBPART",IFERROR(INDEX(APU_SUBP!$C$7:$C$40,MATCH(H206,APU_SUBP!$A$7:$A$40,0)),M206*P_FACT_IPC),M206*P_FACT_IPC)))</f>
        <v>13.8259833134684</v>
      </c>
      <c r="Q206" s="11" t="n">
        <f aca="false">IF(J206="%mo",L206/100*SUMIFS($R$7:$R$782,$A$7:$A$782,A206),L206*P206)</f>
        <v>147.477616209774</v>
      </c>
      <c r="R206" s="11" t="n">
        <f aca="false">IF(G206="MO",L206*P206,0)</f>
        <v>147.477616209774</v>
      </c>
    </row>
    <row r="207" customFormat="false" ht="15" hidden="false" customHeight="false" outlineLevel="0" collapsed="false">
      <c r="A207" s="7" t="s">
        <v>488</v>
      </c>
      <c r="B207" s="7" t="s">
        <v>483</v>
      </c>
      <c r="C207" s="7" t="s">
        <v>301</v>
      </c>
      <c r="D207" s="7" t="s">
        <v>302</v>
      </c>
      <c r="E207" s="7" t="s">
        <v>18</v>
      </c>
      <c r="F207" s="11" t="n">
        <v>4665.44</v>
      </c>
      <c r="G207" s="7" t="s">
        <v>281</v>
      </c>
      <c r="H207" s="7" t="s">
        <v>286</v>
      </c>
      <c r="I207" s="7" t="s">
        <v>122</v>
      </c>
      <c r="J207" s="7" t="s">
        <v>283</v>
      </c>
      <c r="K207" s="22" t="n">
        <v>4</v>
      </c>
      <c r="L207" s="22" t="n">
        <v>21.3333</v>
      </c>
      <c r="M207" s="11" t="n">
        <v>16.78</v>
      </c>
      <c r="N207" s="11" t="n">
        <v>357.97</v>
      </c>
      <c r="O207" s="7" t="s">
        <v>287</v>
      </c>
      <c r="P207" s="11" t="n">
        <f aca="false">IF(J207="%mo","",IF(G207="MO",IF(J207="hh",INDEX(MO_HH,MATCH(I207,MO_CAT,0)),M207*P_FACT_IPC),IF(G207="SUBPART",IFERROR(INDEX(APU_SUBP!$C$7:$C$40,MATCH(H207,APU_SUBP!$A$7:$A$40,0)),M207*P_FACT_IPC),M207*P_FACT_IPC)))</f>
        <v>12.5</v>
      </c>
      <c r="Q207" s="11" t="n">
        <f aca="false">IF(J207="%mo",L207/100*SUMIFS($R$7:$R$782,$A$7:$A$782,A207),L207*P207)</f>
        <v>266.66625</v>
      </c>
      <c r="R207" s="11" t="n">
        <f aca="false">IF(G207="MO",L207*P207,0)</f>
        <v>266.66625</v>
      </c>
    </row>
    <row r="208" customFormat="false" ht="15" hidden="false" customHeight="false" outlineLevel="0" collapsed="false">
      <c r="A208" s="9" t="s">
        <v>488</v>
      </c>
      <c r="B208" s="9" t="s">
        <v>483</v>
      </c>
      <c r="C208" s="9" t="s">
        <v>301</v>
      </c>
      <c r="D208" s="9" t="s">
        <v>302</v>
      </c>
      <c r="E208" s="9" t="s">
        <v>18</v>
      </c>
      <c r="F208" s="10" t="n">
        <v>4665.44</v>
      </c>
      <c r="G208" s="9" t="s">
        <v>288</v>
      </c>
      <c r="H208" s="9" t="s">
        <v>289</v>
      </c>
      <c r="I208" s="9" t="s">
        <v>290</v>
      </c>
      <c r="J208" s="9" t="s">
        <v>291</v>
      </c>
      <c r="K208" s="31" t="n">
        <v>0.5</v>
      </c>
      <c r="L208" s="31" t="n">
        <v>2.6667</v>
      </c>
      <c r="M208" s="10" t="n">
        <v>170.08</v>
      </c>
      <c r="N208" s="10" t="n">
        <v>453.55</v>
      </c>
      <c r="O208" s="9"/>
      <c r="P208" s="11" t="n">
        <f aca="false">IF(J208="%mo","",IF(G208="MO",IF(J208="hh",INDEX(MO_HH,MATCH(I208,MO_CAT,0)),M208*P_FACT_IPC),IF(G208="SUBPART",IFERROR(INDEX(APU_SUBP!$C$7:$C$40,MATCH(H208,APU_SUBP!$A$7:$A$40,0)),M208*P_FACT_IPC),M208*P_FACT_IPC)))</f>
        <v>218.773196641969</v>
      </c>
      <c r="Q208" s="11" t="n">
        <f aca="false">IF(J208="%mo",L208/100*SUMIFS($R$7:$R$782,$A$7:$A$782,A208),L208*P208)</f>
        <v>583.40248348514</v>
      </c>
      <c r="R208" s="11" t="n">
        <f aca="false">IF(G208="MO",L208*P208,0)</f>
        <v>0</v>
      </c>
    </row>
    <row r="209" customFormat="false" ht="15" hidden="false" customHeight="false" outlineLevel="0" collapsed="false">
      <c r="A209" s="7" t="s">
        <v>488</v>
      </c>
      <c r="B209" s="7" t="s">
        <v>483</v>
      </c>
      <c r="C209" s="7" t="s">
        <v>301</v>
      </c>
      <c r="D209" s="7" t="s">
        <v>302</v>
      </c>
      <c r="E209" s="7" t="s">
        <v>18</v>
      </c>
      <c r="F209" s="11" t="n">
        <v>4665.44</v>
      </c>
      <c r="G209" s="7" t="s">
        <v>288</v>
      </c>
      <c r="H209" s="7" t="s">
        <v>292</v>
      </c>
      <c r="I209" s="7" t="s">
        <v>293</v>
      </c>
      <c r="J209" s="7" t="s">
        <v>291</v>
      </c>
      <c r="K209" s="22" t="n">
        <v>1</v>
      </c>
      <c r="L209" s="22" t="n">
        <v>5.3333</v>
      </c>
      <c r="M209" s="11" t="n">
        <v>159.96</v>
      </c>
      <c r="N209" s="11" t="n">
        <v>853.11</v>
      </c>
      <c r="O209" s="7"/>
      <c r="P209" s="11" t="n">
        <f aca="false">IF(J209="%mo","",IF(G209="MO",IF(J209="hh",INDEX(MO_HH,MATCH(I209,MO_CAT,0)),M209*P_FACT_IPC),IF(G209="SUBPART",IFERROR(INDEX(APU_SUBP!$C$7:$C$40,MATCH(H209,APU_SUBP!$A$7:$A$40,0)),M209*P_FACT_IPC),M209*P_FACT_IPC)))</f>
        <v>205.75588273077</v>
      </c>
      <c r="Q209" s="11" t="n">
        <f aca="false">IF(J209="%mo",L209/100*SUMIFS($R$7:$R$782,$A$7:$A$782,A209),L209*P209)</f>
        <v>1097.35784936802</v>
      </c>
      <c r="R209" s="11" t="n">
        <f aca="false">IF(G209="MO",L209*P209,0)</f>
        <v>0</v>
      </c>
    </row>
    <row r="210" customFormat="false" ht="15" hidden="false" customHeight="false" outlineLevel="0" collapsed="false">
      <c r="A210" s="9" t="s">
        <v>488</v>
      </c>
      <c r="B210" s="9" t="s">
        <v>483</v>
      </c>
      <c r="C210" s="9" t="s">
        <v>301</v>
      </c>
      <c r="D210" s="9" t="s">
        <v>302</v>
      </c>
      <c r="E210" s="9" t="s">
        <v>18</v>
      </c>
      <c r="F210" s="10" t="n">
        <v>4665.44</v>
      </c>
      <c r="G210" s="9" t="s">
        <v>288</v>
      </c>
      <c r="H210" s="9" t="s">
        <v>294</v>
      </c>
      <c r="I210" s="9" t="s">
        <v>295</v>
      </c>
      <c r="J210" s="9" t="s">
        <v>291</v>
      </c>
      <c r="K210" s="31" t="n">
        <v>1</v>
      </c>
      <c r="L210" s="31" t="n">
        <v>5.3333</v>
      </c>
      <c r="M210" s="10" t="n">
        <v>182.88</v>
      </c>
      <c r="N210" s="10" t="n">
        <v>975.35</v>
      </c>
      <c r="O210" s="9"/>
      <c r="P210" s="11" t="n">
        <f aca="false">IF(J210="%mo","",IF(G210="MO",IF(J210="hh",INDEX(MO_HH,MATCH(I210,MO_CAT,0)),M210*P_FACT_IPC),IF(G210="SUBPART",IFERROR(INDEX(APU_SUBP!$C$7:$C$40,MATCH(H210,APU_SUBP!$A$7:$A$40,0)),M210*P_FACT_IPC),M210*P_FACT_IPC)))</f>
        <v>235.237783407122</v>
      </c>
      <c r="Q210" s="11" t="n">
        <f aca="false">IF(J210="%mo",L210/100*SUMIFS($R$7:$R$782,$A$7:$A$782,A210),L210*P210)</f>
        <v>1254.59367024521</v>
      </c>
      <c r="R210" s="11" t="n">
        <f aca="false">IF(G210="MO",L210*P210,0)</f>
        <v>0</v>
      </c>
    </row>
    <row r="211" customFormat="false" ht="15" hidden="false" customHeight="false" outlineLevel="0" collapsed="false">
      <c r="A211" s="7" t="s">
        <v>488</v>
      </c>
      <c r="B211" s="7" t="s">
        <v>483</v>
      </c>
      <c r="C211" s="7" t="s">
        <v>301</v>
      </c>
      <c r="D211" s="7" t="s">
        <v>302</v>
      </c>
      <c r="E211" s="7" t="s">
        <v>18</v>
      </c>
      <c r="F211" s="11" t="n">
        <v>4665.44</v>
      </c>
      <c r="G211" s="7" t="s">
        <v>288</v>
      </c>
      <c r="H211" s="7" t="s">
        <v>296</v>
      </c>
      <c r="I211" s="7" t="s">
        <v>297</v>
      </c>
      <c r="J211" s="7" t="s">
        <v>291</v>
      </c>
      <c r="K211" s="22" t="n">
        <v>1</v>
      </c>
      <c r="L211" s="22" t="n">
        <v>5.3333</v>
      </c>
      <c r="M211" s="11" t="n">
        <v>188.87</v>
      </c>
      <c r="N211" s="11" t="n">
        <v>1007.3</v>
      </c>
      <c r="O211" s="7"/>
      <c r="P211" s="11" t="n">
        <f aca="false">IF(J211="%mo","",IF(G211="MO",IF(J211="hh",INDEX(MO_HH,MATCH(I211,MO_CAT,0)),M211*P_FACT_IPC),IF(G211="SUBPART",IFERROR(INDEX(APU_SUBP!$C$7:$C$40,MATCH(H211,APU_SUBP!$A$7:$A$40,0)),M211*P_FACT_IPC),M211*P_FACT_IPC)))</f>
        <v>242.942695494877</v>
      </c>
      <c r="Q211" s="11" t="n">
        <f aca="false">IF(J211="%mo",L211/100*SUMIFS($R$7:$R$782,$A$7:$A$782,A211),L211*P211)</f>
        <v>1295.68627788283</v>
      </c>
      <c r="R211" s="11" t="n">
        <f aca="false">IF(G211="MO",L211*P211,0)</f>
        <v>0</v>
      </c>
    </row>
    <row r="212" customFormat="false" ht="15" hidden="false" customHeight="false" outlineLevel="0" collapsed="false">
      <c r="A212" s="9" t="s">
        <v>488</v>
      </c>
      <c r="B212" s="9" t="s">
        <v>483</v>
      </c>
      <c r="C212" s="9" t="s">
        <v>301</v>
      </c>
      <c r="D212" s="9" t="s">
        <v>302</v>
      </c>
      <c r="E212" s="9" t="s">
        <v>18</v>
      </c>
      <c r="F212" s="10" t="n">
        <v>4665.44</v>
      </c>
      <c r="G212" s="9" t="s">
        <v>288</v>
      </c>
      <c r="H212" s="9" t="s">
        <v>298</v>
      </c>
      <c r="I212" s="9" t="s">
        <v>299</v>
      </c>
      <c r="J212" s="9" t="s">
        <v>291</v>
      </c>
      <c r="K212" s="31" t="n">
        <v>1</v>
      </c>
      <c r="L212" s="31" t="n">
        <v>5.3333</v>
      </c>
      <c r="M212" s="10" t="n">
        <v>140.88</v>
      </c>
      <c r="N212" s="10" t="n">
        <v>751.36</v>
      </c>
      <c r="O212" s="9"/>
      <c r="P212" s="11" t="n">
        <f aca="false">IF(J212="%mo","",IF(G212="MO",IF(J212="hh",INDEX(MO_HH,MATCH(I212,MO_CAT,0)),M212*P_FACT_IPC),IF(G212="SUBPART",IFERROR(INDEX(APU_SUBP!$C$7:$C$40,MATCH(H212,APU_SUBP!$A$7:$A$40,0)),M212*P_FACT_IPC),M212*P_FACT_IPC)))</f>
        <v>181.213358083964</v>
      </c>
      <c r="Q212" s="11" t="n">
        <f aca="false">IF(J212="%mo",L212/100*SUMIFS($R$7:$R$782,$A$7:$A$782,A212),L212*P212)</f>
        <v>966.465202669207</v>
      </c>
      <c r="R212" s="11" t="n">
        <f aca="false">IF(G212="MO",L212*P212,0)</f>
        <v>0</v>
      </c>
    </row>
    <row r="213" customFormat="false" ht="15" hidden="false" customHeight="false" outlineLevel="0" collapsed="false">
      <c r="A213" s="7" t="s">
        <v>489</v>
      </c>
      <c r="B213" s="7" t="s">
        <v>483</v>
      </c>
      <c r="C213" s="7" t="s">
        <v>304</v>
      </c>
      <c r="D213" s="7" t="s">
        <v>490</v>
      </c>
      <c r="E213" s="7" t="s">
        <v>12</v>
      </c>
      <c r="F213" s="11" t="n">
        <v>519.23</v>
      </c>
      <c r="G213" s="7" t="s">
        <v>281</v>
      </c>
      <c r="H213" s="7" t="s">
        <v>306</v>
      </c>
      <c r="I213" s="7" t="s">
        <v>112</v>
      </c>
      <c r="J213" s="7" t="s">
        <v>283</v>
      </c>
      <c r="K213" s="22" t="n">
        <v>1</v>
      </c>
      <c r="L213" s="22" t="n">
        <v>4.4444</v>
      </c>
      <c r="M213" s="11" t="n">
        <v>23.46</v>
      </c>
      <c r="N213" s="11" t="n">
        <v>104.27</v>
      </c>
      <c r="O213" s="7" t="s">
        <v>284</v>
      </c>
      <c r="P213" s="11" t="n">
        <f aca="false">IF(J213="%mo","",IF(G213="MO",IF(J213="hh",INDEX(MO_HH,MATCH(I213,MO_CAT,0)),M213*P_FACT_IPC),IF(G213="SUBPART",IFERROR(INDEX(APU_SUBP!$C$7:$C$40,MATCH(H213,APU_SUBP!$A$7:$A$40,0)),M213*P_FACT_IPC),M213*P_FACT_IPC)))</f>
        <v>17.4761620977354</v>
      </c>
      <c r="Q213" s="11" t="n">
        <f aca="false">IF(J213="%mo",L213/100*SUMIFS($R$7:$R$782,$A$7:$A$782,A213),L213*P213)</f>
        <v>77.6710548271752</v>
      </c>
      <c r="R213" s="11" t="n">
        <f aca="false">IF(G213="MO",L213*P213,0)</f>
        <v>77.6710548271752</v>
      </c>
    </row>
    <row r="214" customFormat="false" ht="15" hidden="false" customHeight="false" outlineLevel="0" collapsed="false">
      <c r="A214" s="9" t="s">
        <v>489</v>
      </c>
      <c r="B214" s="9" t="s">
        <v>483</v>
      </c>
      <c r="C214" s="9" t="s">
        <v>304</v>
      </c>
      <c r="D214" s="9" t="s">
        <v>490</v>
      </c>
      <c r="E214" s="9" t="s">
        <v>12</v>
      </c>
      <c r="F214" s="10" t="n">
        <v>519.23</v>
      </c>
      <c r="G214" s="9" t="s">
        <v>281</v>
      </c>
      <c r="H214" s="9" t="s">
        <v>285</v>
      </c>
      <c r="I214" s="9" t="s">
        <v>117</v>
      </c>
      <c r="J214" s="9" t="s">
        <v>283</v>
      </c>
      <c r="K214" s="31" t="n">
        <v>1</v>
      </c>
      <c r="L214" s="31" t="n">
        <v>4.4444</v>
      </c>
      <c r="M214" s="10" t="n">
        <v>18.56</v>
      </c>
      <c r="N214" s="10" t="n">
        <v>82.49</v>
      </c>
      <c r="O214" s="9" t="s">
        <v>284</v>
      </c>
      <c r="P214" s="11" t="n">
        <f aca="false">IF(J214="%mo","",IF(G214="MO",IF(J214="hh",INDEX(MO_HH,MATCH(I214,MO_CAT,0)),M214*P_FACT_IPC),IF(G214="SUBPART",IFERROR(INDEX(APU_SUBP!$C$7:$C$40,MATCH(H214,APU_SUBP!$A$7:$A$40,0)),M214*P_FACT_IPC),M214*P_FACT_IPC)))</f>
        <v>13.8259833134684</v>
      </c>
      <c r="Q214" s="11" t="n">
        <f aca="false">IF(J214="%mo",L214/100*SUMIFS($R$7:$R$782,$A$7:$A$782,A214),L214*P214)</f>
        <v>61.448200238379</v>
      </c>
      <c r="R214" s="11" t="n">
        <f aca="false">IF(G214="MO",L214*P214,0)</f>
        <v>61.448200238379</v>
      </c>
    </row>
    <row r="215" customFormat="false" ht="15" hidden="false" customHeight="false" outlineLevel="0" collapsed="false">
      <c r="A215" s="7" t="s">
        <v>489</v>
      </c>
      <c r="B215" s="7" t="s">
        <v>483</v>
      </c>
      <c r="C215" s="7" t="s">
        <v>304</v>
      </c>
      <c r="D215" s="7" t="s">
        <v>490</v>
      </c>
      <c r="E215" s="7" t="s">
        <v>12</v>
      </c>
      <c r="F215" s="11" t="n">
        <v>519.23</v>
      </c>
      <c r="G215" s="7" t="s">
        <v>281</v>
      </c>
      <c r="H215" s="7" t="s">
        <v>286</v>
      </c>
      <c r="I215" s="7" t="s">
        <v>122</v>
      </c>
      <c r="J215" s="7" t="s">
        <v>283</v>
      </c>
      <c r="K215" s="22" t="n">
        <v>3</v>
      </c>
      <c r="L215" s="22" t="n">
        <v>13.3333</v>
      </c>
      <c r="M215" s="11" t="n">
        <v>16.78</v>
      </c>
      <c r="N215" s="11" t="n">
        <v>223.73</v>
      </c>
      <c r="O215" s="7" t="s">
        <v>287</v>
      </c>
      <c r="P215" s="11" t="n">
        <f aca="false">IF(J215="%mo","",IF(G215="MO",IF(J215="hh",INDEX(MO_HH,MATCH(I215,MO_CAT,0)),M215*P_FACT_IPC),IF(G215="SUBPART",IFERROR(INDEX(APU_SUBP!$C$7:$C$40,MATCH(H215,APU_SUBP!$A$7:$A$40,0)),M215*P_FACT_IPC),M215*P_FACT_IPC)))</f>
        <v>12.5</v>
      </c>
      <c r="Q215" s="11" t="n">
        <f aca="false">IF(J215="%mo",L215/100*SUMIFS($R$7:$R$782,$A$7:$A$782,A215),L215*P215)</f>
        <v>166.66625</v>
      </c>
      <c r="R215" s="11" t="n">
        <f aca="false">IF(G215="MO",L215*P215,0)</f>
        <v>166.66625</v>
      </c>
    </row>
    <row r="216" customFormat="false" ht="15" hidden="false" customHeight="false" outlineLevel="0" collapsed="false">
      <c r="A216" s="9" t="s">
        <v>489</v>
      </c>
      <c r="B216" s="9" t="s">
        <v>483</v>
      </c>
      <c r="C216" s="9" t="s">
        <v>304</v>
      </c>
      <c r="D216" s="9" t="s">
        <v>490</v>
      </c>
      <c r="E216" s="9" t="s">
        <v>12</v>
      </c>
      <c r="F216" s="10" t="n">
        <v>519.23</v>
      </c>
      <c r="G216" s="9" t="s">
        <v>307</v>
      </c>
      <c r="H216" s="9" t="s">
        <v>308</v>
      </c>
      <c r="I216" s="9" t="s">
        <v>309</v>
      </c>
      <c r="J216" s="9" t="s">
        <v>310</v>
      </c>
      <c r="K216" s="31"/>
      <c r="L216" s="31" t="n">
        <v>0.008</v>
      </c>
      <c r="M216" s="10" t="n">
        <v>14.7</v>
      </c>
      <c r="N216" s="10" t="n">
        <v>0.12</v>
      </c>
      <c r="O216" s="9"/>
      <c r="P216" s="11" t="n">
        <f aca="false">IF(J216="%mo","",IF(G216="MO",IF(J216="hh",INDEX(MO_HH,MATCH(I216,MO_CAT,0)),M216*P_FACT_IPC),IF(G216="SUBPART",IFERROR(INDEX(APU_SUBP!$C$7:$C$40,MATCH(H216,APU_SUBP!$A$7:$A$40,0)),M216*P_FACT_IPC),M216*P_FACT_IPC)))</f>
        <v>18.9085488631053</v>
      </c>
      <c r="Q216" s="11" t="n">
        <f aca="false">IF(J216="%mo",L216/100*SUMIFS($R$7:$R$782,$A$7:$A$782,A216),L216*P216)</f>
        <v>0.151268390904842</v>
      </c>
      <c r="R216" s="11" t="n">
        <f aca="false">IF(G216="MO",L216*P216,0)</f>
        <v>0</v>
      </c>
    </row>
    <row r="217" customFormat="false" ht="15" hidden="false" customHeight="false" outlineLevel="0" collapsed="false">
      <c r="A217" s="7" t="s">
        <v>489</v>
      </c>
      <c r="B217" s="7" t="s">
        <v>483</v>
      </c>
      <c r="C217" s="7" t="s">
        <v>304</v>
      </c>
      <c r="D217" s="7" t="s">
        <v>490</v>
      </c>
      <c r="E217" s="7" t="s">
        <v>12</v>
      </c>
      <c r="F217" s="11" t="n">
        <v>519.23</v>
      </c>
      <c r="G217" s="7" t="s">
        <v>307</v>
      </c>
      <c r="H217" s="7" t="s">
        <v>311</v>
      </c>
      <c r="I217" s="7" t="s">
        <v>312</v>
      </c>
      <c r="J217" s="7" t="s">
        <v>313</v>
      </c>
      <c r="K217" s="22"/>
      <c r="L217" s="22" t="n">
        <v>0.025</v>
      </c>
      <c r="M217" s="11" t="n">
        <v>1.63</v>
      </c>
      <c r="N217" s="11" t="n">
        <v>0.04</v>
      </c>
      <c r="O217" s="7"/>
      <c r="P217" s="11" t="n">
        <f aca="false">IF(J217="%mo","",IF(G217="MO",IF(J217="hh",INDEX(MO_HH,MATCH(I217,MO_CAT,0)),M217*P_FACT_IPC),IF(G217="SUBPART",IFERROR(INDEX(APU_SUBP!$C$7:$C$40,MATCH(H217,APU_SUBP!$A$7:$A$40,0)),M217*P_FACT_IPC),M217*P_FACT_IPC)))</f>
        <v>2.09666222087494</v>
      </c>
      <c r="Q217" s="11" t="n">
        <f aca="false">IF(J217="%mo",L217/100*SUMIFS($R$7:$R$782,$A$7:$A$782,A217),L217*P217)</f>
        <v>0.0524165555218736</v>
      </c>
      <c r="R217" s="11" t="n">
        <f aca="false">IF(G217="MO",L217*P217,0)</f>
        <v>0</v>
      </c>
    </row>
    <row r="218" customFormat="false" ht="15" hidden="false" customHeight="false" outlineLevel="0" collapsed="false">
      <c r="A218" s="9" t="s">
        <v>489</v>
      </c>
      <c r="B218" s="9" t="s">
        <v>483</v>
      </c>
      <c r="C218" s="9" t="s">
        <v>304</v>
      </c>
      <c r="D218" s="9" t="s">
        <v>490</v>
      </c>
      <c r="E218" s="9" t="s">
        <v>12</v>
      </c>
      <c r="F218" s="10" t="n">
        <v>519.23</v>
      </c>
      <c r="G218" s="9" t="s">
        <v>307</v>
      </c>
      <c r="H218" s="9" t="s">
        <v>314</v>
      </c>
      <c r="I218" s="9" t="s">
        <v>315</v>
      </c>
      <c r="J218" s="9" t="s">
        <v>316</v>
      </c>
      <c r="K218" s="31"/>
      <c r="L218" s="31" t="n">
        <v>0.017</v>
      </c>
      <c r="M218" s="10" t="n">
        <v>1.63</v>
      </c>
      <c r="N218" s="10" t="n">
        <v>0.03</v>
      </c>
      <c r="O218" s="9"/>
      <c r="P218" s="11" t="n">
        <f aca="false">IF(J218="%mo","",IF(G218="MO",IF(J218="hh",INDEX(MO_HH,MATCH(I218,MO_CAT,0)),M218*P_FACT_IPC),IF(G218="SUBPART",IFERROR(INDEX(APU_SUBP!$C$7:$C$40,MATCH(H218,APU_SUBP!$A$7:$A$40,0)),M218*P_FACT_IPC),M218*P_FACT_IPC)))</f>
        <v>2.09666222087494</v>
      </c>
      <c r="Q218" s="11" t="n">
        <f aca="false">IF(J218="%mo",L218/100*SUMIFS($R$7:$R$782,$A$7:$A$782,A218),L218*P218)</f>
        <v>0.035643257754874</v>
      </c>
      <c r="R218" s="11" t="n">
        <f aca="false">IF(G218="MO",L218*P218,0)</f>
        <v>0</v>
      </c>
    </row>
    <row r="219" customFormat="false" ht="15" hidden="false" customHeight="false" outlineLevel="0" collapsed="false">
      <c r="A219" s="7" t="s">
        <v>489</v>
      </c>
      <c r="B219" s="7" t="s">
        <v>483</v>
      </c>
      <c r="C219" s="7" t="s">
        <v>304</v>
      </c>
      <c r="D219" s="7" t="s">
        <v>490</v>
      </c>
      <c r="E219" s="7" t="s">
        <v>12</v>
      </c>
      <c r="F219" s="11" t="n">
        <v>519.23</v>
      </c>
      <c r="G219" s="7" t="s">
        <v>307</v>
      </c>
      <c r="H219" s="7" t="s">
        <v>317</v>
      </c>
      <c r="I219" s="7" t="s">
        <v>318</v>
      </c>
      <c r="J219" s="7" t="s">
        <v>319</v>
      </c>
      <c r="K219" s="22"/>
      <c r="L219" s="22" t="n">
        <v>0.005</v>
      </c>
      <c r="M219" s="11" t="n">
        <v>34.07</v>
      </c>
      <c r="N219" s="11" t="n">
        <v>0.17</v>
      </c>
      <c r="O219" s="7"/>
      <c r="P219" s="11" t="n">
        <f aca="false">IF(J219="%mo","",IF(G219="MO",IF(J219="hh",INDEX(MO_HH,MATCH(I219,MO_CAT,0)),M219*P_FACT_IPC),IF(G219="SUBPART",IFERROR(INDEX(APU_SUBP!$C$7:$C$40,MATCH(H219,APU_SUBP!$A$7:$A$40,0)),M219*P_FACT_IPC),M219*P_FACT_IPC)))</f>
        <v>43.8240993038094</v>
      </c>
      <c r="Q219" s="11" t="n">
        <f aca="false">IF(J219="%mo",L219/100*SUMIFS($R$7:$R$782,$A$7:$A$782,A219),L219*P219)</f>
        <v>0.219120496519047</v>
      </c>
      <c r="R219" s="11" t="n">
        <f aca="false">IF(G219="MO",L219*P219,0)</f>
        <v>0</v>
      </c>
    </row>
    <row r="220" customFormat="false" ht="15" hidden="false" customHeight="false" outlineLevel="0" collapsed="false">
      <c r="A220" s="9" t="s">
        <v>489</v>
      </c>
      <c r="B220" s="9" t="s">
        <v>483</v>
      </c>
      <c r="C220" s="9" t="s">
        <v>304</v>
      </c>
      <c r="D220" s="9" t="s">
        <v>490</v>
      </c>
      <c r="E220" s="9" t="s">
        <v>12</v>
      </c>
      <c r="F220" s="10" t="n">
        <v>519.23</v>
      </c>
      <c r="G220" s="9" t="s">
        <v>288</v>
      </c>
      <c r="H220" s="9" t="s">
        <v>320</v>
      </c>
      <c r="I220" s="9" t="s">
        <v>321</v>
      </c>
      <c r="J220" s="9" t="s">
        <v>322</v>
      </c>
      <c r="K220" s="31" t="n">
        <v>0.5</v>
      </c>
      <c r="L220" s="31" t="n">
        <v>2.2222</v>
      </c>
      <c r="M220" s="10" t="n">
        <v>9.71</v>
      </c>
      <c r="N220" s="10" t="n">
        <v>21.58</v>
      </c>
      <c r="O220" s="9"/>
      <c r="P220" s="11" t="n">
        <f aca="false">IF(J220="%mo","",IF(G220="MO",IF(J220="hh",INDEX(MO_HH,MATCH(I220,MO_CAT,0)),M220*P_FACT_IPC),IF(G220="SUBPART",IFERROR(INDEX(APU_SUBP!$C$7:$C$40,MATCH(H220,APU_SUBP!$A$7:$A$40,0)),M220*P_FACT_IPC),M220*P_FACT_IPC)))</f>
        <v>12.4899326163777</v>
      </c>
      <c r="Q220" s="11" t="n">
        <f aca="false">IF(J220="%mo",L220/100*SUMIFS($R$7:$R$782,$A$7:$A$782,A220),L220*P220)</f>
        <v>27.7551282601146</v>
      </c>
      <c r="R220" s="11" t="n">
        <f aca="false">IF(G220="MO",L220*P220,0)</f>
        <v>0</v>
      </c>
    </row>
    <row r="221" customFormat="false" ht="15" hidden="false" customHeight="false" outlineLevel="0" collapsed="false">
      <c r="A221" s="7" t="s">
        <v>489</v>
      </c>
      <c r="B221" s="7" t="s">
        <v>483</v>
      </c>
      <c r="C221" s="7" t="s">
        <v>304</v>
      </c>
      <c r="D221" s="7" t="s">
        <v>490</v>
      </c>
      <c r="E221" s="7" t="s">
        <v>12</v>
      </c>
      <c r="F221" s="11" t="n">
        <v>519.23</v>
      </c>
      <c r="G221" s="7" t="s">
        <v>288</v>
      </c>
      <c r="H221" s="7" t="s">
        <v>323</v>
      </c>
      <c r="I221" s="7" t="s">
        <v>324</v>
      </c>
      <c r="J221" s="7" t="s">
        <v>322</v>
      </c>
      <c r="K221" s="22" t="n">
        <v>1</v>
      </c>
      <c r="L221" s="22" t="n">
        <v>4.4444</v>
      </c>
      <c r="M221" s="11" t="n">
        <v>16.7</v>
      </c>
      <c r="N221" s="11" t="n">
        <v>74.22</v>
      </c>
      <c r="O221" s="7"/>
      <c r="P221" s="11" t="n">
        <f aca="false">IF(J221="%mo","",IF(G221="MO",IF(J221="hh",INDEX(MO_HH,MATCH(I221,MO_CAT,0)),M221*P_FACT_IPC),IF(G221="SUBPART",IFERROR(INDEX(APU_SUBP!$C$7:$C$40,MATCH(H221,APU_SUBP!$A$7:$A$40,0)),M221*P_FACT_IPC),M221*P_FACT_IPC)))</f>
        <v>21.4811405451604</v>
      </c>
      <c r="Q221" s="11" t="n">
        <f aca="false">IF(J221="%mo",L221/100*SUMIFS($R$7:$R$782,$A$7:$A$782,A221),L221*P221)</f>
        <v>95.4707810389111</v>
      </c>
      <c r="R221" s="11" t="n">
        <f aca="false">IF(G221="MO",L221*P221,0)</f>
        <v>0</v>
      </c>
    </row>
    <row r="222" customFormat="false" ht="15" hidden="false" customHeight="false" outlineLevel="0" collapsed="false">
      <c r="A222" s="9" t="s">
        <v>489</v>
      </c>
      <c r="B222" s="9" t="s">
        <v>483</v>
      </c>
      <c r="C222" s="9" t="s">
        <v>304</v>
      </c>
      <c r="D222" s="9" t="s">
        <v>490</v>
      </c>
      <c r="E222" s="9" t="s">
        <v>12</v>
      </c>
      <c r="F222" s="10" t="n">
        <v>519.23</v>
      </c>
      <c r="G222" s="9" t="s">
        <v>288</v>
      </c>
      <c r="H222" s="9" t="s">
        <v>325</v>
      </c>
      <c r="I222" s="9" t="s">
        <v>326</v>
      </c>
      <c r="J222" s="9" t="s">
        <v>322</v>
      </c>
      <c r="K222" s="31" t="n">
        <v>0.5</v>
      </c>
      <c r="L222" s="31" t="n">
        <v>2.2222</v>
      </c>
      <c r="M222" s="10" t="n">
        <v>0.12</v>
      </c>
      <c r="N222" s="10" t="n">
        <v>0.27</v>
      </c>
      <c r="O222" s="9"/>
      <c r="P222" s="11" t="n">
        <f aca="false">IF(J222="%mo","",IF(G222="MO",IF(J222="hh",INDEX(MO_HH,MATCH(I222,MO_CAT,0)),M222*P_FACT_IPC),IF(G222="SUBPART",IFERROR(INDEX(APU_SUBP!$C$7:$C$40,MATCH(H222,APU_SUBP!$A$7:$A$40,0)),M222*P_FACT_IPC),M222*P_FACT_IPC)))</f>
        <v>0.154355500923309</v>
      </c>
      <c r="Q222" s="11" t="n">
        <f aca="false">IF(J222="%mo",L222/100*SUMIFS($R$7:$R$782,$A$7:$A$782,A222),L222*P222)</f>
        <v>0.343008794151776</v>
      </c>
      <c r="R222" s="11" t="n">
        <f aca="false">IF(G222="MO",L222*P222,0)</f>
        <v>0</v>
      </c>
    </row>
    <row r="223" customFormat="false" ht="15" hidden="false" customHeight="false" outlineLevel="0" collapsed="false">
      <c r="A223" s="7" t="s">
        <v>489</v>
      </c>
      <c r="B223" s="7" t="s">
        <v>483</v>
      </c>
      <c r="C223" s="7" t="s">
        <v>304</v>
      </c>
      <c r="D223" s="7" t="s">
        <v>490</v>
      </c>
      <c r="E223" s="7" t="s">
        <v>12</v>
      </c>
      <c r="F223" s="11" t="n">
        <v>519.23</v>
      </c>
      <c r="G223" s="7" t="s">
        <v>288</v>
      </c>
      <c r="H223" s="7" t="s">
        <v>327</v>
      </c>
      <c r="I223" s="7" t="s">
        <v>328</v>
      </c>
      <c r="J223" s="7" t="s">
        <v>329</v>
      </c>
      <c r="K223" s="22"/>
      <c r="L223" s="22" t="n">
        <v>3</v>
      </c>
      <c r="M223" s="11" t="n">
        <v>410.49</v>
      </c>
      <c r="N223" s="11" t="n">
        <v>12.31</v>
      </c>
      <c r="O223" s="7"/>
      <c r="P223" s="11" t="str">
        <f aca="false">IF(J223="%mo","",IF(G223="MO",IF(J223="hh",INDEX(MO_HH,MATCH(I223,MO_CAT,0)),M223*P_FACT_IPC),IF(G223="SUBPART",IFERROR(INDEX(APU_SUBP!$C$7:$C$40,MATCH(H223,APU_SUBP!$A$7:$A$40,0)),M223*P_FACT_IPC),M223*P_FACT_IPC)))</f>
        <v/>
      </c>
      <c r="Q223" s="11" t="n">
        <f aca="false">IF(J223="%mo",L223/100*SUMIFS($R$7:$R$782,$A$7:$A$782,A223),L223*P223)</f>
        <v>9.17356515196663</v>
      </c>
      <c r="R223" s="11" t="n">
        <f aca="false">IF(G223="MO",L223*P223,0)</f>
        <v>0</v>
      </c>
    </row>
    <row r="224" customFormat="false" ht="15" hidden="false" customHeight="false" outlineLevel="0" collapsed="false">
      <c r="A224" s="9" t="s">
        <v>491</v>
      </c>
      <c r="B224" s="9" t="s">
        <v>483</v>
      </c>
      <c r="C224" s="9" t="s">
        <v>331</v>
      </c>
      <c r="D224" s="9" t="s">
        <v>332</v>
      </c>
      <c r="E224" s="9" t="s">
        <v>12</v>
      </c>
      <c r="F224" s="10" t="n">
        <v>285.04</v>
      </c>
      <c r="G224" s="9" t="s">
        <v>281</v>
      </c>
      <c r="H224" s="9" t="s">
        <v>282</v>
      </c>
      <c r="I224" s="9" t="s">
        <v>107</v>
      </c>
      <c r="J224" s="9" t="s">
        <v>283</v>
      </c>
      <c r="K224" s="31" t="n">
        <v>1</v>
      </c>
      <c r="L224" s="31" t="n">
        <v>0.32</v>
      </c>
      <c r="M224" s="10" t="n">
        <v>25.81</v>
      </c>
      <c r="N224" s="10" t="n">
        <v>8.26</v>
      </c>
      <c r="O224" s="9" t="s">
        <v>284</v>
      </c>
      <c r="P224" s="11" t="n">
        <f aca="false">IF(J224="%mo","",IF(G224="MO",IF(J224="hh",INDEX(MO_HH,MATCH(I224,MO_CAT,0)),M224*P_FACT_IPC),IF(G224="SUBPART",IFERROR(INDEX(APU_SUBP!$C$7:$C$40,MATCH(H224,APU_SUBP!$A$7:$A$40,0)),M224*P_FACT_IPC),M224*P_FACT_IPC)))</f>
        <v>19.226758045292</v>
      </c>
      <c r="Q224" s="11" t="n">
        <f aca="false">IF(J224="%mo",L224/100*SUMIFS($R$7:$R$782,$A$7:$A$782,A224),L224*P224)</f>
        <v>6.15256257449344</v>
      </c>
      <c r="R224" s="11" t="n">
        <f aca="false">IF(G224="MO",L224*P224,0)</f>
        <v>6.15256257449344</v>
      </c>
    </row>
    <row r="225" customFormat="false" ht="15" hidden="false" customHeight="false" outlineLevel="0" collapsed="false">
      <c r="A225" s="7" t="s">
        <v>491</v>
      </c>
      <c r="B225" s="7" t="s">
        <v>483</v>
      </c>
      <c r="C225" s="7" t="s">
        <v>331</v>
      </c>
      <c r="D225" s="7" t="s">
        <v>332</v>
      </c>
      <c r="E225" s="7" t="s">
        <v>12</v>
      </c>
      <c r="F225" s="11" t="n">
        <v>285.04</v>
      </c>
      <c r="G225" s="7" t="s">
        <v>281</v>
      </c>
      <c r="H225" s="7" t="s">
        <v>286</v>
      </c>
      <c r="I225" s="7" t="s">
        <v>122</v>
      </c>
      <c r="J225" s="7" t="s">
        <v>283</v>
      </c>
      <c r="K225" s="22" t="n">
        <v>50</v>
      </c>
      <c r="L225" s="22" t="n">
        <v>16</v>
      </c>
      <c r="M225" s="11" t="n">
        <v>16.78</v>
      </c>
      <c r="N225" s="11" t="n">
        <v>268.48</v>
      </c>
      <c r="O225" s="7" t="s">
        <v>287</v>
      </c>
      <c r="P225" s="11" t="n">
        <f aca="false">IF(J225="%mo","",IF(G225="MO",IF(J225="hh",INDEX(MO_HH,MATCH(I225,MO_CAT,0)),M225*P_FACT_IPC),IF(G225="SUBPART",IFERROR(INDEX(APU_SUBP!$C$7:$C$40,MATCH(H225,APU_SUBP!$A$7:$A$40,0)),M225*P_FACT_IPC),M225*P_FACT_IPC)))</f>
        <v>12.5</v>
      </c>
      <c r="Q225" s="11" t="n">
        <f aca="false">IF(J225="%mo",L225/100*SUMIFS($R$7:$R$782,$A$7:$A$782,A225),L225*P225)</f>
        <v>200</v>
      </c>
      <c r="R225" s="11" t="n">
        <f aca="false">IF(G225="MO",L225*P225,0)</f>
        <v>200</v>
      </c>
    </row>
    <row r="226" customFormat="false" ht="15" hidden="false" customHeight="false" outlineLevel="0" collapsed="false">
      <c r="A226" s="9" t="s">
        <v>491</v>
      </c>
      <c r="B226" s="9" t="s">
        <v>483</v>
      </c>
      <c r="C226" s="9" t="s">
        <v>331</v>
      </c>
      <c r="D226" s="9" t="s">
        <v>332</v>
      </c>
      <c r="E226" s="9" t="s">
        <v>12</v>
      </c>
      <c r="F226" s="10" t="n">
        <v>285.04</v>
      </c>
      <c r="G226" s="9" t="s">
        <v>288</v>
      </c>
      <c r="H226" s="9" t="s">
        <v>327</v>
      </c>
      <c r="I226" s="9" t="s">
        <v>328</v>
      </c>
      <c r="J226" s="9" t="s">
        <v>329</v>
      </c>
      <c r="K226" s="31"/>
      <c r="L226" s="31" t="n">
        <v>3</v>
      </c>
      <c r="M226" s="10" t="n">
        <v>276.74</v>
      </c>
      <c r="N226" s="10" t="n">
        <v>8.3</v>
      </c>
      <c r="O226" s="9"/>
      <c r="P226" s="11" t="str">
        <f aca="false">IF(J226="%mo","",IF(G226="MO",IF(J226="hh",INDEX(MO_HH,MATCH(I226,MO_CAT,0)),M226*P_FACT_IPC),IF(G226="SUBPART",IFERROR(INDEX(APU_SUBP!$C$7:$C$40,MATCH(H226,APU_SUBP!$A$7:$A$40,0)),M226*P_FACT_IPC),M226*P_FACT_IPC)))</f>
        <v/>
      </c>
      <c r="Q226" s="11" t="n">
        <f aca="false">IF(J226="%mo",L226/100*SUMIFS($R$7:$R$782,$A$7:$A$782,A226),L226*P226)</f>
        <v>6.1845768772348</v>
      </c>
      <c r="R226" s="11" t="n">
        <f aca="false">IF(G226="MO",L226*P226,0)</f>
        <v>0</v>
      </c>
    </row>
    <row r="227" customFormat="false" ht="15" hidden="false" customHeight="false" outlineLevel="0" collapsed="false">
      <c r="A227" s="7" t="s">
        <v>492</v>
      </c>
      <c r="B227" s="7" t="s">
        <v>483</v>
      </c>
      <c r="C227" s="7" t="s">
        <v>334</v>
      </c>
      <c r="D227" s="7" t="s">
        <v>493</v>
      </c>
      <c r="E227" s="7" t="s">
        <v>494</v>
      </c>
      <c r="F227" s="11" t="n">
        <v>8000</v>
      </c>
      <c r="G227" s="7" t="s">
        <v>281</v>
      </c>
      <c r="H227" s="7" t="s">
        <v>495</v>
      </c>
      <c r="I227" s="7" t="s">
        <v>496</v>
      </c>
      <c r="J227" s="7" t="s">
        <v>277</v>
      </c>
      <c r="K227" s="22"/>
      <c r="L227" s="22" t="n">
        <v>1</v>
      </c>
      <c r="M227" s="11" t="n">
        <v>8000</v>
      </c>
      <c r="N227" s="11" t="n">
        <v>8000</v>
      </c>
      <c r="O227" s="7" t="s">
        <v>284</v>
      </c>
      <c r="P227" s="11" t="n">
        <f aca="false">IF(J227="%mo","",IF(G227="MO",IF(J227="hh",INDEX(MO_HH,MATCH(I227,MO_CAT,0)),M227*P_FACT_IPC),IF(G227="SUBPART",IFERROR(INDEX(APU_SUBP!$C$7:$C$40,MATCH(H227,APU_SUBP!$A$7:$A$40,0)),M227*P_FACT_IPC),M227*P_FACT_IPC)))</f>
        <v>10290.3667282206</v>
      </c>
      <c r="Q227" s="11" t="n">
        <f aca="false">IF(J227="%mo",L227/100*SUMIFS($R$7:$R$782,$A$7:$A$782,A227),L227*P227)</f>
        <v>10290.3667282206</v>
      </c>
      <c r="R227" s="11" t="n">
        <f aca="false">IF(G227="MO",L227*P227,0)</f>
        <v>10290.3667282206</v>
      </c>
    </row>
    <row r="228" customFormat="false" ht="15" hidden="false" customHeight="false" outlineLevel="0" collapsed="false">
      <c r="A228" s="9" t="s">
        <v>497</v>
      </c>
      <c r="B228" s="9" t="s">
        <v>483</v>
      </c>
      <c r="C228" s="9" t="s">
        <v>498</v>
      </c>
      <c r="D228" s="9" t="s">
        <v>340</v>
      </c>
      <c r="E228" s="9" t="s">
        <v>341</v>
      </c>
      <c r="F228" s="10" t="n">
        <v>202.06</v>
      </c>
      <c r="G228" s="9" t="s">
        <v>274</v>
      </c>
      <c r="H228" s="9" t="s">
        <v>342</v>
      </c>
      <c r="I228" s="9" t="s">
        <v>343</v>
      </c>
      <c r="J228" s="9" t="s">
        <v>341</v>
      </c>
      <c r="K228" s="31"/>
      <c r="L228" s="31" t="n">
        <v>1</v>
      </c>
      <c r="M228" s="10" t="n">
        <v>53.5</v>
      </c>
      <c r="N228" s="10" t="n">
        <v>53.5</v>
      </c>
      <c r="O228" s="9"/>
      <c r="P228" s="11" t="n">
        <f aca="false">IF(J228="%mo","",IF(G228="MO",IF(J228="hh",INDEX(MO_HH,MATCH(I228,MO_CAT,0)),M228*P_FACT_IPC),IF(G228="SUBPART",IFERROR(INDEX(APU_SUBP!$C$7:$C$40,MATCH(H228,APU_SUBP!$A$7:$A$40,0)),M228*P_FACT_IPC),M228*P_FACT_IPC)))</f>
        <v>68.8168274949751</v>
      </c>
      <c r="Q228" s="11" t="n">
        <f aca="false">IF(J228="%mo",L228/100*SUMIFS($R$7:$R$782,$A$7:$A$782,A228),L228*P228)</f>
        <v>68.8168274949751</v>
      </c>
      <c r="R228" s="11" t="n">
        <f aca="false">IF(G228="MO",L228*P228,0)</f>
        <v>0</v>
      </c>
    </row>
    <row r="229" customFormat="false" ht="15" hidden="false" customHeight="false" outlineLevel="0" collapsed="false">
      <c r="A229" s="7" t="s">
        <v>497</v>
      </c>
      <c r="B229" s="7" t="s">
        <v>483</v>
      </c>
      <c r="C229" s="7" t="s">
        <v>498</v>
      </c>
      <c r="D229" s="7" t="s">
        <v>340</v>
      </c>
      <c r="E229" s="7" t="s">
        <v>341</v>
      </c>
      <c r="F229" s="11" t="n">
        <v>202.06</v>
      </c>
      <c r="G229" s="7" t="s">
        <v>274</v>
      </c>
      <c r="H229" s="7" t="s">
        <v>344</v>
      </c>
      <c r="I229" s="7" t="s">
        <v>345</v>
      </c>
      <c r="J229" s="7" t="s">
        <v>341</v>
      </c>
      <c r="K229" s="22"/>
      <c r="L229" s="22" t="n">
        <v>1</v>
      </c>
      <c r="M229" s="11" t="n">
        <v>41.46</v>
      </c>
      <c r="N229" s="11" t="n">
        <v>41.46</v>
      </c>
      <c r="O229" s="7"/>
      <c r="P229" s="11" t="n">
        <f aca="false">IF(J229="%mo","",IF(G229="MO",IF(J229="hh",INDEX(MO_HH,MATCH(I229,MO_CAT,0)),M229*P_FACT_IPC),IF(G229="SUBPART",IFERROR(INDEX(APU_SUBP!$C$7:$C$40,MATCH(H229,APU_SUBP!$A$7:$A$40,0)),M229*P_FACT_IPC),M229*P_FACT_IPC)))</f>
        <v>53.3298255690031</v>
      </c>
      <c r="Q229" s="11" t="n">
        <f aca="false">IF(J229="%mo",L229/100*SUMIFS($R$7:$R$782,$A$7:$A$782,A229),L229*P229)</f>
        <v>53.3298255690031</v>
      </c>
      <c r="R229" s="11" t="n">
        <f aca="false">IF(G229="MO",L229*P229,0)</f>
        <v>0</v>
      </c>
    </row>
    <row r="230" customFormat="false" ht="15" hidden="false" customHeight="false" outlineLevel="0" collapsed="false">
      <c r="A230" s="9" t="s">
        <v>497</v>
      </c>
      <c r="B230" s="9" t="s">
        <v>483</v>
      </c>
      <c r="C230" s="9" t="s">
        <v>498</v>
      </c>
      <c r="D230" s="9" t="s">
        <v>340</v>
      </c>
      <c r="E230" s="9" t="s">
        <v>341</v>
      </c>
      <c r="F230" s="10" t="n">
        <v>202.06</v>
      </c>
      <c r="G230" s="9" t="s">
        <v>274</v>
      </c>
      <c r="H230" s="9" t="s">
        <v>346</v>
      </c>
      <c r="I230" s="9" t="s">
        <v>347</v>
      </c>
      <c r="J230" s="9" t="s">
        <v>341</v>
      </c>
      <c r="K230" s="31"/>
      <c r="L230" s="31" t="n">
        <v>1</v>
      </c>
      <c r="M230" s="10" t="n">
        <v>25.68</v>
      </c>
      <c r="N230" s="10" t="n">
        <v>25.68</v>
      </c>
      <c r="O230" s="9"/>
      <c r="P230" s="11" t="n">
        <f aca="false">IF(J230="%mo","",IF(G230="MO",IF(J230="hh",INDEX(MO_HH,MATCH(I230,MO_CAT,0)),M230*P_FACT_IPC),IF(G230="SUBPART",IFERROR(INDEX(APU_SUBP!$C$7:$C$40,MATCH(H230,APU_SUBP!$A$7:$A$40,0)),M230*P_FACT_IPC),M230*P_FACT_IPC)))</f>
        <v>33.032077197588</v>
      </c>
      <c r="Q230" s="11" t="n">
        <f aca="false">IF(J230="%mo",L230/100*SUMIFS($R$7:$R$782,$A$7:$A$782,A230),L230*P230)</f>
        <v>33.032077197588</v>
      </c>
      <c r="R230" s="11" t="n">
        <f aca="false">IF(G230="MO",L230*P230,0)</f>
        <v>0</v>
      </c>
    </row>
    <row r="231" customFormat="false" ht="15" hidden="false" customHeight="false" outlineLevel="0" collapsed="false">
      <c r="A231" s="7" t="s">
        <v>497</v>
      </c>
      <c r="B231" s="7" t="s">
        <v>483</v>
      </c>
      <c r="C231" s="7" t="s">
        <v>498</v>
      </c>
      <c r="D231" s="7" t="s">
        <v>340</v>
      </c>
      <c r="E231" s="7" t="s">
        <v>341</v>
      </c>
      <c r="F231" s="11" t="n">
        <v>202.06</v>
      </c>
      <c r="G231" s="7" t="s">
        <v>274</v>
      </c>
      <c r="H231" s="7" t="s">
        <v>348</v>
      </c>
      <c r="I231" s="7" t="s">
        <v>349</v>
      </c>
      <c r="J231" s="7" t="s">
        <v>341</v>
      </c>
      <c r="K231" s="22"/>
      <c r="L231" s="22" t="n">
        <v>1</v>
      </c>
      <c r="M231" s="11" t="n">
        <v>15.56</v>
      </c>
      <c r="N231" s="11" t="n">
        <v>15.56</v>
      </c>
      <c r="O231" s="7"/>
      <c r="P231" s="11" t="n">
        <f aca="false">IF(J231="%mo","",IF(G231="MO",IF(J231="hh",INDEX(MO_HH,MATCH(I231,MO_CAT,0)),M231*P_FACT_IPC),IF(G231="SUBPART",IFERROR(INDEX(APU_SUBP!$C$7:$C$40,MATCH(H231,APU_SUBP!$A$7:$A$40,0)),M231*P_FACT_IPC),M231*P_FACT_IPC)))</f>
        <v>20.014763286389</v>
      </c>
      <c r="Q231" s="11" t="n">
        <f aca="false">IF(J231="%mo",L231/100*SUMIFS($R$7:$R$782,$A$7:$A$782,A231),L231*P231)</f>
        <v>20.014763286389</v>
      </c>
      <c r="R231" s="11" t="n">
        <f aca="false">IF(G231="MO",L231*P231,0)</f>
        <v>0</v>
      </c>
    </row>
    <row r="232" customFormat="false" ht="15" hidden="false" customHeight="false" outlineLevel="0" collapsed="false">
      <c r="A232" s="9" t="s">
        <v>497</v>
      </c>
      <c r="B232" s="9" t="s">
        <v>483</v>
      </c>
      <c r="C232" s="9" t="s">
        <v>498</v>
      </c>
      <c r="D232" s="9" t="s">
        <v>340</v>
      </c>
      <c r="E232" s="9" t="s">
        <v>341</v>
      </c>
      <c r="F232" s="10" t="n">
        <v>202.06</v>
      </c>
      <c r="G232" s="9" t="s">
        <v>274</v>
      </c>
      <c r="H232" s="9" t="s">
        <v>350</v>
      </c>
      <c r="I232" s="9" t="s">
        <v>351</v>
      </c>
      <c r="J232" s="9" t="s">
        <v>341</v>
      </c>
      <c r="K232" s="31"/>
      <c r="L232" s="31" t="n">
        <v>1</v>
      </c>
      <c r="M232" s="10" t="n">
        <v>12.45</v>
      </c>
      <c r="N232" s="10" t="n">
        <v>12.45</v>
      </c>
      <c r="O232" s="9"/>
      <c r="P232" s="11" t="n">
        <f aca="false">IF(J232="%mo","",IF(G232="MO",IF(J232="hh",INDEX(MO_HH,MATCH(I232,MO_CAT,0)),M232*P_FACT_IPC),IF(G232="SUBPART",IFERROR(INDEX(APU_SUBP!$C$7:$C$40,MATCH(H232,APU_SUBP!$A$7:$A$40,0)),M232*P_FACT_IPC),M232*P_FACT_IPC)))</f>
        <v>16.0143832207933</v>
      </c>
      <c r="Q232" s="11" t="n">
        <f aca="false">IF(J232="%mo",L232/100*SUMIFS($R$7:$R$782,$A$7:$A$782,A232),L232*P232)</f>
        <v>16.0143832207933</v>
      </c>
      <c r="R232" s="11" t="n">
        <f aca="false">IF(G232="MO",L232*P232,0)</f>
        <v>0</v>
      </c>
    </row>
    <row r="233" customFormat="false" ht="15" hidden="false" customHeight="false" outlineLevel="0" collapsed="false">
      <c r="A233" s="7" t="s">
        <v>497</v>
      </c>
      <c r="B233" s="7" t="s">
        <v>483</v>
      </c>
      <c r="C233" s="7" t="s">
        <v>498</v>
      </c>
      <c r="D233" s="7" t="s">
        <v>340</v>
      </c>
      <c r="E233" s="7" t="s">
        <v>341</v>
      </c>
      <c r="F233" s="11" t="n">
        <v>202.06</v>
      </c>
      <c r="G233" s="7" t="s">
        <v>274</v>
      </c>
      <c r="H233" s="7" t="s">
        <v>352</v>
      </c>
      <c r="I233" s="7" t="s">
        <v>353</v>
      </c>
      <c r="J233" s="7" t="s">
        <v>341</v>
      </c>
      <c r="K233" s="22"/>
      <c r="L233" s="22" t="n">
        <v>1</v>
      </c>
      <c r="M233" s="11" t="n">
        <v>27.78</v>
      </c>
      <c r="N233" s="11" t="n">
        <v>27.78</v>
      </c>
      <c r="O233" s="7"/>
      <c r="P233" s="11" t="n">
        <f aca="false">IF(J233="%mo","",IF(G233="MO",IF(J233="hh",INDEX(MO_HH,MATCH(I233,MO_CAT,0)),M233*P_FACT_IPC),IF(G233="SUBPART",IFERROR(INDEX(APU_SUBP!$C$7:$C$40,MATCH(H233,APU_SUBP!$A$7:$A$40,0)),M233*P_FACT_IPC),M233*P_FACT_IPC)))</f>
        <v>35.7332984637459</v>
      </c>
      <c r="Q233" s="11" t="n">
        <f aca="false">IF(J233="%mo",L233/100*SUMIFS($R$7:$R$782,$A$7:$A$782,A233),L233*P233)</f>
        <v>35.7332984637459</v>
      </c>
      <c r="R233" s="11" t="n">
        <f aca="false">IF(G233="MO",L233*P233,0)</f>
        <v>0</v>
      </c>
    </row>
    <row r="234" customFormat="false" ht="15" hidden="false" customHeight="false" outlineLevel="0" collapsed="false">
      <c r="A234" s="9" t="s">
        <v>497</v>
      </c>
      <c r="B234" s="9" t="s">
        <v>483</v>
      </c>
      <c r="C234" s="9" t="s">
        <v>498</v>
      </c>
      <c r="D234" s="9" t="s">
        <v>340</v>
      </c>
      <c r="E234" s="9" t="s">
        <v>341</v>
      </c>
      <c r="F234" s="10" t="n">
        <v>202.06</v>
      </c>
      <c r="G234" s="9" t="s">
        <v>274</v>
      </c>
      <c r="H234" s="9" t="s">
        <v>354</v>
      </c>
      <c r="I234" s="9" t="s">
        <v>355</v>
      </c>
      <c r="J234" s="9" t="s">
        <v>341</v>
      </c>
      <c r="K234" s="31"/>
      <c r="L234" s="31" t="n">
        <v>1</v>
      </c>
      <c r="M234" s="10" t="n">
        <v>25.63</v>
      </c>
      <c r="N234" s="10" t="n">
        <v>25.63</v>
      </c>
      <c r="O234" s="9"/>
      <c r="P234" s="11" t="n">
        <f aca="false">IF(J234="%mo","",IF(G234="MO",IF(J234="hh",INDEX(MO_HH,MATCH(I234,MO_CAT,0)),M234*P_FACT_IPC),IF(G234="SUBPART",IFERROR(INDEX(APU_SUBP!$C$7:$C$40,MATCH(H234,APU_SUBP!$A$7:$A$40,0)),M234*P_FACT_IPC),M234*P_FACT_IPC)))</f>
        <v>32.9677624055367</v>
      </c>
      <c r="Q234" s="11" t="n">
        <f aca="false">IF(J234="%mo",L234/100*SUMIFS($R$7:$R$782,$A$7:$A$782,A234),L234*P234)</f>
        <v>32.9677624055367</v>
      </c>
      <c r="R234" s="11" t="n">
        <f aca="false">IF(G234="MO",L234*P234,0)</f>
        <v>0</v>
      </c>
    </row>
    <row r="235" customFormat="false" ht="15" hidden="false" customHeight="false" outlineLevel="0" collapsed="false">
      <c r="A235" s="7" t="s">
        <v>499</v>
      </c>
      <c r="B235" s="7" t="s">
        <v>483</v>
      </c>
      <c r="C235" s="7" t="s">
        <v>500</v>
      </c>
      <c r="D235" s="7" t="s">
        <v>501</v>
      </c>
      <c r="E235" s="7" t="s">
        <v>16</v>
      </c>
      <c r="F235" s="11" t="n">
        <v>4445.55</v>
      </c>
      <c r="G235" s="7" t="s">
        <v>281</v>
      </c>
      <c r="H235" s="7" t="s">
        <v>282</v>
      </c>
      <c r="I235" s="7" t="s">
        <v>107</v>
      </c>
      <c r="J235" s="7" t="s">
        <v>283</v>
      </c>
      <c r="K235" s="22" t="n">
        <v>0.5</v>
      </c>
      <c r="L235" s="22" t="n">
        <v>4</v>
      </c>
      <c r="M235" s="11" t="n">
        <v>25.81</v>
      </c>
      <c r="N235" s="11" t="n">
        <v>103.24</v>
      </c>
      <c r="O235" s="7" t="s">
        <v>284</v>
      </c>
      <c r="P235" s="11" t="n">
        <f aca="false">IF(J235="%mo","",IF(G235="MO",IF(J235="hh",INDEX(MO_HH,MATCH(I235,MO_CAT,0)),M235*P_FACT_IPC),IF(G235="SUBPART",IFERROR(INDEX(APU_SUBP!$C$7:$C$40,MATCH(H235,APU_SUBP!$A$7:$A$40,0)),M235*P_FACT_IPC),M235*P_FACT_IPC)))</f>
        <v>19.226758045292</v>
      </c>
      <c r="Q235" s="11" t="n">
        <f aca="false">IF(J235="%mo",L235/100*SUMIFS($R$7:$R$782,$A$7:$A$782,A235),L235*P235)</f>
        <v>76.9070321811681</v>
      </c>
      <c r="R235" s="11" t="n">
        <f aca="false">IF(G235="MO",L235*P235,0)</f>
        <v>76.9070321811681</v>
      </c>
    </row>
    <row r="236" customFormat="false" ht="15" hidden="false" customHeight="false" outlineLevel="0" collapsed="false">
      <c r="A236" s="9" t="s">
        <v>499</v>
      </c>
      <c r="B236" s="9" t="s">
        <v>483</v>
      </c>
      <c r="C236" s="9" t="s">
        <v>500</v>
      </c>
      <c r="D236" s="9" t="s">
        <v>501</v>
      </c>
      <c r="E236" s="9" t="s">
        <v>16</v>
      </c>
      <c r="F236" s="10" t="n">
        <v>4445.55</v>
      </c>
      <c r="G236" s="9" t="s">
        <v>281</v>
      </c>
      <c r="H236" s="9" t="s">
        <v>306</v>
      </c>
      <c r="I236" s="9" t="s">
        <v>112</v>
      </c>
      <c r="J236" s="9" t="s">
        <v>283</v>
      </c>
      <c r="K236" s="31" t="n">
        <v>1</v>
      </c>
      <c r="L236" s="31" t="n">
        <v>8</v>
      </c>
      <c r="M236" s="10" t="n">
        <v>23.46</v>
      </c>
      <c r="N236" s="10" t="n">
        <v>187.68</v>
      </c>
      <c r="O236" s="9" t="s">
        <v>284</v>
      </c>
      <c r="P236" s="11" t="n">
        <f aca="false">IF(J236="%mo","",IF(G236="MO",IF(J236="hh",INDEX(MO_HH,MATCH(I236,MO_CAT,0)),M236*P_FACT_IPC),IF(G236="SUBPART",IFERROR(INDEX(APU_SUBP!$C$7:$C$40,MATCH(H236,APU_SUBP!$A$7:$A$40,0)),M236*P_FACT_IPC),M236*P_FACT_IPC)))</f>
        <v>17.4761620977354</v>
      </c>
      <c r="Q236" s="11" t="n">
        <f aca="false">IF(J236="%mo",L236/100*SUMIFS($R$7:$R$782,$A$7:$A$782,A236),L236*P236)</f>
        <v>139.809296781883</v>
      </c>
      <c r="R236" s="11" t="n">
        <f aca="false">IF(G236="MO",L236*P236,0)</f>
        <v>139.809296781883</v>
      </c>
    </row>
    <row r="237" customFormat="false" ht="15" hidden="false" customHeight="false" outlineLevel="0" collapsed="false">
      <c r="A237" s="7" t="s">
        <v>499</v>
      </c>
      <c r="B237" s="7" t="s">
        <v>483</v>
      </c>
      <c r="C237" s="7" t="s">
        <v>500</v>
      </c>
      <c r="D237" s="7" t="s">
        <v>501</v>
      </c>
      <c r="E237" s="7" t="s">
        <v>16</v>
      </c>
      <c r="F237" s="11" t="n">
        <v>4445.55</v>
      </c>
      <c r="G237" s="7" t="s">
        <v>281</v>
      </c>
      <c r="H237" s="7" t="s">
        <v>286</v>
      </c>
      <c r="I237" s="7" t="s">
        <v>122</v>
      </c>
      <c r="J237" s="7" t="s">
        <v>283</v>
      </c>
      <c r="K237" s="22" t="n">
        <v>4</v>
      </c>
      <c r="L237" s="22" t="n">
        <v>32</v>
      </c>
      <c r="M237" s="11" t="n">
        <v>16.78</v>
      </c>
      <c r="N237" s="11" t="n">
        <v>536.96</v>
      </c>
      <c r="O237" s="7" t="s">
        <v>287</v>
      </c>
      <c r="P237" s="11" t="n">
        <f aca="false">IF(J237="%mo","",IF(G237="MO",IF(J237="hh",INDEX(MO_HH,MATCH(I237,MO_CAT,0)),M237*P_FACT_IPC),IF(G237="SUBPART",IFERROR(INDEX(APU_SUBP!$C$7:$C$40,MATCH(H237,APU_SUBP!$A$7:$A$40,0)),M237*P_FACT_IPC),M237*P_FACT_IPC)))</f>
        <v>12.5</v>
      </c>
      <c r="Q237" s="11" t="n">
        <f aca="false">IF(J237="%mo",L237/100*SUMIFS($R$7:$R$782,$A$7:$A$782,A237),L237*P237)</f>
        <v>400</v>
      </c>
      <c r="R237" s="11" t="n">
        <f aca="false">IF(G237="MO",L237*P237,0)</f>
        <v>400</v>
      </c>
    </row>
    <row r="238" customFormat="false" ht="15" hidden="false" customHeight="false" outlineLevel="0" collapsed="false">
      <c r="A238" s="9" t="s">
        <v>499</v>
      </c>
      <c r="B238" s="9" t="s">
        <v>483</v>
      </c>
      <c r="C238" s="9" t="s">
        <v>500</v>
      </c>
      <c r="D238" s="9" t="s">
        <v>501</v>
      </c>
      <c r="E238" s="9" t="s">
        <v>16</v>
      </c>
      <c r="F238" s="10" t="n">
        <v>4445.55</v>
      </c>
      <c r="G238" s="9" t="s">
        <v>307</v>
      </c>
      <c r="H238" s="9" t="s">
        <v>359</v>
      </c>
      <c r="I238" s="9" t="s">
        <v>360</v>
      </c>
      <c r="J238" s="9" t="s">
        <v>361</v>
      </c>
      <c r="K238" s="31"/>
      <c r="L238" s="31" t="n">
        <v>0.85</v>
      </c>
      <c r="M238" s="10" t="n">
        <v>4.43</v>
      </c>
      <c r="N238" s="10" t="n">
        <v>3.77</v>
      </c>
      <c r="O238" s="9"/>
      <c r="P238" s="11" t="n">
        <f aca="false">IF(J238="%mo","",IF(G238="MO",IF(J238="hh",INDEX(MO_HH,MATCH(I238,MO_CAT,0)),M238*P_FACT_IPC),IF(G238="SUBPART",IFERROR(INDEX(APU_SUBP!$C$7:$C$40,MATCH(H238,APU_SUBP!$A$7:$A$40,0)),M238*P_FACT_IPC),M238*P_FACT_IPC)))</f>
        <v>5.69829057575214</v>
      </c>
      <c r="Q238" s="11" t="n">
        <f aca="false">IF(J238="%mo",L238/100*SUMIFS($R$7:$R$782,$A$7:$A$782,A238),L238*P238)</f>
        <v>4.84354698938932</v>
      </c>
      <c r="R238" s="11" t="n">
        <f aca="false">IF(G238="MO",L238*P238,0)</f>
        <v>0</v>
      </c>
    </row>
    <row r="239" customFormat="false" ht="15" hidden="false" customHeight="false" outlineLevel="0" collapsed="false">
      <c r="A239" s="7" t="s">
        <v>499</v>
      </c>
      <c r="B239" s="7" t="s">
        <v>483</v>
      </c>
      <c r="C239" s="7" t="s">
        <v>500</v>
      </c>
      <c r="D239" s="7" t="s">
        <v>501</v>
      </c>
      <c r="E239" s="7" t="s">
        <v>16</v>
      </c>
      <c r="F239" s="11" t="n">
        <v>4445.55</v>
      </c>
      <c r="G239" s="7" t="s">
        <v>307</v>
      </c>
      <c r="H239" s="7" t="s">
        <v>362</v>
      </c>
      <c r="I239" s="7" t="s">
        <v>363</v>
      </c>
      <c r="J239" s="7" t="s">
        <v>310</v>
      </c>
      <c r="K239" s="22"/>
      <c r="L239" s="22" t="n">
        <v>1.05</v>
      </c>
      <c r="M239" s="11" t="n">
        <v>24.68</v>
      </c>
      <c r="N239" s="11" t="n">
        <v>25.91</v>
      </c>
      <c r="O239" s="7"/>
      <c r="P239" s="11" t="n">
        <f aca="false">IF(J239="%mo","",IF(G239="MO",IF(J239="hh",INDEX(MO_HH,MATCH(I239,MO_CAT,0)),M239*P_FACT_IPC),IF(G239="SUBPART",IFERROR(INDEX(APU_SUBP!$C$7:$C$40,MATCH(H239,APU_SUBP!$A$7:$A$40,0)),M239*P_FACT_IPC),M239*P_FACT_IPC)))</f>
        <v>31.7457813565605</v>
      </c>
      <c r="Q239" s="11" t="n">
        <f aca="false">IF(J239="%mo",L239/100*SUMIFS($R$7:$R$782,$A$7:$A$782,A239),L239*P239)</f>
        <v>33.3330704243885</v>
      </c>
      <c r="R239" s="11" t="n">
        <f aca="false">IF(G239="MO",L239*P239,0)</f>
        <v>0</v>
      </c>
    </row>
    <row r="240" customFormat="false" ht="15" hidden="false" customHeight="false" outlineLevel="0" collapsed="false">
      <c r="A240" s="9" t="s">
        <v>499</v>
      </c>
      <c r="B240" s="9" t="s">
        <v>483</v>
      </c>
      <c r="C240" s="9" t="s">
        <v>500</v>
      </c>
      <c r="D240" s="9" t="s">
        <v>501</v>
      </c>
      <c r="E240" s="9" t="s">
        <v>16</v>
      </c>
      <c r="F240" s="10" t="n">
        <v>4445.55</v>
      </c>
      <c r="G240" s="9" t="s">
        <v>307</v>
      </c>
      <c r="H240" s="9" t="s">
        <v>364</v>
      </c>
      <c r="I240" s="9" t="s">
        <v>365</v>
      </c>
      <c r="J240" s="9" t="s">
        <v>316</v>
      </c>
      <c r="K240" s="31"/>
      <c r="L240" s="31" t="n">
        <v>70</v>
      </c>
      <c r="M240" s="10" t="n">
        <v>4.13</v>
      </c>
      <c r="N240" s="10" t="n">
        <v>289.1</v>
      </c>
      <c r="O240" s="9"/>
      <c r="P240" s="11" t="n">
        <f aca="false">IF(J240="%mo","",IF(G240="MO",IF(J240="hh",INDEX(MO_HH,MATCH(I240,MO_CAT,0)),M240*P_FACT_IPC),IF(G240="SUBPART",IFERROR(INDEX(APU_SUBP!$C$7:$C$40,MATCH(H240,APU_SUBP!$A$7:$A$40,0)),M240*P_FACT_IPC),M240*P_FACT_IPC)))</f>
        <v>5.31240182344387</v>
      </c>
      <c r="Q240" s="11" t="n">
        <f aca="false">IF(J240="%mo",L240/100*SUMIFS($R$7:$R$782,$A$7:$A$782,A240),L240*P240)</f>
        <v>371.868127641071</v>
      </c>
      <c r="R240" s="11" t="n">
        <f aca="false">IF(G240="MO",L240*P240,0)</f>
        <v>0</v>
      </c>
    </row>
    <row r="241" customFormat="false" ht="15" hidden="false" customHeight="false" outlineLevel="0" collapsed="false">
      <c r="A241" s="7" t="s">
        <v>499</v>
      </c>
      <c r="B241" s="7" t="s">
        <v>483</v>
      </c>
      <c r="C241" s="7" t="s">
        <v>500</v>
      </c>
      <c r="D241" s="7" t="s">
        <v>501</v>
      </c>
      <c r="E241" s="7" t="s">
        <v>16</v>
      </c>
      <c r="F241" s="11" t="n">
        <v>4445.55</v>
      </c>
      <c r="G241" s="7" t="s">
        <v>307</v>
      </c>
      <c r="H241" s="7" t="s">
        <v>317</v>
      </c>
      <c r="I241" s="7" t="s">
        <v>318</v>
      </c>
      <c r="J241" s="7" t="s">
        <v>319</v>
      </c>
      <c r="K241" s="22"/>
      <c r="L241" s="22" t="n">
        <v>0.25</v>
      </c>
      <c r="M241" s="11" t="n">
        <v>34.07</v>
      </c>
      <c r="N241" s="11" t="n">
        <v>8.52</v>
      </c>
      <c r="O241" s="7"/>
      <c r="P241" s="11" t="n">
        <f aca="false">IF(J241="%mo","",IF(G241="MO",IF(J241="hh",INDEX(MO_HH,MATCH(I241,MO_CAT,0)),M241*P_FACT_IPC),IF(G241="SUBPART",IFERROR(INDEX(APU_SUBP!$C$7:$C$40,MATCH(H241,APU_SUBP!$A$7:$A$40,0)),M241*P_FACT_IPC),M241*P_FACT_IPC)))</f>
        <v>43.8240993038094</v>
      </c>
      <c r="Q241" s="11" t="n">
        <f aca="false">IF(J241="%mo",L241/100*SUMIFS($R$7:$R$782,$A$7:$A$782,A241),L241*P241)</f>
        <v>10.9560248259523</v>
      </c>
      <c r="R241" s="11" t="n">
        <f aca="false">IF(G241="MO",L241*P241,0)</f>
        <v>0</v>
      </c>
    </row>
    <row r="242" customFormat="false" ht="15" hidden="false" customHeight="false" outlineLevel="0" collapsed="false">
      <c r="A242" s="9" t="s">
        <v>499</v>
      </c>
      <c r="B242" s="9" t="s">
        <v>483</v>
      </c>
      <c r="C242" s="9" t="s">
        <v>500</v>
      </c>
      <c r="D242" s="9" t="s">
        <v>501</v>
      </c>
      <c r="E242" s="9" t="s">
        <v>16</v>
      </c>
      <c r="F242" s="10" t="n">
        <v>4445.55</v>
      </c>
      <c r="G242" s="9" t="s">
        <v>307</v>
      </c>
      <c r="H242" s="9" t="s">
        <v>366</v>
      </c>
      <c r="I242" s="9" t="s">
        <v>367</v>
      </c>
      <c r="J242" s="9" t="s">
        <v>16</v>
      </c>
      <c r="K242" s="31"/>
      <c r="L242" s="31" t="n">
        <v>15</v>
      </c>
      <c r="M242" s="10" t="n">
        <v>3.01</v>
      </c>
      <c r="N242" s="10" t="n">
        <v>45.15</v>
      </c>
      <c r="O242" s="9"/>
      <c r="P242" s="11" t="n">
        <f aca="false">IF(J242="%mo","",IF(G242="MO",IF(J242="hh",INDEX(MO_HH,MATCH(I242,MO_CAT,0)),M242*P_FACT_IPC),IF(G242="SUBPART",IFERROR(INDEX(APU_SUBP!$C$7:$C$40,MATCH(H242,APU_SUBP!$A$7:$A$40,0)),M242*P_FACT_IPC),M242*P_FACT_IPC)))</f>
        <v>3.87175048149299</v>
      </c>
      <c r="Q242" s="11" t="n">
        <f aca="false">IF(J242="%mo",L242/100*SUMIFS($R$7:$R$782,$A$7:$A$782,A242),L242*P242)</f>
        <v>58.0762572223949</v>
      </c>
      <c r="R242" s="11" t="n">
        <f aca="false">IF(G242="MO",L242*P242,0)</f>
        <v>0</v>
      </c>
    </row>
    <row r="243" customFormat="false" ht="15" hidden="false" customHeight="false" outlineLevel="0" collapsed="false">
      <c r="A243" s="7" t="s">
        <v>499</v>
      </c>
      <c r="B243" s="7" t="s">
        <v>483</v>
      </c>
      <c r="C243" s="7" t="s">
        <v>500</v>
      </c>
      <c r="D243" s="7" t="s">
        <v>501</v>
      </c>
      <c r="E243" s="7" t="s">
        <v>16</v>
      </c>
      <c r="F243" s="11" t="n">
        <v>4445.55</v>
      </c>
      <c r="G243" s="7" t="s">
        <v>288</v>
      </c>
      <c r="H243" s="7" t="s">
        <v>327</v>
      </c>
      <c r="I243" s="7" t="s">
        <v>328</v>
      </c>
      <c r="J243" s="7" t="s">
        <v>329</v>
      </c>
      <c r="K243" s="22"/>
      <c r="L243" s="22" t="n">
        <v>3</v>
      </c>
      <c r="M243" s="11" t="n">
        <v>827.88</v>
      </c>
      <c r="N243" s="11" t="n">
        <v>24.84</v>
      </c>
      <c r="O243" s="7"/>
      <c r="P243" s="11" t="str">
        <f aca="false">IF(J243="%mo","",IF(G243="MO",IF(J243="hh",INDEX(MO_HH,MATCH(I243,MO_CAT,0)),M243*P_FACT_IPC),IF(G243="SUBPART",IFERROR(INDEX(APU_SUBP!$C$7:$C$40,MATCH(H243,APU_SUBP!$A$7:$A$40,0)),M243*P_FACT_IPC),M243*P_FACT_IPC)))</f>
        <v/>
      </c>
      <c r="Q243" s="11" t="n">
        <f aca="false">IF(J243="%mo",L243/100*SUMIFS($R$7:$R$782,$A$7:$A$782,A243),L243*P243)</f>
        <v>18.5014898688915</v>
      </c>
      <c r="R243" s="11" t="n">
        <f aca="false">IF(G243="MO",L243*P243,0)</f>
        <v>0</v>
      </c>
    </row>
    <row r="244" customFormat="false" ht="15" hidden="false" customHeight="false" outlineLevel="0" collapsed="false">
      <c r="A244" s="9" t="s">
        <v>499</v>
      </c>
      <c r="B244" s="9" t="s">
        <v>483</v>
      </c>
      <c r="C244" s="9" t="s">
        <v>500</v>
      </c>
      <c r="D244" s="9" t="s">
        <v>501</v>
      </c>
      <c r="E244" s="9" t="s">
        <v>16</v>
      </c>
      <c r="F244" s="10" t="n">
        <v>4445.55</v>
      </c>
      <c r="G244" s="9" t="s">
        <v>274</v>
      </c>
      <c r="H244" s="9" t="s">
        <v>368</v>
      </c>
      <c r="I244" s="9" t="s">
        <v>369</v>
      </c>
      <c r="J244" s="9" t="s">
        <v>277</v>
      </c>
      <c r="K244" s="31"/>
      <c r="L244" s="31" t="n">
        <v>1</v>
      </c>
      <c r="M244" s="10" t="n">
        <v>3200</v>
      </c>
      <c r="N244" s="10" t="n">
        <v>3200</v>
      </c>
      <c r="O244" s="9"/>
      <c r="P244" s="11" t="n">
        <f aca="false">IF(J244="%mo","",IF(G244="MO",IF(J244="hh",INDEX(MO_HH,MATCH(I244,MO_CAT,0)),M244*P_FACT_IPC),IF(G244="SUBPART",IFERROR(INDEX(APU_SUBP!$C$7:$C$40,MATCH(H244,APU_SUBP!$A$7:$A$40,0)),M244*P_FACT_IPC),M244*P_FACT_IPC)))</f>
        <v>4116.14669128823</v>
      </c>
      <c r="Q244" s="11" t="n">
        <f aca="false">IF(J244="%mo",L244/100*SUMIFS($R$7:$R$782,$A$7:$A$782,A244),L244*P244)</f>
        <v>4116.14669128823</v>
      </c>
      <c r="R244" s="11" t="n">
        <f aca="false">IF(G244="MO",L244*P244,0)</f>
        <v>0</v>
      </c>
    </row>
    <row r="245" customFormat="false" ht="15" hidden="false" customHeight="false" outlineLevel="0" collapsed="false">
      <c r="A245" s="7" t="s">
        <v>499</v>
      </c>
      <c r="B245" s="7" t="s">
        <v>483</v>
      </c>
      <c r="C245" s="7" t="s">
        <v>500</v>
      </c>
      <c r="D245" s="7" t="s">
        <v>501</v>
      </c>
      <c r="E245" s="7" t="s">
        <v>16</v>
      </c>
      <c r="F245" s="11" t="n">
        <v>4445.55</v>
      </c>
      <c r="G245" s="7" t="s">
        <v>370</v>
      </c>
      <c r="H245" s="7" t="s">
        <v>371</v>
      </c>
      <c r="I245" s="7" t="s">
        <v>372</v>
      </c>
      <c r="J245" s="7" t="s">
        <v>273</v>
      </c>
      <c r="K245" s="22"/>
      <c r="L245" s="22" t="n">
        <v>0.36</v>
      </c>
      <c r="M245" s="11" t="n">
        <v>56.6</v>
      </c>
      <c r="N245" s="11" t="n">
        <v>20.38</v>
      </c>
      <c r="O245" s="7"/>
      <c r="P245" s="11" t="n">
        <f aca="false">IF(J245="%mo","",IF(G245="MO",IF(J245="hh",INDEX(MO_HH,MATCH(I245,MO_CAT,0)),M245*P_FACT_IPC),IF(G245="SUBPART",IFERROR(INDEX(APU_SUBP!$C$7:$C$40,MATCH(H245,APU_SUBP!$A$7:$A$40,0)),M245*P_FACT_IPC),M245*P_FACT_IPC)))</f>
        <v>69.1425112769682</v>
      </c>
      <c r="Q245" s="11" t="n">
        <f aca="false">IF(J245="%mo",L245/100*SUMIFS($R$7:$R$782,$A$7:$A$782,A245),L245*P245)</f>
        <v>24.8913040597086</v>
      </c>
      <c r="R245" s="11" t="n">
        <f aca="false">IF(G245="MO",L245*P245,0)</f>
        <v>0</v>
      </c>
    </row>
    <row r="246" customFormat="false" ht="15" hidden="false" customHeight="false" outlineLevel="0" collapsed="false">
      <c r="A246" s="9" t="s">
        <v>502</v>
      </c>
      <c r="B246" s="9" t="s">
        <v>483</v>
      </c>
      <c r="C246" s="9" t="s">
        <v>503</v>
      </c>
      <c r="D246" s="9" t="s">
        <v>381</v>
      </c>
      <c r="E246" s="9" t="s">
        <v>341</v>
      </c>
      <c r="F246" s="10" t="n">
        <v>3.19</v>
      </c>
      <c r="G246" s="9" t="s">
        <v>281</v>
      </c>
      <c r="H246" s="9" t="s">
        <v>282</v>
      </c>
      <c r="I246" s="9" t="s">
        <v>107</v>
      </c>
      <c r="J246" s="9" t="s">
        <v>283</v>
      </c>
      <c r="K246" s="31" t="n">
        <v>0.1</v>
      </c>
      <c r="L246" s="31" t="n">
        <v>0.0032</v>
      </c>
      <c r="M246" s="10" t="n">
        <v>25.81</v>
      </c>
      <c r="N246" s="10" t="n">
        <v>0.08</v>
      </c>
      <c r="O246" s="9" t="s">
        <v>284</v>
      </c>
      <c r="P246" s="11" t="n">
        <f aca="false">IF(J246="%mo","",IF(G246="MO",IF(J246="hh",INDEX(MO_HH,MATCH(I246,MO_CAT,0)),M246*P_FACT_IPC),IF(G246="SUBPART",IFERROR(INDEX(APU_SUBP!$C$7:$C$40,MATCH(H246,APU_SUBP!$A$7:$A$40,0)),M246*P_FACT_IPC),M246*P_FACT_IPC)))</f>
        <v>19.226758045292</v>
      </c>
      <c r="Q246" s="11" t="n">
        <f aca="false">IF(J246="%mo",L246/100*SUMIFS($R$7:$R$782,$A$7:$A$782,A246),L246*P246)</f>
        <v>0.0615256257449344</v>
      </c>
      <c r="R246" s="11" t="n">
        <f aca="false">IF(G246="MO",L246*P246,0)</f>
        <v>0.0615256257449344</v>
      </c>
    </row>
    <row r="247" customFormat="false" ht="15" hidden="false" customHeight="false" outlineLevel="0" collapsed="false">
      <c r="A247" s="7" t="s">
        <v>502</v>
      </c>
      <c r="B247" s="7" t="s">
        <v>483</v>
      </c>
      <c r="C247" s="7" t="s">
        <v>503</v>
      </c>
      <c r="D247" s="7" t="s">
        <v>381</v>
      </c>
      <c r="E247" s="7" t="s">
        <v>341</v>
      </c>
      <c r="F247" s="11" t="n">
        <v>3.19</v>
      </c>
      <c r="G247" s="7" t="s">
        <v>281</v>
      </c>
      <c r="H247" s="7" t="s">
        <v>306</v>
      </c>
      <c r="I247" s="7" t="s">
        <v>112</v>
      </c>
      <c r="J247" s="7" t="s">
        <v>283</v>
      </c>
      <c r="K247" s="22" t="n">
        <v>1</v>
      </c>
      <c r="L247" s="22" t="n">
        <v>0.032</v>
      </c>
      <c r="M247" s="11" t="n">
        <v>23.46</v>
      </c>
      <c r="N247" s="11" t="n">
        <v>0.75</v>
      </c>
      <c r="O247" s="7" t="s">
        <v>284</v>
      </c>
      <c r="P247" s="11" t="n">
        <f aca="false">IF(J247="%mo","",IF(G247="MO",IF(J247="hh",INDEX(MO_HH,MATCH(I247,MO_CAT,0)),M247*P_FACT_IPC),IF(G247="SUBPART",IFERROR(INDEX(APU_SUBP!$C$7:$C$40,MATCH(H247,APU_SUBP!$A$7:$A$40,0)),M247*P_FACT_IPC),M247*P_FACT_IPC)))</f>
        <v>17.4761620977354</v>
      </c>
      <c r="Q247" s="11" t="n">
        <f aca="false">IF(J247="%mo",L247/100*SUMIFS($R$7:$R$782,$A$7:$A$782,A247),L247*P247)</f>
        <v>0.559237187127533</v>
      </c>
      <c r="R247" s="11" t="n">
        <f aca="false">IF(G247="MO",L247*P247,0)</f>
        <v>0.559237187127533</v>
      </c>
    </row>
    <row r="248" customFormat="false" ht="15" hidden="false" customHeight="false" outlineLevel="0" collapsed="false">
      <c r="A248" s="9" t="s">
        <v>502</v>
      </c>
      <c r="B248" s="9" t="s">
        <v>483</v>
      </c>
      <c r="C248" s="9" t="s">
        <v>503</v>
      </c>
      <c r="D248" s="9" t="s">
        <v>381</v>
      </c>
      <c r="E248" s="9" t="s">
        <v>341</v>
      </c>
      <c r="F248" s="10" t="n">
        <v>3.19</v>
      </c>
      <c r="G248" s="9" t="s">
        <v>281</v>
      </c>
      <c r="H248" s="9" t="s">
        <v>286</v>
      </c>
      <c r="I248" s="9" t="s">
        <v>122</v>
      </c>
      <c r="J248" s="9" t="s">
        <v>283</v>
      </c>
      <c r="K248" s="31" t="n">
        <v>2</v>
      </c>
      <c r="L248" s="31" t="n">
        <v>0.064</v>
      </c>
      <c r="M248" s="10" t="n">
        <v>16.78</v>
      </c>
      <c r="N248" s="10" t="n">
        <v>1.07</v>
      </c>
      <c r="O248" s="9" t="s">
        <v>287</v>
      </c>
      <c r="P248" s="11" t="n">
        <f aca="false">IF(J248="%mo","",IF(G248="MO",IF(J248="hh",INDEX(MO_HH,MATCH(I248,MO_CAT,0)),M248*P_FACT_IPC),IF(G248="SUBPART",IFERROR(INDEX(APU_SUBP!$C$7:$C$40,MATCH(H248,APU_SUBP!$A$7:$A$40,0)),M248*P_FACT_IPC),M248*P_FACT_IPC)))</f>
        <v>12.5</v>
      </c>
      <c r="Q248" s="11" t="n">
        <f aca="false">IF(J248="%mo",L248/100*SUMIFS($R$7:$R$782,$A$7:$A$782,A248),L248*P248)</f>
        <v>0.8</v>
      </c>
      <c r="R248" s="11" t="n">
        <f aca="false">IF(G248="MO",L248*P248,0)</f>
        <v>0.8</v>
      </c>
    </row>
    <row r="249" customFormat="false" ht="15" hidden="false" customHeight="false" outlineLevel="0" collapsed="false">
      <c r="A249" s="7" t="s">
        <v>502</v>
      </c>
      <c r="B249" s="7" t="s">
        <v>483</v>
      </c>
      <c r="C249" s="7" t="s">
        <v>503</v>
      </c>
      <c r="D249" s="7" t="s">
        <v>381</v>
      </c>
      <c r="E249" s="7" t="s">
        <v>341</v>
      </c>
      <c r="F249" s="11" t="n">
        <v>3.19</v>
      </c>
      <c r="G249" s="7" t="s">
        <v>288</v>
      </c>
      <c r="H249" s="7" t="s">
        <v>327</v>
      </c>
      <c r="I249" s="7" t="s">
        <v>328</v>
      </c>
      <c r="J249" s="7" t="s">
        <v>329</v>
      </c>
      <c r="K249" s="22"/>
      <c r="L249" s="22" t="n">
        <v>3</v>
      </c>
      <c r="M249" s="11" t="n">
        <v>1.9</v>
      </c>
      <c r="N249" s="11" t="n">
        <v>0.06</v>
      </c>
      <c r="O249" s="7"/>
      <c r="P249" s="11" t="str">
        <f aca="false">IF(J249="%mo","",IF(G249="MO",IF(J249="hh",INDEX(MO_HH,MATCH(I249,MO_CAT,0)),M249*P_FACT_IPC),IF(G249="SUBPART",IFERROR(INDEX(APU_SUBP!$C$7:$C$40,MATCH(H249,APU_SUBP!$A$7:$A$40,0)),M249*P_FACT_IPC),M249*P_FACT_IPC)))</f>
        <v/>
      </c>
      <c r="Q249" s="11" t="n">
        <f aca="false">IF(J249="%mo",L249/100*SUMIFS($R$7:$R$782,$A$7:$A$782,A249),L249*P249)</f>
        <v>0.042622884386174</v>
      </c>
      <c r="R249" s="11" t="n">
        <f aca="false">IF(G249="MO",L249*P249,0)</f>
        <v>0</v>
      </c>
    </row>
    <row r="250" customFormat="false" ht="15" hidden="false" customHeight="false" outlineLevel="0" collapsed="false">
      <c r="A250" s="9" t="s">
        <v>502</v>
      </c>
      <c r="B250" s="9" t="s">
        <v>483</v>
      </c>
      <c r="C250" s="9" t="s">
        <v>503</v>
      </c>
      <c r="D250" s="9" t="s">
        <v>381</v>
      </c>
      <c r="E250" s="9" t="s">
        <v>341</v>
      </c>
      <c r="F250" s="10" t="n">
        <v>3.19</v>
      </c>
      <c r="G250" s="9" t="s">
        <v>288</v>
      </c>
      <c r="H250" s="9" t="s">
        <v>382</v>
      </c>
      <c r="I250" s="9" t="s">
        <v>383</v>
      </c>
      <c r="J250" s="9" t="s">
        <v>291</v>
      </c>
      <c r="K250" s="31" t="n">
        <v>1</v>
      </c>
      <c r="L250" s="31" t="n">
        <v>0.032</v>
      </c>
      <c r="M250" s="10" t="n">
        <v>38.5</v>
      </c>
      <c r="N250" s="10" t="n">
        <v>1.23</v>
      </c>
      <c r="O250" s="9"/>
      <c r="P250" s="11" t="n">
        <f aca="false">IF(J250="%mo","",IF(G250="MO",IF(J250="hh",INDEX(MO_HH,MATCH(I250,MO_CAT,0)),M250*P_FACT_IPC),IF(G250="SUBPART",IFERROR(INDEX(APU_SUBP!$C$7:$C$40,MATCH(H250,APU_SUBP!$A$7:$A$40,0)),M250*P_FACT_IPC),M250*P_FACT_IPC)))</f>
        <v>49.5223898795615</v>
      </c>
      <c r="Q250" s="11" t="n">
        <f aca="false">IF(J250="%mo",L250/100*SUMIFS($R$7:$R$782,$A$7:$A$782,A250),L250*P250)</f>
        <v>1.58471647614597</v>
      </c>
      <c r="R250" s="11" t="n">
        <f aca="false">IF(G250="MO",L250*P250,0)</f>
        <v>0</v>
      </c>
    </row>
    <row r="251" customFormat="false" ht="15" hidden="false" customHeight="false" outlineLevel="0" collapsed="false">
      <c r="A251" s="7" t="s">
        <v>504</v>
      </c>
      <c r="B251" s="7" t="s">
        <v>483</v>
      </c>
      <c r="C251" s="7" t="s">
        <v>505</v>
      </c>
      <c r="D251" s="7" t="s">
        <v>506</v>
      </c>
      <c r="E251" s="7" t="s">
        <v>21</v>
      </c>
      <c r="F251" s="11" t="n">
        <v>24.95</v>
      </c>
      <c r="G251" s="7" t="s">
        <v>370</v>
      </c>
      <c r="H251" s="7" t="s">
        <v>507</v>
      </c>
      <c r="I251" s="7" t="s">
        <v>378</v>
      </c>
      <c r="J251" s="7" t="s">
        <v>273</v>
      </c>
      <c r="K251" s="22"/>
      <c r="L251" s="22" t="n">
        <v>0.016</v>
      </c>
      <c r="M251" s="11" t="n">
        <v>63.82</v>
      </c>
      <c r="N251" s="11" t="n">
        <v>1.02</v>
      </c>
      <c r="O251" s="7"/>
      <c r="P251" s="11" t="n">
        <f aca="false">IF(J251="%mo","",IF(G251="MO",IF(J251="hh",INDEX(MO_HH,MATCH(I251,MO_CAT,0)),M251*P_FACT_IPC),IF(G251="SUBPART",IFERROR(INDEX(APU_SUBP!$C$7:$C$40,MATCH(H251,APU_SUBP!$A$7:$A$40,0)),M251*P_FACT_IPC),M251*P_FACT_IPC)))</f>
        <v>47.5371394517283</v>
      </c>
      <c r="Q251" s="11" t="n">
        <f aca="false">IF(J251="%mo",L251/100*SUMIFS($R$7:$R$782,$A$7:$A$782,A251),L251*P251)</f>
        <v>0.760594231227652</v>
      </c>
      <c r="R251" s="11" t="n">
        <f aca="false">IF(G251="MO",L251*P251,0)</f>
        <v>0</v>
      </c>
    </row>
    <row r="252" customFormat="false" ht="15" hidden="false" customHeight="false" outlineLevel="0" collapsed="false">
      <c r="A252" s="9" t="s">
        <v>504</v>
      </c>
      <c r="B252" s="9" t="s">
        <v>483</v>
      </c>
      <c r="C252" s="9" t="s">
        <v>505</v>
      </c>
      <c r="D252" s="9" t="s">
        <v>506</v>
      </c>
      <c r="E252" s="9" t="s">
        <v>21</v>
      </c>
      <c r="F252" s="10" t="n">
        <v>24.95</v>
      </c>
      <c r="G252" s="9" t="s">
        <v>370</v>
      </c>
      <c r="H252" s="9" t="s">
        <v>508</v>
      </c>
      <c r="I252" s="9" t="s">
        <v>509</v>
      </c>
      <c r="J252" s="9" t="s">
        <v>273</v>
      </c>
      <c r="K252" s="31"/>
      <c r="L252" s="31" t="n">
        <v>0.016</v>
      </c>
      <c r="M252" s="10" t="n">
        <v>371.1</v>
      </c>
      <c r="N252" s="10" t="n">
        <v>5.94</v>
      </c>
      <c r="O252" s="9"/>
      <c r="P252" s="11" t="n">
        <f aca="false">IF(J252="%mo","",IF(G252="MO",IF(J252="hh",INDEX(MO_HH,MATCH(I252,MO_CAT,0)),M252*P_FACT_IPC),IF(G252="SUBPART",IFERROR(INDEX(APU_SUBP!$C$7:$C$40,MATCH(H252,APU_SUBP!$A$7:$A$40,0)),M252*P_FACT_IPC),M252*P_FACT_IPC)))</f>
        <v>337.698968617448</v>
      </c>
      <c r="Q252" s="11" t="n">
        <f aca="false">IF(J252="%mo",L252/100*SUMIFS($R$7:$R$782,$A$7:$A$782,A252),L252*P252)</f>
        <v>5.40318349787916</v>
      </c>
      <c r="R252" s="11" t="n">
        <f aca="false">IF(G252="MO",L252*P252,0)</f>
        <v>0</v>
      </c>
    </row>
    <row r="253" customFormat="false" ht="15" hidden="false" customHeight="false" outlineLevel="0" collapsed="false">
      <c r="A253" s="7" t="s">
        <v>504</v>
      </c>
      <c r="B253" s="7" t="s">
        <v>483</v>
      </c>
      <c r="C253" s="7" t="s">
        <v>505</v>
      </c>
      <c r="D253" s="7" t="s">
        <v>506</v>
      </c>
      <c r="E253" s="7" t="s">
        <v>21</v>
      </c>
      <c r="F253" s="11" t="n">
        <v>24.95</v>
      </c>
      <c r="G253" s="7" t="s">
        <v>370</v>
      </c>
      <c r="H253" s="7" t="s">
        <v>510</v>
      </c>
      <c r="I253" s="7" t="s">
        <v>511</v>
      </c>
      <c r="J253" s="7" t="s">
        <v>16</v>
      </c>
      <c r="K253" s="22"/>
      <c r="L253" s="22" t="n">
        <v>0.25</v>
      </c>
      <c r="M253" s="11" t="n">
        <v>24.83</v>
      </c>
      <c r="N253" s="11" t="n">
        <v>6.21</v>
      </c>
      <c r="O253" s="7"/>
      <c r="P253" s="11" t="n">
        <f aca="false">IF(J253="%mo","",IF(G253="MO",IF(J253="hh",INDEX(MO_HH,MATCH(I253,MO_CAT,0)),M253*P_FACT_IPC),IF(G253="SUBPART",IFERROR(INDEX(APU_SUBP!$C$7:$C$40,MATCH(H253,APU_SUBP!$A$7:$A$40,0)),M253*P_FACT_IPC),M253*P_FACT_IPC)))</f>
        <v>23.8907860496904</v>
      </c>
      <c r="Q253" s="11" t="n">
        <f aca="false">IF(J253="%mo",L253/100*SUMIFS($R$7:$R$782,$A$7:$A$782,A253),L253*P253)</f>
        <v>5.97269651242259</v>
      </c>
      <c r="R253" s="11" t="n">
        <f aca="false">IF(G253="MO",L253*P253,0)</f>
        <v>0</v>
      </c>
    </row>
    <row r="254" customFormat="false" ht="15" hidden="false" customHeight="false" outlineLevel="0" collapsed="false">
      <c r="A254" s="9" t="s">
        <v>504</v>
      </c>
      <c r="B254" s="9" t="s">
        <v>483</v>
      </c>
      <c r="C254" s="9" t="s">
        <v>505</v>
      </c>
      <c r="D254" s="9" t="s">
        <v>506</v>
      </c>
      <c r="E254" s="9" t="s">
        <v>21</v>
      </c>
      <c r="F254" s="10" t="n">
        <v>24.95</v>
      </c>
      <c r="G254" s="9" t="s">
        <v>370</v>
      </c>
      <c r="H254" s="9" t="s">
        <v>512</v>
      </c>
      <c r="I254" s="9" t="s">
        <v>513</v>
      </c>
      <c r="J254" s="9" t="s">
        <v>21</v>
      </c>
      <c r="K254" s="31"/>
      <c r="L254" s="31" t="n">
        <v>4</v>
      </c>
      <c r="M254" s="10" t="n">
        <v>1.77</v>
      </c>
      <c r="N254" s="10" t="n">
        <v>7.08</v>
      </c>
      <c r="O254" s="9"/>
      <c r="P254" s="11" t="n">
        <f aca="false">IF(J254="%mo","",IF(G254="MO",IF(J254="hh",INDEX(MO_HH,MATCH(I254,MO_CAT,0)),M254*P_FACT_IPC),IF(G254="SUBPART",IFERROR(INDEX(APU_SUBP!$C$7:$C$40,MATCH(H254,APU_SUBP!$A$7:$A$40,0)),M254*P_FACT_IPC),M254*P_FACT_IPC)))</f>
        <v>1.50082873810211</v>
      </c>
      <c r="Q254" s="11" t="n">
        <f aca="false">IF(J254="%mo",L254/100*SUMIFS($R$7:$R$782,$A$7:$A$782,A254),L254*P254)</f>
        <v>6.00331495240844</v>
      </c>
      <c r="R254" s="11" t="n">
        <f aca="false">IF(G254="MO",L254*P254,0)</f>
        <v>0</v>
      </c>
    </row>
    <row r="255" customFormat="false" ht="15" hidden="false" customHeight="false" outlineLevel="0" collapsed="false">
      <c r="A255" s="7" t="s">
        <v>504</v>
      </c>
      <c r="B255" s="7" t="s">
        <v>483</v>
      </c>
      <c r="C255" s="7" t="s">
        <v>505</v>
      </c>
      <c r="D255" s="7" t="s">
        <v>506</v>
      </c>
      <c r="E255" s="7" t="s">
        <v>21</v>
      </c>
      <c r="F255" s="11" t="n">
        <v>24.95</v>
      </c>
      <c r="G255" s="7" t="s">
        <v>370</v>
      </c>
      <c r="H255" s="7" t="s">
        <v>514</v>
      </c>
      <c r="I255" s="7" t="s">
        <v>515</v>
      </c>
      <c r="J255" s="7" t="s">
        <v>16</v>
      </c>
      <c r="K255" s="22"/>
      <c r="L255" s="22" t="n">
        <v>0.008</v>
      </c>
      <c r="M255" s="11" t="n">
        <v>587.74</v>
      </c>
      <c r="N255" s="11" t="n">
        <v>4.7</v>
      </c>
      <c r="O255" s="7"/>
      <c r="P255" s="11" t="n">
        <f aca="false">IF(J255="%mo","",IF(G255="MO",IF(J255="hh",INDEX(MO_HH,MATCH(I255,MO_CAT,0)),M255*P_FACT_IPC),IF(G255="SUBPART",IFERROR(INDEX(APU_SUBP!$C$7:$C$40,MATCH(H255,APU_SUBP!$A$7:$A$40,0)),M255*P_FACT_IPC),M255*P_FACT_IPC)))</f>
        <v>478.751676694297</v>
      </c>
      <c r="Q255" s="11" t="n">
        <f aca="false">IF(J255="%mo",L255/100*SUMIFS($R$7:$R$782,$A$7:$A$782,A255),L255*P255)</f>
        <v>3.83001341355438</v>
      </c>
      <c r="R255" s="11" t="n">
        <f aca="false">IF(G255="MO",L255*P255,0)</f>
        <v>0</v>
      </c>
    </row>
    <row r="256" customFormat="false" ht="15" hidden="false" customHeight="false" outlineLevel="0" collapsed="false">
      <c r="A256" s="9" t="s">
        <v>516</v>
      </c>
      <c r="B256" s="9" t="s">
        <v>483</v>
      </c>
      <c r="C256" s="9" t="s">
        <v>517</v>
      </c>
      <c r="D256" s="9" t="s">
        <v>518</v>
      </c>
      <c r="E256" s="9" t="s">
        <v>16</v>
      </c>
      <c r="F256" s="10" t="n">
        <v>21.38</v>
      </c>
      <c r="G256" s="9" t="s">
        <v>281</v>
      </c>
      <c r="H256" s="9" t="s">
        <v>285</v>
      </c>
      <c r="I256" s="9" t="s">
        <v>117</v>
      </c>
      <c r="J256" s="9" t="s">
        <v>283</v>
      </c>
      <c r="K256" s="31" t="n">
        <v>0.1</v>
      </c>
      <c r="L256" s="31" t="n">
        <v>0.04</v>
      </c>
      <c r="M256" s="10" t="n">
        <v>18.56</v>
      </c>
      <c r="N256" s="10" t="n">
        <v>0.74</v>
      </c>
      <c r="O256" s="9" t="s">
        <v>284</v>
      </c>
      <c r="P256" s="11" t="n">
        <f aca="false">IF(J256="%mo","",IF(G256="MO",IF(J256="hh",INDEX(MO_HH,MATCH(I256,MO_CAT,0)),M256*P_FACT_IPC),IF(G256="SUBPART",IFERROR(INDEX(APU_SUBP!$C$7:$C$40,MATCH(H256,APU_SUBP!$A$7:$A$40,0)),M256*P_FACT_IPC),M256*P_FACT_IPC)))</f>
        <v>13.8259833134684</v>
      </c>
      <c r="Q256" s="11" t="n">
        <f aca="false">IF(J256="%mo",L256/100*SUMIFS($R$7:$R$782,$A$7:$A$782,A256),L256*P256)</f>
        <v>0.553039332538737</v>
      </c>
      <c r="R256" s="11" t="n">
        <f aca="false">IF(G256="MO",L256*P256,0)</f>
        <v>0.553039332538737</v>
      </c>
    </row>
    <row r="257" customFormat="false" ht="15" hidden="false" customHeight="false" outlineLevel="0" collapsed="false">
      <c r="A257" s="7" t="s">
        <v>516</v>
      </c>
      <c r="B257" s="7" t="s">
        <v>483</v>
      </c>
      <c r="C257" s="7" t="s">
        <v>517</v>
      </c>
      <c r="D257" s="7" t="s">
        <v>518</v>
      </c>
      <c r="E257" s="7" t="s">
        <v>16</v>
      </c>
      <c r="F257" s="11" t="n">
        <v>21.38</v>
      </c>
      <c r="G257" s="7" t="s">
        <v>281</v>
      </c>
      <c r="H257" s="7" t="s">
        <v>286</v>
      </c>
      <c r="I257" s="7" t="s">
        <v>122</v>
      </c>
      <c r="J257" s="7" t="s">
        <v>283</v>
      </c>
      <c r="K257" s="22" t="n">
        <v>2</v>
      </c>
      <c r="L257" s="22" t="n">
        <v>0.8</v>
      </c>
      <c r="M257" s="11" t="n">
        <v>16.78</v>
      </c>
      <c r="N257" s="11" t="n">
        <v>13.42</v>
      </c>
      <c r="O257" s="7" t="s">
        <v>287</v>
      </c>
      <c r="P257" s="11" t="n">
        <f aca="false">IF(J257="%mo","",IF(G257="MO",IF(J257="hh",INDEX(MO_HH,MATCH(I257,MO_CAT,0)),M257*P_FACT_IPC),IF(G257="SUBPART",IFERROR(INDEX(APU_SUBP!$C$7:$C$40,MATCH(H257,APU_SUBP!$A$7:$A$40,0)),M257*P_FACT_IPC),M257*P_FACT_IPC)))</f>
        <v>12.5</v>
      </c>
      <c r="Q257" s="11" t="n">
        <f aca="false">IF(J257="%mo",L257/100*SUMIFS($R$7:$R$782,$A$7:$A$782,A257),L257*P257)</f>
        <v>10</v>
      </c>
      <c r="R257" s="11" t="n">
        <f aca="false">IF(G257="MO",L257*P257,0)</f>
        <v>10</v>
      </c>
    </row>
    <row r="258" customFormat="false" ht="15" hidden="false" customHeight="false" outlineLevel="0" collapsed="false">
      <c r="A258" s="9" t="s">
        <v>516</v>
      </c>
      <c r="B258" s="9" t="s">
        <v>483</v>
      </c>
      <c r="C258" s="9" t="s">
        <v>517</v>
      </c>
      <c r="D258" s="9" t="s">
        <v>518</v>
      </c>
      <c r="E258" s="9" t="s">
        <v>16</v>
      </c>
      <c r="F258" s="10" t="n">
        <v>21.38</v>
      </c>
      <c r="G258" s="9" t="s">
        <v>307</v>
      </c>
      <c r="H258" s="9" t="s">
        <v>519</v>
      </c>
      <c r="I258" s="9" t="s">
        <v>520</v>
      </c>
      <c r="J258" s="9" t="s">
        <v>16</v>
      </c>
      <c r="K258" s="31"/>
      <c r="L258" s="31" t="n">
        <v>1</v>
      </c>
      <c r="M258" s="10" t="n">
        <v>6.8</v>
      </c>
      <c r="N258" s="10" t="n">
        <v>6.8</v>
      </c>
      <c r="O258" s="9"/>
      <c r="P258" s="11" t="n">
        <f aca="false">IF(J258="%mo","",IF(G258="MO",IF(J258="hh",INDEX(MO_HH,MATCH(I258,MO_CAT,0)),M258*P_FACT_IPC),IF(G258="SUBPART",IFERROR(INDEX(APU_SUBP!$C$7:$C$40,MATCH(H258,APU_SUBP!$A$7:$A$40,0)),M258*P_FACT_IPC),M258*P_FACT_IPC)))</f>
        <v>8.74681171898749</v>
      </c>
      <c r="Q258" s="11" t="n">
        <f aca="false">IF(J258="%mo",L258/100*SUMIFS($R$7:$R$782,$A$7:$A$782,A258),L258*P258)</f>
        <v>8.74681171898749</v>
      </c>
      <c r="R258" s="11" t="n">
        <f aca="false">IF(G258="MO",L258*P258,0)</f>
        <v>0</v>
      </c>
    </row>
    <row r="259" customFormat="false" ht="15" hidden="false" customHeight="false" outlineLevel="0" collapsed="false">
      <c r="A259" s="7" t="s">
        <v>516</v>
      </c>
      <c r="B259" s="7" t="s">
        <v>483</v>
      </c>
      <c r="C259" s="7" t="s">
        <v>517</v>
      </c>
      <c r="D259" s="7" t="s">
        <v>518</v>
      </c>
      <c r="E259" s="7" t="s">
        <v>16</v>
      </c>
      <c r="F259" s="11" t="n">
        <v>21.38</v>
      </c>
      <c r="G259" s="7" t="s">
        <v>288</v>
      </c>
      <c r="H259" s="7" t="s">
        <v>327</v>
      </c>
      <c r="I259" s="7" t="s">
        <v>328</v>
      </c>
      <c r="J259" s="7" t="s">
        <v>329</v>
      </c>
      <c r="K259" s="22"/>
      <c r="L259" s="22" t="n">
        <v>3</v>
      </c>
      <c r="M259" s="11" t="n">
        <v>14.16</v>
      </c>
      <c r="N259" s="11" t="n">
        <v>0.42</v>
      </c>
      <c r="O259" s="7"/>
      <c r="P259" s="11" t="str">
        <f aca="false">IF(J259="%mo","",IF(G259="MO",IF(J259="hh",INDEX(MO_HH,MATCH(I259,MO_CAT,0)),M259*P_FACT_IPC),IF(G259="SUBPART",IFERROR(INDEX(APU_SUBP!$C$7:$C$40,MATCH(H259,APU_SUBP!$A$7:$A$40,0)),M259*P_FACT_IPC),M259*P_FACT_IPC)))</f>
        <v/>
      </c>
      <c r="Q259" s="11" t="n">
        <f aca="false">IF(J259="%mo",L259/100*SUMIFS($R$7:$R$782,$A$7:$A$782,A259),L259*P259)</f>
        <v>0.316591179976162</v>
      </c>
      <c r="R259" s="11" t="n">
        <f aca="false">IF(G259="MO",L259*P259,0)</f>
        <v>0</v>
      </c>
    </row>
    <row r="260" customFormat="false" ht="15" hidden="false" customHeight="false" outlineLevel="0" collapsed="false">
      <c r="A260" s="9" t="s">
        <v>521</v>
      </c>
      <c r="B260" s="9" t="s">
        <v>483</v>
      </c>
      <c r="C260" s="9" t="s">
        <v>522</v>
      </c>
      <c r="D260" s="9" t="s">
        <v>523</v>
      </c>
      <c r="E260" s="9" t="s">
        <v>341</v>
      </c>
      <c r="F260" s="10" t="n">
        <v>1.27</v>
      </c>
      <c r="G260" s="9" t="s">
        <v>281</v>
      </c>
      <c r="H260" s="9" t="s">
        <v>285</v>
      </c>
      <c r="I260" s="9" t="s">
        <v>117</v>
      </c>
      <c r="J260" s="9" t="s">
        <v>283</v>
      </c>
      <c r="K260" s="31" t="n">
        <v>0.1</v>
      </c>
      <c r="L260" s="31" t="n">
        <v>0.0027</v>
      </c>
      <c r="M260" s="10" t="n">
        <v>18.56</v>
      </c>
      <c r="N260" s="10" t="n">
        <v>0.05</v>
      </c>
      <c r="O260" s="9" t="s">
        <v>284</v>
      </c>
      <c r="P260" s="11" t="n">
        <f aca="false">IF(J260="%mo","",IF(G260="MO",IF(J260="hh",INDEX(MO_HH,MATCH(I260,MO_CAT,0)),M260*P_FACT_IPC),IF(G260="SUBPART",IFERROR(INDEX(APU_SUBP!$C$7:$C$40,MATCH(H260,APU_SUBP!$A$7:$A$40,0)),M260*P_FACT_IPC),M260*P_FACT_IPC)))</f>
        <v>13.8259833134684</v>
      </c>
      <c r="Q260" s="11" t="n">
        <f aca="false">IF(J260="%mo",L260/100*SUMIFS($R$7:$R$782,$A$7:$A$782,A260),L260*P260)</f>
        <v>0.0373301549463647</v>
      </c>
      <c r="R260" s="11" t="n">
        <f aca="false">IF(G260="MO",L260*P260,0)</f>
        <v>0.0373301549463647</v>
      </c>
    </row>
    <row r="261" customFormat="false" ht="15" hidden="false" customHeight="false" outlineLevel="0" collapsed="false">
      <c r="A261" s="7" t="s">
        <v>521</v>
      </c>
      <c r="B261" s="7" t="s">
        <v>483</v>
      </c>
      <c r="C261" s="7" t="s">
        <v>522</v>
      </c>
      <c r="D261" s="7" t="s">
        <v>523</v>
      </c>
      <c r="E261" s="7" t="s">
        <v>341</v>
      </c>
      <c r="F261" s="11" t="n">
        <v>1.27</v>
      </c>
      <c r="G261" s="7" t="s">
        <v>281</v>
      </c>
      <c r="H261" s="7" t="s">
        <v>286</v>
      </c>
      <c r="I261" s="7" t="s">
        <v>122</v>
      </c>
      <c r="J261" s="7" t="s">
        <v>283</v>
      </c>
      <c r="K261" s="22" t="n">
        <v>2</v>
      </c>
      <c r="L261" s="22" t="n">
        <v>0.0533</v>
      </c>
      <c r="M261" s="11" t="n">
        <v>16.78</v>
      </c>
      <c r="N261" s="11" t="n">
        <v>0.89</v>
      </c>
      <c r="O261" s="7" t="s">
        <v>287</v>
      </c>
      <c r="P261" s="11" t="n">
        <f aca="false">IF(J261="%mo","",IF(G261="MO",IF(J261="hh",INDEX(MO_HH,MATCH(I261,MO_CAT,0)),M261*P_FACT_IPC),IF(G261="SUBPART",IFERROR(INDEX(APU_SUBP!$C$7:$C$40,MATCH(H261,APU_SUBP!$A$7:$A$40,0)),M261*P_FACT_IPC),M261*P_FACT_IPC)))</f>
        <v>12.5</v>
      </c>
      <c r="Q261" s="11" t="n">
        <f aca="false">IF(J261="%mo",L261/100*SUMIFS($R$7:$R$782,$A$7:$A$782,A261),L261*P261)</f>
        <v>0.66625</v>
      </c>
      <c r="R261" s="11" t="n">
        <f aca="false">IF(G261="MO",L261*P261,0)</f>
        <v>0.66625</v>
      </c>
    </row>
    <row r="262" customFormat="false" ht="15" hidden="false" customHeight="false" outlineLevel="0" collapsed="false">
      <c r="A262" s="9" t="s">
        <v>521</v>
      </c>
      <c r="B262" s="9" t="s">
        <v>483</v>
      </c>
      <c r="C262" s="9" t="s">
        <v>522</v>
      </c>
      <c r="D262" s="9" t="s">
        <v>523</v>
      </c>
      <c r="E262" s="9" t="s">
        <v>341</v>
      </c>
      <c r="F262" s="10" t="n">
        <v>1.27</v>
      </c>
      <c r="G262" s="9" t="s">
        <v>307</v>
      </c>
      <c r="H262" s="9" t="s">
        <v>524</v>
      </c>
      <c r="I262" s="9" t="s">
        <v>525</v>
      </c>
      <c r="J262" s="9" t="s">
        <v>313</v>
      </c>
      <c r="K262" s="31"/>
      <c r="L262" s="31" t="n">
        <v>0.0025</v>
      </c>
      <c r="M262" s="10" t="n">
        <v>11.11</v>
      </c>
      <c r="N262" s="10" t="n">
        <v>0.03</v>
      </c>
      <c r="O262" s="9"/>
      <c r="P262" s="11" t="n">
        <f aca="false">IF(J262="%mo","",IF(G262="MO",IF(J262="hh",INDEX(MO_HH,MATCH(I262,MO_CAT,0)),M262*P_FACT_IPC),IF(G262="SUBPART",IFERROR(INDEX(APU_SUBP!$C$7:$C$40,MATCH(H262,APU_SUBP!$A$7:$A$40,0)),M262*P_FACT_IPC),M262*P_FACT_IPC)))</f>
        <v>14.2907467938163</v>
      </c>
      <c r="Q262" s="11" t="n">
        <f aca="false">IF(J262="%mo",L262/100*SUMIFS($R$7:$R$782,$A$7:$A$782,A262),L262*P262)</f>
        <v>0.0357268669845408</v>
      </c>
      <c r="R262" s="11" t="n">
        <f aca="false">IF(G262="MO",L262*P262,0)</f>
        <v>0</v>
      </c>
    </row>
    <row r="263" customFormat="false" ht="15" hidden="false" customHeight="false" outlineLevel="0" collapsed="false">
      <c r="A263" s="7" t="s">
        <v>521</v>
      </c>
      <c r="B263" s="7" t="s">
        <v>483</v>
      </c>
      <c r="C263" s="7" t="s">
        <v>522</v>
      </c>
      <c r="D263" s="7" t="s">
        <v>523</v>
      </c>
      <c r="E263" s="7" t="s">
        <v>341</v>
      </c>
      <c r="F263" s="11" t="n">
        <v>1.27</v>
      </c>
      <c r="G263" s="7" t="s">
        <v>307</v>
      </c>
      <c r="H263" s="7" t="s">
        <v>526</v>
      </c>
      <c r="I263" s="7" t="s">
        <v>527</v>
      </c>
      <c r="J263" s="7" t="s">
        <v>21</v>
      </c>
      <c r="K263" s="22"/>
      <c r="L263" s="22" t="n">
        <v>1</v>
      </c>
      <c r="M263" s="11" t="n">
        <v>0.11</v>
      </c>
      <c r="N263" s="11" t="n">
        <v>0.11</v>
      </c>
      <c r="O263" s="7"/>
      <c r="P263" s="11" t="n">
        <f aca="false">IF(J263="%mo","",IF(G263="MO",IF(J263="hh",INDEX(MO_HH,MATCH(I263,MO_CAT,0)),M263*P_FACT_IPC),IF(G263="SUBPART",IFERROR(INDEX(APU_SUBP!$C$7:$C$40,MATCH(H263,APU_SUBP!$A$7:$A$40,0)),M263*P_FACT_IPC),M263*P_FACT_IPC)))</f>
        <v>0.141492542513033</v>
      </c>
      <c r="Q263" s="11" t="n">
        <f aca="false">IF(J263="%mo",L263/100*SUMIFS($R$7:$R$782,$A$7:$A$782,A263),L263*P263)</f>
        <v>0.141492542513033</v>
      </c>
      <c r="R263" s="11" t="n">
        <f aca="false">IF(G263="MO",L263*P263,0)</f>
        <v>0</v>
      </c>
    </row>
    <row r="264" customFormat="false" ht="15" hidden="false" customHeight="false" outlineLevel="0" collapsed="false">
      <c r="A264" s="9" t="s">
        <v>521</v>
      </c>
      <c r="B264" s="9" t="s">
        <v>483</v>
      </c>
      <c r="C264" s="9" t="s">
        <v>522</v>
      </c>
      <c r="D264" s="9" t="s">
        <v>523</v>
      </c>
      <c r="E264" s="9" t="s">
        <v>341</v>
      </c>
      <c r="F264" s="10" t="n">
        <v>1.27</v>
      </c>
      <c r="G264" s="9" t="s">
        <v>307</v>
      </c>
      <c r="H264" s="9" t="s">
        <v>528</v>
      </c>
      <c r="I264" s="9" t="s">
        <v>529</v>
      </c>
      <c r="J264" s="9" t="s">
        <v>16</v>
      </c>
      <c r="K264" s="31"/>
      <c r="L264" s="31" t="n">
        <v>0.01</v>
      </c>
      <c r="M264" s="10" t="n">
        <v>16.1</v>
      </c>
      <c r="N264" s="10" t="n">
        <v>0.16</v>
      </c>
      <c r="O264" s="9"/>
      <c r="P264" s="11" t="n">
        <f aca="false">IF(J264="%mo","",IF(G264="MO",IF(J264="hh",INDEX(MO_HH,MATCH(I264,MO_CAT,0)),M264*P_FACT_IPC),IF(G264="SUBPART",IFERROR(INDEX(APU_SUBP!$C$7:$C$40,MATCH(H264,APU_SUBP!$A$7:$A$40,0)),M264*P_FACT_IPC),M264*P_FACT_IPC)))</f>
        <v>20.7093630405439</v>
      </c>
      <c r="Q264" s="11" t="n">
        <f aca="false">IF(J264="%mo",L264/100*SUMIFS($R$7:$R$782,$A$7:$A$782,A264),L264*P264)</f>
        <v>0.207093630405439</v>
      </c>
      <c r="R264" s="11" t="n">
        <f aca="false">IF(G264="MO",L264*P264,0)</f>
        <v>0</v>
      </c>
    </row>
    <row r="265" customFormat="false" ht="15" hidden="false" customHeight="false" outlineLevel="0" collapsed="false">
      <c r="A265" s="7" t="s">
        <v>521</v>
      </c>
      <c r="B265" s="7" t="s">
        <v>483</v>
      </c>
      <c r="C265" s="7" t="s">
        <v>522</v>
      </c>
      <c r="D265" s="7" t="s">
        <v>523</v>
      </c>
      <c r="E265" s="7" t="s">
        <v>341</v>
      </c>
      <c r="F265" s="11" t="n">
        <v>1.27</v>
      </c>
      <c r="G265" s="7" t="s">
        <v>288</v>
      </c>
      <c r="H265" s="7" t="s">
        <v>327</v>
      </c>
      <c r="I265" s="7" t="s">
        <v>328</v>
      </c>
      <c r="J265" s="7" t="s">
        <v>329</v>
      </c>
      <c r="K265" s="22"/>
      <c r="L265" s="22" t="n">
        <v>3</v>
      </c>
      <c r="M265" s="11" t="n">
        <v>0.94</v>
      </c>
      <c r="N265" s="11" t="n">
        <v>0.03</v>
      </c>
      <c r="O265" s="7"/>
      <c r="P265" s="11" t="str">
        <f aca="false">IF(J265="%mo","",IF(G265="MO",IF(J265="hh",INDEX(MO_HH,MATCH(I265,MO_CAT,0)),M265*P_FACT_IPC),IF(G265="SUBPART",IFERROR(INDEX(APU_SUBP!$C$7:$C$40,MATCH(H265,APU_SUBP!$A$7:$A$40,0)),M265*P_FACT_IPC),M265*P_FACT_IPC)))</f>
        <v/>
      </c>
      <c r="Q265" s="11" t="n">
        <f aca="false">IF(J265="%mo",L265/100*SUMIFS($R$7:$R$782,$A$7:$A$782,A265),L265*P265)</f>
        <v>0.0211074046483909</v>
      </c>
      <c r="R265" s="11" t="n">
        <f aca="false">IF(G265="MO",L265*P265,0)</f>
        <v>0</v>
      </c>
    </row>
    <row r="266" customFormat="false" ht="15" hidden="false" customHeight="false" outlineLevel="0" collapsed="false">
      <c r="A266" s="9" t="s">
        <v>530</v>
      </c>
      <c r="B266" s="9" t="s">
        <v>483</v>
      </c>
      <c r="C266" s="9" t="s">
        <v>531</v>
      </c>
      <c r="D266" s="9" t="s">
        <v>532</v>
      </c>
      <c r="E266" s="9" t="s">
        <v>21</v>
      </c>
      <c r="F266" s="10" t="n">
        <v>2.71</v>
      </c>
      <c r="G266" s="9" t="s">
        <v>281</v>
      </c>
      <c r="H266" s="9" t="s">
        <v>285</v>
      </c>
      <c r="I266" s="9" t="s">
        <v>117</v>
      </c>
      <c r="J266" s="9" t="s">
        <v>283</v>
      </c>
      <c r="K266" s="31" t="n">
        <v>0.1</v>
      </c>
      <c r="L266" s="31" t="n">
        <v>0.004</v>
      </c>
      <c r="M266" s="10" t="n">
        <v>18.56</v>
      </c>
      <c r="N266" s="10" t="n">
        <v>0.07</v>
      </c>
      <c r="O266" s="9" t="s">
        <v>284</v>
      </c>
      <c r="P266" s="11" t="n">
        <f aca="false">IF(J266="%mo","",IF(G266="MO",IF(J266="hh",INDEX(MO_HH,MATCH(I266,MO_CAT,0)),M266*P_FACT_IPC),IF(G266="SUBPART",IFERROR(INDEX(APU_SUBP!$C$7:$C$40,MATCH(H266,APU_SUBP!$A$7:$A$40,0)),M266*P_FACT_IPC),M266*P_FACT_IPC)))</f>
        <v>13.8259833134684</v>
      </c>
      <c r="Q266" s="11" t="n">
        <f aca="false">IF(J266="%mo",L266/100*SUMIFS($R$7:$R$782,$A$7:$A$782,A266),L266*P266)</f>
        <v>0.0553039332538737</v>
      </c>
      <c r="R266" s="11" t="n">
        <f aca="false">IF(G266="MO",L266*P266,0)</f>
        <v>0.0553039332538737</v>
      </c>
    </row>
    <row r="267" customFormat="false" ht="15" hidden="false" customHeight="false" outlineLevel="0" collapsed="false">
      <c r="A267" s="7" t="s">
        <v>530</v>
      </c>
      <c r="B267" s="7" t="s">
        <v>483</v>
      </c>
      <c r="C267" s="7" t="s">
        <v>531</v>
      </c>
      <c r="D267" s="7" t="s">
        <v>532</v>
      </c>
      <c r="E267" s="7" t="s">
        <v>21</v>
      </c>
      <c r="F267" s="11" t="n">
        <v>2.71</v>
      </c>
      <c r="G267" s="7" t="s">
        <v>281</v>
      </c>
      <c r="H267" s="7" t="s">
        <v>286</v>
      </c>
      <c r="I267" s="7" t="s">
        <v>122</v>
      </c>
      <c r="J267" s="7" t="s">
        <v>283</v>
      </c>
      <c r="K267" s="22" t="n">
        <v>1</v>
      </c>
      <c r="L267" s="22" t="n">
        <v>0.04</v>
      </c>
      <c r="M267" s="11" t="n">
        <v>16.78</v>
      </c>
      <c r="N267" s="11" t="n">
        <v>0.67</v>
      </c>
      <c r="O267" s="7" t="s">
        <v>287</v>
      </c>
      <c r="P267" s="11" t="n">
        <f aca="false">IF(J267="%mo","",IF(G267="MO",IF(J267="hh",INDEX(MO_HH,MATCH(I267,MO_CAT,0)),M267*P_FACT_IPC),IF(G267="SUBPART",IFERROR(INDEX(APU_SUBP!$C$7:$C$40,MATCH(H267,APU_SUBP!$A$7:$A$40,0)),M267*P_FACT_IPC),M267*P_FACT_IPC)))</f>
        <v>12.5</v>
      </c>
      <c r="Q267" s="11" t="n">
        <f aca="false">IF(J267="%mo",L267/100*SUMIFS($R$7:$R$782,$A$7:$A$782,A267),L267*P267)</f>
        <v>0.5</v>
      </c>
      <c r="R267" s="11" t="n">
        <f aca="false">IF(G267="MO",L267*P267,0)</f>
        <v>0.5</v>
      </c>
    </row>
    <row r="268" customFormat="false" ht="15" hidden="false" customHeight="false" outlineLevel="0" collapsed="false">
      <c r="A268" s="9" t="s">
        <v>530</v>
      </c>
      <c r="B268" s="9" t="s">
        <v>483</v>
      </c>
      <c r="C268" s="9" t="s">
        <v>531</v>
      </c>
      <c r="D268" s="9" t="s">
        <v>532</v>
      </c>
      <c r="E268" s="9" t="s">
        <v>21</v>
      </c>
      <c r="F268" s="10" t="n">
        <v>2.71</v>
      </c>
      <c r="G268" s="9" t="s">
        <v>307</v>
      </c>
      <c r="H268" s="9" t="s">
        <v>533</v>
      </c>
      <c r="I268" s="9" t="s">
        <v>534</v>
      </c>
      <c r="J268" s="9" t="s">
        <v>361</v>
      </c>
      <c r="K268" s="31"/>
      <c r="L268" s="31" t="n">
        <v>0.395</v>
      </c>
      <c r="M268" s="10" t="n">
        <v>4.93</v>
      </c>
      <c r="N268" s="10" t="n">
        <v>1.95</v>
      </c>
      <c r="O268" s="9"/>
      <c r="P268" s="11" t="n">
        <f aca="false">IF(J268="%mo","",IF(G268="MO",IF(J268="hh",INDEX(MO_HH,MATCH(I268,MO_CAT,0)),M268*P_FACT_IPC),IF(G268="SUBPART",IFERROR(INDEX(APU_SUBP!$C$7:$C$40,MATCH(H268,APU_SUBP!$A$7:$A$40,0)),M268*P_FACT_IPC),M268*P_FACT_IPC)))</f>
        <v>6.34143849626593</v>
      </c>
      <c r="Q268" s="11" t="n">
        <f aca="false">IF(J268="%mo",L268/100*SUMIFS($R$7:$R$782,$A$7:$A$782,A268),L268*P268)</f>
        <v>2.50486820602504</v>
      </c>
      <c r="R268" s="11" t="n">
        <f aca="false">IF(G268="MO",L268*P268,0)</f>
        <v>0</v>
      </c>
    </row>
    <row r="269" customFormat="false" ht="15" hidden="false" customHeight="false" outlineLevel="0" collapsed="false">
      <c r="A269" s="7" t="s">
        <v>530</v>
      </c>
      <c r="B269" s="7" t="s">
        <v>483</v>
      </c>
      <c r="C269" s="7" t="s">
        <v>531</v>
      </c>
      <c r="D269" s="7" t="s">
        <v>532</v>
      </c>
      <c r="E269" s="7" t="s">
        <v>21</v>
      </c>
      <c r="F269" s="11" t="n">
        <v>2.71</v>
      </c>
      <c r="G269" s="7" t="s">
        <v>288</v>
      </c>
      <c r="H269" s="7" t="s">
        <v>327</v>
      </c>
      <c r="I269" s="7" t="s">
        <v>328</v>
      </c>
      <c r="J269" s="7" t="s">
        <v>329</v>
      </c>
      <c r="K269" s="22"/>
      <c r="L269" s="22" t="n">
        <v>3</v>
      </c>
      <c r="M269" s="11" t="n">
        <v>0.74</v>
      </c>
      <c r="N269" s="11" t="n">
        <v>0.02</v>
      </c>
      <c r="O269" s="7"/>
      <c r="P269" s="11" t="str">
        <f aca="false">IF(J269="%mo","",IF(G269="MO",IF(J269="hh",INDEX(MO_HH,MATCH(I269,MO_CAT,0)),M269*P_FACT_IPC),IF(G269="SUBPART",IFERROR(INDEX(APU_SUBP!$C$7:$C$40,MATCH(H269,APU_SUBP!$A$7:$A$40,0)),M269*P_FACT_IPC),M269*P_FACT_IPC)))</f>
        <v/>
      </c>
      <c r="Q269" s="11" t="n">
        <f aca="false">IF(J269="%mo",L269/100*SUMIFS($R$7:$R$782,$A$7:$A$782,A269),L269*P269)</f>
        <v>0.0166591179976162</v>
      </c>
      <c r="R269" s="11" t="n">
        <f aca="false">IF(G269="MO",L269*P269,0)</f>
        <v>0</v>
      </c>
    </row>
    <row r="270" customFormat="false" ht="15" hidden="false" customHeight="false" outlineLevel="0" collapsed="false">
      <c r="A270" s="9" t="s">
        <v>535</v>
      </c>
      <c r="B270" s="9" t="s">
        <v>483</v>
      </c>
      <c r="C270" s="9" t="s">
        <v>536</v>
      </c>
      <c r="D270" s="9" t="s">
        <v>513</v>
      </c>
      <c r="E270" s="9" t="s">
        <v>21</v>
      </c>
      <c r="F270" s="10" t="n">
        <v>1.77</v>
      </c>
      <c r="G270" s="9" t="s">
        <v>281</v>
      </c>
      <c r="H270" s="9" t="s">
        <v>285</v>
      </c>
      <c r="I270" s="9" t="s">
        <v>117</v>
      </c>
      <c r="J270" s="9" t="s">
        <v>283</v>
      </c>
      <c r="K270" s="31" t="n">
        <v>0.1</v>
      </c>
      <c r="L270" s="31" t="n">
        <v>0.004</v>
      </c>
      <c r="M270" s="10" t="n">
        <v>18.56</v>
      </c>
      <c r="N270" s="10" t="n">
        <v>0.07</v>
      </c>
      <c r="O270" s="9" t="s">
        <v>284</v>
      </c>
      <c r="P270" s="11" t="n">
        <f aca="false">IF(J270="%mo","",IF(G270="MO",IF(J270="hh",INDEX(MO_HH,MATCH(I270,MO_CAT,0)),M270*P_FACT_IPC),IF(G270="SUBPART",IFERROR(INDEX(APU_SUBP!$C$7:$C$40,MATCH(H270,APU_SUBP!$A$7:$A$40,0)),M270*P_FACT_IPC),M270*P_FACT_IPC)))</f>
        <v>13.8259833134684</v>
      </c>
      <c r="Q270" s="11" t="n">
        <f aca="false">IF(J270="%mo",L270/100*SUMIFS($R$7:$R$782,$A$7:$A$782,A270),L270*P270)</f>
        <v>0.0553039332538737</v>
      </c>
      <c r="R270" s="11" t="n">
        <f aca="false">IF(G270="MO",L270*P270,0)</f>
        <v>0.0553039332538737</v>
      </c>
    </row>
    <row r="271" customFormat="false" ht="15" hidden="false" customHeight="false" outlineLevel="0" collapsed="false">
      <c r="A271" s="7" t="s">
        <v>535</v>
      </c>
      <c r="B271" s="7" t="s">
        <v>483</v>
      </c>
      <c r="C271" s="7" t="s">
        <v>536</v>
      </c>
      <c r="D271" s="7" t="s">
        <v>513</v>
      </c>
      <c r="E271" s="7" t="s">
        <v>21</v>
      </c>
      <c r="F271" s="11" t="n">
        <v>1.77</v>
      </c>
      <c r="G271" s="7" t="s">
        <v>281</v>
      </c>
      <c r="H271" s="7" t="s">
        <v>286</v>
      </c>
      <c r="I271" s="7" t="s">
        <v>122</v>
      </c>
      <c r="J271" s="7" t="s">
        <v>283</v>
      </c>
      <c r="K271" s="22" t="n">
        <v>2</v>
      </c>
      <c r="L271" s="22" t="n">
        <v>0.08</v>
      </c>
      <c r="M271" s="11" t="n">
        <v>16.78</v>
      </c>
      <c r="N271" s="11" t="n">
        <v>1.34</v>
      </c>
      <c r="O271" s="7" t="s">
        <v>287</v>
      </c>
      <c r="P271" s="11" t="n">
        <f aca="false">IF(J271="%mo","",IF(G271="MO",IF(J271="hh",INDEX(MO_HH,MATCH(I271,MO_CAT,0)),M271*P_FACT_IPC),IF(G271="SUBPART",IFERROR(INDEX(APU_SUBP!$C$7:$C$40,MATCH(H271,APU_SUBP!$A$7:$A$40,0)),M271*P_FACT_IPC),M271*P_FACT_IPC)))</f>
        <v>12.5</v>
      </c>
      <c r="Q271" s="11" t="n">
        <f aca="false">IF(J271="%mo",L271/100*SUMIFS($R$7:$R$782,$A$7:$A$782,A271),L271*P271)</f>
        <v>1</v>
      </c>
      <c r="R271" s="11" t="n">
        <f aca="false">IF(G271="MO",L271*P271,0)</f>
        <v>1</v>
      </c>
    </row>
    <row r="272" customFormat="false" ht="15" hidden="false" customHeight="false" outlineLevel="0" collapsed="false">
      <c r="A272" s="9" t="s">
        <v>535</v>
      </c>
      <c r="B272" s="9" t="s">
        <v>483</v>
      </c>
      <c r="C272" s="9" t="s">
        <v>536</v>
      </c>
      <c r="D272" s="9" t="s">
        <v>513</v>
      </c>
      <c r="E272" s="9" t="s">
        <v>21</v>
      </c>
      <c r="F272" s="10" t="n">
        <v>1.77</v>
      </c>
      <c r="G272" s="9" t="s">
        <v>307</v>
      </c>
      <c r="H272" s="9" t="s">
        <v>537</v>
      </c>
      <c r="I272" s="9" t="s">
        <v>538</v>
      </c>
      <c r="J272" s="9" t="s">
        <v>21</v>
      </c>
      <c r="K272" s="31"/>
      <c r="L272" s="31" t="n">
        <v>1.05</v>
      </c>
      <c r="M272" s="10" t="n">
        <v>0.28</v>
      </c>
      <c r="N272" s="10" t="n">
        <v>0.29</v>
      </c>
      <c r="O272" s="9"/>
      <c r="P272" s="11" t="n">
        <f aca="false">IF(J272="%mo","",IF(G272="MO",IF(J272="hh",INDEX(MO_HH,MATCH(I272,MO_CAT,0)),M272*P_FACT_IPC),IF(G272="SUBPART",IFERROR(INDEX(APU_SUBP!$C$7:$C$40,MATCH(H272,APU_SUBP!$A$7:$A$40,0)),M272*P_FACT_IPC),M272*P_FACT_IPC)))</f>
        <v>0.36016283548772</v>
      </c>
      <c r="Q272" s="11" t="n">
        <f aca="false">IF(J272="%mo",L272/100*SUMIFS($R$7:$R$782,$A$7:$A$782,A272),L272*P272)</f>
        <v>0.378170977262106</v>
      </c>
      <c r="R272" s="11" t="n">
        <f aca="false">IF(G272="MO",L272*P272,0)</f>
        <v>0</v>
      </c>
    </row>
    <row r="273" customFormat="false" ht="15" hidden="false" customHeight="false" outlineLevel="0" collapsed="false">
      <c r="A273" s="7" t="s">
        <v>535</v>
      </c>
      <c r="B273" s="7" t="s">
        <v>483</v>
      </c>
      <c r="C273" s="7" t="s">
        <v>536</v>
      </c>
      <c r="D273" s="7" t="s">
        <v>513</v>
      </c>
      <c r="E273" s="7" t="s">
        <v>21</v>
      </c>
      <c r="F273" s="11" t="n">
        <v>1.77</v>
      </c>
      <c r="G273" s="7" t="s">
        <v>307</v>
      </c>
      <c r="H273" s="7" t="s">
        <v>539</v>
      </c>
      <c r="I273" s="7" t="s">
        <v>540</v>
      </c>
      <c r="J273" s="7" t="s">
        <v>361</v>
      </c>
      <c r="K273" s="22"/>
      <c r="L273" s="22" t="n">
        <v>0.005</v>
      </c>
      <c r="M273" s="11" t="n">
        <v>5.55</v>
      </c>
      <c r="N273" s="11" t="n">
        <v>0.03</v>
      </c>
      <c r="O273" s="7"/>
      <c r="P273" s="11" t="n">
        <f aca="false">IF(J273="%mo","",IF(G273="MO",IF(J273="hh",INDEX(MO_HH,MATCH(I273,MO_CAT,0)),M273*P_FACT_IPC),IF(G273="SUBPART",IFERROR(INDEX(APU_SUBP!$C$7:$C$40,MATCH(H273,APU_SUBP!$A$7:$A$40,0)),M273*P_FACT_IPC),M273*P_FACT_IPC)))</f>
        <v>7.13894191770302</v>
      </c>
      <c r="Q273" s="11" t="n">
        <f aca="false">IF(J273="%mo",L273/100*SUMIFS($R$7:$R$782,$A$7:$A$782,A273),L273*P273)</f>
        <v>0.0356947095885151</v>
      </c>
      <c r="R273" s="11" t="n">
        <f aca="false">IF(G273="MO",L273*P273,0)</f>
        <v>0</v>
      </c>
    </row>
    <row r="274" customFormat="false" ht="15" hidden="false" customHeight="false" outlineLevel="0" collapsed="false">
      <c r="A274" s="9" t="s">
        <v>535</v>
      </c>
      <c r="B274" s="9" t="s">
        <v>483</v>
      </c>
      <c r="C274" s="9" t="s">
        <v>536</v>
      </c>
      <c r="D274" s="9" t="s">
        <v>513</v>
      </c>
      <c r="E274" s="9" t="s">
        <v>21</v>
      </c>
      <c r="F274" s="10" t="n">
        <v>1.77</v>
      </c>
      <c r="G274" s="9" t="s">
        <v>288</v>
      </c>
      <c r="H274" s="9" t="s">
        <v>327</v>
      </c>
      <c r="I274" s="9" t="s">
        <v>328</v>
      </c>
      <c r="J274" s="9" t="s">
        <v>329</v>
      </c>
      <c r="K274" s="31"/>
      <c r="L274" s="31" t="n">
        <v>3</v>
      </c>
      <c r="M274" s="10" t="n">
        <v>1.41</v>
      </c>
      <c r="N274" s="10" t="n">
        <v>0.04</v>
      </c>
      <c r="O274" s="9"/>
      <c r="P274" s="11" t="str">
        <f aca="false">IF(J274="%mo","",IF(G274="MO",IF(J274="hh",INDEX(MO_HH,MATCH(I274,MO_CAT,0)),M274*P_FACT_IPC),IF(G274="SUBPART",IFERROR(INDEX(APU_SUBP!$C$7:$C$40,MATCH(H274,APU_SUBP!$A$7:$A$40,0)),M274*P_FACT_IPC),M274*P_FACT_IPC)))</f>
        <v/>
      </c>
      <c r="Q274" s="11" t="n">
        <f aca="false">IF(J274="%mo",L274/100*SUMIFS($R$7:$R$782,$A$7:$A$782,A274),L274*P274)</f>
        <v>0.0316591179976162</v>
      </c>
      <c r="R274" s="11" t="n">
        <f aca="false">IF(G274="MO",L274*P274,0)</f>
        <v>0</v>
      </c>
    </row>
    <row r="275" customFormat="false" ht="15" hidden="false" customHeight="false" outlineLevel="0" collapsed="false">
      <c r="A275" s="7" t="s">
        <v>541</v>
      </c>
      <c r="B275" s="7" t="s">
        <v>483</v>
      </c>
      <c r="C275" s="7" t="s">
        <v>542</v>
      </c>
      <c r="D275" s="7" t="s">
        <v>543</v>
      </c>
      <c r="E275" s="7" t="s">
        <v>16</v>
      </c>
      <c r="F275" s="11" t="n">
        <v>164.72</v>
      </c>
      <c r="G275" s="7" t="s">
        <v>281</v>
      </c>
      <c r="H275" s="7" t="s">
        <v>285</v>
      </c>
      <c r="I275" s="7" t="s">
        <v>117</v>
      </c>
      <c r="J275" s="7" t="s">
        <v>283</v>
      </c>
      <c r="K275" s="22" t="n">
        <v>1</v>
      </c>
      <c r="L275" s="22" t="n">
        <v>2</v>
      </c>
      <c r="M275" s="11" t="n">
        <v>18.56</v>
      </c>
      <c r="N275" s="11" t="n">
        <v>37.12</v>
      </c>
      <c r="O275" s="7" t="s">
        <v>284</v>
      </c>
      <c r="P275" s="11" t="n">
        <f aca="false">IF(J275="%mo","",IF(G275="MO",IF(J275="hh",INDEX(MO_HH,MATCH(I275,MO_CAT,0)),M275*P_FACT_IPC),IF(G275="SUBPART",IFERROR(INDEX(APU_SUBP!$C$7:$C$40,MATCH(H275,APU_SUBP!$A$7:$A$40,0)),M275*P_FACT_IPC),M275*P_FACT_IPC)))</f>
        <v>13.8259833134684</v>
      </c>
      <c r="Q275" s="11" t="n">
        <f aca="false">IF(J275="%mo",L275/100*SUMIFS($R$7:$R$782,$A$7:$A$782,A275),L275*P275)</f>
        <v>27.6519666269368</v>
      </c>
      <c r="R275" s="11" t="n">
        <f aca="false">IF(G275="MO",L275*P275,0)</f>
        <v>27.6519666269368</v>
      </c>
    </row>
    <row r="276" customFormat="false" ht="15" hidden="false" customHeight="false" outlineLevel="0" collapsed="false">
      <c r="A276" s="9" t="s">
        <v>541</v>
      </c>
      <c r="B276" s="9" t="s">
        <v>483</v>
      </c>
      <c r="C276" s="9" t="s">
        <v>542</v>
      </c>
      <c r="D276" s="9" t="s">
        <v>543</v>
      </c>
      <c r="E276" s="9" t="s">
        <v>16</v>
      </c>
      <c r="F276" s="10" t="n">
        <v>164.72</v>
      </c>
      <c r="G276" s="9" t="s">
        <v>281</v>
      </c>
      <c r="H276" s="9" t="s">
        <v>286</v>
      </c>
      <c r="I276" s="9" t="s">
        <v>122</v>
      </c>
      <c r="J276" s="9" t="s">
        <v>283</v>
      </c>
      <c r="K276" s="31" t="n">
        <v>2</v>
      </c>
      <c r="L276" s="31" t="n">
        <v>4</v>
      </c>
      <c r="M276" s="10" t="n">
        <v>16.78</v>
      </c>
      <c r="N276" s="10" t="n">
        <v>67.12</v>
      </c>
      <c r="O276" s="9" t="s">
        <v>287</v>
      </c>
      <c r="P276" s="11" t="n">
        <f aca="false">IF(J276="%mo","",IF(G276="MO",IF(J276="hh",INDEX(MO_HH,MATCH(I276,MO_CAT,0)),M276*P_FACT_IPC),IF(G276="SUBPART",IFERROR(INDEX(APU_SUBP!$C$7:$C$40,MATCH(H276,APU_SUBP!$A$7:$A$40,0)),M276*P_FACT_IPC),M276*P_FACT_IPC)))</f>
        <v>12.5</v>
      </c>
      <c r="Q276" s="11" t="n">
        <f aca="false">IF(J276="%mo",L276/100*SUMIFS($R$7:$R$782,$A$7:$A$782,A276),L276*P276)</f>
        <v>50</v>
      </c>
      <c r="R276" s="11" t="n">
        <f aca="false">IF(G276="MO",L276*P276,0)</f>
        <v>50</v>
      </c>
    </row>
    <row r="277" customFormat="false" ht="15" hidden="false" customHeight="false" outlineLevel="0" collapsed="false">
      <c r="A277" s="7" t="s">
        <v>541</v>
      </c>
      <c r="B277" s="7" t="s">
        <v>483</v>
      </c>
      <c r="C277" s="7" t="s">
        <v>542</v>
      </c>
      <c r="D277" s="7" t="s">
        <v>543</v>
      </c>
      <c r="E277" s="7" t="s">
        <v>16</v>
      </c>
      <c r="F277" s="11" t="n">
        <v>164.72</v>
      </c>
      <c r="G277" s="7" t="s">
        <v>307</v>
      </c>
      <c r="H277" s="7" t="s">
        <v>359</v>
      </c>
      <c r="I277" s="7" t="s">
        <v>360</v>
      </c>
      <c r="J277" s="7" t="s">
        <v>361</v>
      </c>
      <c r="K277" s="22"/>
      <c r="L277" s="22" t="n">
        <v>0.15</v>
      </c>
      <c r="M277" s="11" t="n">
        <v>4.43</v>
      </c>
      <c r="N277" s="11" t="n">
        <v>0.66</v>
      </c>
      <c r="O277" s="7"/>
      <c r="P277" s="11" t="n">
        <f aca="false">IF(J277="%mo","",IF(G277="MO",IF(J277="hh",INDEX(MO_HH,MATCH(I277,MO_CAT,0)),M277*P_FACT_IPC),IF(G277="SUBPART",IFERROR(INDEX(APU_SUBP!$C$7:$C$40,MATCH(H277,APU_SUBP!$A$7:$A$40,0)),M277*P_FACT_IPC),M277*P_FACT_IPC)))</f>
        <v>5.69829057575214</v>
      </c>
      <c r="Q277" s="11" t="n">
        <f aca="false">IF(J277="%mo",L277/100*SUMIFS($R$7:$R$782,$A$7:$A$782,A277),L277*P277)</f>
        <v>0.854743586362821</v>
      </c>
      <c r="R277" s="11" t="n">
        <f aca="false">IF(G277="MO",L277*P277,0)</f>
        <v>0</v>
      </c>
    </row>
    <row r="278" customFormat="false" ht="15" hidden="false" customHeight="false" outlineLevel="0" collapsed="false">
      <c r="A278" s="9" t="s">
        <v>541</v>
      </c>
      <c r="B278" s="9" t="s">
        <v>483</v>
      </c>
      <c r="C278" s="9" t="s">
        <v>542</v>
      </c>
      <c r="D278" s="9" t="s">
        <v>543</v>
      </c>
      <c r="E278" s="9" t="s">
        <v>16</v>
      </c>
      <c r="F278" s="10" t="n">
        <v>164.72</v>
      </c>
      <c r="G278" s="9" t="s">
        <v>307</v>
      </c>
      <c r="H278" s="9" t="s">
        <v>364</v>
      </c>
      <c r="I278" s="9" t="s">
        <v>365</v>
      </c>
      <c r="J278" s="9" t="s">
        <v>316</v>
      </c>
      <c r="K278" s="31"/>
      <c r="L278" s="31" t="n">
        <v>5.5</v>
      </c>
      <c r="M278" s="10" t="n">
        <v>4.13</v>
      </c>
      <c r="N278" s="10" t="n">
        <v>22.72</v>
      </c>
      <c r="O278" s="9"/>
      <c r="P278" s="11" t="n">
        <f aca="false">IF(J278="%mo","",IF(G278="MO",IF(J278="hh",INDEX(MO_HH,MATCH(I278,MO_CAT,0)),M278*P_FACT_IPC),IF(G278="SUBPART",IFERROR(INDEX(APU_SUBP!$C$7:$C$40,MATCH(H278,APU_SUBP!$A$7:$A$40,0)),M278*P_FACT_IPC),M278*P_FACT_IPC)))</f>
        <v>5.31240182344387</v>
      </c>
      <c r="Q278" s="11" t="n">
        <f aca="false">IF(J278="%mo",L278/100*SUMIFS($R$7:$R$782,$A$7:$A$782,A278),L278*P278)</f>
        <v>29.2182100289413</v>
      </c>
      <c r="R278" s="11" t="n">
        <f aca="false">IF(G278="MO",L278*P278,0)</f>
        <v>0</v>
      </c>
    </row>
    <row r="279" customFormat="false" ht="15" hidden="false" customHeight="false" outlineLevel="0" collapsed="false">
      <c r="A279" s="7" t="s">
        <v>541</v>
      </c>
      <c r="B279" s="7" t="s">
        <v>483</v>
      </c>
      <c r="C279" s="7" t="s">
        <v>542</v>
      </c>
      <c r="D279" s="7" t="s">
        <v>543</v>
      </c>
      <c r="E279" s="7" t="s">
        <v>16</v>
      </c>
      <c r="F279" s="11" t="n">
        <v>164.72</v>
      </c>
      <c r="G279" s="7" t="s">
        <v>307</v>
      </c>
      <c r="H279" s="7" t="s">
        <v>519</v>
      </c>
      <c r="I279" s="7" t="s">
        <v>520</v>
      </c>
      <c r="J279" s="7" t="s">
        <v>16</v>
      </c>
      <c r="K279" s="22"/>
      <c r="L279" s="22" t="n">
        <v>3</v>
      </c>
      <c r="M279" s="11" t="n">
        <v>6.8</v>
      </c>
      <c r="N279" s="11" t="n">
        <v>20.4</v>
      </c>
      <c r="O279" s="7"/>
      <c r="P279" s="11" t="n">
        <f aca="false">IF(J279="%mo","",IF(G279="MO",IF(J279="hh",INDEX(MO_HH,MATCH(I279,MO_CAT,0)),M279*P_FACT_IPC),IF(G279="SUBPART",IFERROR(INDEX(APU_SUBP!$C$7:$C$40,MATCH(H279,APU_SUBP!$A$7:$A$40,0)),M279*P_FACT_IPC),M279*P_FACT_IPC)))</f>
        <v>8.74681171898749</v>
      </c>
      <c r="Q279" s="11" t="n">
        <f aca="false">IF(J279="%mo",L279/100*SUMIFS($R$7:$R$782,$A$7:$A$782,A279),L279*P279)</f>
        <v>26.2404351569625</v>
      </c>
      <c r="R279" s="11" t="n">
        <f aca="false">IF(G279="MO",L279*P279,0)</f>
        <v>0</v>
      </c>
    </row>
    <row r="280" customFormat="false" ht="15" hidden="false" customHeight="false" outlineLevel="0" collapsed="false">
      <c r="A280" s="9" t="s">
        <v>541</v>
      </c>
      <c r="B280" s="9" t="s">
        <v>483</v>
      </c>
      <c r="C280" s="9" t="s">
        <v>542</v>
      </c>
      <c r="D280" s="9" t="s">
        <v>543</v>
      </c>
      <c r="E280" s="9" t="s">
        <v>16</v>
      </c>
      <c r="F280" s="10" t="n">
        <v>164.72</v>
      </c>
      <c r="G280" s="9" t="s">
        <v>307</v>
      </c>
      <c r="H280" s="9" t="s">
        <v>544</v>
      </c>
      <c r="I280" s="9" t="s">
        <v>545</v>
      </c>
      <c r="J280" s="9" t="s">
        <v>427</v>
      </c>
      <c r="K280" s="31"/>
      <c r="L280" s="31" t="n">
        <v>2.25</v>
      </c>
      <c r="M280" s="10" t="n">
        <v>7.42</v>
      </c>
      <c r="N280" s="10" t="n">
        <v>16.7</v>
      </c>
      <c r="O280" s="9"/>
      <c r="P280" s="11" t="n">
        <f aca="false">IF(J280="%mo","",IF(G280="MO",IF(J280="hh",INDEX(MO_HH,MATCH(I280,MO_CAT,0)),M280*P_FACT_IPC),IF(G280="SUBPART",IFERROR(INDEX(APU_SUBP!$C$7:$C$40,MATCH(H280,APU_SUBP!$A$7:$A$40,0)),M280*P_FACT_IPC),M280*P_FACT_IPC)))</f>
        <v>9.54431514042458</v>
      </c>
      <c r="Q280" s="11" t="n">
        <f aca="false">IF(J280="%mo",L280/100*SUMIFS($R$7:$R$782,$A$7:$A$782,A280),L280*P280)</f>
        <v>21.4747090659553</v>
      </c>
      <c r="R280" s="11" t="n">
        <f aca="false">IF(G280="MO",L280*P280,0)</f>
        <v>0</v>
      </c>
    </row>
    <row r="281" customFormat="false" ht="15" hidden="false" customHeight="false" outlineLevel="0" collapsed="false">
      <c r="A281" s="7" t="s">
        <v>546</v>
      </c>
      <c r="B281" s="7" t="s">
        <v>483</v>
      </c>
      <c r="C281" s="7" t="s">
        <v>547</v>
      </c>
      <c r="D281" s="7" t="s">
        <v>548</v>
      </c>
      <c r="E281" s="7" t="s">
        <v>341</v>
      </c>
      <c r="F281" s="11" t="n">
        <v>18.92</v>
      </c>
      <c r="G281" s="7" t="s">
        <v>281</v>
      </c>
      <c r="H281" s="7" t="s">
        <v>285</v>
      </c>
      <c r="I281" s="7" t="s">
        <v>117</v>
      </c>
      <c r="J281" s="7" t="s">
        <v>283</v>
      </c>
      <c r="K281" s="22" t="n">
        <v>0.1</v>
      </c>
      <c r="L281" s="22" t="n">
        <v>0.032</v>
      </c>
      <c r="M281" s="11" t="n">
        <v>18.56</v>
      </c>
      <c r="N281" s="11" t="n">
        <v>0.59</v>
      </c>
      <c r="O281" s="7" t="s">
        <v>284</v>
      </c>
      <c r="P281" s="11" t="n">
        <f aca="false">IF(J281="%mo","",IF(G281="MO",IF(J281="hh",INDEX(MO_HH,MATCH(I281,MO_CAT,0)),M281*P_FACT_IPC),IF(G281="SUBPART",IFERROR(INDEX(APU_SUBP!$C$7:$C$40,MATCH(H281,APU_SUBP!$A$7:$A$40,0)),M281*P_FACT_IPC),M281*P_FACT_IPC)))</f>
        <v>13.8259833134684</v>
      </c>
      <c r="Q281" s="11" t="n">
        <f aca="false">IF(J281="%mo",L281/100*SUMIFS($R$7:$R$782,$A$7:$A$782,A281),L281*P281)</f>
        <v>0.442431466030989</v>
      </c>
      <c r="R281" s="11" t="n">
        <f aca="false">IF(G281="MO",L281*P281,0)</f>
        <v>0.442431466030989</v>
      </c>
    </row>
    <row r="282" customFormat="false" ht="15" hidden="false" customHeight="false" outlineLevel="0" collapsed="false">
      <c r="A282" s="9" t="s">
        <v>546</v>
      </c>
      <c r="B282" s="9" t="s">
        <v>483</v>
      </c>
      <c r="C282" s="9" t="s">
        <v>547</v>
      </c>
      <c r="D282" s="9" t="s">
        <v>548</v>
      </c>
      <c r="E282" s="9" t="s">
        <v>341</v>
      </c>
      <c r="F282" s="10" t="n">
        <v>18.92</v>
      </c>
      <c r="G282" s="9" t="s">
        <v>281</v>
      </c>
      <c r="H282" s="9" t="s">
        <v>286</v>
      </c>
      <c r="I282" s="9" t="s">
        <v>122</v>
      </c>
      <c r="J282" s="9" t="s">
        <v>283</v>
      </c>
      <c r="K282" s="31" t="n">
        <v>1</v>
      </c>
      <c r="L282" s="31" t="n">
        <v>0.32</v>
      </c>
      <c r="M282" s="10" t="n">
        <v>16.78</v>
      </c>
      <c r="N282" s="10" t="n">
        <v>5.37</v>
      </c>
      <c r="O282" s="9" t="s">
        <v>287</v>
      </c>
      <c r="P282" s="11" t="n">
        <f aca="false">IF(J282="%mo","",IF(G282="MO",IF(J282="hh",INDEX(MO_HH,MATCH(I282,MO_CAT,0)),M282*P_FACT_IPC),IF(G282="SUBPART",IFERROR(INDEX(APU_SUBP!$C$7:$C$40,MATCH(H282,APU_SUBP!$A$7:$A$40,0)),M282*P_FACT_IPC),M282*P_FACT_IPC)))</f>
        <v>12.5</v>
      </c>
      <c r="Q282" s="11" t="n">
        <f aca="false">IF(J282="%mo",L282/100*SUMIFS($R$7:$R$782,$A$7:$A$782,A282),L282*P282)</f>
        <v>4</v>
      </c>
      <c r="R282" s="11" t="n">
        <f aca="false">IF(G282="MO",L282*P282,0)</f>
        <v>4</v>
      </c>
    </row>
    <row r="283" customFormat="false" ht="15" hidden="false" customHeight="false" outlineLevel="0" collapsed="false">
      <c r="A283" s="7" t="s">
        <v>546</v>
      </c>
      <c r="B283" s="7" t="s">
        <v>483</v>
      </c>
      <c r="C283" s="7" t="s">
        <v>547</v>
      </c>
      <c r="D283" s="7" t="s">
        <v>548</v>
      </c>
      <c r="E283" s="7" t="s">
        <v>341</v>
      </c>
      <c r="F283" s="11" t="n">
        <v>18.92</v>
      </c>
      <c r="G283" s="7" t="s">
        <v>307</v>
      </c>
      <c r="H283" s="7" t="s">
        <v>359</v>
      </c>
      <c r="I283" s="7" t="s">
        <v>360</v>
      </c>
      <c r="J283" s="7" t="s">
        <v>361</v>
      </c>
      <c r="K283" s="22"/>
      <c r="L283" s="22" t="n">
        <v>0.01</v>
      </c>
      <c r="M283" s="11" t="n">
        <v>4.43</v>
      </c>
      <c r="N283" s="11" t="n">
        <v>0.04</v>
      </c>
      <c r="O283" s="7"/>
      <c r="P283" s="11" t="n">
        <f aca="false">IF(J283="%mo","",IF(G283="MO",IF(J283="hh",INDEX(MO_HH,MATCH(I283,MO_CAT,0)),M283*P_FACT_IPC),IF(G283="SUBPART",IFERROR(INDEX(APU_SUBP!$C$7:$C$40,MATCH(H283,APU_SUBP!$A$7:$A$40,0)),M283*P_FACT_IPC),M283*P_FACT_IPC)))</f>
        <v>5.69829057575214</v>
      </c>
      <c r="Q283" s="11" t="n">
        <f aca="false">IF(J283="%mo",L283/100*SUMIFS($R$7:$R$782,$A$7:$A$782,A283),L283*P283)</f>
        <v>0.0569829057575214</v>
      </c>
      <c r="R283" s="11" t="n">
        <f aca="false">IF(G283="MO",L283*P283,0)</f>
        <v>0</v>
      </c>
    </row>
    <row r="284" customFormat="false" ht="15" hidden="false" customHeight="false" outlineLevel="0" collapsed="false">
      <c r="A284" s="9" t="s">
        <v>546</v>
      </c>
      <c r="B284" s="9" t="s">
        <v>483</v>
      </c>
      <c r="C284" s="9" t="s">
        <v>547</v>
      </c>
      <c r="D284" s="9" t="s">
        <v>548</v>
      </c>
      <c r="E284" s="9" t="s">
        <v>341</v>
      </c>
      <c r="F284" s="10" t="n">
        <v>18.92</v>
      </c>
      <c r="G284" s="9" t="s">
        <v>307</v>
      </c>
      <c r="H284" s="9" t="s">
        <v>311</v>
      </c>
      <c r="I284" s="9" t="s">
        <v>312</v>
      </c>
      <c r="J284" s="9" t="s">
        <v>313</v>
      </c>
      <c r="K284" s="31"/>
      <c r="L284" s="31" t="n">
        <v>0.01</v>
      </c>
      <c r="M284" s="10" t="n">
        <v>1.63</v>
      </c>
      <c r="N284" s="10" t="n">
        <v>0.02</v>
      </c>
      <c r="O284" s="9"/>
      <c r="P284" s="11" t="n">
        <f aca="false">IF(J284="%mo","",IF(G284="MO",IF(J284="hh",INDEX(MO_HH,MATCH(I284,MO_CAT,0)),M284*P_FACT_IPC),IF(G284="SUBPART",IFERROR(INDEX(APU_SUBP!$C$7:$C$40,MATCH(H284,APU_SUBP!$A$7:$A$40,0)),M284*P_FACT_IPC),M284*P_FACT_IPC)))</f>
        <v>2.09666222087494</v>
      </c>
      <c r="Q284" s="11" t="n">
        <f aca="false">IF(J284="%mo",L284/100*SUMIFS($R$7:$R$782,$A$7:$A$782,A284),L284*P284)</f>
        <v>0.0209666222087494</v>
      </c>
      <c r="R284" s="11" t="n">
        <f aca="false">IF(G284="MO",L284*P284,0)</f>
        <v>0</v>
      </c>
    </row>
    <row r="285" customFormat="false" ht="15" hidden="false" customHeight="false" outlineLevel="0" collapsed="false">
      <c r="A285" s="7" t="s">
        <v>546</v>
      </c>
      <c r="B285" s="7" t="s">
        <v>483</v>
      </c>
      <c r="C285" s="7" t="s">
        <v>547</v>
      </c>
      <c r="D285" s="7" t="s">
        <v>548</v>
      </c>
      <c r="E285" s="7" t="s">
        <v>341</v>
      </c>
      <c r="F285" s="11" t="n">
        <v>18.92</v>
      </c>
      <c r="G285" s="7" t="s">
        <v>307</v>
      </c>
      <c r="H285" s="7" t="s">
        <v>364</v>
      </c>
      <c r="I285" s="7" t="s">
        <v>365</v>
      </c>
      <c r="J285" s="7" t="s">
        <v>316</v>
      </c>
      <c r="K285" s="22"/>
      <c r="L285" s="22" t="n">
        <v>1.5</v>
      </c>
      <c r="M285" s="11" t="n">
        <v>4.13</v>
      </c>
      <c r="N285" s="11" t="n">
        <v>6.2</v>
      </c>
      <c r="O285" s="7"/>
      <c r="P285" s="11" t="n">
        <f aca="false">IF(J285="%mo","",IF(G285="MO",IF(J285="hh",INDEX(MO_HH,MATCH(I285,MO_CAT,0)),M285*P_FACT_IPC),IF(G285="SUBPART",IFERROR(INDEX(APU_SUBP!$C$7:$C$40,MATCH(H285,APU_SUBP!$A$7:$A$40,0)),M285*P_FACT_IPC),M285*P_FACT_IPC)))</f>
        <v>5.31240182344387</v>
      </c>
      <c r="Q285" s="11" t="n">
        <f aca="false">IF(J285="%mo",L285/100*SUMIFS($R$7:$R$782,$A$7:$A$782,A285),L285*P285)</f>
        <v>7.96860273516581</v>
      </c>
      <c r="R285" s="11" t="n">
        <f aca="false">IF(G285="MO",L285*P285,0)</f>
        <v>0</v>
      </c>
    </row>
    <row r="286" customFormat="false" ht="15" hidden="false" customHeight="false" outlineLevel="0" collapsed="false">
      <c r="A286" s="9" t="s">
        <v>546</v>
      </c>
      <c r="B286" s="9" t="s">
        <v>483</v>
      </c>
      <c r="C286" s="9" t="s">
        <v>547</v>
      </c>
      <c r="D286" s="9" t="s">
        <v>548</v>
      </c>
      <c r="E286" s="9" t="s">
        <v>341</v>
      </c>
      <c r="F286" s="10" t="n">
        <v>18.92</v>
      </c>
      <c r="G286" s="9" t="s">
        <v>307</v>
      </c>
      <c r="H286" s="9" t="s">
        <v>314</v>
      </c>
      <c r="I286" s="9" t="s">
        <v>315</v>
      </c>
      <c r="J286" s="9" t="s">
        <v>316</v>
      </c>
      <c r="K286" s="31"/>
      <c r="L286" s="31" t="n">
        <v>4</v>
      </c>
      <c r="M286" s="10" t="n">
        <v>1.63</v>
      </c>
      <c r="N286" s="10" t="n">
        <v>6.52</v>
      </c>
      <c r="O286" s="9"/>
      <c r="P286" s="11" t="n">
        <f aca="false">IF(J286="%mo","",IF(G286="MO",IF(J286="hh",INDEX(MO_HH,MATCH(I286,MO_CAT,0)),M286*P_FACT_IPC),IF(G286="SUBPART",IFERROR(INDEX(APU_SUBP!$C$7:$C$40,MATCH(H286,APU_SUBP!$A$7:$A$40,0)),M286*P_FACT_IPC),M286*P_FACT_IPC)))</f>
        <v>2.09666222087494</v>
      </c>
      <c r="Q286" s="11" t="n">
        <f aca="false">IF(J286="%mo",L286/100*SUMIFS($R$7:$R$782,$A$7:$A$782,A286),L286*P286)</f>
        <v>8.38664888349977</v>
      </c>
      <c r="R286" s="11" t="n">
        <f aca="false">IF(G286="MO",L286*P286,0)</f>
        <v>0</v>
      </c>
    </row>
    <row r="287" customFormat="false" ht="15" hidden="false" customHeight="false" outlineLevel="0" collapsed="false">
      <c r="A287" s="7" t="s">
        <v>546</v>
      </c>
      <c r="B287" s="7" t="s">
        <v>483</v>
      </c>
      <c r="C287" s="7" t="s">
        <v>547</v>
      </c>
      <c r="D287" s="7" t="s">
        <v>548</v>
      </c>
      <c r="E287" s="7" t="s">
        <v>341</v>
      </c>
      <c r="F287" s="11" t="n">
        <v>18.92</v>
      </c>
      <c r="G287" s="7" t="s">
        <v>288</v>
      </c>
      <c r="H287" s="7" t="s">
        <v>327</v>
      </c>
      <c r="I287" s="7" t="s">
        <v>328</v>
      </c>
      <c r="J287" s="7" t="s">
        <v>329</v>
      </c>
      <c r="K287" s="22"/>
      <c r="L287" s="22" t="n">
        <v>3</v>
      </c>
      <c r="M287" s="11" t="n">
        <v>5.96</v>
      </c>
      <c r="N287" s="11" t="n">
        <v>0.18</v>
      </c>
      <c r="O287" s="7"/>
      <c r="P287" s="11" t="str">
        <f aca="false">IF(J287="%mo","",IF(G287="MO",IF(J287="hh",INDEX(MO_HH,MATCH(I287,MO_CAT,0)),M287*P_FACT_IPC),IF(G287="SUBPART",IFERROR(INDEX(APU_SUBP!$C$7:$C$40,MATCH(H287,APU_SUBP!$A$7:$A$40,0)),M287*P_FACT_IPC),M287*P_FACT_IPC)))</f>
        <v/>
      </c>
      <c r="Q287" s="11" t="n">
        <f aca="false">IF(J287="%mo",L287/100*SUMIFS($R$7:$R$782,$A$7:$A$782,A287),L287*P287)</f>
        <v>0.13327294398093</v>
      </c>
      <c r="R287" s="11" t="n">
        <f aca="false">IF(G287="MO",L287*P287,0)</f>
        <v>0</v>
      </c>
    </row>
    <row r="288" customFormat="false" ht="15" hidden="false" customHeight="false" outlineLevel="0" collapsed="false">
      <c r="A288" s="9" t="s">
        <v>549</v>
      </c>
      <c r="B288" s="9" t="s">
        <v>483</v>
      </c>
      <c r="C288" s="9" t="s">
        <v>550</v>
      </c>
      <c r="D288" s="9" t="s">
        <v>551</v>
      </c>
      <c r="E288" s="9" t="s">
        <v>341</v>
      </c>
      <c r="F288" s="10" t="n">
        <v>11</v>
      </c>
      <c r="G288" s="9" t="s">
        <v>274</v>
      </c>
      <c r="H288" s="9" t="s">
        <v>552</v>
      </c>
      <c r="I288" s="9" t="s">
        <v>553</v>
      </c>
      <c r="J288" s="9" t="s">
        <v>341</v>
      </c>
      <c r="K288" s="31"/>
      <c r="L288" s="31" t="n">
        <v>1</v>
      </c>
      <c r="M288" s="10" t="n">
        <v>11</v>
      </c>
      <c r="N288" s="10" t="n">
        <v>11</v>
      </c>
      <c r="O288" s="9"/>
      <c r="P288" s="11" t="n">
        <f aca="false">IF(J288="%mo","",IF(G288="MO",IF(J288="hh",INDEX(MO_HH,MATCH(I288,MO_CAT,0)),M288*P_FACT_IPC),IF(G288="SUBPART",IFERROR(INDEX(APU_SUBP!$C$7:$C$40,MATCH(H288,APU_SUBP!$A$7:$A$40,0)),M288*P_FACT_IPC),M288*P_FACT_IPC)))</f>
        <v>14.1492542513033</v>
      </c>
      <c r="Q288" s="11" t="n">
        <f aca="false">IF(J288="%mo",L288/100*SUMIFS($R$7:$R$782,$A$7:$A$782,A288),L288*P288)</f>
        <v>14.1492542513033</v>
      </c>
      <c r="R288" s="11" t="n">
        <f aca="false">IF(G288="MO",L288*P288,0)</f>
        <v>0</v>
      </c>
    </row>
    <row r="289" customFormat="false" ht="15" hidden="false" customHeight="false" outlineLevel="0" collapsed="false">
      <c r="A289" s="7" t="s">
        <v>554</v>
      </c>
      <c r="B289" s="7" t="s">
        <v>483</v>
      </c>
      <c r="C289" s="7" t="s">
        <v>555</v>
      </c>
      <c r="D289" s="7" t="s">
        <v>556</v>
      </c>
      <c r="E289" s="7" t="s">
        <v>341</v>
      </c>
      <c r="F289" s="11" t="n">
        <v>13.14</v>
      </c>
      <c r="G289" s="7" t="s">
        <v>281</v>
      </c>
      <c r="H289" s="7" t="s">
        <v>282</v>
      </c>
      <c r="I289" s="7" t="s">
        <v>107</v>
      </c>
      <c r="J289" s="7" t="s">
        <v>283</v>
      </c>
      <c r="K289" s="22" t="n">
        <v>0.1</v>
      </c>
      <c r="L289" s="22" t="n">
        <v>0.02</v>
      </c>
      <c r="M289" s="11" t="n">
        <v>25.81</v>
      </c>
      <c r="N289" s="11" t="n">
        <v>0.52</v>
      </c>
      <c r="O289" s="7" t="s">
        <v>284</v>
      </c>
      <c r="P289" s="11" t="n">
        <f aca="false">IF(J289="%mo","",IF(G289="MO",IF(J289="hh",INDEX(MO_HH,MATCH(I289,MO_CAT,0)),M289*P_FACT_IPC),IF(G289="SUBPART",IFERROR(INDEX(APU_SUBP!$C$7:$C$40,MATCH(H289,APU_SUBP!$A$7:$A$40,0)),M289*P_FACT_IPC),M289*P_FACT_IPC)))</f>
        <v>19.226758045292</v>
      </c>
      <c r="Q289" s="11" t="n">
        <f aca="false">IF(J289="%mo",L289/100*SUMIFS($R$7:$R$782,$A$7:$A$782,A289),L289*P289)</f>
        <v>0.38453516090584</v>
      </c>
      <c r="R289" s="11" t="n">
        <f aca="false">IF(G289="MO",L289*P289,0)</f>
        <v>0.38453516090584</v>
      </c>
    </row>
    <row r="290" customFormat="false" ht="15" hidden="false" customHeight="false" outlineLevel="0" collapsed="false">
      <c r="A290" s="9" t="s">
        <v>554</v>
      </c>
      <c r="B290" s="9" t="s">
        <v>483</v>
      </c>
      <c r="C290" s="9" t="s">
        <v>555</v>
      </c>
      <c r="D290" s="9" t="s">
        <v>556</v>
      </c>
      <c r="E290" s="9" t="s">
        <v>341</v>
      </c>
      <c r="F290" s="10" t="n">
        <v>13.14</v>
      </c>
      <c r="G290" s="9" t="s">
        <v>281</v>
      </c>
      <c r="H290" s="9" t="s">
        <v>285</v>
      </c>
      <c r="I290" s="9" t="s">
        <v>117</v>
      </c>
      <c r="J290" s="9" t="s">
        <v>283</v>
      </c>
      <c r="K290" s="31" t="n">
        <v>0.5</v>
      </c>
      <c r="L290" s="31" t="n">
        <v>0.1</v>
      </c>
      <c r="M290" s="10" t="n">
        <v>18.56</v>
      </c>
      <c r="N290" s="10" t="n">
        <v>1.86</v>
      </c>
      <c r="O290" s="9" t="s">
        <v>284</v>
      </c>
      <c r="P290" s="11" t="n">
        <f aca="false">IF(J290="%mo","",IF(G290="MO",IF(J290="hh",INDEX(MO_HH,MATCH(I290,MO_CAT,0)),M290*P_FACT_IPC),IF(G290="SUBPART",IFERROR(INDEX(APU_SUBP!$C$7:$C$40,MATCH(H290,APU_SUBP!$A$7:$A$40,0)),M290*P_FACT_IPC),M290*P_FACT_IPC)))</f>
        <v>13.8259833134684</v>
      </c>
      <c r="Q290" s="11" t="n">
        <f aca="false">IF(J290="%mo",L290/100*SUMIFS($R$7:$R$782,$A$7:$A$782,A290),L290*P290)</f>
        <v>1.38259833134684</v>
      </c>
      <c r="R290" s="11" t="n">
        <f aca="false">IF(G290="MO",L290*P290,0)</f>
        <v>1.38259833134684</v>
      </c>
    </row>
    <row r="291" customFormat="false" ht="15" hidden="false" customHeight="false" outlineLevel="0" collapsed="false">
      <c r="A291" s="7" t="s">
        <v>554</v>
      </c>
      <c r="B291" s="7" t="s">
        <v>483</v>
      </c>
      <c r="C291" s="7" t="s">
        <v>555</v>
      </c>
      <c r="D291" s="7" t="s">
        <v>556</v>
      </c>
      <c r="E291" s="7" t="s">
        <v>341</v>
      </c>
      <c r="F291" s="11" t="n">
        <v>13.14</v>
      </c>
      <c r="G291" s="7" t="s">
        <v>281</v>
      </c>
      <c r="H291" s="7" t="s">
        <v>286</v>
      </c>
      <c r="I291" s="7" t="s">
        <v>122</v>
      </c>
      <c r="J291" s="7" t="s">
        <v>283</v>
      </c>
      <c r="K291" s="22" t="n">
        <v>2</v>
      </c>
      <c r="L291" s="22" t="n">
        <v>0.4</v>
      </c>
      <c r="M291" s="11" t="n">
        <v>16.78</v>
      </c>
      <c r="N291" s="11" t="n">
        <v>6.71</v>
      </c>
      <c r="O291" s="7" t="s">
        <v>287</v>
      </c>
      <c r="P291" s="11" t="n">
        <f aca="false">IF(J291="%mo","",IF(G291="MO",IF(J291="hh",INDEX(MO_HH,MATCH(I291,MO_CAT,0)),M291*P_FACT_IPC),IF(G291="SUBPART",IFERROR(INDEX(APU_SUBP!$C$7:$C$40,MATCH(H291,APU_SUBP!$A$7:$A$40,0)),M291*P_FACT_IPC),M291*P_FACT_IPC)))</f>
        <v>12.5</v>
      </c>
      <c r="Q291" s="11" t="n">
        <f aca="false">IF(J291="%mo",L291/100*SUMIFS($R$7:$R$782,$A$7:$A$782,A291),L291*P291)</f>
        <v>5</v>
      </c>
      <c r="R291" s="11" t="n">
        <f aca="false">IF(G291="MO",L291*P291,0)</f>
        <v>5</v>
      </c>
    </row>
    <row r="292" customFormat="false" ht="15" hidden="false" customHeight="false" outlineLevel="0" collapsed="false">
      <c r="A292" s="9" t="s">
        <v>554</v>
      </c>
      <c r="B292" s="9" t="s">
        <v>483</v>
      </c>
      <c r="C292" s="9" t="s">
        <v>555</v>
      </c>
      <c r="D292" s="9" t="s">
        <v>556</v>
      </c>
      <c r="E292" s="9" t="s">
        <v>341</v>
      </c>
      <c r="F292" s="10" t="n">
        <v>13.14</v>
      </c>
      <c r="G292" s="9" t="s">
        <v>307</v>
      </c>
      <c r="H292" s="9" t="s">
        <v>557</v>
      </c>
      <c r="I292" s="9" t="s">
        <v>558</v>
      </c>
      <c r="J292" s="9" t="s">
        <v>16</v>
      </c>
      <c r="K292" s="31"/>
      <c r="L292" s="31" t="n">
        <v>0.1</v>
      </c>
      <c r="M292" s="10" t="n">
        <v>5.94</v>
      </c>
      <c r="N292" s="10" t="n">
        <v>0.59</v>
      </c>
      <c r="O292" s="9"/>
      <c r="P292" s="11" t="n">
        <f aca="false">IF(J292="%mo","",IF(G292="MO",IF(J292="hh",INDEX(MO_HH,MATCH(I292,MO_CAT,0)),M292*P_FACT_IPC),IF(G292="SUBPART",IFERROR(INDEX(APU_SUBP!$C$7:$C$40,MATCH(H292,APU_SUBP!$A$7:$A$40,0)),M292*P_FACT_IPC),M292*P_FACT_IPC)))</f>
        <v>7.64059729570378</v>
      </c>
      <c r="Q292" s="11" t="n">
        <f aca="false">IF(J292="%mo",L292/100*SUMIFS($R$7:$R$782,$A$7:$A$782,A292),L292*P292)</f>
        <v>0.764059729570378</v>
      </c>
      <c r="R292" s="11" t="n">
        <f aca="false">IF(G292="MO",L292*P292,0)</f>
        <v>0</v>
      </c>
    </row>
    <row r="293" customFormat="false" ht="15" hidden="false" customHeight="false" outlineLevel="0" collapsed="false">
      <c r="A293" s="7" t="s">
        <v>554</v>
      </c>
      <c r="B293" s="7" t="s">
        <v>483</v>
      </c>
      <c r="C293" s="7" t="s">
        <v>555</v>
      </c>
      <c r="D293" s="7" t="s">
        <v>556</v>
      </c>
      <c r="E293" s="7" t="s">
        <v>341</v>
      </c>
      <c r="F293" s="11" t="n">
        <v>13.14</v>
      </c>
      <c r="G293" s="7" t="s">
        <v>288</v>
      </c>
      <c r="H293" s="7" t="s">
        <v>327</v>
      </c>
      <c r="I293" s="7" t="s">
        <v>328</v>
      </c>
      <c r="J293" s="7" t="s">
        <v>329</v>
      </c>
      <c r="K293" s="22"/>
      <c r="L293" s="22" t="n">
        <v>3</v>
      </c>
      <c r="M293" s="11" t="n">
        <v>9.09</v>
      </c>
      <c r="N293" s="11" t="n">
        <v>0.27</v>
      </c>
      <c r="O293" s="7"/>
      <c r="P293" s="11" t="str">
        <f aca="false">IF(J293="%mo","",IF(G293="MO",IF(J293="hh",INDEX(MO_HH,MATCH(I293,MO_CAT,0)),M293*P_FACT_IPC),IF(G293="SUBPART",IFERROR(INDEX(APU_SUBP!$C$7:$C$40,MATCH(H293,APU_SUBP!$A$7:$A$40,0)),M293*P_FACT_IPC),M293*P_FACT_IPC)))</f>
        <v/>
      </c>
      <c r="Q293" s="11" t="n">
        <f aca="false">IF(J293="%mo",L293/100*SUMIFS($R$7:$R$782,$A$7:$A$782,A293),L293*P293)</f>
        <v>0.20301400476758</v>
      </c>
      <c r="R293" s="11" t="n">
        <f aca="false">IF(G293="MO",L293*P293,0)</f>
        <v>0</v>
      </c>
    </row>
    <row r="294" customFormat="false" ht="15" hidden="false" customHeight="false" outlineLevel="0" collapsed="false">
      <c r="A294" s="9" t="s">
        <v>554</v>
      </c>
      <c r="B294" s="9" t="s">
        <v>483</v>
      </c>
      <c r="C294" s="9" t="s">
        <v>555</v>
      </c>
      <c r="D294" s="9" t="s">
        <v>556</v>
      </c>
      <c r="E294" s="9" t="s">
        <v>341</v>
      </c>
      <c r="F294" s="10" t="n">
        <v>13.14</v>
      </c>
      <c r="G294" s="9" t="s">
        <v>370</v>
      </c>
      <c r="H294" s="9" t="s">
        <v>559</v>
      </c>
      <c r="I294" s="9" t="s">
        <v>381</v>
      </c>
      <c r="J294" s="9" t="s">
        <v>341</v>
      </c>
      <c r="K294" s="31"/>
      <c r="L294" s="31" t="n">
        <v>1</v>
      </c>
      <c r="M294" s="10" t="n">
        <v>3.19</v>
      </c>
      <c r="N294" s="10" t="n">
        <v>3.19</v>
      </c>
      <c r="O294" s="9"/>
      <c r="P294" s="11" t="n">
        <f aca="false">IF(J294="%mo","",IF(G294="MO",IF(J294="hh",INDEX(MO_HH,MATCH(I294,MO_CAT,0)),M294*P_FACT_IPC),IF(G294="SUBPART",IFERROR(INDEX(APU_SUBP!$C$7:$C$40,MATCH(H294,APU_SUBP!$A$7:$A$40,0)),M294*P_FACT_IPC),M294*P_FACT_IPC)))</f>
        <v>3.04810217340461</v>
      </c>
      <c r="Q294" s="11" t="n">
        <f aca="false">IF(J294="%mo",L294/100*SUMIFS($R$7:$R$782,$A$7:$A$782,A294),L294*P294)</f>
        <v>3.04810217340461</v>
      </c>
      <c r="R294" s="11" t="n">
        <f aca="false">IF(G294="MO",L294*P294,0)</f>
        <v>0</v>
      </c>
    </row>
    <row r="295" customFormat="false" ht="15" hidden="false" customHeight="false" outlineLevel="0" collapsed="false">
      <c r="A295" s="7" t="s">
        <v>560</v>
      </c>
      <c r="B295" s="7" t="s">
        <v>483</v>
      </c>
      <c r="C295" s="7" t="s">
        <v>561</v>
      </c>
      <c r="D295" s="7" t="s">
        <v>562</v>
      </c>
      <c r="E295" s="7" t="s">
        <v>341</v>
      </c>
      <c r="F295" s="11" t="n">
        <v>58.14</v>
      </c>
      <c r="G295" s="7" t="s">
        <v>281</v>
      </c>
      <c r="H295" s="7" t="s">
        <v>285</v>
      </c>
      <c r="I295" s="7" t="s">
        <v>117</v>
      </c>
      <c r="J295" s="7" t="s">
        <v>283</v>
      </c>
      <c r="K295" s="22" t="n">
        <v>0.5</v>
      </c>
      <c r="L295" s="22" t="n">
        <v>0.1333</v>
      </c>
      <c r="M295" s="11" t="n">
        <v>18.56</v>
      </c>
      <c r="N295" s="11" t="n">
        <v>2.47</v>
      </c>
      <c r="O295" s="7" t="s">
        <v>284</v>
      </c>
      <c r="P295" s="11" t="n">
        <f aca="false">IF(J295="%mo","",IF(G295="MO",IF(J295="hh",INDEX(MO_HH,MATCH(I295,MO_CAT,0)),M295*P_FACT_IPC),IF(G295="SUBPART",IFERROR(INDEX(APU_SUBP!$C$7:$C$40,MATCH(H295,APU_SUBP!$A$7:$A$40,0)),M295*P_FACT_IPC),M295*P_FACT_IPC)))</f>
        <v>13.8259833134684</v>
      </c>
      <c r="Q295" s="11" t="n">
        <f aca="false">IF(J295="%mo",L295/100*SUMIFS($R$7:$R$782,$A$7:$A$782,A295),L295*P295)</f>
        <v>1.84300357568534</v>
      </c>
      <c r="R295" s="11" t="n">
        <f aca="false">IF(G295="MO",L295*P295,0)</f>
        <v>1.84300357568534</v>
      </c>
    </row>
    <row r="296" customFormat="false" ht="15" hidden="false" customHeight="false" outlineLevel="0" collapsed="false">
      <c r="A296" s="9" t="s">
        <v>560</v>
      </c>
      <c r="B296" s="9" t="s">
        <v>483</v>
      </c>
      <c r="C296" s="9" t="s">
        <v>561</v>
      </c>
      <c r="D296" s="9" t="s">
        <v>562</v>
      </c>
      <c r="E296" s="9" t="s">
        <v>341</v>
      </c>
      <c r="F296" s="10" t="n">
        <v>58.14</v>
      </c>
      <c r="G296" s="9" t="s">
        <v>281</v>
      </c>
      <c r="H296" s="9" t="s">
        <v>286</v>
      </c>
      <c r="I296" s="9" t="s">
        <v>122</v>
      </c>
      <c r="J296" s="9" t="s">
        <v>283</v>
      </c>
      <c r="K296" s="31" t="n">
        <v>1</v>
      </c>
      <c r="L296" s="31" t="n">
        <v>0.2667</v>
      </c>
      <c r="M296" s="10" t="n">
        <v>16.78</v>
      </c>
      <c r="N296" s="10" t="n">
        <v>4.48</v>
      </c>
      <c r="O296" s="9" t="s">
        <v>287</v>
      </c>
      <c r="P296" s="11" t="n">
        <f aca="false">IF(J296="%mo","",IF(G296="MO",IF(J296="hh",INDEX(MO_HH,MATCH(I296,MO_CAT,0)),M296*P_FACT_IPC),IF(G296="SUBPART",IFERROR(INDEX(APU_SUBP!$C$7:$C$40,MATCH(H296,APU_SUBP!$A$7:$A$40,0)),M296*P_FACT_IPC),M296*P_FACT_IPC)))</f>
        <v>12.5</v>
      </c>
      <c r="Q296" s="11" t="n">
        <f aca="false">IF(J296="%mo",L296/100*SUMIFS($R$7:$R$782,$A$7:$A$782,A296),L296*P296)</f>
        <v>3.33375</v>
      </c>
      <c r="R296" s="11" t="n">
        <f aca="false">IF(G296="MO",L296*P296,0)</f>
        <v>3.33375</v>
      </c>
    </row>
    <row r="297" customFormat="false" ht="15" hidden="false" customHeight="false" outlineLevel="0" collapsed="false">
      <c r="A297" s="7" t="s">
        <v>560</v>
      </c>
      <c r="B297" s="7" t="s">
        <v>483</v>
      </c>
      <c r="C297" s="7" t="s">
        <v>561</v>
      </c>
      <c r="D297" s="7" t="s">
        <v>562</v>
      </c>
      <c r="E297" s="7" t="s">
        <v>341</v>
      </c>
      <c r="F297" s="11" t="n">
        <v>58.14</v>
      </c>
      <c r="G297" s="7" t="s">
        <v>307</v>
      </c>
      <c r="H297" s="7" t="s">
        <v>359</v>
      </c>
      <c r="I297" s="7" t="s">
        <v>360</v>
      </c>
      <c r="J297" s="7" t="s">
        <v>361</v>
      </c>
      <c r="K297" s="22"/>
      <c r="L297" s="22" t="n">
        <v>0.01</v>
      </c>
      <c r="M297" s="11" t="n">
        <v>4.43</v>
      </c>
      <c r="N297" s="11" t="n">
        <v>0.04</v>
      </c>
      <c r="O297" s="7"/>
      <c r="P297" s="11" t="n">
        <f aca="false">IF(J297="%mo","",IF(G297="MO",IF(J297="hh",INDEX(MO_HH,MATCH(I297,MO_CAT,0)),M297*P_FACT_IPC),IF(G297="SUBPART",IFERROR(INDEX(APU_SUBP!$C$7:$C$40,MATCH(H297,APU_SUBP!$A$7:$A$40,0)),M297*P_FACT_IPC),M297*P_FACT_IPC)))</f>
        <v>5.69829057575214</v>
      </c>
      <c r="Q297" s="11" t="n">
        <f aca="false">IF(J297="%mo",L297/100*SUMIFS($R$7:$R$782,$A$7:$A$782,A297),L297*P297)</f>
        <v>0.0569829057575214</v>
      </c>
      <c r="R297" s="11" t="n">
        <f aca="false">IF(G297="MO",L297*P297,0)</f>
        <v>0</v>
      </c>
    </row>
    <row r="298" customFormat="false" ht="15" hidden="false" customHeight="false" outlineLevel="0" collapsed="false">
      <c r="A298" s="9" t="s">
        <v>560</v>
      </c>
      <c r="B298" s="9" t="s">
        <v>483</v>
      </c>
      <c r="C298" s="9" t="s">
        <v>561</v>
      </c>
      <c r="D298" s="9" t="s">
        <v>562</v>
      </c>
      <c r="E298" s="9" t="s">
        <v>341</v>
      </c>
      <c r="F298" s="10" t="n">
        <v>58.14</v>
      </c>
      <c r="G298" s="9" t="s">
        <v>307</v>
      </c>
      <c r="H298" s="9" t="s">
        <v>311</v>
      </c>
      <c r="I298" s="9" t="s">
        <v>312</v>
      </c>
      <c r="J298" s="9" t="s">
        <v>313</v>
      </c>
      <c r="K298" s="31"/>
      <c r="L298" s="31" t="n">
        <v>0.01</v>
      </c>
      <c r="M298" s="10" t="n">
        <v>1.63</v>
      </c>
      <c r="N298" s="10" t="n">
        <v>0.02</v>
      </c>
      <c r="O298" s="9"/>
      <c r="P298" s="11" t="n">
        <f aca="false">IF(J298="%mo","",IF(G298="MO",IF(J298="hh",INDEX(MO_HH,MATCH(I298,MO_CAT,0)),M298*P_FACT_IPC),IF(G298="SUBPART",IFERROR(INDEX(APU_SUBP!$C$7:$C$40,MATCH(H298,APU_SUBP!$A$7:$A$40,0)),M298*P_FACT_IPC),M298*P_FACT_IPC)))</f>
        <v>2.09666222087494</v>
      </c>
      <c r="Q298" s="11" t="n">
        <f aca="false">IF(J298="%mo",L298/100*SUMIFS($R$7:$R$782,$A$7:$A$782,A298),L298*P298)</f>
        <v>0.0209666222087494</v>
      </c>
      <c r="R298" s="11" t="n">
        <f aca="false">IF(G298="MO",L298*P298,0)</f>
        <v>0</v>
      </c>
    </row>
    <row r="299" customFormat="false" ht="15" hidden="false" customHeight="false" outlineLevel="0" collapsed="false">
      <c r="A299" s="7" t="s">
        <v>560</v>
      </c>
      <c r="B299" s="7" t="s">
        <v>483</v>
      </c>
      <c r="C299" s="7" t="s">
        <v>561</v>
      </c>
      <c r="D299" s="7" t="s">
        <v>562</v>
      </c>
      <c r="E299" s="7" t="s">
        <v>341</v>
      </c>
      <c r="F299" s="11" t="n">
        <v>58.14</v>
      </c>
      <c r="G299" s="7" t="s">
        <v>307</v>
      </c>
      <c r="H299" s="7" t="s">
        <v>364</v>
      </c>
      <c r="I299" s="7" t="s">
        <v>365</v>
      </c>
      <c r="J299" s="7" t="s">
        <v>316</v>
      </c>
      <c r="K299" s="22"/>
      <c r="L299" s="22" t="n">
        <v>10.75</v>
      </c>
      <c r="M299" s="11" t="n">
        <v>4.13</v>
      </c>
      <c r="N299" s="11" t="n">
        <v>44.4</v>
      </c>
      <c r="O299" s="7"/>
      <c r="P299" s="11" t="n">
        <f aca="false">IF(J299="%mo","",IF(G299="MO",IF(J299="hh",INDEX(MO_HH,MATCH(I299,MO_CAT,0)),M299*P_FACT_IPC),IF(G299="SUBPART",IFERROR(INDEX(APU_SUBP!$C$7:$C$40,MATCH(H299,APU_SUBP!$A$7:$A$40,0)),M299*P_FACT_IPC),M299*P_FACT_IPC)))</f>
        <v>5.31240182344387</v>
      </c>
      <c r="Q299" s="11" t="n">
        <f aca="false">IF(J299="%mo",L299/100*SUMIFS($R$7:$R$782,$A$7:$A$782,A299),L299*P299)</f>
        <v>57.1083196020216</v>
      </c>
      <c r="R299" s="11" t="n">
        <f aca="false">IF(G299="MO",L299*P299,0)</f>
        <v>0</v>
      </c>
    </row>
    <row r="300" customFormat="false" ht="15" hidden="false" customHeight="false" outlineLevel="0" collapsed="false">
      <c r="A300" s="9" t="s">
        <v>560</v>
      </c>
      <c r="B300" s="9" t="s">
        <v>483</v>
      </c>
      <c r="C300" s="9" t="s">
        <v>561</v>
      </c>
      <c r="D300" s="9" t="s">
        <v>562</v>
      </c>
      <c r="E300" s="9" t="s">
        <v>341</v>
      </c>
      <c r="F300" s="10" t="n">
        <v>58.14</v>
      </c>
      <c r="G300" s="9" t="s">
        <v>307</v>
      </c>
      <c r="H300" s="9" t="s">
        <v>314</v>
      </c>
      <c r="I300" s="9" t="s">
        <v>315</v>
      </c>
      <c r="J300" s="9" t="s">
        <v>316</v>
      </c>
      <c r="K300" s="31"/>
      <c r="L300" s="31" t="n">
        <v>4</v>
      </c>
      <c r="M300" s="10" t="n">
        <v>1.63</v>
      </c>
      <c r="N300" s="10" t="n">
        <v>6.52</v>
      </c>
      <c r="O300" s="9"/>
      <c r="P300" s="11" t="n">
        <f aca="false">IF(J300="%mo","",IF(G300="MO",IF(J300="hh",INDEX(MO_HH,MATCH(I300,MO_CAT,0)),M300*P_FACT_IPC),IF(G300="SUBPART",IFERROR(INDEX(APU_SUBP!$C$7:$C$40,MATCH(H300,APU_SUBP!$A$7:$A$40,0)),M300*P_FACT_IPC),M300*P_FACT_IPC)))</f>
        <v>2.09666222087494</v>
      </c>
      <c r="Q300" s="11" t="n">
        <f aca="false">IF(J300="%mo",L300/100*SUMIFS($R$7:$R$782,$A$7:$A$782,A300),L300*P300)</f>
        <v>8.38664888349977</v>
      </c>
      <c r="R300" s="11" t="n">
        <f aca="false">IF(G300="MO",L300*P300,0)</f>
        <v>0</v>
      </c>
    </row>
    <row r="301" customFormat="false" ht="15" hidden="false" customHeight="false" outlineLevel="0" collapsed="false">
      <c r="A301" s="7" t="s">
        <v>560</v>
      </c>
      <c r="B301" s="7" t="s">
        <v>483</v>
      </c>
      <c r="C301" s="7" t="s">
        <v>561</v>
      </c>
      <c r="D301" s="7" t="s">
        <v>562</v>
      </c>
      <c r="E301" s="7" t="s">
        <v>341</v>
      </c>
      <c r="F301" s="11" t="n">
        <v>58.14</v>
      </c>
      <c r="G301" s="7" t="s">
        <v>288</v>
      </c>
      <c r="H301" s="7" t="s">
        <v>327</v>
      </c>
      <c r="I301" s="7" t="s">
        <v>328</v>
      </c>
      <c r="J301" s="7" t="s">
        <v>329</v>
      </c>
      <c r="K301" s="22"/>
      <c r="L301" s="22" t="n">
        <v>3</v>
      </c>
      <c r="M301" s="11" t="n">
        <v>6.95</v>
      </c>
      <c r="N301" s="11" t="n">
        <v>0.21</v>
      </c>
      <c r="O301" s="7"/>
      <c r="P301" s="11" t="str">
        <f aca="false">IF(J301="%mo","",IF(G301="MO",IF(J301="hh",INDEX(MO_HH,MATCH(I301,MO_CAT,0)),M301*P_FACT_IPC),IF(G301="SUBPART",IFERROR(INDEX(APU_SUBP!$C$7:$C$40,MATCH(H301,APU_SUBP!$A$7:$A$40,0)),M301*P_FACT_IPC),M301*P_FACT_IPC)))</f>
        <v/>
      </c>
      <c r="Q301" s="11" t="n">
        <f aca="false">IF(J301="%mo",L301/100*SUMIFS($R$7:$R$782,$A$7:$A$782,A301),L301*P301)</f>
        <v>0.15530260727056</v>
      </c>
      <c r="R301" s="11" t="n">
        <f aca="false">IF(G301="MO",L301*P301,0)</f>
        <v>0</v>
      </c>
    </row>
    <row r="302" customFormat="false" ht="15" hidden="false" customHeight="false" outlineLevel="0" collapsed="false">
      <c r="A302" s="9" t="s">
        <v>563</v>
      </c>
      <c r="B302" s="9" t="s">
        <v>483</v>
      </c>
      <c r="C302" s="9" t="s">
        <v>564</v>
      </c>
      <c r="D302" s="9" t="s">
        <v>565</v>
      </c>
      <c r="E302" s="9" t="s">
        <v>341</v>
      </c>
      <c r="F302" s="10" t="n">
        <v>23.22</v>
      </c>
      <c r="G302" s="9" t="s">
        <v>281</v>
      </c>
      <c r="H302" s="9" t="s">
        <v>285</v>
      </c>
      <c r="I302" s="9" t="s">
        <v>117</v>
      </c>
      <c r="J302" s="9" t="s">
        <v>283</v>
      </c>
      <c r="K302" s="31" t="n">
        <v>0.1</v>
      </c>
      <c r="L302" s="31" t="n">
        <v>0.1</v>
      </c>
      <c r="M302" s="10" t="n">
        <v>18.56</v>
      </c>
      <c r="N302" s="10" t="n">
        <v>1.86</v>
      </c>
      <c r="O302" s="9" t="s">
        <v>284</v>
      </c>
      <c r="P302" s="11" t="n">
        <f aca="false">IF(J302="%mo","",IF(G302="MO",IF(J302="hh",INDEX(MO_HH,MATCH(I302,MO_CAT,0)),M302*P_FACT_IPC),IF(G302="SUBPART",IFERROR(INDEX(APU_SUBP!$C$7:$C$40,MATCH(H302,APU_SUBP!$A$7:$A$40,0)),M302*P_FACT_IPC),M302*P_FACT_IPC)))</f>
        <v>13.8259833134684</v>
      </c>
      <c r="Q302" s="11" t="n">
        <f aca="false">IF(J302="%mo",L302/100*SUMIFS($R$7:$R$782,$A$7:$A$782,A302),L302*P302)</f>
        <v>1.38259833134684</v>
      </c>
      <c r="R302" s="11" t="n">
        <f aca="false">IF(G302="MO",L302*P302,0)</f>
        <v>1.38259833134684</v>
      </c>
    </row>
    <row r="303" customFormat="false" ht="15" hidden="false" customHeight="false" outlineLevel="0" collapsed="false">
      <c r="A303" s="7" t="s">
        <v>563</v>
      </c>
      <c r="B303" s="7" t="s">
        <v>483</v>
      </c>
      <c r="C303" s="7" t="s">
        <v>564</v>
      </c>
      <c r="D303" s="7" t="s">
        <v>565</v>
      </c>
      <c r="E303" s="7" t="s">
        <v>341</v>
      </c>
      <c r="F303" s="11" t="n">
        <v>23.22</v>
      </c>
      <c r="G303" s="7" t="s">
        <v>281</v>
      </c>
      <c r="H303" s="7" t="s">
        <v>286</v>
      </c>
      <c r="I303" s="7" t="s">
        <v>122</v>
      </c>
      <c r="J303" s="7" t="s">
        <v>283</v>
      </c>
      <c r="K303" s="22" t="n">
        <v>1</v>
      </c>
      <c r="L303" s="22" t="n">
        <v>1</v>
      </c>
      <c r="M303" s="11" t="n">
        <v>16.78</v>
      </c>
      <c r="N303" s="11" t="n">
        <v>16.78</v>
      </c>
      <c r="O303" s="7" t="s">
        <v>287</v>
      </c>
      <c r="P303" s="11" t="n">
        <f aca="false">IF(J303="%mo","",IF(G303="MO",IF(J303="hh",INDEX(MO_HH,MATCH(I303,MO_CAT,0)),M303*P_FACT_IPC),IF(G303="SUBPART",IFERROR(INDEX(APU_SUBP!$C$7:$C$40,MATCH(H303,APU_SUBP!$A$7:$A$40,0)),M303*P_FACT_IPC),M303*P_FACT_IPC)))</f>
        <v>12.5</v>
      </c>
      <c r="Q303" s="11" t="n">
        <f aca="false">IF(J303="%mo",L303/100*SUMIFS($R$7:$R$782,$A$7:$A$782,A303),L303*P303)</f>
        <v>12.5</v>
      </c>
      <c r="R303" s="11" t="n">
        <f aca="false">IF(G303="MO",L303*P303,0)</f>
        <v>12.5</v>
      </c>
    </row>
    <row r="304" customFormat="false" ht="15" hidden="false" customHeight="false" outlineLevel="0" collapsed="false">
      <c r="A304" s="9" t="s">
        <v>563</v>
      </c>
      <c r="B304" s="9" t="s">
        <v>483</v>
      </c>
      <c r="C304" s="9" t="s">
        <v>564</v>
      </c>
      <c r="D304" s="9" t="s">
        <v>565</v>
      </c>
      <c r="E304" s="9" t="s">
        <v>341</v>
      </c>
      <c r="F304" s="10" t="n">
        <v>23.22</v>
      </c>
      <c r="G304" s="9" t="s">
        <v>307</v>
      </c>
      <c r="H304" s="9" t="s">
        <v>311</v>
      </c>
      <c r="I304" s="9" t="s">
        <v>312</v>
      </c>
      <c r="J304" s="9" t="s">
        <v>313</v>
      </c>
      <c r="K304" s="31"/>
      <c r="L304" s="31" t="n">
        <v>0.5</v>
      </c>
      <c r="M304" s="10" t="n">
        <v>1.63</v>
      </c>
      <c r="N304" s="10" t="n">
        <v>0.82</v>
      </c>
      <c r="O304" s="9"/>
      <c r="P304" s="11" t="n">
        <f aca="false">IF(J304="%mo","",IF(G304="MO",IF(J304="hh",INDEX(MO_HH,MATCH(I304,MO_CAT,0)),M304*P_FACT_IPC),IF(G304="SUBPART",IFERROR(INDEX(APU_SUBP!$C$7:$C$40,MATCH(H304,APU_SUBP!$A$7:$A$40,0)),M304*P_FACT_IPC),M304*P_FACT_IPC)))</f>
        <v>2.09666222087494</v>
      </c>
      <c r="Q304" s="11" t="n">
        <f aca="false">IF(J304="%mo",L304/100*SUMIFS($R$7:$R$782,$A$7:$A$782,A304),L304*P304)</f>
        <v>1.04833111043747</v>
      </c>
      <c r="R304" s="11" t="n">
        <f aca="false">IF(G304="MO",L304*P304,0)</f>
        <v>0</v>
      </c>
    </row>
    <row r="305" customFormat="false" ht="15" hidden="false" customHeight="false" outlineLevel="0" collapsed="false">
      <c r="A305" s="7" t="s">
        <v>563</v>
      </c>
      <c r="B305" s="7" t="s">
        <v>483</v>
      </c>
      <c r="C305" s="7" t="s">
        <v>564</v>
      </c>
      <c r="D305" s="7" t="s">
        <v>565</v>
      </c>
      <c r="E305" s="7" t="s">
        <v>341</v>
      </c>
      <c r="F305" s="11" t="n">
        <v>23.22</v>
      </c>
      <c r="G305" s="7" t="s">
        <v>307</v>
      </c>
      <c r="H305" s="7" t="s">
        <v>566</v>
      </c>
      <c r="I305" s="7" t="s">
        <v>567</v>
      </c>
      <c r="J305" s="7" t="s">
        <v>21</v>
      </c>
      <c r="K305" s="22"/>
      <c r="L305" s="22" t="n">
        <v>20</v>
      </c>
      <c r="M305" s="11" t="n">
        <v>0.16</v>
      </c>
      <c r="N305" s="11" t="n">
        <v>3.2</v>
      </c>
      <c r="O305" s="7"/>
      <c r="P305" s="11" t="n">
        <f aca="false">IF(J305="%mo","",IF(G305="MO",IF(J305="hh",INDEX(MO_HH,MATCH(I305,MO_CAT,0)),M305*P_FACT_IPC),IF(G305="SUBPART",IFERROR(INDEX(APU_SUBP!$C$7:$C$40,MATCH(H305,APU_SUBP!$A$7:$A$40,0)),M305*P_FACT_IPC),M305*P_FACT_IPC)))</f>
        <v>0.205807334564411</v>
      </c>
      <c r="Q305" s="11" t="n">
        <f aca="false">IF(J305="%mo",L305/100*SUMIFS($R$7:$R$782,$A$7:$A$782,A305),L305*P305)</f>
        <v>4.11614669128823</v>
      </c>
      <c r="R305" s="11" t="n">
        <f aca="false">IF(G305="MO",L305*P305,0)</f>
        <v>0</v>
      </c>
    </row>
    <row r="306" customFormat="false" ht="15" hidden="false" customHeight="false" outlineLevel="0" collapsed="false">
      <c r="A306" s="9" t="s">
        <v>563</v>
      </c>
      <c r="B306" s="9" t="s">
        <v>483</v>
      </c>
      <c r="C306" s="9" t="s">
        <v>564</v>
      </c>
      <c r="D306" s="9" t="s">
        <v>565</v>
      </c>
      <c r="E306" s="9" t="s">
        <v>341</v>
      </c>
      <c r="F306" s="10" t="n">
        <v>23.22</v>
      </c>
      <c r="G306" s="9" t="s">
        <v>288</v>
      </c>
      <c r="H306" s="9" t="s">
        <v>327</v>
      </c>
      <c r="I306" s="9" t="s">
        <v>328</v>
      </c>
      <c r="J306" s="9" t="s">
        <v>329</v>
      </c>
      <c r="K306" s="31"/>
      <c r="L306" s="31" t="n">
        <v>3</v>
      </c>
      <c r="M306" s="10" t="n">
        <v>18.64</v>
      </c>
      <c r="N306" s="10" t="n">
        <v>0.56</v>
      </c>
      <c r="O306" s="9"/>
      <c r="P306" s="11" t="str">
        <f aca="false">IF(J306="%mo","",IF(G306="MO",IF(J306="hh",INDEX(MO_HH,MATCH(I306,MO_CAT,0)),M306*P_FACT_IPC),IF(G306="SUBPART",IFERROR(INDEX(APU_SUBP!$C$7:$C$40,MATCH(H306,APU_SUBP!$A$7:$A$40,0)),M306*P_FACT_IPC),M306*P_FACT_IPC)))</f>
        <v/>
      </c>
      <c r="Q306" s="11" t="n">
        <f aca="false">IF(J306="%mo",L306/100*SUMIFS($R$7:$R$782,$A$7:$A$782,A306),L306*P306)</f>
        <v>0.416477949940405</v>
      </c>
      <c r="R306" s="11" t="n">
        <f aca="false">IF(G306="MO",L306*P306,0)</f>
        <v>0</v>
      </c>
    </row>
    <row r="307" customFormat="false" ht="15" hidden="false" customHeight="false" outlineLevel="0" collapsed="false">
      <c r="A307" s="7" t="s">
        <v>568</v>
      </c>
      <c r="B307" s="7" t="s">
        <v>483</v>
      </c>
      <c r="C307" s="7" t="s">
        <v>374</v>
      </c>
      <c r="D307" s="7" t="s">
        <v>569</v>
      </c>
      <c r="E307" s="7" t="s">
        <v>273</v>
      </c>
      <c r="F307" s="11" t="n">
        <v>164.05</v>
      </c>
      <c r="G307" s="7" t="s">
        <v>281</v>
      </c>
      <c r="H307" s="7" t="s">
        <v>282</v>
      </c>
      <c r="I307" s="7" t="s">
        <v>107</v>
      </c>
      <c r="J307" s="7" t="s">
        <v>283</v>
      </c>
      <c r="K307" s="22" t="n">
        <v>1</v>
      </c>
      <c r="L307" s="22" t="n">
        <v>0.6667</v>
      </c>
      <c r="M307" s="11" t="n">
        <v>25.81</v>
      </c>
      <c r="N307" s="11" t="n">
        <v>17.21</v>
      </c>
      <c r="O307" s="7" t="s">
        <v>284</v>
      </c>
      <c r="P307" s="11" t="n">
        <f aca="false">IF(J307="%mo","",IF(G307="MO",IF(J307="hh",INDEX(MO_HH,MATCH(I307,MO_CAT,0)),M307*P_FACT_IPC),IF(G307="SUBPART",IFERROR(INDEX(APU_SUBP!$C$7:$C$40,MATCH(H307,APU_SUBP!$A$7:$A$40,0)),M307*P_FACT_IPC),M307*P_FACT_IPC)))</f>
        <v>19.226758045292</v>
      </c>
      <c r="Q307" s="11" t="n">
        <f aca="false">IF(J307="%mo",L307/100*SUMIFS($R$7:$R$782,$A$7:$A$782,A307),L307*P307)</f>
        <v>12.8184795887962</v>
      </c>
      <c r="R307" s="11" t="n">
        <f aca="false">IF(G307="MO",L307*P307,0)</f>
        <v>12.8184795887962</v>
      </c>
    </row>
    <row r="308" customFormat="false" ht="15" hidden="false" customHeight="false" outlineLevel="0" collapsed="false">
      <c r="A308" s="9" t="s">
        <v>568</v>
      </c>
      <c r="B308" s="9" t="s">
        <v>483</v>
      </c>
      <c r="C308" s="9" t="s">
        <v>374</v>
      </c>
      <c r="D308" s="9" t="s">
        <v>569</v>
      </c>
      <c r="E308" s="9" t="s">
        <v>273</v>
      </c>
      <c r="F308" s="10" t="n">
        <v>164.05</v>
      </c>
      <c r="G308" s="9" t="s">
        <v>281</v>
      </c>
      <c r="H308" s="9" t="s">
        <v>286</v>
      </c>
      <c r="I308" s="9" t="s">
        <v>122</v>
      </c>
      <c r="J308" s="9" t="s">
        <v>283</v>
      </c>
      <c r="K308" s="31" t="n">
        <v>2</v>
      </c>
      <c r="L308" s="31" t="n">
        <v>1.3333</v>
      </c>
      <c r="M308" s="10" t="n">
        <v>16.78</v>
      </c>
      <c r="N308" s="10" t="n">
        <v>22.37</v>
      </c>
      <c r="O308" s="9" t="s">
        <v>287</v>
      </c>
      <c r="P308" s="11" t="n">
        <f aca="false">IF(J308="%mo","",IF(G308="MO",IF(J308="hh",INDEX(MO_HH,MATCH(I308,MO_CAT,0)),M308*P_FACT_IPC),IF(G308="SUBPART",IFERROR(INDEX(APU_SUBP!$C$7:$C$40,MATCH(H308,APU_SUBP!$A$7:$A$40,0)),M308*P_FACT_IPC),M308*P_FACT_IPC)))</f>
        <v>12.5</v>
      </c>
      <c r="Q308" s="11" t="n">
        <f aca="false">IF(J308="%mo",L308/100*SUMIFS($R$7:$R$782,$A$7:$A$782,A308),L308*P308)</f>
        <v>16.66625</v>
      </c>
      <c r="R308" s="11" t="n">
        <f aca="false">IF(G308="MO",L308*P308,0)</f>
        <v>16.66625</v>
      </c>
    </row>
    <row r="309" customFormat="false" ht="15" hidden="false" customHeight="false" outlineLevel="0" collapsed="false">
      <c r="A309" s="7" t="s">
        <v>568</v>
      </c>
      <c r="B309" s="7" t="s">
        <v>483</v>
      </c>
      <c r="C309" s="7" t="s">
        <v>374</v>
      </c>
      <c r="D309" s="7" t="s">
        <v>569</v>
      </c>
      <c r="E309" s="7" t="s">
        <v>273</v>
      </c>
      <c r="F309" s="11" t="n">
        <v>164.05</v>
      </c>
      <c r="G309" s="7" t="s">
        <v>307</v>
      </c>
      <c r="H309" s="7" t="s">
        <v>570</v>
      </c>
      <c r="I309" s="7" t="s">
        <v>571</v>
      </c>
      <c r="J309" s="7" t="s">
        <v>273</v>
      </c>
      <c r="K309" s="22"/>
      <c r="L309" s="22" t="n">
        <v>0.32</v>
      </c>
      <c r="M309" s="11" t="n">
        <v>201.86</v>
      </c>
      <c r="N309" s="11" t="n">
        <v>64.6</v>
      </c>
      <c r="O309" s="7"/>
      <c r="P309" s="11" t="n">
        <f aca="false">IF(J309="%mo","",IF(G309="MO",IF(J309="hh",INDEX(MO_HH,MATCH(I309,MO_CAT,0)),M309*P_FACT_IPC),IF(G309="SUBPART",IFERROR(INDEX(APU_SUBP!$C$7:$C$40,MATCH(H309,APU_SUBP!$A$7:$A$40,0)),M309*P_FACT_IPC),M309*P_FACT_IPC)))</f>
        <v>259.651678469826</v>
      </c>
      <c r="Q309" s="11" t="n">
        <f aca="false">IF(J309="%mo",L309/100*SUMIFS($R$7:$R$782,$A$7:$A$782,A309),L309*P309)</f>
        <v>83.0885371103442</v>
      </c>
      <c r="R309" s="11" t="n">
        <f aca="false">IF(G309="MO",L309*P309,0)</f>
        <v>0</v>
      </c>
    </row>
    <row r="310" customFormat="false" ht="15" hidden="false" customHeight="false" outlineLevel="0" collapsed="false">
      <c r="A310" s="9" t="s">
        <v>568</v>
      </c>
      <c r="B310" s="9" t="s">
        <v>483</v>
      </c>
      <c r="C310" s="9" t="s">
        <v>374</v>
      </c>
      <c r="D310" s="9" t="s">
        <v>569</v>
      </c>
      <c r="E310" s="9" t="s">
        <v>273</v>
      </c>
      <c r="F310" s="10" t="n">
        <v>164.05</v>
      </c>
      <c r="G310" s="9" t="s">
        <v>288</v>
      </c>
      <c r="H310" s="9" t="s">
        <v>327</v>
      </c>
      <c r="I310" s="9" t="s">
        <v>328</v>
      </c>
      <c r="J310" s="9" t="s">
        <v>329</v>
      </c>
      <c r="K310" s="31"/>
      <c r="L310" s="31" t="n">
        <v>3</v>
      </c>
      <c r="M310" s="10" t="n">
        <v>39.58</v>
      </c>
      <c r="N310" s="10" t="n">
        <v>1.19</v>
      </c>
      <c r="O310" s="9"/>
      <c r="P310" s="11" t="str">
        <f aca="false">IF(J310="%mo","",IF(G310="MO",IF(J310="hh",INDEX(MO_HH,MATCH(I310,MO_CAT,0)),M310*P_FACT_IPC),IF(G310="SUBPART",IFERROR(INDEX(APU_SUBP!$C$7:$C$40,MATCH(H310,APU_SUBP!$A$7:$A$40,0)),M310*P_FACT_IPC),M310*P_FACT_IPC)))</f>
        <v/>
      </c>
      <c r="Q310" s="11" t="n">
        <f aca="false">IF(J310="%mo",L310/100*SUMIFS($R$7:$R$782,$A$7:$A$782,A310),L310*P310)</f>
        <v>0.884541887663885</v>
      </c>
      <c r="R310" s="11" t="n">
        <f aca="false">IF(G310="MO",L310*P310,0)</f>
        <v>0</v>
      </c>
    </row>
    <row r="311" customFormat="false" ht="15" hidden="false" customHeight="false" outlineLevel="0" collapsed="false">
      <c r="A311" s="7" t="s">
        <v>568</v>
      </c>
      <c r="B311" s="7" t="s">
        <v>483</v>
      </c>
      <c r="C311" s="7" t="s">
        <v>374</v>
      </c>
      <c r="D311" s="7" t="s">
        <v>569</v>
      </c>
      <c r="E311" s="7" t="s">
        <v>273</v>
      </c>
      <c r="F311" s="11" t="n">
        <v>164.05</v>
      </c>
      <c r="G311" s="7" t="s">
        <v>370</v>
      </c>
      <c r="H311" s="7" t="s">
        <v>466</v>
      </c>
      <c r="I311" s="7" t="s">
        <v>467</v>
      </c>
      <c r="J311" s="7" t="s">
        <v>273</v>
      </c>
      <c r="K311" s="22"/>
      <c r="L311" s="22" t="n">
        <v>0.68</v>
      </c>
      <c r="M311" s="11" t="n">
        <v>86.3</v>
      </c>
      <c r="N311" s="11" t="n">
        <v>58.68</v>
      </c>
      <c r="O311" s="7"/>
      <c r="P311" s="11" t="n">
        <f aca="false">IF(J311="%mo","",IF(G311="MO",IF(J311="hh",INDEX(MO_HH,MATCH(I311,MO_CAT,0)),M311*P_FACT_IPC),IF(G311="SUBPART",IFERROR(INDEX(APU_SUBP!$C$7:$C$40,MATCH(H311,APU_SUBP!$A$7:$A$40,0)),M311*P_FACT_IPC),M311*P_FACT_IPC)))</f>
        <v>64.499738837007</v>
      </c>
      <c r="Q311" s="11" t="n">
        <f aca="false">IF(J311="%mo",L311/100*SUMIFS($R$7:$R$782,$A$7:$A$782,A311),L311*P311)</f>
        <v>43.8598224091647</v>
      </c>
      <c r="R311" s="11" t="n">
        <f aca="false">IF(G311="MO",L311*P311,0)</f>
        <v>0</v>
      </c>
    </row>
    <row r="312" customFormat="false" ht="15" hidden="false" customHeight="false" outlineLevel="0" collapsed="false">
      <c r="A312" s="9" t="s">
        <v>572</v>
      </c>
      <c r="B312" s="9" t="s">
        <v>483</v>
      </c>
      <c r="C312" s="9" t="s">
        <v>377</v>
      </c>
      <c r="D312" s="9" t="s">
        <v>573</v>
      </c>
      <c r="E312" s="9" t="s">
        <v>341</v>
      </c>
      <c r="F312" s="10" t="n">
        <v>10.54</v>
      </c>
      <c r="G312" s="9" t="s">
        <v>281</v>
      </c>
      <c r="H312" s="9" t="s">
        <v>282</v>
      </c>
      <c r="I312" s="9" t="s">
        <v>107</v>
      </c>
      <c r="J312" s="9" t="s">
        <v>283</v>
      </c>
      <c r="K312" s="31" t="n">
        <v>1</v>
      </c>
      <c r="L312" s="31" t="n">
        <v>0.1333</v>
      </c>
      <c r="M312" s="10" t="n">
        <v>25.81</v>
      </c>
      <c r="N312" s="10" t="n">
        <v>3.44</v>
      </c>
      <c r="O312" s="9" t="s">
        <v>284</v>
      </c>
      <c r="P312" s="11" t="n">
        <f aca="false">IF(J312="%mo","",IF(G312="MO",IF(J312="hh",INDEX(MO_HH,MATCH(I312,MO_CAT,0)),M312*P_FACT_IPC),IF(G312="SUBPART",IFERROR(INDEX(APU_SUBP!$C$7:$C$40,MATCH(H312,APU_SUBP!$A$7:$A$40,0)),M312*P_FACT_IPC),M312*P_FACT_IPC)))</f>
        <v>19.226758045292</v>
      </c>
      <c r="Q312" s="11" t="n">
        <f aca="false">IF(J312="%mo",L312/100*SUMIFS($R$7:$R$782,$A$7:$A$782,A312),L312*P312)</f>
        <v>2.56292684743743</v>
      </c>
      <c r="R312" s="11" t="n">
        <f aca="false">IF(G312="MO",L312*P312,0)</f>
        <v>2.56292684743743</v>
      </c>
    </row>
    <row r="313" customFormat="false" ht="15" hidden="false" customHeight="false" outlineLevel="0" collapsed="false">
      <c r="A313" s="7" t="s">
        <v>572</v>
      </c>
      <c r="B313" s="7" t="s">
        <v>483</v>
      </c>
      <c r="C313" s="7" t="s">
        <v>377</v>
      </c>
      <c r="D313" s="7" t="s">
        <v>573</v>
      </c>
      <c r="E313" s="7" t="s">
        <v>341</v>
      </c>
      <c r="F313" s="11" t="n">
        <v>10.54</v>
      </c>
      <c r="G313" s="7" t="s">
        <v>281</v>
      </c>
      <c r="H313" s="7" t="s">
        <v>286</v>
      </c>
      <c r="I313" s="7" t="s">
        <v>122</v>
      </c>
      <c r="J313" s="7" t="s">
        <v>283</v>
      </c>
      <c r="K313" s="22" t="n">
        <v>2</v>
      </c>
      <c r="L313" s="22" t="n">
        <v>0.2667</v>
      </c>
      <c r="M313" s="11" t="n">
        <v>16.78</v>
      </c>
      <c r="N313" s="11" t="n">
        <v>4.48</v>
      </c>
      <c r="O313" s="7" t="s">
        <v>287</v>
      </c>
      <c r="P313" s="11" t="n">
        <f aca="false">IF(J313="%mo","",IF(G313="MO",IF(J313="hh",INDEX(MO_HH,MATCH(I313,MO_CAT,0)),M313*P_FACT_IPC),IF(G313="SUBPART",IFERROR(INDEX(APU_SUBP!$C$7:$C$40,MATCH(H313,APU_SUBP!$A$7:$A$40,0)),M313*P_FACT_IPC),M313*P_FACT_IPC)))</f>
        <v>12.5</v>
      </c>
      <c r="Q313" s="11" t="n">
        <f aca="false">IF(J313="%mo",L313/100*SUMIFS($R$7:$R$782,$A$7:$A$782,A313),L313*P313)</f>
        <v>3.33375</v>
      </c>
      <c r="R313" s="11" t="n">
        <f aca="false">IF(G313="MO",L313*P313,0)</f>
        <v>3.33375</v>
      </c>
    </row>
    <row r="314" customFormat="false" ht="15" hidden="false" customHeight="false" outlineLevel="0" collapsed="false">
      <c r="A314" s="9" t="s">
        <v>572</v>
      </c>
      <c r="B314" s="9" t="s">
        <v>483</v>
      </c>
      <c r="C314" s="9" t="s">
        <v>377</v>
      </c>
      <c r="D314" s="9" t="s">
        <v>573</v>
      </c>
      <c r="E314" s="9" t="s">
        <v>341</v>
      </c>
      <c r="F314" s="10" t="n">
        <v>10.54</v>
      </c>
      <c r="G314" s="9" t="s">
        <v>288</v>
      </c>
      <c r="H314" s="9" t="s">
        <v>327</v>
      </c>
      <c r="I314" s="9" t="s">
        <v>328</v>
      </c>
      <c r="J314" s="9" t="s">
        <v>329</v>
      </c>
      <c r="K314" s="31"/>
      <c r="L314" s="31" t="n">
        <v>3</v>
      </c>
      <c r="M314" s="10" t="n">
        <v>7.92</v>
      </c>
      <c r="N314" s="10" t="n">
        <v>0.24</v>
      </c>
      <c r="O314" s="9"/>
      <c r="P314" s="11" t="str">
        <f aca="false">IF(J314="%mo","",IF(G314="MO",IF(J314="hh",INDEX(MO_HH,MATCH(I314,MO_CAT,0)),M314*P_FACT_IPC),IF(G314="SUBPART",IFERROR(INDEX(APU_SUBP!$C$7:$C$40,MATCH(H314,APU_SUBP!$A$7:$A$40,0)),M314*P_FACT_IPC),M314*P_FACT_IPC)))</f>
        <v/>
      </c>
      <c r="Q314" s="11" t="n">
        <f aca="false">IF(J314="%mo",L314/100*SUMIFS($R$7:$R$782,$A$7:$A$782,A314),L314*P314)</f>
        <v>0.176900305423123</v>
      </c>
      <c r="R314" s="11" t="n">
        <f aca="false">IF(G314="MO",L314*P314,0)</f>
        <v>0</v>
      </c>
    </row>
    <row r="315" customFormat="false" ht="15" hidden="false" customHeight="false" outlineLevel="0" collapsed="false">
      <c r="A315" s="7" t="s">
        <v>572</v>
      </c>
      <c r="B315" s="7" t="s">
        <v>483</v>
      </c>
      <c r="C315" s="7" t="s">
        <v>377</v>
      </c>
      <c r="D315" s="7" t="s">
        <v>573</v>
      </c>
      <c r="E315" s="7" t="s">
        <v>341</v>
      </c>
      <c r="F315" s="11" t="n">
        <v>10.54</v>
      </c>
      <c r="G315" s="7" t="s">
        <v>370</v>
      </c>
      <c r="H315" s="7" t="s">
        <v>574</v>
      </c>
      <c r="I315" s="7" t="s">
        <v>575</v>
      </c>
      <c r="J315" s="7" t="s">
        <v>273</v>
      </c>
      <c r="K315" s="22"/>
      <c r="L315" s="22" t="n">
        <v>0.01</v>
      </c>
      <c r="M315" s="11" t="n">
        <v>238.24</v>
      </c>
      <c r="N315" s="11" t="n">
        <v>2.38</v>
      </c>
      <c r="O315" s="7"/>
      <c r="P315" s="11" t="n">
        <f aca="false">IF(J315="%mo","",IF(G315="MO",IF(J315="hh",INDEX(MO_HH,MATCH(I315,MO_CAT,0)),M315*P_FACT_IPC),IF(G315="SUBPART",IFERROR(INDEX(APU_SUBP!$C$7:$C$40,MATCH(H315,APU_SUBP!$A$7:$A$40,0)),M315*P_FACT_IPC),M315*P_FACT_IPC)))</f>
        <v>221.272786137678</v>
      </c>
      <c r="Q315" s="11" t="n">
        <f aca="false">IF(J315="%mo",L315/100*SUMIFS($R$7:$R$782,$A$7:$A$782,A315),L315*P315)</f>
        <v>2.21272786137678</v>
      </c>
      <c r="R315" s="11" t="n">
        <f aca="false">IF(G315="MO",L315*P315,0)</f>
        <v>0</v>
      </c>
    </row>
    <row r="316" customFormat="false" ht="15" hidden="false" customHeight="false" outlineLevel="0" collapsed="false">
      <c r="A316" s="9" t="s">
        <v>576</v>
      </c>
      <c r="B316" s="9" t="s">
        <v>483</v>
      </c>
      <c r="C316" s="9" t="s">
        <v>380</v>
      </c>
      <c r="D316" s="9" t="s">
        <v>577</v>
      </c>
      <c r="E316" s="9" t="s">
        <v>341</v>
      </c>
      <c r="F316" s="10" t="n">
        <v>5.95</v>
      </c>
      <c r="G316" s="9" t="s">
        <v>281</v>
      </c>
      <c r="H316" s="9" t="s">
        <v>282</v>
      </c>
      <c r="I316" s="9" t="s">
        <v>107</v>
      </c>
      <c r="J316" s="9" t="s">
        <v>283</v>
      </c>
      <c r="K316" s="31" t="n">
        <v>0.1</v>
      </c>
      <c r="L316" s="31" t="n">
        <v>0.016</v>
      </c>
      <c r="M316" s="10" t="n">
        <v>25.81</v>
      </c>
      <c r="N316" s="10" t="n">
        <v>0.41</v>
      </c>
      <c r="O316" s="9" t="s">
        <v>284</v>
      </c>
      <c r="P316" s="11" t="n">
        <f aca="false">IF(J316="%mo","",IF(G316="MO",IF(J316="hh",INDEX(MO_HH,MATCH(I316,MO_CAT,0)),M316*P_FACT_IPC),IF(G316="SUBPART",IFERROR(INDEX(APU_SUBP!$C$7:$C$40,MATCH(H316,APU_SUBP!$A$7:$A$40,0)),M316*P_FACT_IPC),M316*P_FACT_IPC)))</f>
        <v>19.226758045292</v>
      </c>
      <c r="Q316" s="11" t="n">
        <f aca="false">IF(J316="%mo",L316/100*SUMIFS($R$7:$R$782,$A$7:$A$782,A316),L316*P316)</f>
        <v>0.307628128724672</v>
      </c>
      <c r="R316" s="11" t="n">
        <f aca="false">IF(G316="MO",L316*P316,0)</f>
        <v>0.307628128724672</v>
      </c>
    </row>
    <row r="317" customFormat="false" ht="15" hidden="false" customHeight="false" outlineLevel="0" collapsed="false">
      <c r="A317" s="7" t="s">
        <v>576</v>
      </c>
      <c r="B317" s="7" t="s">
        <v>483</v>
      </c>
      <c r="C317" s="7" t="s">
        <v>380</v>
      </c>
      <c r="D317" s="7" t="s">
        <v>577</v>
      </c>
      <c r="E317" s="7" t="s">
        <v>341</v>
      </c>
      <c r="F317" s="11" t="n">
        <v>5.95</v>
      </c>
      <c r="G317" s="7" t="s">
        <v>281</v>
      </c>
      <c r="H317" s="7" t="s">
        <v>286</v>
      </c>
      <c r="I317" s="7" t="s">
        <v>122</v>
      </c>
      <c r="J317" s="7" t="s">
        <v>283</v>
      </c>
      <c r="K317" s="22" t="n">
        <v>2</v>
      </c>
      <c r="L317" s="22" t="n">
        <v>0.32</v>
      </c>
      <c r="M317" s="11" t="n">
        <v>16.78</v>
      </c>
      <c r="N317" s="11" t="n">
        <v>5.37</v>
      </c>
      <c r="O317" s="7" t="s">
        <v>287</v>
      </c>
      <c r="P317" s="11" t="n">
        <f aca="false">IF(J317="%mo","",IF(G317="MO",IF(J317="hh",INDEX(MO_HH,MATCH(I317,MO_CAT,0)),M317*P_FACT_IPC),IF(G317="SUBPART",IFERROR(INDEX(APU_SUBP!$C$7:$C$40,MATCH(H317,APU_SUBP!$A$7:$A$40,0)),M317*P_FACT_IPC),M317*P_FACT_IPC)))</f>
        <v>12.5</v>
      </c>
      <c r="Q317" s="11" t="n">
        <f aca="false">IF(J317="%mo",L317/100*SUMIFS($R$7:$R$782,$A$7:$A$782,A317),L317*P317)</f>
        <v>4</v>
      </c>
      <c r="R317" s="11" t="n">
        <f aca="false">IF(G317="MO",L317*P317,0)</f>
        <v>4</v>
      </c>
    </row>
    <row r="318" customFormat="false" ht="15" hidden="false" customHeight="false" outlineLevel="0" collapsed="false">
      <c r="A318" s="9" t="s">
        <v>576</v>
      </c>
      <c r="B318" s="9" t="s">
        <v>483</v>
      </c>
      <c r="C318" s="9" t="s">
        <v>380</v>
      </c>
      <c r="D318" s="9" t="s">
        <v>577</v>
      </c>
      <c r="E318" s="9" t="s">
        <v>341</v>
      </c>
      <c r="F318" s="10" t="n">
        <v>5.95</v>
      </c>
      <c r="G318" s="9" t="s">
        <v>288</v>
      </c>
      <c r="H318" s="9" t="s">
        <v>327</v>
      </c>
      <c r="I318" s="9" t="s">
        <v>328</v>
      </c>
      <c r="J318" s="9" t="s">
        <v>329</v>
      </c>
      <c r="K318" s="31"/>
      <c r="L318" s="31" t="n">
        <v>3</v>
      </c>
      <c r="M318" s="10" t="n">
        <v>5.78</v>
      </c>
      <c r="N318" s="10" t="n">
        <v>0.17</v>
      </c>
      <c r="O318" s="9"/>
      <c r="P318" s="11" t="str">
        <f aca="false">IF(J318="%mo","",IF(G318="MO",IF(J318="hh",INDEX(MO_HH,MATCH(I318,MO_CAT,0)),M318*P_FACT_IPC),IF(G318="SUBPART",IFERROR(INDEX(APU_SUBP!$C$7:$C$40,MATCH(H318,APU_SUBP!$A$7:$A$40,0)),M318*P_FACT_IPC),M318*P_FACT_IPC)))</f>
        <v/>
      </c>
      <c r="Q318" s="11" t="n">
        <f aca="false">IF(J318="%mo",L318/100*SUMIFS($R$7:$R$782,$A$7:$A$782,A318),L318*P318)</f>
        <v>0.12922884386174</v>
      </c>
      <c r="R318" s="11" t="n">
        <f aca="false">IF(G318="MO",L318*P318,0)</f>
        <v>0</v>
      </c>
    </row>
    <row r="319" customFormat="false" ht="15" hidden="false" customHeight="false" outlineLevel="0" collapsed="false">
      <c r="A319" s="7" t="s">
        <v>578</v>
      </c>
      <c r="B319" s="7" t="s">
        <v>483</v>
      </c>
      <c r="C319" s="7" t="s">
        <v>385</v>
      </c>
      <c r="D319" s="7" t="s">
        <v>579</v>
      </c>
      <c r="E319" s="7" t="s">
        <v>341</v>
      </c>
      <c r="F319" s="11" t="n">
        <v>112.73</v>
      </c>
      <c r="G319" s="7" t="s">
        <v>281</v>
      </c>
      <c r="H319" s="7" t="s">
        <v>282</v>
      </c>
      <c r="I319" s="7" t="s">
        <v>107</v>
      </c>
      <c r="J319" s="7" t="s">
        <v>283</v>
      </c>
      <c r="K319" s="22" t="n">
        <v>0.1</v>
      </c>
      <c r="L319" s="22" t="n">
        <v>0.016</v>
      </c>
      <c r="M319" s="11" t="n">
        <v>25.81</v>
      </c>
      <c r="N319" s="11" t="n">
        <v>0.41</v>
      </c>
      <c r="O319" s="7" t="s">
        <v>284</v>
      </c>
      <c r="P319" s="11" t="n">
        <f aca="false">IF(J319="%mo","",IF(G319="MO",IF(J319="hh",INDEX(MO_HH,MATCH(I319,MO_CAT,0)),M319*P_FACT_IPC),IF(G319="SUBPART",IFERROR(INDEX(APU_SUBP!$C$7:$C$40,MATCH(H319,APU_SUBP!$A$7:$A$40,0)),M319*P_FACT_IPC),M319*P_FACT_IPC)))</f>
        <v>19.226758045292</v>
      </c>
      <c r="Q319" s="11" t="n">
        <f aca="false">IF(J319="%mo",L319/100*SUMIFS($R$7:$R$782,$A$7:$A$782,A319),L319*P319)</f>
        <v>0.307628128724672</v>
      </c>
      <c r="R319" s="11" t="n">
        <f aca="false">IF(G319="MO",L319*P319,0)</f>
        <v>0.307628128724672</v>
      </c>
    </row>
    <row r="320" customFormat="false" ht="15" hidden="false" customHeight="false" outlineLevel="0" collapsed="false">
      <c r="A320" s="9" t="s">
        <v>578</v>
      </c>
      <c r="B320" s="9" t="s">
        <v>483</v>
      </c>
      <c r="C320" s="9" t="s">
        <v>385</v>
      </c>
      <c r="D320" s="9" t="s">
        <v>579</v>
      </c>
      <c r="E320" s="9" t="s">
        <v>341</v>
      </c>
      <c r="F320" s="10" t="n">
        <v>112.73</v>
      </c>
      <c r="G320" s="9" t="s">
        <v>281</v>
      </c>
      <c r="H320" s="9" t="s">
        <v>286</v>
      </c>
      <c r="I320" s="9" t="s">
        <v>122</v>
      </c>
      <c r="J320" s="9" t="s">
        <v>283</v>
      </c>
      <c r="K320" s="31" t="n">
        <v>1</v>
      </c>
      <c r="L320" s="31" t="n">
        <v>0.16</v>
      </c>
      <c r="M320" s="10" t="n">
        <v>16.78</v>
      </c>
      <c r="N320" s="10" t="n">
        <v>2.68</v>
      </c>
      <c r="O320" s="9" t="s">
        <v>287</v>
      </c>
      <c r="P320" s="11" t="n">
        <f aca="false">IF(J320="%mo","",IF(G320="MO",IF(J320="hh",INDEX(MO_HH,MATCH(I320,MO_CAT,0)),M320*P_FACT_IPC),IF(G320="SUBPART",IFERROR(INDEX(APU_SUBP!$C$7:$C$40,MATCH(H320,APU_SUBP!$A$7:$A$40,0)),M320*P_FACT_IPC),M320*P_FACT_IPC)))</f>
        <v>12.5</v>
      </c>
      <c r="Q320" s="11" t="n">
        <f aca="false">IF(J320="%mo",L320/100*SUMIFS($R$7:$R$782,$A$7:$A$782,A320),L320*P320)</f>
        <v>2</v>
      </c>
      <c r="R320" s="11" t="n">
        <f aca="false">IF(G320="MO",L320*P320,0)</f>
        <v>2</v>
      </c>
    </row>
    <row r="321" customFormat="false" ht="15" hidden="false" customHeight="false" outlineLevel="0" collapsed="false">
      <c r="A321" s="7" t="s">
        <v>578</v>
      </c>
      <c r="B321" s="7" t="s">
        <v>483</v>
      </c>
      <c r="C321" s="7" t="s">
        <v>385</v>
      </c>
      <c r="D321" s="7" t="s">
        <v>579</v>
      </c>
      <c r="E321" s="7" t="s">
        <v>341</v>
      </c>
      <c r="F321" s="11" t="n">
        <v>112.73</v>
      </c>
      <c r="G321" s="7" t="s">
        <v>307</v>
      </c>
      <c r="H321" s="7" t="s">
        <v>580</v>
      </c>
      <c r="I321" s="7" t="s">
        <v>581</v>
      </c>
      <c r="J321" s="7" t="s">
        <v>361</v>
      </c>
      <c r="K321" s="22"/>
      <c r="L321" s="22" t="n">
        <v>0.326</v>
      </c>
      <c r="M321" s="11" t="n">
        <v>336.04</v>
      </c>
      <c r="N321" s="11" t="n">
        <v>109.55</v>
      </c>
      <c r="O321" s="7"/>
      <c r="P321" s="11" t="n">
        <f aca="false">IF(J321="%mo","",IF(G321="MO",IF(J321="hh",INDEX(MO_HH,MATCH(I321,MO_CAT,0)),M321*P_FACT_IPC),IF(G321="SUBPART",IFERROR(INDEX(APU_SUBP!$C$7:$C$40,MATCH(H321,APU_SUBP!$A$7:$A$40,0)),M321*P_FACT_IPC),M321*P_FACT_IPC)))</f>
        <v>432.246854418905</v>
      </c>
      <c r="Q321" s="11" t="n">
        <f aca="false">IF(J321="%mo",L321/100*SUMIFS($R$7:$R$782,$A$7:$A$782,A321),L321*P321)</f>
        <v>140.912474540563</v>
      </c>
      <c r="R321" s="11" t="n">
        <f aca="false">IF(G321="MO",L321*P321,0)</f>
        <v>0</v>
      </c>
    </row>
    <row r="322" customFormat="false" ht="15" hidden="false" customHeight="false" outlineLevel="0" collapsed="false">
      <c r="A322" s="9" t="s">
        <v>578</v>
      </c>
      <c r="B322" s="9" t="s">
        <v>483</v>
      </c>
      <c r="C322" s="9" t="s">
        <v>385</v>
      </c>
      <c r="D322" s="9" t="s">
        <v>579</v>
      </c>
      <c r="E322" s="9" t="s">
        <v>341</v>
      </c>
      <c r="F322" s="10" t="n">
        <v>112.73</v>
      </c>
      <c r="G322" s="9" t="s">
        <v>288</v>
      </c>
      <c r="H322" s="9" t="s">
        <v>327</v>
      </c>
      <c r="I322" s="9" t="s">
        <v>328</v>
      </c>
      <c r="J322" s="9" t="s">
        <v>329</v>
      </c>
      <c r="K322" s="31"/>
      <c r="L322" s="31" t="n">
        <v>3</v>
      </c>
      <c r="M322" s="10" t="n">
        <v>3.09</v>
      </c>
      <c r="N322" s="10" t="n">
        <v>0.09</v>
      </c>
      <c r="O322" s="9"/>
      <c r="P322" s="11" t="str">
        <f aca="false">IF(J322="%mo","",IF(G322="MO",IF(J322="hh",INDEX(MO_HH,MATCH(I322,MO_CAT,0)),M322*P_FACT_IPC),IF(G322="SUBPART",IFERROR(INDEX(APU_SUBP!$C$7:$C$40,MATCH(H322,APU_SUBP!$A$7:$A$40,0)),M322*P_FACT_IPC),M322*P_FACT_IPC)))</f>
        <v/>
      </c>
      <c r="Q322" s="11" t="n">
        <f aca="false">IF(J322="%mo",L322/100*SUMIFS($R$7:$R$782,$A$7:$A$782,A322),L322*P322)</f>
        <v>0.0692288438617402</v>
      </c>
      <c r="R322" s="11" t="n">
        <f aca="false">IF(G322="MO",L322*P322,0)</f>
        <v>0</v>
      </c>
    </row>
    <row r="323" customFormat="false" ht="15" hidden="false" customHeight="false" outlineLevel="0" collapsed="false">
      <c r="A323" s="7" t="s">
        <v>582</v>
      </c>
      <c r="B323" s="7" t="s">
        <v>483</v>
      </c>
      <c r="C323" s="7" t="s">
        <v>583</v>
      </c>
      <c r="D323" s="7" t="s">
        <v>414</v>
      </c>
      <c r="E323" s="7" t="s">
        <v>341</v>
      </c>
      <c r="F323" s="11" t="n">
        <v>0.81</v>
      </c>
      <c r="G323" s="7" t="s">
        <v>281</v>
      </c>
      <c r="H323" s="7" t="s">
        <v>282</v>
      </c>
      <c r="I323" s="7" t="s">
        <v>107</v>
      </c>
      <c r="J323" s="7" t="s">
        <v>283</v>
      </c>
      <c r="K323" s="22" t="n">
        <v>0.1</v>
      </c>
      <c r="L323" s="22" t="n">
        <v>0.004</v>
      </c>
      <c r="M323" s="11" t="n">
        <v>25.81</v>
      </c>
      <c r="N323" s="11" t="n">
        <v>0.1</v>
      </c>
      <c r="O323" s="7" t="s">
        <v>284</v>
      </c>
      <c r="P323" s="11" t="n">
        <f aca="false">IF(J323="%mo","",IF(G323="MO",IF(J323="hh",INDEX(MO_HH,MATCH(I323,MO_CAT,0)),M323*P_FACT_IPC),IF(G323="SUBPART",IFERROR(INDEX(APU_SUBP!$C$7:$C$40,MATCH(H323,APU_SUBP!$A$7:$A$40,0)),M323*P_FACT_IPC),M323*P_FACT_IPC)))</f>
        <v>19.226758045292</v>
      </c>
      <c r="Q323" s="11" t="n">
        <f aca="false">IF(J323="%mo",L323/100*SUMIFS($R$7:$R$782,$A$7:$A$782,A323),L323*P323)</f>
        <v>0.0769070321811681</v>
      </c>
      <c r="R323" s="11" t="n">
        <f aca="false">IF(G323="MO",L323*P323,0)</f>
        <v>0.0769070321811681</v>
      </c>
    </row>
    <row r="324" customFormat="false" ht="15" hidden="false" customHeight="false" outlineLevel="0" collapsed="false">
      <c r="A324" s="9" t="s">
        <v>582</v>
      </c>
      <c r="B324" s="9" t="s">
        <v>483</v>
      </c>
      <c r="C324" s="9" t="s">
        <v>583</v>
      </c>
      <c r="D324" s="9" t="s">
        <v>414</v>
      </c>
      <c r="E324" s="9" t="s">
        <v>341</v>
      </c>
      <c r="F324" s="10" t="n">
        <v>0.81</v>
      </c>
      <c r="G324" s="9" t="s">
        <v>281</v>
      </c>
      <c r="H324" s="9" t="s">
        <v>286</v>
      </c>
      <c r="I324" s="9" t="s">
        <v>122</v>
      </c>
      <c r="J324" s="9" t="s">
        <v>283</v>
      </c>
      <c r="K324" s="31" t="n">
        <v>1</v>
      </c>
      <c r="L324" s="31" t="n">
        <v>0.04</v>
      </c>
      <c r="M324" s="10" t="n">
        <v>16.78</v>
      </c>
      <c r="N324" s="10" t="n">
        <v>0.67</v>
      </c>
      <c r="O324" s="9" t="s">
        <v>287</v>
      </c>
      <c r="P324" s="11" t="n">
        <f aca="false">IF(J324="%mo","",IF(G324="MO",IF(J324="hh",INDEX(MO_HH,MATCH(I324,MO_CAT,0)),M324*P_FACT_IPC),IF(G324="SUBPART",IFERROR(INDEX(APU_SUBP!$C$7:$C$40,MATCH(H324,APU_SUBP!$A$7:$A$40,0)),M324*P_FACT_IPC),M324*P_FACT_IPC)))</f>
        <v>12.5</v>
      </c>
      <c r="Q324" s="11" t="n">
        <f aca="false">IF(J324="%mo",L324/100*SUMIFS($R$7:$R$782,$A$7:$A$782,A324),L324*P324)</f>
        <v>0.5</v>
      </c>
      <c r="R324" s="11" t="n">
        <f aca="false">IF(G324="MO",L324*P324,0)</f>
        <v>0.5</v>
      </c>
    </row>
    <row r="325" customFormat="false" ht="15" hidden="false" customHeight="false" outlineLevel="0" collapsed="false">
      <c r="A325" s="7" t="s">
        <v>582</v>
      </c>
      <c r="B325" s="7" t="s">
        <v>483</v>
      </c>
      <c r="C325" s="7" t="s">
        <v>583</v>
      </c>
      <c r="D325" s="7" t="s">
        <v>414</v>
      </c>
      <c r="E325" s="7" t="s">
        <v>341</v>
      </c>
      <c r="F325" s="11" t="n">
        <v>0.81</v>
      </c>
      <c r="G325" s="7" t="s">
        <v>288</v>
      </c>
      <c r="H325" s="7" t="s">
        <v>327</v>
      </c>
      <c r="I325" s="7" t="s">
        <v>328</v>
      </c>
      <c r="J325" s="7" t="s">
        <v>329</v>
      </c>
      <c r="K325" s="22"/>
      <c r="L325" s="22" t="n">
        <v>3</v>
      </c>
      <c r="M325" s="11" t="n">
        <v>0.77</v>
      </c>
      <c r="N325" s="11" t="n">
        <v>0.02</v>
      </c>
      <c r="O325" s="7"/>
      <c r="P325" s="11" t="str">
        <f aca="false">IF(J325="%mo","",IF(G325="MO",IF(J325="hh",INDEX(MO_HH,MATCH(I325,MO_CAT,0)),M325*P_FACT_IPC),IF(G325="SUBPART",IFERROR(INDEX(APU_SUBP!$C$7:$C$40,MATCH(H325,APU_SUBP!$A$7:$A$40,0)),M325*P_FACT_IPC),M325*P_FACT_IPC)))</f>
        <v/>
      </c>
      <c r="Q325" s="11" t="n">
        <f aca="false">IF(J325="%mo",L325/100*SUMIFS($R$7:$R$782,$A$7:$A$782,A325),L325*P325)</f>
        <v>0.017307210965435</v>
      </c>
      <c r="R325" s="11" t="n">
        <f aca="false">IF(G325="MO",L325*P325,0)</f>
        <v>0</v>
      </c>
    </row>
    <row r="326" customFormat="false" ht="15" hidden="false" customHeight="false" outlineLevel="0" collapsed="false">
      <c r="A326" s="9" t="s">
        <v>582</v>
      </c>
      <c r="B326" s="9" t="s">
        <v>483</v>
      </c>
      <c r="C326" s="9" t="s">
        <v>583</v>
      </c>
      <c r="D326" s="9" t="s">
        <v>414</v>
      </c>
      <c r="E326" s="9" t="s">
        <v>341</v>
      </c>
      <c r="F326" s="10" t="n">
        <v>0.81</v>
      </c>
      <c r="G326" s="9" t="s">
        <v>370</v>
      </c>
      <c r="H326" s="9" t="s">
        <v>415</v>
      </c>
      <c r="I326" s="9" t="s">
        <v>416</v>
      </c>
      <c r="J326" s="9" t="s">
        <v>273</v>
      </c>
      <c r="K326" s="31"/>
      <c r="L326" s="31" t="n">
        <v>0.001</v>
      </c>
      <c r="M326" s="10" t="n">
        <v>21.15</v>
      </c>
      <c r="N326" s="10" t="n">
        <v>0.02</v>
      </c>
      <c r="O326" s="9"/>
      <c r="P326" s="11" t="n">
        <f aca="false">IF(J326="%mo","",IF(G326="MO",IF(J326="hh",INDEX(MO_HH,MATCH(I326,MO_CAT,0)),M326*P_FACT_IPC),IF(G326="SUBPART",IFERROR(INDEX(APU_SUBP!$C$7:$C$40,MATCH(H326,APU_SUBP!$A$7:$A$40,0)),M326*P_FACT_IPC),M326*P_FACT_IPC)))</f>
        <v>22.7438822970285</v>
      </c>
      <c r="Q326" s="11" t="n">
        <f aca="false">IF(J326="%mo",L326/100*SUMIFS($R$7:$R$782,$A$7:$A$782,A326),L326*P326)</f>
        <v>0.0227438822970285</v>
      </c>
      <c r="R326" s="11" t="n">
        <f aca="false">IF(G326="MO",L326*P326,0)</f>
        <v>0</v>
      </c>
    </row>
    <row r="327" customFormat="false" ht="15" hidden="false" customHeight="false" outlineLevel="0" collapsed="false">
      <c r="A327" s="7" t="s">
        <v>584</v>
      </c>
      <c r="B327" s="7" t="s">
        <v>483</v>
      </c>
      <c r="C327" s="7" t="s">
        <v>390</v>
      </c>
      <c r="D327" s="7" t="s">
        <v>585</v>
      </c>
      <c r="E327" s="7" t="s">
        <v>273</v>
      </c>
      <c r="F327" s="11" t="n">
        <v>64.29</v>
      </c>
      <c r="G327" s="7" t="s">
        <v>281</v>
      </c>
      <c r="H327" s="7" t="s">
        <v>282</v>
      </c>
      <c r="I327" s="7" t="s">
        <v>107</v>
      </c>
      <c r="J327" s="7" t="s">
        <v>283</v>
      </c>
      <c r="K327" s="22" t="n">
        <v>1</v>
      </c>
      <c r="L327" s="22" t="n">
        <v>0.5333</v>
      </c>
      <c r="M327" s="11" t="n">
        <v>25.81</v>
      </c>
      <c r="N327" s="11" t="n">
        <v>13.76</v>
      </c>
      <c r="O327" s="7" t="s">
        <v>284</v>
      </c>
      <c r="P327" s="11" t="n">
        <f aca="false">IF(J327="%mo","",IF(G327="MO",IF(J327="hh",INDEX(MO_HH,MATCH(I327,MO_CAT,0)),M327*P_FACT_IPC),IF(G327="SUBPART",IFERROR(INDEX(APU_SUBP!$C$7:$C$40,MATCH(H327,APU_SUBP!$A$7:$A$40,0)),M327*P_FACT_IPC),M327*P_FACT_IPC)))</f>
        <v>19.226758045292</v>
      </c>
      <c r="Q327" s="11" t="n">
        <f aca="false">IF(J327="%mo",L327/100*SUMIFS($R$7:$R$782,$A$7:$A$782,A327),L327*P327)</f>
        <v>10.2536300655542</v>
      </c>
      <c r="R327" s="11" t="n">
        <f aca="false">IF(G327="MO",L327*P327,0)</f>
        <v>10.2536300655542</v>
      </c>
    </row>
    <row r="328" customFormat="false" ht="15" hidden="false" customHeight="false" outlineLevel="0" collapsed="false">
      <c r="A328" s="9" t="s">
        <v>584</v>
      </c>
      <c r="B328" s="9" t="s">
        <v>483</v>
      </c>
      <c r="C328" s="9" t="s">
        <v>390</v>
      </c>
      <c r="D328" s="9" t="s">
        <v>585</v>
      </c>
      <c r="E328" s="9" t="s">
        <v>273</v>
      </c>
      <c r="F328" s="10" t="n">
        <v>64.29</v>
      </c>
      <c r="G328" s="9" t="s">
        <v>281</v>
      </c>
      <c r="H328" s="9" t="s">
        <v>286</v>
      </c>
      <c r="I328" s="9" t="s">
        <v>122</v>
      </c>
      <c r="J328" s="9" t="s">
        <v>283</v>
      </c>
      <c r="K328" s="31" t="n">
        <v>2</v>
      </c>
      <c r="L328" s="31" t="n">
        <v>1.0667</v>
      </c>
      <c r="M328" s="10" t="n">
        <v>16.78</v>
      </c>
      <c r="N328" s="10" t="n">
        <v>17.9</v>
      </c>
      <c r="O328" s="9" t="s">
        <v>287</v>
      </c>
      <c r="P328" s="11" t="n">
        <f aca="false">IF(J328="%mo","",IF(G328="MO",IF(J328="hh",INDEX(MO_HH,MATCH(I328,MO_CAT,0)),M328*P_FACT_IPC),IF(G328="SUBPART",IFERROR(INDEX(APU_SUBP!$C$7:$C$40,MATCH(H328,APU_SUBP!$A$7:$A$40,0)),M328*P_FACT_IPC),M328*P_FACT_IPC)))</f>
        <v>12.5</v>
      </c>
      <c r="Q328" s="11" t="n">
        <f aca="false">IF(J328="%mo",L328/100*SUMIFS($R$7:$R$782,$A$7:$A$782,A328),L328*P328)</f>
        <v>13.33375</v>
      </c>
      <c r="R328" s="11" t="n">
        <f aca="false">IF(G328="MO",L328*P328,0)</f>
        <v>13.33375</v>
      </c>
    </row>
    <row r="329" customFormat="false" ht="15" hidden="false" customHeight="false" outlineLevel="0" collapsed="false">
      <c r="A329" s="7" t="s">
        <v>584</v>
      </c>
      <c r="B329" s="7" t="s">
        <v>483</v>
      </c>
      <c r="C329" s="7" t="s">
        <v>390</v>
      </c>
      <c r="D329" s="7" t="s">
        <v>585</v>
      </c>
      <c r="E329" s="7" t="s">
        <v>273</v>
      </c>
      <c r="F329" s="11" t="n">
        <v>64.29</v>
      </c>
      <c r="G329" s="7" t="s">
        <v>307</v>
      </c>
      <c r="H329" s="7" t="s">
        <v>395</v>
      </c>
      <c r="I329" s="7" t="s">
        <v>396</v>
      </c>
      <c r="J329" s="7" t="s">
        <v>361</v>
      </c>
      <c r="K329" s="22"/>
      <c r="L329" s="22" t="n">
        <v>8</v>
      </c>
      <c r="M329" s="11" t="n">
        <v>1.16</v>
      </c>
      <c r="N329" s="11" t="n">
        <v>9.28</v>
      </c>
      <c r="O329" s="7"/>
      <c r="P329" s="11" t="n">
        <f aca="false">IF(J329="%mo","",IF(G329="MO",IF(J329="hh",INDEX(MO_HH,MATCH(I329,MO_CAT,0)),M329*P_FACT_IPC),IF(G329="SUBPART",IFERROR(INDEX(APU_SUBP!$C$7:$C$40,MATCH(H329,APU_SUBP!$A$7:$A$40,0)),M329*P_FACT_IPC),M329*P_FACT_IPC)))</f>
        <v>1.49210317559198</v>
      </c>
      <c r="Q329" s="11" t="n">
        <f aca="false">IF(J329="%mo",L329/100*SUMIFS($R$7:$R$782,$A$7:$A$782,A329),L329*P329)</f>
        <v>11.9368254047359</v>
      </c>
      <c r="R329" s="11" t="n">
        <f aca="false">IF(G329="MO",L329*P329,0)</f>
        <v>0</v>
      </c>
    </row>
    <row r="330" customFormat="false" ht="15" hidden="false" customHeight="false" outlineLevel="0" collapsed="false">
      <c r="A330" s="9" t="s">
        <v>584</v>
      </c>
      <c r="B330" s="9" t="s">
        <v>483</v>
      </c>
      <c r="C330" s="9" t="s">
        <v>390</v>
      </c>
      <c r="D330" s="9" t="s">
        <v>585</v>
      </c>
      <c r="E330" s="9" t="s">
        <v>273</v>
      </c>
      <c r="F330" s="10" t="n">
        <v>64.29</v>
      </c>
      <c r="G330" s="9" t="s">
        <v>288</v>
      </c>
      <c r="H330" s="9" t="s">
        <v>327</v>
      </c>
      <c r="I330" s="9" t="s">
        <v>328</v>
      </c>
      <c r="J330" s="9" t="s">
        <v>329</v>
      </c>
      <c r="K330" s="31"/>
      <c r="L330" s="31" t="n">
        <v>3</v>
      </c>
      <c r="M330" s="10" t="n">
        <v>31.66</v>
      </c>
      <c r="N330" s="10" t="n">
        <v>0.95</v>
      </c>
      <c r="O330" s="9"/>
      <c r="P330" s="11" t="str">
        <f aca="false">IF(J330="%mo","",IF(G330="MO",IF(J330="hh",INDEX(MO_HH,MATCH(I330,MO_CAT,0)),M330*P_FACT_IPC),IF(G330="SUBPART",IFERROR(INDEX(APU_SUBP!$C$7:$C$40,MATCH(H330,APU_SUBP!$A$7:$A$40,0)),M330*P_FACT_IPC),M330*P_FACT_IPC)))</f>
        <v/>
      </c>
      <c r="Q330" s="11" t="n">
        <f aca="false">IF(J330="%mo",L330/100*SUMIFS($R$7:$R$782,$A$7:$A$782,A330),L330*P330)</f>
        <v>0.707621401966627</v>
      </c>
      <c r="R330" s="11" t="n">
        <f aca="false">IF(G330="MO",L330*P330,0)</f>
        <v>0</v>
      </c>
    </row>
    <row r="331" customFormat="false" ht="15" hidden="false" customHeight="false" outlineLevel="0" collapsed="false">
      <c r="A331" s="7" t="s">
        <v>584</v>
      </c>
      <c r="B331" s="7" t="s">
        <v>483</v>
      </c>
      <c r="C331" s="7" t="s">
        <v>390</v>
      </c>
      <c r="D331" s="7" t="s">
        <v>585</v>
      </c>
      <c r="E331" s="7" t="s">
        <v>273</v>
      </c>
      <c r="F331" s="11" t="n">
        <v>64.29</v>
      </c>
      <c r="G331" s="7" t="s">
        <v>370</v>
      </c>
      <c r="H331" s="7" t="s">
        <v>399</v>
      </c>
      <c r="I331" s="7" t="s">
        <v>400</v>
      </c>
      <c r="J331" s="7" t="s">
        <v>273</v>
      </c>
      <c r="K331" s="22"/>
      <c r="L331" s="22" t="n">
        <v>0.92</v>
      </c>
      <c r="M331" s="11" t="n">
        <v>24.35</v>
      </c>
      <c r="N331" s="11" t="n">
        <v>22.4</v>
      </c>
      <c r="O331" s="7"/>
      <c r="P331" s="11" t="n">
        <f aca="false">IF(J331="%mo","",IF(G331="MO",IF(J331="hh",INDEX(MO_HH,MATCH(I331,MO_CAT,0)),M331*P_FACT_IPC),IF(G331="SUBPART",IFERROR(INDEX(APU_SUBP!$C$7:$C$40,MATCH(H331,APU_SUBP!$A$7:$A$40,0)),M331*P_FACT_IPC),M331*P_FACT_IPC)))</f>
        <v>30.5614930535066</v>
      </c>
      <c r="Q331" s="11" t="n">
        <f aca="false">IF(J331="%mo",L331/100*SUMIFS($R$7:$R$782,$A$7:$A$782,A331),L331*P331)</f>
        <v>28.1165736092261</v>
      </c>
      <c r="R331" s="11" t="n">
        <f aca="false">IF(G331="MO",L331*P331,0)</f>
        <v>0</v>
      </c>
    </row>
    <row r="332" customFormat="false" ht="15" hidden="false" customHeight="false" outlineLevel="0" collapsed="false">
      <c r="A332" s="9" t="s">
        <v>586</v>
      </c>
      <c r="B332" s="9" t="s">
        <v>483</v>
      </c>
      <c r="C332" s="9" t="s">
        <v>393</v>
      </c>
      <c r="D332" s="9" t="s">
        <v>587</v>
      </c>
      <c r="E332" s="9" t="s">
        <v>16</v>
      </c>
      <c r="F332" s="10" t="n">
        <v>0.31</v>
      </c>
      <c r="G332" s="9" t="s">
        <v>281</v>
      </c>
      <c r="H332" s="9" t="s">
        <v>282</v>
      </c>
      <c r="I332" s="9" t="s">
        <v>107</v>
      </c>
      <c r="J332" s="9" t="s">
        <v>283</v>
      </c>
      <c r="K332" s="31" t="n">
        <v>0.1</v>
      </c>
      <c r="L332" s="31" t="n">
        <v>0.0013</v>
      </c>
      <c r="M332" s="10" t="n">
        <v>25.81</v>
      </c>
      <c r="N332" s="10" t="n">
        <v>0.03</v>
      </c>
      <c r="O332" s="9" t="s">
        <v>284</v>
      </c>
      <c r="P332" s="11" t="n">
        <f aca="false">IF(J332="%mo","",IF(G332="MO",IF(J332="hh",INDEX(MO_HH,MATCH(I332,MO_CAT,0)),M332*P_FACT_IPC),IF(G332="SUBPART",IFERROR(INDEX(APU_SUBP!$C$7:$C$40,MATCH(H332,APU_SUBP!$A$7:$A$40,0)),M332*P_FACT_IPC),M332*P_FACT_IPC)))</f>
        <v>19.226758045292</v>
      </c>
      <c r="Q332" s="11" t="n">
        <f aca="false">IF(J332="%mo",L332/100*SUMIFS($R$7:$R$782,$A$7:$A$782,A332),L332*P332)</f>
        <v>0.0249947854588796</v>
      </c>
      <c r="R332" s="11" t="n">
        <f aca="false">IF(G332="MO",L332*P332,0)</f>
        <v>0.0249947854588796</v>
      </c>
    </row>
    <row r="333" customFormat="false" ht="15" hidden="false" customHeight="false" outlineLevel="0" collapsed="false">
      <c r="A333" s="7" t="s">
        <v>586</v>
      </c>
      <c r="B333" s="7" t="s">
        <v>483</v>
      </c>
      <c r="C333" s="7" t="s">
        <v>393</v>
      </c>
      <c r="D333" s="7" t="s">
        <v>587</v>
      </c>
      <c r="E333" s="7" t="s">
        <v>16</v>
      </c>
      <c r="F333" s="11" t="n">
        <v>0.31</v>
      </c>
      <c r="G333" s="7" t="s">
        <v>281</v>
      </c>
      <c r="H333" s="7" t="s">
        <v>286</v>
      </c>
      <c r="I333" s="7" t="s">
        <v>122</v>
      </c>
      <c r="J333" s="7" t="s">
        <v>283</v>
      </c>
      <c r="K333" s="22" t="n">
        <v>1</v>
      </c>
      <c r="L333" s="22" t="n">
        <v>0.0133</v>
      </c>
      <c r="M333" s="11" t="n">
        <v>16.78</v>
      </c>
      <c r="N333" s="11" t="n">
        <v>0.22</v>
      </c>
      <c r="O333" s="7" t="s">
        <v>287</v>
      </c>
      <c r="P333" s="11" t="n">
        <f aca="false">IF(J333="%mo","",IF(G333="MO",IF(J333="hh",INDEX(MO_HH,MATCH(I333,MO_CAT,0)),M333*P_FACT_IPC),IF(G333="SUBPART",IFERROR(INDEX(APU_SUBP!$C$7:$C$40,MATCH(H333,APU_SUBP!$A$7:$A$40,0)),M333*P_FACT_IPC),M333*P_FACT_IPC)))</f>
        <v>12.5</v>
      </c>
      <c r="Q333" s="11" t="n">
        <f aca="false">IF(J333="%mo",L333/100*SUMIFS($R$7:$R$782,$A$7:$A$782,A333),L333*P333)</f>
        <v>0.16625</v>
      </c>
      <c r="R333" s="11" t="n">
        <f aca="false">IF(G333="MO",L333*P333,0)</f>
        <v>0.16625</v>
      </c>
    </row>
    <row r="334" customFormat="false" ht="15" hidden="false" customHeight="false" outlineLevel="0" collapsed="false">
      <c r="A334" s="9" t="s">
        <v>586</v>
      </c>
      <c r="B334" s="9" t="s">
        <v>483</v>
      </c>
      <c r="C334" s="9" t="s">
        <v>393</v>
      </c>
      <c r="D334" s="9" t="s">
        <v>587</v>
      </c>
      <c r="E334" s="9" t="s">
        <v>16</v>
      </c>
      <c r="F334" s="10" t="n">
        <v>0.31</v>
      </c>
      <c r="G334" s="9" t="s">
        <v>307</v>
      </c>
      <c r="H334" s="9" t="s">
        <v>397</v>
      </c>
      <c r="I334" s="9" t="s">
        <v>398</v>
      </c>
      <c r="J334" s="9" t="s">
        <v>16</v>
      </c>
      <c r="K334" s="31"/>
      <c r="L334" s="31" t="n">
        <v>1</v>
      </c>
      <c r="M334" s="10" t="n">
        <v>0.05</v>
      </c>
      <c r="N334" s="10" t="n">
        <v>0.05</v>
      </c>
      <c r="O334" s="9"/>
      <c r="P334" s="11" t="n">
        <f aca="false">IF(J334="%mo","",IF(G334="MO",IF(J334="hh",INDEX(MO_HH,MATCH(I334,MO_CAT,0)),M334*P_FACT_IPC),IF(G334="SUBPART",IFERROR(INDEX(APU_SUBP!$C$7:$C$40,MATCH(H334,APU_SUBP!$A$7:$A$40,0)),M334*P_FACT_IPC),M334*P_FACT_IPC)))</f>
        <v>0.0643147920513786</v>
      </c>
      <c r="Q334" s="11" t="n">
        <f aca="false">IF(J334="%mo",L334/100*SUMIFS($R$7:$R$782,$A$7:$A$782,A334),L334*P334)</f>
        <v>0.0643147920513786</v>
      </c>
      <c r="R334" s="11" t="n">
        <f aca="false">IF(G334="MO",L334*P334,0)</f>
        <v>0</v>
      </c>
    </row>
    <row r="335" customFormat="false" ht="15" hidden="false" customHeight="false" outlineLevel="0" collapsed="false">
      <c r="A335" s="7" t="s">
        <v>586</v>
      </c>
      <c r="B335" s="7" t="s">
        <v>483</v>
      </c>
      <c r="C335" s="7" t="s">
        <v>393</v>
      </c>
      <c r="D335" s="7" t="s">
        <v>587</v>
      </c>
      <c r="E335" s="7" t="s">
        <v>16</v>
      </c>
      <c r="F335" s="11" t="n">
        <v>0.31</v>
      </c>
      <c r="G335" s="7" t="s">
        <v>288</v>
      </c>
      <c r="H335" s="7" t="s">
        <v>327</v>
      </c>
      <c r="I335" s="7" t="s">
        <v>328</v>
      </c>
      <c r="J335" s="7" t="s">
        <v>329</v>
      </c>
      <c r="K335" s="22"/>
      <c r="L335" s="22" t="n">
        <v>3</v>
      </c>
      <c r="M335" s="11" t="n">
        <v>0.25</v>
      </c>
      <c r="N335" s="11" t="n">
        <v>0.01</v>
      </c>
      <c r="O335" s="7"/>
      <c r="P335" s="11" t="str">
        <f aca="false">IF(J335="%mo","",IF(G335="MO",IF(J335="hh",INDEX(MO_HH,MATCH(I335,MO_CAT,0)),M335*P_FACT_IPC),IF(G335="SUBPART",IFERROR(INDEX(APU_SUBP!$C$7:$C$40,MATCH(H335,APU_SUBP!$A$7:$A$40,0)),M335*P_FACT_IPC),M335*P_FACT_IPC)))</f>
        <v/>
      </c>
      <c r="Q335" s="11" t="n">
        <f aca="false">IF(J335="%mo",L335/100*SUMIFS($R$7:$R$782,$A$7:$A$782,A335),L335*P335)</f>
        <v>0.00573734356376639</v>
      </c>
      <c r="R335" s="11" t="n">
        <f aca="false">IF(G335="MO",L335*P335,0)</f>
        <v>0</v>
      </c>
    </row>
    <row r="336" customFormat="false" ht="15" hidden="false" customHeight="false" outlineLevel="0" collapsed="false">
      <c r="A336" s="9" t="s">
        <v>588</v>
      </c>
      <c r="B336" s="9" t="s">
        <v>483</v>
      </c>
      <c r="C336" s="9" t="s">
        <v>402</v>
      </c>
      <c r="D336" s="9" t="s">
        <v>589</v>
      </c>
      <c r="E336" s="9" t="s">
        <v>16</v>
      </c>
      <c r="F336" s="10" t="n">
        <v>0.32</v>
      </c>
      <c r="G336" s="9" t="s">
        <v>281</v>
      </c>
      <c r="H336" s="9" t="s">
        <v>282</v>
      </c>
      <c r="I336" s="9" t="s">
        <v>107</v>
      </c>
      <c r="J336" s="9" t="s">
        <v>283</v>
      </c>
      <c r="K336" s="31" t="n">
        <v>0.1</v>
      </c>
      <c r="L336" s="31" t="n">
        <v>0.0016</v>
      </c>
      <c r="M336" s="10" t="n">
        <v>25.81</v>
      </c>
      <c r="N336" s="10" t="n">
        <v>0.04</v>
      </c>
      <c r="O336" s="9" t="s">
        <v>284</v>
      </c>
      <c r="P336" s="11" t="n">
        <f aca="false">IF(J336="%mo","",IF(G336="MO",IF(J336="hh",INDEX(MO_HH,MATCH(I336,MO_CAT,0)),M336*P_FACT_IPC),IF(G336="SUBPART",IFERROR(INDEX(APU_SUBP!$C$7:$C$40,MATCH(H336,APU_SUBP!$A$7:$A$40,0)),M336*P_FACT_IPC),M336*P_FACT_IPC)))</f>
        <v>19.226758045292</v>
      </c>
      <c r="Q336" s="11" t="n">
        <f aca="false">IF(J336="%mo",L336/100*SUMIFS($R$7:$R$782,$A$7:$A$782,A336),L336*P336)</f>
        <v>0.0307628128724672</v>
      </c>
      <c r="R336" s="11" t="n">
        <f aca="false">IF(G336="MO",L336*P336,0)</f>
        <v>0.0307628128724672</v>
      </c>
    </row>
    <row r="337" customFormat="false" ht="15" hidden="false" customHeight="false" outlineLevel="0" collapsed="false">
      <c r="A337" s="7" t="s">
        <v>588</v>
      </c>
      <c r="B337" s="7" t="s">
        <v>483</v>
      </c>
      <c r="C337" s="7" t="s">
        <v>402</v>
      </c>
      <c r="D337" s="7" t="s">
        <v>589</v>
      </c>
      <c r="E337" s="7" t="s">
        <v>16</v>
      </c>
      <c r="F337" s="11" t="n">
        <v>0.32</v>
      </c>
      <c r="G337" s="7" t="s">
        <v>281</v>
      </c>
      <c r="H337" s="7" t="s">
        <v>286</v>
      </c>
      <c r="I337" s="7" t="s">
        <v>122</v>
      </c>
      <c r="J337" s="7" t="s">
        <v>283</v>
      </c>
      <c r="K337" s="22" t="n">
        <v>1</v>
      </c>
      <c r="L337" s="22" t="n">
        <v>0.016</v>
      </c>
      <c r="M337" s="11" t="n">
        <v>16.78</v>
      </c>
      <c r="N337" s="11" t="n">
        <v>0.27</v>
      </c>
      <c r="O337" s="7" t="s">
        <v>287</v>
      </c>
      <c r="P337" s="11" t="n">
        <f aca="false">IF(J337="%mo","",IF(G337="MO",IF(J337="hh",INDEX(MO_HH,MATCH(I337,MO_CAT,0)),M337*P_FACT_IPC),IF(G337="SUBPART",IFERROR(INDEX(APU_SUBP!$C$7:$C$40,MATCH(H337,APU_SUBP!$A$7:$A$40,0)),M337*P_FACT_IPC),M337*P_FACT_IPC)))</f>
        <v>12.5</v>
      </c>
      <c r="Q337" s="11" t="n">
        <f aca="false">IF(J337="%mo",L337/100*SUMIFS($R$7:$R$782,$A$7:$A$782,A337),L337*P337)</f>
        <v>0.2</v>
      </c>
      <c r="R337" s="11" t="n">
        <f aca="false">IF(G337="MO",L337*P337,0)</f>
        <v>0.2</v>
      </c>
    </row>
    <row r="338" customFormat="false" ht="15" hidden="false" customHeight="false" outlineLevel="0" collapsed="false">
      <c r="A338" s="9" t="s">
        <v>588</v>
      </c>
      <c r="B338" s="9" t="s">
        <v>483</v>
      </c>
      <c r="C338" s="9" t="s">
        <v>402</v>
      </c>
      <c r="D338" s="9" t="s">
        <v>589</v>
      </c>
      <c r="E338" s="9" t="s">
        <v>16</v>
      </c>
      <c r="F338" s="10" t="n">
        <v>0.32</v>
      </c>
      <c r="G338" s="9" t="s">
        <v>288</v>
      </c>
      <c r="H338" s="9" t="s">
        <v>327</v>
      </c>
      <c r="I338" s="9" t="s">
        <v>328</v>
      </c>
      <c r="J338" s="9" t="s">
        <v>329</v>
      </c>
      <c r="K338" s="31"/>
      <c r="L338" s="31" t="n">
        <v>3</v>
      </c>
      <c r="M338" s="10" t="n">
        <v>0.31</v>
      </c>
      <c r="N338" s="10" t="n">
        <v>0.01</v>
      </c>
      <c r="O338" s="9"/>
      <c r="P338" s="11" t="str">
        <f aca="false">IF(J338="%mo","",IF(G338="MO",IF(J338="hh",INDEX(MO_HH,MATCH(I338,MO_CAT,0)),M338*P_FACT_IPC),IF(G338="SUBPART",IFERROR(INDEX(APU_SUBP!$C$7:$C$40,MATCH(H338,APU_SUBP!$A$7:$A$40,0)),M338*P_FACT_IPC),M338*P_FACT_IPC)))</f>
        <v/>
      </c>
      <c r="Q338" s="11" t="n">
        <f aca="false">IF(J338="%mo",L338/100*SUMIFS($R$7:$R$782,$A$7:$A$782,A338),L338*P338)</f>
        <v>0.00692288438617402</v>
      </c>
      <c r="R338" s="11" t="n">
        <f aca="false">IF(G338="MO",L338*P338,0)</f>
        <v>0</v>
      </c>
    </row>
    <row r="339" customFormat="false" ht="15" hidden="false" customHeight="false" outlineLevel="0" collapsed="false">
      <c r="A339" s="7" t="s">
        <v>590</v>
      </c>
      <c r="B339" s="7" t="s">
        <v>483</v>
      </c>
      <c r="C339" s="7" t="s">
        <v>407</v>
      </c>
      <c r="D339" s="7" t="s">
        <v>591</v>
      </c>
      <c r="E339" s="7" t="s">
        <v>16</v>
      </c>
      <c r="F339" s="11" t="n">
        <v>0.25</v>
      </c>
      <c r="G339" s="7" t="s">
        <v>281</v>
      </c>
      <c r="H339" s="7" t="s">
        <v>282</v>
      </c>
      <c r="I339" s="7" t="s">
        <v>107</v>
      </c>
      <c r="J339" s="7" t="s">
        <v>283</v>
      </c>
      <c r="K339" s="22" t="n">
        <v>0.1</v>
      </c>
      <c r="L339" s="22" t="n">
        <v>0.0012</v>
      </c>
      <c r="M339" s="11" t="n">
        <v>25.81</v>
      </c>
      <c r="N339" s="11" t="n">
        <v>0.03</v>
      </c>
      <c r="O339" s="7" t="s">
        <v>284</v>
      </c>
      <c r="P339" s="11" t="n">
        <f aca="false">IF(J339="%mo","",IF(G339="MO",IF(J339="hh",INDEX(MO_HH,MATCH(I339,MO_CAT,0)),M339*P_FACT_IPC),IF(G339="SUBPART",IFERROR(INDEX(APU_SUBP!$C$7:$C$40,MATCH(H339,APU_SUBP!$A$7:$A$40,0)),M339*P_FACT_IPC),M339*P_FACT_IPC)))</f>
        <v>19.226758045292</v>
      </c>
      <c r="Q339" s="11" t="n">
        <f aca="false">IF(J339="%mo",L339/100*SUMIFS($R$7:$R$782,$A$7:$A$782,A339),L339*P339)</f>
        <v>0.0230721096543504</v>
      </c>
      <c r="R339" s="11" t="n">
        <f aca="false">IF(G339="MO",L339*P339,0)</f>
        <v>0.0230721096543504</v>
      </c>
    </row>
    <row r="340" customFormat="false" ht="15" hidden="false" customHeight="false" outlineLevel="0" collapsed="false">
      <c r="A340" s="9" t="s">
        <v>590</v>
      </c>
      <c r="B340" s="9" t="s">
        <v>483</v>
      </c>
      <c r="C340" s="9" t="s">
        <v>407</v>
      </c>
      <c r="D340" s="9" t="s">
        <v>591</v>
      </c>
      <c r="E340" s="9" t="s">
        <v>16</v>
      </c>
      <c r="F340" s="10" t="n">
        <v>0.25</v>
      </c>
      <c r="G340" s="9" t="s">
        <v>281</v>
      </c>
      <c r="H340" s="9" t="s">
        <v>286</v>
      </c>
      <c r="I340" s="9" t="s">
        <v>122</v>
      </c>
      <c r="J340" s="9" t="s">
        <v>283</v>
      </c>
      <c r="K340" s="31" t="n">
        <v>1</v>
      </c>
      <c r="L340" s="31" t="n">
        <v>0.0123</v>
      </c>
      <c r="M340" s="10" t="n">
        <v>16.78</v>
      </c>
      <c r="N340" s="10" t="n">
        <v>0.21</v>
      </c>
      <c r="O340" s="9" t="s">
        <v>287</v>
      </c>
      <c r="P340" s="11" t="n">
        <f aca="false">IF(J340="%mo","",IF(G340="MO",IF(J340="hh",INDEX(MO_HH,MATCH(I340,MO_CAT,0)),M340*P_FACT_IPC),IF(G340="SUBPART",IFERROR(INDEX(APU_SUBP!$C$7:$C$40,MATCH(H340,APU_SUBP!$A$7:$A$40,0)),M340*P_FACT_IPC),M340*P_FACT_IPC)))</f>
        <v>12.5</v>
      </c>
      <c r="Q340" s="11" t="n">
        <f aca="false">IF(J340="%mo",L340/100*SUMIFS($R$7:$R$782,$A$7:$A$782,A340),L340*P340)</f>
        <v>0.15375</v>
      </c>
      <c r="R340" s="11" t="n">
        <f aca="false">IF(G340="MO",L340*P340,0)</f>
        <v>0.15375</v>
      </c>
    </row>
    <row r="341" customFormat="false" ht="15" hidden="false" customHeight="false" outlineLevel="0" collapsed="false">
      <c r="A341" s="7" t="s">
        <v>590</v>
      </c>
      <c r="B341" s="7" t="s">
        <v>483</v>
      </c>
      <c r="C341" s="7" t="s">
        <v>407</v>
      </c>
      <c r="D341" s="7" t="s">
        <v>591</v>
      </c>
      <c r="E341" s="7" t="s">
        <v>16</v>
      </c>
      <c r="F341" s="11" t="n">
        <v>0.25</v>
      </c>
      <c r="G341" s="7" t="s">
        <v>288</v>
      </c>
      <c r="H341" s="7" t="s">
        <v>327</v>
      </c>
      <c r="I341" s="7" t="s">
        <v>328</v>
      </c>
      <c r="J341" s="7" t="s">
        <v>329</v>
      </c>
      <c r="K341" s="22"/>
      <c r="L341" s="22" t="n">
        <v>3</v>
      </c>
      <c r="M341" s="11" t="n">
        <v>0.24</v>
      </c>
      <c r="N341" s="11" t="n">
        <v>0.01</v>
      </c>
      <c r="O341" s="7"/>
      <c r="P341" s="11" t="str">
        <f aca="false">IF(J341="%mo","",IF(G341="MO",IF(J341="hh",INDEX(MO_HH,MATCH(I341,MO_CAT,0)),M341*P_FACT_IPC),IF(G341="SUBPART",IFERROR(INDEX(APU_SUBP!$C$7:$C$40,MATCH(H341,APU_SUBP!$A$7:$A$40,0)),M341*P_FACT_IPC),M341*P_FACT_IPC)))</f>
        <v/>
      </c>
      <c r="Q341" s="11" t="n">
        <f aca="false">IF(J341="%mo",L341/100*SUMIFS($R$7:$R$782,$A$7:$A$782,A341),L341*P341)</f>
        <v>0.00530466328963051</v>
      </c>
      <c r="R341" s="11" t="n">
        <f aca="false">IF(G341="MO",L341*P341,0)</f>
        <v>0</v>
      </c>
    </row>
    <row r="342" customFormat="false" ht="15" hidden="false" customHeight="false" outlineLevel="0" collapsed="false">
      <c r="A342" s="9" t="s">
        <v>592</v>
      </c>
      <c r="B342" s="9" t="s">
        <v>483</v>
      </c>
      <c r="C342" s="9" t="s">
        <v>413</v>
      </c>
      <c r="D342" s="9" t="s">
        <v>593</v>
      </c>
      <c r="E342" s="9" t="s">
        <v>16</v>
      </c>
      <c r="F342" s="10" t="n">
        <v>0.33</v>
      </c>
      <c r="G342" s="9" t="s">
        <v>281</v>
      </c>
      <c r="H342" s="9" t="s">
        <v>282</v>
      </c>
      <c r="I342" s="9" t="s">
        <v>107</v>
      </c>
      <c r="J342" s="9" t="s">
        <v>283</v>
      </c>
      <c r="K342" s="31" t="n">
        <v>0.1</v>
      </c>
      <c r="L342" s="31" t="n">
        <v>0.0017</v>
      </c>
      <c r="M342" s="10" t="n">
        <v>25.81</v>
      </c>
      <c r="N342" s="10" t="n">
        <v>0.04</v>
      </c>
      <c r="O342" s="9" t="s">
        <v>284</v>
      </c>
      <c r="P342" s="11" t="n">
        <f aca="false">IF(J342="%mo","",IF(G342="MO",IF(J342="hh",INDEX(MO_HH,MATCH(I342,MO_CAT,0)),M342*P_FACT_IPC),IF(G342="SUBPART",IFERROR(INDEX(APU_SUBP!$C$7:$C$40,MATCH(H342,APU_SUBP!$A$7:$A$40,0)),M342*P_FACT_IPC),M342*P_FACT_IPC)))</f>
        <v>19.226758045292</v>
      </c>
      <c r="Q342" s="11" t="n">
        <f aca="false">IF(J342="%mo",L342/100*SUMIFS($R$7:$R$782,$A$7:$A$782,A342),L342*P342)</f>
        <v>0.0326854886769964</v>
      </c>
      <c r="R342" s="11" t="n">
        <f aca="false">IF(G342="MO",L342*P342,0)</f>
        <v>0.0326854886769964</v>
      </c>
    </row>
    <row r="343" customFormat="false" ht="15" hidden="false" customHeight="false" outlineLevel="0" collapsed="false">
      <c r="A343" s="7" t="s">
        <v>592</v>
      </c>
      <c r="B343" s="7" t="s">
        <v>483</v>
      </c>
      <c r="C343" s="7" t="s">
        <v>413</v>
      </c>
      <c r="D343" s="7" t="s">
        <v>593</v>
      </c>
      <c r="E343" s="7" t="s">
        <v>16</v>
      </c>
      <c r="F343" s="11" t="n">
        <v>0.33</v>
      </c>
      <c r="G343" s="7" t="s">
        <v>281</v>
      </c>
      <c r="H343" s="7" t="s">
        <v>286</v>
      </c>
      <c r="I343" s="7" t="s">
        <v>122</v>
      </c>
      <c r="J343" s="7" t="s">
        <v>283</v>
      </c>
      <c r="K343" s="22" t="n">
        <v>1</v>
      </c>
      <c r="L343" s="22" t="n">
        <v>0.0167</v>
      </c>
      <c r="M343" s="11" t="n">
        <v>16.78</v>
      </c>
      <c r="N343" s="11" t="n">
        <v>0.28</v>
      </c>
      <c r="O343" s="7" t="s">
        <v>287</v>
      </c>
      <c r="P343" s="11" t="n">
        <f aca="false">IF(J343="%mo","",IF(G343="MO",IF(J343="hh",INDEX(MO_HH,MATCH(I343,MO_CAT,0)),M343*P_FACT_IPC),IF(G343="SUBPART",IFERROR(INDEX(APU_SUBP!$C$7:$C$40,MATCH(H343,APU_SUBP!$A$7:$A$40,0)),M343*P_FACT_IPC),M343*P_FACT_IPC)))</f>
        <v>12.5</v>
      </c>
      <c r="Q343" s="11" t="n">
        <f aca="false">IF(J343="%mo",L343/100*SUMIFS($R$7:$R$782,$A$7:$A$782,A343),L343*P343)</f>
        <v>0.20875</v>
      </c>
      <c r="R343" s="11" t="n">
        <f aca="false">IF(G343="MO",L343*P343,0)</f>
        <v>0.20875</v>
      </c>
    </row>
    <row r="344" customFormat="false" ht="15" hidden="false" customHeight="false" outlineLevel="0" collapsed="false">
      <c r="A344" s="9" t="s">
        <v>592</v>
      </c>
      <c r="B344" s="9" t="s">
        <v>483</v>
      </c>
      <c r="C344" s="9" t="s">
        <v>413</v>
      </c>
      <c r="D344" s="9" t="s">
        <v>593</v>
      </c>
      <c r="E344" s="9" t="s">
        <v>16</v>
      </c>
      <c r="F344" s="10" t="n">
        <v>0.33</v>
      </c>
      <c r="G344" s="9" t="s">
        <v>288</v>
      </c>
      <c r="H344" s="9" t="s">
        <v>327</v>
      </c>
      <c r="I344" s="9" t="s">
        <v>328</v>
      </c>
      <c r="J344" s="9" t="s">
        <v>329</v>
      </c>
      <c r="K344" s="31"/>
      <c r="L344" s="31" t="n">
        <v>3</v>
      </c>
      <c r="M344" s="10" t="n">
        <v>0.32</v>
      </c>
      <c r="N344" s="10" t="n">
        <v>0.01</v>
      </c>
      <c r="O344" s="9"/>
      <c r="P344" s="11" t="str">
        <f aca="false">IF(J344="%mo","",IF(G344="MO",IF(J344="hh",INDEX(MO_HH,MATCH(I344,MO_CAT,0)),M344*P_FACT_IPC),IF(G344="SUBPART",IFERROR(INDEX(APU_SUBP!$C$7:$C$40,MATCH(H344,APU_SUBP!$A$7:$A$40,0)),M344*P_FACT_IPC),M344*P_FACT_IPC)))</f>
        <v/>
      </c>
      <c r="Q344" s="11" t="n">
        <f aca="false">IF(J344="%mo",L344/100*SUMIFS($R$7:$R$782,$A$7:$A$782,A344),L344*P344)</f>
        <v>0.00724306466030989</v>
      </c>
      <c r="R344" s="11" t="n">
        <f aca="false">IF(G344="MO",L344*P344,0)</f>
        <v>0</v>
      </c>
    </row>
    <row r="345" customFormat="false" ht="15" hidden="false" customHeight="false" outlineLevel="0" collapsed="false">
      <c r="A345" s="7" t="s">
        <v>594</v>
      </c>
      <c r="B345" s="7" t="s">
        <v>483</v>
      </c>
      <c r="C345" s="7" t="s">
        <v>418</v>
      </c>
      <c r="D345" s="7" t="s">
        <v>414</v>
      </c>
      <c r="E345" s="7" t="s">
        <v>341</v>
      </c>
      <c r="F345" s="11" t="n">
        <v>0.81</v>
      </c>
      <c r="G345" s="7" t="s">
        <v>281</v>
      </c>
      <c r="H345" s="7" t="s">
        <v>282</v>
      </c>
      <c r="I345" s="7" t="s">
        <v>107</v>
      </c>
      <c r="J345" s="7" t="s">
        <v>283</v>
      </c>
      <c r="K345" s="22" t="n">
        <v>0.1</v>
      </c>
      <c r="L345" s="22" t="n">
        <v>0.004</v>
      </c>
      <c r="M345" s="11" t="n">
        <v>25.81</v>
      </c>
      <c r="N345" s="11" t="n">
        <v>0.1</v>
      </c>
      <c r="O345" s="7" t="s">
        <v>284</v>
      </c>
      <c r="P345" s="11" t="n">
        <f aca="false">IF(J345="%mo","",IF(G345="MO",IF(J345="hh",INDEX(MO_HH,MATCH(I345,MO_CAT,0)),M345*P_FACT_IPC),IF(G345="SUBPART",IFERROR(INDEX(APU_SUBP!$C$7:$C$40,MATCH(H345,APU_SUBP!$A$7:$A$40,0)),M345*P_FACT_IPC),M345*P_FACT_IPC)))</f>
        <v>19.226758045292</v>
      </c>
      <c r="Q345" s="11" t="n">
        <f aca="false">IF(J345="%mo",L345/100*SUMIFS($R$7:$R$782,$A$7:$A$782,A345),L345*P345)</f>
        <v>0.0769070321811681</v>
      </c>
      <c r="R345" s="11" t="n">
        <f aca="false">IF(G345="MO",L345*P345,0)</f>
        <v>0.0769070321811681</v>
      </c>
    </row>
    <row r="346" customFormat="false" ht="15" hidden="false" customHeight="false" outlineLevel="0" collapsed="false">
      <c r="A346" s="9" t="s">
        <v>594</v>
      </c>
      <c r="B346" s="9" t="s">
        <v>483</v>
      </c>
      <c r="C346" s="9" t="s">
        <v>418</v>
      </c>
      <c r="D346" s="9" t="s">
        <v>414</v>
      </c>
      <c r="E346" s="9" t="s">
        <v>341</v>
      </c>
      <c r="F346" s="10" t="n">
        <v>0.81</v>
      </c>
      <c r="G346" s="9" t="s">
        <v>281</v>
      </c>
      <c r="H346" s="9" t="s">
        <v>286</v>
      </c>
      <c r="I346" s="9" t="s">
        <v>122</v>
      </c>
      <c r="J346" s="9" t="s">
        <v>283</v>
      </c>
      <c r="K346" s="31" t="n">
        <v>1</v>
      </c>
      <c r="L346" s="31" t="n">
        <v>0.04</v>
      </c>
      <c r="M346" s="10" t="n">
        <v>16.78</v>
      </c>
      <c r="N346" s="10" t="n">
        <v>0.67</v>
      </c>
      <c r="O346" s="9" t="s">
        <v>287</v>
      </c>
      <c r="P346" s="11" t="n">
        <f aca="false">IF(J346="%mo","",IF(G346="MO",IF(J346="hh",INDEX(MO_HH,MATCH(I346,MO_CAT,0)),M346*P_FACT_IPC),IF(G346="SUBPART",IFERROR(INDEX(APU_SUBP!$C$7:$C$40,MATCH(H346,APU_SUBP!$A$7:$A$40,0)),M346*P_FACT_IPC),M346*P_FACT_IPC)))</f>
        <v>12.5</v>
      </c>
      <c r="Q346" s="11" t="n">
        <f aca="false">IF(J346="%mo",L346/100*SUMIFS($R$7:$R$782,$A$7:$A$782,A346),L346*P346)</f>
        <v>0.5</v>
      </c>
      <c r="R346" s="11" t="n">
        <f aca="false">IF(G346="MO",L346*P346,0)</f>
        <v>0.5</v>
      </c>
    </row>
    <row r="347" customFormat="false" ht="15" hidden="false" customHeight="false" outlineLevel="0" collapsed="false">
      <c r="A347" s="7" t="s">
        <v>594</v>
      </c>
      <c r="B347" s="7" t="s">
        <v>483</v>
      </c>
      <c r="C347" s="7" t="s">
        <v>418</v>
      </c>
      <c r="D347" s="7" t="s">
        <v>414</v>
      </c>
      <c r="E347" s="7" t="s">
        <v>341</v>
      </c>
      <c r="F347" s="11" t="n">
        <v>0.81</v>
      </c>
      <c r="G347" s="7" t="s">
        <v>288</v>
      </c>
      <c r="H347" s="7" t="s">
        <v>327</v>
      </c>
      <c r="I347" s="7" t="s">
        <v>328</v>
      </c>
      <c r="J347" s="7" t="s">
        <v>329</v>
      </c>
      <c r="K347" s="22"/>
      <c r="L347" s="22" t="n">
        <v>3</v>
      </c>
      <c r="M347" s="11" t="n">
        <v>0.77</v>
      </c>
      <c r="N347" s="11" t="n">
        <v>0.02</v>
      </c>
      <c r="O347" s="7"/>
      <c r="P347" s="11" t="str">
        <f aca="false">IF(J347="%mo","",IF(G347="MO",IF(J347="hh",INDEX(MO_HH,MATCH(I347,MO_CAT,0)),M347*P_FACT_IPC),IF(G347="SUBPART",IFERROR(INDEX(APU_SUBP!$C$7:$C$40,MATCH(H347,APU_SUBP!$A$7:$A$40,0)),M347*P_FACT_IPC),M347*P_FACT_IPC)))</f>
        <v/>
      </c>
      <c r="Q347" s="11" t="n">
        <f aca="false">IF(J347="%mo",L347/100*SUMIFS($R$7:$R$782,$A$7:$A$782,A347),L347*P347)</f>
        <v>0.017307210965435</v>
      </c>
      <c r="R347" s="11" t="n">
        <f aca="false">IF(G347="MO",L347*P347,0)</f>
        <v>0</v>
      </c>
    </row>
    <row r="348" customFormat="false" ht="15" hidden="false" customHeight="false" outlineLevel="0" collapsed="false">
      <c r="A348" s="9" t="s">
        <v>594</v>
      </c>
      <c r="B348" s="9" t="s">
        <v>483</v>
      </c>
      <c r="C348" s="9" t="s">
        <v>418</v>
      </c>
      <c r="D348" s="9" t="s">
        <v>414</v>
      </c>
      <c r="E348" s="9" t="s">
        <v>341</v>
      </c>
      <c r="F348" s="10" t="n">
        <v>0.81</v>
      </c>
      <c r="G348" s="9" t="s">
        <v>370</v>
      </c>
      <c r="H348" s="9" t="s">
        <v>415</v>
      </c>
      <c r="I348" s="9" t="s">
        <v>416</v>
      </c>
      <c r="J348" s="9" t="s">
        <v>273</v>
      </c>
      <c r="K348" s="31"/>
      <c r="L348" s="31" t="n">
        <v>0.001</v>
      </c>
      <c r="M348" s="10" t="n">
        <v>21.15</v>
      </c>
      <c r="N348" s="10" t="n">
        <v>0.02</v>
      </c>
      <c r="O348" s="9"/>
      <c r="P348" s="11" t="n">
        <f aca="false">IF(J348="%mo","",IF(G348="MO",IF(J348="hh",INDEX(MO_HH,MATCH(I348,MO_CAT,0)),M348*P_FACT_IPC),IF(G348="SUBPART",IFERROR(INDEX(APU_SUBP!$C$7:$C$40,MATCH(H348,APU_SUBP!$A$7:$A$40,0)),M348*P_FACT_IPC),M348*P_FACT_IPC)))</f>
        <v>22.7438822970285</v>
      </c>
      <c r="Q348" s="11" t="n">
        <f aca="false">IF(J348="%mo",L348/100*SUMIFS($R$7:$R$782,$A$7:$A$782,A348),L348*P348)</f>
        <v>0.0227438822970285</v>
      </c>
      <c r="R348" s="11" t="n">
        <f aca="false">IF(G348="MO",L348*P348,0)</f>
        <v>0</v>
      </c>
    </row>
    <row r="349" customFormat="false" ht="15" hidden="false" customHeight="false" outlineLevel="0" collapsed="false">
      <c r="A349" s="7" t="s">
        <v>595</v>
      </c>
      <c r="B349" s="7" t="s">
        <v>483</v>
      </c>
      <c r="C349" s="7" t="s">
        <v>431</v>
      </c>
      <c r="D349" s="7" t="s">
        <v>596</v>
      </c>
      <c r="E349" s="7" t="s">
        <v>16</v>
      </c>
      <c r="F349" s="11" t="n">
        <v>1.53</v>
      </c>
      <c r="G349" s="7" t="s">
        <v>281</v>
      </c>
      <c r="H349" s="7" t="s">
        <v>282</v>
      </c>
      <c r="I349" s="7" t="s">
        <v>107</v>
      </c>
      <c r="J349" s="7" t="s">
        <v>283</v>
      </c>
      <c r="K349" s="22" t="n">
        <v>1</v>
      </c>
      <c r="L349" s="22" t="n">
        <v>0.0017</v>
      </c>
      <c r="M349" s="11" t="n">
        <v>25.81</v>
      </c>
      <c r="N349" s="11" t="n">
        <v>0.04</v>
      </c>
      <c r="O349" s="7" t="s">
        <v>284</v>
      </c>
      <c r="P349" s="11" t="n">
        <f aca="false">IF(J349="%mo","",IF(G349="MO",IF(J349="hh",INDEX(MO_HH,MATCH(I349,MO_CAT,0)),M349*P_FACT_IPC),IF(G349="SUBPART",IFERROR(INDEX(APU_SUBP!$C$7:$C$40,MATCH(H349,APU_SUBP!$A$7:$A$40,0)),M349*P_FACT_IPC),M349*P_FACT_IPC)))</f>
        <v>19.226758045292</v>
      </c>
      <c r="Q349" s="11" t="n">
        <f aca="false">IF(J349="%mo",L349/100*SUMIFS($R$7:$R$782,$A$7:$A$782,A349),L349*P349)</f>
        <v>0.0326854886769964</v>
      </c>
      <c r="R349" s="11" t="n">
        <f aca="false">IF(G349="MO",L349*P349,0)</f>
        <v>0.0326854886769964</v>
      </c>
    </row>
    <row r="350" customFormat="false" ht="15" hidden="false" customHeight="false" outlineLevel="0" collapsed="false">
      <c r="A350" s="9" t="s">
        <v>595</v>
      </c>
      <c r="B350" s="9" t="s">
        <v>483</v>
      </c>
      <c r="C350" s="9" t="s">
        <v>431</v>
      </c>
      <c r="D350" s="9" t="s">
        <v>596</v>
      </c>
      <c r="E350" s="9" t="s">
        <v>16</v>
      </c>
      <c r="F350" s="10" t="n">
        <v>1.53</v>
      </c>
      <c r="G350" s="9" t="s">
        <v>281</v>
      </c>
      <c r="H350" s="9" t="s">
        <v>286</v>
      </c>
      <c r="I350" s="9" t="s">
        <v>122</v>
      </c>
      <c r="J350" s="9" t="s">
        <v>283</v>
      </c>
      <c r="K350" s="31" t="n">
        <v>50</v>
      </c>
      <c r="L350" s="31" t="n">
        <v>0.0864</v>
      </c>
      <c r="M350" s="10" t="n">
        <v>16.78</v>
      </c>
      <c r="N350" s="10" t="n">
        <v>1.45</v>
      </c>
      <c r="O350" s="9" t="s">
        <v>287</v>
      </c>
      <c r="P350" s="11" t="n">
        <f aca="false">IF(J350="%mo","",IF(G350="MO",IF(J350="hh",INDEX(MO_HH,MATCH(I350,MO_CAT,0)),M350*P_FACT_IPC),IF(G350="SUBPART",IFERROR(INDEX(APU_SUBP!$C$7:$C$40,MATCH(H350,APU_SUBP!$A$7:$A$40,0)),M350*P_FACT_IPC),M350*P_FACT_IPC)))</f>
        <v>12.5</v>
      </c>
      <c r="Q350" s="11" t="n">
        <f aca="false">IF(J350="%mo",L350/100*SUMIFS($R$7:$R$782,$A$7:$A$782,A350),L350*P350)</f>
        <v>1.08</v>
      </c>
      <c r="R350" s="11" t="n">
        <f aca="false">IF(G350="MO",L350*P350,0)</f>
        <v>1.08</v>
      </c>
    </row>
    <row r="351" customFormat="false" ht="15" hidden="false" customHeight="false" outlineLevel="0" collapsed="false">
      <c r="A351" s="7" t="s">
        <v>595</v>
      </c>
      <c r="B351" s="7" t="s">
        <v>483</v>
      </c>
      <c r="C351" s="7" t="s">
        <v>431</v>
      </c>
      <c r="D351" s="7" t="s">
        <v>596</v>
      </c>
      <c r="E351" s="7" t="s">
        <v>16</v>
      </c>
      <c r="F351" s="11" t="n">
        <v>1.53</v>
      </c>
      <c r="G351" s="7" t="s">
        <v>288</v>
      </c>
      <c r="H351" s="7" t="s">
        <v>327</v>
      </c>
      <c r="I351" s="7" t="s">
        <v>328</v>
      </c>
      <c r="J351" s="7" t="s">
        <v>329</v>
      </c>
      <c r="K351" s="22"/>
      <c r="L351" s="22" t="n">
        <v>3</v>
      </c>
      <c r="M351" s="11" t="n">
        <v>1.49</v>
      </c>
      <c r="N351" s="11" t="n">
        <v>0.04</v>
      </c>
      <c r="O351" s="7"/>
      <c r="P351" s="11" t="str">
        <f aca="false">IF(J351="%mo","",IF(G351="MO",IF(J351="hh",INDEX(MO_HH,MATCH(I351,MO_CAT,0)),M351*P_FACT_IPC),IF(G351="SUBPART",IFERROR(INDEX(APU_SUBP!$C$7:$C$40,MATCH(H351,APU_SUBP!$A$7:$A$40,0)),M351*P_FACT_IPC),M351*P_FACT_IPC)))</f>
        <v/>
      </c>
      <c r="Q351" s="11" t="n">
        <f aca="false">IF(J351="%mo",L351/100*SUMIFS($R$7:$R$782,$A$7:$A$782,A351),L351*P351)</f>
        <v>0.0333805646603099</v>
      </c>
      <c r="R351" s="11" t="n">
        <f aca="false">IF(G351="MO",L351*P351,0)</f>
        <v>0</v>
      </c>
    </row>
    <row r="352" customFormat="false" ht="15" hidden="false" customHeight="false" outlineLevel="0" collapsed="false">
      <c r="A352" s="9" t="s">
        <v>597</v>
      </c>
      <c r="B352" s="9" t="s">
        <v>483</v>
      </c>
      <c r="C352" s="9" t="s">
        <v>433</v>
      </c>
      <c r="D352" s="9" t="s">
        <v>598</v>
      </c>
      <c r="E352" s="9" t="s">
        <v>16</v>
      </c>
      <c r="F352" s="10" t="n">
        <v>0.38</v>
      </c>
      <c r="G352" s="9" t="s">
        <v>281</v>
      </c>
      <c r="H352" s="9" t="s">
        <v>285</v>
      </c>
      <c r="I352" s="9" t="s">
        <v>117</v>
      </c>
      <c r="J352" s="9" t="s">
        <v>283</v>
      </c>
      <c r="K352" s="31" t="n">
        <v>1</v>
      </c>
      <c r="L352" s="31" t="n">
        <v>0.0025</v>
      </c>
      <c r="M352" s="10" t="n">
        <v>18.56</v>
      </c>
      <c r="N352" s="10" t="n">
        <v>0.05</v>
      </c>
      <c r="O352" s="9" t="s">
        <v>284</v>
      </c>
      <c r="P352" s="11" t="n">
        <f aca="false">IF(J352="%mo","",IF(G352="MO",IF(J352="hh",INDEX(MO_HH,MATCH(I352,MO_CAT,0)),M352*P_FACT_IPC),IF(G352="SUBPART",IFERROR(INDEX(APU_SUBP!$C$7:$C$40,MATCH(H352,APU_SUBP!$A$7:$A$40,0)),M352*P_FACT_IPC),M352*P_FACT_IPC)))</f>
        <v>13.8259833134684</v>
      </c>
      <c r="Q352" s="11" t="n">
        <f aca="false">IF(J352="%mo",L352/100*SUMIFS($R$7:$R$782,$A$7:$A$782,A352),L352*P352)</f>
        <v>0.034564958283671</v>
      </c>
      <c r="R352" s="11" t="n">
        <f aca="false">IF(G352="MO",L352*P352,0)</f>
        <v>0.034564958283671</v>
      </c>
    </row>
    <row r="353" customFormat="false" ht="15" hidden="false" customHeight="false" outlineLevel="0" collapsed="false">
      <c r="A353" s="7" t="s">
        <v>597</v>
      </c>
      <c r="B353" s="7" t="s">
        <v>483</v>
      </c>
      <c r="C353" s="7" t="s">
        <v>433</v>
      </c>
      <c r="D353" s="7" t="s">
        <v>598</v>
      </c>
      <c r="E353" s="7" t="s">
        <v>16</v>
      </c>
      <c r="F353" s="11" t="n">
        <v>0.38</v>
      </c>
      <c r="G353" s="7" t="s">
        <v>281</v>
      </c>
      <c r="H353" s="7" t="s">
        <v>286</v>
      </c>
      <c r="I353" s="7" t="s">
        <v>122</v>
      </c>
      <c r="J353" s="7" t="s">
        <v>283</v>
      </c>
      <c r="K353" s="22" t="n">
        <v>4</v>
      </c>
      <c r="L353" s="22" t="n">
        <v>0.0099</v>
      </c>
      <c r="M353" s="11" t="n">
        <v>16.78</v>
      </c>
      <c r="N353" s="11" t="n">
        <v>0.17</v>
      </c>
      <c r="O353" s="7" t="s">
        <v>287</v>
      </c>
      <c r="P353" s="11" t="n">
        <f aca="false">IF(J353="%mo","",IF(G353="MO",IF(J353="hh",INDEX(MO_HH,MATCH(I353,MO_CAT,0)),M353*P_FACT_IPC),IF(G353="SUBPART",IFERROR(INDEX(APU_SUBP!$C$7:$C$40,MATCH(H353,APU_SUBP!$A$7:$A$40,0)),M353*P_FACT_IPC),M353*P_FACT_IPC)))</f>
        <v>12.5</v>
      </c>
      <c r="Q353" s="11" t="n">
        <f aca="false">IF(J353="%mo",L353/100*SUMIFS($R$7:$R$782,$A$7:$A$782,A353),L353*P353)</f>
        <v>0.12375</v>
      </c>
      <c r="R353" s="11" t="n">
        <f aca="false">IF(G353="MO",L353*P353,0)</f>
        <v>0.12375</v>
      </c>
    </row>
    <row r="354" customFormat="false" ht="15" hidden="false" customHeight="false" outlineLevel="0" collapsed="false">
      <c r="A354" s="9" t="s">
        <v>597</v>
      </c>
      <c r="B354" s="9" t="s">
        <v>483</v>
      </c>
      <c r="C354" s="9" t="s">
        <v>433</v>
      </c>
      <c r="D354" s="9" t="s">
        <v>598</v>
      </c>
      <c r="E354" s="9" t="s">
        <v>16</v>
      </c>
      <c r="F354" s="10" t="n">
        <v>0.38</v>
      </c>
      <c r="G354" s="9" t="s">
        <v>288</v>
      </c>
      <c r="H354" s="9" t="s">
        <v>404</v>
      </c>
      <c r="I354" s="9" t="s">
        <v>405</v>
      </c>
      <c r="J354" s="9" t="s">
        <v>291</v>
      </c>
      <c r="K354" s="31" t="n">
        <v>1</v>
      </c>
      <c r="L354" s="31" t="n">
        <v>0.0025</v>
      </c>
      <c r="M354" s="10" t="n">
        <v>65.48</v>
      </c>
      <c r="N354" s="10" t="n">
        <v>0.16</v>
      </c>
      <c r="O354" s="9"/>
      <c r="P354" s="11" t="n">
        <f aca="false">IF(J354="%mo","",IF(G354="MO",IF(J354="hh",INDEX(MO_HH,MATCH(I354,MO_CAT,0)),M354*P_FACT_IPC),IF(G354="SUBPART",IFERROR(INDEX(APU_SUBP!$C$7:$C$40,MATCH(H354,APU_SUBP!$A$7:$A$40,0)),M354*P_FACT_IPC),M354*P_FACT_IPC)))</f>
        <v>84.2266516704854</v>
      </c>
      <c r="Q354" s="11" t="n">
        <f aca="false">IF(J354="%mo",L354/100*SUMIFS($R$7:$R$782,$A$7:$A$782,A354),L354*P354)</f>
        <v>0.210566629176214</v>
      </c>
      <c r="R354" s="11" t="n">
        <f aca="false">IF(G354="MO",L354*P354,0)</f>
        <v>0</v>
      </c>
    </row>
    <row r="355" customFormat="false" ht="15" hidden="false" customHeight="false" outlineLevel="0" collapsed="false">
      <c r="A355" s="7" t="s">
        <v>599</v>
      </c>
      <c r="B355" s="7" t="s">
        <v>483</v>
      </c>
      <c r="C355" s="7" t="s">
        <v>435</v>
      </c>
      <c r="D355" s="7" t="s">
        <v>600</v>
      </c>
      <c r="E355" s="7" t="s">
        <v>12</v>
      </c>
      <c r="F355" s="11" t="n">
        <v>49.03</v>
      </c>
      <c r="G355" s="7" t="s">
        <v>281</v>
      </c>
      <c r="H355" s="7" t="s">
        <v>282</v>
      </c>
      <c r="I355" s="7" t="s">
        <v>107</v>
      </c>
      <c r="J355" s="7" t="s">
        <v>283</v>
      </c>
      <c r="K355" s="22" t="n">
        <v>1</v>
      </c>
      <c r="L355" s="22" t="n">
        <v>0.04</v>
      </c>
      <c r="M355" s="11" t="n">
        <v>25.81</v>
      </c>
      <c r="N355" s="11" t="n">
        <v>1.03</v>
      </c>
      <c r="O355" s="7" t="s">
        <v>284</v>
      </c>
      <c r="P355" s="11" t="n">
        <f aca="false">IF(J355="%mo","",IF(G355="MO",IF(J355="hh",INDEX(MO_HH,MATCH(I355,MO_CAT,0)),M355*P_FACT_IPC),IF(G355="SUBPART",IFERROR(INDEX(APU_SUBP!$C$7:$C$40,MATCH(H355,APU_SUBP!$A$7:$A$40,0)),M355*P_FACT_IPC),M355*P_FACT_IPC)))</f>
        <v>19.226758045292</v>
      </c>
      <c r="Q355" s="11" t="n">
        <f aca="false">IF(J355="%mo",L355/100*SUMIFS($R$7:$R$782,$A$7:$A$782,A355),L355*P355)</f>
        <v>0.769070321811681</v>
      </c>
      <c r="R355" s="11" t="n">
        <f aca="false">IF(G355="MO",L355*P355,0)</f>
        <v>0.769070321811681</v>
      </c>
    </row>
    <row r="356" customFormat="false" ht="15" hidden="false" customHeight="false" outlineLevel="0" collapsed="false">
      <c r="A356" s="9" t="s">
        <v>599</v>
      </c>
      <c r="B356" s="9" t="s">
        <v>483</v>
      </c>
      <c r="C356" s="9" t="s">
        <v>435</v>
      </c>
      <c r="D356" s="9" t="s">
        <v>600</v>
      </c>
      <c r="E356" s="9" t="s">
        <v>12</v>
      </c>
      <c r="F356" s="10" t="n">
        <v>49.03</v>
      </c>
      <c r="G356" s="9" t="s">
        <v>281</v>
      </c>
      <c r="H356" s="9" t="s">
        <v>286</v>
      </c>
      <c r="I356" s="9" t="s">
        <v>122</v>
      </c>
      <c r="J356" s="9" t="s">
        <v>283</v>
      </c>
      <c r="K356" s="31" t="n">
        <v>50</v>
      </c>
      <c r="L356" s="31" t="n">
        <v>2</v>
      </c>
      <c r="M356" s="10" t="n">
        <v>16.78</v>
      </c>
      <c r="N356" s="10" t="n">
        <v>33.56</v>
      </c>
      <c r="O356" s="9" t="s">
        <v>287</v>
      </c>
      <c r="P356" s="11" t="n">
        <f aca="false">IF(J356="%mo","",IF(G356="MO",IF(J356="hh",INDEX(MO_HH,MATCH(I356,MO_CAT,0)),M356*P_FACT_IPC),IF(G356="SUBPART",IFERROR(INDEX(APU_SUBP!$C$7:$C$40,MATCH(H356,APU_SUBP!$A$7:$A$40,0)),M356*P_FACT_IPC),M356*P_FACT_IPC)))</f>
        <v>12.5</v>
      </c>
      <c r="Q356" s="11" t="n">
        <f aca="false">IF(J356="%mo",L356/100*SUMIFS($R$7:$R$782,$A$7:$A$782,A356),L356*P356)</f>
        <v>25</v>
      </c>
      <c r="R356" s="11" t="n">
        <f aca="false">IF(G356="MO",L356*P356,0)</f>
        <v>25</v>
      </c>
    </row>
    <row r="357" customFormat="false" ht="15" hidden="false" customHeight="false" outlineLevel="0" collapsed="false">
      <c r="A357" s="7" t="s">
        <v>599</v>
      </c>
      <c r="B357" s="7" t="s">
        <v>483</v>
      </c>
      <c r="C357" s="7" t="s">
        <v>435</v>
      </c>
      <c r="D357" s="7" t="s">
        <v>600</v>
      </c>
      <c r="E357" s="7" t="s">
        <v>12</v>
      </c>
      <c r="F357" s="11" t="n">
        <v>49.03</v>
      </c>
      <c r="G357" s="7" t="s">
        <v>307</v>
      </c>
      <c r="H357" s="7" t="s">
        <v>601</v>
      </c>
      <c r="I357" s="7" t="s">
        <v>602</v>
      </c>
      <c r="J357" s="7" t="s">
        <v>411</v>
      </c>
      <c r="K357" s="22"/>
      <c r="L357" s="22" t="n">
        <v>0.5</v>
      </c>
      <c r="M357" s="11" t="n">
        <v>18.64</v>
      </c>
      <c r="N357" s="11" t="n">
        <v>9.32</v>
      </c>
      <c r="O357" s="7"/>
      <c r="P357" s="11" t="n">
        <f aca="false">IF(J357="%mo","",IF(G357="MO",IF(J357="hh",INDEX(MO_HH,MATCH(I357,MO_CAT,0)),M357*P_FACT_IPC),IF(G357="SUBPART",IFERROR(INDEX(APU_SUBP!$C$7:$C$40,MATCH(H357,APU_SUBP!$A$7:$A$40,0)),M357*P_FACT_IPC),M357*P_FACT_IPC)))</f>
        <v>23.9765544767539</v>
      </c>
      <c r="Q357" s="11" t="n">
        <f aca="false">IF(J357="%mo",L357/100*SUMIFS($R$7:$R$782,$A$7:$A$782,A357),L357*P357)</f>
        <v>11.988277238377</v>
      </c>
      <c r="R357" s="11" t="n">
        <f aca="false">IF(G357="MO",L357*P357,0)</f>
        <v>0</v>
      </c>
    </row>
    <row r="358" customFormat="false" ht="15" hidden="false" customHeight="false" outlineLevel="0" collapsed="false">
      <c r="A358" s="9" t="s">
        <v>599</v>
      </c>
      <c r="B358" s="9" t="s">
        <v>483</v>
      </c>
      <c r="C358" s="9" t="s">
        <v>435</v>
      </c>
      <c r="D358" s="9" t="s">
        <v>600</v>
      </c>
      <c r="E358" s="9" t="s">
        <v>12</v>
      </c>
      <c r="F358" s="10" t="n">
        <v>49.03</v>
      </c>
      <c r="G358" s="9" t="s">
        <v>288</v>
      </c>
      <c r="H358" s="9" t="s">
        <v>603</v>
      </c>
      <c r="I358" s="9" t="s">
        <v>604</v>
      </c>
      <c r="J358" s="9" t="s">
        <v>322</v>
      </c>
      <c r="K358" s="31" t="n">
        <v>50</v>
      </c>
      <c r="L358" s="31" t="n">
        <v>2</v>
      </c>
      <c r="M358" s="10" t="n">
        <v>2.35</v>
      </c>
      <c r="N358" s="10" t="n">
        <v>4.7</v>
      </c>
      <c r="O358" s="9"/>
      <c r="P358" s="11" t="n">
        <f aca="false">IF(J358="%mo","",IF(G358="MO",IF(J358="hh",INDEX(MO_HH,MATCH(I358,MO_CAT,0)),M358*P_FACT_IPC),IF(G358="SUBPART",IFERROR(INDEX(APU_SUBP!$C$7:$C$40,MATCH(H358,APU_SUBP!$A$7:$A$40,0)),M358*P_FACT_IPC),M358*P_FACT_IPC)))</f>
        <v>3.02279522641479</v>
      </c>
      <c r="Q358" s="11" t="n">
        <f aca="false">IF(J358="%mo",L358/100*SUMIFS($R$7:$R$782,$A$7:$A$782,A358),L358*P358)</f>
        <v>6.04559045282959</v>
      </c>
      <c r="R358" s="11" t="n">
        <f aca="false">IF(G358="MO",L358*P358,0)</f>
        <v>0</v>
      </c>
    </row>
    <row r="359" customFormat="false" ht="15" hidden="false" customHeight="false" outlineLevel="0" collapsed="false">
      <c r="A359" s="7" t="s">
        <v>599</v>
      </c>
      <c r="B359" s="7" t="s">
        <v>483</v>
      </c>
      <c r="C359" s="7" t="s">
        <v>435</v>
      </c>
      <c r="D359" s="7" t="s">
        <v>600</v>
      </c>
      <c r="E359" s="7" t="s">
        <v>12</v>
      </c>
      <c r="F359" s="11" t="n">
        <v>49.03</v>
      </c>
      <c r="G359" s="7" t="s">
        <v>370</v>
      </c>
      <c r="H359" s="7" t="s">
        <v>415</v>
      </c>
      <c r="I359" s="7" t="s">
        <v>416</v>
      </c>
      <c r="J359" s="7" t="s">
        <v>273</v>
      </c>
      <c r="K359" s="22"/>
      <c r="L359" s="22" t="n">
        <v>0.02</v>
      </c>
      <c r="M359" s="11" t="n">
        <v>21.15</v>
      </c>
      <c r="N359" s="11" t="n">
        <v>0.42</v>
      </c>
      <c r="O359" s="7"/>
      <c r="P359" s="11" t="n">
        <f aca="false">IF(J359="%mo","",IF(G359="MO",IF(J359="hh",INDEX(MO_HH,MATCH(I359,MO_CAT,0)),M359*P_FACT_IPC),IF(G359="SUBPART",IFERROR(INDEX(APU_SUBP!$C$7:$C$40,MATCH(H359,APU_SUBP!$A$7:$A$40,0)),M359*P_FACT_IPC),M359*P_FACT_IPC)))</f>
        <v>22.7438822970285</v>
      </c>
      <c r="Q359" s="11" t="n">
        <f aca="false">IF(J359="%mo",L359/100*SUMIFS($R$7:$R$782,$A$7:$A$782,A359),L359*P359)</f>
        <v>0.45487764594057</v>
      </c>
      <c r="R359" s="11" t="n">
        <f aca="false">IF(G359="MO",L359*P359,0)</f>
        <v>0</v>
      </c>
    </row>
    <row r="360" customFormat="false" ht="15" hidden="false" customHeight="false" outlineLevel="0" collapsed="false">
      <c r="A360" s="9" t="s">
        <v>605</v>
      </c>
      <c r="B360" s="9" t="s">
        <v>483</v>
      </c>
      <c r="C360" s="9" t="s">
        <v>437</v>
      </c>
      <c r="D360" s="9" t="s">
        <v>606</v>
      </c>
      <c r="E360" s="9" t="s">
        <v>16</v>
      </c>
      <c r="F360" s="10" t="n">
        <v>1.82</v>
      </c>
      <c r="G360" s="9" t="s">
        <v>281</v>
      </c>
      <c r="H360" s="9" t="s">
        <v>282</v>
      </c>
      <c r="I360" s="9" t="s">
        <v>107</v>
      </c>
      <c r="J360" s="9" t="s">
        <v>283</v>
      </c>
      <c r="K360" s="31" t="n">
        <v>1</v>
      </c>
      <c r="L360" s="31" t="n">
        <v>0.0008</v>
      </c>
      <c r="M360" s="10" t="n">
        <v>25.81</v>
      </c>
      <c r="N360" s="10" t="n">
        <v>0.02</v>
      </c>
      <c r="O360" s="9" t="s">
        <v>284</v>
      </c>
      <c r="P360" s="11" t="n">
        <f aca="false">IF(J360="%mo","",IF(G360="MO",IF(J360="hh",INDEX(MO_HH,MATCH(I360,MO_CAT,0)),M360*P_FACT_IPC),IF(G360="SUBPART",IFERROR(INDEX(APU_SUBP!$C$7:$C$40,MATCH(H360,APU_SUBP!$A$7:$A$40,0)),M360*P_FACT_IPC),M360*P_FACT_IPC)))</f>
        <v>19.226758045292</v>
      </c>
      <c r="Q360" s="11" t="n">
        <f aca="false">IF(J360="%mo",L360/100*SUMIFS($R$7:$R$782,$A$7:$A$782,A360),L360*P360)</f>
        <v>0.0153814064362336</v>
      </c>
      <c r="R360" s="11" t="n">
        <f aca="false">IF(G360="MO",L360*P360,0)</f>
        <v>0.0153814064362336</v>
      </c>
    </row>
    <row r="361" customFormat="false" ht="15" hidden="false" customHeight="false" outlineLevel="0" collapsed="false">
      <c r="A361" s="7" t="s">
        <v>605</v>
      </c>
      <c r="B361" s="7" t="s">
        <v>483</v>
      </c>
      <c r="C361" s="7" t="s">
        <v>437</v>
      </c>
      <c r="D361" s="7" t="s">
        <v>606</v>
      </c>
      <c r="E361" s="7" t="s">
        <v>16</v>
      </c>
      <c r="F361" s="11" t="n">
        <v>1.82</v>
      </c>
      <c r="G361" s="7" t="s">
        <v>281</v>
      </c>
      <c r="H361" s="7" t="s">
        <v>286</v>
      </c>
      <c r="I361" s="7" t="s">
        <v>122</v>
      </c>
      <c r="J361" s="7" t="s">
        <v>283</v>
      </c>
      <c r="K361" s="22" t="n">
        <v>50</v>
      </c>
      <c r="L361" s="22" t="n">
        <v>0.04</v>
      </c>
      <c r="M361" s="11" t="n">
        <v>16.78</v>
      </c>
      <c r="N361" s="11" t="n">
        <v>0.67</v>
      </c>
      <c r="O361" s="7" t="s">
        <v>287</v>
      </c>
      <c r="P361" s="11" t="n">
        <f aca="false">IF(J361="%mo","",IF(G361="MO",IF(J361="hh",INDEX(MO_HH,MATCH(I361,MO_CAT,0)),M361*P_FACT_IPC),IF(G361="SUBPART",IFERROR(INDEX(APU_SUBP!$C$7:$C$40,MATCH(H361,APU_SUBP!$A$7:$A$40,0)),M361*P_FACT_IPC),M361*P_FACT_IPC)))</f>
        <v>12.5</v>
      </c>
      <c r="Q361" s="11" t="n">
        <f aca="false">IF(J361="%mo",L361/100*SUMIFS($R$7:$R$782,$A$7:$A$782,A361),L361*P361)</f>
        <v>0.5</v>
      </c>
      <c r="R361" s="11" t="n">
        <f aca="false">IF(G361="MO",L361*P361,0)</f>
        <v>0.5</v>
      </c>
    </row>
    <row r="362" customFormat="false" ht="15" hidden="false" customHeight="false" outlineLevel="0" collapsed="false">
      <c r="A362" s="9" t="s">
        <v>605</v>
      </c>
      <c r="B362" s="9" t="s">
        <v>483</v>
      </c>
      <c r="C362" s="9" t="s">
        <v>437</v>
      </c>
      <c r="D362" s="9" t="s">
        <v>606</v>
      </c>
      <c r="E362" s="9" t="s">
        <v>16</v>
      </c>
      <c r="F362" s="10" t="n">
        <v>1.82</v>
      </c>
      <c r="G362" s="9" t="s">
        <v>307</v>
      </c>
      <c r="H362" s="9" t="s">
        <v>607</v>
      </c>
      <c r="I362" s="9" t="s">
        <v>608</v>
      </c>
      <c r="J362" s="9" t="s">
        <v>361</v>
      </c>
      <c r="K362" s="31"/>
      <c r="L362" s="31" t="n">
        <v>0.1</v>
      </c>
      <c r="M362" s="10" t="n">
        <v>3.3</v>
      </c>
      <c r="N362" s="10" t="n">
        <v>0.33</v>
      </c>
      <c r="O362" s="9"/>
      <c r="P362" s="11" t="n">
        <f aca="false">IF(J362="%mo","",IF(G362="MO",IF(J362="hh",INDEX(MO_HH,MATCH(I362,MO_CAT,0)),M362*P_FACT_IPC),IF(G362="SUBPART",IFERROR(INDEX(APU_SUBP!$C$7:$C$40,MATCH(H362,APU_SUBP!$A$7:$A$40,0)),M362*P_FACT_IPC),M362*P_FACT_IPC)))</f>
        <v>4.24477627539099</v>
      </c>
      <c r="Q362" s="11" t="n">
        <f aca="false">IF(J362="%mo",L362/100*SUMIFS($R$7:$R$782,$A$7:$A$782,A362),L362*P362)</f>
        <v>0.424477627539099</v>
      </c>
      <c r="R362" s="11" t="n">
        <f aca="false">IF(G362="MO",L362*P362,0)</f>
        <v>0</v>
      </c>
    </row>
    <row r="363" customFormat="false" ht="15" hidden="false" customHeight="false" outlineLevel="0" collapsed="false">
      <c r="A363" s="7" t="s">
        <v>605</v>
      </c>
      <c r="B363" s="7" t="s">
        <v>483</v>
      </c>
      <c r="C363" s="7" t="s">
        <v>437</v>
      </c>
      <c r="D363" s="7" t="s">
        <v>606</v>
      </c>
      <c r="E363" s="7" t="s">
        <v>16</v>
      </c>
      <c r="F363" s="11" t="n">
        <v>1.82</v>
      </c>
      <c r="G363" s="7" t="s">
        <v>307</v>
      </c>
      <c r="H363" s="7" t="s">
        <v>395</v>
      </c>
      <c r="I363" s="7" t="s">
        <v>396</v>
      </c>
      <c r="J363" s="7" t="s">
        <v>361</v>
      </c>
      <c r="K363" s="22"/>
      <c r="L363" s="22" t="n">
        <v>0.03</v>
      </c>
      <c r="M363" s="11" t="n">
        <v>1.16</v>
      </c>
      <c r="N363" s="11" t="n">
        <v>0.03</v>
      </c>
      <c r="O363" s="7"/>
      <c r="P363" s="11" t="n">
        <f aca="false">IF(J363="%mo","",IF(G363="MO",IF(J363="hh",INDEX(MO_HH,MATCH(I363,MO_CAT,0)),M363*P_FACT_IPC),IF(G363="SUBPART",IFERROR(INDEX(APU_SUBP!$C$7:$C$40,MATCH(H363,APU_SUBP!$A$7:$A$40,0)),M363*P_FACT_IPC),M363*P_FACT_IPC)))</f>
        <v>1.49210317559198</v>
      </c>
      <c r="Q363" s="11" t="n">
        <f aca="false">IF(J363="%mo",L363/100*SUMIFS($R$7:$R$782,$A$7:$A$782,A363),L363*P363)</f>
        <v>0.0447630952677595</v>
      </c>
      <c r="R363" s="11" t="n">
        <f aca="false">IF(G363="MO",L363*P363,0)</f>
        <v>0</v>
      </c>
    </row>
    <row r="364" customFormat="false" ht="15" hidden="false" customHeight="false" outlineLevel="0" collapsed="false">
      <c r="A364" s="9" t="s">
        <v>605</v>
      </c>
      <c r="B364" s="9" t="s">
        <v>483</v>
      </c>
      <c r="C364" s="9" t="s">
        <v>437</v>
      </c>
      <c r="D364" s="9" t="s">
        <v>606</v>
      </c>
      <c r="E364" s="9" t="s">
        <v>16</v>
      </c>
      <c r="F364" s="10" t="n">
        <v>1.82</v>
      </c>
      <c r="G364" s="9" t="s">
        <v>307</v>
      </c>
      <c r="H364" s="9" t="s">
        <v>609</v>
      </c>
      <c r="I364" s="9" t="s">
        <v>610</v>
      </c>
      <c r="J364" s="9" t="s">
        <v>361</v>
      </c>
      <c r="K364" s="31"/>
      <c r="L364" s="31" t="n">
        <v>0.02</v>
      </c>
      <c r="M364" s="10" t="n">
        <v>2.42</v>
      </c>
      <c r="N364" s="10" t="n">
        <v>0.05</v>
      </c>
      <c r="O364" s="9"/>
      <c r="P364" s="11" t="n">
        <f aca="false">IF(J364="%mo","",IF(G364="MO",IF(J364="hh",INDEX(MO_HH,MATCH(I364,MO_CAT,0)),M364*P_FACT_IPC),IF(G364="SUBPART",IFERROR(INDEX(APU_SUBP!$C$7:$C$40,MATCH(H364,APU_SUBP!$A$7:$A$40,0)),M364*P_FACT_IPC),M364*P_FACT_IPC)))</f>
        <v>3.11283593528672</v>
      </c>
      <c r="Q364" s="11" t="n">
        <f aca="false">IF(J364="%mo",L364/100*SUMIFS($R$7:$R$782,$A$7:$A$782,A364),L364*P364)</f>
        <v>0.0622567187057345</v>
      </c>
      <c r="R364" s="11" t="n">
        <f aca="false">IF(G364="MO",L364*P364,0)</f>
        <v>0</v>
      </c>
    </row>
    <row r="365" customFormat="false" ht="15" hidden="false" customHeight="false" outlineLevel="0" collapsed="false">
      <c r="A365" s="7" t="s">
        <v>605</v>
      </c>
      <c r="B365" s="7" t="s">
        <v>483</v>
      </c>
      <c r="C365" s="7" t="s">
        <v>437</v>
      </c>
      <c r="D365" s="7" t="s">
        <v>606</v>
      </c>
      <c r="E365" s="7" t="s">
        <v>16</v>
      </c>
      <c r="F365" s="11" t="n">
        <v>1.82</v>
      </c>
      <c r="G365" s="7" t="s">
        <v>307</v>
      </c>
      <c r="H365" s="7" t="s">
        <v>611</v>
      </c>
      <c r="I365" s="7" t="s">
        <v>612</v>
      </c>
      <c r="J365" s="7" t="s">
        <v>361</v>
      </c>
      <c r="K365" s="22"/>
      <c r="L365" s="22" t="n">
        <v>0.02</v>
      </c>
      <c r="M365" s="11" t="n">
        <v>34.75</v>
      </c>
      <c r="N365" s="11" t="n">
        <v>0.7</v>
      </c>
      <c r="O365" s="7"/>
      <c r="P365" s="11" t="n">
        <f aca="false">IF(J365="%mo","",IF(G365="MO",IF(J365="hh",INDEX(MO_HH,MATCH(I365,MO_CAT,0)),M365*P_FACT_IPC),IF(G365="SUBPART",IFERROR(INDEX(APU_SUBP!$C$7:$C$40,MATCH(H365,APU_SUBP!$A$7:$A$40,0)),M365*P_FACT_IPC),M365*P_FACT_IPC)))</f>
        <v>44.6987804757081</v>
      </c>
      <c r="Q365" s="11" t="n">
        <f aca="false">IF(J365="%mo",L365/100*SUMIFS($R$7:$R$782,$A$7:$A$782,A365),L365*P365)</f>
        <v>0.893975609514162</v>
      </c>
      <c r="R365" s="11" t="n">
        <f aca="false">IF(G365="MO",L365*P365,0)</f>
        <v>0</v>
      </c>
    </row>
    <row r="366" customFormat="false" ht="15" hidden="false" customHeight="false" outlineLevel="0" collapsed="false">
      <c r="A366" s="9" t="s">
        <v>605</v>
      </c>
      <c r="B366" s="9" t="s">
        <v>483</v>
      </c>
      <c r="C366" s="9" t="s">
        <v>437</v>
      </c>
      <c r="D366" s="9" t="s">
        <v>606</v>
      </c>
      <c r="E366" s="9" t="s">
        <v>16</v>
      </c>
      <c r="F366" s="10" t="n">
        <v>1.82</v>
      </c>
      <c r="G366" s="9" t="s">
        <v>288</v>
      </c>
      <c r="H366" s="9" t="s">
        <v>327</v>
      </c>
      <c r="I366" s="9" t="s">
        <v>328</v>
      </c>
      <c r="J366" s="9" t="s">
        <v>329</v>
      </c>
      <c r="K366" s="31"/>
      <c r="L366" s="31" t="n">
        <v>3</v>
      </c>
      <c r="M366" s="10" t="n">
        <v>0.69</v>
      </c>
      <c r="N366" s="10" t="n">
        <v>0.02</v>
      </c>
      <c r="O366" s="9"/>
      <c r="P366" s="11" t="str">
        <f aca="false">IF(J366="%mo","",IF(G366="MO",IF(J366="hh",INDEX(MO_HH,MATCH(I366,MO_CAT,0)),M366*P_FACT_IPC),IF(G366="SUBPART",IFERROR(INDEX(APU_SUBP!$C$7:$C$40,MATCH(H366,APU_SUBP!$A$7:$A$40,0)),M366*P_FACT_IPC),M366*P_FACT_IPC)))</f>
        <v/>
      </c>
      <c r="Q366" s="11" t="n">
        <f aca="false">IF(J366="%mo",L366/100*SUMIFS($R$7:$R$782,$A$7:$A$782,A366),L366*P366)</f>
        <v>0.015461442193087</v>
      </c>
      <c r="R366" s="11" t="n">
        <f aca="false">IF(G366="MO",L366*P366,0)</f>
        <v>0</v>
      </c>
    </row>
    <row r="367" customFormat="false" ht="15" hidden="false" customHeight="false" outlineLevel="0" collapsed="false">
      <c r="A367" s="7" t="s">
        <v>613</v>
      </c>
      <c r="B367" s="7" t="s">
        <v>483</v>
      </c>
      <c r="C367" s="7" t="s">
        <v>614</v>
      </c>
      <c r="D367" s="7" t="s">
        <v>615</v>
      </c>
      <c r="E367" s="7" t="s">
        <v>16</v>
      </c>
      <c r="F367" s="11" t="n">
        <v>2.25</v>
      </c>
      <c r="G367" s="7" t="s">
        <v>281</v>
      </c>
      <c r="H367" s="7" t="s">
        <v>285</v>
      </c>
      <c r="I367" s="7" t="s">
        <v>117</v>
      </c>
      <c r="J367" s="7" t="s">
        <v>283</v>
      </c>
      <c r="K367" s="22" t="n">
        <v>1</v>
      </c>
      <c r="L367" s="22" t="n">
        <v>0.0267</v>
      </c>
      <c r="M367" s="11" t="n">
        <v>18.56</v>
      </c>
      <c r="N367" s="11" t="n">
        <v>0.5</v>
      </c>
      <c r="O367" s="7" t="s">
        <v>284</v>
      </c>
      <c r="P367" s="11" t="n">
        <f aca="false">IF(J367="%mo","",IF(G367="MO",IF(J367="hh",INDEX(MO_HH,MATCH(I367,MO_CAT,0)),M367*P_FACT_IPC),IF(G367="SUBPART",IFERROR(INDEX(APU_SUBP!$C$7:$C$40,MATCH(H367,APU_SUBP!$A$7:$A$40,0)),M367*P_FACT_IPC),M367*P_FACT_IPC)))</f>
        <v>13.8259833134684</v>
      </c>
      <c r="Q367" s="11" t="n">
        <f aca="false">IF(J367="%mo",L367/100*SUMIFS($R$7:$R$782,$A$7:$A$782,A367),L367*P367)</f>
        <v>0.369153754469607</v>
      </c>
      <c r="R367" s="11" t="n">
        <f aca="false">IF(G367="MO",L367*P367,0)</f>
        <v>0.369153754469607</v>
      </c>
    </row>
    <row r="368" customFormat="false" ht="15" hidden="false" customHeight="false" outlineLevel="0" collapsed="false">
      <c r="A368" s="9" t="s">
        <v>613</v>
      </c>
      <c r="B368" s="9" t="s">
        <v>483</v>
      </c>
      <c r="C368" s="9" t="s">
        <v>614</v>
      </c>
      <c r="D368" s="9" t="s">
        <v>615</v>
      </c>
      <c r="E368" s="9" t="s">
        <v>16</v>
      </c>
      <c r="F368" s="10" t="n">
        <v>2.25</v>
      </c>
      <c r="G368" s="9" t="s">
        <v>288</v>
      </c>
      <c r="H368" s="9" t="s">
        <v>404</v>
      </c>
      <c r="I368" s="9" t="s">
        <v>405</v>
      </c>
      <c r="J368" s="9" t="s">
        <v>291</v>
      </c>
      <c r="K368" s="31" t="n">
        <v>1</v>
      </c>
      <c r="L368" s="31" t="n">
        <v>0.0267</v>
      </c>
      <c r="M368" s="10" t="n">
        <v>65.48</v>
      </c>
      <c r="N368" s="10" t="n">
        <v>1.75</v>
      </c>
      <c r="O368" s="9"/>
      <c r="P368" s="11" t="n">
        <f aca="false">IF(J368="%mo","",IF(G368="MO",IF(J368="hh",INDEX(MO_HH,MATCH(I368,MO_CAT,0)),M368*P_FACT_IPC),IF(G368="SUBPART",IFERROR(INDEX(APU_SUBP!$C$7:$C$40,MATCH(H368,APU_SUBP!$A$7:$A$40,0)),M368*P_FACT_IPC),M368*P_FACT_IPC)))</f>
        <v>84.2266516704854</v>
      </c>
      <c r="Q368" s="11" t="n">
        <f aca="false">IF(J368="%mo",L368/100*SUMIFS($R$7:$R$782,$A$7:$A$782,A368),L368*P368)</f>
        <v>2.24885159960196</v>
      </c>
      <c r="R368" s="11" t="n">
        <f aca="false">IF(G368="MO",L368*P368,0)</f>
        <v>0</v>
      </c>
    </row>
    <row r="369" customFormat="false" ht="15" hidden="false" customHeight="false" outlineLevel="0" collapsed="false">
      <c r="A369" s="7" t="s">
        <v>616</v>
      </c>
      <c r="B369" s="7" t="s">
        <v>483</v>
      </c>
      <c r="C369" s="7" t="s">
        <v>442</v>
      </c>
      <c r="D369" s="7" t="s">
        <v>617</v>
      </c>
      <c r="E369" s="7" t="s">
        <v>16</v>
      </c>
      <c r="F369" s="11" t="n">
        <v>0.23</v>
      </c>
      <c r="G369" s="7" t="s">
        <v>281</v>
      </c>
      <c r="H369" s="7" t="s">
        <v>286</v>
      </c>
      <c r="I369" s="7" t="s">
        <v>122</v>
      </c>
      <c r="J369" s="7" t="s">
        <v>283</v>
      </c>
      <c r="K369" s="22" t="n">
        <v>50</v>
      </c>
      <c r="L369" s="22" t="n">
        <v>0.0031</v>
      </c>
      <c r="M369" s="11" t="n">
        <v>16.78</v>
      </c>
      <c r="N369" s="11" t="n">
        <v>0.05</v>
      </c>
      <c r="O369" s="7" t="s">
        <v>287</v>
      </c>
      <c r="P369" s="11" t="n">
        <f aca="false">IF(J369="%mo","",IF(G369="MO",IF(J369="hh",INDEX(MO_HH,MATCH(I369,MO_CAT,0)),M369*P_FACT_IPC),IF(G369="SUBPART",IFERROR(INDEX(APU_SUBP!$C$7:$C$40,MATCH(H369,APU_SUBP!$A$7:$A$40,0)),M369*P_FACT_IPC),M369*P_FACT_IPC)))</f>
        <v>12.5</v>
      </c>
      <c r="Q369" s="11" t="n">
        <f aca="false">IF(J369="%mo",L369/100*SUMIFS($R$7:$R$782,$A$7:$A$782,A369),L369*P369)</f>
        <v>0.03875</v>
      </c>
      <c r="R369" s="11" t="n">
        <f aca="false">IF(G369="MO",L369*P369,0)</f>
        <v>0.03875</v>
      </c>
    </row>
    <row r="370" customFormat="false" ht="15" hidden="false" customHeight="false" outlineLevel="0" collapsed="false">
      <c r="A370" s="9" t="s">
        <v>616</v>
      </c>
      <c r="B370" s="9" t="s">
        <v>483</v>
      </c>
      <c r="C370" s="9" t="s">
        <v>442</v>
      </c>
      <c r="D370" s="9" t="s">
        <v>617</v>
      </c>
      <c r="E370" s="9" t="s">
        <v>16</v>
      </c>
      <c r="F370" s="10" t="n">
        <v>0.23</v>
      </c>
      <c r="G370" s="9" t="s">
        <v>307</v>
      </c>
      <c r="H370" s="9" t="s">
        <v>618</v>
      </c>
      <c r="I370" s="9" t="s">
        <v>619</v>
      </c>
      <c r="J370" s="9" t="s">
        <v>361</v>
      </c>
      <c r="K370" s="31"/>
      <c r="L370" s="31" t="n">
        <v>0.005</v>
      </c>
      <c r="M370" s="10" t="n">
        <v>14.5</v>
      </c>
      <c r="N370" s="10" t="n">
        <v>0.07</v>
      </c>
      <c r="O370" s="9"/>
      <c r="P370" s="11" t="n">
        <f aca="false">IF(J370="%mo","",IF(G370="MO",IF(J370="hh",INDEX(MO_HH,MATCH(I370,MO_CAT,0)),M370*P_FACT_IPC),IF(G370="SUBPART",IFERROR(INDEX(APU_SUBP!$C$7:$C$40,MATCH(H370,APU_SUBP!$A$7:$A$40,0)),M370*P_FACT_IPC),M370*P_FACT_IPC)))</f>
        <v>18.6512896948998</v>
      </c>
      <c r="Q370" s="11" t="n">
        <f aca="false">IF(J370="%mo",L370/100*SUMIFS($R$7:$R$782,$A$7:$A$782,A370),L370*P370)</f>
        <v>0.093256448474499</v>
      </c>
      <c r="R370" s="11" t="n">
        <f aca="false">IF(G370="MO",L370*P370,0)</f>
        <v>0</v>
      </c>
    </row>
    <row r="371" customFormat="false" ht="15" hidden="false" customHeight="false" outlineLevel="0" collapsed="false">
      <c r="A371" s="7" t="s">
        <v>616</v>
      </c>
      <c r="B371" s="7" t="s">
        <v>483</v>
      </c>
      <c r="C371" s="7" t="s">
        <v>442</v>
      </c>
      <c r="D371" s="7" t="s">
        <v>617</v>
      </c>
      <c r="E371" s="7" t="s">
        <v>16</v>
      </c>
      <c r="F371" s="11" t="n">
        <v>0.23</v>
      </c>
      <c r="G371" s="7" t="s">
        <v>307</v>
      </c>
      <c r="H371" s="7" t="s">
        <v>620</v>
      </c>
      <c r="I371" s="7" t="s">
        <v>621</v>
      </c>
      <c r="J371" s="7" t="s">
        <v>411</v>
      </c>
      <c r="K371" s="22"/>
      <c r="L371" s="22" t="n">
        <v>0.0065</v>
      </c>
      <c r="M371" s="11" t="n">
        <v>14.81</v>
      </c>
      <c r="N371" s="11" t="n">
        <v>0.1</v>
      </c>
      <c r="O371" s="7"/>
      <c r="P371" s="11" t="n">
        <f aca="false">IF(J371="%mo","",IF(G371="MO",IF(J371="hh",INDEX(MO_HH,MATCH(I371,MO_CAT,0)),M371*P_FACT_IPC),IF(G371="SUBPART",IFERROR(INDEX(APU_SUBP!$C$7:$C$40,MATCH(H371,APU_SUBP!$A$7:$A$40,0)),M371*P_FACT_IPC),M371*P_FACT_IPC)))</f>
        <v>19.0500414056183</v>
      </c>
      <c r="Q371" s="11" t="n">
        <f aca="false">IF(J371="%mo",L371/100*SUMIFS($R$7:$R$782,$A$7:$A$782,A371),L371*P371)</f>
        <v>0.123825269136519</v>
      </c>
      <c r="R371" s="11" t="n">
        <f aca="false">IF(G371="MO",L371*P371,0)</f>
        <v>0</v>
      </c>
    </row>
    <row r="372" customFormat="false" ht="15" hidden="false" customHeight="false" outlineLevel="0" collapsed="false">
      <c r="A372" s="9" t="s">
        <v>616</v>
      </c>
      <c r="B372" s="9" t="s">
        <v>483</v>
      </c>
      <c r="C372" s="9" t="s">
        <v>442</v>
      </c>
      <c r="D372" s="9" t="s">
        <v>617</v>
      </c>
      <c r="E372" s="9" t="s">
        <v>16</v>
      </c>
      <c r="F372" s="10" t="n">
        <v>0.23</v>
      </c>
      <c r="G372" s="9" t="s">
        <v>288</v>
      </c>
      <c r="H372" s="9" t="s">
        <v>327</v>
      </c>
      <c r="I372" s="9" t="s">
        <v>328</v>
      </c>
      <c r="J372" s="9" t="s">
        <v>329</v>
      </c>
      <c r="K372" s="31"/>
      <c r="L372" s="31" t="n">
        <v>3</v>
      </c>
      <c r="M372" s="10" t="n">
        <v>0.05</v>
      </c>
      <c r="N372" s="10" t="n">
        <v>0.0015</v>
      </c>
      <c r="O372" s="9"/>
      <c r="P372" s="11" t="str">
        <f aca="false">IF(J372="%mo","",IF(G372="MO",IF(J372="hh",INDEX(MO_HH,MATCH(I372,MO_CAT,0)),M372*P_FACT_IPC),IF(G372="SUBPART",IFERROR(INDEX(APU_SUBP!$C$7:$C$40,MATCH(H372,APU_SUBP!$A$7:$A$40,0)),M372*P_FACT_IPC),M372*P_FACT_IPC)))</f>
        <v/>
      </c>
      <c r="Q372" s="11" t="n">
        <f aca="false">IF(J372="%mo",L372/100*SUMIFS($R$7:$R$782,$A$7:$A$782,A372),L372*P372)</f>
        <v>0.0011625</v>
      </c>
      <c r="R372" s="11" t="n">
        <f aca="false">IF(G372="MO",L372*P372,0)</f>
        <v>0</v>
      </c>
    </row>
    <row r="373" customFormat="false" ht="15" hidden="false" customHeight="false" outlineLevel="0" collapsed="false">
      <c r="A373" s="7" t="s">
        <v>616</v>
      </c>
      <c r="B373" s="7" t="s">
        <v>483</v>
      </c>
      <c r="C373" s="7" t="s">
        <v>442</v>
      </c>
      <c r="D373" s="7" t="s">
        <v>617</v>
      </c>
      <c r="E373" s="7" t="s">
        <v>16</v>
      </c>
      <c r="F373" s="11" t="n">
        <v>0.23</v>
      </c>
      <c r="G373" s="7" t="s">
        <v>288</v>
      </c>
      <c r="H373" s="7" t="s">
        <v>603</v>
      </c>
      <c r="I373" s="7" t="s">
        <v>604</v>
      </c>
      <c r="J373" s="7" t="s">
        <v>322</v>
      </c>
      <c r="K373" s="22" t="n">
        <v>50</v>
      </c>
      <c r="L373" s="22" t="n">
        <v>0.0031</v>
      </c>
      <c r="M373" s="11" t="n">
        <v>2.35</v>
      </c>
      <c r="N373" s="11" t="n">
        <v>0.01</v>
      </c>
      <c r="O373" s="7"/>
      <c r="P373" s="11" t="n">
        <f aca="false">IF(J373="%mo","",IF(G373="MO",IF(J373="hh",INDEX(MO_HH,MATCH(I373,MO_CAT,0)),M373*P_FACT_IPC),IF(G373="SUBPART",IFERROR(INDEX(APU_SUBP!$C$7:$C$40,MATCH(H373,APU_SUBP!$A$7:$A$40,0)),M373*P_FACT_IPC),M373*P_FACT_IPC)))</f>
        <v>3.02279522641479</v>
      </c>
      <c r="Q373" s="11" t="n">
        <f aca="false">IF(J373="%mo",L373/100*SUMIFS($R$7:$R$782,$A$7:$A$782,A373),L373*P373)</f>
        <v>0.00937066520188586</v>
      </c>
      <c r="R373" s="11" t="n">
        <f aca="false">IF(G373="MO",L373*P373,0)</f>
        <v>0</v>
      </c>
    </row>
    <row r="374" customFormat="false" ht="15" hidden="false" customHeight="false" outlineLevel="0" collapsed="false">
      <c r="A374" s="9" t="s">
        <v>622</v>
      </c>
      <c r="B374" s="9" t="s">
        <v>483</v>
      </c>
      <c r="C374" s="9" t="s">
        <v>444</v>
      </c>
      <c r="D374" s="9" t="s">
        <v>422</v>
      </c>
      <c r="E374" s="9" t="s">
        <v>16</v>
      </c>
      <c r="F374" s="10" t="n">
        <v>1.05</v>
      </c>
      <c r="G374" s="9" t="s">
        <v>281</v>
      </c>
      <c r="H374" s="9" t="s">
        <v>282</v>
      </c>
      <c r="I374" s="9" t="s">
        <v>107</v>
      </c>
      <c r="J374" s="9" t="s">
        <v>283</v>
      </c>
      <c r="K374" s="31" t="n">
        <v>1</v>
      </c>
      <c r="L374" s="31" t="n">
        <v>0.001</v>
      </c>
      <c r="M374" s="10" t="n">
        <v>25.81</v>
      </c>
      <c r="N374" s="10" t="n">
        <v>0.03</v>
      </c>
      <c r="O374" s="9" t="s">
        <v>284</v>
      </c>
      <c r="P374" s="11" t="n">
        <f aca="false">IF(J374="%mo","",IF(G374="MO",IF(J374="hh",INDEX(MO_HH,MATCH(I374,MO_CAT,0)),M374*P_FACT_IPC),IF(G374="SUBPART",IFERROR(INDEX(APU_SUBP!$C$7:$C$40,MATCH(H374,APU_SUBP!$A$7:$A$40,0)),M374*P_FACT_IPC),M374*P_FACT_IPC)))</f>
        <v>19.226758045292</v>
      </c>
      <c r="Q374" s="11" t="n">
        <f aca="false">IF(J374="%mo",L374/100*SUMIFS($R$7:$R$782,$A$7:$A$782,A374),L374*P374)</f>
        <v>0.019226758045292</v>
      </c>
      <c r="R374" s="11" t="n">
        <f aca="false">IF(G374="MO",L374*P374,0)</f>
        <v>0.019226758045292</v>
      </c>
    </row>
    <row r="375" customFormat="false" ht="15" hidden="false" customHeight="false" outlineLevel="0" collapsed="false">
      <c r="A375" s="7" t="s">
        <v>622</v>
      </c>
      <c r="B375" s="7" t="s">
        <v>483</v>
      </c>
      <c r="C375" s="7" t="s">
        <v>444</v>
      </c>
      <c r="D375" s="7" t="s">
        <v>422</v>
      </c>
      <c r="E375" s="7" t="s">
        <v>16</v>
      </c>
      <c r="F375" s="11" t="n">
        <v>1.05</v>
      </c>
      <c r="G375" s="7" t="s">
        <v>281</v>
      </c>
      <c r="H375" s="7" t="s">
        <v>286</v>
      </c>
      <c r="I375" s="7" t="s">
        <v>122</v>
      </c>
      <c r="J375" s="7" t="s">
        <v>283</v>
      </c>
      <c r="K375" s="22" t="n">
        <v>50</v>
      </c>
      <c r="L375" s="22" t="n">
        <v>0.05</v>
      </c>
      <c r="M375" s="11" t="n">
        <v>16.78</v>
      </c>
      <c r="N375" s="11" t="n">
        <v>0.84</v>
      </c>
      <c r="O375" s="7" t="s">
        <v>287</v>
      </c>
      <c r="P375" s="11" t="n">
        <f aca="false">IF(J375="%mo","",IF(G375="MO",IF(J375="hh",INDEX(MO_HH,MATCH(I375,MO_CAT,0)),M375*P_FACT_IPC),IF(G375="SUBPART",IFERROR(INDEX(APU_SUBP!$C$7:$C$40,MATCH(H375,APU_SUBP!$A$7:$A$40,0)),M375*P_FACT_IPC),M375*P_FACT_IPC)))</f>
        <v>12.5</v>
      </c>
      <c r="Q375" s="11" t="n">
        <f aca="false">IF(J375="%mo",L375/100*SUMIFS($R$7:$R$782,$A$7:$A$782,A375),L375*P375)</f>
        <v>0.625</v>
      </c>
      <c r="R375" s="11" t="n">
        <f aca="false">IF(G375="MO",L375*P375,0)</f>
        <v>0.625</v>
      </c>
    </row>
    <row r="376" customFormat="false" ht="15" hidden="false" customHeight="false" outlineLevel="0" collapsed="false">
      <c r="A376" s="9" t="s">
        <v>622</v>
      </c>
      <c r="B376" s="9" t="s">
        <v>483</v>
      </c>
      <c r="C376" s="9" t="s">
        <v>444</v>
      </c>
      <c r="D376" s="9" t="s">
        <v>422</v>
      </c>
      <c r="E376" s="9" t="s">
        <v>16</v>
      </c>
      <c r="F376" s="10" t="n">
        <v>1.05</v>
      </c>
      <c r="G376" s="9" t="s">
        <v>307</v>
      </c>
      <c r="H376" s="9" t="s">
        <v>423</v>
      </c>
      <c r="I376" s="9" t="s">
        <v>424</v>
      </c>
      <c r="J376" s="9" t="s">
        <v>21</v>
      </c>
      <c r="K376" s="31"/>
      <c r="L376" s="31" t="n">
        <v>0.01</v>
      </c>
      <c r="M376" s="10" t="n">
        <v>0.7</v>
      </c>
      <c r="N376" s="10" t="n">
        <v>0.01</v>
      </c>
      <c r="O376" s="9"/>
      <c r="P376" s="11" t="n">
        <f aca="false">IF(J376="%mo","",IF(G376="MO",IF(J376="hh",INDEX(MO_HH,MATCH(I376,MO_CAT,0)),M376*P_FACT_IPC),IF(G376="SUBPART",IFERROR(INDEX(APU_SUBP!$C$7:$C$40,MATCH(H376,APU_SUBP!$A$7:$A$40,0)),M376*P_FACT_IPC),M376*P_FACT_IPC)))</f>
        <v>0.9004070887193</v>
      </c>
      <c r="Q376" s="11" t="n">
        <f aca="false">IF(J376="%mo",L376/100*SUMIFS($R$7:$R$782,$A$7:$A$782,A376),L376*P376)</f>
        <v>0.009004070887193</v>
      </c>
      <c r="R376" s="11" t="n">
        <f aca="false">IF(G376="MO",L376*P376,0)</f>
        <v>0</v>
      </c>
    </row>
    <row r="377" customFormat="false" ht="15" hidden="false" customHeight="false" outlineLevel="0" collapsed="false">
      <c r="A377" s="7" t="s">
        <v>622</v>
      </c>
      <c r="B377" s="7" t="s">
        <v>483</v>
      </c>
      <c r="C377" s="7" t="s">
        <v>444</v>
      </c>
      <c r="D377" s="7" t="s">
        <v>422</v>
      </c>
      <c r="E377" s="7" t="s">
        <v>16</v>
      </c>
      <c r="F377" s="11" t="n">
        <v>1.05</v>
      </c>
      <c r="G377" s="7" t="s">
        <v>307</v>
      </c>
      <c r="H377" s="7" t="s">
        <v>425</v>
      </c>
      <c r="I377" s="7" t="s">
        <v>426</v>
      </c>
      <c r="J377" s="7" t="s">
        <v>427</v>
      </c>
      <c r="K377" s="22"/>
      <c r="L377" s="22" t="n">
        <v>0.0025</v>
      </c>
      <c r="M377" s="11" t="n">
        <v>14.5</v>
      </c>
      <c r="N377" s="11" t="n">
        <v>0.04</v>
      </c>
      <c r="O377" s="7"/>
      <c r="P377" s="11" t="n">
        <f aca="false">IF(J377="%mo","",IF(G377="MO",IF(J377="hh",INDEX(MO_HH,MATCH(I377,MO_CAT,0)),M377*P_FACT_IPC),IF(G377="SUBPART",IFERROR(INDEX(APU_SUBP!$C$7:$C$40,MATCH(H377,APU_SUBP!$A$7:$A$40,0)),M377*P_FACT_IPC),M377*P_FACT_IPC)))</f>
        <v>18.6512896948998</v>
      </c>
      <c r="Q377" s="11" t="n">
        <f aca="false">IF(J377="%mo",L377/100*SUMIFS($R$7:$R$782,$A$7:$A$782,A377),L377*P377)</f>
        <v>0.0466282242372495</v>
      </c>
      <c r="R377" s="11" t="n">
        <f aca="false">IF(G377="MO",L377*P377,0)</f>
        <v>0</v>
      </c>
    </row>
    <row r="378" customFormat="false" ht="15" hidden="false" customHeight="false" outlineLevel="0" collapsed="false">
      <c r="A378" s="9" t="s">
        <v>622</v>
      </c>
      <c r="B378" s="9" t="s">
        <v>483</v>
      </c>
      <c r="C378" s="9" t="s">
        <v>444</v>
      </c>
      <c r="D378" s="9" t="s">
        <v>422</v>
      </c>
      <c r="E378" s="9" t="s">
        <v>16</v>
      </c>
      <c r="F378" s="10" t="n">
        <v>1.05</v>
      </c>
      <c r="G378" s="9" t="s">
        <v>288</v>
      </c>
      <c r="H378" s="9" t="s">
        <v>428</v>
      </c>
      <c r="I378" s="9" t="s">
        <v>429</v>
      </c>
      <c r="J378" s="9" t="s">
        <v>322</v>
      </c>
      <c r="K378" s="31" t="n">
        <v>1</v>
      </c>
      <c r="L378" s="31" t="n">
        <v>0.001</v>
      </c>
      <c r="M378" s="10" t="n">
        <v>15.62</v>
      </c>
      <c r="N378" s="10" t="n">
        <v>0.02</v>
      </c>
      <c r="O378" s="9"/>
      <c r="P378" s="11" t="n">
        <f aca="false">IF(J378="%mo","",IF(G378="MO",IF(J378="hh",INDEX(MO_HH,MATCH(I378,MO_CAT,0)),M378*P_FACT_IPC),IF(G378="SUBPART",IFERROR(INDEX(APU_SUBP!$C$7:$C$40,MATCH(H378,APU_SUBP!$A$7:$A$40,0)),M378*P_FACT_IPC),M378*P_FACT_IPC)))</f>
        <v>20.0919410368507</v>
      </c>
      <c r="Q378" s="11" t="n">
        <f aca="false">IF(J378="%mo",L378/100*SUMIFS($R$7:$R$782,$A$7:$A$782,A378),L378*P378)</f>
        <v>0.0200919410368507</v>
      </c>
      <c r="R378" s="11" t="n">
        <f aca="false">IF(G378="MO",L378*P378,0)</f>
        <v>0</v>
      </c>
    </row>
    <row r="379" customFormat="false" ht="15" hidden="false" customHeight="false" outlineLevel="0" collapsed="false">
      <c r="A379" s="7" t="s">
        <v>622</v>
      </c>
      <c r="B379" s="7" t="s">
        <v>483</v>
      </c>
      <c r="C379" s="7" t="s">
        <v>444</v>
      </c>
      <c r="D379" s="7" t="s">
        <v>422</v>
      </c>
      <c r="E379" s="7" t="s">
        <v>16</v>
      </c>
      <c r="F379" s="11" t="n">
        <v>1.05</v>
      </c>
      <c r="G379" s="7" t="s">
        <v>370</v>
      </c>
      <c r="H379" s="7" t="s">
        <v>415</v>
      </c>
      <c r="I379" s="7" t="s">
        <v>416</v>
      </c>
      <c r="J379" s="7" t="s">
        <v>273</v>
      </c>
      <c r="K379" s="22"/>
      <c r="L379" s="22" t="n">
        <v>0.005</v>
      </c>
      <c r="M379" s="11" t="n">
        <v>21.15</v>
      </c>
      <c r="N379" s="11" t="n">
        <v>0.11</v>
      </c>
      <c r="O379" s="7"/>
      <c r="P379" s="11" t="n">
        <f aca="false">IF(J379="%mo","",IF(G379="MO",IF(J379="hh",INDEX(MO_HH,MATCH(I379,MO_CAT,0)),M379*P_FACT_IPC),IF(G379="SUBPART",IFERROR(INDEX(APU_SUBP!$C$7:$C$40,MATCH(H379,APU_SUBP!$A$7:$A$40,0)),M379*P_FACT_IPC),M379*P_FACT_IPC)))</f>
        <v>22.7438822970285</v>
      </c>
      <c r="Q379" s="11" t="n">
        <f aca="false">IF(J379="%mo",L379/100*SUMIFS($R$7:$R$782,$A$7:$A$782,A379),L379*P379)</f>
        <v>0.113719411485142</v>
      </c>
      <c r="R379" s="11" t="n">
        <f aca="false">IF(G379="MO",L379*P379,0)</f>
        <v>0</v>
      </c>
    </row>
    <row r="380" customFormat="false" ht="15" hidden="false" customHeight="false" outlineLevel="0" collapsed="false">
      <c r="A380" s="9" t="s">
        <v>623</v>
      </c>
      <c r="B380" s="9" t="s">
        <v>483</v>
      </c>
      <c r="C380" s="9" t="s">
        <v>446</v>
      </c>
      <c r="D380" s="9" t="s">
        <v>624</v>
      </c>
      <c r="E380" s="9" t="s">
        <v>12</v>
      </c>
      <c r="F380" s="10" t="n">
        <v>142.52</v>
      </c>
      <c r="G380" s="9" t="s">
        <v>281</v>
      </c>
      <c r="H380" s="9" t="s">
        <v>282</v>
      </c>
      <c r="I380" s="9" t="s">
        <v>107</v>
      </c>
      <c r="J380" s="9" t="s">
        <v>283</v>
      </c>
      <c r="K380" s="31" t="n">
        <v>1</v>
      </c>
      <c r="L380" s="31" t="n">
        <v>0.16</v>
      </c>
      <c r="M380" s="10" t="n">
        <v>25.81</v>
      </c>
      <c r="N380" s="10" t="n">
        <v>4.13</v>
      </c>
      <c r="O380" s="9" t="s">
        <v>284</v>
      </c>
      <c r="P380" s="11" t="n">
        <f aca="false">IF(J380="%mo","",IF(G380="MO",IF(J380="hh",INDEX(MO_HH,MATCH(I380,MO_CAT,0)),M380*P_FACT_IPC),IF(G380="SUBPART",IFERROR(INDEX(APU_SUBP!$C$7:$C$40,MATCH(H380,APU_SUBP!$A$7:$A$40,0)),M380*P_FACT_IPC),M380*P_FACT_IPC)))</f>
        <v>19.226758045292</v>
      </c>
      <c r="Q380" s="11" t="n">
        <f aca="false">IF(J380="%mo",L380/100*SUMIFS($R$7:$R$782,$A$7:$A$782,A380),L380*P380)</f>
        <v>3.07628128724672</v>
      </c>
      <c r="R380" s="11" t="n">
        <f aca="false">IF(G380="MO",L380*P380,0)</f>
        <v>3.07628128724672</v>
      </c>
    </row>
    <row r="381" customFormat="false" ht="15" hidden="false" customHeight="false" outlineLevel="0" collapsed="false">
      <c r="A381" s="7" t="s">
        <v>623</v>
      </c>
      <c r="B381" s="7" t="s">
        <v>483</v>
      </c>
      <c r="C381" s="7" t="s">
        <v>446</v>
      </c>
      <c r="D381" s="7" t="s">
        <v>624</v>
      </c>
      <c r="E381" s="7" t="s">
        <v>12</v>
      </c>
      <c r="F381" s="11" t="n">
        <v>142.52</v>
      </c>
      <c r="G381" s="7" t="s">
        <v>281</v>
      </c>
      <c r="H381" s="7" t="s">
        <v>286</v>
      </c>
      <c r="I381" s="7" t="s">
        <v>122</v>
      </c>
      <c r="J381" s="7" t="s">
        <v>283</v>
      </c>
      <c r="K381" s="22" t="n">
        <v>50</v>
      </c>
      <c r="L381" s="22" t="n">
        <v>8</v>
      </c>
      <c r="M381" s="11" t="n">
        <v>16.78</v>
      </c>
      <c r="N381" s="11" t="n">
        <v>134.24</v>
      </c>
      <c r="O381" s="7" t="s">
        <v>287</v>
      </c>
      <c r="P381" s="11" t="n">
        <f aca="false">IF(J381="%mo","",IF(G381="MO",IF(J381="hh",INDEX(MO_HH,MATCH(I381,MO_CAT,0)),M381*P_FACT_IPC),IF(G381="SUBPART",IFERROR(INDEX(APU_SUBP!$C$7:$C$40,MATCH(H381,APU_SUBP!$A$7:$A$40,0)),M381*P_FACT_IPC),M381*P_FACT_IPC)))</f>
        <v>12.5</v>
      </c>
      <c r="Q381" s="11" t="n">
        <f aca="false">IF(J381="%mo",L381/100*SUMIFS($R$7:$R$782,$A$7:$A$782,A381),L381*P381)</f>
        <v>100</v>
      </c>
      <c r="R381" s="11" t="n">
        <f aca="false">IF(G381="MO",L381*P381,0)</f>
        <v>100</v>
      </c>
    </row>
    <row r="382" customFormat="false" ht="15" hidden="false" customHeight="false" outlineLevel="0" collapsed="false">
      <c r="A382" s="9" t="s">
        <v>623</v>
      </c>
      <c r="B382" s="9" t="s">
        <v>483</v>
      </c>
      <c r="C382" s="9" t="s">
        <v>446</v>
      </c>
      <c r="D382" s="9" t="s">
        <v>624</v>
      </c>
      <c r="E382" s="9" t="s">
        <v>12</v>
      </c>
      <c r="F382" s="10" t="n">
        <v>142.52</v>
      </c>
      <c r="G382" s="9" t="s">
        <v>288</v>
      </c>
      <c r="H382" s="9" t="s">
        <v>327</v>
      </c>
      <c r="I382" s="9" t="s">
        <v>328</v>
      </c>
      <c r="J382" s="9" t="s">
        <v>329</v>
      </c>
      <c r="K382" s="31"/>
      <c r="L382" s="31" t="n">
        <v>3</v>
      </c>
      <c r="M382" s="10" t="n">
        <v>138.37</v>
      </c>
      <c r="N382" s="10" t="n">
        <v>4.15</v>
      </c>
      <c r="O382" s="9"/>
      <c r="P382" s="11" t="str">
        <f aca="false">IF(J382="%mo","",IF(G382="MO",IF(J382="hh",INDEX(MO_HH,MATCH(I382,MO_CAT,0)),M382*P_FACT_IPC),IF(G382="SUBPART",IFERROR(INDEX(APU_SUBP!$C$7:$C$40,MATCH(H382,APU_SUBP!$A$7:$A$40,0)),M382*P_FACT_IPC),M382*P_FACT_IPC)))</f>
        <v/>
      </c>
      <c r="Q382" s="11" t="n">
        <f aca="false">IF(J382="%mo",L382/100*SUMIFS($R$7:$R$782,$A$7:$A$782,A382),L382*P382)</f>
        <v>3.0922884386174</v>
      </c>
      <c r="R382" s="11" t="n">
        <f aca="false">IF(G382="MO",L382*P382,0)</f>
        <v>0</v>
      </c>
    </row>
    <row r="383" customFormat="false" ht="15" hidden="false" customHeight="false" outlineLevel="0" collapsed="false">
      <c r="A383" s="7" t="s">
        <v>625</v>
      </c>
      <c r="B383" s="7" t="s">
        <v>483</v>
      </c>
      <c r="C383" s="7" t="s">
        <v>448</v>
      </c>
      <c r="D383" s="7" t="s">
        <v>626</v>
      </c>
      <c r="E383" s="7" t="s">
        <v>16</v>
      </c>
      <c r="F383" s="11" t="n">
        <v>6.52</v>
      </c>
      <c r="G383" s="7" t="s">
        <v>281</v>
      </c>
      <c r="H383" s="7" t="s">
        <v>282</v>
      </c>
      <c r="I383" s="7" t="s">
        <v>107</v>
      </c>
      <c r="J383" s="7" t="s">
        <v>283</v>
      </c>
      <c r="K383" s="22" t="n">
        <v>0.1</v>
      </c>
      <c r="L383" s="22" t="n">
        <v>0.0133</v>
      </c>
      <c r="M383" s="11" t="n">
        <v>25.81</v>
      </c>
      <c r="N383" s="11" t="n">
        <v>0.34</v>
      </c>
      <c r="O383" s="7" t="s">
        <v>284</v>
      </c>
      <c r="P383" s="11" t="n">
        <f aca="false">IF(J383="%mo","",IF(G383="MO",IF(J383="hh",INDEX(MO_HH,MATCH(I383,MO_CAT,0)),M383*P_FACT_IPC),IF(G383="SUBPART",IFERROR(INDEX(APU_SUBP!$C$7:$C$40,MATCH(H383,APU_SUBP!$A$7:$A$40,0)),M383*P_FACT_IPC),M383*P_FACT_IPC)))</f>
        <v>19.226758045292</v>
      </c>
      <c r="Q383" s="11" t="n">
        <f aca="false">IF(J383="%mo",L383/100*SUMIFS($R$7:$R$782,$A$7:$A$782,A383),L383*P383)</f>
        <v>0.255715882002384</v>
      </c>
      <c r="R383" s="11" t="n">
        <f aca="false">IF(G383="MO",L383*P383,0)</f>
        <v>0.255715882002384</v>
      </c>
    </row>
    <row r="384" customFormat="false" ht="15" hidden="false" customHeight="false" outlineLevel="0" collapsed="false">
      <c r="A384" s="9" t="s">
        <v>625</v>
      </c>
      <c r="B384" s="9" t="s">
        <v>483</v>
      </c>
      <c r="C384" s="9" t="s">
        <v>448</v>
      </c>
      <c r="D384" s="9" t="s">
        <v>626</v>
      </c>
      <c r="E384" s="9" t="s">
        <v>16</v>
      </c>
      <c r="F384" s="10" t="n">
        <v>6.52</v>
      </c>
      <c r="G384" s="9" t="s">
        <v>281</v>
      </c>
      <c r="H384" s="9" t="s">
        <v>286</v>
      </c>
      <c r="I384" s="9" t="s">
        <v>122</v>
      </c>
      <c r="J384" s="9" t="s">
        <v>283</v>
      </c>
      <c r="K384" s="31" t="n">
        <v>2</v>
      </c>
      <c r="L384" s="31" t="n">
        <v>0.2667</v>
      </c>
      <c r="M384" s="10" t="n">
        <v>16.78</v>
      </c>
      <c r="N384" s="10" t="n">
        <v>4.48</v>
      </c>
      <c r="O384" s="9" t="s">
        <v>287</v>
      </c>
      <c r="P384" s="11" t="n">
        <f aca="false">IF(J384="%mo","",IF(G384="MO",IF(J384="hh",INDEX(MO_HH,MATCH(I384,MO_CAT,0)),M384*P_FACT_IPC),IF(G384="SUBPART",IFERROR(INDEX(APU_SUBP!$C$7:$C$40,MATCH(H384,APU_SUBP!$A$7:$A$40,0)),M384*P_FACT_IPC),M384*P_FACT_IPC)))</f>
        <v>12.5</v>
      </c>
      <c r="Q384" s="11" t="n">
        <f aca="false">IF(J384="%mo",L384/100*SUMIFS($R$7:$R$782,$A$7:$A$782,A384),L384*P384)</f>
        <v>3.33375</v>
      </c>
      <c r="R384" s="11" t="n">
        <f aca="false">IF(G384="MO",L384*P384,0)</f>
        <v>3.33375</v>
      </c>
    </row>
    <row r="385" customFormat="false" ht="15" hidden="false" customHeight="false" outlineLevel="0" collapsed="false">
      <c r="A385" s="7" t="s">
        <v>625</v>
      </c>
      <c r="B385" s="7" t="s">
        <v>483</v>
      </c>
      <c r="C385" s="7" t="s">
        <v>448</v>
      </c>
      <c r="D385" s="7" t="s">
        <v>626</v>
      </c>
      <c r="E385" s="7" t="s">
        <v>16</v>
      </c>
      <c r="F385" s="11" t="n">
        <v>6.52</v>
      </c>
      <c r="G385" s="7" t="s">
        <v>307</v>
      </c>
      <c r="H385" s="7" t="s">
        <v>607</v>
      </c>
      <c r="I385" s="7" t="s">
        <v>608</v>
      </c>
      <c r="J385" s="7" t="s">
        <v>361</v>
      </c>
      <c r="K385" s="22"/>
      <c r="L385" s="22" t="n">
        <v>0.1</v>
      </c>
      <c r="M385" s="11" t="n">
        <v>3.3</v>
      </c>
      <c r="N385" s="11" t="n">
        <v>0.33</v>
      </c>
      <c r="O385" s="7"/>
      <c r="P385" s="11" t="n">
        <f aca="false">IF(J385="%mo","",IF(G385="MO",IF(J385="hh",INDEX(MO_HH,MATCH(I385,MO_CAT,0)),M385*P_FACT_IPC),IF(G385="SUBPART",IFERROR(INDEX(APU_SUBP!$C$7:$C$40,MATCH(H385,APU_SUBP!$A$7:$A$40,0)),M385*P_FACT_IPC),M385*P_FACT_IPC)))</f>
        <v>4.24477627539099</v>
      </c>
      <c r="Q385" s="11" t="n">
        <f aca="false">IF(J385="%mo",L385/100*SUMIFS($R$7:$R$782,$A$7:$A$782,A385),L385*P385)</f>
        <v>0.424477627539099</v>
      </c>
      <c r="R385" s="11" t="n">
        <f aca="false">IF(G385="MO",L385*P385,0)</f>
        <v>0</v>
      </c>
    </row>
    <row r="386" customFormat="false" ht="15" hidden="false" customHeight="false" outlineLevel="0" collapsed="false">
      <c r="A386" s="9" t="s">
        <v>625</v>
      </c>
      <c r="B386" s="9" t="s">
        <v>483</v>
      </c>
      <c r="C386" s="9" t="s">
        <v>448</v>
      </c>
      <c r="D386" s="9" t="s">
        <v>626</v>
      </c>
      <c r="E386" s="9" t="s">
        <v>16</v>
      </c>
      <c r="F386" s="10" t="n">
        <v>6.52</v>
      </c>
      <c r="G386" s="9" t="s">
        <v>307</v>
      </c>
      <c r="H386" s="9" t="s">
        <v>395</v>
      </c>
      <c r="I386" s="9" t="s">
        <v>396</v>
      </c>
      <c r="J386" s="9" t="s">
        <v>361</v>
      </c>
      <c r="K386" s="31"/>
      <c r="L386" s="31" t="n">
        <v>0.03</v>
      </c>
      <c r="M386" s="10" t="n">
        <v>1.16</v>
      </c>
      <c r="N386" s="10" t="n">
        <v>0.03</v>
      </c>
      <c r="O386" s="9"/>
      <c r="P386" s="11" t="n">
        <f aca="false">IF(J386="%mo","",IF(G386="MO",IF(J386="hh",INDEX(MO_HH,MATCH(I386,MO_CAT,0)),M386*P_FACT_IPC),IF(G386="SUBPART",IFERROR(INDEX(APU_SUBP!$C$7:$C$40,MATCH(H386,APU_SUBP!$A$7:$A$40,0)),M386*P_FACT_IPC),M386*P_FACT_IPC)))</f>
        <v>1.49210317559198</v>
      </c>
      <c r="Q386" s="11" t="n">
        <f aca="false">IF(J386="%mo",L386/100*SUMIFS($R$7:$R$782,$A$7:$A$782,A386),L386*P386)</f>
        <v>0.0447630952677595</v>
      </c>
      <c r="R386" s="11" t="n">
        <f aca="false">IF(G386="MO",L386*P386,0)</f>
        <v>0</v>
      </c>
    </row>
    <row r="387" customFormat="false" ht="15" hidden="false" customHeight="false" outlineLevel="0" collapsed="false">
      <c r="A387" s="7" t="s">
        <v>625</v>
      </c>
      <c r="B387" s="7" t="s">
        <v>483</v>
      </c>
      <c r="C387" s="7" t="s">
        <v>448</v>
      </c>
      <c r="D387" s="7" t="s">
        <v>626</v>
      </c>
      <c r="E387" s="7" t="s">
        <v>16</v>
      </c>
      <c r="F387" s="11" t="n">
        <v>6.52</v>
      </c>
      <c r="G387" s="7" t="s">
        <v>307</v>
      </c>
      <c r="H387" s="7" t="s">
        <v>609</v>
      </c>
      <c r="I387" s="7" t="s">
        <v>610</v>
      </c>
      <c r="J387" s="7" t="s">
        <v>361</v>
      </c>
      <c r="K387" s="22"/>
      <c r="L387" s="22" t="n">
        <v>0.02</v>
      </c>
      <c r="M387" s="11" t="n">
        <v>2.42</v>
      </c>
      <c r="N387" s="11" t="n">
        <v>0.05</v>
      </c>
      <c r="O387" s="7"/>
      <c r="P387" s="11" t="n">
        <f aca="false">IF(J387="%mo","",IF(G387="MO",IF(J387="hh",INDEX(MO_HH,MATCH(I387,MO_CAT,0)),M387*P_FACT_IPC),IF(G387="SUBPART",IFERROR(INDEX(APU_SUBP!$C$7:$C$40,MATCH(H387,APU_SUBP!$A$7:$A$40,0)),M387*P_FACT_IPC),M387*P_FACT_IPC)))</f>
        <v>3.11283593528672</v>
      </c>
      <c r="Q387" s="11" t="n">
        <f aca="false">IF(J387="%mo",L387/100*SUMIFS($R$7:$R$782,$A$7:$A$782,A387),L387*P387)</f>
        <v>0.0622567187057345</v>
      </c>
      <c r="R387" s="11" t="n">
        <f aca="false">IF(G387="MO",L387*P387,0)</f>
        <v>0</v>
      </c>
    </row>
    <row r="388" customFormat="false" ht="15" hidden="false" customHeight="false" outlineLevel="0" collapsed="false">
      <c r="A388" s="9" t="s">
        <v>625</v>
      </c>
      <c r="B388" s="9" t="s">
        <v>483</v>
      </c>
      <c r="C388" s="9" t="s">
        <v>448</v>
      </c>
      <c r="D388" s="9" t="s">
        <v>626</v>
      </c>
      <c r="E388" s="9" t="s">
        <v>16</v>
      </c>
      <c r="F388" s="10" t="n">
        <v>6.52</v>
      </c>
      <c r="G388" s="9" t="s">
        <v>307</v>
      </c>
      <c r="H388" s="9" t="s">
        <v>611</v>
      </c>
      <c r="I388" s="9" t="s">
        <v>612</v>
      </c>
      <c r="J388" s="9" t="s">
        <v>361</v>
      </c>
      <c r="K388" s="31"/>
      <c r="L388" s="31" t="n">
        <v>0.02</v>
      </c>
      <c r="M388" s="10" t="n">
        <v>34.75</v>
      </c>
      <c r="N388" s="10" t="n">
        <v>0.7</v>
      </c>
      <c r="O388" s="9"/>
      <c r="P388" s="11" t="n">
        <f aca="false">IF(J388="%mo","",IF(G388="MO",IF(J388="hh",INDEX(MO_HH,MATCH(I388,MO_CAT,0)),M388*P_FACT_IPC),IF(G388="SUBPART",IFERROR(INDEX(APU_SUBP!$C$7:$C$40,MATCH(H388,APU_SUBP!$A$7:$A$40,0)),M388*P_FACT_IPC),M388*P_FACT_IPC)))</f>
        <v>44.6987804757081</v>
      </c>
      <c r="Q388" s="11" t="n">
        <f aca="false">IF(J388="%mo",L388/100*SUMIFS($R$7:$R$782,$A$7:$A$782,A388),L388*P388)</f>
        <v>0.893975609514162</v>
      </c>
      <c r="R388" s="11" t="n">
        <f aca="false">IF(G388="MO",L388*P388,0)</f>
        <v>0</v>
      </c>
    </row>
    <row r="389" customFormat="false" ht="15" hidden="false" customHeight="false" outlineLevel="0" collapsed="false">
      <c r="A389" s="7" t="s">
        <v>625</v>
      </c>
      <c r="B389" s="7" t="s">
        <v>483</v>
      </c>
      <c r="C389" s="7" t="s">
        <v>448</v>
      </c>
      <c r="D389" s="7" t="s">
        <v>626</v>
      </c>
      <c r="E389" s="7" t="s">
        <v>16</v>
      </c>
      <c r="F389" s="11" t="n">
        <v>6.52</v>
      </c>
      <c r="G389" s="7" t="s">
        <v>307</v>
      </c>
      <c r="H389" s="7" t="s">
        <v>308</v>
      </c>
      <c r="I389" s="7" t="s">
        <v>309</v>
      </c>
      <c r="J389" s="7" t="s">
        <v>310</v>
      </c>
      <c r="K389" s="22"/>
      <c r="L389" s="22" t="n">
        <v>0.005</v>
      </c>
      <c r="M389" s="11" t="n">
        <v>14.7</v>
      </c>
      <c r="N389" s="11" t="n">
        <v>0.07</v>
      </c>
      <c r="O389" s="7"/>
      <c r="P389" s="11" t="n">
        <f aca="false">IF(J389="%mo","",IF(G389="MO",IF(J389="hh",INDEX(MO_HH,MATCH(I389,MO_CAT,0)),M389*P_FACT_IPC),IF(G389="SUBPART",IFERROR(INDEX(APU_SUBP!$C$7:$C$40,MATCH(H389,APU_SUBP!$A$7:$A$40,0)),M389*P_FACT_IPC),M389*P_FACT_IPC)))</f>
        <v>18.9085488631053</v>
      </c>
      <c r="Q389" s="11" t="n">
        <f aca="false">IF(J389="%mo",L389/100*SUMIFS($R$7:$R$782,$A$7:$A$782,A389),L389*P389)</f>
        <v>0.0945427443155265</v>
      </c>
      <c r="R389" s="11" t="n">
        <f aca="false">IF(G389="MO",L389*P389,0)</f>
        <v>0</v>
      </c>
    </row>
    <row r="390" customFormat="false" ht="15" hidden="false" customHeight="false" outlineLevel="0" collapsed="false">
      <c r="A390" s="9" t="s">
        <v>625</v>
      </c>
      <c r="B390" s="9" t="s">
        <v>483</v>
      </c>
      <c r="C390" s="9" t="s">
        <v>448</v>
      </c>
      <c r="D390" s="9" t="s">
        <v>626</v>
      </c>
      <c r="E390" s="9" t="s">
        <v>16</v>
      </c>
      <c r="F390" s="10" t="n">
        <v>6.52</v>
      </c>
      <c r="G390" s="9" t="s">
        <v>288</v>
      </c>
      <c r="H390" s="9" t="s">
        <v>327</v>
      </c>
      <c r="I390" s="9" t="s">
        <v>328</v>
      </c>
      <c r="J390" s="9" t="s">
        <v>329</v>
      </c>
      <c r="K390" s="31"/>
      <c r="L390" s="31" t="n">
        <v>3</v>
      </c>
      <c r="M390" s="10" t="n">
        <v>4.82</v>
      </c>
      <c r="N390" s="10" t="n">
        <v>0.14</v>
      </c>
      <c r="O390" s="9"/>
      <c r="P390" s="11" t="str">
        <f aca="false">IF(J390="%mo","",IF(G390="MO",IF(J390="hh",INDEX(MO_HH,MATCH(I390,MO_CAT,0)),M390*P_FACT_IPC),IF(G390="SUBPART",IFERROR(INDEX(APU_SUBP!$C$7:$C$40,MATCH(H390,APU_SUBP!$A$7:$A$40,0)),M390*P_FACT_IPC),M390*P_FACT_IPC)))</f>
        <v/>
      </c>
      <c r="Q390" s="11" t="n">
        <f aca="false">IF(J390="%mo",L390/100*SUMIFS($R$7:$R$782,$A$7:$A$782,A390),L390*P390)</f>
        <v>0.107683976460072</v>
      </c>
      <c r="R390" s="11" t="n">
        <f aca="false">IF(G390="MO",L390*P390,0)</f>
        <v>0</v>
      </c>
    </row>
    <row r="391" customFormat="false" ht="15" hidden="false" customHeight="false" outlineLevel="0" collapsed="false">
      <c r="A391" s="7" t="s">
        <v>625</v>
      </c>
      <c r="B391" s="7" t="s">
        <v>483</v>
      </c>
      <c r="C391" s="7" t="s">
        <v>448</v>
      </c>
      <c r="D391" s="7" t="s">
        <v>626</v>
      </c>
      <c r="E391" s="7" t="s">
        <v>16</v>
      </c>
      <c r="F391" s="11" t="n">
        <v>6.52</v>
      </c>
      <c r="G391" s="7" t="s">
        <v>370</v>
      </c>
      <c r="H391" s="7" t="s">
        <v>627</v>
      </c>
      <c r="I391" s="7" t="s">
        <v>598</v>
      </c>
      <c r="J391" s="7" t="s">
        <v>16</v>
      </c>
      <c r="K391" s="22"/>
      <c r="L391" s="22" t="n">
        <v>1</v>
      </c>
      <c r="M391" s="11" t="n">
        <v>0.38</v>
      </c>
      <c r="N391" s="11" t="n">
        <v>0.38</v>
      </c>
      <c r="O391" s="7"/>
      <c r="P391" s="11" t="n">
        <f aca="false">IF(J391="%mo","",IF(G391="MO",IF(J391="hh",INDEX(MO_HH,MATCH(I391,MO_CAT,0)),M391*P_FACT_IPC),IF(G391="SUBPART",IFERROR(INDEX(APU_SUBP!$C$7:$C$40,MATCH(H391,APU_SUBP!$A$7:$A$40,0)),M391*P_FACT_IPC),M391*P_FACT_IPC)))</f>
        <v>0.368881587459885</v>
      </c>
      <c r="Q391" s="11" t="n">
        <f aca="false">IF(J391="%mo",L391/100*SUMIFS($R$7:$R$782,$A$7:$A$782,A391),L391*P391)</f>
        <v>0.368881587459885</v>
      </c>
      <c r="R391" s="11" t="n">
        <f aca="false">IF(G391="MO",L391*P391,0)</f>
        <v>0</v>
      </c>
    </row>
    <row r="392" customFormat="false" ht="15" hidden="false" customHeight="false" outlineLevel="0" collapsed="false">
      <c r="A392" s="9" t="s">
        <v>628</v>
      </c>
      <c r="B392" s="9" t="s">
        <v>483</v>
      </c>
      <c r="C392" s="9" t="s">
        <v>450</v>
      </c>
      <c r="D392" s="9" t="s">
        <v>615</v>
      </c>
      <c r="E392" s="9" t="s">
        <v>16</v>
      </c>
      <c r="F392" s="10" t="n">
        <v>2.25</v>
      </c>
      <c r="G392" s="9" t="s">
        <v>281</v>
      </c>
      <c r="H392" s="9" t="s">
        <v>285</v>
      </c>
      <c r="I392" s="9" t="s">
        <v>117</v>
      </c>
      <c r="J392" s="9" t="s">
        <v>283</v>
      </c>
      <c r="K392" s="31" t="n">
        <v>1</v>
      </c>
      <c r="L392" s="31" t="n">
        <v>0.0267</v>
      </c>
      <c r="M392" s="10" t="n">
        <v>18.56</v>
      </c>
      <c r="N392" s="10" t="n">
        <v>0.5</v>
      </c>
      <c r="O392" s="9" t="s">
        <v>284</v>
      </c>
      <c r="P392" s="11" t="n">
        <f aca="false">IF(J392="%mo","",IF(G392="MO",IF(J392="hh",INDEX(MO_HH,MATCH(I392,MO_CAT,0)),M392*P_FACT_IPC),IF(G392="SUBPART",IFERROR(INDEX(APU_SUBP!$C$7:$C$40,MATCH(H392,APU_SUBP!$A$7:$A$40,0)),M392*P_FACT_IPC),M392*P_FACT_IPC)))</f>
        <v>13.8259833134684</v>
      </c>
      <c r="Q392" s="11" t="n">
        <f aca="false">IF(J392="%mo",L392/100*SUMIFS($R$7:$R$782,$A$7:$A$782,A392),L392*P392)</f>
        <v>0.369153754469607</v>
      </c>
      <c r="R392" s="11" t="n">
        <f aca="false">IF(G392="MO",L392*P392,0)</f>
        <v>0.369153754469607</v>
      </c>
    </row>
    <row r="393" customFormat="false" ht="15" hidden="false" customHeight="false" outlineLevel="0" collapsed="false">
      <c r="A393" s="7" t="s">
        <v>628</v>
      </c>
      <c r="B393" s="7" t="s">
        <v>483</v>
      </c>
      <c r="C393" s="7" t="s">
        <v>450</v>
      </c>
      <c r="D393" s="7" t="s">
        <v>615</v>
      </c>
      <c r="E393" s="7" t="s">
        <v>16</v>
      </c>
      <c r="F393" s="11" t="n">
        <v>2.25</v>
      </c>
      <c r="G393" s="7" t="s">
        <v>288</v>
      </c>
      <c r="H393" s="7" t="s">
        <v>404</v>
      </c>
      <c r="I393" s="7" t="s">
        <v>405</v>
      </c>
      <c r="J393" s="7" t="s">
        <v>291</v>
      </c>
      <c r="K393" s="22" t="n">
        <v>1</v>
      </c>
      <c r="L393" s="22" t="n">
        <v>0.0267</v>
      </c>
      <c r="M393" s="11" t="n">
        <v>65.48</v>
      </c>
      <c r="N393" s="11" t="n">
        <v>1.75</v>
      </c>
      <c r="O393" s="7"/>
      <c r="P393" s="11" t="n">
        <f aca="false">IF(J393="%mo","",IF(G393="MO",IF(J393="hh",INDEX(MO_HH,MATCH(I393,MO_CAT,0)),M393*P_FACT_IPC),IF(G393="SUBPART",IFERROR(INDEX(APU_SUBP!$C$7:$C$40,MATCH(H393,APU_SUBP!$A$7:$A$40,0)),M393*P_FACT_IPC),M393*P_FACT_IPC)))</f>
        <v>84.2266516704854</v>
      </c>
      <c r="Q393" s="11" t="n">
        <f aca="false">IF(J393="%mo",L393/100*SUMIFS($R$7:$R$782,$A$7:$A$782,A393),L393*P393)</f>
        <v>2.24885159960196</v>
      </c>
      <c r="R393" s="11" t="n">
        <f aca="false">IF(G393="MO",L393*P393,0)</f>
        <v>0</v>
      </c>
    </row>
    <row r="394" customFormat="false" ht="15" hidden="false" customHeight="false" outlineLevel="0" collapsed="false">
      <c r="A394" s="9" t="s">
        <v>629</v>
      </c>
      <c r="B394" s="9" t="s">
        <v>630</v>
      </c>
      <c r="C394" s="9" t="s">
        <v>271</v>
      </c>
      <c r="D394" s="9" t="s">
        <v>631</v>
      </c>
      <c r="E394" s="9" t="s">
        <v>277</v>
      </c>
      <c r="F394" s="10" t="n">
        <v>60004.4</v>
      </c>
      <c r="G394" s="9" t="s">
        <v>274</v>
      </c>
      <c r="H394" s="9" t="s">
        <v>632</v>
      </c>
      <c r="I394" s="9" t="s">
        <v>633</v>
      </c>
      <c r="J394" s="9" t="s">
        <v>277</v>
      </c>
      <c r="K394" s="31"/>
      <c r="L394" s="31" t="n">
        <v>1</v>
      </c>
      <c r="M394" s="10" t="n">
        <v>60004.4</v>
      </c>
      <c r="N394" s="10" t="n">
        <v>60004.4</v>
      </c>
      <c r="O394" s="9"/>
      <c r="P394" s="11" t="n">
        <f aca="false">IF(J394="%mo","",IF(G394="MO",IF(J394="hh",INDEX(MO_HH,MATCH(I394,MO_CAT,0)),M394*P_FACT_IPC),IF(G394="SUBPART",IFERROR(INDEX(APU_SUBP!$C$7:$C$40,MATCH(H394,APU_SUBP!$A$7:$A$40,0)),M394*P_FACT_IPC),M394*P_FACT_IPC)))</f>
        <v>77183.4101633548</v>
      </c>
      <c r="Q394" s="11" t="n">
        <f aca="false">IF(J394="%mo",L394/100*SUMIFS($R$7:$R$782,$A$7:$A$782,A394),L394*P394)</f>
        <v>77183.4101633548</v>
      </c>
      <c r="R394" s="11" t="n">
        <f aca="false">IF(G394="MO",L394*P394,0)</f>
        <v>0</v>
      </c>
    </row>
    <row r="395" customFormat="false" ht="15" hidden="false" customHeight="false" outlineLevel="0" collapsed="false">
      <c r="A395" s="7" t="s">
        <v>634</v>
      </c>
      <c r="B395" s="7" t="s">
        <v>630</v>
      </c>
      <c r="C395" s="7" t="s">
        <v>279</v>
      </c>
      <c r="D395" s="7" t="s">
        <v>280</v>
      </c>
      <c r="E395" s="7" t="s">
        <v>18</v>
      </c>
      <c r="F395" s="11" t="n">
        <v>27992.8</v>
      </c>
      <c r="G395" s="7" t="s">
        <v>281</v>
      </c>
      <c r="H395" s="7" t="s">
        <v>282</v>
      </c>
      <c r="I395" s="7" t="s">
        <v>107</v>
      </c>
      <c r="J395" s="7" t="s">
        <v>283</v>
      </c>
      <c r="K395" s="22" t="n">
        <v>0.5</v>
      </c>
      <c r="L395" s="22" t="n">
        <v>16</v>
      </c>
      <c r="M395" s="11" t="n">
        <v>25.81</v>
      </c>
      <c r="N395" s="11" t="n">
        <v>412.96</v>
      </c>
      <c r="O395" s="7" t="s">
        <v>284</v>
      </c>
      <c r="P395" s="11" t="n">
        <f aca="false">IF(J395="%mo","",IF(G395="MO",IF(J395="hh",INDEX(MO_HH,MATCH(I395,MO_CAT,0)),M395*P_FACT_IPC),IF(G395="SUBPART",IFERROR(INDEX(APU_SUBP!$C$7:$C$40,MATCH(H395,APU_SUBP!$A$7:$A$40,0)),M395*P_FACT_IPC),M395*P_FACT_IPC)))</f>
        <v>19.226758045292</v>
      </c>
      <c r="Q395" s="11" t="n">
        <f aca="false">IF(J395="%mo",L395/100*SUMIFS($R$7:$R$782,$A$7:$A$782,A395),L395*P395)</f>
        <v>307.628128724672</v>
      </c>
      <c r="R395" s="11" t="n">
        <f aca="false">IF(G395="MO",L395*P395,0)</f>
        <v>307.628128724672</v>
      </c>
    </row>
    <row r="396" customFormat="false" ht="15" hidden="false" customHeight="false" outlineLevel="0" collapsed="false">
      <c r="A396" s="9" t="s">
        <v>634</v>
      </c>
      <c r="B396" s="9" t="s">
        <v>630</v>
      </c>
      <c r="C396" s="9" t="s">
        <v>279</v>
      </c>
      <c r="D396" s="9" t="s">
        <v>280</v>
      </c>
      <c r="E396" s="9" t="s">
        <v>18</v>
      </c>
      <c r="F396" s="10" t="n">
        <v>27992.8</v>
      </c>
      <c r="G396" s="9" t="s">
        <v>281</v>
      </c>
      <c r="H396" s="9" t="s">
        <v>285</v>
      </c>
      <c r="I396" s="9" t="s">
        <v>117</v>
      </c>
      <c r="J396" s="9" t="s">
        <v>283</v>
      </c>
      <c r="K396" s="31" t="n">
        <v>2</v>
      </c>
      <c r="L396" s="31" t="n">
        <v>64</v>
      </c>
      <c r="M396" s="10" t="n">
        <v>18.56</v>
      </c>
      <c r="N396" s="10" t="n">
        <v>1187.84</v>
      </c>
      <c r="O396" s="9" t="s">
        <v>284</v>
      </c>
      <c r="P396" s="11" t="n">
        <f aca="false">IF(J396="%mo","",IF(G396="MO",IF(J396="hh",INDEX(MO_HH,MATCH(I396,MO_CAT,0)),M396*P_FACT_IPC),IF(G396="SUBPART",IFERROR(INDEX(APU_SUBP!$C$7:$C$40,MATCH(H396,APU_SUBP!$A$7:$A$40,0)),M396*P_FACT_IPC),M396*P_FACT_IPC)))</f>
        <v>13.8259833134684</v>
      </c>
      <c r="Q396" s="11" t="n">
        <f aca="false">IF(J396="%mo",L396/100*SUMIFS($R$7:$R$782,$A$7:$A$782,A396),L396*P396)</f>
        <v>884.862932061978</v>
      </c>
      <c r="R396" s="11" t="n">
        <f aca="false">IF(G396="MO",L396*P396,0)</f>
        <v>884.862932061978</v>
      </c>
    </row>
    <row r="397" customFormat="false" ht="15" hidden="false" customHeight="false" outlineLevel="0" collapsed="false">
      <c r="A397" s="7" t="s">
        <v>634</v>
      </c>
      <c r="B397" s="7" t="s">
        <v>630</v>
      </c>
      <c r="C397" s="7" t="s">
        <v>279</v>
      </c>
      <c r="D397" s="7" t="s">
        <v>280</v>
      </c>
      <c r="E397" s="7" t="s">
        <v>18</v>
      </c>
      <c r="F397" s="11" t="n">
        <v>27992.8</v>
      </c>
      <c r="G397" s="7" t="s">
        <v>281</v>
      </c>
      <c r="H397" s="7" t="s">
        <v>286</v>
      </c>
      <c r="I397" s="7" t="s">
        <v>122</v>
      </c>
      <c r="J397" s="7" t="s">
        <v>283</v>
      </c>
      <c r="K397" s="22" t="n">
        <v>4</v>
      </c>
      <c r="L397" s="22" t="n">
        <v>128</v>
      </c>
      <c r="M397" s="11" t="n">
        <v>16.78</v>
      </c>
      <c r="N397" s="11" t="n">
        <v>2147.84</v>
      </c>
      <c r="O397" s="7" t="s">
        <v>287</v>
      </c>
      <c r="P397" s="11" t="n">
        <f aca="false">IF(J397="%mo","",IF(G397="MO",IF(J397="hh",INDEX(MO_HH,MATCH(I397,MO_CAT,0)),M397*P_FACT_IPC),IF(G397="SUBPART",IFERROR(INDEX(APU_SUBP!$C$7:$C$40,MATCH(H397,APU_SUBP!$A$7:$A$40,0)),M397*P_FACT_IPC),M397*P_FACT_IPC)))</f>
        <v>12.5</v>
      </c>
      <c r="Q397" s="11" t="n">
        <f aca="false">IF(J397="%mo",L397/100*SUMIFS($R$7:$R$782,$A$7:$A$782,A397),L397*P397)</f>
        <v>1600</v>
      </c>
      <c r="R397" s="11" t="n">
        <f aca="false">IF(G397="MO",L397*P397,0)</f>
        <v>1600</v>
      </c>
    </row>
    <row r="398" customFormat="false" ht="15" hidden="false" customHeight="false" outlineLevel="0" collapsed="false">
      <c r="A398" s="9" t="s">
        <v>634</v>
      </c>
      <c r="B398" s="9" t="s">
        <v>630</v>
      </c>
      <c r="C398" s="9" t="s">
        <v>279</v>
      </c>
      <c r="D398" s="9" t="s">
        <v>280</v>
      </c>
      <c r="E398" s="9" t="s">
        <v>18</v>
      </c>
      <c r="F398" s="10" t="n">
        <v>27992.8</v>
      </c>
      <c r="G398" s="9" t="s">
        <v>288</v>
      </c>
      <c r="H398" s="9" t="s">
        <v>289</v>
      </c>
      <c r="I398" s="9" t="s">
        <v>290</v>
      </c>
      <c r="J398" s="9" t="s">
        <v>291</v>
      </c>
      <c r="K398" s="31" t="n">
        <v>0.5</v>
      </c>
      <c r="L398" s="31" t="n">
        <v>16</v>
      </c>
      <c r="M398" s="10" t="n">
        <v>170.08</v>
      </c>
      <c r="N398" s="10" t="n">
        <v>2721.28</v>
      </c>
      <c r="O398" s="9"/>
      <c r="P398" s="11" t="n">
        <f aca="false">IF(J398="%mo","",IF(G398="MO",IF(J398="hh",INDEX(MO_HH,MATCH(I398,MO_CAT,0)),M398*P_FACT_IPC),IF(G398="SUBPART",IFERROR(INDEX(APU_SUBP!$C$7:$C$40,MATCH(H398,APU_SUBP!$A$7:$A$40,0)),M398*P_FACT_IPC),M398*P_FACT_IPC)))</f>
        <v>218.773196641969</v>
      </c>
      <c r="Q398" s="11" t="n">
        <f aca="false">IF(J398="%mo",L398/100*SUMIFS($R$7:$R$782,$A$7:$A$782,A398),L398*P398)</f>
        <v>3500.37114627151</v>
      </c>
      <c r="R398" s="11" t="n">
        <f aca="false">IF(G398="MO",L398*P398,0)</f>
        <v>0</v>
      </c>
    </row>
    <row r="399" customFormat="false" ht="15" hidden="false" customHeight="false" outlineLevel="0" collapsed="false">
      <c r="A399" s="7" t="s">
        <v>634</v>
      </c>
      <c r="B399" s="7" t="s">
        <v>630</v>
      </c>
      <c r="C399" s="7" t="s">
        <v>279</v>
      </c>
      <c r="D399" s="7" t="s">
        <v>280</v>
      </c>
      <c r="E399" s="7" t="s">
        <v>18</v>
      </c>
      <c r="F399" s="11" t="n">
        <v>27992.8</v>
      </c>
      <c r="G399" s="7" t="s">
        <v>288</v>
      </c>
      <c r="H399" s="7" t="s">
        <v>292</v>
      </c>
      <c r="I399" s="7" t="s">
        <v>293</v>
      </c>
      <c r="J399" s="7" t="s">
        <v>291</v>
      </c>
      <c r="K399" s="22" t="n">
        <v>1</v>
      </c>
      <c r="L399" s="22" t="n">
        <v>32</v>
      </c>
      <c r="M399" s="11" t="n">
        <v>159.96</v>
      </c>
      <c r="N399" s="11" t="n">
        <v>5118.72</v>
      </c>
      <c r="O399" s="7"/>
      <c r="P399" s="11" t="n">
        <f aca="false">IF(J399="%mo","",IF(G399="MO",IF(J399="hh",INDEX(MO_HH,MATCH(I399,MO_CAT,0)),M399*P_FACT_IPC),IF(G399="SUBPART",IFERROR(INDEX(APU_SUBP!$C$7:$C$40,MATCH(H399,APU_SUBP!$A$7:$A$40,0)),M399*P_FACT_IPC),M399*P_FACT_IPC)))</f>
        <v>205.75588273077</v>
      </c>
      <c r="Q399" s="11" t="n">
        <f aca="false">IF(J399="%mo",L399/100*SUMIFS($R$7:$R$782,$A$7:$A$782,A399),L399*P399)</f>
        <v>6584.18824738465</v>
      </c>
      <c r="R399" s="11" t="n">
        <f aca="false">IF(G399="MO",L399*P399,0)</f>
        <v>0</v>
      </c>
    </row>
    <row r="400" customFormat="false" ht="15" hidden="false" customHeight="false" outlineLevel="0" collapsed="false">
      <c r="A400" s="9" t="s">
        <v>634</v>
      </c>
      <c r="B400" s="9" t="s">
        <v>630</v>
      </c>
      <c r="C400" s="9" t="s">
        <v>279</v>
      </c>
      <c r="D400" s="9" t="s">
        <v>280</v>
      </c>
      <c r="E400" s="9" t="s">
        <v>18</v>
      </c>
      <c r="F400" s="10" t="n">
        <v>27992.8</v>
      </c>
      <c r="G400" s="9" t="s">
        <v>288</v>
      </c>
      <c r="H400" s="9" t="s">
        <v>294</v>
      </c>
      <c r="I400" s="9" t="s">
        <v>295</v>
      </c>
      <c r="J400" s="9" t="s">
        <v>291</v>
      </c>
      <c r="K400" s="31" t="n">
        <v>1</v>
      </c>
      <c r="L400" s="31" t="n">
        <v>32</v>
      </c>
      <c r="M400" s="10" t="n">
        <v>182.88</v>
      </c>
      <c r="N400" s="10" t="n">
        <v>5852.16</v>
      </c>
      <c r="O400" s="9"/>
      <c r="P400" s="11" t="n">
        <f aca="false">IF(J400="%mo","",IF(G400="MO",IF(J400="hh",INDEX(MO_HH,MATCH(I400,MO_CAT,0)),M400*P_FACT_IPC),IF(G400="SUBPART",IFERROR(INDEX(APU_SUBP!$C$7:$C$40,MATCH(H400,APU_SUBP!$A$7:$A$40,0)),M400*P_FACT_IPC),M400*P_FACT_IPC)))</f>
        <v>235.237783407122</v>
      </c>
      <c r="Q400" s="11" t="n">
        <f aca="false">IF(J400="%mo",L400/100*SUMIFS($R$7:$R$782,$A$7:$A$782,A400),L400*P400)</f>
        <v>7527.60906902791</v>
      </c>
      <c r="R400" s="11" t="n">
        <f aca="false">IF(G400="MO",L400*P400,0)</f>
        <v>0</v>
      </c>
    </row>
    <row r="401" customFormat="false" ht="15" hidden="false" customHeight="false" outlineLevel="0" collapsed="false">
      <c r="A401" s="7" t="s">
        <v>634</v>
      </c>
      <c r="B401" s="7" t="s">
        <v>630</v>
      </c>
      <c r="C401" s="7" t="s">
        <v>279</v>
      </c>
      <c r="D401" s="7" t="s">
        <v>280</v>
      </c>
      <c r="E401" s="7" t="s">
        <v>18</v>
      </c>
      <c r="F401" s="11" t="n">
        <v>27992.8</v>
      </c>
      <c r="G401" s="7" t="s">
        <v>288</v>
      </c>
      <c r="H401" s="7" t="s">
        <v>296</v>
      </c>
      <c r="I401" s="7" t="s">
        <v>297</v>
      </c>
      <c r="J401" s="7" t="s">
        <v>291</v>
      </c>
      <c r="K401" s="22" t="n">
        <v>1</v>
      </c>
      <c r="L401" s="22" t="n">
        <v>32</v>
      </c>
      <c r="M401" s="11" t="n">
        <v>188.87</v>
      </c>
      <c r="N401" s="11" t="n">
        <v>6043.84</v>
      </c>
      <c r="O401" s="7"/>
      <c r="P401" s="11" t="n">
        <f aca="false">IF(J401="%mo","",IF(G401="MO",IF(J401="hh",INDEX(MO_HH,MATCH(I401,MO_CAT,0)),M401*P_FACT_IPC),IF(G401="SUBPART",IFERROR(INDEX(APU_SUBP!$C$7:$C$40,MATCH(H401,APU_SUBP!$A$7:$A$40,0)),M401*P_FACT_IPC),M401*P_FACT_IPC)))</f>
        <v>242.942695494877</v>
      </c>
      <c r="Q401" s="11" t="n">
        <f aca="false">IF(J401="%mo",L401/100*SUMIFS($R$7:$R$782,$A$7:$A$782,A401),L401*P401)</f>
        <v>7774.16625583608</v>
      </c>
      <c r="R401" s="11" t="n">
        <f aca="false">IF(G401="MO",L401*P401,0)</f>
        <v>0</v>
      </c>
    </row>
    <row r="402" customFormat="false" ht="15" hidden="false" customHeight="false" outlineLevel="0" collapsed="false">
      <c r="A402" s="9" t="s">
        <v>634</v>
      </c>
      <c r="B402" s="9" t="s">
        <v>630</v>
      </c>
      <c r="C402" s="9" t="s">
        <v>279</v>
      </c>
      <c r="D402" s="9" t="s">
        <v>280</v>
      </c>
      <c r="E402" s="9" t="s">
        <v>18</v>
      </c>
      <c r="F402" s="10" t="n">
        <v>27992.8</v>
      </c>
      <c r="G402" s="9" t="s">
        <v>288</v>
      </c>
      <c r="H402" s="9" t="s">
        <v>298</v>
      </c>
      <c r="I402" s="9" t="s">
        <v>299</v>
      </c>
      <c r="J402" s="9" t="s">
        <v>291</v>
      </c>
      <c r="K402" s="31" t="n">
        <v>1</v>
      </c>
      <c r="L402" s="31" t="n">
        <v>32</v>
      </c>
      <c r="M402" s="10" t="n">
        <v>140.88</v>
      </c>
      <c r="N402" s="10" t="n">
        <v>4508.16</v>
      </c>
      <c r="O402" s="9"/>
      <c r="P402" s="11" t="n">
        <f aca="false">IF(J402="%mo","",IF(G402="MO",IF(J402="hh",INDEX(MO_HH,MATCH(I402,MO_CAT,0)),M402*P_FACT_IPC),IF(G402="SUBPART",IFERROR(INDEX(APU_SUBP!$C$7:$C$40,MATCH(H402,APU_SUBP!$A$7:$A$40,0)),M402*P_FACT_IPC),M402*P_FACT_IPC)))</f>
        <v>181.213358083964</v>
      </c>
      <c r="Q402" s="11" t="n">
        <f aca="false">IF(J402="%mo",L402/100*SUMIFS($R$7:$R$782,$A$7:$A$782,A402),L402*P402)</f>
        <v>5798.82745868686</v>
      </c>
      <c r="R402" s="11" t="n">
        <f aca="false">IF(G402="MO",L402*P402,0)</f>
        <v>0</v>
      </c>
    </row>
    <row r="403" customFormat="false" ht="15" hidden="false" customHeight="false" outlineLevel="0" collapsed="false">
      <c r="A403" s="7" t="s">
        <v>635</v>
      </c>
      <c r="B403" s="7" t="s">
        <v>630</v>
      </c>
      <c r="C403" s="7" t="s">
        <v>301</v>
      </c>
      <c r="D403" s="7" t="s">
        <v>302</v>
      </c>
      <c r="E403" s="7" t="s">
        <v>18</v>
      </c>
      <c r="F403" s="11" t="n">
        <v>4665.44</v>
      </c>
      <c r="G403" s="7" t="s">
        <v>281</v>
      </c>
      <c r="H403" s="7" t="s">
        <v>282</v>
      </c>
      <c r="I403" s="7" t="s">
        <v>107</v>
      </c>
      <c r="J403" s="7" t="s">
        <v>283</v>
      </c>
      <c r="K403" s="22" t="n">
        <v>0.5</v>
      </c>
      <c r="L403" s="22" t="n">
        <v>2.6667</v>
      </c>
      <c r="M403" s="11" t="n">
        <v>25.81</v>
      </c>
      <c r="N403" s="11" t="n">
        <v>68.83</v>
      </c>
      <c r="O403" s="7" t="s">
        <v>284</v>
      </c>
      <c r="P403" s="11" t="n">
        <f aca="false">IF(J403="%mo","",IF(G403="MO",IF(J403="hh",INDEX(MO_HH,MATCH(I403,MO_CAT,0)),M403*P_FACT_IPC),IF(G403="SUBPART",IFERROR(INDEX(APU_SUBP!$C$7:$C$40,MATCH(H403,APU_SUBP!$A$7:$A$40,0)),M403*P_FACT_IPC),M403*P_FACT_IPC)))</f>
        <v>19.226758045292</v>
      </c>
      <c r="Q403" s="11" t="n">
        <f aca="false">IF(J403="%mo",L403/100*SUMIFS($R$7:$R$782,$A$7:$A$782,A403),L403*P403)</f>
        <v>51.2719956793802</v>
      </c>
      <c r="R403" s="11" t="n">
        <f aca="false">IF(G403="MO",L403*P403,0)</f>
        <v>51.2719956793802</v>
      </c>
    </row>
    <row r="404" customFormat="false" ht="15" hidden="false" customHeight="false" outlineLevel="0" collapsed="false">
      <c r="A404" s="9" t="s">
        <v>635</v>
      </c>
      <c r="B404" s="9" t="s">
        <v>630</v>
      </c>
      <c r="C404" s="9" t="s">
        <v>301</v>
      </c>
      <c r="D404" s="9" t="s">
        <v>302</v>
      </c>
      <c r="E404" s="9" t="s">
        <v>18</v>
      </c>
      <c r="F404" s="10" t="n">
        <v>4665.44</v>
      </c>
      <c r="G404" s="9" t="s">
        <v>281</v>
      </c>
      <c r="H404" s="9" t="s">
        <v>285</v>
      </c>
      <c r="I404" s="9" t="s">
        <v>117</v>
      </c>
      <c r="J404" s="9" t="s">
        <v>283</v>
      </c>
      <c r="K404" s="31" t="n">
        <v>2</v>
      </c>
      <c r="L404" s="31" t="n">
        <v>10.6667</v>
      </c>
      <c r="M404" s="10" t="n">
        <v>18.56</v>
      </c>
      <c r="N404" s="10" t="n">
        <v>197.97</v>
      </c>
      <c r="O404" s="9" t="s">
        <v>284</v>
      </c>
      <c r="P404" s="11" t="n">
        <f aca="false">IF(J404="%mo","",IF(G404="MO",IF(J404="hh",INDEX(MO_HH,MATCH(I404,MO_CAT,0)),M404*P_FACT_IPC),IF(G404="SUBPART",IFERROR(INDEX(APU_SUBP!$C$7:$C$40,MATCH(H404,APU_SUBP!$A$7:$A$40,0)),M404*P_FACT_IPC),M404*P_FACT_IPC)))</f>
        <v>13.8259833134684</v>
      </c>
      <c r="Q404" s="11" t="n">
        <f aca="false">IF(J404="%mo",L404/100*SUMIFS($R$7:$R$782,$A$7:$A$782,A404),L404*P404)</f>
        <v>147.477616209774</v>
      </c>
      <c r="R404" s="11" t="n">
        <f aca="false">IF(G404="MO",L404*P404,0)</f>
        <v>147.477616209774</v>
      </c>
    </row>
    <row r="405" customFormat="false" ht="15" hidden="false" customHeight="false" outlineLevel="0" collapsed="false">
      <c r="A405" s="7" t="s">
        <v>635</v>
      </c>
      <c r="B405" s="7" t="s">
        <v>630</v>
      </c>
      <c r="C405" s="7" t="s">
        <v>301</v>
      </c>
      <c r="D405" s="7" t="s">
        <v>302</v>
      </c>
      <c r="E405" s="7" t="s">
        <v>18</v>
      </c>
      <c r="F405" s="11" t="n">
        <v>4665.44</v>
      </c>
      <c r="G405" s="7" t="s">
        <v>281</v>
      </c>
      <c r="H405" s="7" t="s">
        <v>286</v>
      </c>
      <c r="I405" s="7" t="s">
        <v>122</v>
      </c>
      <c r="J405" s="7" t="s">
        <v>283</v>
      </c>
      <c r="K405" s="22" t="n">
        <v>4</v>
      </c>
      <c r="L405" s="22" t="n">
        <v>21.3333</v>
      </c>
      <c r="M405" s="11" t="n">
        <v>16.78</v>
      </c>
      <c r="N405" s="11" t="n">
        <v>357.97</v>
      </c>
      <c r="O405" s="7" t="s">
        <v>287</v>
      </c>
      <c r="P405" s="11" t="n">
        <f aca="false">IF(J405="%mo","",IF(G405="MO",IF(J405="hh",INDEX(MO_HH,MATCH(I405,MO_CAT,0)),M405*P_FACT_IPC),IF(G405="SUBPART",IFERROR(INDEX(APU_SUBP!$C$7:$C$40,MATCH(H405,APU_SUBP!$A$7:$A$40,0)),M405*P_FACT_IPC),M405*P_FACT_IPC)))</f>
        <v>12.5</v>
      </c>
      <c r="Q405" s="11" t="n">
        <f aca="false">IF(J405="%mo",L405/100*SUMIFS($R$7:$R$782,$A$7:$A$782,A405),L405*P405)</f>
        <v>266.66625</v>
      </c>
      <c r="R405" s="11" t="n">
        <f aca="false">IF(G405="MO",L405*P405,0)</f>
        <v>266.66625</v>
      </c>
    </row>
    <row r="406" customFormat="false" ht="15" hidden="false" customHeight="false" outlineLevel="0" collapsed="false">
      <c r="A406" s="9" t="s">
        <v>635</v>
      </c>
      <c r="B406" s="9" t="s">
        <v>630</v>
      </c>
      <c r="C406" s="9" t="s">
        <v>301</v>
      </c>
      <c r="D406" s="9" t="s">
        <v>302</v>
      </c>
      <c r="E406" s="9" t="s">
        <v>18</v>
      </c>
      <c r="F406" s="10" t="n">
        <v>4665.44</v>
      </c>
      <c r="G406" s="9" t="s">
        <v>288</v>
      </c>
      <c r="H406" s="9" t="s">
        <v>289</v>
      </c>
      <c r="I406" s="9" t="s">
        <v>290</v>
      </c>
      <c r="J406" s="9" t="s">
        <v>291</v>
      </c>
      <c r="K406" s="31" t="n">
        <v>0.5</v>
      </c>
      <c r="L406" s="31" t="n">
        <v>2.6667</v>
      </c>
      <c r="M406" s="10" t="n">
        <v>170.08</v>
      </c>
      <c r="N406" s="10" t="n">
        <v>453.55</v>
      </c>
      <c r="O406" s="9"/>
      <c r="P406" s="11" t="n">
        <f aca="false">IF(J406="%mo","",IF(G406="MO",IF(J406="hh",INDEX(MO_HH,MATCH(I406,MO_CAT,0)),M406*P_FACT_IPC),IF(G406="SUBPART",IFERROR(INDEX(APU_SUBP!$C$7:$C$40,MATCH(H406,APU_SUBP!$A$7:$A$40,0)),M406*P_FACT_IPC),M406*P_FACT_IPC)))</f>
        <v>218.773196641969</v>
      </c>
      <c r="Q406" s="11" t="n">
        <f aca="false">IF(J406="%mo",L406/100*SUMIFS($R$7:$R$782,$A$7:$A$782,A406),L406*P406)</f>
        <v>583.40248348514</v>
      </c>
      <c r="R406" s="11" t="n">
        <f aca="false">IF(G406="MO",L406*P406,0)</f>
        <v>0</v>
      </c>
    </row>
    <row r="407" customFormat="false" ht="15" hidden="false" customHeight="false" outlineLevel="0" collapsed="false">
      <c r="A407" s="7" t="s">
        <v>635</v>
      </c>
      <c r="B407" s="7" t="s">
        <v>630</v>
      </c>
      <c r="C407" s="7" t="s">
        <v>301</v>
      </c>
      <c r="D407" s="7" t="s">
        <v>302</v>
      </c>
      <c r="E407" s="7" t="s">
        <v>18</v>
      </c>
      <c r="F407" s="11" t="n">
        <v>4665.44</v>
      </c>
      <c r="G407" s="7" t="s">
        <v>288</v>
      </c>
      <c r="H407" s="7" t="s">
        <v>292</v>
      </c>
      <c r="I407" s="7" t="s">
        <v>293</v>
      </c>
      <c r="J407" s="7" t="s">
        <v>291</v>
      </c>
      <c r="K407" s="22" t="n">
        <v>1</v>
      </c>
      <c r="L407" s="22" t="n">
        <v>5.3333</v>
      </c>
      <c r="M407" s="11" t="n">
        <v>159.96</v>
      </c>
      <c r="N407" s="11" t="n">
        <v>853.11</v>
      </c>
      <c r="O407" s="7"/>
      <c r="P407" s="11" t="n">
        <f aca="false">IF(J407="%mo","",IF(G407="MO",IF(J407="hh",INDEX(MO_HH,MATCH(I407,MO_CAT,0)),M407*P_FACT_IPC),IF(G407="SUBPART",IFERROR(INDEX(APU_SUBP!$C$7:$C$40,MATCH(H407,APU_SUBP!$A$7:$A$40,0)),M407*P_FACT_IPC),M407*P_FACT_IPC)))</f>
        <v>205.75588273077</v>
      </c>
      <c r="Q407" s="11" t="n">
        <f aca="false">IF(J407="%mo",L407/100*SUMIFS($R$7:$R$782,$A$7:$A$782,A407),L407*P407)</f>
        <v>1097.35784936802</v>
      </c>
      <c r="R407" s="11" t="n">
        <f aca="false">IF(G407="MO",L407*P407,0)</f>
        <v>0</v>
      </c>
    </row>
    <row r="408" customFormat="false" ht="15" hidden="false" customHeight="false" outlineLevel="0" collapsed="false">
      <c r="A408" s="9" t="s">
        <v>635</v>
      </c>
      <c r="B408" s="9" t="s">
        <v>630</v>
      </c>
      <c r="C408" s="9" t="s">
        <v>301</v>
      </c>
      <c r="D408" s="9" t="s">
        <v>302</v>
      </c>
      <c r="E408" s="9" t="s">
        <v>18</v>
      </c>
      <c r="F408" s="10" t="n">
        <v>4665.44</v>
      </c>
      <c r="G408" s="9" t="s">
        <v>288</v>
      </c>
      <c r="H408" s="9" t="s">
        <v>294</v>
      </c>
      <c r="I408" s="9" t="s">
        <v>295</v>
      </c>
      <c r="J408" s="9" t="s">
        <v>291</v>
      </c>
      <c r="K408" s="31" t="n">
        <v>1</v>
      </c>
      <c r="L408" s="31" t="n">
        <v>5.3333</v>
      </c>
      <c r="M408" s="10" t="n">
        <v>182.88</v>
      </c>
      <c r="N408" s="10" t="n">
        <v>975.35</v>
      </c>
      <c r="O408" s="9"/>
      <c r="P408" s="11" t="n">
        <f aca="false">IF(J408="%mo","",IF(G408="MO",IF(J408="hh",INDEX(MO_HH,MATCH(I408,MO_CAT,0)),M408*P_FACT_IPC),IF(G408="SUBPART",IFERROR(INDEX(APU_SUBP!$C$7:$C$40,MATCH(H408,APU_SUBP!$A$7:$A$40,0)),M408*P_FACT_IPC),M408*P_FACT_IPC)))</f>
        <v>235.237783407122</v>
      </c>
      <c r="Q408" s="11" t="n">
        <f aca="false">IF(J408="%mo",L408/100*SUMIFS($R$7:$R$782,$A$7:$A$782,A408),L408*P408)</f>
        <v>1254.59367024521</v>
      </c>
      <c r="R408" s="11" t="n">
        <f aca="false">IF(G408="MO",L408*P408,0)</f>
        <v>0</v>
      </c>
    </row>
    <row r="409" customFormat="false" ht="15" hidden="false" customHeight="false" outlineLevel="0" collapsed="false">
      <c r="A409" s="7" t="s">
        <v>635</v>
      </c>
      <c r="B409" s="7" t="s">
        <v>630</v>
      </c>
      <c r="C409" s="7" t="s">
        <v>301</v>
      </c>
      <c r="D409" s="7" t="s">
        <v>302</v>
      </c>
      <c r="E409" s="7" t="s">
        <v>18</v>
      </c>
      <c r="F409" s="11" t="n">
        <v>4665.44</v>
      </c>
      <c r="G409" s="7" t="s">
        <v>288</v>
      </c>
      <c r="H409" s="7" t="s">
        <v>296</v>
      </c>
      <c r="I409" s="7" t="s">
        <v>297</v>
      </c>
      <c r="J409" s="7" t="s">
        <v>291</v>
      </c>
      <c r="K409" s="22" t="n">
        <v>1</v>
      </c>
      <c r="L409" s="22" t="n">
        <v>5.3333</v>
      </c>
      <c r="M409" s="11" t="n">
        <v>188.87</v>
      </c>
      <c r="N409" s="11" t="n">
        <v>1007.3</v>
      </c>
      <c r="O409" s="7"/>
      <c r="P409" s="11" t="n">
        <f aca="false">IF(J409="%mo","",IF(G409="MO",IF(J409="hh",INDEX(MO_HH,MATCH(I409,MO_CAT,0)),M409*P_FACT_IPC),IF(G409="SUBPART",IFERROR(INDEX(APU_SUBP!$C$7:$C$40,MATCH(H409,APU_SUBP!$A$7:$A$40,0)),M409*P_FACT_IPC),M409*P_FACT_IPC)))</f>
        <v>242.942695494877</v>
      </c>
      <c r="Q409" s="11" t="n">
        <f aca="false">IF(J409="%mo",L409/100*SUMIFS($R$7:$R$782,$A$7:$A$782,A409),L409*P409)</f>
        <v>1295.68627788283</v>
      </c>
      <c r="R409" s="11" t="n">
        <f aca="false">IF(G409="MO",L409*P409,0)</f>
        <v>0</v>
      </c>
    </row>
    <row r="410" customFormat="false" ht="15" hidden="false" customHeight="false" outlineLevel="0" collapsed="false">
      <c r="A410" s="9" t="s">
        <v>635</v>
      </c>
      <c r="B410" s="9" t="s">
        <v>630</v>
      </c>
      <c r="C410" s="9" t="s">
        <v>301</v>
      </c>
      <c r="D410" s="9" t="s">
        <v>302</v>
      </c>
      <c r="E410" s="9" t="s">
        <v>18</v>
      </c>
      <c r="F410" s="10" t="n">
        <v>4665.44</v>
      </c>
      <c r="G410" s="9" t="s">
        <v>288</v>
      </c>
      <c r="H410" s="9" t="s">
        <v>298</v>
      </c>
      <c r="I410" s="9" t="s">
        <v>299</v>
      </c>
      <c r="J410" s="9" t="s">
        <v>291</v>
      </c>
      <c r="K410" s="31" t="n">
        <v>1</v>
      </c>
      <c r="L410" s="31" t="n">
        <v>5.3333</v>
      </c>
      <c r="M410" s="10" t="n">
        <v>140.88</v>
      </c>
      <c r="N410" s="10" t="n">
        <v>751.36</v>
      </c>
      <c r="O410" s="9"/>
      <c r="P410" s="11" t="n">
        <f aca="false">IF(J410="%mo","",IF(G410="MO",IF(J410="hh",INDEX(MO_HH,MATCH(I410,MO_CAT,0)),M410*P_FACT_IPC),IF(G410="SUBPART",IFERROR(INDEX(APU_SUBP!$C$7:$C$40,MATCH(H410,APU_SUBP!$A$7:$A$40,0)),M410*P_FACT_IPC),M410*P_FACT_IPC)))</f>
        <v>181.213358083964</v>
      </c>
      <c r="Q410" s="11" t="n">
        <f aca="false">IF(J410="%mo",L410/100*SUMIFS($R$7:$R$782,$A$7:$A$782,A410),L410*P410)</f>
        <v>966.465202669207</v>
      </c>
      <c r="R410" s="11" t="n">
        <f aca="false">IF(G410="MO",L410*P410,0)</f>
        <v>0</v>
      </c>
    </row>
    <row r="411" customFormat="false" ht="15" hidden="false" customHeight="false" outlineLevel="0" collapsed="false">
      <c r="A411" s="7" t="s">
        <v>636</v>
      </c>
      <c r="B411" s="7" t="s">
        <v>630</v>
      </c>
      <c r="C411" s="7" t="s">
        <v>304</v>
      </c>
      <c r="D411" s="7" t="s">
        <v>305</v>
      </c>
      <c r="E411" s="7" t="s">
        <v>18</v>
      </c>
      <c r="F411" s="11" t="n">
        <v>583.87</v>
      </c>
      <c r="G411" s="7" t="s">
        <v>281</v>
      </c>
      <c r="H411" s="7" t="s">
        <v>306</v>
      </c>
      <c r="I411" s="7" t="s">
        <v>112</v>
      </c>
      <c r="J411" s="7" t="s">
        <v>283</v>
      </c>
      <c r="K411" s="22" t="n">
        <v>1</v>
      </c>
      <c r="L411" s="22" t="n">
        <v>5</v>
      </c>
      <c r="M411" s="11" t="n">
        <v>23.46</v>
      </c>
      <c r="N411" s="11" t="n">
        <v>117.3</v>
      </c>
      <c r="O411" s="7" t="s">
        <v>284</v>
      </c>
      <c r="P411" s="11" t="n">
        <f aca="false">IF(J411="%mo","",IF(G411="MO",IF(J411="hh",INDEX(MO_HH,MATCH(I411,MO_CAT,0)),M411*P_FACT_IPC),IF(G411="SUBPART",IFERROR(INDEX(APU_SUBP!$C$7:$C$40,MATCH(H411,APU_SUBP!$A$7:$A$40,0)),M411*P_FACT_IPC),M411*P_FACT_IPC)))</f>
        <v>17.4761620977354</v>
      </c>
      <c r="Q411" s="11" t="n">
        <f aca="false">IF(J411="%mo",L411/100*SUMIFS($R$7:$R$782,$A$7:$A$782,A411),L411*P411)</f>
        <v>87.380810488677</v>
      </c>
      <c r="R411" s="11" t="n">
        <f aca="false">IF(G411="MO",L411*P411,0)</f>
        <v>87.380810488677</v>
      </c>
    </row>
    <row r="412" customFormat="false" ht="15" hidden="false" customHeight="false" outlineLevel="0" collapsed="false">
      <c r="A412" s="9" t="s">
        <v>636</v>
      </c>
      <c r="B412" s="9" t="s">
        <v>630</v>
      </c>
      <c r="C412" s="9" t="s">
        <v>304</v>
      </c>
      <c r="D412" s="9" t="s">
        <v>305</v>
      </c>
      <c r="E412" s="9" t="s">
        <v>18</v>
      </c>
      <c r="F412" s="10" t="n">
        <v>583.87</v>
      </c>
      <c r="G412" s="9" t="s">
        <v>281</v>
      </c>
      <c r="H412" s="9" t="s">
        <v>285</v>
      </c>
      <c r="I412" s="9" t="s">
        <v>117</v>
      </c>
      <c r="J412" s="9" t="s">
        <v>283</v>
      </c>
      <c r="K412" s="31" t="n">
        <v>1</v>
      </c>
      <c r="L412" s="31" t="n">
        <v>5</v>
      </c>
      <c r="M412" s="10" t="n">
        <v>18.56</v>
      </c>
      <c r="N412" s="10" t="n">
        <v>92.8</v>
      </c>
      <c r="O412" s="9" t="s">
        <v>284</v>
      </c>
      <c r="P412" s="11" t="n">
        <f aca="false">IF(J412="%mo","",IF(G412="MO",IF(J412="hh",INDEX(MO_HH,MATCH(I412,MO_CAT,0)),M412*P_FACT_IPC),IF(G412="SUBPART",IFERROR(INDEX(APU_SUBP!$C$7:$C$40,MATCH(H412,APU_SUBP!$A$7:$A$40,0)),M412*P_FACT_IPC),M412*P_FACT_IPC)))</f>
        <v>13.8259833134684</v>
      </c>
      <c r="Q412" s="11" t="n">
        <f aca="false">IF(J412="%mo",L412/100*SUMIFS($R$7:$R$782,$A$7:$A$782,A412),L412*P412)</f>
        <v>69.1299165673421</v>
      </c>
      <c r="R412" s="11" t="n">
        <f aca="false">IF(G412="MO",L412*P412,0)</f>
        <v>69.1299165673421</v>
      </c>
    </row>
    <row r="413" customFormat="false" ht="15" hidden="false" customHeight="false" outlineLevel="0" collapsed="false">
      <c r="A413" s="7" t="s">
        <v>636</v>
      </c>
      <c r="B413" s="7" t="s">
        <v>630</v>
      </c>
      <c r="C413" s="7" t="s">
        <v>304</v>
      </c>
      <c r="D413" s="7" t="s">
        <v>305</v>
      </c>
      <c r="E413" s="7" t="s">
        <v>18</v>
      </c>
      <c r="F413" s="11" t="n">
        <v>583.87</v>
      </c>
      <c r="G413" s="7" t="s">
        <v>281</v>
      </c>
      <c r="H413" s="7" t="s">
        <v>286</v>
      </c>
      <c r="I413" s="7" t="s">
        <v>122</v>
      </c>
      <c r="J413" s="7" t="s">
        <v>283</v>
      </c>
      <c r="K413" s="22" t="n">
        <v>3</v>
      </c>
      <c r="L413" s="22" t="n">
        <v>15</v>
      </c>
      <c r="M413" s="11" t="n">
        <v>16.78</v>
      </c>
      <c r="N413" s="11" t="n">
        <v>251.7</v>
      </c>
      <c r="O413" s="7" t="s">
        <v>287</v>
      </c>
      <c r="P413" s="11" t="n">
        <f aca="false">IF(J413="%mo","",IF(G413="MO",IF(J413="hh",INDEX(MO_HH,MATCH(I413,MO_CAT,0)),M413*P_FACT_IPC),IF(G413="SUBPART",IFERROR(INDEX(APU_SUBP!$C$7:$C$40,MATCH(H413,APU_SUBP!$A$7:$A$40,0)),M413*P_FACT_IPC),M413*P_FACT_IPC)))</f>
        <v>12.5</v>
      </c>
      <c r="Q413" s="11" t="n">
        <f aca="false">IF(J413="%mo",L413/100*SUMIFS($R$7:$R$782,$A$7:$A$782,A413),L413*P413)</f>
        <v>187.5</v>
      </c>
      <c r="R413" s="11" t="n">
        <f aca="false">IF(G413="MO",L413*P413,0)</f>
        <v>187.5</v>
      </c>
    </row>
    <row r="414" customFormat="false" ht="15" hidden="false" customHeight="false" outlineLevel="0" collapsed="false">
      <c r="A414" s="9" t="s">
        <v>636</v>
      </c>
      <c r="B414" s="9" t="s">
        <v>630</v>
      </c>
      <c r="C414" s="9" t="s">
        <v>304</v>
      </c>
      <c r="D414" s="9" t="s">
        <v>305</v>
      </c>
      <c r="E414" s="9" t="s">
        <v>18</v>
      </c>
      <c r="F414" s="10" t="n">
        <v>583.87</v>
      </c>
      <c r="G414" s="9" t="s">
        <v>307</v>
      </c>
      <c r="H414" s="9" t="s">
        <v>308</v>
      </c>
      <c r="I414" s="9" t="s">
        <v>309</v>
      </c>
      <c r="J414" s="9" t="s">
        <v>310</v>
      </c>
      <c r="K414" s="31"/>
      <c r="L414" s="31" t="n">
        <v>0.003</v>
      </c>
      <c r="M414" s="10" t="n">
        <v>14.7</v>
      </c>
      <c r="N414" s="10" t="n">
        <v>0.04</v>
      </c>
      <c r="O414" s="9"/>
      <c r="P414" s="11" t="n">
        <f aca="false">IF(J414="%mo","",IF(G414="MO",IF(J414="hh",INDEX(MO_HH,MATCH(I414,MO_CAT,0)),M414*P_FACT_IPC),IF(G414="SUBPART",IFERROR(INDEX(APU_SUBP!$C$7:$C$40,MATCH(H414,APU_SUBP!$A$7:$A$40,0)),M414*P_FACT_IPC),M414*P_FACT_IPC)))</f>
        <v>18.9085488631053</v>
      </c>
      <c r="Q414" s="11" t="n">
        <f aca="false">IF(J414="%mo",L414/100*SUMIFS($R$7:$R$782,$A$7:$A$782,A414),L414*P414)</f>
        <v>0.0567256465893159</v>
      </c>
      <c r="R414" s="11" t="n">
        <f aca="false">IF(G414="MO",L414*P414,0)</f>
        <v>0</v>
      </c>
    </row>
    <row r="415" customFormat="false" ht="15" hidden="false" customHeight="false" outlineLevel="0" collapsed="false">
      <c r="A415" s="7" t="s">
        <v>636</v>
      </c>
      <c r="B415" s="7" t="s">
        <v>630</v>
      </c>
      <c r="C415" s="7" t="s">
        <v>304</v>
      </c>
      <c r="D415" s="7" t="s">
        <v>305</v>
      </c>
      <c r="E415" s="7" t="s">
        <v>18</v>
      </c>
      <c r="F415" s="11" t="n">
        <v>583.87</v>
      </c>
      <c r="G415" s="7" t="s">
        <v>307</v>
      </c>
      <c r="H415" s="7" t="s">
        <v>311</v>
      </c>
      <c r="I415" s="7" t="s">
        <v>312</v>
      </c>
      <c r="J415" s="7" t="s">
        <v>313</v>
      </c>
      <c r="K415" s="22"/>
      <c r="L415" s="22" t="n">
        <v>0.01</v>
      </c>
      <c r="M415" s="11" t="n">
        <v>1.63</v>
      </c>
      <c r="N415" s="11" t="n">
        <v>0.02</v>
      </c>
      <c r="O415" s="7"/>
      <c r="P415" s="11" t="n">
        <f aca="false">IF(J415="%mo","",IF(G415="MO",IF(J415="hh",INDEX(MO_HH,MATCH(I415,MO_CAT,0)),M415*P_FACT_IPC),IF(G415="SUBPART",IFERROR(INDEX(APU_SUBP!$C$7:$C$40,MATCH(H415,APU_SUBP!$A$7:$A$40,0)),M415*P_FACT_IPC),M415*P_FACT_IPC)))</f>
        <v>2.09666222087494</v>
      </c>
      <c r="Q415" s="11" t="n">
        <f aca="false">IF(J415="%mo",L415/100*SUMIFS($R$7:$R$782,$A$7:$A$782,A415),L415*P415)</f>
        <v>0.0209666222087494</v>
      </c>
      <c r="R415" s="11" t="n">
        <f aca="false">IF(G415="MO",L415*P415,0)</f>
        <v>0</v>
      </c>
    </row>
    <row r="416" customFormat="false" ht="15" hidden="false" customHeight="false" outlineLevel="0" collapsed="false">
      <c r="A416" s="9" t="s">
        <v>636</v>
      </c>
      <c r="B416" s="9" t="s">
        <v>630</v>
      </c>
      <c r="C416" s="9" t="s">
        <v>304</v>
      </c>
      <c r="D416" s="9" t="s">
        <v>305</v>
      </c>
      <c r="E416" s="9" t="s">
        <v>18</v>
      </c>
      <c r="F416" s="10" t="n">
        <v>583.87</v>
      </c>
      <c r="G416" s="9" t="s">
        <v>307</v>
      </c>
      <c r="H416" s="9" t="s">
        <v>314</v>
      </c>
      <c r="I416" s="9" t="s">
        <v>315</v>
      </c>
      <c r="J416" s="9" t="s">
        <v>316</v>
      </c>
      <c r="K416" s="31"/>
      <c r="L416" s="31" t="n">
        <v>0.007</v>
      </c>
      <c r="M416" s="10" t="n">
        <v>1.63</v>
      </c>
      <c r="N416" s="10" t="n">
        <v>0.01</v>
      </c>
      <c r="O416" s="9"/>
      <c r="P416" s="11" t="n">
        <f aca="false">IF(J416="%mo","",IF(G416="MO",IF(J416="hh",INDEX(MO_HH,MATCH(I416,MO_CAT,0)),M416*P_FACT_IPC),IF(G416="SUBPART",IFERROR(INDEX(APU_SUBP!$C$7:$C$40,MATCH(H416,APU_SUBP!$A$7:$A$40,0)),M416*P_FACT_IPC),M416*P_FACT_IPC)))</f>
        <v>2.09666222087494</v>
      </c>
      <c r="Q416" s="11" t="n">
        <f aca="false">IF(J416="%mo",L416/100*SUMIFS($R$7:$R$782,$A$7:$A$782,A416),L416*P416)</f>
        <v>0.0146766355461246</v>
      </c>
      <c r="R416" s="11" t="n">
        <f aca="false">IF(G416="MO",L416*P416,0)</f>
        <v>0</v>
      </c>
    </row>
    <row r="417" customFormat="false" ht="15" hidden="false" customHeight="false" outlineLevel="0" collapsed="false">
      <c r="A417" s="7" t="s">
        <v>636</v>
      </c>
      <c r="B417" s="7" t="s">
        <v>630</v>
      </c>
      <c r="C417" s="7" t="s">
        <v>304</v>
      </c>
      <c r="D417" s="7" t="s">
        <v>305</v>
      </c>
      <c r="E417" s="7" t="s">
        <v>18</v>
      </c>
      <c r="F417" s="11" t="n">
        <v>583.87</v>
      </c>
      <c r="G417" s="7" t="s">
        <v>307</v>
      </c>
      <c r="H417" s="7" t="s">
        <v>317</v>
      </c>
      <c r="I417" s="7" t="s">
        <v>318</v>
      </c>
      <c r="J417" s="7" t="s">
        <v>319</v>
      </c>
      <c r="K417" s="22"/>
      <c r="L417" s="22" t="n">
        <v>0.002</v>
      </c>
      <c r="M417" s="11" t="n">
        <v>34.07</v>
      </c>
      <c r="N417" s="11" t="n">
        <v>0.07</v>
      </c>
      <c r="O417" s="7"/>
      <c r="P417" s="11" t="n">
        <f aca="false">IF(J417="%mo","",IF(G417="MO",IF(J417="hh",INDEX(MO_HH,MATCH(I417,MO_CAT,0)),M417*P_FACT_IPC),IF(G417="SUBPART",IFERROR(INDEX(APU_SUBP!$C$7:$C$40,MATCH(H417,APU_SUBP!$A$7:$A$40,0)),M417*P_FACT_IPC),M417*P_FACT_IPC)))</f>
        <v>43.8240993038094</v>
      </c>
      <c r="Q417" s="11" t="n">
        <f aca="false">IF(J417="%mo",L417/100*SUMIFS($R$7:$R$782,$A$7:$A$782,A417),L417*P417)</f>
        <v>0.0876481986076187</v>
      </c>
      <c r="R417" s="11" t="n">
        <f aca="false">IF(G417="MO",L417*P417,0)</f>
        <v>0</v>
      </c>
    </row>
    <row r="418" customFormat="false" ht="15" hidden="false" customHeight="false" outlineLevel="0" collapsed="false">
      <c r="A418" s="9" t="s">
        <v>636</v>
      </c>
      <c r="B418" s="9" t="s">
        <v>630</v>
      </c>
      <c r="C418" s="9" t="s">
        <v>304</v>
      </c>
      <c r="D418" s="9" t="s">
        <v>305</v>
      </c>
      <c r="E418" s="9" t="s">
        <v>18</v>
      </c>
      <c r="F418" s="10" t="n">
        <v>583.87</v>
      </c>
      <c r="G418" s="9" t="s">
        <v>288</v>
      </c>
      <c r="H418" s="9" t="s">
        <v>320</v>
      </c>
      <c r="I418" s="9" t="s">
        <v>321</v>
      </c>
      <c r="J418" s="9" t="s">
        <v>322</v>
      </c>
      <c r="K418" s="31" t="n">
        <v>0.5</v>
      </c>
      <c r="L418" s="31" t="n">
        <v>2.5</v>
      </c>
      <c r="M418" s="10" t="n">
        <v>9.71</v>
      </c>
      <c r="N418" s="10" t="n">
        <v>24.28</v>
      </c>
      <c r="O418" s="9"/>
      <c r="P418" s="11" t="n">
        <f aca="false">IF(J418="%mo","",IF(G418="MO",IF(J418="hh",INDEX(MO_HH,MATCH(I418,MO_CAT,0)),M418*P_FACT_IPC),IF(G418="SUBPART",IFERROR(INDEX(APU_SUBP!$C$7:$C$40,MATCH(H418,APU_SUBP!$A$7:$A$40,0)),M418*P_FACT_IPC),M418*P_FACT_IPC)))</f>
        <v>12.4899326163777</v>
      </c>
      <c r="Q418" s="11" t="n">
        <f aca="false">IF(J418="%mo",L418/100*SUMIFS($R$7:$R$782,$A$7:$A$782,A418),L418*P418)</f>
        <v>31.2248315409443</v>
      </c>
      <c r="R418" s="11" t="n">
        <f aca="false">IF(G418="MO",L418*P418,0)</f>
        <v>0</v>
      </c>
    </row>
    <row r="419" customFormat="false" ht="15" hidden="false" customHeight="false" outlineLevel="0" collapsed="false">
      <c r="A419" s="7" t="s">
        <v>636</v>
      </c>
      <c r="B419" s="7" t="s">
        <v>630</v>
      </c>
      <c r="C419" s="7" t="s">
        <v>304</v>
      </c>
      <c r="D419" s="7" t="s">
        <v>305</v>
      </c>
      <c r="E419" s="7" t="s">
        <v>18</v>
      </c>
      <c r="F419" s="11" t="n">
        <v>583.87</v>
      </c>
      <c r="G419" s="7" t="s">
        <v>288</v>
      </c>
      <c r="H419" s="7" t="s">
        <v>323</v>
      </c>
      <c r="I419" s="7" t="s">
        <v>324</v>
      </c>
      <c r="J419" s="7" t="s">
        <v>322</v>
      </c>
      <c r="K419" s="22" t="n">
        <v>1</v>
      </c>
      <c r="L419" s="22" t="n">
        <v>5</v>
      </c>
      <c r="M419" s="11" t="n">
        <v>16.7</v>
      </c>
      <c r="N419" s="11" t="n">
        <v>83.5</v>
      </c>
      <c r="O419" s="7"/>
      <c r="P419" s="11" t="n">
        <f aca="false">IF(J419="%mo","",IF(G419="MO",IF(J419="hh",INDEX(MO_HH,MATCH(I419,MO_CAT,0)),M419*P_FACT_IPC),IF(G419="SUBPART",IFERROR(INDEX(APU_SUBP!$C$7:$C$40,MATCH(H419,APU_SUBP!$A$7:$A$40,0)),M419*P_FACT_IPC),M419*P_FACT_IPC)))</f>
        <v>21.4811405451604</v>
      </c>
      <c r="Q419" s="11" t="n">
        <f aca="false">IF(J419="%mo",L419/100*SUMIFS($R$7:$R$782,$A$7:$A$782,A419),L419*P419)</f>
        <v>107.405702725802</v>
      </c>
      <c r="R419" s="11" t="n">
        <f aca="false">IF(G419="MO",L419*P419,0)</f>
        <v>0</v>
      </c>
    </row>
    <row r="420" customFormat="false" ht="15" hidden="false" customHeight="false" outlineLevel="0" collapsed="false">
      <c r="A420" s="9" t="s">
        <v>636</v>
      </c>
      <c r="B420" s="9" t="s">
        <v>630</v>
      </c>
      <c r="C420" s="9" t="s">
        <v>304</v>
      </c>
      <c r="D420" s="9" t="s">
        <v>305</v>
      </c>
      <c r="E420" s="9" t="s">
        <v>18</v>
      </c>
      <c r="F420" s="10" t="n">
        <v>583.87</v>
      </c>
      <c r="G420" s="9" t="s">
        <v>288</v>
      </c>
      <c r="H420" s="9" t="s">
        <v>325</v>
      </c>
      <c r="I420" s="9" t="s">
        <v>326</v>
      </c>
      <c r="J420" s="9" t="s">
        <v>322</v>
      </c>
      <c r="K420" s="31" t="n">
        <v>0.5</v>
      </c>
      <c r="L420" s="31" t="n">
        <v>2.5</v>
      </c>
      <c r="M420" s="10" t="n">
        <v>0.12</v>
      </c>
      <c r="N420" s="10" t="n">
        <v>0.3</v>
      </c>
      <c r="O420" s="9"/>
      <c r="P420" s="11" t="n">
        <f aca="false">IF(J420="%mo","",IF(G420="MO",IF(J420="hh",INDEX(MO_HH,MATCH(I420,MO_CAT,0)),M420*P_FACT_IPC),IF(G420="SUBPART",IFERROR(INDEX(APU_SUBP!$C$7:$C$40,MATCH(H420,APU_SUBP!$A$7:$A$40,0)),M420*P_FACT_IPC),M420*P_FACT_IPC)))</f>
        <v>0.154355500923309</v>
      </c>
      <c r="Q420" s="11" t="n">
        <f aca="false">IF(J420="%mo",L420/100*SUMIFS($R$7:$R$782,$A$7:$A$782,A420),L420*P420)</f>
        <v>0.385888752308271</v>
      </c>
      <c r="R420" s="11" t="n">
        <f aca="false">IF(G420="MO",L420*P420,0)</f>
        <v>0</v>
      </c>
    </row>
    <row r="421" customFormat="false" ht="15" hidden="false" customHeight="false" outlineLevel="0" collapsed="false">
      <c r="A421" s="7" t="s">
        <v>636</v>
      </c>
      <c r="B421" s="7" t="s">
        <v>630</v>
      </c>
      <c r="C421" s="7" t="s">
        <v>304</v>
      </c>
      <c r="D421" s="7" t="s">
        <v>305</v>
      </c>
      <c r="E421" s="7" t="s">
        <v>18</v>
      </c>
      <c r="F421" s="11" t="n">
        <v>583.87</v>
      </c>
      <c r="G421" s="7" t="s">
        <v>288</v>
      </c>
      <c r="H421" s="7" t="s">
        <v>327</v>
      </c>
      <c r="I421" s="7" t="s">
        <v>328</v>
      </c>
      <c r="J421" s="7" t="s">
        <v>329</v>
      </c>
      <c r="K421" s="22"/>
      <c r="L421" s="22" t="n">
        <v>3</v>
      </c>
      <c r="M421" s="11" t="n">
        <v>461.8</v>
      </c>
      <c r="N421" s="11" t="n">
        <v>13.85</v>
      </c>
      <c r="O421" s="7"/>
      <c r="P421" s="11" t="str">
        <f aca="false">IF(J421="%mo","",IF(G421="MO",IF(J421="hh",INDEX(MO_HH,MATCH(I421,MO_CAT,0)),M421*P_FACT_IPC),IF(G421="SUBPART",IFERROR(INDEX(APU_SUBP!$C$7:$C$40,MATCH(H421,APU_SUBP!$A$7:$A$40,0)),M421*P_FACT_IPC),M421*P_FACT_IPC)))</f>
        <v/>
      </c>
      <c r="Q421" s="11" t="n">
        <f aca="false">IF(J421="%mo",L421/100*SUMIFS($R$7:$R$782,$A$7:$A$782,A421),L421*P421)</f>
        <v>10.3203218116806</v>
      </c>
      <c r="R421" s="11" t="n">
        <f aca="false">IF(G421="MO",L421*P421,0)</f>
        <v>0</v>
      </c>
    </row>
    <row r="422" customFormat="false" ht="15" hidden="false" customHeight="false" outlineLevel="0" collapsed="false">
      <c r="A422" s="9" t="s">
        <v>637</v>
      </c>
      <c r="B422" s="9" t="s">
        <v>630</v>
      </c>
      <c r="C422" s="9" t="s">
        <v>331</v>
      </c>
      <c r="D422" s="9" t="s">
        <v>332</v>
      </c>
      <c r="E422" s="9" t="s">
        <v>12</v>
      </c>
      <c r="F422" s="10" t="n">
        <v>285.04</v>
      </c>
      <c r="G422" s="9" t="s">
        <v>281</v>
      </c>
      <c r="H422" s="9" t="s">
        <v>282</v>
      </c>
      <c r="I422" s="9" t="s">
        <v>107</v>
      </c>
      <c r="J422" s="9" t="s">
        <v>283</v>
      </c>
      <c r="K422" s="31" t="n">
        <v>1</v>
      </c>
      <c r="L422" s="31" t="n">
        <v>0.32</v>
      </c>
      <c r="M422" s="10" t="n">
        <v>25.81</v>
      </c>
      <c r="N422" s="10" t="n">
        <v>8.26</v>
      </c>
      <c r="O422" s="9" t="s">
        <v>284</v>
      </c>
      <c r="P422" s="11" t="n">
        <f aca="false">IF(J422="%mo","",IF(G422="MO",IF(J422="hh",INDEX(MO_HH,MATCH(I422,MO_CAT,0)),M422*P_FACT_IPC),IF(G422="SUBPART",IFERROR(INDEX(APU_SUBP!$C$7:$C$40,MATCH(H422,APU_SUBP!$A$7:$A$40,0)),M422*P_FACT_IPC),M422*P_FACT_IPC)))</f>
        <v>19.226758045292</v>
      </c>
      <c r="Q422" s="11" t="n">
        <f aca="false">IF(J422="%mo",L422/100*SUMIFS($R$7:$R$782,$A$7:$A$782,A422),L422*P422)</f>
        <v>6.15256257449344</v>
      </c>
      <c r="R422" s="11" t="n">
        <f aca="false">IF(G422="MO",L422*P422,0)</f>
        <v>6.15256257449344</v>
      </c>
    </row>
    <row r="423" customFormat="false" ht="15" hidden="false" customHeight="false" outlineLevel="0" collapsed="false">
      <c r="A423" s="7" t="s">
        <v>637</v>
      </c>
      <c r="B423" s="7" t="s">
        <v>630</v>
      </c>
      <c r="C423" s="7" t="s">
        <v>331</v>
      </c>
      <c r="D423" s="7" t="s">
        <v>332</v>
      </c>
      <c r="E423" s="7" t="s">
        <v>12</v>
      </c>
      <c r="F423" s="11" t="n">
        <v>285.04</v>
      </c>
      <c r="G423" s="7" t="s">
        <v>281</v>
      </c>
      <c r="H423" s="7" t="s">
        <v>286</v>
      </c>
      <c r="I423" s="7" t="s">
        <v>122</v>
      </c>
      <c r="J423" s="7" t="s">
        <v>283</v>
      </c>
      <c r="K423" s="22" t="n">
        <v>50</v>
      </c>
      <c r="L423" s="22" t="n">
        <v>16</v>
      </c>
      <c r="M423" s="11" t="n">
        <v>16.78</v>
      </c>
      <c r="N423" s="11" t="n">
        <v>268.48</v>
      </c>
      <c r="O423" s="7" t="s">
        <v>287</v>
      </c>
      <c r="P423" s="11" t="n">
        <f aca="false">IF(J423="%mo","",IF(G423="MO",IF(J423="hh",INDEX(MO_HH,MATCH(I423,MO_CAT,0)),M423*P_FACT_IPC),IF(G423="SUBPART",IFERROR(INDEX(APU_SUBP!$C$7:$C$40,MATCH(H423,APU_SUBP!$A$7:$A$40,0)),M423*P_FACT_IPC),M423*P_FACT_IPC)))</f>
        <v>12.5</v>
      </c>
      <c r="Q423" s="11" t="n">
        <f aca="false">IF(J423="%mo",L423/100*SUMIFS($R$7:$R$782,$A$7:$A$782,A423),L423*P423)</f>
        <v>200</v>
      </c>
      <c r="R423" s="11" t="n">
        <f aca="false">IF(G423="MO",L423*P423,0)</f>
        <v>200</v>
      </c>
    </row>
    <row r="424" customFormat="false" ht="15" hidden="false" customHeight="false" outlineLevel="0" collapsed="false">
      <c r="A424" s="9" t="s">
        <v>637</v>
      </c>
      <c r="B424" s="9" t="s">
        <v>630</v>
      </c>
      <c r="C424" s="9" t="s">
        <v>331</v>
      </c>
      <c r="D424" s="9" t="s">
        <v>332</v>
      </c>
      <c r="E424" s="9" t="s">
        <v>12</v>
      </c>
      <c r="F424" s="10" t="n">
        <v>285.04</v>
      </c>
      <c r="G424" s="9" t="s">
        <v>288</v>
      </c>
      <c r="H424" s="9" t="s">
        <v>327</v>
      </c>
      <c r="I424" s="9" t="s">
        <v>328</v>
      </c>
      <c r="J424" s="9" t="s">
        <v>329</v>
      </c>
      <c r="K424" s="31"/>
      <c r="L424" s="31" t="n">
        <v>3</v>
      </c>
      <c r="M424" s="10" t="n">
        <v>276.74</v>
      </c>
      <c r="N424" s="10" t="n">
        <v>8.3</v>
      </c>
      <c r="O424" s="9"/>
      <c r="P424" s="11" t="str">
        <f aca="false">IF(J424="%mo","",IF(G424="MO",IF(J424="hh",INDEX(MO_HH,MATCH(I424,MO_CAT,0)),M424*P_FACT_IPC),IF(G424="SUBPART",IFERROR(INDEX(APU_SUBP!$C$7:$C$40,MATCH(H424,APU_SUBP!$A$7:$A$40,0)),M424*P_FACT_IPC),M424*P_FACT_IPC)))</f>
        <v/>
      </c>
      <c r="Q424" s="11" t="n">
        <f aca="false">IF(J424="%mo",L424/100*SUMIFS($R$7:$R$782,$A$7:$A$782,A424),L424*P424)</f>
        <v>6.1845768772348</v>
      </c>
      <c r="R424" s="11" t="n">
        <f aca="false">IF(G424="MO",L424*P424,0)</f>
        <v>0</v>
      </c>
    </row>
    <row r="425" customFormat="false" ht="15" hidden="false" customHeight="false" outlineLevel="0" collapsed="false">
      <c r="A425" s="7" t="s">
        <v>638</v>
      </c>
      <c r="B425" s="7" t="s">
        <v>630</v>
      </c>
      <c r="C425" s="7" t="s">
        <v>334</v>
      </c>
      <c r="D425" s="7" t="s">
        <v>639</v>
      </c>
      <c r="E425" s="7" t="s">
        <v>494</v>
      </c>
      <c r="F425" s="11" t="n">
        <v>6000</v>
      </c>
      <c r="G425" s="7" t="s">
        <v>281</v>
      </c>
      <c r="H425" s="7" t="s">
        <v>640</v>
      </c>
      <c r="I425" s="7" t="s">
        <v>641</v>
      </c>
      <c r="J425" s="7" t="s">
        <v>277</v>
      </c>
      <c r="K425" s="22"/>
      <c r="L425" s="22" t="n">
        <v>1</v>
      </c>
      <c r="M425" s="11" t="n">
        <v>6000</v>
      </c>
      <c r="N425" s="11" t="n">
        <v>6000</v>
      </c>
      <c r="O425" s="7" t="s">
        <v>284</v>
      </c>
      <c r="P425" s="11" t="n">
        <f aca="false">IF(J425="%mo","",IF(G425="MO",IF(J425="hh",INDEX(MO_HH,MATCH(I425,MO_CAT,0)),M425*P_FACT_IPC),IF(G425="SUBPART",IFERROR(INDEX(APU_SUBP!$C$7:$C$40,MATCH(H425,APU_SUBP!$A$7:$A$40,0)),M425*P_FACT_IPC),M425*P_FACT_IPC)))</f>
        <v>7717.77504616543</v>
      </c>
      <c r="Q425" s="11" t="n">
        <f aca="false">IF(J425="%mo",L425/100*SUMIFS($R$7:$R$782,$A$7:$A$782,A425),L425*P425)</f>
        <v>7717.77504616543</v>
      </c>
      <c r="R425" s="11" t="n">
        <f aca="false">IF(G425="MO",L425*P425,0)</f>
        <v>7717.77504616543</v>
      </c>
    </row>
    <row r="426" customFormat="false" ht="15" hidden="false" customHeight="false" outlineLevel="0" collapsed="false">
      <c r="A426" s="9" t="s">
        <v>642</v>
      </c>
      <c r="B426" s="9" t="s">
        <v>630</v>
      </c>
      <c r="C426" s="9" t="s">
        <v>339</v>
      </c>
      <c r="D426" s="9" t="s">
        <v>340</v>
      </c>
      <c r="E426" s="9" t="s">
        <v>341</v>
      </c>
      <c r="F426" s="10" t="n">
        <v>202.06</v>
      </c>
      <c r="G426" s="9" t="s">
        <v>274</v>
      </c>
      <c r="H426" s="9" t="s">
        <v>342</v>
      </c>
      <c r="I426" s="9" t="s">
        <v>343</v>
      </c>
      <c r="J426" s="9" t="s">
        <v>341</v>
      </c>
      <c r="K426" s="31"/>
      <c r="L426" s="31" t="n">
        <v>1</v>
      </c>
      <c r="M426" s="10" t="n">
        <v>53.5</v>
      </c>
      <c r="N426" s="10" t="n">
        <v>53.5</v>
      </c>
      <c r="O426" s="9"/>
      <c r="P426" s="11" t="n">
        <f aca="false">IF(J426="%mo","",IF(G426="MO",IF(J426="hh",INDEX(MO_HH,MATCH(I426,MO_CAT,0)),M426*P_FACT_IPC),IF(G426="SUBPART",IFERROR(INDEX(APU_SUBP!$C$7:$C$40,MATCH(H426,APU_SUBP!$A$7:$A$40,0)),M426*P_FACT_IPC),M426*P_FACT_IPC)))</f>
        <v>68.8168274949751</v>
      </c>
      <c r="Q426" s="11" t="n">
        <f aca="false">IF(J426="%mo",L426/100*SUMIFS($R$7:$R$782,$A$7:$A$782,A426),L426*P426)</f>
        <v>68.8168274949751</v>
      </c>
      <c r="R426" s="11" t="n">
        <f aca="false">IF(G426="MO",L426*P426,0)</f>
        <v>0</v>
      </c>
    </row>
    <row r="427" customFormat="false" ht="15" hidden="false" customHeight="false" outlineLevel="0" collapsed="false">
      <c r="A427" s="7" t="s">
        <v>642</v>
      </c>
      <c r="B427" s="7" t="s">
        <v>630</v>
      </c>
      <c r="C427" s="7" t="s">
        <v>339</v>
      </c>
      <c r="D427" s="7" t="s">
        <v>340</v>
      </c>
      <c r="E427" s="7" t="s">
        <v>341</v>
      </c>
      <c r="F427" s="11" t="n">
        <v>202.06</v>
      </c>
      <c r="G427" s="7" t="s">
        <v>274</v>
      </c>
      <c r="H427" s="7" t="s">
        <v>344</v>
      </c>
      <c r="I427" s="7" t="s">
        <v>345</v>
      </c>
      <c r="J427" s="7" t="s">
        <v>341</v>
      </c>
      <c r="K427" s="22"/>
      <c r="L427" s="22" t="n">
        <v>1</v>
      </c>
      <c r="M427" s="11" t="n">
        <v>41.46</v>
      </c>
      <c r="N427" s="11" t="n">
        <v>41.46</v>
      </c>
      <c r="O427" s="7"/>
      <c r="P427" s="11" t="n">
        <f aca="false">IF(J427="%mo","",IF(G427="MO",IF(J427="hh",INDEX(MO_HH,MATCH(I427,MO_CAT,0)),M427*P_FACT_IPC),IF(G427="SUBPART",IFERROR(INDEX(APU_SUBP!$C$7:$C$40,MATCH(H427,APU_SUBP!$A$7:$A$40,0)),M427*P_FACT_IPC),M427*P_FACT_IPC)))</f>
        <v>53.3298255690031</v>
      </c>
      <c r="Q427" s="11" t="n">
        <f aca="false">IF(J427="%mo",L427/100*SUMIFS($R$7:$R$782,$A$7:$A$782,A427),L427*P427)</f>
        <v>53.3298255690031</v>
      </c>
      <c r="R427" s="11" t="n">
        <f aca="false">IF(G427="MO",L427*P427,0)</f>
        <v>0</v>
      </c>
    </row>
    <row r="428" customFormat="false" ht="15" hidden="false" customHeight="false" outlineLevel="0" collapsed="false">
      <c r="A428" s="9" t="s">
        <v>642</v>
      </c>
      <c r="B428" s="9" t="s">
        <v>630</v>
      </c>
      <c r="C428" s="9" t="s">
        <v>339</v>
      </c>
      <c r="D428" s="9" t="s">
        <v>340</v>
      </c>
      <c r="E428" s="9" t="s">
        <v>341</v>
      </c>
      <c r="F428" s="10" t="n">
        <v>202.06</v>
      </c>
      <c r="G428" s="9" t="s">
        <v>274</v>
      </c>
      <c r="H428" s="9" t="s">
        <v>346</v>
      </c>
      <c r="I428" s="9" t="s">
        <v>347</v>
      </c>
      <c r="J428" s="9" t="s">
        <v>341</v>
      </c>
      <c r="K428" s="31"/>
      <c r="L428" s="31" t="n">
        <v>1</v>
      </c>
      <c r="M428" s="10" t="n">
        <v>25.68</v>
      </c>
      <c r="N428" s="10" t="n">
        <v>25.68</v>
      </c>
      <c r="O428" s="9"/>
      <c r="P428" s="11" t="n">
        <f aca="false">IF(J428="%mo","",IF(G428="MO",IF(J428="hh",INDEX(MO_HH,MATCH(I428,MO_CAT,0)),M428*P_FACT_IPC),IF(G428="SUBPART",IFERROR(INDEX(APU_SUBP!$C$7:$C$40,MATCH(H428,APU_SUBP!$A$7:$A$40,0)),M428*P_FACT_IPC),M428*P_FACT_IPC)))</f>
        <v>33.032077197588</v>
      </c>
      <c r="Q428" s="11" t="n">
        <f aca="false">IF(J428="%mo",L428/100*SUMIFS($R$7:$R$782,$A$7:$A$782,A428),L428*P428)</f>
        <v>33.032077197588</v>
      </c>
      <c r="R428" s="11" t="n">
        <f aca="false">IF(G428="MO",L428*P428,0)</f>
        <v>0</v>
      </c>
    </row>
    <row r="429" customFormat="false" ht="15" hidden="false" customHeight="false" outlineLevel="0" collapsed="false">
      <c r="A429" s="7" t="s">
        <v>642</v>
      </c>
      <c r="B429" s="7" t="s">
        <v>630</v>
      </c>
      <c r="C429" s="7" t="s">
        <v>339</v>
      </c>
      <c r="D429" s="7" t="s">
        <v>340</v>
      </c>
      <c r="E429" s="7" t="s">
        <v>341</v>
      </c>
      <c r="F429" s="11" t="n">
        <v>202.06</v>
      </c>
      <c r="G429" s="7" t="s">
        <v>274</v>
      </c>
      <c r="H429" s="7" t="s">
        <v>348</v>
      </c>
      <c r="I429" s="7" t="s">
        <v>349</v>
      </c>
      <c r="J429" s="7" t="s">
        <v>341</v>
      </c>
      <c r="K429" s="22"/>
      <c r="L429" s="22" t="n">
        <v>1</v>
      </c>
      <c r="M429" s="11" t="n">
        <v>15.56</v>
      </c>
      <c r="N429" s="11" t="n">
        <v>15.56</v>
      </c>
      <c r="O429" s="7"/>
      <c r="P429" s="11" t="n">
        <f aca="false">IF(J429="%mo","",IF(G429="MO",IF(J429="hh",INDEX(MO_HH,MATCH(I429,MO_CAT,0)),M429*P_FACT_IPC),IF(G429="SUBPART",IFERROR(INDEX(APU_SUBP!$C$7:$C$40,MATCH(H429,APU_SUBP!$A$7:$A$40,0)),M429*P_FACT_IPC),M429*P_FACT_IPC)))</f>
        <v>20.014763286389</v>
      </c>
      <c r="Q429" s="11" t="n">
        <f aca="false">IF(J429="%mo",L429/100*SUMIFS($R$7:$R$782,$A$7:$A$782,A429),L429*P429)</f>
        <v>20.014763286389</v>
      </c>
      <c r="R429" s="11" t="n">
        <f aca="false">IF(G429="MO",L429*P429,0)</f>
        <v>0</v>
      </c>
    </row>
    <row r="430" customFormat="false" ht="15" hidden="false" customHeight="false" outlineLevel="0" collapsed="false">
      <c r="A430" s="9" t="s">
        <v>642</v>
      </c>
      <c r="B430" s="9" t="s">
        <v>630</v>
      </c>
      <c r="C430" s="9" t="s">
        <v>339</v>
      </c>
      <c r="D430" s="9" t="s">
        <v>340</v>
      </c>
      <c r="E430" s="9" t="s">
        <v>341</v>
      </c>
      <c r="F430" s="10" t="n">
        <v>202.06</v>
      </c>
      <c r="G430" s="9" t="s">
        <v>274</v>
      </c>
      <c r="H430" s="9" t="s">
        <v>350</v>
      </c>
      <c r="I430" s="9" t="s">
        <v>351</v>
      </c>
      <c r="J430" s="9" t="s">
        <v>341</v>
      </c>
      <c r="K430" s="31"/>
      <c r="L430" s="31" t="n">
        <v>1</v>
      </c>
      <c r="M430" s="10" t="n">
        <v>12.45</v>
      </c>
      <c r="N430" s="10" t="n">
        <v>12.45</v>
      </c>
      <c r="O430" s="9"/>
      <c r="P430" s="11" t="n">
        <f aca="false">IF(J430="%mo","",IF(G430="MO",IF(J430="hh",INDEX(MO_HH,MATCH(I430,MO_CAT,0)),M430*P_FACT_IPC),IF(G430="SUBPART",IFERROR(INDEX(APU_SUBP!$C$7:$C$40,MATCH(H430,APU_SUBP!$A$7:$A$40,0)),M430*P_FACT_IPC),M430*P_FACT_IPC)))</f>
        <v>16.0143832207933</v>
      </c>
      <c r="Q430" s="11" t="n">
        <f aca="false">IF(J430="%mo",L430/100*SUMIFS($R$7:$R$782,$A$7:$A$782,A430),L430*P430)</f>
        <v>16.0143832207933</v>
      </c>
      <c r="R430" s="11" t="n">
        <f aca="false">IF(G430="MO",L430*P430,0)</f>
        <v>0</v>
      </c>
    </row>
    <row r="431" customFormat="false" ht="15" hidden="false" customHeight="false" outlineLevel="0" collapsed="false">
      <c r="A431" s="7" t="s">
        <v>642</v>
      </c>
      <c r="B431" s="7" t="s">
        <v>630</v>
      </c>
      <c r="C431" s="7" t="s">
        <v>339</v>
      </c>
      <c r="D431" s="7" t="s">
        <v>340</v>
      </c>
      <c r="E431" s="7" t="s">
        <v>341</v>
      </c>
      <c r="F431" s="11" t="n">
        <v>202.06</v>
      </c>
      <c r="G431" s="7" t="s">
        <v>274</v>
      </c>
      <c r="H431" s="7" t="s">
        <v>352</v>
      </c>
      <c r="I431" s="7" t="s">
        <v>353</v>
      </c>
      <c r="J431" s="7" t="s">
        <v>341</v>
      </c>
      <c r="K431" s="22"/>
      <c r="L431" s="22" t="n">
        <v>1</v>
      </c>
      <c r="M431" s="11" t="n">
        <v>27.78</v>
      </c>
      <c r="N431" s="11" t="n">
        <v>27.78</v>
      </c>
      <c r="O431" s="7"/>
      <c r="P431" s="11" t="n">
        <f aca="false">IF(J431="%mo","",IF(G431="MO",IF(J431="hh",INDEX(MO_HH,MATCH(I431,MO_CAT,0)),M431*P_FACT_IPC),IF(G431="SUBPART",IFERROR(INDEX(APU_SUBP!$C$7:$C$40,MATCH(H431,APU_SUBP!$A$7:$A$40,0)),M431*P_FACT_IPC),M431*P_FACT_IPC)))</f>
        <v>35.7332984637459</v>
      </c>
      <c r="Q431" s="11" t="n">
        <f aca="false">IF(J431="%mo",L431/100*SUMIFS($R$7:$R$782,$A$7:$A$782,A431),L431*P431)</f>
        <v>35.7332984637459</v>
      </c>
      <c r="R431" s="11" t="n">
        <f aca="false">IF(G431="MO",L431*P431,0)</f>
        <v>0</v>
      </c>
    </row>
    <row r="432" customFormat="false" ht="15" hidden="false" customHeight="false" outlineLevel="0" collapsed="false">
      <c r="A432" s="9" t="s">
        <v>642</v>
      </c>
      <c r="B432" s="9" t="s">
        <v>630</v>
      </c>
      <c r="C432" s="9" t="s">
        <v>339</v>
      </c>
      <c r="D432" s="9" t="s">
        <v>340</v>
      </c>
      <c r="E432" s="9" t="s">
        <v>341</v>
      </c>
      <c r="F432" s="10" t="n">
        <v>202.06</v>
      </c>
      <c r="G432" s="9" t="s">
        <v>274</v>
      </c>
      <c r="H432" s="9" t="s">
        <v>354</v>
      </c>
      <c r="I432" s="9" t="s">
        <v>355</v>
      </c>
      <c r="J432" s="9" t="s">
        <v>341</v>
      </c>
      <c r="K432" s="31"/>
      <c r="L432" s="31" t="n">
        <v>1</v>
      </c>
      <c r="M432" s="10" t="n">
        <v>25.63</v>
      </c>
      <c r="N432" s="10" t="n">
        <v>25.63</v>
      </c>
      <c r="O432" s="9"/>
      <c r="P432" s="11" t="n">
        <f aca="false">IF(J432="%mo","",IF(G432="MO",IF(J432="hh",INDEX(MO_HH,MATCH(I432,MO_CAT,0)),M432*P_FACT_IPC),IF(G432="SUBPART",IFERROR(INDEX(APU_SUBP!$C$7:$C$40,MATCH(H432,APU_SUBP!$A$7:$A$40,0)),M432*P_FACT_IPC),M432*P_FACT_IPC)))</f>
        <v>32.9677624055367</v>
      </c>
      <c r="Q432" s="11" t="n">
        <f aca="false">IF(J432="%mo",L432/100*SUMIFS($R$7:$R$782,$A$7:$A$782,A432),L432*P432)</f>
        <v>32.9677624055367</v>
      </c>
      <c r="R432" s="11" t="n">
        <f aca="false">IF(G432="MO",L432*P432,0)</f>
        <v>0</v>
      </c>
    </row>
    <row r="433" customFormat="false" ht="15" hidden="false" customHeight="false" outlineLevel="0" collapsed="false">
      <c r="A433" s="7" t="s">
        <v>643</v>
      </c>
      <c r="B433" s="7" t="s">
        <v>630</v>
      </c>
      <c r="C433" s="7" t="s">
        <v>357</v>
      </c>
      <c r="D433" s="7" t="s">
        <v>358</v>
      </c>
      <c r="E433" s="7" t="s">
        <v>16</v>
      </c>
      <c r="F433" s="11" t="n">
        <v>4445.55</v>
      </c>
      <c r="G433" s="7" t="s">
        <v>281</v>
      </c>
      <c r="H433" s="7" t="s">
        <v>282</v>
      </c>
      <c r="I433" s="7" t="s">
        <v>107</v>
      </c>
      <c r="J433" s="7" t="s">
        <v>283</v>
      </c>
      <c r="K433" s="22" t="n">
        <v>0.5</v>
      </c>
      <c r="L433" s="22" t="n">
        <v>4</v>
      </c>
      <c r="M433" s="11" t="n">
        <v>25.81</v>
      </c>
      <c r="N433" s="11" t="n">
        <v>103.24</v>
      </c>
      <c r="O433" s="7" t="s">
        <v>284</v>
      </c>
      <c r="P433" s="11" t="n">
        <f aca="false">IF(J433="%mo","",IF(G433="MO",IF(J433="hh",INDEX(MO_HH,MATCH(I433,MO_CAT,0)),M433*P_FACT_IPC),IF(G433="SUBPART",IFERROR(INDEX(APU_SUBP!$C$7:$C$40,MATCH(H433,APU_SUBP!$A$7:$A$40,0)),M433*P_FACT_IPC),M433*P_FACT_IPC)))</f>
        <v>19.226758045292</v>
      </c>
      <c r="Q433" s="11" t="n">
        <f aca="false">IF(J433="%mo",L433/100*SUMIFS($R$7:$R$782,$A$7:$A$782,A433),L433*P433)</f>
        <v>76.9070321811681</v>
      </c>
      <c r="R433" s="11" t="n">
        <f aca="false">IF(G433="MO",L433*P433,0)</f>
        <v>76.9070321811681</v>
      </c>
    </row>
    <row r="434" customFormat="false" ht="15" hidden="false" customHeight="false" outlineLevel="0" collapsed="false">
      <c r="A434" s="9" t="s">
        <v>643</v>
      </c>
      <c r="B434" s="9" t="s">
        <v>630</v>
      </c>
      <c r="C434" s="9" t="s">
        <v>357</v>
      </c>
      <c r="D434" s="9" t="s">
        <v>358</v>
      </c>
      <c r="E434" s="9" t="s">
        <v>16</v>
      </c>
      <c r="F434" s="10" t="n">
        <v>4445.55</v>
      </c>
      <c r="G434" s="9" t="s">
        <v>281</v>
      </c>
      <c r="H434" s="9" t="s">
        <v>306</v>
      </c>
      <c r="I434" s="9" t="s">
        <v>112</v>
      </c>
      <c r="J434" s="9" t="s">
        <v>283</v>
      </c>
      <c r="K434" s="31" t="n">
        <v>1</v>
      </c>
      <c r="L434" s="31" t="n">
        <v>8</v>
      </c>
      <c r="M434" s="10" t="n">
        <v>23.46</v>
      </c>
      <c r="N434" s="10" t="n">
        <v>187.68</v>
      </c>
      <c r="O434" s="9" t="s">
        <v>284</v>
      </c>
      <c r="P434" s="11" t="n">
        <f aca="false">IF(J434="%mo","",IF(G434="MO",IF(J434="hh",INDEX(MO_HH,MATCH(I434,MO_CAT,0)),M434*P_FACT_IPC),IF(G434="SUBPART",IFERROR(INDEX(APU_SUBP!$C$7:$C$40,MATCH(H434,APU_SUBP!$A$7:$A$40,0)),M434*P_FACT_IPC),M434*P_FACT_IPC)))</f>
        <v>17.4761620977354</v>
      </c>
      <c r="Q434" s="11" t="n">
        <f aca="false">IF(J434="%mo",L434/100*SUMIFS($R$7:$R$782,$A$7:$A$782,A434),L434*P434)</f>
        <v>139.809296781883</v>
      </c>
      <c r="R434" s="11" t="n">
        <f aca="false">IF(G434="MO",L434*P434,0)</f>
        <v>139.809296781883</v>
      </c>
    </row>
    <row r="435" customFormat="false" ht="15" hidden="false" customHeight="false" outlineLevel="0" collapsed="false">
      <c r="A435" s="7" t="s">
        <v>643</v>
      </c>
      <c r="B435" s="7" t="s">
        <v>630</v>
      </c>
      <c r="C435" s="7" t="s">
        <v>357</v>
      </c>
      <c r="D435" s="7" t="s">
        <v>358</v>
      </c>
      <c r="E435" s="7" t="s">
        <v>16</v>
      </c>
      <c r="F435" s="11" t="n">
        <v>4445.55</v>
      </c>
      <c r="G435" s="7" t="s">
        <v>281</v>
      </c>
      <c r="H435" s="7" t="s">
        <v>286</v>
      </c>
      <c r="I435" s="7" t="s">
        <v>122</v>
      </c>
      <c r="J435" s="7" t="s">
        <v>283</v>
      </c>
      <c r="K435" s="22" t="n">
        <v>4</v>
      </c>
      <c r="L435" s="22" t="n">
        <v>32</v>
      </c>
      <c r="M435" s="11" t="n">
        <v>16.78</v>
      </c>
      <c r="N435" s="11" t="n">
        <v>536.96</v>
      </c>
      <c r="O435" s="7" t="s">
        <v>287</v>
      </c>
      <c r="P435" s="11" t="n">
        <f aca="false">IF(J435="%mo","",IF(G435="MO",IF(J435="hh",INDEX(MO_HH,MATCH(I435,MO_CAT,0)),M435*P_FACT_IPC),IF(G435="SUBPART",IFERROR(INDEX(APU_SUBP!$C$7:$C$40,MATCH(H435,APU_SUBP!$A$7:$A$40,0)),M435*P_FACT_IPC),M435*P_FACT_IPC)))</f>
        <v>12.5</v>
      </c>
      <c r="Q435" s="11" t="n">
        <f aca="false">IF(J435="%mo",L435/100*SUMIFS($R$7:$R$782,$A$7:$A$782,A435),L435*P435)</f>
        <v>400</v>
      </c>
      <c r="R435" s="11" t="n">
        <f aca="false">IF(G435="MO",L435*P435,0)</f>
        <v>400</v>
      </c>
    </row>
    <row r="436" customFormat="false" ht="15" hidden="false" customHeight="false" outlineLevel="0" collapsed="false">
      <c r="A436" s="9" t="s">
        <v>643</v>
      </c>
      <c r="B436" s="9" t="s">
        <v>630</v>
      </c>
      <c r="C436" s="9" t="s">
        <v>357</v>
      </c>
      <c r="D436" s="9" t="s">
        <v>358</v>
      </c>
      <c r="E436" s="9" t="s">
        <v>16</v>
      </c>
      <c r="F436" s="10" t="n">
        <v>4445.55</v>
      </c>
      <c r="G436" s="9" t="s">
        <v>307</v>
      </c>
      <c r="H436" s="9" t="s">
        <v>359</v>
      </c>
      <c r="I436" s="9" t="s">
        <v>360</v>
      </c>
      <c r="J436" s="9" t="s">
        <v>361</v>
      </c>
      <c r="K436" s="31"/>
      <c r="L436" s="31" t="n">
        <v>0.85</v>
      </c>
      <c r="M436" s="10" t="n">
        <v>4.43</v>
      </c>
      <c r="N436" s="10" t="n">
        <v>3.77</v>
      </c>
      <c r="O436" s="9"/>
      <c r="P436" s="11" t="n">
        <f aca="false">IF(J436="%mo","",IF(G436="MO",IF(J436="hh",INDEX(MO_HH,MATCH(I436,MO_CAT,0)),M436*P_FACT_IPC),IF(G436="SUBPART",IFERROR(INDEX(APU_SUBP!$C$7:$C$40,MATCH(H436,APU_SUBP!$A$7:$A$40,0)),M436*P_FACT_IPC),M436*P_FACT_IPC)))</f>
        <v>5.69829057575214</v>
      </c>
      <c r="Q436" s="11" t="n">
        <f aca="false">IF(J436="%mo",L436/100*SUMIFS($R$7:$R$782,$A$7:$A$782,A436),L436*P436)</f>
        <v>4.84354698938932</v>
      </c>
      <c r="R436" s="11" t="n">
        <f aca="false">IF(G436="MO",L436*P436,0)</f>
        <v>0</v>
      </c>
    </row>
    <row r="437" customFormat="false" ht="15" hidden="false" customHeight="false" outlineLevel="0" collapsed="false">
      <c r="A437" s="7" t="s">
        <v>643</v>
      </c>
      <c r="B437" s="7" t="s">
        <v>630</v>
      </c>
      <c r="C437" s="7" t="s">
        <v>357</v>
      </c>
      <c r="D437" s="7" t="s">
        <v>358</v>
      </c>
      <c r="E437" s="7" t="s">
        <v>16</v>
      </c>
      <c r="F437" s="11" t="n">
        <v>4445.55</v>
      </c>
      <c r="G437" s="7" t="s">
        <v>307</v>
      </c>
      <c r="H437" s="7" t="s">
        <v>362</v>
      </c>
      <c r="I437" s="7" t="s">
        <v>363</v>
      </c>
      <c r="J437" s="7" t="s">
        <v>310</v>
      </c>
      <c r="K437" s="22"/>
      <c r="L437" s="22" t="n">
        <v>1.05</v>
      </c>
      <c r="M437" s="11" t="n">
        <v>24.68</v>
      </c>
      <c r="N437" s="11" t="n">
        <v>25.91</v>
      </c>
      <c r="O437" s="7"/>
      <c r="P437" s="11" t="n">
        <f aca="false">IF(J437="%mo","",IF(G437="MO",IF(J437="hh",INDEX(MO_HH,MATCH(I437,MO_CAT,0)),M437*P_FACT_IPC),IF(G437="SUBPART",IFERROR(INDEX(APU_SUBP!$C$7:$C$40,MATCH(H437,APU_SUBP!$A$7:$A$40,0)),M437*P_FACT_IPC),M437*P_FACT_IPC)))</f>
        <v>31.7457813565605</v>
      </c>
      <c r="Q437" s="11" t="n">
        <f aca="false">IF(J437="%mo",L437/100*SUMIFS($R$7:$R$782,$A$7:$A$782,A437),L437*P437)</f>
        <v>33.3330704243885</v>
      </c>
      <c r="R437" s="11" t="n">
        <f aca="false">IF(G437="MO",L437*P437,0)</f>
        <v>0</v>
      </c>
    </row>
    <row r="438" customFormat="false" ht="15" hidden="false" customHeight="false" outlineLevel="0" collapsed="false">
      <c r="A438" s="9" t="s">
        <v>643</v>
      </c>
      <c r="B438" s="9" t="s">
        <v>630</v>
      </c>
      <c r="C438" s="9" t="s">
        <v>357</v>
      </c>
      <c r="D438" s="9" t="s">
        <v>358</v>
      </c>
      <c r="E438" s="9" t="s">
        <v>16</v>
      </c>
      <c r="F438" s="10" t="n">
        <v>4445.55</v>
      </c>
      <c r="G438" s="9" t="s">
        <v>307</v>
      </c>
      <c r="H438" s="9" t="s">
        <v>364</v>
      </c>
      <c r="I438" s="9" t="s">
        <v>365</v>
      </c>
      <c r="J438" s="9" t="s">
        <v>316</v>
      </c>
      <c r="K438" s="31"/>
      <c r="L438" s="31" t="n">
        <v>70</v>
      </c>
      <c r="M438" s="10" t="n">
        <v>4.13</v>
      </c>
      <c r="N438" s="10" t="n">
        <v>289.1</v>
      </c>
      <c r="O438" s="9"/>
      <c r="P438" s="11" t="n">
        <f aca="false">IF(J438="%mo","",IF(G438="MO",IF(J438="hh",INDEX(MO_HH,MATCH(I438,MO_CAT,0)),M438*P_FACT_IPC),IF(G438="SUBPART",IFERROR(INDEX(APU_SUBP!$C$7:$C$40,MATCH(H438,APU_SUBP!$A$7:$A$40,0)),M438*P_FACT_IPC),M438*P_FACT_IPC)))</f>
        <v>5.31240182344387</v>
      </c>
      <c r="Q438" s="11" t="n">
        <f aca="false">IF(J438="%mo",L438/100*SUMIFS($R$7:$R$782,$A$7:$A$782,A438),L438*P438)</f>
        <v>371.868127641071</v>
      </c>
      <c r="R438" s="11" t="n">
        <f aca="false">IF(G438="MO",L438*P438,0)</f>
        <v>0</v>
      </c>
    </row>
    <row r="439" customFormat="false" ht="15" hidden="false" customHeight="false" outlineLevel="0" collapsed="false">
      <c r="A439" s="7" t="s">
        <v>643</v>
      </c>
      <c r="B439" s="7" t="s">
        <v>630</v>
      </c>
      <c r="C439" s="7" t="s">
        <v>357</v>
      </c>
      <c r="D439" s="7" t="s">
        <v>358</v>
      </c>
      <c r="E439" s="7" t="s">
        <v>16</v>
      </c>
      <c r="F439" s="11" t="n">
        <v>4445.55</v>
      </c>
      <c r="G439" s="7" t="s">
        <v>307</v>
      </c>
      <c r="H439" s="7" t="s">
        <v>317</v>
      </c>
      <c r="I439" s="7" t="s">
        <v>318</v>
      </c>
      <c r="J439" s="7" t="s">
        <v>319</v>
      </c>
      <c r="K439" s="22"/>
      <c r="L439" s="22" t="n">
        <v>0.25</v>
      </c>
      <c r="M439" s="11" t="n">
        <v>34.07</v>
      </c>
      <c r="N439" s="11" t="n">
        <v>8.52</v>
      </c>
      <c r="O439" s="7"/>
      <c r="P439" s="11" t="n">
        <f aca="false">IF(J439="%mo","",IF(G439="MO",IF(J439="hh",INDEX(MO_HH,MATCH(I439,MO_CAT,0)),M439*P_FACT_IPC),IF(G439="SUBPART",IFERROR(INDEX(APU_SUBP!$C$7:$C$40,MATCH(H439,APU_SUBP!$A$7:$A$40,0)),M439*P_FACT_IPC),M439*P_FACT_IPC)))</f>
        <v>43.8240993038094</v>
      </c>
      <c r="Q439" s="11" t="n">
        <f aca="false">IF(J439="%mo",L439/100*SUMIFS($R$7:$R$782,$A$7:$A$782,A439),L439*P439)</f>
        <v>10.9560248259523</v>
      </c>
      <c r="R439" s="11" t="n">
        <f aca="false">IF(G439="MO",L439*P439,0)</f>
        <v>0</v>
      </c>
    </row>
    <row r="440" customFormat="false" ht="15" hidden="false" customHeight="false" outlineLevel="0" collapsed="false">
      <c r="A440" s="9" t="s">
        <v>643</v>
      </c>
      <c r="B440" s="9" t="s">
        <v>630</v>
      </c>
      <c r="C440" s="9" t="s">
        <v>357</v>
      </c>
      <c r="D440" s="9" t="s">
        <v>358</v>
      </c>
      <c r="E440" s="9" t="s">
        <v>16</v>
      </c>
      <c r="F440" s="10" t="n">
        <v>4445.55</v>
      </c>
      <c r="G440" s="9" t="s">
        <v>307</v>
      </c>
      <c r="H440" s="9" t="s">
        <v>366</v>
      </c>
      <c r="I440" s="9" t="s">
        <v>367</v>
      </c>
      <c r="J440" s="9" t="s">
        <v>16</v>
      </c>
      <c r="K440" s="31"/>
      <c r="L440" s="31" t="n">
        <v>15</v>
      </c>
      <c r="M440" s="10" t="n">
        <v>3.01</v>
      </c>
      <c r="N440" s="10" t="n">
        <v>45.15</v>
      </c>
      <c r="O440" s="9"/>
      <c r="P440" s="11" t="n">
        <f aca="false">IF(J440="%mo","",IF(G440="MO",IF(J440="hh",INDEX(MO_HH,MATCH(I440,MO_CAT,0)),M440*P_FACT_IPC),IF(G440="SUBPART",IFERROR(INDEX(APU_SUBP!$C$7:$C$40,MATCH(H440,APU_SUBP!$A$7:$A$40,0)),M440*P_FACT_IPC),M440*P_FACT_IPC)))</f>
        <v>3.87175048149299</v>
      </c>
      <c r="Q440" s="11" t="n">
        <f aca="false">IF(J440="%mo",L440/100*SUMIFS($R$7:$R$782,$A$7:$A$782,A440),L440*P440)</f>
        <v>58.0762572223949</v>
      </c>
      <c r="R440" s="11" t="n">
        <f aca="false">IF(G440="MO",L440*P440,0)</f>
        <v>0</v>
      </c>
    </row>
    <row r="441" customFormat="false" ht="15" hidden="false" customHeight="false" outlineLevel="0" collapsed="false">
      <c r="A441" s="7" t="s">
        <v>643</v>
      </c>
      <c r="B441" s="7" t="s">
        <v>630</v>
      </c>
      <c r="C441" s="7" t="s">
        <v>357</v>
      </c>
      <c r="D441" s="7" t="s">
        <v>358</v>
      </c>
      <c r="E441" s="7" t="s">
        <v>16</v>
      </c>
      <c r="F441" s="11" t="n">
        <v>4445.55</v>
      </c>
      <c r="G441" s="7" t="s">
        <v>288</v>
      </c>
      <c r="H441" s="7" t="s">
        <v>327</v>
      </c>
      <c r="I441" s="7" t="s">
        <v>328</v>
      </c>
      <c r="J441" s="7" t="s">
        <v>329</v>
      </c>
      <c r="K441" s="22"/>
      <c r="L441" s="22" t="n">
        <v>3</v>
      </c>
      <c r="M441" s="11" t="n">
        <v>827.88</v>
      </c>
      <c r="N441" s="11" t="n">
        <v>24.84</v>
      </c>
      <c r="O441" s="7"/>
      <c r="P441" s="11" t="str">
        <f aca="false">IF(J441="%mo","",IF(G441="MO",IF(J441="hh",INDEX(MO_HH,MATCH(I441,MO_CAT,0)),M441*P_FACT_IPC),IF(G441="SUBPART",IFERROR(INDEX(APU_SUBP!$C$7:$C$40,MATCH(H441,APU_SUBP!$A$7:$A$40,0)),M441*P_FACT_IPC),M441*P_FACT_IPC)))</f>
        <v/>
      </c>
      <c r="Q441" s="11" t="n">
        <f aca="false">IF(J441="%mo",L441/100*SUMIFS($R$7:$R$782,$A$7:$A$782,A441),L441*P441)</f>
        <v>18.5014898688915</v>
      </c>
      <c r="R441" s="11" t="n">
        <f aca="false">IF(G441="MO",L441*P441,0)</f>
        <v>0</v>
      </c>
    </row>
    <row r="442" customFormat="false" ht="15" hidden="false" customHeight="false" outlineLevel="0" collapsed="false">
      <c r="A442" s="9" t="s">
        <v>643</v>
      </c>
      <c r="B442" s="9" t="s">
        <v>630</v>
      </c>
      <c r="C442" s="9" t="s">
        <v>357</v>
      </c>
      <c r="D442" s="9" t="s">
        <v>358</v>
      </c>
      <c r="E442" s="9" t="s">
        <v>16</v>
      </c>
      <c r="F442" s="10" t="n">
        <v>4445.55</v>
      </c>
      <c r="G442" s="9" t="s">
        <v>274</v>
      </c>
      <c r="H442" s="9" t="s">
        <v>368</v>
      </c>
      <c r="I442" s="9" t="s">
        <v>369</v>
      </c>
      <c r="J442" s="9" t="s">
        <v>277</v>
      </c>
      <c r="K442" s="31"/>
      <c r="L442" s="31" t="n">
        <v>1</v>
      </c>
      <c r="M442" s="10" t="n">
        <v>3200</v>
      </c>
      <c r="N442" s="10" t="n">
        <v>3200</v>
      </c>
      <c r="O442" s="9"/>
      <c r="P442" s="11" t="n">
        <f aca="false">IF(J442="%mo","",IF(G442="MO",IF(J442="hh",INDEX(MO_HH,MATCH(I442,MO_CAT,0)),M442*P_FACT_IPC),IF(G442="SUBPART",IFERROR(INDEX(APU_SUBP!$C$7:$C$40,MATCH(H442,APU_SUBP!$A$7:$A$40,0)),M442*P_FACT_IPC),M442*P_FACT_IPC)))</f>
        <v>4116.14669128823</v>
      </c>
      <c r="Q442" s="11" t="n">
        <f aca="false">IF(J442="%mo",L442/100*SUMIFS($R$7:$R$782,$A$7:$A$782,A442),L442*P442)</f>
        <v>4116.14669128823</v>
      </c>
      <c r="R442" s="11" t="n">
        <f aca="false">IF(G442="MO",L442*P442,0)</f>
        <v>0</v>
      </c>
    </row>
    <row r="443" customFormat="false" ht="15" hidden="false" customHeight="false" outlineLevel="0" collapsed="false">
      <c r="A443" s="7" t="s">
        <v>643</v>
      </c>
      <c r="B443" s="7" t="s">
        <v>630</v>
      </c>
      <c r="C443" s="7" t="s">
        <v>357</v>
      </c>
      <c r="D443" s="7" t="s">
        <v>358</v>
      </c>
      <c r="E443" s="7" t="s">
        <v>16</v>
      </c>
      <c r="F443" s="11" t="n">
        <v>4445.55</v>
      </c>
      <c r="G443" s="7" t="s">
        <v>370</v>
      </c>
      <c r="H443" s="7" t="s">
        <v>371</v>
      </c>
      <c r="I443" s="7" t="s">
        <v>372</v>
      </c>
      <c r="J443" s="7" t="s">
        <v>273</v>
      </c>
      <c r="K443" s="22"/>
      <c r="L443" s="22" t="n">
        <v>0.36</v>
      </c>
      <c r="M443" s="11" t="n">
        <v>56.6</v>
      </c>
      <c r="N443" s="11" t="n">
        <v>20.38</v>
      </c>
      <c r="O443" s="7"/>
      <c r="P443" s="11" t="n">
        <f aca="false">IF(J443="%mo","",IF(G443="MO",IF(J443="hh",INDEX(MO_HH,MATCH(I443,MO_CAT,0)),M443*P_FACT_IPC),IF(G443="SUBPART",IFERROR(INDEX(APU_SUBP!$C$7:$C$40,MATCH(H443,APU_SUBP!$A$7:$A$40,0)),M443*P_FACT_IPC),M443*P_FACT_IPC)))</f>
        <v>69.1425112769682</v>
      </c>
      <c r="Q443" s="11" t="n">
        <f aca="false">IF(J443="%mo",L443/100*SUMIFS($R$7:$R$782,$A$7:$A$782,A443),L443*P443)</f>
        <v>24.8913040597086</v>
      </c>
      <c r="R443" s="11" t="n">
        <f aca="false">IF(G443="MO",L443*P443,0)</f>
        <v>0</v>
      </c>
    </row>
    <row r="444" customFormat="false" ht="15" hidden="false" customHeight="false" outlineLevel="0" collapsed="false">
      <c r="A444" s="9" t="s">
        <v>644</v>
      </c>
      <c r="B444" s="9" t="s">
        <v>630</v>
      </c>
      <c r="C444" s="9" t="s">
        <v>374</v>
      </c>
      <c r="D444" s="9" t="s">
        <v>645</v>
      </c>
      <c r="E444" s="9" t="s">
        <v>273</v>
      </c>
      <c r="F444" s="10" t="n">
        <v>35.63</v>
      </c>
      <c r="G444" s="9" t="s">
        <v>281</v>
      </c>
      <c r="H444" s="9" t="s">
        <v>282</v>
      </c>
      <c r="I444" s="9" t="s">
        <v>107</v>
      </c>
      <c r="J444" s="9" t="s">
        <v>283</v>
      </c>
      <c r="K444" s="31" t="n">
        <v>1</v>
      </c>
      <c r="L444" s="31" t="n">
        <v>0.04</v>
      </c>
      <c r="M444" s="10" t="n">
        <v>25.81</v>
      </c>
      <c r="N444" s="10" t="n">
        <v>1.03</v>
      </c>
      <c r="O444" s="9" t="s">
        <v>284</v>
      </c>
      <c r="P444" s="11" t="n">
        <f aca="false">IF(J444="%mo","",IF(G444="MO",IF(J444="hh",INDEX(MO_HH,MATCH(I444,MO_CAT,0)),M444*P_FACT_IPC),IF(G444="SUBPART",IFERROR(INDEX(APU_SUBP!$C$7:$C$40,MATCH(H444,APU_SUBP!$A$7:$A$40,0)),M444*P_FACT_IPC),M444*P_FACT_IPC)))</f>
        <v>19.226758045292</v>
      </c>
      <c r="Q444" s="11" t="n">
        <f aca="false">IF(J444="%mo",L444/100*SUMIFS($R$7:$R$782,$A$7:$A$782,A444),L444*P444)</f>
        <v>0.769070321811681</v>
      </c>
      <c r="R444" s="11" t="n">
        <f aca="false">IF(G444="MO",L444*P444,0)</f>
        <v>0.769070321811681</v>
      </c>
    </row>
    <row r="445" customFormat="false" ht="15" hidden="false" customHeight="false" outlineLevel="0" collapsed="false">
      <c r="A445" s="7" t="s">
        <v>644</v>
      </c>
      <c r="B445" s="7" t="s">
        <v>630</v>
      </c>
      <c r="C445" s="7" t="s">
        <v>374</v>
      </c>
      <c r="D445" s="7" t="s">
        <v>645</v>
      </c>
      <c r="E445" s="7" t="s">
        <v>273</v>
      </c>
      <c r="F445" s="11" t="n">
        <v>35.63</v>
      </c>
      <c r="G445" s="7" t="s">
        <v>281</v>
      </c>
      <c r="H445" s="7" t="s">
        <v>286</v>
      </c>
      <c r="I445" s="7" t="s">
        <v>122</v>
      </c>
      <c r="J445" s="7" t="s">
        <v>283</v>
      </c>
      <c r="K445" s="22" t="n">
        <v>50</v>
      </c>
      <c r="L445" s="22" t="n">
        <v>2</v>
      </c>
      <c r="M445" s="11" t="n">
        <v>16.78</v>
      </c>
      <c r="N445" s="11" t="n">
        <v>33.56</v>
      </c>
      <c r="O445" s="7" t="s">
        <v>287</v>
      </c>
      <c r="P445" s="11" t="n">
        <f aca="false">IF(J445="%mo","",IF(G445="MO",IF(J445="hh",INDEX(MO_HH,MATCH(I445,MO_CAT,0)),M445*P_FACT_IPC),IF(G445="SUBPART",IFERROR(INDEX(APU_SUBP!$C$7:$C$40,MATCH(H445,APU_SUBP!$A$7:$A$40,0)),M445*P_FACT_IPC),M445*P_FACT_IPC)))</f>
        <v>12.5</v>
      </c>
      <c r="Q445" s="11" t="n">
        <f aca="false">IF(J445="%mo",L445/100*SUMIFS($R$7:$R$782,$A$7:$A$782,A445),L445*P445)</f>
        <v>25</v>
      </c>
      <c r="R445" s="11" t="n">
        <f aca="false">IF(G445="MO",L445*P445,0)</f>
        <v>25</v>
      </c>
    </row>
    <row r="446" customFormat="false" ht="15" hidden="false" customHeight="false" outlineLevel="0" collapsed="false">
      <c r="A446" s="9" t="s">
        <v>644</v>
      </c>
      <c r="B446" s="9" t="s">
        <v>630</v>
      </c>
      <c r="C446" s="9" t="s">
        <v>374</v>
      </c>
      <c r="D446" s="9" t="s">
        <v>645</v>
      </c>
      <c r="E446" s="9" t="s">
        <v>273</v>
      </c>
      <c r="F446" s="10" t="n">
        <v>35.63</v>
      </c>
      <c r="G446" s="9" t="s">
        <v>288</v>
      </c>
      <c r="H446" s="9" t="s">
        <v>327</v>
      </c>
      <c r="I446" s="9" t="s">
        <v>328</v>
      </c>
      <c r="J446" s="9" t="s">
        <v>329</v>
      </c>
      <c r="K446" s="31"/>
      <c r="L446" s="31" t="n">
        <v>3</v>
      </c>
      <c r="M446" s="10" t="n">
        <v>34.59</v>
      </c>
      <c r="N446" s="10" t="n">
        <v>1.04</v>
      </c>
      <c r="O446" s="9"/>
      <c r="P446" s="11" t="str">
        <f aca="false">IF(J446="%mo","",IF(G446="MO",IF(J446="hh",INDEX(MO_HH,MATCH(I446,MO_CAT,0)),M446*P_FACT_IPC),IF(G446="SUBPART",IFERROR(INDEX(APU_SUBP!$C$7:$C$40,MATCH(H446,APU_SUBP!$A$7:$A$40,0)),M446*P_FACT_IPC),M446*P_FACT_IPC)))</f>
        <v/>
      </c>
      <c r="Q446" s="11" t="n">
        <f aca="false">IF(J446="%mo",L446/100*SUMIFS($R$7:$R$782,$A$7:$A$782,A446),L446*P446)</f>
        <v>0.773072109654351</v>
      </c>
      <c r="R446" s="11" t="n">
        <f aca="false">IF(G446="MO",L446*P446,0)</f>
        <v>0</v>
      </c>
    </row>
    <row r="447" customFormat="false" ht="15" hidden="false" customHeight="false" outlineLevel="0" collapsed="false">
      <c r="A447" s="7" t="s">
        <v>646</v>
      </c>
      <c r="B447" s="7" t="s">
        <v>630</v>
      </c>
      <c r="C447" s="7" t="s">
        <v>377</v>
      </c>
      <c r="D447" s="7" t="s">
        <v>647</v>
      </c>
      <c r="E447" s="7" t="s">
        <v>273</v>
      </c>
      <c r="F447" s="11" t="n">
        <v>34.74</v>
      </c>
      <c r="G447" s="7" t="s">
        <v>281</v>
      </c>
      <c r="H447" s="7" t="s">
        <v>282</v>
      </c>
      <c r="I447" s="7" t="s">
        <v>107</v>
      </c>
      <c r="J447" s="7" t="s">
        <v>283</v>
      </c>
      <c r="K447" s="22" t="n">
        <v>0.1</v>
      </c>
      <c r="L447" s="22" t="n">
        <v>0.0229</v>
      </c>
      <c r="M447" s="11" t="n">
        <v>25.81</v>
      </c>
      <c r="N447" s="11" t="n">
        <v>0.59</v>
      </c>
      <c r="O447" s="7" t="s">
        <v>284</v>
      </c>
      <c r="P447" s="11" t="n">
        <f aca="false">IF(J447="%mo","",IF(G447="MO",IF(J447="hh",INDEX(MO_HH,MATCH(I447,MO_CAT,0)),M447*P_FACT_IPC),IF(G447="SUBPART",IFERROR(INDEX(APU_SUBP!$C$7:$C$40,MATCH(H447,APU_SUBP!$A$7:$A$40,0)),M447*P_FACT_IPC),M447*P_FACT_IPC)))</f>
        <v>19.226758045292</v>
      </c>
      <c r="Q447" s="11" t="n">
        <f aca="false">IF(J447="%mo",L447/100*SUMIFS($R$7:$R$782,$A$7:$A$782,A447),L447*P447)</f>
        <v>0.440292759237187</v>
      </c>
      <c r="R447" s="11" t="n">
        <f aca="false">IF(G447="MO",L447*P447,0)</f>
        <v>0.440292759237187</v>
      </c>
    </row>
    <row r="448" customFormat="false" ht="15" hidden="false" customHeight="false" outlineLevel="0" collapsed="false">
      <c r="A448" s="9" t="s">
        <v>646</v>
      </c>
      <c r="B448" s="9" t="s">
        <v>630</v>
      </c>
      <c r="C448" s="9" t="s">
        <v>377</v>
      </c>
      <c r="D448" s="9" t="s">
        <v>647</v>
      </c>
      <c r="E448" s="9" t="s">
        <v>273</v>
      </c>
      <c r="F448" s="10" t="n">
        <v>34.74</v>
      </c>
      <c r="G448" s="9" t="s">
        <v>281</v>
      </c>
      <c r="H448" s="9" t="s">
        <v>306</v>
      </c>
      <c r="I448" s="9" t="s">
        <v>112</v>
      </c>
      <c r="J448" s="9" t="s">
        <v>283</v>
      </c>
      <c r="K448" s="31" t="n">
        <v>1</v>
      </c>
      <c r="L448" s="31" t="n">
        <v>0.2286</v>
      </c>
      <c r="M448" s="10" t="n">
        <v>23.46</v>
      </c>
      <c r="N448" s="10" t="n">
        <v>5.36</v>
      </c>
      <c r="O448" s="9" t="s">
        <v>284</v>
      </c>
      <c r="P448" s="11" t="n">
        <f aca="false">IF(J448="%mo","",IF(G448="MO",IF(J448="hh",INDEX(MO_HH,MATCH(I448,MO_CAT,0)),M448*P_FACT_IPC),IF(G448="SUBPART",IFERROR(INDEX(APU_SUBP!$C$7:$C$40,MATCH(H448,APU_SUBP!$A$7:$A$40,0)),M448*P_FACT_IPC),M448*P_FACT_IPC)))</f>
        <v>17.4761620977354</v>
      </c>
      <c r="Q448" s="11" t="n">
        <f aca="false">IF(J448="%mo",L448/100*SUMIFS($R$7:$R$782,$A$7:$A$782,A448),L448*P448)</f>
        <v>3.99505065554231</v>
      </c>
      <c r="R448" s="11" t="n">
        <f aca="false">IF(G448="MO",L448*P448,0)</f>
        <v>3.99505065554231</v>
      </c>
    </row>
    <row r="449" customFormat="false" ht="15" hidden="false" customHeight="false" outlineLevel="0" collapsed="false">
      <c r="A449" s="7" t="s">
        <v>646</v>
      </c>
      <c r="B449" s="7" t="s">
        <v>630</v>
      </c>
      <c r="C449" s="7" t="s">
        <v>377</v>
      </c>
      <c r="D449" s="7" t="s">
        <v>647</v>
      </c>
      <c r="E449" s="7" t="s">
        <v>273</v>
      </c>
      <c r="F449" s="11" t="n">
        <v>34.74</v>
      </c>
      <c r="G449" s="7" t="s">
        <v>281</v>
      </c>
      <c r="H449" s="7" t="s">
        <v>286</v>
      </c>
      <c r="I449" s="7" t="s">
        <v>122</v>
      </c>
      <c r="J449" s="7" t="s">
        <v>283</v>
      </c>
      <c r="K449" s="22" t="n">
        <v>5</v>
      </c>
      <c r="L449" s="22" t="n">
        <v>1.1429</v>
      </c>
      <c r="M449" s="11" t="n">
        <v>16.78</v>
      </c>
      <c r="N449" s="11" t="n">
        <v>19.18</v>
      </c>
      <c r="O449" s="7" t="s">
        <v>287</v>
      </c>
      <c r="P449" s="11" t="n">
        <f aca="false">IF(J449="%mo","",IF(G449="MO",IF(J449="hh",INDEX(MO_HH,MATCH(I449,MO_CAT,0)),M449*P_FACT_IPC),IF(G449="SUBPART",IFERROR(INDEX(APU_SUBP!$C$7:$C$40,MATCH(H449,APU_SUBP!$A$7:$A$40,0)),M449*P_FACT_IPC),M449*P_FACT_IPC)))</f>
        <v>12.5</v>
      </c>
      <c r="Q449" s="11" t="n">
        <f aca="false">IF(J449="%mo",L449/100*SUMIFS($R$7:$R$782,$A$7:$A$782,A449),L449*P449)</f>
        <v>14.28625</v>
      </c>
      <c r="R449" s="11" t="n">
        <f aca="false">IF(G449="MO",L449*P449,0)</f>
        <v>14.28625</v>
      </c>
    </row>
    <row r="450" customFormat="false" ht="15" hidden="false" customHeight="false" outlineLevel="0" collapsed="false">
      <c r="A450" s="9" t="s">
        <v>646</v>
      </c>
      <c r="B450" s="9" t="s">
        <v>630</v>
      </c>
      <c r="C450" s="9" t="s">
        <v>377</v>
      </c>
      <c r="D450" s="9" t="s">
        <v>647</v>
      </c>
      <c r="E450" s="9" t="s">
        <v>273</v>
      </c>
      <c r="F450" s="10" t="n">
        <v>34.74</v>
      </c>
      <c r="G450" s="9" t="s">
        <v>288</v>
      </c>
      <c r="H450" s="9" t="s">
        <v>327</v>
      </c>
      <c r="I450" s="9" t="s">
        <v>328</v>
      </c>
      <c r="J450" s="9" t="s">
        <v>329</v>
      </c>
      <c r="K450" s="31"/>
      <c r="L450" s="31" t="n">
        <v>3</v>
      </c>
      <c r="M450" s="10" t="n">
        <v>25.13</v>
      </c>
      <c r="N450" s="10" t="n">
        <v>0.75</v>
      </c>
      <c r="O450" s="9"/>
      <c r="P450" s="11" t="str">
        <f aca="false">IF(J450="%mo","",IF(G450="MO",IF(J450="hh",INDEX(MO_HH,MATCH(I450,MO_CAT,0)),M450*P_FACT_IPC),IF(G450="SUBPART",IFERROR(INDEX(APU_SUBP!$C$7:$C$40,MATCH(H450,APU_SUBP!$A$7:$A$40,0)),M450*P_FACT_IPC),M450*P_FACT_IPC)))</f>
        <v/>
      </c>
      <c r="Q450" s="11" t="n">
        <f aca="false">IF(J450="%mo",L450/100*SUMIFS($R$7:$R$782,$A$7:$A$782,A450),L450*P450)</f>
        <v>0.561647802443385</v>
      </c>
      <c r="R450" s="11" t="n">
        <f aca="false">IF(G450="MO",L450*P450,0)</f>
        <v>0</v>
      </c>
    </row>
    <row r="451" customFormat="false" ht="15" hidden="false" customHeight="false" outlineLevel="0" collapsed="false">
      <c r="A451" s="7" t="s">
        <v>646</v>
      </c>
      <c r="B451" s="7" t="s">
        <v>630</v>
      </c>
      <c r="C451" s="7" t="s">
        <v>377</v>
      </c>
      <c r="D451" s="7" t="s">
        <v>647</v>
      </c>
      <c r="E451" s="7" t="s">
        <v>273</v>
      </c>
      <c r="F451" s="11" t="n">
        <v>34.74</v>
      </c>
      <c r="G451" s="7" t="s">
        <v>288</v>
      </c>
      <c r="H451" s="7" t="s">
        <v>382</v>
      </c>
      <c r="I451" s="7" t="s">
        <v>383</v>
      </c>
      <c r="J451" s="7" t="s">
        <v>291</v>
      </c>
      <c r="K451" s="22" t="n">
        <v>1</v>
      </c>
      <c r="L451" s="22" t="n">
        <v>0.2286</v>
      </c>
      <c r="M451" s="11" t="n">
        <v>38.5</v>
      </c>
      <c r="N451" s="11" t="n">
        <v>8.8</v>
      </c>
      <c r="O451" s="7"/>
      <c r="P451" s="11" t="n">
        <f aca="false">IF(J451="%mo","",IF(G451="MO",IF(J451="hh",INDEX(MO_HH,MATCH(I451,MO_CAT,0)),M451*P_FACT_IPC),IF(G451="SUBPART",IFERROR(INDEX(APU_SUBP!$C$7:$C$40,MATCH(H451,APU_SUBP!$A$7:$A$40,0)),M451*P_FACT_IPC),M451*P_FACT_IPC)))</f>
        <v>49.5223898795615</v>
      </c>
      <c r="Q451" s="11" t="n">
        <f aca="false">IF(J451="%mo",L451/100*SUMIFS($R$7:$R$782,$A$7:$A$782,A451),L451*P451)</f>
        <v>11.3208183264678</v>
      </c>
      <c r="R451" s="11" t="n">
        <f aca="false">IF(G451="MO",L451*P451,0)</f>
        <v>0</v>
      </c>
    </row>
    <row r="452" customFormat="false" ht="15" hidden="false" customHeight="false" outlineLevel="0" collapsed="false">
      <c r="A452" s="9" t="s">
        <v>646</v>
      </c>
      <c r="B452" s="9" t="s">
        <v>630</v>
      </c>
      <c r="C452" s="9" t="s">
        <v>377</v>
      </c>
      <c r="D452" s="9" t="s">
        <v>647</v>
      </c>
      <c r="E452" s="9" t="s">
        <v>273</v>
      </c>
      <c r="F452" s="10" t="n">
        <v>34.74</v>
      </c>
      <c r="G452" s="9" t="s">
        <v>288</v>
      </c>
      <c r="H452" s="9" t="s">
        <v>648</v>
      </c>
      <c r="I452" s="9" t="s">
        <v>649</v>
      </c>
      <c r="J452" s="9" t="s">
        <v>322</v>
      </c>
      <c r="K452" s="31" t="n">
        <v>1</v>
      </c>
      <c r="L452" s="31" t="n">
        <v>0.2286</v>
      </c>
      <c r="M452" s="10" t="n">
        <v>0.25</v>
      </c>
      <c r="N452" s="10" t="n">
        <v>0.06</v>
      </c>
      <c r="O452" s="9"/>
      <c r="P452" s="11" t="n">
        <f aca="false">IF(J452="%mo","",IF(G452="MO",IF(J452="hh",INDEX(MO_HH,MATCH(I452,MO_CAT,0)),M452*P_FACT_IPC),IF(G452="SUBPART",IFERROR(INDEX(APU_SUBP!$C$7:$C$40,MATCH(H452,APU_SUBP!$A$7:$A$40,0)),M452*P_FACT_IPC),M452*P_FACT_IPC)))</f>
        <v>0.321573960256893</v>
      </c>
      <c r="Q452" s="11" t="n">
        <f aca="false">IF(J452="%mo",L452/100*SUMIFS($R$7:$R$782,$A$7:$A$782,A452),L452*P452)</f>
        <v>0.0735118073147257</v>
      </c>
      <c r="R452" s="11" t="n">
        <f aca="false">IF(G452="MO",L452*P452,0)</f>
        <v>0</v>
      </c>
    </row>
    <row r="453" customFormat="false" ht="15" hidden="false" customHeight="false" outlineLevel="0" collapsed="false">
      <c r="A453" s="7" t="s">
        <v>650</v>
      </c>
      <c r="B453" s="7" t="s">
        <v>630</v>
      </c>
      <c r="C453" s="7" t="s">
        <v>380</v>
      </c>
      <c r="D453" s="7" t="s">
        <v>651</v>
      </c>
      <c r="E453" s="7" t="s">
        <v>273</v>
      </c>
      <c r="F453" s="11" t="n">
        <v>130.07</v>
      </c>
      <c r="G453" s="7" t="s">
        <v>281</v>
      </c>
      <c r="H453" s="7" t="s">
        <v>282</v>
      </c>
      <c r="I453" s="7" t="s">
        <v>107</v>
      </c>
      <c r="J453" s="7" t="s">
        <v>283</v>
      </c>
      <c r="K453" s="22" t="n">
        <v>0.1</v>
      </c>
      <c r="L453" s="22" t="n">
        <v>0.064</v>
      </c>
      <c r="M453" s="11" t="n">
        <v>25.81</v>
      </c>
      <c r="N453" s="11" t="n">
        <v>1.65</v>
      </c>
      <c r="O453" s="7" t="s">
        <v>284</v>
      </c>
      <c r="P453" s="11" t="n">
        <f aca="false">IF(J453="%mo","",IF(G453="MO",IF(J453="hh",INDEX(MO_HH,MATCH(I453,MO_CAT,0)),M453*P_FACT_IPC),IF(G453="SUBPART",IFERROR(INDEX(APU_SUBP!$C$7:$C$40,MATCH(H453,APU_SUBP!$A$7:$A$40,0)),M453*P_FACT_IPC),M453*P_FACT_IPC)))</f>
        <v>19.226758045292</v>
      </c>
      <c r="Q453" s="11" t="n">
        <f aca="false">IF(J453="%mo",L453/100*SUMIFS($R$7:$R$782,$A$7:$A$782,A453),L453*P453)</f>
        <v>1.23051251489869</v>
      </c>
      <c r="R453" s="11" t="n">
        <f aca="false">IF(G453="MO",L453*P453,0)</f>
        <v>1.23051251489869</v>
      </c>
    </row>
    <row r="454" customFormat="false" ht="15" hidden="false" customHeight="false" outlineLevel="0" collapsed="false">
      <c r="A454" s="9" t="s">
        <v>650</v>
      </c>
      <c r="B454" s="9" t="s">
        <v>630</v>
      </c>
      <c r="C454" s="9" t="s">
        <v>380</v>
      </c>
      <c r="D454" s="9" t="s">
        <v>651</v>
      </c>
      <c r="E454" s="9" t="s">
        <v>273</v>
      </c>
      <c r="F454" s="10" t="n">
        <v>130.07</v>
      </c>
      <c r="G454" s="9" t="s">
        <v>281</v>
      </c>
      <c r="H454" s="9" t="s">
        <v>285</v>
      </c>
      <c r="I454" s="9" t="s">
        <v>117</v>
      </c>
      <c r="J454" s="9" t="s">
        <v>283</v>
      </c>
      <c r="K454" s="31" t="n">
        <v>1</v>
      </c>
      <c r="L454" s="31" t="n">
        <v>0.64</v>
      </c>
      <c r="M454" s="10" t="n">
        <v>18.56</v>
      </c>
      <c r="N454" s="10" t="n">
        <v>11.88</v>
      </c>
      <c r="O454" s="9" t="s">
        <v>284</v>
      </c>
      <c r="P454" s="11" t="n">
        <f aca="false">IF(J454="%mo","",IF(G454="MO",IF(J454="hh",INDEX(MO_HH,MATCH(I454,MO_CAT,0)),M454*P_FACT_IPC),IF(G454="SUBPART",IFERROR(INDEX(APU_SUBP!$C$7:$C$40,MATCH(H454,APU_SUBP!$A$7:$A$40,0)),M454*P_FACT_IPC),M454*P_FACT_IPC)))</f>
        <v>13.8259833134684</v>
      </c>
      <c r="Q454" s="11" t="n">
        <f aca="false">IF(J454="%mo",L454/100*SUMIFS($R$7:$R$782,$A$7:$A$782,A454),L454*P454)</f>
        <v>8.84862932061978</v>
      </c>
      <c r="R454" s="11" t="n">
        <f aca="false">IF(G454="MO",L454*P454,0)</f>
        <v>8.84862932061978</v>
      </c>
    </row>
    <row r="455" customFormat="false" ht="15" hidden="false" customHeight="false" outlineLevel="0" collapsed="false">
      <c r="A455" s="7" t="s">
        <v>650</v>
      </c>
      <c r="B455" s="7" t="s">
        <v>630</v>
      </c>
      <c r="C455" s="7" t="s">
        <v>380</v>
      </c>
      <c r="D455" s="7" t="s">
        <v>651</v>
      </c>
      <c r="E455" s="7" t="s">
        <v>273</v>
      </c>
      <c r="F455" s="11" t="n">
        <v>130.07</v>
      </c>
      <c r="G455" s="7" t="s">
        <v>281</v>
      </c>
      <c r="H455" s="7" t="s">
        <v>286</v>
      </c>
      <c r="I455" s="7" t="s">
        <v>122</v>
      </c>
      <c r="J455" s="7" t="s">
        <v>283</v>
      </c>
      <c r="K455" s="22" t="n">
        <v>4</v>
      </c>
      <c r="L455" s="22" t="n">
        <v>2.56</v>
      </c>
      <c r="M455" s="11" t="n">
        <v>16.78</v>
      </c>
      <c r="N455" s="11" t="n">
        <v>42.96</v>
      </c>
      <c r="O455" s="7" t="s">
        <v>287</v>
      </c>
      <c r="P455" s="11" t="n">
        <f aca="false">IF(J455="%mo","",IF(G455="MO",IF(J455="hh",INDEX(MO_HH,MATCH(I455,MO_CAT,0)),M455*P_FACT_IPC),IF(G455="SUBPART",IFERROR(INDEX(APU_SUBP!$C$7:$C$40,MATCH(H455,APU_SUBP!$A$7:$A$40,0)),M455*P_FACT_IPC),M455*P_FACT_IPC)))</f>
        <v>12.5</v>
      </c>
      <c r="Q455" s="11" t="n">
        <f aca="false">IF(J455="%mo",L455/100*SUMIFS($R$7:$R$782,$A$7:$A$782,A455),L455*P455)</f>
        <v>32</v>
      </c>
      <c r="R455" s="11" t="n">
        <f aca="false">IF(G455="MO",L455*P455,0)</f>
        <v>32</v>
      </c>
    </row>
    <row r="456" customFormat="false" ht="15" hidden="false" customHeight="false" outlineLevel="0" collapsed="false">
      <c r="A456" s="9" t="s">
        <v>650</v>
      </c>
      <c r="B456" s="9" t="s">
        <v>630</v>
      </c>
      <c r="C456" s="9" t="s">
        <v>380</v>
      </c>
      <c r="D456" s="9" t="s">
        <v>651</v>
      </c>
      <c r="E456" s="9" t="s">
        <v>273</v>
      </c>
      <c r="F456" s="10" t="n">
        <v>130.07</v>
      </c>
      <c r="G456" s="9" t="s">
        <v>288</v>
      </c>
      <c r="H456" s="9" t="s">
        <v>327</v>
      </c>
      <c r="I456" s="9" t="s">
        <v>328</v>
      </c>
      <c r="J456" s="9" t="s">
        <v>329</v>
      </c>
      <c r="K456" s="31"/>
      <c r="L456" s="31" t="n">
        <v>3</v>
      </c>
      <c r="M456" s="10" t="n">
        <v>56.49</v>
      </c>
      <c r="N456" s="10" t="n">
        <v>1.69</v>
      </c>
      <c r="O456" s="9"/>
      <c r="P456" s="11" t="str">
        <f aca="false">IF(J456="%mo","",IF(G456="MO",IF(J456="hh",INDEX(MO_HH,MATCH(I456,MO_CAT,0)),M456*P_FACT_IPC),IF(G456="SUBPART",IFERROR(INDEX(APU_SUBP!$C$7:$C$40,MATCH(H456,APU_SUBP!$A$7:$A$40,0)),M456*P_FACT_IPC),M456*P_FACT_IPC)))</f>
        <v/>
      </c>
      <c r="Q456" s="11" t="n">
        <f aca="false">IF(J456="%mo",L456/100*SUMIFS($R$7:$R$782,$A$7:$A$782,A456),L456*P456)</f>
        <v>1.26237425506555</v>
      </c>
      <c r="R456" s="11" t="n">
        <f aca="false">IF(G456="MO",L456*P456,0)</f>
        <v>0</v>
      </c>
    </row>
    <row r="457" customFormat="false" ht="15" hidden="false" customHeight="false" outlineLevel="0" collapsed="false">
      <c r="A457" s="7" t="s">
        <v>650</v>
      </c>
      <c r="B457" s="7" t="s">
        <v>630</v>
      </c>
      <c r="C457" s="7" t="s">
        <v>380</v>
      </c>
      <c r="D457" s="7" t="s">
        <v>651</v>
      </c>
      <c r="E457" s="7" t="s">
        <v>273</v>
      </c>
      <c r="F457" s="11" t="n">
        <v>130.07</v>
      </c>
      <c r="G457" s="7" t="s">
        <v>370</v>
      </c>
      <c r="H457" s="7" t="s">
        <v>652</v>
      </c>
      <c r="I457" s="7" t="s">
        <v>653</v>
      </c>
      <c r="J457" s="7" t="s">
        <v>273</v>
      </c>
      <c r="K457" s="22"/>
      <c r="L457" s="22" t="n">
        <v>1.05</v>
      </c>
      <c r="M457" s="11" t="n">
        <v>68.47</v>
      </c>
      <c r="N457" s="11" t="n">
        <v>71.89</v>
      </c>
      <c r="O457" s="7"/>
      <c r="P457" s="11" t="n">
        <f aca="false">IF(J457="%mo","",IF(G457="MO",IF(J457="hh",INDEX(MO_HH,MATCH(I457,MO_CAT,0)),M457*P_FACT_IPC),IF(G457="SUBPART",IFERROR(INDEX(APU_SUBP!$C$7:$C$40,MATCH(H457,APU_SUBP!$A$7:$A$40,0)),M457*P_FACT_IPC),M457*P_FACT_IPC)))</f>
        <v>52.8647966543872</v>
      </c>
      <c r="Q457" s="11" t="n">
        <f aca="false">IF(J457="%mo",L457/100*SUMIFS($R$7:$R$782,$A$7:$A$782,A457),L457*P457)</f>
        <v>55.5080364871066</v>
      </c>
      <c r="R457" s="11" t="n">
        <f aca="false">IF(G457="MO",L457*P457,0)</f>
        <v>0</v>
      </c>
    </row>
    <row r="458" customFormat="false" ht="15" hidden="false" customHeight="false" outlineLevel="0" collapsed="false">
      <c r="A458" s="9" t="s">
        <v>654</v>
      </c>
      <c r="B458" s="9" t="s">
        <v>630</v>
      </c>
      <c r="C458" s="9" t="s">
        <v>385</v>
      </c>
      <c r="D458" s="9" t="s">
        <v>655</v>
      </c>
      <c r="E458" s="9" t="s">
        <v>273</v>
      </c>
      <c r="F458" s="10" t="n">
        <v>36.48</v>
      </c>
      <c r="G458" s="9" t="s">
        <v>281</v>
      </c>
      <c r="H458" s="9" t="s">
        <v>285</v>
      </c>
      <c r="I458" s="9" t="s">
        <v>117</v>
      </c>
      <c r="J458" s="9" t="s">
        <v>283</v>
      </c>
      <c r="K458" s="31" t="n">
        <v>0.1</v>
      </c>
      <c r="L458" s="31" t="n">
        <v>0.1</v>
      </c>
      <c r="M458" s="10" t="n">
        <v>18.56</v>
      </c>
      <c r="N458" s="10" t="n">
        <v>1.86</v>
      </c>
      <c r="O458" s="9" t="s">
        <v>284</v>
      </c>
      <c r="P458" s="11" t="n">
        <f aca="false">IF(J458="%mo","",IF(G458="MO",IF(J458="hh",INDEX(MO_HH,MATCH(I458,MO_CAT,0)),M458*P_FACT_IPC),IF(G458="SUBPART",IFERROR(INDEX(APU_SUBP!$C$7:$C$40,MATCH(H458,APU_SUBP!$A$7:$A$40,0)),M458*P_FACT_IPC),M458*P_FACT_IPC)))</f>
        <v>13.8259833134684</v>
      </c>
      <c r="Q458" s="11" t="n">
        <f aca="false">IF(J458="%mo",L458/100*SUMIFS($R$7:$R$782,$A$7:$A$782,A458),L458*P458)</f>
        <v>1.38259833134684</v>
      </c>
      <c r="R458" s="11" t="n">
        <f aca="false">IF(G458="MO",L458*P458,0)</f>
        <v>1.38259833134684</v>
      </c>
    </row>
    <row r="459" customFormat="false" ht="15" hidden="false" customHeight="false" outlineLevel="0" collapsed="false">
      <c r="A459" s="7" t="s">
        <v>654</v>
      </c>
      <c r="B459" s="7" t="s">
        <v>630</v>
      </c>
      <c r="C459" s="7" t="s">
        <v>385</v>
      </c>
      <c r="D459" s="7" t="s">
        <v>655</v>
      </c>
      <c r="E459" s="7" t="s">
        <v>273</v>
      </c>
      <c r="F459" s="11" t="n">
        <v>36.48</v>
      </c>
      <c r="G459" s="7" t="s">
        <v>281</v>
      </c>
      <c r="H459" s="7" t="s">
        <v>286</v>
      </c>
      <c r="I459" s="7" t="s">
        <v>122</v>
      </c>
      <c r="J459" s="7" t="s">
        <v>283</v>
      </c>
      <c r="K459" s="22" t="n">
        <v>2</v>
      </c>
      <c r="L459" s="22" t="n">
        <v>2</v>
      </c>
      <c r="M459" s="11" t="n">
        <v>16.78</v>
      </c>
      <c r="N459" s="11" t="n">
        <v>33.56</v>
      </c>
      <c r="O459" s="7" t="s">
        <v>287</v>
      </c>
      <c r="P459" s="11" t="n">
        <f aca="false">IF(J459="%mo","",IF(G459="MO",IF(J459="hh",INDEX(MO_HH,MATCH(I459,MO_CAT,0)),M459*P_FACT_IPC),IF(G459="SUBPART",IFERROR(INDEX(APU_SUBP!$C$7:$C$40,MATCH(H459,APU_SUBP!$A$7:$A$40,0)),M459*P_FACT_IPC),M459*P_FACT_IPC)))</f>
        <v>12.5</v>
      </c>
      <c r="Q459" s="11" t="n">
        <f aca="false">IF(J459="%mo",L459/100*SUMIFS($R$7:$R$782,$A$7:$A$782,A459),L459*P459)</f>
        <v>25</v>
      </c>
      <c r="R459" s="11" t="n">
        <f aca="false">IF(G459="MO",L459*P459,0)</f>
        <v>25</v>
      </c>
    </row>
    <row r="460" customFormat="false" ht="15" hidden="false" customHeight="false" outlineLevel="0" collapsed="false">
      <c r="A460" s="9" t="s">
        <v>654</v>
      </c>
      <c r="B460" s="9" t="s">
        <v>630</v>
      </c>
      <c r="C460" s="9" t="s">
        <v>385</v>
      </c>
      <c r="D460" s="9" t="s">
        <v>655</v>
      </c>
      <c r="E460" s="9" t="s">
        <v>273</v>
      </c>
      <c r="F460" s="10" t="n">
        <v>36.48</v>
      </c>
      <c r="G460" s="9" t="s">
        <v>288</v>
      </c>
      <c r="H460" s="9" t="s">
        <v>327</v>
      </c>
      <c r="I460" s="9" t="s">
        <v>328</v>
      </c>
      <c r="J460" s="9" t="s">
        <v>329</v>
      </c>
      <c r="K460" s="31"/>
      <c r="L460" s="31" t="n">
        <v>3</v>
      </c>
      <c r="M460" s="10" t="n">
        <v>35.42</v>
      </c>
      <c r="N460" s="10" t="n">
        <v>1.06</v>
      </c>
      <c r="O460" s="9"/>
      <c r="P460" s="11" t="str">
        <f aca="false">IF(J460="%mo","",IF(G460="MO",IF(J460="hh",INDEX(MO_HH,MATCH(I460,MO_CAT,0)),M460*P_FACT_IPC),IF(G460="SUBPART",IFERROR(INDEX(APU_SUBP!$C$7:$C$40,MATCH(H460,APU_SUBP!$A$7:$A$40,0)),M460*P_FACT_IPC),M460*P_FACT_IPC)))</f>
        <v/>
      </c>
      <c r="Q460" s="11" t="n">
        <f aca="false">IF(J460="%mo",L460/100*SUMIFS($R$7:$R$782,$A$7:$A$782,A460),L460*P460)</f>
        <v>0.791477949940405</v>
      </c>
      <c r="R460" s="11" t="n">
        <f aca="false">IF(G460="MO",L460*P460,0)</f>
        <v>0</v>
      </c>
    </row>
    <row r="461" customFormat="false" ht="15" hidden="false" customHeight="false" outlineLevel="0" collapsed="false">
      <c r="A461" s="7" t="s">
        <v>656</v>
      </c>
      <c r="B461" s="7" t="s">
        <v>630</v>
      </c>
      <c r="C461" s="7" t="s">
        <v>390</v>
      </c>
      <c r="D461" s="7" t="s">
        <v>657</v>
      </c>
      <c r="E461" s="7" t="s">
        <v>12</v>
      </c>
      <c r="F461" s="11" t="n">
        <v>890.75</v>
      </c>
      <c r="G461" s="7" t="s">
        <v>281</v>
      </c>
      <c r="H461" s="7" t="s">
        <v>282</v>
      </c>
      <c r="I461" s="7" t="s">
        <v>107</v>
      </c>
      <c r="J461" s="7" t="s">
        <v>283</v>
      </c>
      <c r="K461" s="22" t="n">
        <v>1</v>
      </c>
      <c r="L461" s="22" t="n">
        <v>1</v>
      </c>
      <c r="M461" s="11" t="n">
        <v>25.81</v>
      </c>
      <c r="N461" s="11" t="n">
        <v>25.81</v>
      </c>
      <c r="O461" s="7" t="s">
        <v>284</v>
      </c>
      <c r="P461" s="11" t="n">
        <f aca="false">IF(J461="%mo","",IF(G461="MO",IF(J461="hh",INDEX(MO_HH,MATCH(I461,MO_CAT,0)),M461*P_FACT_IPC),IF(G461="SUBPART",IFERROR(INDEX(APU_SUBP!$C$7:$C$40,MATCH(H461,APU_SUBP!$A$7:$A$40,0)),M461*P_FACT_IPC),M461*P_FACT_IPC)))</f>
        <v>19.226758045292</v>
      </c>
      <c r="Q461" s="11" t="n">
        <f aca="false">IF(J461="%mo",L461/100*SUMIFS($R$7:$R$782,$A$7:$A$782,A461),L461*P461)</f>
        <v>19.226758045292</v>
      </c>
      <c r="R461" s="11" t="n">
        <f aca="false">IF(G461="MO",L461*P461,0)</f>
        <v>19.226758045292</v>
      </c>
    </row>
    <row r="462" customFormat="false" ht="15" hidden="false" customHeight="false" outlineLevel="0" collapsed="false">
      <c r="A462" s="9" t="s">
        <v>656</v>
      </c>
      <c r="B462" s="9" t="s">
        <v>630</v>
      </c>
      <c r="C462" s="9" t="s">
        <v>390</v>
      </c>
      <c r="D462" s="9" t="s">
        <v>657</v>
      </c>
      <c r="E462" s="9" t="s">
        <v>12</v>
      </c>
      <c r="F462" s="10" t="n">
        <v>890.75</v>
      </c>
      <c r="G462" s="9" t="s">
        <v>281</v>
      </c>
      <c r="H462" s="9" t="s">
        <v>286</v>
      </c>
      <c r="I462" s="9" t="s">
        <v>122</v>
      </c>
      <c r="J462" s="9" t="s">
        <v>283</v>
      </c>
      <c r="K462" s="31" t="n">
        <v>50</v>
      </c>
      <c r="L462" s="31" t="n">
        <v>50</v>
      </c>
      <c r="M462" s="10" t="n">
        <v>16.78</v>
      </c>
      <c r="N462" s="10" t="n">
        <v>839</v>
      </c>
      <c r="O462" s="9" t="s">
        <v>287</v>
      </c>
      <c r="P462" s="11" t="n">
        <f aca="false">IF(J462="%mo","",IF(G462="MO",IF(J462="hh",INDEX(MO_HH,MATCH(I462,MO_CAT,0)),M462*P_FACT_IPC),IF(G462="SUBPART",IFERROR(INDEX(APU_SUBP!$C$7:$C$40,MATCH(H462,APU_SUBP!$A$7:$A$40,0)),M462*P_FACT_IPC),M462*P_FACT_IPC)))</f>
        <v>12.5</v>
      </c>
      <c r="Q462" s="11" t="n">
        <f aca="false">IF(J462="%mo",L462/100*SUMIFS($R$7:$R$782,$A$7:$A$782,A462),L462*P462)</f>
        <v>625</v>
      </c>
      <c r="R462" s="11" t="n">
        <f aca="false">IF(G462="MO",L462*P462,0)</f>
        <v>625</v>
      </c>
    </row>
    <row r="463" customFormat="false" ht="15" hidden="false" customHeight="false" outlineLevel="0" collapsed="false">
      <c r="A463" s="7" t="s">
        <v>656</v>
      </c>
      <c r="B463" s="7" t="s">
        <v>630</v>
      </c>
      <c r="C463" s="7" t="s">
        <v>390</v>
      </c>
      <c r="D463" s="7" t="s">
        <v>657</v>
      </c>
      <c r="E463" s="7" t="s">
        <v>12</v>
      </c>
      <c r="F463" s="11" t="n">
        <v>890.75</v>
      </c>
      <c r="G463" s="7" t="s">
        <v>288</v>
      </c>
      <c r="H463" s="7" t="s">
        <v>327</v>
      </c>
      <c r="I463" s="7" t="s">
        <v>328</v>
      </c>
      <c r="J463" s="7" t="s">
        <v>329</v>
      </c>
      <c r="K463" s="22"/>
      <c r="L463" s="22" t="n">
        <v>3</v>
      </c>
      <c r="M463" s="11" t="n">
        <v>864.81</v>
      </c>
      <c r="N463" s="11" t="n">
        <v>25.94</v>
      </c>
      <c r="O463" s="7"/>
      <c r="P463" s="11" t="str">
        <f aca="false">IF(J463="%mo","",IF(G463="MO",IF(J463="hh",INDEX(MO_HH,MATCH(I463,MO_CAT,0)),M463*P_FACT_IPC),IF(G463="SUBPART",IFERROR(INDEX(APU_SUBP!$C$7:$C$40,MATCH(H463,APU_SUBP!$A$7:$A$40,0)),M463*P_FACT_IPC),M463*P_FACT_IPC)))</f>
        <v/>
      </c>
      <c r="Q463" s="11" t="n">
        <f aca="false">IF(J463="%mo",L463/100*SUMIFS($R$7:$R$782,$A$7:$A$782,A463),L463*P463)</f>
        <v>19.3268027413588</v>
      </c>
      <c r="R463" s="11" t="n">
        <f aca="false">IF(G463="MO",L463*P463,0)</f>
        <v>0</v>
      </c>
    </row>
    <row r="464" customFormat="false" ht="15" hidden="false" customHeight="false" outlineLevel="0" collapsed="false">
      <c r="A464" s="9" t="s">
        <v>658</v>
      </c>
      <c r="B464" s="9" t="s">
        <v>630</v>
      </c>
      <c r="C464" s="9" t="s">
        <v>393</v>
      </c>
      <c r="D464" s="9" t="s">
        <v>659</v>
      </c>
      <c r="E464" s="9" t="s">
        <v>12</v>
      </c>
      <c r="F464" s="10" t="n">
        <v>2279.91</v>
      </c>
      <c r="G464" s="9" t="s">
        <v>281</v>
      </c>
      <c r="H464" s="9" t="s">
        <v>282</v>
      </c>
      <c r="I464" s="9" t="s">
        <v>107</v>
      </c>
      <c r="J464" s="9" t="s">
        <v>283</v>
      </c>
      <c r="K464" s="31" t="n">
        <v>1</v>
      </c>
      <c r="L464" s="31" t="n">
        <v>0.04</v>
      </c>
      <c r="M464" s="10" t="n">
        <v>25.81</v>
      </c>
      <c r="N464" s="10" t="n">
        <v>1.03</v>
      </c>
      <c r="O464" s="9" t="s">
        <v>284</v>
      </c>
      <c r="P464" s="11" t="n">
        <f aca="false">IF(J464="%mo","",IF(G464="MO",IF(J464="hh",INDEX(MO_HH,MATCH(I464,MO_CAT,0)),M464*P_FACT_IPC),IF(G464="SUBPART",IFERROR(INDEX(APU_SUBP!$C$7:$C$40,MATCH(H464,APU_SUBP!$A$7:$A$40,0)),M464*P_FACT_IPC),M464*P_FACT_IPC)))</f>
        <v>19.226758045292</v>
      </c>
      <c r="Q464" s="11" t="n">
        <f aca="false">IF(J464="%mo",L464/100*SUMIFS($R$7:$R$782,$A$7:$A$782,A464),L464*P464)</f>
        <v>0.769070321811681</v>
      </c>
      <c r="R464" s="11" t="n">
        <f aca="false">IF(G464="MO",L464*P464,0)</f>
        <v>0.769070321811681</v>
      </c>
    </row>
    <row r="465" customFormat="false" ht="15" hidden="false" customHeight="false" outlineLevel="0" collapsed="false">
      <c r="A465" s="7" t="s">
        <v>658</v>
      </c>
      <c r="B465" s="7" t="s">
        <v>630</v>
      </c>
      <c r="C465" s="7" t="s">
        <v>393</v>
      </c>
      <c r="D465" s="7" t="s">
        <v>659</v>
      </c>
      <c r="E465" s="7" t="s">
        <v>12</v>
      </c>
      <c r="F465" s="11" t="n">
        <v>2279.91</v>
      </c>
      <c r="G465" s="7" t="s">
        <v>281</v>
      </c>
      <c r="H465" s="7" t="s">
        <v>286</v>
      </c>
      <c r="I465" s="7" t="s">
        <v>122</v>
      </c>
      <c r="J465" s="7" t="s">
        <v>283</v>
      </c>
      <c r="K465" s="22" t="n">
        <v>50</v>
      </c>
      <c r="L465" s="22" t="n">
        <v>2</v>
      </c>
      <c r="M465" s="11" t="n">
        <v>16.78</v>
      </c>
      <c r="N465" s="11" t="n">
        <v>33.56</v>
      </c>
      <c r="O465" s="7" t="s">
        <v>287</v>
      </c>
      <c r="P465" s="11" t="n">
        <f aca="false">IF(J465="%mo","",IF(G465="MO",IF(J465="hh",INDEX(MO_HH,MATCH(I465,MO_CAT,0)),M465*P_FACT_IPC),IF(G465="SUBPART",IFERROR(INDEX(APU_SUBP!$C$7:$C$40,MATCH(H465,APU_SUBP!$A$7:$A$40,0)),M465*P_FACT_IPC),M465*P_FACT_IPC)))</f>
        <v>12.5</v>
      </c>
      <c r="Q465" s="11" t="n">
        <f aca="false">IF(J465="%mo",L465/100*SUMIFS($R$7:$R$782,$A$7:$A$782,A465),L465*P465)</f>
        <v>25</v>
      </c>
      <c r="R465" s="11" t="n">
        <f aca="false">IF(G465="MO",L465*P465,0)</f>
        <v>25</v>
      </c>
    </row>
    <row r="466" customFormat="false" ht="15" hidden="false" customHeight="false" outlineLevel="0" collapsed="false">
      <c r="A466" s="9" t="s">
        <v>658</v>
      </c>
      <c r="B466" s="9" t="s">
        <v>630</v>
      </c>
      <c r="C466" s="9" t="s">
        <v>393</v>
      </c>
      <c r="D466" s="9" t="s">
        <v>659</v>
      </c>
      <c r="E466" s="9" t="s">
        <v>12</v>
      </c>
      <c r="F466" s="10" t="n">
        <v>2279.91</v>
      </c>
      <c r="G466" s="9" t="s">
        <v>307</v>
      </c>
      <c r="H466" s="9" t="s">
        <v>660</v>
      </c>
      <c r="I466" s="9" t="s">
        <v>661</v>
      </c>
      <c r="J466" s="9" t="s">
        <v>16</v>
      </c>
      <c r="K466" s="31"/>
      <c r="L466" s="31" t="n">
        <v>0.001</v>
      </c>
      <c r="M466" s="10" t="n">
        <v>9.56</v>
      </c>
      <c r="N466" s="10" t="n">
        <v>0.01</v>
      </c>
      <c r="O466" s="9"/>
      <c r="P466" s="11" t="n">
        <f aca="false">IF(J466="%mo","",IF(G466="MO",IF(J466="hh",INDEX(MO_HH,MATCH(I466,MO_CAT,0)),M466*P_FACT_IPC),IF(G466="SUBPART",IFERROR(INDEX(APU_SUBP!$C$7:$C$40,MATCH(H466,APU_SUBP!$A$7:$A$40,0)),M466*P_FACT_IPC),M466*P_FACT_IPC)))</f>
        <v>12.2969882402236</v>
      </c>
      <c r="Q466" s="11" t="n">
        <f aca="false">IF(J466="%mo",L466/100*SUMIFS($R$7:$R$782,$A$7:$A$782,A466),L466*P466)</f>
        <v>0.0122969882402236</v>
      </c>
      <c r="R466" s="11" t="n">
        <f aca="false">IF(G466="MO",L466*P466,0)</f>
        <v>0</v>
      </c>
    </row>
    <row r="467" customFormat="false" ht="15" hidden="false" customHeight="false" outlineLevel="0" collapsed="false">
      <c r="A467" s="7" t="s">
        <v>658</v>
      </c>
      <c r="B467" s="7" t="s">
        <v>630</v>
      </c>
      <c r="C467" s="7" t="s">
        <v>393</v>
      </c>
      <c r="D467" s="7" t="s">
        <v>659</v>
      </c>
      <c r="E467" s="7" t="s">
        <v>12</v>
      </c>
      <c r="F467" s="11" t="n">
        <v>2279.91</v>
      </c>
      <c r="G467" s="7" t="s">
        <v>307</v>
      </c>
      <c r="H467" s="7" t="s">
        <v>662</v>
      </c>
      <c r="I467" s="7" t="s">
        <v>663</v>
      </c>
      <c r="J467" s="7" t="s">
        <v>16</v>
      </c>
      <c r="K467" s="22"/>
      <c r="L467" s="22" t="n">
        <v>0.01</v>
      </c>
      <c r="M467" s="11" t="n">
        <v>2.7</v>
      </c>
      <c r="N467" s="11" t="n">
        <v>0.03</v>
      </c>
      <c r="O467" s="7"/>
      <c r="P467" s="11" t="n">
        <f aca="false">IF(J467="%mo","",IF(G467="MO",IF(J467="hh",INDEX(MO_HH,MATCH(I467,MO_CAT,0)),M467*P_FACT_IPC),IF(G467="SUBPART",IFERROR(INDEX(APU_SUBP!$C$7:$C$40,MATCH(H467,APU_SUBP!$A$7:$A$40,0)),M467*P_FACT_IPC),M467*P_FACT_IPC)))</f>
        <v>3.47299877077444</v>
      </c>
      <c r="Q467" s="11" t="n">
        <f aca="false">IF(J467="%mo",L467/100*SUMIFS($R$7:$R$782,$A$7:$A$782,A467),L467*P467)</f>
        <v>0.0347299877077444</v>
      </c>
      <c r="R467" s="11" t="n">
        <f aca="false">IF(G467="MO",L467*P467,0)</f>
        <v>0</v>
      </c>
    </row>
    <row r="468" customFormat="false" ht="15" hidden="false" customHeight="false" outlineLevel="0" collapsed="false">
      <c r="A468" s="9" t="s">
        <v>658</v>
      </c>
      <c r="B468" s="9" t="s">
        <v>630</v>
      </c>
      <c r="C468" s="9" t="s">
        <v>393</v>
      </c>
      <c r="D468" s="9" t="s">
        <v>659</v>
      </c>
      <c r="E468" s="9" t="s">
        <v>12</v>
      </c>
      <c r="F468" s="10" t="n">
        <v>2279.91</v>
      </c>
      <c r="G468" s="9" t="s">
        <v>307</v>
      </c>
      <c r="H468" s="9" t="s">
        <v>664</v>
      </c>
      <c r="I468" s="9" t="s">
        <v>665</v>
      </c>
      <c r="J468" s="9" t="s">
        <v>361</v>
      </c>
      <c r="K468" s="31"/>
      <c r="L468" s="31" t="n">
        <v>133.33</v>
      </c>
      <c r="M468" s="10" t="n">
        <v>16.84</v>
      </c>
      <c r="N468" s="10" t="n">
        <v>2245.28</v>
      </c>
      <c r="O468" s="9"/>
      <c r="P468" s="11" t="n">
        <f aca="false">IF(J468="%mo","",IF(G468="MO",IF(J468="hh",INDEX(MO_HH,MATCH(I468,MO_CAT,0)),M468*P_FACT_IPC),IF(G468="SUBPART",IFERROR(INDEX(APU_SUBP!$C$7:$C$40,MATCH(H468,APU_SUBP!$A$7:$A$40,0)),M468*P_FACT_IPC),M468*P_FACT_IPC)))</f>
        <v>21.6612219629043</v>
      </c>
      <c r="Q468" s="11" t="n">
        <f aca="false">IF(J468="%mo",L468/100*SUMIFS($R$7:$R$782,$A$7:$A$782,A468),L468*P468)</f>
        <v>2888.09072431403</v>
      </c>
      <c r="R468" s="11" t="n">
        <f aca="false">IF(G468="MO",L468*P468,0)</f>
        <v>0</v>
      </c>
    </row>
    <row r="469" customFormat="false" ht="15" hidden="false" customHeight="false" outlineLevel="0" collapsed="false">
      <c r="A469" s="7" t="s">
        <v>666</v>
      </c>
      <c r="B469" s="7" t="s">
        <v>630</v>
      </c>
      <c r="C469" s="7" t="s">
        <v>402</v>
      </c>
      <c r="D469" s="7" t="s">
        <v>667</v>
      </c>
      <c r="E469" s="7" t="s">
        <v>12</v>
      </c>
      <c r="F469" s="11" t="n">
        <v>1109.9</v>
      </c>
      <c r="G469" s="7" t="s">
        <v>281</v>
      </c>
      <c r="H469" s="7" t="s">
        <v>282</v>
      </c>
      <c r="I469" s="7" t="s">
        <v>107</v>
      </c>
      <c r="J469" s="7" t="s">
        <v>283</v>
      </c>
      <c r="K469" s="22" t="n">
        <v>1</v>
      </c>
      <c r="L469" s="22" t="n">
        <v>0.0889</v>
      </c>
      <c r="M469" s="11" t="n">
        <v>25.81</v>
      </c>
      <c r="N469" s="11" t="n">
        <v>2.29</v>
      </c>
      <c r="O469" s="7" t="s">
        <v>284</v>
      </c>
      <c r="P469" s="11" t="n">
        <f aca="false">IF(J469="%mo","",IF(G469="MO",IF(J469="hh",INDEX(MO_HH,MATCH(I469,MO_CAT,0)),M469*P_FACT_IPC),IF(G469="SUBPART",IFERROR(INDEX(APU_SUBP!$C$7:$C$40,MATCH(H469,APU_SUBP!$A$7:$A$40,0)),M469*P_FACT_IPC),M469*P_FACT_IPC)))</f>
        <v>19.226758045292</v>
      </c>
      <c r="Q469" s="11" t="n">
        <f aca="false">IF(J469="%mo",L469/100*SUMIFS($R$7:$R$782,$A$7:$A$782,A469),L469*P469)</f>
        <v>1.70925879022646</v>
      </c>
      <c r="R469" s="11" t="n">
        <f aca="false">IF(G469="MO",L469*P469,0)</f>
        <v>1.70925879022646</v>
      </c>
    </row>
    <row r="470" customFormat="false" ht="15" hidden="false" customHeight="false" outlineLevel="0" collapsed="false">
      <c r="A470" s="9" t="s">
        <v>666</v>
      </c>
      <c r="B470" s="9" t="s">
        <v>630</v>
      </c>
      <c r="C470" s="9" t="s">
        <v>402</v>
      </c>
      <c r="D470" s="9" t="s">
        <v>667</v>
      </c>
      <c r="E470" s="9" t="s">
        <v>12</v>
      </c>
      <c r="F470" s="10" t="n">
        <v>1109.9</v>
      </c>
      <c r="G470" s="9" t="s">
        <v>281</v>
      </c>
      <c r="H470" s="9" t="s">
        <v>286</v>
      </c>
      <c r="I470" s="9" t="s">
        <v>122</v>
      </c>
      <c r="J470" s="9" t="s">
        <v>283</v>
      </c>
      <c r="K470" s="31" t="n">
        <v>10</v>
      </c>
      <c r="L470" s="31" t="n">
        <v>0.8889</v>
      </c>
      <c r="M470" s="10" t="n">
        <v>16.78</v>
      </c>
      <c r="N470" s="10" t="n">
        <v>14.92</v>
      </c>
      <c r="O470" s="9" t="s">
        <v>287</v>
      </c>
      <c r="P470" s="11" t="n">
        <f aca="false">IF(J470="%mo","",IF(G470="MO",IF(J470="hh",INDEX(MO_HH,MATCH(I470,MO_CAT,0)),M470*P_FACT_IPC),IF(G470="SUBPART",IFERROR(INDEX(APU_SUBP!$C$7:$C$40,MATCH(H470,APU_SUBP!$A$7:$A$40,0)),M470*P_FACT_IPC),M470*P_FACT_IPC)))</f>
        <v>12.5</v>
      </c>
      <c r="Q470" s="11" t="n">
        <f aca="false">IF(J470="%mo",L470/100*SUMIFS($R$7:$R$782,$A$7:$A$782,A470),L470*P470)</f>
        <v>11.11125</v>
      </c>
      <c r="R470" s="11" t="n">
        <f aca="false">IF(G470="MO",L470*P470,0)</f>
        <v>11.11125</v>
      </c>
    </row>
    <row r="471" customFormat="false" ht="15" hidden="false" customHeight="false" outlineLevel="0" collapsed="false">
      <c r="A471" s="7" t="s">
        <v>666</v>
      </c>
      <c r="B471" s="7" t="s">
        <v>630</v>
      </c>
      <c r="C471" s="7" t="s">
        <v>402</v>
      </c>
      <c r="D471" s="7" t="s">
        <v>667</v>
      </c>
      <c r="E471" s="7" t="s">
        <v>12</v>
      </c>
      <c r="F471" s="11" t="n">
        <v>1109.9</v>
      </c>
      <c r="G471" s="7" t="s">
        <v>307</v>
      </c>
      <c r="H471" s="7" t="s">
        <v>668</v>
      </c>
      <c r="I471" s="7" t="s">
        <v>669</v>
      </c>
      <c r="J471" s="7" t="s">
        <v>21</v>
      </c>
      <c r="K471" s="22"/>
      <c r="L471" s="22" t="n">
        <v>25</v>
      </c>
      <c r="M471" s="11" t="n">
        <v>1.13</v>
      </c>
      <c r="N471" s="11" t="n">
        <v>28.25</v>
      </c>
      <c r="O471" s="7"/>
      <c r="P471" s="11" t="n">
        <f aca="false">IF(J471="%mo","",IF(G471="MO",IF(J471="hh",INDEX(MO_HH,MATCH(I471,MO_CAT,0)),M471*P_FACT_IPC),IF(G471="SUBPART",IFERROR(INDEX(APU_SUBP!$C$7:$C$40,MATCH(H471,APU_SUBP!$A$7:$A$40,0)),M471*P_FACT_IPC),M471*P_FACT_IPC)))</f>
        <v>1.45351430036116</v>
      </c>
      <c r="Q471" s="11" t="n">
        <f aca="false">IF(J471="%mo",L471/100*SUMIFS($R$7:$R$782,$A$7:$A$782,A471),L471*P471)</f>
        <v>36.3378575090289</v>
      </c>
      <c r="R471" s="11" t="n">
        <f aca="false">IF(G471="MO",L471*P471,0)</f>
        <v>0</v>
      </c>
    </row>
    <row r="472" customFormat="false" ht="15" hidden="false" customHeight="false" outlineLevel="0" collapsed="false">
      <c r="A472" s="9" t="s">
        <v>666</v>
      </c>
      <c r="B472" s="9" t="s">
        <v>630</v>
      </c>
      <c r="C472" s="9" t="s">
        <v>402</v>
      </c>
      <c r="D472" s="9" t="s">
        <v>667</v>
      </c>
      <c r="E472" s="9" t="s">
        <v>12</v>
      </c>
      <c r="F472" s="10" t="n">
        <v>1109.9</v>
      </c>
      <c r="G472" s="9" t="s">
        <v>288</v>
      </c>
      <c r="H472" s="9" t="s">
        <v>428</v>
      </c>
      <c r="I472" s="9" t="s">
        <v>429</v>
      </c>
      <c r="J472" s="9" t="s">
        <v>322</v>
      </c>
      <c r="K472" s="31" t="n">
        <v>5</v>
      </c>
      <c r="L472" s="31" t="n">
        <v>0.4444</v>
      </c>
      <c r="M472" s="10" t="n">
        <v>15.62</v>
      </c>
      <c r="N472" s="10" t="n">
        <v>6.94</v>
      </c>
      <c r="O472" s="9"/>
      <c r="P472" s="11" t="n">
        <f aca="false">IF(J472="%mo","",IF(G472="MO",IF(J472="hh",INDEX(MO_HH,MATCH(I472,MO_CAT,0)),M472*P_FACT_IPC),IF(G472="SUBPART",IFERROR(INDEX(APU_SUBP!$C$7:$C$40,MATCH(H472,APU_SUBP!$A$7:$A$40,0)),M472*P_FACT_IPC),M472*P_FACT_IPC)))</f>
        <v>20.0919410368507</v>
      </c>
      <c r="Q472" s="11" t="n">
        <f aca="false">IF(J472="%mo",L472/100*SUMIFS($R$7:$R$782,$A$7:$A$782,A472),L472*P472)</f>
        <v>8.92885859677644</v>
      </c>
      <c r="R472" s="11" t="n">
        <f aca="false">IF(G472="MO",L472*P472,0)</f>
        <v>0</v>
      </c>
    </row>
    <row r="473" customFormat="false" ht="15" hidden="false" customHeight="false" outlineLevel="0" collapsed="false">
      <c r="A473" s="7" t="s">
        <v>666</v>
      </c>
      <c r="B473" s="7" t="s">
        <v>630</v>
      </c>
      <c r="C473" s="7" t="s">
        <v>402</v>
      </c>
      <c r="D473" s="7" t="s">
        <v>667</v>
      </c>
      <c r="E473" s="7" t="s">
        <v>12</v>
      </c>
      <c r="F473" s="11" t="n">
        <v>1109.9</v>
      </c>
      <c r="G473" s="7" t="s">
        <v>370</v>
      </c>
      <c r="H473" s="7" t="s">
        <v>415</v>
      </c>
      <c r="I473" s="7" t="s">
        <v>416</v>
      </c>
      <c r="J473" s="7" t="s">
        <v>273</v>
      </c>
      <c r="K473" s="22"/>
      <c r="L473" s="22" t="n">
        <v>50</v>
      </c>
      <c r="M473" s="11" t="n">
        <v>21.15</v>
      </c>
      <c r="N473" s="11" t="n">
        <v>1057.5</v>
      </c>
      <c r="O473" s="7"/>
      <c r="P473" s="11" t="n">
        <f aca="false">IF(J473="%mo","",IF(G473="MO",IF(J473="hh",INDEX(MO_HH,MATCH(I473,MO_CAT,0)),M473*P_FACT_IPC),IF(G473="SUBPART",IFERROR(INDEX(APU_SUBP!$C$7:$C$40,MATCH(H473,APU_SUBP!$A$7:$A$40,0)),M473*P_FACT_IPC),M473*P_FACT_IPC)))</f>
        <v>22.7438822970285</v>
      </c>
      <c r="Q473" s="11" t="n">
        <f aca="false">IF(J473="%mo",L473/100*SUMIFS($R$7:$R$782,$A$7:$A$782,A473),L473*P473)</f>
        <v>1137.19411485142</v>
      </c>
      <c r="R473" s="11" t="n">
        <f aca="false">IF(G473="MO",L473*P473,0)</f>
        <v>0</v>
      </c>
    </row>
    <row r="474" customFormat="false" ht="15" hidden="false" customHeight="false" outlineLevel="0" collapsed="false">
      <c r="A474" s="9" t="s">
        <v>670</v>
      </c>
      <c r="B474" s="9" t="s">
        <v>630</v>
      </c>
      <c r="C474" s="9" t="s">
        <v>671</v>
      </c>
      <c r="D474" s="9" t="s">
        <v>391</v>
      </c>
      <c r="E474" s="9" t="s">
        <v>16</v>
      </c>
      <c r="F474" s="10" t="n">
        <v>1.73</v>
      </c>
      <c r="G474" s="9" t="s">
        <v>281</v>
      </c>
      <c r="H474" s="9" t="s">
        <v>282</v>
      </c>
      <c r="I474" s="9" t="s">
        <v>107</v>
      </c>
      <c r="J474" s="9" t="s">
        <v>283</v>
      </c>
      <c r="K474" s="31" t="n">
        <v>0.1</v>
      </c>
      <c r="L474" s="31" t="n">
        <v>0.0087</v>
      </c>
      <c r="M474" s="10" t="n">
        <v>25.81</v>
      </c>
      <c r="N474" s="10" t="n">
        <v>0.22</v>
      </c>
      <c r="O474" s="9" t="s">
        <v>284</v>
      </c>
      <c r="P474" s="11" t="n">
        <f aca="false">IF(J474="%mo","",IF(G474="MO",IF(J474="hh",INDEX(MO_HH,MATCH(I474,MO_CAT,0)),M474*P_FACT_IPC),IF(G474="SUBPART",IFERROR(INDEX(APU_SUBP!$C$7:$C$40,MATCH(H474,APU_SUBP!$A$7:$A$40,0)),M474*P_FACT_IPC),M474*P_FACT_IPC)))</f>
        <v>19.226758045292</v>
      </c>
      <c r="Q474" s="11" t="n">
        <f aca="false">IF(J474="%mo",L474/100*SUMIFS($R$7:$R$782,$A$7:$A$782,A474),L474*P474)</f>
        <v>0.167272794994041</v>
      </c>
      <c r="R474" s="11" t="n">
        <f aca="false">IF(G474="MO",L474*P474,0)</f>
        <v>0.167272794994041</v>
      </c>
    </row>
    <row r="475" customFormat="false" ht="15" hidden="false" customHeight="false" outlineLevel="0" collapsed="false">
      <c r="A475" s="7" t="s">
        <v>670</v>
      </c>
      <c r="B475" s="7" t="s">
        <v>630</v>
      </c>
      <c r="C475" s="7" t="s">
        <v>671</v>
      </c>
      <c r="D475" s="7" t="s">
        <v>391</v>
      </c>
      <c r="E475" s="7" t="s">
        <v>16</v>
      </c>
      <c r="F475" s="11" t="n">
        <v>1.73</v>
      </c>
      <c r="G475" s="7" t="s">
        <v>281</v>
      </c>
      <c r="H475" s="7" t="s">
        <v>286</v>
      </c>
      <c r="I475" s="7" t="s">
        <v>122</v>
      </c>
      <c r="J475" s="7" t="s">
        <v>283</v>
      </c>
      <c r="K475" s="22" t="n">
        <v>1</v>
      </c>
      <c r="L475" s="22" t="n">
        <v>0.087</v>
      </c>
      <c r="M475" s="11" t="n">
        <v>16.78</v>
      </c>
      <c r="N475" s="11" t="n">
        <v>1.46</v>
      </c>
      <c r="O475" s="7" t="s">
        <v>287</v>
      </c>
      <c r="P475" s="11" t="n">
        <f aca="false">IF(J475="%mo","",IF(G475="MO",IF(J475="hh",INDEX(MO_HH,MATCH(I475,MO_CAT,0)),M475*P_FACT_IPC),IF(G475="SUBPART",IFERROR(INDEX(APU_SUBP!$C$7:$C$40,MATCH(H475,APU_SUBP!$A$7:$A$40,0)),M475*P_FACT_IPC),M475*P_FACT_IPC)))</f>
        <v>12.5</v>
      </c>
      <c r="Q475" s="11" t="n">
        <f aca="false">IF(J475="%mo",L475/100*SUMIFS($R$7:$R$782,$A$7:$A$782,A475),L475*P475)</f>
        <v>1.0875</v>
      </c>
      <c r="R475" s="11" t="n">
        <f aca="false">IF(G475="MO",L475*P475,0)</f>
        <v>1.0875</v>
      </c>
    </row>
    <row r="476" customFormat="false" ht="15" hidden="false" customHeight="false" outlineLevel="0" collapsed="false">
      <c r="A476" s="9" t="s">
        <v>670</v>
      </c>
      <c r="B476" s="9" t="s">
        <v>630</v>
      </c>
      <c r="C476" s="9" t="s">
        <v>671</v>
      </c>
      <c r="D476" s="9" t="s">
        <v>391</v>
      </c>
      <c r="E476" s="9" t="s">
        <v>16</v>
      </c>
      <c r="F476" s="10" t="n">
        <v>1.73</v>
      </c>
      <c r="G476" s="9" t="s">
        <v>288</v>
      </c>
      <c r="H476" s="9" t="s">
        <v>327</v>
      </c>
      <c r="I476" s="9" t="s">
        <v>328</v>
      </c>
      <c r="J476" s="9" t="s">
        <v>329</v>
      </c>
      <c r="K476" s="31"/>
      <c r="L476" s="31" t="n">
        <v>3</v>
      </c>
      <c r="M476" s="10" t="n">
        <v>1.68</v>
      </c>
      <c r="N476" s="10" t="n">
        <v>0.05</v>
      </c>
      <c r="O476" s="9"/>
      <c r="P476" s="11" t="str">
        <f aca="false">IF(J476="%mo","",IF(G476="MO",IF(J476="hh",INDEX(MO_HH,MATCH(I476,MO_CAT,0)),M476*P_FACT_IPC),IF(G476="SUBPART",IFERROR(INDEX(APU_SUBP!$C$7:$C$40,MATCH(H476,APU_SUBP!$A$7:$A$40,0)),M476*P_FACT_IPC),M476*P_FACT_IPC)))</f>
        <v/>
      </c>
      <c r="Q476" s="11" t="n">
        <f aca="false">IF(J476="%mo",L476/100*SUMIFS($R$7:$R$782,$A$7:$A$782,A476),L476*P476)</f>
        <v>0.0376431838498212</v>
      </c>
      <c r="R476" s="11" t="n">
        <f aca="false">IF(G476="MO",L476*P476,0)</f>
        <v>0</v>
      </c>
    </row>
    <row r="477" customFormat="false" ht="15" hidden="false" customHeight="false" outlineLevel="0" collapsed="false">
      <c r="A477" s="7" t="s">
        <v>672</v>
      </c>
      <c r="B477" s="7" t="s">
        <v>630</v>
      </c>
      <c r="C477" s="7" t="s">
        <v>673</v>
      </c>
      <c r="D477" s="7" t="s">
        <v>674</v>
      </c>
      <c r="E477" s="7" t="s">
        <v>16</v>
      </c>
      <c r="F477" s="11" t="n">
        <v>1.17</v>
      </c>
      <c r="G477" s="7" t="s">
        <v>281</v>
      </c>
      <c r="H477" s="7" t="s">
        <v>285</v>
      </c>
      <c r="I477" s="7" t="s">
        <v>117</v>
      </c>
      <c r="J477" s="7" t="s">
        <v>283</v>
      </c>
      <c r="K477" s="22" t="n">
        <v>0.1</v>
      </c>
      <c r="L477" s="22" t="n">
        <v>0.005</v>
      </c>
      <c r="M477" s="11" t="n">
        <v>18.56</v>
      </c>
      <c r="N477" s="11" t="n">
        <v>0.09</v>
      </c>
      <c r="O477" s="7" t="s">
        <v>284</v>
      </c>
      <c r="P477" s="11" t="n">
        <f aca="false">IF(J477="%mo","",IF(G477="MO",IF(J477="hh",INDEX(MO_HH,MATCH(I477,MO_CAT,0)),M477*P_FACT_IPC),IF(G477="SUBPART",IFERROR(INDEX(APU_SUBP!$C$7:$C$40,MATCH(H477,APU_SUBP!$A$7:$A$40,0)),M477*P_FACT_IPC),M477*P_FACT_IPC)))</f>
        <v>13.8259833134684</v>
      </c>
      <c r="Q477" s="11" t="n">
        <f aca="false">IF(J477="%mo",L477/100*SUMIFS($R$7:$R$782,$A$7:$A$782,A477),L477*P477)</f>
        <v>0.0691299165673421</v>
      </c>
      <c r="R477" s="11" t="n">
        <f aca="false">IF(G477="MO",L477*P477,0)</f>
        <v>0.0691299165673421</v>
      </c>
    </row>
    <row r="478" customFormat="false" ht="15" hidden="false" customHeight="false" outlineLevel="0" collapsed="false">
      <c r="A478" s="9" t="s">
        <v>672</v>
      </c>
      <c r="B478" s="9" t="s">
        <v>630</v>
      </c>
      <c r="C478" s="9" t="s">
        <v>673</v>
      </c>
      <c r="D478" s="9" t="s">
        <v>674</v>
      </c>
      <c r="E478" s="9" t="s">
        <v>16</v>
      </c>
      <c r="F478" s="10" t="n">
        <v>1.17</v>
      </c>
      <c r="G478" s="9" t="s">
        <v>281</v>
      </c>
      <c r="H478" s="9" t="s">
        <v>286</v>
      </c>
      <c r="I478" s="9" t="s">
        <v>122</v>
      </c>
      <c r="J478" s="9" t="s">
        <v>283</v>
      </c>
      <c r="K478" s="31" t="n">
        <v>1</v>
      </c>
      <c r="L478" s="31" t="n">
        <v>0.05</v>
      </c>
      <c r="M478" s="10" t="n">
        <v>16.78</v>
      </c>
      <c r="N478" s="10" t="n">
        <v>0.84</v>
      </c>
      <c r="O478" s="9" t="s">
        <v>287</v>
      </c>
      <c r="P478" s="11" t="n">
        <f aca="false">IF(J478="%mo","",IF(G478="MO",IF(J478="hh",INDEX(MO_HH,MATCH(I478,MO_CAT,0)),M478*P_FACT_IPC),IF(G478="SUBPART",IFERROR(INDEX(APU_SUBP!$C$7:$C$40,MATCH(H478,APU_SUBP!$A$7:$A$40,0)),M478*P_FACT_IPC),M478*P_FACT_IPC)))</f>
        <v>12.5</v>
      </c>
      <c r="Q478" s="11" t="n">
        <f aca="false">IF(J478="%mo",L478/100*SUMIFS($R$7:$R$782,$A$7:$A$782,A478),L478*P478)</f>
        <v>0.625</v>
      </c>
      <c r="R478" s="11" t="n">
        <f aca="false">IF(G478="MO",L478*P478,0)</f>
        <v>0.625</v>
      </c>
    </row>
    <row r="479" customFormat="false" ht="15" hidden="false" customHeight="false" outlineLevel="0" collapsed="false">
      <c r="A479" s="7" t="s">
        <v>672</v>
      </c>
      <c r="B479" s="7" t="s">
        <v>630</v>
      </c>
      <c r="C479" s="7" t="s">
        <v>673</v>
      </c>
      <c r="D479" s="7" t="s">
        <v>674</v>
      </c>
      <c r="E479" s="7" t="s">
        <v>16</v>
      </c>
      <c r="F479" s="11" t="n">
        <v>1.17</v>
      </c>
      <c r="G479" s="7" t="s">
        <v>307</v>
      </c>
      <c r="H479" s="7" t="s">
        <v>395</v>
      </c>
      <c r="I479" s="7" t="s">
        <v>396</v>
      </c>
      <c r="J479" s="7" t="s">
        <v>361</v>
      </c>
      <c r="K479" s="22"/>
      <c r="L479" s="22" t="n">
        <v>0.11</v>
      </c>
      <c r="M479" s="11" t="n">
        <v>1.16</v>
      </c>
      <c r="N479" s="11" t="n">
        <v>0.13</v>
      </c>
      <c r="O479" s="7"/>
      <c r="P479" s="11" t="n">
        <f aca="false">IF(J479="%mo","",IF(G479="MO",IF(J479="hh",INDEX(MO_HH,MATCH(I479,MO_CAT,0)),M479*P_FACT_IPC),IF(G479="SUBPART",IFERROR(INDEX(APU_SUBP!$C$7:$C$40,MATCH(H479,APU_SUBP!$A$7:$A$40,0)),M479*P_FACT_IPC),M479*P_FACT_IPC)))</f>
        <v>1.49210317559198</v>
      </c>
      <c r="Q479" s="11" t="n">
        <f aca="false">IF(J479="%mo",L479/100*SUMIFS($R$7:$R$782,$A$7:$A$782,A479),L479*P479)</f>
        <v>0.164131349315118</v>
      </c>
      <c r="R479" s="11" t="n">
        <f aca="false">IF(G479="MO",L479*P479,0)</f>
        <v>0</v>
      </c>
    </row>
    <row r="480" customFormat="false" ht="15" hidden="false" customHeight="false" outlineLevel="0" collapsed="false">
      <c r="A480" s="9" t="s">
        <v>672</v>
      </c>
      <c r="B480" s="9" t="s">
        <v>630</v>
      </c>
      <c r="C480" s="9" t="s">
        <v>673</v>
      </c>
      <c r="D480" s="9" t="s">
        <v>674</v>
      </c>
      <c r="E480" s="9" t="s">
        <v>16</v>
      </c>
      <c r="F480" s="10" t="n">
        <v>1.17</v>
      </c>
      <c r="G480" s="9" t="s">
        <v>307</v>
      </c>
      <c r="H480" s="9" t="s">
        <v>397</v>
      </c>
      <c r="I480" s="9" t="s">
        <v>398</v>
      </c>
      <c r="J480" s="9" t="s">
        <v>16</v>
      </c>
      <c r="K480" s="31"/>
      <c r="L480" s="31" t="n">
        <v>1</v>
      </c>
      <c r="M480" s="10" t="n">
        <v>0.05</v>
      </c>
      <c r="N480" s="10" t="n">
        <v>0.05</v>
      </c>
      <c r="O480" s="9"/>
      <c r="P480" s="11" t="n">
        <f aca="false">IF(J480="%mo","",IF(G480="MO",IF(J480="hh",INDEX(MO_HH,MATCH(I480,MO_CAT,0)),M480*P_FACT_IPC),IF(G480="SUBPART",IFERROR(INDEX(APU_SUBP!$C$7:$C$40,MATCH(H480,APU_SUBP!$A$7:$A$40,0)),M480*P_FACT_IPC),M480*P_FACT_IPC)))</f>
        <v>0.0643147920513786</v>
      </c>
      <c r="Q480" s="11" t="n">
        <f aca="false">IF(J480="%mo",L480/100*SUMIFS($R$7:$R$782,$A$7:$A$782,A480),L480*P480)</f>
        <v>0.0643147920513786</v>
      </c>
      <c r="R480" s="11" t="n">
        <f aca="false">IF(G480="MO",L480*P480,0)</f>
        <v>0</v>
      </c>
    </row>
    <row r="481" customFormat="false" ht="15" hidden="false" customHeight="false" outlineLevel="0" collapsed="false">
      <c r="A481" s="7" t="s">
        <v>672</v>
      </c>
      <c r="B481" s="7" t="s">
        <v>630</v>
      </c>
      <c r="C481" s="7" t="s">
        <v>673</v>
      </c>
      <c r="D481" s="7" t="s">
        <v>674</v>
      </c>
      <c r="E481" s="7" t="s">
        <v>16</v>
      </c>
      <c r="F481" s="11" t="n">
        <v>1.17</v>
      </c>
      <c r="G481" s="7" t="s">
        <v>288</v>
      </c>
      <c r="H481" s="7" t="s">
        <v>327</v>
      </c>
      <c r="I481" s="7" t="s">
        <v>328</v>
      </c>
      <c r="J481" s="7" t="s">
        <v>329</v>
      </c>
      <c r="K481" s="22"/>
      <c r="L481" s="22" t="n">
        <v>3</v>
      </c>
      <c r="M481" s="11" t="n">
        <v>0.93</v>
      </c>
      <c r="N481" s="11" t="n">
        <v>0.03</v>
      </c>
      <c r="O481" s="7"/>
      <c r="P481" s="11" t="str">
        <f aca="false">IF(J481="%mo","",IF(G481="MO",IF(J481="hh",INDEX(MO_HH,MATCH(I481,MO_CAT,0)),M481*P_FACT_IPC),IF(G481="SUBPART",IFERROR(INDEX(APU_SUBP!$C$7:$C$40,MATCH(H481,APU_SUBP!$A$7:$A$40,0)),M481*P_FACT_IPC),M481*P_FACT_IPC)))</f>
        <v/>
      </c>
      <c r="Q481" s="11" t="n">
        <f aca="false">IF(J481="%mo",L481/100*SUMIFS($R$7:$R$782,$A$7:$A$782,A481),L481*P481)</f>
        <v>0.0208238974970203</v>
      </c>
      <c r="R481" s="11" t="n">
        <f aca="false">IF(G481="MO",L481*P481,0)</f>
        <v>0</v>
      </c>
    </row>
    <row r="482" customFormat="false" ht="15" hidden="false" customHeight="false" outlineLevel="0" collapsed="false">
      <c r="A482" s="9" t="s">
        <v>672</v>
      </c>
      <c r="B482" s="9" t="s">
        <v>630</v>
      </c>
      <c r="C482" s="9" t="s">
        <v>673</v>
      </c>
      <c r="D482" s="9" t="s">
        <v>674</v>
      </c>
      <c r="E482" s="9" t="s">
        <v>16</v>
      </c>
      <c r="F482" s="10" t="n">
        <v>1.17</v>
      </c>
      <c r="G482" s="9" t="s">
        <v>370</v>
      </c>
      <c r="H482" s="9" t="s">
        <v>399</v>
      </c>
      <c r="I482" s="9" t="s">
        <v>400</v>
      </c>
      <c r="J482" s="9" t="s">
        <v>273</v>
      </c>
      <c r="K482" s="31"/>
      <c r="L482" s="31" t="n">
        <v>0.0012</v>
      </c>
      <c r="M482" s="10" t="n">
        <v>24.35</v>
      </c>
      <c r="N482" s="10" t="n">
        <v>0.03</v>
      </c>
      <c r="O482" s="9"/>
      <c r="P482" s="11" t="n">
        <f aca="false">IF(J482="%mo","",IF(G482="MO",IF(J482="hh",INDEX(MO_HH,MATCH(I482,MO_CAT,0)),M482*P_FACT_IPC),IF(G482="SUBPART",IFERROR(INDEX(APU_SUBP!$C$7:$C$40,MATCH(H482,APU_SUBP!$A$7:$A$40,0)),M482*P_FACT_IPC),M482*P_FACT_IPC)))</f>
        <v>30.5614930535066</v>
      </c>
      <c r="Q482" s="11" t="n">
        <f aca="false">IF(J482="%mo",L482/100*SUMIFS($R$7:$R$782,$A$7:$A$782,A482),L482*P482)</f>
        <v>0.036673791664208</v>
      </c>
      <c r="R482" s="11" t="n">
        <f aca="false">IF(G482="MO",L482*P482,0)</f>
        <v>0</v>
      </c>
    </row>
    <row r="483" customFormat="false" ht="15" hidden="false" customHeight="false" outlineLevel="0" collapsed="false">
      <c r="A483" s="7" t="s">
        <v>675</v>
      </c>
      <c r="B483" s="7" t="s">
        <v>630</v>
      </c>
      <c r="C483" s="7" t="s">
        <v>676</v>
      </c>
      <c r="D483" s="7" t="s">
        <v>403</v>
      </c>
      <c r="E483" s="7" t="s">
        <v>16</v>
      </c>
      <c r="F483" s="11" t="n">
        <v>0.16</v>
      </c>
      <c r="G483" s="7" t="s">
        <v>281</v>
      </c>
      <c r="H483" s="7" t="s">
        <v>285</v>
      </c>
      <c r="I483" s="7" t="s">
        <v>117</v>
      </c>
      <c r="J483" s="7" t="s">
        <v>283</v>
      </c>
      <c r="K483" s="22" t="n">
        <v>1</v>
      </c>
      <c r="L483" s="22" t="n">
        <v>0.0013</v>
      </c>
      <c r="M483" s="11" t="n">
        <v>18.56</v>
      </c>
      <c r="N483" s="11" t="n">
        <v>0.02</v>
      </c>
      <c r="O483" s="7" t="s">
        <v>284</v>
      </c>
      <c r="P483" s="11" t="n">
        <f aca="false">IF(J483="%mo","",IF(G483="MO",IF(J483="hh",INDEX(MO_HH,MATCH(I483,MO_CAT,0)),M483*P_FACT_IPC),IF(G483="SUBPART",IFERROR(INDEX(APU_SUBP!$C$7:$C$40,MATCH(H483,APU_SUBP!$A$7:$A$40,0)),M483*P_FACT_IPC),M483*P_FACT_IPC)))</f>
        <v>13.8259833134684</v>
      </c>
      <c r="Q483" s="11" t="n">
        <f aca="false">IF(J483="%mo",L483/100*SUMIFS($R$7:$R$782,$A$7:$A$782,A483),L483*P483)</f>
        <v>0.0179737783075089</v>
      </c>
      <c r="R483" s="11" t="n">
        <f aca="false">IF(G483="MO",L483*P483,0)</f>
        <v>0.0179737783075089</v>
      </c>
    </row>
    <row r="484" customFormat="false" ht="15" hidden="false" customHeight="false" outlineLevel="0" collapsed="false">
      <c r="A484" s="9" t="s">
        <v>675</v>
      </c>
      <c r="B484" s="9" t="s">
        <v>630</v>
      </c>
      <c r="C484" s="9" t="s">
        <v>676</v>
      </c>
      <c r="D484" s="9" t="s">
        <v>403</v>
      </c>
      <c r="E484" s="9" t="s">
        <v>16</v>
      </c>
      <c r="F484" s="10" t="n">
        <v>0.16</v>
      </c>
      <c r="G484" s="9" t="s">
        <v>281</v>
      </c>
      <c r="H484" s="9" t="s">
        <v>286</v>
      </c>
      <c r="I484" s="9" t="s">
        <v>122</v>
      </c>
      <c r="J484" s="9" t="s">
        <v>283</v>
      </c>
      <c r="K484" s="31" t="n">
        <v>2</v>
      </c>
      <c r="L484" s="31" t="n">
        <v>0.0027</v>
      </c>
      <c r="M484" s="10" t="n">
        <v>16.78</v>
      </c>
      <c r="N484" s="10" t="n">
        <v>0.05</v>
      </c>
      <c r="O484" s="9" t="s">
        <v>287</v>
      </c>
      <c r="P484" s="11" t="n">
        <f aca="false">IF(J484="%mo","",IF(G484="MO",IF(J484="hh",INDEX(MO_HH,MATCH(I484,MO_CAT,0)),M484*P_FACT_IPC),IF(G484="SUBPART",IFERROR(INDEX(APU_SUBP!$C$7:$C$40,MATCH(H484,APU_SUBP!$A$7:$A$40,0)),M484*P_FACT_IPC),M484*P_FACT_IPC)))</f>
        <v>12.5</v>
      </c>
      <c r="Q484" s="11" t="n">
        <f aca="false">IF(J484="%mo",L484/100*SUMIFS($R$7:$R$782,$A$7:$A$782,A484),L484*P484)</f>
        <v>0.03375</v>
      </c>
      <c r="R484" s="11" t="n">
        <f aca="false">IF(G484="MO",L484*P484,0)</f>
        <v>0.03375</v>
      </c>
    </row>
    <row r="485" customFormat="false" ht="15" hidden="false" customHeight="false" outlineLevel="0" collapsed="false">
      <c r="A485" s="7" t="s">
        <v>675</v>
      </c>
      <c r="B485" s="7" t="s">
        <v>630</v>
      </c>
      <c r="C485" s="7" t="s">
        <v>676</v>
      </c>
      <c r="D485" s="7" t="s">
        <v>403</v>
      </c>
      <c r="E485" s="7" t="s">
        <v>16</v>
      </c>
      <c r="F485" s="11" t="n">
        <v>0.16</v>
      </c>
      <c r="G485" s="7" t="s">
        <v>288</v>
      </c>
      <c r="H485" s="7" t="s">
        <v>404</v>
      </c>
      <c r="I485" s="7" t="s">
        <v>405</v>
      </c>
      <c r="J485" s="7" t="s">
        <v>291</v>
      </c>
      <c r="K485" s="22" t="n">
        <v>1</v>
      </c>
      <c r="L485" s="22" t="n">
        <v>0.0013</v>
      </c>
      <c r="M485" s="11" t="n">
        <v>65.48</v>
      </c>
      <c r="N485" s="11" t="n">
        <v>0.09</v>
      </c>
      <c r="O485" s="7"/>
      <c r="P485" s="11" t="n">
        <f aca="false">IF(J485="%mo","",IF(G485="MO",IF(J485="hh",INDEX(MO_HH,MATCH(I485,MO_CAT,0)),M485*P_FACT_IPC),IF(G485="SUBPART",IFERROR(INDEX(APU_SUBP!$C$7:$C$40,MATCH(H485,APU_SUBP!$A$7:$A$40,0)),M485*P_FACT_IPC),M485*P_FACT_IPC)))</f>
        <v>84.2266516704854</v>
      </c>
      <c r="Q485" s="11" t="n">
        <f aca="false">IF(J485="%mo",L485/100*SUMIFS($R$7:$R$782,$A$7:$A$782,A485),L485*P485)</f>
        <v>0.109494647171631</v>
      </c>
      <c r="R485" s="11" t="n">
        <f aca="false">IF(G485="MO",L485*P485,0)</f>
        <v>0</v>
      </c>
    </row>
    <row r="486" customFormat="false" ht="15" hidden="false" customHeight="false" outlineLevel="0" collapsed="false">
      <c r="A486" s="9" t="s">
        <v>677</v>
      </c>
      <c r="B486" s="9" t="s">
        <v>630</v>
      </c>
      <c r="C486" s="9" t="s">
        <v>678</v>
      </c>
      <c r="D486" s="9" t="s">
        <v>408</v>
      </c>
      <c r="E486" s="9" t="s">
        <v>16</v>
      </c>
      <c r="F486" s="10" t="n">
        <v>0.34</v>
      </c>
      <c r="G486" s="9" t="s">
        <v>281</v>
      </c>
      <c r="H486" s="9" t="s">
        <v>282</v>
      </c>
      <c r="I486" s="9" t="s">
        <v>107</v>
      </c>
      <c r="J486" s="9" t="s">
        <v>283</v>
      </c>
      <c r="K486" s="31" t="n">
        <v>0.1</v>
      </c>
      <c r="L486" s="31" t="n">
        <v>0.0007</v>
      </c>
      <c r="M486" s="10" t="n">
        <v>25.81</v>
      </c>
      <c r="N486" s="10" t="n">
        <v>0.02</v>
      </c>
      <c r="O486" s="9" t="s">
        <v>284</v>
      </c>
      <c r="P486" s="11" t="n">
        <f aca="false">IF(J486="%mo","",IF(G486="MO",IF(J486="hh",INDEX(MO_HH,MATCH(I486,MO_CAT,0)),M486*P_FACT_IPC),IF(G486="SUBPART",IFERROR(INDEX(APU_SUBP!$C$7:$C$40,MATCH(H486,APU_SUBP!$A$7:$A$40,0)),M486*P_FACT_IPC),M486*P_FACT_IPC)))</f>
        <v>19.226758045292</v>
      </c>
      <c r="Q486" s="11" t="n">
        <f aca="false">IF(J486="%mo",L486/100*SUMIFS($R$7:$R$782,$A$7:$A$782,A486),L486*P486)</f>
        <v>0.0134587306317044</v>
      </c>
      <c r="R486" s="11" t="n">
        <f aca="false">IF(G486="MO",L486*P486,0)</f>
        <v>0.0134587306317044</v>
      </c>
    </row>
    <row r="487" customFormat="false" ht="15" hidden="false" customHeight="false" outlineLevel="0" collapsed="false">
      <c r="A487" s="7" t="s">
        <v>677</v>
      </c>
      <c r="B487" s="7" t="s">
        <v>630</v>
      </c>
      <c r="C487" s="7" t="s">
        <v>678</v>
      </c>
      <c r="D487" s="7" t="s">
        <v>408</v>
      </c>
      <c r="E487" s="7" t="s">
        <v>16</v>
      </c>
      <c r="F487" s="11" t="n">
        <v>0.34</v>
      </c>
      <c r="G487" s="7" t="s">
        <v>281</v>
      </c>
      <c r="H487" s="7" t="s">
        <v>286</v>
      </c>
      <c r="I487" s="7" t="s">
        <v>122</v>
      </c>
      <c r="J487" s="7" t="s">
        <v>283</v>
      </c>
      <c r="K487" s="22" t="n">
        <v>1</v>
      </c>
      <c r="L487" s="22" t="n">
        <v>0.0067</v>
      </c>
      <c r="M487" s="11" t="n">
        <v>16.78</v>
      </c>
      <c r="N487" s="11" t="n">
        <v>0.11</v>
      </c>
      <c r="O487" s="7" t="s">
        <v>287</v>
      </c>
      <c r="P487" s="11" t="n">
        <f aca="false">IF(J487="%mo","",IF(G487="MO",IF(J487="hh",INDEX(MO_HH,MATCH(I487,MO_CAT,0)),M487*P_FACT_IPC),IF(G487="SUBPART",IFERROR(INDEX(APU_SUBP!$C$7:$C$40,MATCH(H487,APU_SUBP!$A$7:$A$40,0)),M487*P_FACT_IPC),M487*P_FACT_IPC)))</f>
        <v>12.5</v>
      </c>
      <c r="Q487" s="11" t="n">
        <f aca="false">IF(J487="%mo",L487/100*SUMIFS($R$7:$R$782,$A$7:$A$782,A487),L487*P487)</f>
        <v>0.08375</v>
      </c>
      <c r="R487" s="11" t="n">
        <f aca="false">IF(G487="MO",L487*P487,0)</f>
        <v>0.08375</v>
      </c>
    </row>
    <row r="488" customFormat="false" ht="15" hidden="false" customHeight="false" outlineLevel="0" collapsed="false">
      <c r="A488" s="9" t="s">
        <v>677</v>
      </c>
      <c r="B488" s="9" t="s">
        <v>630</v>
      </c>
      <c r="C488" s="9" t="s">
        <v>678</v>
      </c>
      <c r="D488" s="9" t="s">
        <v>408</v>
      </c>
      <c r="E488" s="9" t="s">
        <v>16</v>
      </c>
      <c r="F488" s="10" t="n">
        <v>0.34</v>
      </c>
      <c r="G488" s="9" t="s">
        <v>307</v>
      </c>
      <c r="H488" s="9" t="s">
        <v>409</v>
      </c>
      <c r="I488" s="9" t="s">
        <v>410</v>
      </c>
      <c r="J488" s="9" t="s">
        <v>411</v>
      </c>
      <c r="K488" s="31"/>
      <c r="L488" s="31" t="n">
        <v>0.002</v>
      </c>
      <c r="M488" s="10" t="n">
        <v>107.04</v>
      </c>
      <c r="N488" s="10" t="n">
        <v>0.21</v>
      </c>
      <c r="O488" s="9"/>
      <c r="P488" s="11" t="n">
        <f aca="false">IF(J488="%mo","",IF(G488="MO",IF(J488="hh",INDEX(MO_HH,MATCH(I488,MO_CAT,0)),M488*P_FACT_IPC),IF(G488="SUBPART",IFERROR(INDEX(APU_SUBP!$C$7:$C$40,MATCH(H488,APU_SUBP!$A$7:$A$40,0)),M488*P_FACT_IPC),M488*P_FACT_IPC)))</f>
        <v>137.685106823591</v>
      </c>
      <c r="Q488" s="11" t="n">
        <f aca="false">IF(J488="%mo",L488/100*SUMIFS($R$7:$R$782,$A$7:$A$782,A488),L488*P488)</f>
        <v>0.275370213647183</v>
      </c>
      <c r="R488" s="11" t="n">
        <f aca="false">IF(G488="MO",L488*P488,0)</f>
        <v>0</v>
      </c>
    </row>
    <row r="489" customFormat="false" ht="15" hidden="false" customHeight="false" outlineLevel="0" collapsed="false">
      <c r="A489" s="7" t="s">
        <v>677</v>
      </c>
      <c r="B489" s="7" t="s">
        <v>630</v>
      </c>
      <c r="C489" s="7" t="s">
        <v>678</v>
      </c>
      <c r="D489" s="7" t="s">
        <v>408</v>
      </c>
      <c r="E489" s="7" t="s">
        <v>16</v>
      </c>
      <c r="F489" s="11" t="n">
        <v>0.34</v>
      </c>
      <c r="G489" s="7" t="s">
        <v>288</v>
      </c>
      <c r="H489" s="7" t="s">
        <v>327</v>
      </c>
      <c r="I489" s="7" t="s">
        <v>328</v>
      </c>
      <c r="J489" s="7" t="s">
        <v>329</v>
      </c>
      <c r="K489" s="22"/>
      <c r="L489" s="22" t="n">
        <v>3</v>
      </c>
      <c r="M489" s="11" t="n">
        <v>0.13</v>
      </c>
      <c r="N489" s="11" t="n">
        <v>0.0039</v>
      </c>
      <c r="O489" s="7"/>
      <c r="P489" s="11" t="str">
        <f aca="false">IF(J489="%mo","",IF(G489="MO",IF(J489="hh",INDEX(MO_HH,MATCH(I489,MO_CAT,0)),M489*P_FACT_IPC),IF(G489="SUBPART",IFERROR(INDEX(APU_SUBP!$C$7:$C$40,MATCH(H489,APU_SUBP!$A$7:$A$40,0)),M489*P_FACT_IPC),M489*P_FACT_IPC)))</f>
        <v/>
      </c>
      <c r="Q489" s="11" t="n">
        <f aca="false">IF(J489="%mo",L489/100*SUMIFS($R$7:$R$782,$A$7:$A$782,A489),L489*P489)</f>
        <v>0.00291626191895113</v>
      </c>
      <c r="R489" s="11" t="n">
        <f aca="false">IF(G489="MO",L489*P489,0)</f>
        <v>0</v>
      </c>
    </row>
    <row r="490" customFormat="false" ht="15" hidden="false" customHeight="false" outlineLevel="0" collapsed="false">
      <c r="A490" s="9" t="s">
        <v>679</v>
      </c>
      <c r="B490" s="9" t="s">
        <v>630</v>
      </c>
      <c r="C490" s="9" t="s">
        <v>680</v>
      </c>
      <c r="D490" s="9" t="s">
        <v>414</v>
      </c>
      <c r="E490" s="9" t="s">
        <v>341</v>
      </c>
      <c r="F490" s="10" t="n">
        <v>0.81</v>
      </c>
      <c r="G490" s="9" t="s">
        <v>281</v>
      </c>
      <c r="H490" s="9" t="s">
        <v>282</v>
      </c>
      <c r="I490" s="9" t="s">
        <v>107</v>
      </c>
      <c r="J490" s="9" t="s">
        <v>283</v>
      </c>
      <c r="K490" s="31" t="n">
        <v>0.1</v>
      </c>
      <c r="L490" s="31" t="n">
        <v>0.004</v>
      </c>
      <c r="M490" s="10" t="n">
        <v>25.81</v>
      </c>
      <c r="N490" s="10" t="n">
        <v>0.1</v>
      </c>
      <c r="O490" s="9" t="s">
        <v>284</v>
      </c>
      <c r="P490" s="11" t="n">
        <f aca="false">IF(J490="%mo","",IF(G490="MO",IF(J490="hh",INDEX(MO_HH,MATCH(I490,MO_CAT,0)),M490*P_FACT_IPC),IF(G490="SUBPART",IFERROR(INDEX(APU_SUBP!$C$7:$C$40,MATCH(H490,APU_SUBP!$A$7:$A$40,0)),M490*P_FACT_IPC),M490*P_FACT_IPC)))</f>
        <v>19.226758045292</v>
      </c>
      <c r="Q490" s="11" t="n">
        <f aca="false">IF(J490="%mo",L490/100*SUMIFS($R$7:$R$782,$A$7:$A$782,A490),L490*P490)</f>
        <v>0.0769070321811681</v>
      </c>
      <c r="R490" s="11" t="n">
        <f aca="false">IF(G490="MO",L490*P490,0)</f>
        <v>0.0769070321811681</v>
      </c>
    </row>
    <row r="491" customFormat="false" ht="15" hidden="false" customHeight="false" outlineLevel="0" collapsed="false">
      <c r="A491" s="7" t="s">
        <v>679</v>
      </c>
      <c r="B491" s="7" t="s">
        <v>630</v>
      </c>
      <c r="C491" s="7" t="s">
        <v>680</v>
      </c>
      <c r="D491" s="7" t="s">
        <v>414</v>
      </c>
      <c r="E491" s="7" t="s">
        <v>341</v>
      </c>
      <c r="F491" s="11" t="n">
        <v>0.81</v>
      </c>
      <c r="G491" s="7" t="s">
        <v>281</v>
      </c>
      <c r="H491" s="7" t="s">
        <v>286</v>
      </c>
      <c r="I491" s="7" t="s">
        <v>122</v>
      </c>
      <c r="J491" s="7" t="s">
        <v>283</v>
      </c>
      <c r="K491" s="22" t="n">
        <v>1</v>
      </c>
      <c r="L491" s="22" t="n">
        <v>0.04</v>
      </c>
      <c r="M491" s="11" t="n">
        <v>16.78</v>
      </c>
      <c r="N491" s="11" t="n">
        <v>0.67</v>
      </c>
      <c r="O491" s="7" t="s">
        <v>287</v>
      </c>
      <c r="P491" s="11" t="n">
        <f aca="false">IF(J491="%mo","",IF(G491="MO",IF(J491="hh",INDEX(MO_HH,MATCH(I491,MO_CAT,0)),M491*P_FACT_IPC),IF(G491="SUBPART",IFERROR(INDEX(APU_SUBP!$C$7:$C$40,MATCH(H491,APU_SUBP!$A$7:$A$40,0)),M491*P_FACT_IPC),M491*P_FACT_IPC)))</f>
        <v>12.5</v>
      </c>
      <c r="Q491" s="11" t="n">
        <f aca="false">IF(J491="%mo",L491/100*SUMIFS($R$7:$R$782,$A$7:$A$782,A491),L491*P491)</f>
        <v>0.5</v>
      </c>
      <c r="R491" s="11" t="n">
        <f aca="false">IF(G491="MO",L491*P491,0)</f>
        <v>0.5</v>
      </c>
    </row>
    <row r="492" customFormat="false" ht="15" hidden="false" customHeight="false" outlineLevel="0" collapsed="false">
      <c r="A492" s="9" t="s">
        <v>679</v>
      </c>
      <c r="B492" s="9" t="s">
        <v>630</v>
      </c>
      <c r="C492" s="9" t="s">
        <v>680</v>
      </c>
      <c r="D492" s="9" t="s">
        <v>414</v>
      </c>
      <c r="E492" s="9" t="s">
        <v>341</v>
      </c>
      <c r="F492" s="10" t="n">
        <v>0.81</v>
      </c>
      <c r="G492" s="9" t="s">
        <v>288</v>
      </c>
      <c r="H492" s="9" t="s">
        <v>327</v>
      </c>
      <c r="I492" s="9" t="s">
        <v>328</v>
      </c>
      <c r="J492" s="9" t="s">
        <v>329</v>
      </c>
      <c r="K492" s="31"/>
      <c r="L492" s="31" t="n">
        <v>3</v>
      </c>
      <c r="M492" s="10" t="n">
        <v>0.77</v>
      </c>
      <c r="N492" s="10" t="n">
        <v>0.02</v>
      </c>
      <c r="O492" s="9"/>
      <c r="P492" s="11" t="str">
        <f aca="false">IF(J492="%mo","",IF(G492="MO",IF(J492="hh",INDEX(MO_HH,MATCH(I492,MO_CAT,0)),M492*P_FACT_IPC),IF(G492="SUBPART",IFERROR(INDEX(APU_SUBP!$C$7:$C$40,MATCH(H492,APU_SUBP!$A$7:$A$40,0)),M492*P_FACT_IPC),M492*P_FACT_IPC)))</f>
        <v/>
      </c>
      <c r="Q492" s="11" t="n">
        <f aca="false">IF(J492="%mo",L492/100*SUMIFS($R$7:$R$782,$A$7:$A$782,A492),L492*P492)</f>
        <v>0.017307210965435</v>
      </c>
      <c r="R492" s="11" t="n">
        <f aca="false">IF(G492="MO",L492*P492,0)</f>
        <v>0</v>
      </c>
    </row>
    <row r="493" customFormat="false" ht="15" hidden="false" customHeight="false" outlineLevel="0" collapsed="false">
      <c r="A493" s="7" t="s">
        <v>679</v>
      </c>
      <c r="B493" s="7" t="s">
        <v>630</v>
      </c>
      <c r="C493" s="7" t="s">
        <v>680</v>
      </c>
      <c r="D493" s="7" t="s">
        <v>414</v>
      </c>
      <c r="E493" s="7" t="s">
        <v>341</v>
      </c>
      <c r="F493" s="11" t="n">
        <v>0.81</v>
      </c>
      <c r="G493" s="7" t="s">
        <v>370</v>
      </c>
      <c r="H493" s="7" t="s">
        <v>415</v>
      </c>
      <c r="I493" s="7" t="s">
        <v>416</v>
      </c>
      <c r="J493" s="7" t="s">
        <v>273</v>
      </c>
      <c r="K493" s="22"/>
      <c r="L493" s="22" t="n">
        <v>0.001</v>
      </c>
      <c r="M493" s="11" t="n">
        <v>21.15</v>
      </c>
      <c r="N493" s="11" t="n">
        <v>0.02</v>
      </c>
      <c r="O493" s="7"/>
      <c r="P493" s="11" t="n">
        <f aca="false">IF(J493="%mo","",IF(G493="MO",IF(J493="hh",INDEX(MO_HH,MATCH(I493,MO_CAT,0)),M493*P_FACT_IPC),IF(G493="SUBPART",IFERROR(INDEX(APU_SUBP!$C$7:$C$40,MATCH(H493,APU_SUBP!$A$7:$A$40,0)),M493*P_FACT_IPC),M493*P_FACT_IPC)))</f>
        <v>22.7438822970285</v>
      </c>
      <c r="Q493" s="11" t="n">
        <f aca="false">IF(J493="%mo",L493/100*SUMIFS($R$7:$R$782,$A$7:$A$782,A493),L493*P493)</f>
        <v>0.0227438822970285</v>
      </c>
      <c r="R493" s="11" t="n">
        <f aca="false">IF(G493="MO",L493*P493,0)</f>
        <v>0</v>
      </c>
    </row>
    <row r="494" customFormat="false" ht="15" hidden="false" customHeight="false" outlineLevel="0" collapsed="false">
      <c r="A494" s="9" t="s">
        <v>681</v>
      </c>
      <c r="B494" s="9" t="s">
        <v>630</v>
      </c>
      <c r="C494" s="9" t="s">
        <v>682</v>
      </c>
      <c r="D494" s="9" t="s">
        <v>419</v>
      </c>
      <c r="E494" s="9" t="s">
        <v>16</v>
      </c>
      <c r="F494" s="10" t="n">
        <v>1.48</v>
      </c>
      <c r="G494" s="9" t="s">
        <v>281</v>
      </c>
      <c r="H494" s="9" t="s">
        <v>282</v>
      </c>
      <c r="I494" s="9" t="s">
        <v>107</v>
      </c>
      <c r="J494" s="9" t="s">
        <v>283</v>
      </c>
      <c r="K494" s="31" t="n">
        <v>1</v>
      </c>
      <c r="L494" s="31" t="n">
        <v>0.001</v>
      </c>
      <c r="M494" s="10" t="n">
        <v>25.81</v>
      </c>
      <c r="N494" s="10" t="n">
        <v>0.03</v>
      </c>
      <c r="O494" s="9" t="s">
        <v>284</v>
      </c>
      <c r="P494" s="11" t="n">
        <f aca="false">IF(J494="%mo","",IF(G494="MO",IF(J494="hh",INDEX(MO_HH,MATCH(I494,MO_CAT,0)),M494*P_FACT_IPC),IF(G494="SUBPART",IFERROR(INDEX(APU_SUBP!$C$7:$C$40,MATCH(H494,APU_SUBP!$A$7:$A$40,0)),M494*P_FACT_IPC),M494*P_FACT_IPC)))</f>
        <v>19.226758045292</v>
      </c>
      <c r="Q494" s="11" t="n">
        <f aca="false">IF(J494="%mo",L494/100*SUMIFS($R$7:$R$782,$A$7:$A$782,A494),L494*P494)</f>
        <v>0.019226758045292</v>
      </c>
      <c r="R494" s="11" t="n">
        <f aca="false">IF(G494="MO",L494*P494,0)</f>
        <v>0.019226758045292</v>
      </c>
    </row>
    <row r="495" customFormat="false" ht="15" hidden="false" customHeight="false" outlineLevel="0" collapsed="false">
      <c r="A495" s="7" t="s">
        <v>681</v>
      </c>
      <c r="B495" s="7" t="s">
        <v>630</v>
      </c>
      <c r="C495" s="7" t="s">
        <v>682</v>
      </c>
      <c r="D495" s="7" t="s">
        <v>419</v>
      </c>
      <c r="E495" s="7" t="s">
        <v>16</v>
      </c>
      <c r="F495" s="11" t="n">
        <v>1.48</v>
      </c>
      <c r="G495" s="7" t="s">
        <v>281</v>
      </c>
      <c r="H495" s="7" t="s">
        <v>286</v>
      </c>
      <c r="I495" s="7" t="s">
        <v>122</v>
      </c>
      <c r="J495" s="7" t="s">
        <v>283</v>
      </c>
      <c r="K495" s="22" t="n">
        <v>50</v>
      </c>
      <c r="L495" s="22" t="n">
        <v>0.05</v>
      </c>
      <c r="M495" s="11" t="n">
        <v>16.78</v>
      </c>
      <c r="N495" s="11" t="n">
        <v>0.84</v>
      </c>
      <c r="O495" s="7" t="s">
        <v>287</v>
      </c>
      <c r="P495" s="11" t="n">
        <f aca="false">IF(J495="%mo","",IF(G495="MO",IF(J495="hh",INDEX(MO_HH,MATCH(I495,MO_CAT,0)),M495*P_FACT_IPC),IF(G495="SUBPART",IFERROR(INDEX(APU_SUBP!$C$7:$C$40,MATCH(H495,APU_SUBP!$A$7:$A$40,0)),M495*P_FACT_IPC),M495*P_FACT_IPC)))</f>
        <v>12.5</v>
      </c>
      <c r="Q495" s="11" t="n">
        <f aca="false">IF(J495="%mo",L495/100*SUMIFS($R$7:$R$782,$A$7:$A$782,A495),L495*P495)</f>
        <v>0.625</v>
      </c>
      <c r="R495" s="11" t="n">
        <f aca="false">IF(G495="MO",L495*P495,0)</f>
        <v>0.625</v>
      </c>
    </row>
    <row r="496" customFormat="false" ht="15" hidden="false" customHeight="false" outlineLevel="0" collapsed="false">
      <c r="A496" s="9" t="s">
        <v>681</v>
      </c>
      <c r="B496" s="9" t="s">
        <v>630</v>
      </c>
      <c r="C496" s="9" t="s">
        <v>682</v>
      </c>
      <c r="D496" s="9" t="s">
        <v>419</v>
      </c>
      <c r="E496" s="9" t="s">
        <v>16</v>
      </c>
      <c r="F496" s="10" t="n">
        <v>1.48</v>
      </c>
      <c r="G496" s="9" t="s">
        <v>307</v>
      </c>
      <c r="H496" s="9" t="s">
        <v>395</v>
      </c>
      <c r="I496" s="9" t="s">
        <v>396</v>
      </c>
      <c r="J496" s="9" t="s">
        <v>361</v>
      </c>
      <c r="K496" s="31"/>
      <c r="L496" s="31" t="n">
        <v>0.5</v>
      </c>
      <c r="M496" s="10" t="n">
        <v>1.16</v>
      </c>
      <c r="N496" s="10" t="n">
        <v>0.58</v>
      </c>
      <c r="O496" s="9"/>
      <c r="P496" s="11" t="n">
        <f aca="false">IF(J496="%mo","",IF(G496="MO",IF(J496="hh",INDEX(MO_HH,MATCH(I496,MO_CAT,0)),M496*P_FACT_IPC),IF(G496="SUBPART",IFERROR(INDEX(APU_SUBP!$C$7:$C$40,MATCH(H496,APU_SUBP!$A$7:$A$40,0)),M496*P_FACT_IPC),M496*P_FACT_IPC)))</f>
        <v>1.49210317559198</v>
      </c>
      <c r="Q496" s="11" t="n">
        <f aca="false">IF(J496="%mo",L496/100*SUMIFS($R$7:$R$782,$A$7:$A$782,A496),L496*P496)</f>
        <v>0.746051587795992</v>
      </c>
      <c r="R496" s="11" t="n">
        <f aca="false">IF(G496="MO",L496*P496,0)</f>
        <v>0</v>
      </c>
    </row>
    <row r="497" customFormat="false" ht="15" hidden="false" customHeight="false" outlineLevel="0" collapsed="false">
      <c r="A497" s="7" t="s">
        <v>681</v>
      </c>
      <c r="B497" s="7" t="s">
        <v>630</v>
      </c>
      <c r="C497" s="7" t="s">
        <v>682</v>
      </c>
      <c r="D497" s="7" t="s">
        <v>419</v>
      </c>
      <c r="E497" s="7" t="s">
        <v>16</v>
      </c>
      <c r="F497" s="11" t="n">
        <v>1.48</v>
      </c>
      <c r="G497" s="7" t="s">
        <v>288</v>
      </c>
      <c r="H497" s="7" t="s">
        <v>327</v>
      </c>
      <c r="I497" s="7" t="s">
        <v>328</v>
      </c>
      <c r="J497" s="7" t="s">
        <v>329</v>
      </c>
      <c r="K497" s="22"/>
      <c r="L497" s="22" t="n">
        <v>3</v>
      </c>
      <c r="M497" s="11" t="n">
        <v>0.87</v>
      </c>
      <c r="N497" s="11" t="n">
        <v>0.03</v>
      </c>
      <c r="O497" s="7"/>
      <c r="P497" s="11" t="str">
        <f aca="false">IF(J497="%mo","",IF(G497="MO",IF(J497="hh",INDEX(MO_HH,MATCH(I497,MO_CAT,0)),M497*P_FACT_IPC),IF(G497="SUBPART",IFERROR(INDEX(APU_SUBP!$C$7:$C$40,MATCH(H497,APU_SUBP!$A$7:$A$40,0)),M497*P_FACT_IPC),M497*P_FACT_IPC)))</f>
        <v/>
      </c>
      <c r="Q497" s="11" t="n">
        <f aca="false">IF(J497="%mo",L497/100*SUMIFS($R$7:$R$782,$A$7:$A$782,A497),L497*P497)</f>
        <v>0.0193268027413588</v>
      </c>
      <c r="R497" s="11" t="n">
        <f aca="false">IF(G497="MO",L497*P497,0)</f>
        <v>0</v>
      </c>
    </row>
    <row r="498" customFormat="false" ht="15" hidden="false" customHeight="false" outlineLevel="0" collapsed="false">
      <c r="A498" s="9" t="s">
        <v>683</v>
      </c>
      <c r="B498" s="9" t="s">
        <v>630</v>
      </c>
      <c r="C498" s="9" t="s">
        <v>684</v>
      </c>
      <c r="D498" s="9" t="s">
        <v>422</v>
      </c>
      <c r="E498" s="9" t="s">
        <v>16</v>
      </c>
      <c r="F498" s="10" t="n">
        <v>1.05</v>
      </c>
      <c r="G498" s="9" t="s">
        <v>281</v>
      </c>
      <c r="H498" s="9" t="s">
        <v>282</v>
      </c>
      <c r="I498" s="9" t="s">
        <v>107</v>
      </c>
      <c r="J498" s="9" t="s">
        <v>283</v>
      </c>
      <c r="K498" s="31" t="n">
        <v>1</v>
      </c>
      <c r="L498" s="31" t="n">
        <v>0.001</v>
      </c>
      <c r="M498" s="10" t="n">
        <v>25.81</v>
      </c>
      <c r="N498" s="10" t="n">
        <v>0.03</v>
      </c>
      <c r="O498" s="9" t="s">
        <v>284</v>
      </c>
      <c r="P498" s="11" t="n">
        <f aca="false">IF(J498="%mo","",IF(G498="MO",IF(J498="hh",INDEX(MO_HH,MATCH(I498,MO_CAT,0)),M498*P_FACT_IPC),IF(G498="SUBPART",IFERROR(INDEX(APU_SUBP!$C$7:$C$40,MATCH(H498,APU_SUBP!$A$7:$A$40,0)),M498*P_FACT_IPC),M498*P_FACT_IPC)))</f>
        <v>19.226758045292</v>
      </c>
      <c r="Q498" s="11" t="n">
        <f aca="false">IF(J498="%mo",L498/100*SUMIFS($R$7:$R$782,$A$7:$A$782,A498),L498*P498)</f>
        <v>0.019226758045292</v>
      </c>
      <c r="R498" s="11" t="n">
        <f aca="false">IF(G498="MO",L498*P498,0)</f>
        <v>0.019226758045292</v>
      </c>
    </row>
    <row r="499" customFormat="false" ht="15" hidden="false" customHeight="false" outlineLevel="0" collapsed="false">
      <c r="A499" s="7" t="s">
        <v>683</v>
      </c>
      <c r="B499" s="7" t="s">
        <v>630</v>
      </c>
      <c r="C499" s="7" t="s">
        <v>684</v>
      </c>
      <c r="D499" s="7" t="s">
        <v>422</v>
      </c>
      <c r="E499" s="7" t="s">
        <v>16</v>
      </c>
      <c r="F499" s="11" t="n">
        <v>1.05</v>
      </c>
      <c r="G499" s="7" t="s">
        <v>281</v>
      </c>
      <c r="H499" s="7" t="s">
        <v>286</v>
      </c>
      <c r="I499" s="7" t="s">
        <v>122</v>
      </c>
      <c r="J499" s="7" t="s">
        <v>283</v>
      </c>
      <c r="K499" s="22" t="n">
        <v>50</v>
      </c>
      <c r="L499" s="22" t="n">
        <v>0.05</v>
      </c>
      <c r="M499" s="11" t="n">
        <v>16.78</v>
      </c>
      <c r="N499" s="11" t="n">
        <v>0.84</v>
      </c>
      <c r="O499" s="7" t="s">
        <v>287</v>
      </c>
      <c r="P499" s="11" t="n">
        <f aca="false">IF(J499="%mo","",IF(G499="MO",IF(J499="hh",INDEX(MO_HH,MATCH(I499,MO_CAT,0)),M499*P_FACT_IPC),IF(G499="SUBPART",IFERROR(INDEX(APU_SUBP!$C$7:$C$40,MATCH(H499,APU_SUBP!$A$7:$A$40,0)),M499*P_FACT_IPC),M499*P_FACT_IPC)))</f>
        <v>12.5</v>
      </c>
      <c r="Q499" s="11" t="n">
        <f aca="false">IF(J499="%mo",L499/100*SUMIFS($R$7:$R$782,$A$7:$A$782,A499),L499*P499)</f>
        <v>0.625</v>
      </c>
      <c r="R499" s="11" t="n">
        <f aca="false">IF(G499="MO",L499*P499,0)</f>
        <v>0.625</v>
      </c>
    </row>
    <row r="500" customFormat="false" ht="15" hidden="false" customHeight="false" outlineLevel="0" collapsed="false">
      <c r="A500" s="9" t="s">
        <v>683</v>
      </c>
      <c r="B500" s="9" t="s">
        <v>630</v>
      </c>
      <c r="C500" s="9" t="s">
        <v>684</v>
      </c>
      <c r="D500" s="9" t="s">
        <v>422</v>
      </c>
      <c r="E500" s="9" t="s">
        <v>16</v>
      </c>
      <c r="F500" s="10" t="n">
        <v>1.05</v>
      </c>
      <c r="G500" s="9" t="s">
        <v>307</v>
      </c>
      <c r="H500" s="9" t="s">
        <v>423</v>
      </c>
      <c r="I500" s="9" t="s">
        <v>424</v>
      </c>
      <c r="J500" s="9" t="s">
        <v>21</v>
      </c>
      <c r="K500" s="31"/>
      <c r="L500" s="31" t="n">
        <v>0.01</v>
      </c>
      <c r="M500" s="10" t="n">
        <v>0.7</v>
      </c>
      <c r="N500" s="10" t="n">
        <v>0.01</v>
      </c>
      <c r="O500" s="9"/>
      <c r="P500" s="11" t="n">
        <f aca="false">IF(J500="%mo","",IF(G500="MO",IF(J500="hh",INDEX(MO_HH,MATCH(I500,MO_CAT,0)),M500*P_FACT_IPC),IF(G500="SUBPART",IFERROR(INDEX(APU_SUBP!$C$7:$C$40,MATCH(H500,APU_SUBP!$A$7:$A$40,0)),M500*P_FACT_IPC),M500*P_FACT_IPC)))</f>
        <v>0.9004070887193</v>
      </c>
      <c r="Q500" s="11" t="n">
        <f aca="false">IF(J500="%mo",L500/100*SUMIFS($R$7:$R$782,$A$7:$A$782,A500),L500*P500)</f>
        <v>0.009004070887193</v>
      </c>
      <c r="R500" s="11" t="n">
        <f aca="false">IF(G500="MO",L500*P500,0)</f>
        <v>0</v>
      </c>
    </row>
    <row r="501" customFormat="false" ht="15" hidden="false" customHeight="false" outlineLevel="0" collapsed="false">
      <c r="A501" s="7" t="s">
        <v>683</v>
      </c>
      <c r="B501" s="7" t="s">
        <v>630</v>
      </c>
      <c r="C501" s="7" t="s">
        <v>684</v>
      </c>
      <c r="D501" s="7" t="s">
        <v>422</v>
      </c>
      <c r="E501" s="7" t="s">
        <v>16</v>
      </c>
      <c r="F501" s="11" t="n">
        <v>1.05</v>
      </c>
      <c r="G501" s="7" t="s">
        <v>307</v>
      </c>
      <c r="H501" s="7" t="s">
        <v>425</v>
      </c>
      <c r="I501" s="7" t="s">
        <v>426</v>
      </c>
      <c r="J501" s="7" t="s">
        <v>427</v>
      </c>
      <c r="K501" s="22"/>
      <c r="L501" s="22" t="n">
        <v>0.0025</v>
      </c>
      <c r="M501" s="11" t="n">
        <v>14.5</v>
      </c>
      <c r="N501" s="11" t="n">
        <v>0.04</v>
      </c>
      <c r="O501" s="7"/>
      <c r="P501" s="11" t="n">
        <f aca="false">IF(J501="%mo","",IF(G501="MO",IF(J501="hh",INDEX(MO_HH,MATCH(I501,MO_CAT,0)),M501*P_FACT_IPC),IF(G501="SUBPART",IFERROR(INDEX(APU_SUBP!$C$7:$C$40,MATCH(H501,APU_SUBP!$A$7:$A$40,0)),M501*P_FACT_IPC),M501*P_FACT_IPC)))</f>
        <v>18.6512896948998</v>
      </c>
      <c r="Q501" s="11" t="n">
        <f aca="false">IF(J501="%mo",L501/100*SUMIFS($R$7:$R$782,$A$7:$A$782,A501),L501*P501)</f>
        <v>0.0466282242372495</v>
      </c>
      <c r="R501" s="11" t="n">
        <f aca="false">IF(G501="MO",L501*P501,0)</f>
        <v>0</v>
      </c>
    </row>
    <row r="502" customFormat="false" ht="15" hidden="false" customHeight="false" outlineLevel="0" collapsed="false">
      <c r="A502" s="9" t="s">
        <v>683</v>
      </c>
      <c r="B502" s="9" t="s">
        <v>630</v>
      </c>
      <c r="C502" s="9" t="s">
        <v>684</v>
      </c>
      <c r="D502" s="9" t="s">
        <v>422</v>
      </c>
      <c r="E502" s="9" t="s">
        <v>16</v>
      </c>
      <c r="F502" s="10" t="n">
        <v>1.05</v>
      </c>
      <c r="G502" s="9" t="s">
        <v>288</v>
      </c>
      <c r="H502" s="9" t="s">
        <v>428</v>
      </c>
      <c r="I502" s="9" t="s">
        <v>429</v>
      </c>
      <c r="J502" s="9" t="s">
        <v>322</v>
      </c>
      <c r="K502" s="31" t="n">
        <v>1</v>
      </c>
      <c r="L502" s="31" t="n">
        <v>0.001</v>
      </c>
      <c r="M502" s="10" t="n">
        <v>15.62</v>
      </c>
      <c r="N502" s="10" t="n">
        <v>0.02</v>
      </c>
      <c r="O502" s="9"/>
      <c r="P502" s="11" t="n">
        <f aca="false">IF(J502="%mo","",IF(G502="MO",IF(J502="hh",INDEX(MO_HH,MATCH(I502,MO_CAT,0)),M502*P_FACT_IPC),IF(G502="SUBPART",IFERROR(INDEX(APU_SUBP!$C$7:$C$40,MATCH(H502,APU_SUBP!$A$7:$A$40,0)),M502*P_FACT_IPC),M502*P_FACT_IPC)))</f>
        <v>20.0919410368507</v>
      </c>
      <c r="Q502" s="11" t="n">
        <f aca="false">IF(J502="%mo",L502/100*SUMIFS($R$7:$R$782,$A$7:$A$782,A502),L502*P502)</f>
        <v>0.0200919410368507</v>
      </c>
      <c r="R502" s="11" t="n">
        <f aca="false">IF(G502="MO",L502*P502,0)</f>
        <v>0</v>
      </c>
    </row>
    <row r="503" customFormat="false" ht="15" hidden="false" customHeight="false" outlineLevel="0" collapsed="false">
      <c r="A503" s="7" t="s">
        <v>683</v>
      </c>
      <c r="B503" s="7" t="s">
        <v>630</v>
      </c>
      <c r="C503" s="7" t="s">
        <v>684</v>
      </c>
      <c r="D503" s="7" t="s">
        <v>422</v>
      </c>
      <c r="E503" s="7" t="s">
        <v>16</v>
      </c>
      <c r="F503" s="11" t="n">
        <v>1.05</v>
      </c>
      <c r="G503" s="7" t="s">
        <v>370</v>
      </c>
      <c r="H503" s="7" t="s">
        <v>415</v>
      </c>
      <c r="I503" s="7" t="s">
        <v>416</v>
      </c>
      <c r="J503" s="7" t="s">
        <v>273</v>
      </c>
      <c r="K503" s="22"/>
      <c r="L503" s="22" t="n">
        <v>0.005</v>
      </c>
      <c r="M503" s="11" t="n">
        <v>21.15</v>
      </c>
      <c r="N503" s="11" t="n">
        <v>0.11</v>
      </c>
      <c r="O503" s="7"/>
      <c r="P503" s="11" t="n">
        <f aca="false">IF(J503="%mo","",IF(G503="MO",IF(J503="hh",INDEX(MO_HH,MATCH(I503,MO_CAT,0)),M503*P_FACT_IPC),IF(G503="SUBPART",IFERROR(INDEX(APU_SUBP!$C$7:$C$40,MATCH(H503,APU_SUBP!$A$7:$A$40,0)),M503*P_FACT_IPC),M503*P_FACT_IPC)))</f>
        <v>22.7438822970285</v>
      </c>
      <c r="Q503" s="11" t="n">
        <f aca="false">IF(J503="%mo",L503/100*SUMIFS($R$7:$R$782,$A$7:$A$782,A503),L503*P503)</f>
        <v>0.113719411485142</v>
      </c>
      <c r="R503" s="11" t="n">
        <f aca="false">IF(G503="MO",L503*P503,0)</f>
        <v>0</v>
      </c>
    </row>
    <row r="504" customFormat="false" ht="15" hidden="false" customHeight="false" outlineLevel="0" collapsed="false">
      <c r="A504" s="9" t="s">
        <v>685</v>
      </c>
      <c r="B504" s="9" t="s">
        <v>686</v>
      </c>
      <c r="C504" s="9" t="s">
        <v>271</v>
      </c>
      <c r="D504" s="9" t="s">
        <v>687</v>
      </c>
      <c r="E504" s="9" t="s">
        <v>277</v>
      </c>
      <c r="F504" s="10" t="n">
        <v>60006.76</v>
      </c>
      <c r="G504" s="9" t="s">
        <v>274</v>
      </c>
      <c r="H504" s="9" t="s">
        <v>688</v>
      </c>
      <c r="I504" s="9" t="s">
        <v>689</v>
      </c>
      <c r="J504" s="9" t="s">
        <v>277</v>
      </c>
      <c r="K504" s="31"/>
      <c r="L504" s="31" t="n">
        <v>1</v>
      </c>
      <c r="M504" s="10" t="n">
        <v>60006.76</v>
      </c>
      <c r="N504" s="10" t="n">
        <v>60006.76</v>
      </c>
      <c r="O504" s="9"/>
      <c r="P504" s="11" t="n">
        <f aca="false">IF(J504="%mo","",IF(G504="MO",IF(J504="hh",INDEX(MO_HH,MATCH(I504,MO_CAT,0)),M504*P_FACT_IPC),IF(G504="SUBPART",IFERROR(INDEX(APU_SUBP!$C$7:$C$40,MATCH(H504,APU_SUBP!$A$7:$A$40,0)),M504*P_FACT_IPC),M504*P_FACT_IPC)))</f>
        <v>77186.4458215396</v>
      </c>
      <c r="Q504" s="11" t="n">
        <f aca="false">IF(J504="%mo",L504/100*SUMIFS($R$7:$R$782,$A$7:$A$782,A504),L504*P504)</f>
        <v>77186.4458215396</v>
      </c>
      <c r="R504" s="11" t="n">
        <f aca="false">IF(G504="MO",L504*P504,0)</f>
        <v>0</v>
      </c>
    </row>
    <row r="505" customFormat="false" ht="15" hidden="false" customHeight="false" outlineLevel="0" collapsed="false">
      <c r="A505" s="7" t="s">
        <v>690</v>
      </c>
      <c r="B505" s="7" t="s">
        <v>686</v>
      </c>
      <c r="C505" s="7" t="s">
        <v>279</v>
      </c>
      <c r="D505" s="7" t="s">
        <v>280</v>
      </c>
      <c r="E505" s="7" t="s">
        <v>18</v>
      </c>
      <c r="F505" s="11" t="n">
        <v>27992.8</v>
      </c>
      <c r="G505" s="7" t="s">
        <v>281</v>
      </c>
      <c r="H505" s="7" t="s">
        <v>282</v>
      </c>
      <c r="I505" s="7" t="s">
        <v>107</v>
      </c>
      <c r="J505" s="7" t="s">
        <v>283</v>
      </c>
      <c r="K505" s="22" t="n">
        <v>0.5</v>
      </c>
      <c r="L505" s="22" t="n">
        <v>16</v>
      </c>
      <c r="M505" s="11" t="n">
        <v>25.81</v>
      </c>
      <c r="N505" s="11" t="n">
        <v>412.96</v>
      </c>
      <c r="O505" s="7" t="s">
        <v>284</v>
      </c>
      <c r="P505" s="11" t="n">
        <f aca="false">IF(J505="%mo","",IF(G505="MO",IF(J505="hh",INDEX(MO_HH,MATCH(I505,MO_CAT,0)),M505*P_FACT_IPC),IF(G505="SUBPART",IFERROR(INDEX(APU_SUBP!$C$7:$C$40,MATCH(H505,APU_SUBP!$A$7:$A$40,0)),M505*P_FACT_IPC),M505*P_FACT_IPC)))</f>
        <v>19.226758045292</v>
      </c>
      <c r="Q505" s="11" t="n">
        <f aca="false">IF(J505="%mo",L505/100*SUMIFS($R$7:$R$782,$A$7:$A$782,A505),L505*P505)</f>
        <v>307.628128724672</v>
      </c>
      <c r="R505" s="11" t="n">
        <f aca="false">IF(G505="MO",L505*P505,0)</f>
        <v>307.628128724672</v>
      </c>
    </row>
    <row r="506" customFormat="false" ht="15" hidden="false" customHeight="false" outlineLevel="0" collapsed="false">
      <c r="A506" s="9" t="s">
        <v>690</v>
      </c>
      <c r="B506" s="9" t="s">
        <v>686</v>
      </c>
      <c r="C506" s="9" t="s">
        <v>279</v>
      </c>
      <c r="D506" s="9" t="s">
        <v>280</v>
      </c>
      <c r="E506" s="9" t="s">
        <v>18</v>
      </c>
      <c r="F506" s="10" t="n">
        <v>27992.8</v>
      </c>
      <c r="G506" s="9" t="s">
        <v>281</v>
      </c>
      <c r="H506" s="9" t="s">
        <v>285</v>
      </c>
      <c r="I506" s="9" t="s">
        <v>117</v>
      </c>
      <c r="J506" s="9" t="s">
        <v>283</v>
      </c>
      <c r="K506" s="31" t="n">
        <v>2</v>
      </c>
      <c r="L506" s="31" t="n">
        <v>64</v>
      </c>
      <c r="M506" s="10" t="n">
        <v>18.56</v>
      </c>
      <c r="N506" s="10" t="n">
        <v>1187.84</v>
      </c>
      <c r="O506" s="9" t="s">
        <v>284</v>
      </c>
      <c r="P506" s="11" t="n">
        <f aca="false">IF(J506="%mo","",IF(G506="MO",IF(J506="hh",INDEX(MO_HH,MATCH(I506,MO_CAT,0)),M506*P_FACT_IPC),IF(G506="SUBPART",IFERROR(INDEX(APU_SUBP!$C$7:$C$40,MATCH(H506,APU_SUBP!$A$7:$A$40,0)),M506*P_FACT_IPC),M506*P_FACT_IPC)))</f>
        <v>13.8259833134684</v>
      </c>
      <c r="Q506" s="11" t="n">
        <f aca="false">IF(J506="%mo",L506/100*SUMIFS($R$7:$R$782,$A$7:$A$782,A506),L506*P506)</f>
        <v>884.862932061978</v>
      </c>
      <c r="R506" s="11" t="n">
        <f aca="false">IF(G506="MO",L506*P506,0)</f>
        <v>884.862932061978</v>
      </c>
    </row>
    <row r="507" customFormat="false" ht="15" hidden="false" customHeight="false" outlineLevel="0" collapsed="false">
      <c r="A507" s="7" t="s">
        <v>690</v>
      </c>
      <c r="B507" s="7" t="s">
        <v>686</v>
      </c>
      <c r="C507" s="7" t="s">
        <v>279</v>
      </c>
      <c r="D507" s="7" t="s">
        <v>280</v>
      </c>
      <c r="E507" s="7" t="s">
        <v>18</v>
      </c>
      <c r="F507" s="11" t="n">
        <v>27992.8</v>
      </c>
      <c r="G507" s="7" t="s">
        <v>281</v>
      </c>
      <c r="H507" s="7" t="s">
        <v>286</v>
      </c>
      <c r="I507" s="7" t="s">
        <v>122</v>
      </c>
      <c r="J507" s="7" t="s">
        <v>283</v>
      </c>
      <c r="K507" s="22" t="n">
        <v>4</v>
      </c>
      <c r="L507" s="22" t="n">
        <v>128</v>
      </c>
      <c r="M507" s="11" t="n">
        <v>16.78</v>
      </c>
      <c r="N507" s="11" t="n">
        <v>2147.84</v>
      </c>
      <c r="O507" s="7" t="s">
        <v>287</v>
      </c>
      <c r="P507" s="11" t="n">
        <f aca="false">IF(J507="%mo","",IF(G507="MO",IF(J507="hh",INDEX(MO_HH,MATCH(I507,MO_CAT,0)),M507*P_FACT_IPC),IF(G507="SUBPART",IFERROR(INDEX(APU_SUBP!$C$7:$C$40,MATCH(H507,APU_SUBP!$A$7:$A$40,0)),M507*P_FACT_IPC),M507*P_FACT_IPC)))</f>
        <v>12.5</v>
      </c>
      <c r="Q507" s="11" t="n">
        <f aca="false">IF(J507="%mo",L507/100*SUMIFS($R$7:$R$782,$A$7:$A$782,A507),L507*P507)</f>
        <v>1600</v>
      </c>
      <c r="R507" s="11" t="n">
        <f aca="false">IF(G507="MO",L507*P507,0)</f>
        <v>1600</v>
      </c>
    </row>
    <row r="508" customFormat="false" ht="15" hidden="false" customHeight="false" outlineLevel="0" collapsed="false">
      <c r="A508" s="9" t="s">
        <v>690</v>
      </c>
      <c r="B508" s="9" t="s">
        <v>686</v>
      </c>
      <c r="C508" s="9" t="s">
        <v>279</v>
      </c>
      <c r="D508" s="9" t="s">
        <v>280</v>
      </c>
      <c r="E508" s="9" t="s">
        <v>18</v>
      </c>
      <c r="F508" s="10" t="n">
        <v>27992.8</v>
      </c>
      <c r="G508" s="9" t="s">
        <v>288</v>
      </c>
      <c r="H508" s="9" t="s">
        <v>289</v>
      </c>
      <c r="I508" s="9" t="s">
        <v>290</v>
      </c>
      <c r="J508" s="9" t="s">
        <v>291</v>
      </c>
      <c r="K508" s="31" t="n">
        <v>0.5</v>
      </c>
      <c r="L508" s="31" t="n">
        <v>16</v>
      </c>
      <c r="M508" s="10" t="n">
        <v>170.08</v>
      </c>
      <c r="N508" s="10" t="n">
        <v>2721.28</v>
      </c>
      <c r="O508" s="9"/>
      <c r="P508" s="11" t="n">
        <f aca="false">IF(J508="%mo","",IF(G508="MO",IF(J508="hh",INDEX(MO_HH,MATCH(I508,MO_CAT,0)),M508*P_FACT_IPC),IF(G508="SUBPART",IFERROR(INDEX(APU_SUBP!$C$7:$C$40,MATCH(H508,APU_SUBP!$A$7:$A$40,0)),M508*P_FACT_IPC),M508*P_FACT_IPC)))</f>
        <v>218.773196641969</v>
      </c>
      <c r="Q508" s="11" t="n">
        <f aca="false">IF(J508="%mo",L508/100*SUMIFS($R$7:$R$782,$A$7:$A$782,A508),L508*P508)</f>
        <v>3500.37114627151</v>
      </c>
      <c r="R508" s="11" t="n">
        <f aca="false">IF(G508="MO",L508*P508,0)</f>
        <v>0</v>
      </c>
    </row>
    <row r="509" customFormat="false" ht="15" hidden="false" customHeight="false" outlineLevel="0" collapsed="false">
      <c r="A509" s="7" t="s">
        <v>690</v>
      </c>
      <c r="B509" s="7" t="s">
        <v>686</v>
      </c>
      <c r="C509" s="7" t="s">
        <v>279</v>
      </c>
      <c r="D509" s="7" t="s">
        <v>280</v>
      </c>
      <c r="E509" s="7" t="s">
        <v>18</v>
      </c>
      <c r="F509" s="11" t="n">
        <v>27992.8</v>
      </c>
      <c r="G509" s="7" t="s">
        <v>288</v>
      </c>
      <c r="H509" s="7" t="s">
        <v>292</v>
      </c>
      <c r="I509" s="7" t="s">
        <v>293</v>
      </c>
      <c r="J509" s="7" t="s">
        <v>291</v>
      </c>
      <c r="K509" s="22" t="n">
        <v>1</v>
      </c>
      <c r="L509" s="22" t="n">
        <v>32</v>
      </c>
      <c r="M509" s="11" t="n">
        <v>159.96</v>
      </c>
      <c r="N509" s="11" t="n">
        <v>5118.72</v>
      </c>
      <c r="O509" s="7"/>
      <c r="P509" s="11" t="n">
        <f aca="false">IF(J509="%mo","",IF(G509="MO",IF(J509="hh",INDEX(MO_HH,MATCH(I509,MO_CAT,0)),M509*P_FACT_IPC),IF(G509="SUBPART",IFERROR(INDEX(APU_SUBP!$C$7:$C$40,MATCH(H509,APU_SUBP!$A$7:$A$40,0)),M509*P_FACT_IPC),M509*P_FACT_IPC)))</f>
        <v>205.75588273077</v>
      </c>
      <c r="Q509" s="11" t="n">
        <f aca="false">IF(J509="%mo",L509/100*SUMIFS($R$7:$R$782,$A$7:$A$782,A509),L509*P509)</f>
        <v>6584.18824738465</v>
      </c>
      <c r="R509" s="11" t="n">
        <f aca="false">IF(G509="MO",L509*P509,0)</f>
        <v>0</v>
      </c>
    </row>
    <row r="510" customFormat="false" ht="15" hidden="false" customHeight="false" outlineLevel="0" collapsed="false">
      <c r="A510" s="9" t="s">
        <v>690</v>
      </c>
      <c r="B510" s="9" t="s">
        <v>686</v>
      </c>
      <c r="C510" s="9" t="s">
        <v>279</v>
      </c>
      <c r="D510" s="9" t="s">
        <v>280</v>
      </c>
      <c r="E510" s="9" t="s">
        <v>18</v>
      </c>
      <c r="F510" s="10" t="n">
        <v>27992.8</v>
      </c>
      <c r="G510" s="9" t="s">
        <v>288</v>
      </c>
      <c r="H510" s="9" t="s">
        <v>294</v>
      </c>
      <c r="I510" s="9" t="s">
        <v>295</v>
      </c>
      <c r="J510" s="9" t="s">
        <v>291</v>
      </c>
      <c r="K510" s="31" t="n">
        <v>1</v>
      </c>
      <c r="L510" s="31" t="n">
        <v>32</v>
      </c>
      <c r="M510" s="10" t="n">
        <v>182.88</v>
      </c>
      <c r="N510" s="10" t="n">
        <v>5852.16</v>
      </c>
      <c r="O510" s="9"/>
      <c r="P510" s="11" t="n">
        <f aca="false">IF(J510="%mo","",IF(G510="MO",IF(J510="hh",INDEX(MO_HH,MATCH(I510,MO_CAT,0)),M510*P_FACT_IPC),IF(G510="SUBPART",IFERROR(INDEX(APU_SUBP!$C$7:$C$40,MATCH(H510,APU_SUBP!$A$7:$A$40,0)),M510*P_FACT_IPC),M510*P_FACT_IPC)))</f>
        <v>235.237783407122</v>
      </c>
      <c r="Q510" s="11" t="n">
        <f aca="false">IF(J510="%mo",L510/100*SUMIFS($R$7:$R$782,$A$7:$A$782,A510),L510*P510)</f>
        <v>7527.60906902791</v>
      </c>
      <c r="R510" s="11" t="n">
        <f aca="false">IF(G510="MO",L510*P510,0)</f>
        <v>0</v>
      </c>
    </row>
    <row r="511" customFormat="false" ht="15" hidden="false" customHeight="false" outlineLevel="0" collapsed="false">
      <c r="A511" s="7" t="s">
        <v>690</v>
      </c>
      <c r="B511" s="7" t="s">
        <v>686</v>
      </c>
      <c r="C511" s="7" t="s">
        <v>279</v>
      </c>
      <c r="D511" s="7" t="s">
        <v>280</v>
      </c>
      <c r="E511" s="7" t="s">
        <v>18</v>
      </c>
      <c r="F511" s="11" t="n">
        <v>27992.8</v>
      </c>
      <c r="G511" s="7" t="s">
        <v>288</v>
      </c>
      <c r="H511" s="7" t="s">
        <v>296</v>
      </c>
      <c r="I511" s="7" t="s">
        <v>297</v>
      </c>
      <c r="J511" s="7" t="s">
        <v>291</v>
      </c>
      <c r="K511" s="22" t="n">
        <v>1</v>
      </c>
      <c r="L511" s="22" t="n">
        <v>32</v>
      </c>
      <c r="M511" s="11" t="n">
        <v>188.87</v>
      </c>
      <c r="N511" s="11" t="n">
        <v>6043.84</v>
      </c>
      <c r="O511" s="7"/>
      <c r="P511" s="11" t="n">
        <f aca="false">IF(J511="%mo","",IF(G511="MO",IF(J511="hh",INDEX(MO_HH,MATCH(I511,MO_CAT,0)),M511*P_FACT_IPC),IF(G511="SUBPART",IFERROR(INDEX(APU_SUBP!$C$7:$C$40,MATCH(H511,APU_SUBP!$A$7:$A$40,0)),M511*P_FACT_IPC),M511*P_FACT_IPC)))</f>
        <v>242.942695494877</v>
      </c>
      <c r="Q511" s="11" t="n">
        <f aca="false">IF(J511="%mo",L511/100*SUMIFS($R$7:$R$782,$A$7:$A$782,A511),L511*P511)</f>
        <v>7774.16625583608</v>
      </c>
      <c r="R511" s="11" t="n">
        <f aca="false">IF(G511="MO",L511*P511,0)</f>
        <v>0</v>
      </c>
    </row>
    <row r="512" customFormat="false" ht="15" hidden="false" customHeight="false" outlineLevel="0" collapsed="false">
      <c r="A512" s="9" t="s">
        <v>690</v>
      </c>
      <c r="B512" s="9" t="s">
        <v>686</v>
      </c>
      <c r="C512" s="9" t="s">
        <v>279</v>
      </c>
      <c r="D512" s="9" t="s">
        <v>280</v>
      </c>
      <c r="E512" s="9" t="s">
        <v>18</v>
      </c>
      <c r="F512" s="10" t="n">
        <v>27992.8</v>
      </c>
      <c r="G512" s="9" t="s">
        <v>288</v>
      </c>
      <c r="H512" s="9" t="s">
        <v>298</v>
      </c>
      <c r="I512" s="9" t="s">
        <v>299</v>
      </c>
      <c r="J512" s="9" t="s">
        <v>291</v>
      </c>
      <c r="K512" s="31" t="n">
        <v>1</v>
      </c>
      <c r="L512" s="31" t="n">
        <v>32</v>
      </c>
      <c r="M512" s="10" t="n">
        <v>140.88</v>
      </c>
      <c r="N512" s="10" t="n">
        <v>4508.16</v>
      </c>
      <c r="O512" s="9"/>
      <c r="P512" s="11" t="n">
        <f aca="false">IF(J512="%mo","",IF(G512="MO",IF(J512="hh",INDEX(MO_HH,MATCH(I512,MO_CAT,0)),M512*P_FACT_IPC),IF(G512="SUBPART",IFERROR(INDEX(APU_SUBP!$C$7:$C$40,MATCH(H512,APU_SUBP!$A$7:$A$40,0)),M512*P_FACT_IPC),M512*P_FACT_IPC)))</f>
        <v>181.213358083964</v>
      </c>
      <c r="Q512" s="11" t="n">
        <f aca="false">IF(J512="%mo",L512/100*SUMIFS($R$7:$R$782,$A$7:$A$782,A512),L512*P512)</f>
        <v>5798.82745868686</v>
      </c>
      <c r="R512" s="11" t="n">
        <f aca="false">IF(G512="MO",L512*P512,0)</f>
        <v>0</v>
      </c>
    </row>
    <row r="513" customFormat="false" ht="15" hidden="false" customHeight="false" outlineLevel="0" collapsed="false">
      <c r="A513" s="7" t="s">
        <v>691</v>
      </c>
      <c r="B513" s="7" t="s">
        <v>686</v>
      </c>
      <c r="C513" s="7" t="s">
        <v>301</v>
      </c>
      <c r="D513" s="7" t="s">
        <v>302</v>
      </c>
      <c r="E513" s="7" t="s">
        <v>18</v>
      </c>
      <c r="F513" s="11" t="n">
        <v>4665.44</v>
      </c>
      <c r="G513" s="7" t="s">
        <v>281</v>
      </c>
      <c r="H513" s="7" t="s">
        <v>282</v>
      </c>
      <c r="I513" s="7" t="s">
        <v>107</v>
      </c>
      <c r="J513" s="7" t="s">
        <v>283</v>
      </c>
      <c r="K513" s="22" t="n">
        <v>0.5</v>
      </c>
      <c r="L513" s="22" t="n">
        <v>2.6667</v>
      </c>
      <c r="M513" s="11" t="n">
        <v>25.81</v>
      </c>
      <c r="N513" s="11" t="n">
        <v>68.83</v>
      </c>
      <c r="O513" s="7" t="s">
        <v>284</v>
      </c>
      <c r="P513" s="11" t="n">
        <f aca="false">IF(J513="%mo","",IF(G513="MO",IF(J513="hh",INDEX(MO_HH,MATCH(I513,MO_CAT,0)),M513*P_FACT_IPC),IF(G513="SUBPART",IFERROR(INDEX(APU_SUBP!$C$7:$C$40,MATCH(H513,APU_SUBP!$A$7:$A$40,0)),M513*P_FACT_IPC),M513*P_FACT_IPC)))</f>
        <v>19.226758045292</v>
      </c>
      <c r="Q513" s="11" t="n">
        <f aca="false">IF(J513="%mo",L513/100*SUMIFS($R$7:$R$782,$A$7:$A$782,A513),L513*P513)</f>
        <v>51.2719956793802</v>
      </c>
      <c r="R513" s="11" t="n">
        <f aca="false">IF(G513="MO",L513*P513,0)</f>
        <v>51.2719956793802</v>
      </c>
    </row>
    <row r="514" customFormat="false" ht="15" hidden="false" customHeight="false" outlineLevel="0" collapsed="false">
      <c r="A514" s="9" t="s">
        <v>691</v>
      </c>
      <c r="B514" s="9" t="s">
        <v>686</v>
      </c>
      <c r="C514" s="9" t="s">
        <v>301</v>
      </c>
      <c r="D514" s="9" t="s">
        <v>302</v>
      </c>
      <c r="E514" s="9" t="s">
        <v>18</v>
      </c>
      <c r="F514" s="10" t="n">
        <v>4665.44</v>
      </c>
      <c r="G514" s="9" t="s">
        <v>281</v>
      </c>
      <c r="H514" s="9" t="s">
        <v>285</v>
      </c>
      <c r="I514" s="9" t="s">
        <v>117</v>
      </c>
      <c r="J514" s="9" t="s">
        <v>283</v>
      </c>
      <c r="K514" s="31" t="n">
        <v>2</v>
      </c>
      <c r="L514" s="31" t="n">
        <v>10.6667</v>
      </c>
      <c r="M514" s="10" t="n">
        <v>18.56</v>
      </c>
      <c r="N514" s="10" t="n">
        <v>197.97</v>
      </c>
      <c r="O514" s="9" t="s">
        <v>284</v>
      </c>
      <c r="P514" s="11" t="n">
        <f aca="false">IF(J514="%mo","",IF(G514="MO",IF(J514="hh",INDEX(MO_HH,MATCH(I514,MO_CAT,0)),M514*P_FACT_IPC),IF(G514="SUBPART",IFERROR(INDEX(APU_SUBP!$C$7:$C$40,MATCH(H514,APU_SUBP!$A$7:$A$40,0)),M514*P_FACT_IPC),M514*P_FACT_IPC)))</f>
        <v>13.8259833134684</v>
      </c>
      <c r="Q514" s="11" t="n">
        <f aca="false">IF(J514="%mo",L514/100*SUMIFS($R$7:$R$782,$A$7:$A$782,A514),L514*P514)</f>
        <v>147.477616209774</v>
      </c>
      <c r="R514" s="11" t="n">
        <f aca="false">IF(G514="MO",L514*P514,0)</f>
        <v>147.477616209774</v>
      </c>
    </row>
    <row r="515" customFormat="false" ht="15" hidden="false" customHeight="false" outlineLevel="0" collapsed="false">
      <c r="A515" s="7" t="s">
        <v>691</v>
      </c>
      <c r="B515" s="7" t="s">
        <v>686</v>
      </c>
      <c r="C515" s="7" t="s">
        <v>301</v>
      </c>
      <c r="D515" s="7" t="s">
        <v>302</v>
      </c>
      <c r="E515" s="7" t="s">
        <v>18</v>
      </c>
      <c r="F515" s="11" t="n">
        <v>4665.44</v>
      </c>
      <c r="G515" s="7" t="s">
        <v>281</v>
      </c>
      <c r="H515" s="7" t="s">
        <v>286</v>
      </c>
      <c r="I515" s="7" t="s">
        <v>122</v>
      </c>
      <c r="J515" s="7" t="s">
        <v>283</v>
      </c>
      <c r="K515" s="22" t="n">
        <v>4</v>
      </c>
      <c r="L515" s="22" t="n">
        <v>21.3333</v>
      </c>
      <c r="M515" s="11" t="n">
        <v>16.78</v>
      </c>
      <c r="N515" s="11" t="n">
        <v>357.97</v>
      </c>
      <c r="O515" s="7" t="s">
        <v>287</v>
      </c>
      <c r="P515" s="11" t="n">
        <f aca="false">IF(J515="%mo","",IF(G515="MO",IF(J515="hh",INDEX(MO_HH,MATCH(I515,MO_CAT,0)),M515*P_FACT_IPC),IF(G515="SUBPART",IFERROR(INDEX(APU_SUBP!$C$7:$C$40,MATCH(H515,APU_SUBP!$A$7:$A$40,0)),M515*P_FACT_IPC),M515*P_FACT_IPC)))</f>
        <v>12.5</v>
      </c>
      <c r="Q515" s="11" t="n">
        <f aca="false">IF(J515="%mo",L515/100*SUMIFS($R$7:$R$782,$A$7:$A$782,A515),L515*P515)</f>
        <v>266.66625</v>
      </c>
      <c r="R515" s="11" t="n">
        <f aca="false">IF(G515="MO",L515*P515,0)</f>
        <v>266.66625</v>
      </c>
    </row>
    <row r="516" customFormat="false" ht="15" hidden="false" customHeight="false" outlineLevel="0" collapsed="false">
      <c r="A516" s="9" t="s">
        <v>691</v>
      </c>
      <c r="B516" s="9" t="s">
        <v>686</v>
      </c>
      <c r="C516" s="9" t="s">
        <v>301</v>
      </c>
      <c r="D516" s="9" t="s">
        <v>302</v>
      </c>
      <c r="E516" s="9" t="s">
        <v>18</v>
      </c>
      <c r="F516" s="10" t="n">
        <v>4665.44</v>
      </c>
      <c r="G516" s="9" t="s">
        <v>288</v>
      </c>
      <c r="H516" s="9" t="s">
        <v>289</v>
      </c>
      <c r="I516" s="9" t="s">
        <v>290</v>
      </c>
      <c r="J516" s="9" t="s">
        <v>291</v>
      </c>
      <c r="K516" s="31" t="n">
        <v>0.5</v>
      </c>
      <c r="L516" s="31" t="n">
        <v>2.6667</v>
      </c>
      <c r="M516" s="10" t="n">
        <v>170.08</v>
      </c>
      <c r="N516" s="10" t="n">
        <v>453.55</v>
      </c>
      <c r="O516" s="9"/>
      <c r="P516" s="11" t="n">
        <f aca="false">IF(J516="%mo","",IF(G516="MO",IF(J516="hh",INDEX(MO_HH,MATCH(I516,MO_CAT,0)),M516*P_FACT_IPC),IF(G516="SUBPART",IFERROR(INDEX(APU_SUBP!$C$7:$C$40,MATCH(H516,APU_SUBP!$A$7:$A$40,0)),M516*P_FACT_IPC),M516*P_FACT_IPC)))</f>
        <v>218.773196641969</v>
      </c>
      <c r="Q516" s="11" t="n">
        <f aca="false">IF(J516="%mo",L516/100*SUMIFS($R$7:$R$782,$A$7:$A$782,A516),L516*P516)</f>
        <v>583.40248348514</v>
      </c>
      <c r="R516" s="11" t="n">
        <f aca="false">IF(G516="MO",L516*P516,0)</f>
        <v>0</v>
      </c>
    </row>
    <row r="517" customFormat="false" ht="15" hidden="false" customHeight="false" outlineLevel="0" collapsed="false">
      <c r="A517" s="7" t="s">
        <v>691</v>
      </c>
      <c r="B517" s="7" t="s">
        <v>686</v>
      </c>
      <c r="C517" s="7" t="s">
        <v>301</v>
      </c>
      <c r="D517" s="7" t="s">
        <v>302</v>
      </c>
      <c r="E517" s="7" t="s">
        <v>18</v>
      </c>
      <c r="F517" s="11" t="n">
        <v>4665.44</v>
      </c>
      <c r="G517" s="7" t="s">
        <v>288</v>
      </c>
      <c r="H517" s="7" t="s">
        <v>292</v>
      </c>
      <c r="I517" s="7" t="s">
        <v>293</v>
      </c>
      <c r="J517" s="7" t="s">
        <v>291</v>
      </c>
      <c r="K517" s="22" t="n">
        <v>1</v>
      </c>
      <c r="L517" s="22" t="n">
        <v>5.3333</v>
      </c>
      <c r="M517" s="11" t="n">
        <v>159.96</v>
      </c>
      <c r="N517" s="11" t="n">
        <v>853.11</v>
      </c>
      <c r="O517" s="7"/>
      <c r="P517" s="11" t="n">
        <f aca="false">IF(J517="%mo","",IF(G517="MO",IF(J517="hh",INDEX(MO_HH,MATCH(I517,MO_CAT,0)),M517*P_FACT_IPC),IF(G517="SUBPART",IFERROR(INDEX(APU_SUBP!$C$7:$C$40,MATCH(H517,APU_SUBP!$A$7:$A$40,0)),M517*P_FACT_IPC),M517*P_FACT_IPC)))</f>
        <v>205.75588273077</v>
      </c>
      <c r="Q517" s="11" t="n">
        <f aca="false">IF(J517="%mo",L517/100*SUMIFS($R$7:$R$782,$A$7:$A$782,A517),L517*P517)</f>
        <v>1097.35784936802</v>
      </c>
      <c r="R517" s="11" t="n">
        <f aca="false">IF(G517="MO",L517*P517,0)</f>
        <v>0</v>
      </c>
    </row>
    <row r="518" customFormat="false" ht="15" hidden="false" customHeight="false" outlineLevel="0" collapsed="false">
      <c r="A518" s="9" t="s">
        <v>691</v>
      </c>
      <c r="B518" s="9" t="s">
        <v>686</v>
      </c>
      <c r="C518" s="9" t="s">
        <v>301</v>
      </c>
      <c r="D518" s="9" t="s">
        <v>302</v>
      </c>
      <c r="E518" s="9" t="s">
        <v>18</v>
      </c>
      <c r="F518" s="10" t="n">
        <v>4665.44</v>
      </c>
      <c r="G518" s="9" t="s">
        <v>288</v>
      </c>
      <c r="H518" s="9" t="s">
        <v>294</v>
      </c>
      <c r="I518" s="9" t="s">
        <v>295</v>
      </c>
      <c r="J518" s="9" t="s">
        <v>291</v>
      </c>
      <c r="K518" s="31" t="n">
        <v>1</v>
      </c>
      <c r="L518" s="31" t="n">
        <v>5.3333</v>
      </c>
      <c r="M518" s="10" t="n">
        <v>182.88</v>
      </c>
      <c r="N518" s="10" t="n">
        <v>975.35</v>
      </c>
      <c r="O518" s="9"/>
      <c r="P518" s="11" t="n">
        <f aca="false">IF(J518="%mo","",IF(G518="MO",IF(J518="hh",INDEX(MO_HH,MATCH(I518,MO_CAT,0)),M518*P_FACT_IPC),IF(G518="SUBPART",IFERROR(INDEX(APU_SUBP!$C$7:$C$40,MATCH(H518,APU_SUBP!$A$7:$A$40,0)),M518*P_FACT_IPC),M518*P_FACT_IPC)))</f>
        <v>235.237783407122</v>
      </c>
      <c r="Q518" s="11" t="n">
        <f aca="false">IF(J518="%mo",L518/100*SUMIFS($R$7:$R$782,$A$7:$A$782,A518),L518*P518)</f>
        <v>1254.59367024521</v>
      </c>
      <c r="R518" s="11" t="n">
        <f aca="false">IF(G518="MO",L518*P518,0)</f>
        <v>0</v>
      </c>
    </row>
    <row r="519" customFormat="false" ht="15" hidden="false" customHeight="false" outlineLevel="0" collapsed="false">
      <c r="A519" s="7" t="s">
        <v>691</v>
      </c>
      <c r="B519" s="7" t="s">
        <v>686</v>
      </c>
      <c r="C519" s="7" t="s">
        <v>301</v>
      </c>
      <c r="D519" s="7" t="s">
        <v>302</v>
      </c>
      <c r="E519" s="7" t="s">
        <v>18</v>
      </c>
      <c r="F519" s="11" t="n">
        <v>4665.44</v>
      </c>
      <c r="G519" s="7" t="s">
        <v>288</v>
      </c>
      <c r="H519" s="7" t="s">
        <v>296</v>
      </c>
      <c r="I519" s="7" t="s">
        <v>297</v>
      </c>
      <c r="J519" s="7" t="s">
        <v>291</v>
      </c>
      <c r="K519" s="22" t="n">
        <v>1</v>
      </c>
      <c r="L519" s="22" t="n">
        <v>5.3333</v>
      </c>
      <c r="M519" s="11" t="n">
        <v>188.87</v>
      </c>
      <c r="N519" s="11" t="n">
        <v>1007.3</v>
      </c>
      <c r="O519" s="7"/>
      <c r="P519" s="11" t="n">
        <f aca="false">IF(J519="%mo","",IF(G519="MO",IF(J519="hh",INDEX(MO_HH,MATCH(I519,MO_CAT,0)),M519*P_FACT_IPC),IF(G519="SUBPART",IFERROR(INDEX(APU_SUBP!$C$7:$C$40,MATCH(H519,APU_SUBP!$A$7:$A$40,0)),M519*P_FACT_IPC),M519*P_FACT_IPC)))</f>
        <v>242.942695494877</v>
      </c>
      <c r="Q519" s="11" t="n">
        <f aca="false">IF(J519="%mo",L519/100*SUMIFS($R$7:$R$782,$A$7:$A$782,A519),L519*P519)</f>
        <v>1295.68627788283</v>
      </c>
      <c r="R519" s="11" t="n">
        <f aca="false">IF(G519="MO",L519*P519,0)</f>
        <v>0</v>
      </c>
    </row>
    <row r="520" customFormat="false" ht="15" hidden="false" customHeight="false" outlineLevel="0" collapsed="false">
      <c r="A520" s="9" t="s">
        <v>691</v>
      </c>
      <c r="B520" s="9" t="s">
        <v>686</v>
      </c>
      <c r="C520" s="9" t="s">
        <v>301</v>
      </c>
      <c r="D520" s="9" t="s">
        <v>302</v>
      </c>
      <c r="E520" s="9" t="s">
        <v>18</v>
      </c>
      <c r="F520" s="10" t="n">
        <v>4665.44</v>
      </c>
      <c r="G520" s="9" t="s">
        <v>288</v>
      </c>
      <c r="H520" s="9" t="s">
        <v>298</v>
      </c>
      <c r="I520" s="9" t="s">
        <v>299</v>
      </c>
      <c r="J520" s="9" t="s">
        <v>291</v>
      </c>
      <c r="K520" s="31" t="n">
        <v>1</v>
      </c>
      <c r="L520" s="31" t="n">
        <v>5.3333</v>
      </c>
      <c r="M520" s="10" t="n">
        <v>140.88</v>
      </c>
      <c r="N520" s="10" t="n">
        <v>751.36</v>
      </c>
      <c r="O520" s="9"/>
      <c r="P520" s="11" t="n">
        <f aca="false">IF(J520="%mo","",IF(G520="MO",IF(J520="hh",INDEX(MO_HH,MATCH(I520,MO_CAT,0)),M520*P_FACT_IPC),IF(G520="SUBPART",IFERROR(INDEX(APU_SUBP!$C$7:$C$40,MATCH(H520,APU_SUBP!$A$7:$A$40,0)),M520*P_FACT_IPC),M520*P_FACT_IPC)))</f>
        <v>181.213358083964</v>
      </c>
      <c r="Q520" s="11" t="n">
        <f aca="false">IF(J520="%mo",L520/100*SUMIFS($R$7:$R$782,$A$7:$A$782,A520),L520*P520)</f>
        <v>966.465202669207</v>
      </c>
      <c r="R520" s="11" t="n">
        <f aca="false">IF(G520="MO",L520*P520,0)</f>
        <v>0</v>
      </c>
    </row>
    <row r="521" customFormat="false" ht="15" hidden="false" customHeight="false" outlineLevel="0" collapsed="false">
      <c r="A521" s="7" t="s">
        <v>692</v>
      </c>
      <c r="B521" s="7" t="s">
        <v>686</v>
      </c>
      <c r="C521" s="7" t="s">
        <v>304</v>
      </c>
      <c r="D521" s="7" t="s">
        <v>305</v>
      </c>
      <c r="E521" s="7" t="s">
        <v>18</v>
      </c>
      <c r="F521" s="11" t="n">
        <v>583.87</v>
      </c>
      <c r="G521" s="7" t="s">
        <v>281</v>
      </c>
      <c r="H521" s="7" t="s">
        <v>306</v>
      </c>
      <c r="I521" s="7" t="s">
        <v>112</v>
      </c>
      <c r="J521" s="7" t="s">
        <v>283</v>
      </c>
      <c r="K521" s="22" t="n">
        <v>1</v>
      </c>
      <c r="L521" s="22" t="n">
        <v>5</v>
      </c>
      <c r="M521" s="11" t="n">
        <v>23.46</v>
      </c>
      <c r="N521" s="11" t="n">
        <v>117.3</v>
      </c>
      <c r="O521" s="7" t="s">
        <v>284</v>
      </c>
      <c r="P521" s="11" t="n">
        <f aca="false">IF(J521="%mo","",IF(G521="MO",IF(J521="hh",INDEX(MO_HH,MATCH(I521,MO_CAT,0)),M521*P_FACT_IPC),IF(G521="SUBPART",IFERROR(INDEX(APU_SUBP!$C$7:$C$40,MATCH(H521,APU_SUBP!$A$7:$A$40,0)),M521*P_FACT_IPC),M521*P_FACT_IPC)))</f>
        <v>17.4761620977354</v>
      </c>
      <c r="Q521" s="11" t="n">
        <f aca="false">IF(J521="%mo",L521/100*SUMIFS($R$7:$R$782,$A$7:$A$782,A521),L521*P521)</f>
        <v>87.380810488677</v>
      </c>
      <c r="R521" s="11" t="n">
        <f aca="false">IF(G521="MO",L521*P521,0)</f>
        <v>87.380810488677</v>
      </c>
    </row>
    <row r="522" customFormat="false" ht="15" hidden="false" customHeight="false" outlineLevel="0" collapsed="false">
      <c r="A522" s="9" t="s">
        <v>692</v>
      </c>
      <c r="B522" s="9" t="s">
        <v>686</v>
      </c>
      <c r="C522" s="9" t="s">
        <v>304</v>
      </c>
      <c r="D522" s="9" t="s">
        <v>305</v>
      </c>
      <c r="E522" s="9" t="s">
        <v>18</v>
      </c>
      <c r="F522" s="10" t="n">
        <v>583.87</v>
      </c>
      <c r="G522" s="9" t="s">
        <v>281</v>
      </c>
      <c r="H522" s="9" t="s">
        <v>285</v>
      </c>
      <c r="I522" s="9" t="s">
        <v>117</v>
      </c>
      <c r="J522" s="9" t="s">
        <v>283</v>
      </c>
      <c r="K522" s="31" t="n">
        <v>1</v>
      </c>
      <c r="L522" s="31" t="n">
        <v>5</v>
      </c>
      <c r="M522" s="10" t="n">
        <v>18.56</v>
      </c>
      <c r="N522" s="10" t="n">
        <v>92.8</v>
      </c>
      <c r="O522" s="9" t="s">
        <v>284</v>
      </c>
      <c r="P522" s="11" t="n">
        <f aca="false">IF(J522="%mo","",IF(G522="MO",IF(J522="hh",INDEX(MO_HH,MATCH(I522,MO_CAT,0)),M522*P_FACT_IPC),IF(G522="SUBPART",IFERROR(INDEX(APU_SUBP!$C$7:$C$40,MATCH(H522,APU_SUBP!$A$7:$A$40,0)),M522*P_FACT_IPC),M522*P_FACT_IPC)))</f>
        <v>13.8259833134684</v>
      </c>
      <c r="Q522" s="11" t="n">
        <f aca="false">IF(J522="%mo",L522/100*SUMIFS($R$7:$R$782,$A$7:$A$782,A522),L522*P522)</f>
        <v>69.1299165673421</v>
      </c>
      <c r="R522" s="11" t="n">
        <f aca="false">IF(G522="MO",L522*P522,0)</f>
        <v>69.1299165673421</v>
      </c>
    </row>
    <row r="523" customFormat="false" ht="15" hidden="false" customHeight="false" outlineLevel="0" collapsed="false">
      <c r="A523" s="7" t="s">
        <v>692</v>
      </c>
      <c r="B523" s="7" t="s">
        <v>686</v>
      </c>
      <c r="C523" s="7" t="s">
        <v>304</v>
      </c>
      <c r="D523" s="7" t="s">
        <v>305</v>
      </c>
      <c r="E523" s="7" t="s">
        <v>18</v>
      </c>
      <c r="F523" s="11" t="n">
        <v>583.87</v>
      </c>
      <c r="G523" s="7" t="s">
        <v>281</v>
      </c>
      <c r="H523" s="7" t="s">
        <v>286</v>
      </c>
      <c r="I523" s="7" t="s">
        <v>122</v>
      </c>
      <c r="J523" s="7" t="s">
        <v>283</v>
      </c>
      <c r="K523" s="22" t="n">
        <v>3</v>
      </c>
      <c r="L523" s="22" t="n">
        <v>15</v>
      </c>
      <c r="M523" s="11" t="n">
        <v>16.78</v>
      </c>
      <c r="N523" s="11" t="n">
        <v>251.7</v>
      </c>
      <c r="O523" s="7" t="s">
        <v>287</v>
      </c>
      <c r="P523" s="11" t="n">
        <f aca="false">IF(J523="%mo","",IF(G523="MO",IF(J523="hh",INDEX(MO_HH,MATCH(I523,MO_CAT,0)),M523*P_FACT_IPC),IF(G523="SUBPART",IFERROR(INDEX(APU_SUBP!$C$7:$C$40,MATCH(H523,APU_SUBP!$A$7:$A$40,0)),M523*P_FACT_IPC),M523*P_FACT_IPC)))</f>
        <v>12.5</v>
      </c>
      <c r="Q523" s="11" t="n">
        <f aca="false">IF(J523="%mo",L523/100*SUMIFS($R$7:$R$782,$A$7:$A$782,A523),L523*P523)</f>
        <v>187.5</v>
      </c>
      <c r="R523" s="11" t="n">
        <f aca="false">IF(G523="MO",L523*P523,0)</f>
        <v>187.5</v>
      </c>
    </row>
    <row r="524" customFormat="false" ht="15" hidden="false" customHeight="false" outlineLevel="0" collapsed="false">
      <c r="A524" s="9" t="s">
        <v>692</v>
      </c>
      <c r="B524" s="9" t="s">
        <v>686</v>
      </c>
      <c r="C524" s="9" t="s">
        <v>304</v>
      </c>
      <c r="D524" s="9" t="s">
        <v>305</v>
      </c>
      <c r="E524" s="9" t="s">
        <v>18</v>
      </c>
      <c r="F524" s="10" t="n">
        <v>583.87</v>
      </c>
      <c r="G524" s="9" t="s">
        <v>307</v>
      </c>
      <c r="H524" s="9" t="s">
        <v>308</v>
      </c>
      <c r="I524" s="9" t="s">
        <v>309</v>
      </c>
      <c r="J524" s="9" t="s">
        <v>310</v>
      </c>
      <c r="K524" s="31"/>
      <c r="L524" s="31" t="n">
        <v>0.003</v>
      </c>
      <c r="M524" s="10" t="n">
        <v>14.7</v>
      </c>
      <c r="N524" s="10" t="n">
        <v>0.04</v>
      </c>
      <c r="O524" s="9"/>
      <c r="P524" s="11" t="n">
        <f aca="false">IF(J524="%mo","",IF(G524="MO",IF(J524="hh",INDEX(MO_HH,MATCH(I524,MO_CAT,0)),M524*P_FACT_IPC),IF(G524="SUBPART",IFERROR(INDEX(APU_SUBP!$C$7:$C$40,MATCH(H524,APU_SUBP!$A$7:$A$40,0)),M524*P_FACT_IPC),M524*P_FACT_IPC)))</f>
        <v>18.9085488631053</v>
      </c>
      <c r="Q524" s="11" t="n">
        <f aca="false">IF(J524="%mo",L524/100*SUMIFS($R$7:$R$782,$A$7:$A$782,A524),L524*P524)</f>
        <v>0.0567256465893159</v>
      </c>
      <c r="R524" s="11" t="n">
        <f aca="false">IF(G524="MO",L524*P524,0)</f>
        <v>0</v>
      </c>
    </row>
    <row r="525" customFormat="false" ht="15" hidden="false" customHeight="false" outlineLevel="0" collapsed="false">
      <c r="A525" s="7" t="s">
        <v>692</v>
      </c>
      <c r="B525" s="7" t="s">
        <v>686</v>
      </c>
      <c r="C525" s="7" t="s">
        <v>304</v>
      </c>
      <c r="D525" s="7" t="s">
        <v>305</v>
      </c>
      <c r="E525" s="7" t="s">
        <v>18</v>
      </c>
      <c r="F525" s="11" t="n">
        <v>583.87</v>
      </c>
      <c r="G525" s="7" t="s">
        <v>307</v>
      </c>
      <c r="H525" s="7" t="s">
        <v>311</v>
      </c>
      <c r="I525" s="7" t="s">
        <v>312</v>
      </c>
      <c r="J525" s="7" t="s">
        <v>313</v>
      </c>
      <c r="K525" s="22"/>
      <c r="L525" s="22" t="n">
        <v>0.01</v>
      </c>
      <c r="M525" s="11" t="n">
        <v>1.63</v>
      </c>
      <c r="N525" s="11" t="n">
        <v>0.02</v>
      </c>
      <c r="O525" s="7"/>
      <c r="P525" s="11" t="n">
        <f aca="false">IF(J525="%mo","",IF(G525="MO",IF(J525="hh",INDEX(MO_HH,MATCH(I525,MO_CAT,0)),M525*P_FACT_IPC),IF(G525="SUBPART",IFERROR(INDEX(APU_SUBP!$C$7:$C$40,MATCH(H525,APU_SUBP!$A$7:$A$40,0)),M525*P_FACT_IPC),M525*P_FACT_IPC)))</f>
        <v>2.09666222087494</v>
      </c>
      <c r="Q525" s="11" t="n">
        <f aca="false">IF(J525="%mo",L525/100*SUMIFS($R$7:$R$782,$A$7:$A$782,A525),L525*P525)</f>
        <v>0.0209666222087494</v>
      </c>
      <c r="R525" s="11" t="n">
        <f aca="false">IF(G525="MO",L525*P525,0)</f>
        <v>0</v>
      </c>
    </row>
    <row r="526" customFormat="false" ht="15" hidden="false" customHeight="false" outlineLevel="0" collapsed="false">
      <c r="A526" s="9" t="s">
        <v>692</v>
      </c>
      <c r="B526" s="9" t="s">
        <v>686</v>
      </c>
      <c r="C526" s="9" t="s">
        <v>304</v>
      </c>
      <c r="D526" s="9" t="s">
        <v>305</v>
      </c>
      <c r="E526" s="9" t="s">
        <v>18</v>
      </c>
      <c r="F526" s="10" t="n">
        <v>583.87</v>
      </c>
      <c r="G526" s="9" t="s">
        <v>307</v>
      </c>
      <c r="H526" s="9" t="s">
        <v>314</v>
      </c>
      <c r="I526" s="9" t="s">
        <v>315</v>
      </c>
      <c r="J526" s="9" t="s">
        <v>316</v>
      </c>
      <c r="K526" s="31"/>
      <c r="L526" s="31" t="n">
        <v>0.007</v>
      </c>
      <c r="M526" s="10" t="n">
        <v>1.63</v>
      </c>
      <c r="N526" s="10" t="n">
        <v>0.01</v>
      </c>
      <c r="O526" s="9"/>
      <c r="P526" s="11" t="n">
        <f aca="false">IF(J526="%mo","",IF(G526="MO",IF(J526="hh",INDEX(MO_HH,MATCH(I526,MO_CAT,0)),M526*P_FACT_IPC),IF(G526="SUBPART",IFERROR(INDEX(APU_SUBP!$C$7:$C$40,MATCH(H526,APU_SUBP!$A$7:$A$40,0)),M526*P_FACT_IPC),M526*P_FACT_IPC)))</f>
        <v>2.09666222087494</v>
      </c>
      <c r="Q526" s="11" t="n">
        <f aca="false">IF(J526="%mo",L526/100*SUMIFS($R$7:$R$782,$A$7:$A$782,A526),L526*P526)</f>
        <v>0.0146766355461246</v>
      </c>
      <c r="R526" s="11" t="n">
        <f aca="false">IF(G526="MO",L526*P526,0)</f>
        <v>0</v>
      </c>
    </row>
    <row r="527" customFormat="false" ht="15" hidden="false" customHeight="false" outlineLevel="0" collapsed="false">
      <c r="A527" s="7" t="s">
        <v>692</v>
      </c>
      <c r="B527" s="7" t="s">
        <v>686</v>
      </c>
      <c r="C527" s="7" t="s">
        <v>304</v>
      </c>
      <c r="D527" s="7" t="s">
        <v>305</v>
      </c>
      <c r="E527" s="7" t="s">
        <v>18</v>
      </c>
      <c r="F527" s="11" t="n">
        <v>583.87</v>
      </c>
      <c r="G527" s="7" t="s">
        <v>307</v>
      </c>
      <c r="H527" s="7" t="s">
        <v>317</v>
      </c>
      <c r="I527" s="7" t="s">
        <v>318</v>
      </c>
      <c r="J527" s="7" t="s">
        <v>319</v>
      </c>
      <c r="K527" s="22"/>
      <c r="L527" s="22" t="n">
        <v>0.002</v>
      </c>
      <c r="M527" s="11" t="n">
        <v>34.07</v>
      </c>
      <c r="N527" s="11" t="n">
        <v>0.07</v>
      </c>
      <c r="O527" s="7"/>
      <c r="P527" s="11" t="n">
        <f aca="false">IF(J527="%mo","",IF(G527="MO",IF(J527="hh",INDEX(MO_HH,MATCH(I527,MO_CAT,0)),M527*P_FACT_IPC),IF(G527="SUBPART",IFERROR(INDEX(APU_SUBP!$C$7:$C$40,MATCH(H527,APU_SUBP!$A$7:$A$40,0)),M527*P_FACT_IPC),M527*P_FACT_IPC)))</f>
        <v>43.8240993038094</v>
      </c>
      <c r="Q527" s="11" t="n">
        <f aca="false">IF(J527="%mo",L527/100*SUMIFS($R$7:$R$782,$A$7:$A$782,A527),L527*P527)</f>
        <v>0.0876481986076187</v>
      </c>
      <c r="R527" s="11" t="n">
        <f aca="false">IF(G527="MO",L527*P527,0)</f>
        <v>0</v>
      </c>
    </row>
    <row r="528" customFormat="false" ht="15" hidden="false" customHeight="false" outlineLevel="0" collapsed="false">
      <c r="A528" s="9" t="s">
        <v>692</v>
      </c>
      <c r="B528" s="9" t="s">
        <v>686</v>
      </c>
      <c r="C528" s="9" t="s">
        <v>304</v>
      </c>
      <c r="D528" s="9" t="s">
        <v>305</v>
      </c>
      <c r="E528" s="9" t="s">
        <v>18</v>
      </c>
      <c r="F528" s="10" t="n">
        <v>583.87</v>
      </c>
      <c r="G528" s="9" t="s">
        <v>288</v>
      </c>
      <c r="H528" s="9" t="s">
        <v>320</v>
      </c>
      <c r="I528" s="9" t="s">
        <v>321</v>
      </c>
      <c r="J528" s="9" t="s">
        <v>322</v>
      </c>
      <c r="K528" s="31" t="n">
        <v>0.5</v>
      </c>
      <c r="L528" s="31" t="n">
        <v>2.5</v>
      </c>
      <c r="M528" s="10" t="n">
        <v>9.71</v>
      </c>
      <c r="N528" s="10" t="n">
        <v>24.28</v>
      </c>
      <c r="O528" s="9"/>
      <c r="P528" s="11" t="n">
        <f aca="false">IF(J528="%mo","",IF(G528="MO",IF(J528="hh",INDEX(MO_HH,MATCH(I528,MO_CAT,0)),M528*P_FACT_IPC),IF(G528="SUBPART",IFERROR(INDEX(APU_SUBP!$C$7:$C$40,MATCH(H528,APU_SUBP!$A$7:$A$40,0)),M528*P_FACT_IPC),M528*P_FACT_IPC)))</f>
        <v>12.4899326163777</v>
      </c>
      <c r="Q528" s="11" t="n">
        <f aca="false">IF(J528="%mo",L528/100*SUMIFS($R$7:$R$782,$A$7:$A$782,A528),L528*P528)</f>
        <v>31.2248315409443</v>
      </c>
      <c r="R528" s="11" t="n">
        <f aca="false">IF(G528="MO",L528*P528,0)</f>
        <v>0</v>
      </c>
    </row>
    <row r="529" customFormat="false" ht="15" hidden="false" customHeight="false" outlineLevel="0" collapsed="false">
      <c r="A529" s="7" t="s">
        <v>692</v>
      </c>
      <c r="B529" s="7" t="s">
        <v>686</v>
      </c>
      <c r="C529" s="7" t="s">
        <v>304</v>
      </c>
      <c r="D529" s="7" t="s">
        <v>305</v>
      </c>
      <c r="E529" s="7" t="s">
        <v>18</v>
      </c>
      <c r="F529" s="11" t="n">
        <v>583.87</v>
      </c>
      <c r="G529" s="7" t="s">
        <v>288</v>
      </c>
      <c r="H529" s="7" t="s">
        <v>323</v>
      </c>
      <c r="I529" s="7" t="s">
        <v>324</v>
      </c>
      <c r="J529" s="7" t="s">
        <v>322</v>
      </c>
      <c r="K529" s="22" t="n">
        <v>1</v>
      </c>
      <c r="L529" s="22" t="n">
        <v>5</v>
      </c>
      <c r="M529" s="11" t="n">
        <v>16.7</v>
      </c>
      <c r="N529" s="11" t="n">
        <v>83.5</v>
      </c>
      <c r="O529" s="7"/>
      <c r="P529" s="11" t="n">
        <f aca="false">IF(J529="%mo","",IF(G529="MO",IF(J529="hh",INDEX(MO_HH,MATCH(I529,MO_CAT,0)),M529*P_FACT_IPC),IF(G529="SUBPART",IFERROR(INDEX(APU_SUBP!$C$7:$C$40,MATCH(H529,APU_SUBP!$A$7:$A$40,0)),M529*P_FACT_IPC),M529*P_FACT_IPC)))</f>
        <v>21.4811405451604</v>
      </c>
      <c r="Q529" s="11" t="n">
        <f aca="false">IF(J529="%mo",L529/100*SUMIFS($R$7:$R$782,$A$7:$A$782,A529),L529*P529)</f>
        <v>107.405702725802</v>
      </c>
      <c r="R529" s="11" t="n">
        <f aca="false">IF(G529="MO",L529*P529,0)</f>
        <v>0</v>
      </c>
    </row>
    <row r="530" customFormat="false" ht="15" hidden="false" customHeight="false" outlineLevel="0" collapsed="false">
      <c r="A530" s="9" t="s">
        <v>692</v>
      </c>
      <c r="B530" s="9" t="s">
        <v>686</v>
      </c>
      <c r="C530" s="9" t="s">
        <v>304</v>
      </c>
      <c r="D530" s="9" t="s">
        <v>305</v>
      </c>
      <c r="E530" s="9" t="s">
        <v>18</v>
      </c>
      <c r="F530" s="10" t="n">
        <v>583.87</v>
      </c>
      <c r="G530" s="9" t="s">
        <v>288</v>
      </c>
      <c r="H530" s="9" t="s">
        <v>325</v>
      </c>
      <c r="I530" s="9" t="s">
        <v>326</v>
      </c>
      <c r="J530" s="9" t="s">
        <v>322</v>
      </c>
      <c r="K530" s="31" t="n">
        <v>0.5</v>
      </c>
      <c r="L530" s="31" t="n">
        <v>2.5</v>
      </c>
      <c r="M530" s="10" t="n">
        <v>0.12</v>
      </c>
      <c r="N530" s="10" t="n">
        <v>0.3</v>
      </c>
      <c r="O530" s="9"/>
      <c r="P530" s="11" t="n">
        <f aca="false">IF(J530="%mo","",IF(G530="MO",IF(J530="hh",INDEX(MO_HH,MATCH(I530,MO_CAT,0)),M530*P_FACT_IPC),IF(G530="SUBPART",IFERROR(INDEX(APU_SUBP!$C$7:$C$40,MATCH(H530,APU_SUBP!$A$7:$A$40,0)),M530*P_FACT_IPC),M530*P_FACT_IPC)))</f>
        <v>0.154355500923309</v>
      </c>
      <c r="Q530" s="11" t="n">
        <f aca="false">IF(J530="%mo",L530/100*SUMIFS($R$7:$R$782,$A$7:$A$782,A530),L530*P530)</f>
        <v>0.385888752308271</v>
      </c>
      <c r="R530" s="11" t="n">
        <f aca="false">IF(G530="MO",L530*P530,0)</f>
        <v>0</v>
      </c>
    </row>
    <row r="531" customFormat="false" ht="15" hidden="false" customHeight="false" outlineLevel="0" collapsed="false">
      <c r="A531" s="7" t="s">
        <v>692</v>
      </c>
      <c r="B531" s="7" t="s">
        <v>686</v>
      </c>
      <c r="C531" s="7" t="s">
        <v>304</v>
      </c>
      <c r="D531" s="7" t="s">
        <v>305</v>
      </c>
      <c r="E531" s="7" t="s">
        <v>18</v>
      </c>
      <c r="F531" s="11" t="n">
        <v>583.87</v>
      </c>
      <c r="G531" s="7" t="s">
        <v>288</v>
      </c>
      <c r="H531" s="7" t="s">
        <v>327</v>
      </c>
      <c r="I531" s="7" t="s">
        <v>328</v>
      </c>
      <c r="J531" s="7" t="s">
        <v>329</v>
      </c>
      <c r="K531" s="22"/>
      <c r="L531" s="22" t="n">
        <v>3</v>
      </c>
      <c r="M531" s="11" t="n">
        <v>461.8</v>
      </c>
      <c r="N531" s="11" t="n">
        <v>13.85</v>
      </c>
      <c r="O531" s="7"/>
      <c r="P531" s="11" t="str">
        <f aca="false">IF(J531="%mo","",IF(G531="MO",IF(J531="hh",INDEX(MO_HH,MATCH(I531,MO_CAT,0)),M531*P_FACT_IPC),IF(G531="SUBPART",IFERROR(INDEX(APU_SUBP!$C$7:$C$40,MATCH(H531,APU_SUBP!$A$7:$A$40,0)),M531*P_FACT_IPC),M531*P_FACT_IPC)))</f>
        <v/>
      </c>
      <c r="Q531" s="11" t="n">
        <f aca="false">IF(J531="%mo",L531/100*SUMIFS($R$7:$R$782,$A$7:$A$782,A531),L531*P531)</f>
        <v>10.3203218116806</v>
      </c>
      <c r="R531" s="11" t="n">
        <f aca="false">IF(G531="MO",L531*P531,0)</f>
        <v>0</v>
      </c>
    </row>
    <row r="532" customFormat="false" ht="15" hidden="false" customHeight="false" outlineLevel="0" collapsed="false">
      <c r="A532" s="9" t="s">
        <v>693</v>
      </c>
      <c r="B532" s="9" t="s">
        <v>686</v>
      </c>
      <c r="C532" s="9" t="s">
        <v>331</v>
      </c>
      <c r="D532" s="9" t="s">
        <v>332</v>
      </c>
      <c r="E532" s="9" t="s">
        <v>12</v>
      </c>
      <c r="F532" s="10" t="n">
        <v>285.04</v>
      </c>
      <c r="G532" s="9" t="s">
        <v>281</v>
      </c>
      <c r="H532" s="9" t="s">
        <v>282</v>
      </c>
      <c r="I532" s="9" t="s">
        <v>107</v>
      </c>
      <c r="J532" s="9" t="s">
        <v>283</v>
      </c>
      <c r="K532" s="31" t="n">
        <v>1</v>
      </c>
      <c r="L532" s="31" t="n">
        <v>0.32</v>
      </c>
      <c r="M532" s="10" t="n">
        <v>25.81</v>
      </c>
      <c r="N532" s="10" t="n">
        <v>8.26</v>
      </c>
      <c r="O532" s="9" t="s">
        <v>284</v>
      </c>
      <c r="P532" s="11" t="n">
        <f aca="false">IF(J532="%mo","",IF(G532="MO",IF(J532="hh",INDEX(MO_HH,MATCH(I532,MO_CAT,0)),M532*P_FACT_IPC),IF(G532="SUBPART",IFERROR(INDEX(APU_SUBP!$C$7:$C$40,MATCH(H532,APU_SUBP!$A$7:$A$40,0)),M532*P_FACT_IPC),M532*P_FACT_IPC)))</f>
        <v>19.226758045292</v>
      </c>
      <c r="Q532" s="11" t="n">
        <f aca="false">IF(J532="%mo",L532/100*SUMIFS($R$7:$R$782,$A$7:$A$782,A532),L532*P532)</f>
        <v>6.15256257449344</v>
      </c>
      <c r="R532" s="11" t="n">
        <f aca="false">IF(G532="MO",L532*P532,0)</f>
        <v>6.15256257449344</v>
      </c>
    </row>
    <row r="533" customFormat="false" ht="15" hidden="false" customHeight="false" outlineLevel="0" collapsed="false">
      <c r="A533" s="7" t="s">
        <v>693</v>
      </c>
      <c r="B533" s="7" t="s">
        <v>686</v>
      </c>
      <c r="C533" s="7" t="s">
        <v>331</v>
      </c>
      <c r="D533" s="7" t="s">
        <v>332</v>
      </c>
      <c r="E533" s="7" t="s">
        <v>12</v>
      </c>
      <c r="F533" s="11" t="n">
        <v>285.04</v>
      </c>
      <c r="G533" s="7" t="s">
        <v>281</v>
      </c>
      <c r="H533" s="7" t="s">
        <v>286</v>
      </c>
      <c r="I533" s="7" t="s">
        <v>122</v>
      </c>
      <c r="J533" s="7" t="s">
        <v>283</v>
      </c>
      <c r="K533" s="22" t="n">
        <v>50</v>
      </c>
      <c r="L533" s="22" t="n">
        <v>16</v>
      </c>
      <c r="M533" s="11" t="n">
        <v>16.78</v>
      </c>
      <c r="N533" s="11" t="n">
        <v>268.48</v>
      </c>
      <c r="O533" s="7" t="s">
        <v>287</v>
      </c>
      <c r="P533" s="11" t="n">
        <f aca="false">IF(J533="%mo","",IF(G533="MO",IF(J533="hh",INDEX(MO_HH,MATCH(I533,MO_CAT,0)),M533*P_FACT_IPC),IF(G533="SUBPART",IFERROR(INDEX(APU_SUBP!$C$7:$C$40,MATCH(H533,APU_SUBP!$A$7:$A$40,0)),M533*P_FACT_IPC),M533*P_FACT_IPC)))</f>
        <v>12.5</v>
      </c>
      <c r="Q533" s="11" t="n">
        <f aca="false">IF(J533="%mo",L533/100*SUMIFS($R$7:$R$782,$A$7:$A$782,A533),L533*P533)</f>
        <v>200</v>
      </c>
      <c r="R533" s="11" t="n">
        <f aca="false">IF(G533="MO",L533*P533,0)</f>
        <v>200</v>
      </c>
    </row>
    <row r="534" customFormat="false" ht="15" hidden="false" customHeight="false" outlineLevel="0" collapsed="false">
      <c r="A534" s="9" t="s">
        <v>693</v>
      </c>
      <c r="B534" s="9" t="s">
        <v>686</v>
      </c>
      <c r="C534" s="9" t="s">
        <v>331</v>
      </c>
      <c r="D534" s="9" t="s">
        <v>332</v>
      </c>
      <c r="E534" s="9" t="s">
        <v>12</v>
      </c>
      <c r="F534" s="10" t="n">
        <v>285.04</v>
      </c>
      <c r="G534" s="9" t="s">
        <v>288</v>
      </c>
      <c r="H534" s="9" t="s">
        <v>327</v>
      </c>
      <c r="I534" s="9" t="s">
        <v>328</v>
      </c>
      <c r="J534" s="9" t="s">
        <v>329</v>
      </c>
      <c r="K534" s="31"/>
      <c r="L534" s="31" t="n">
        <v>3</v>
      </c>
      <c r="M534" s="10" t="n">
        <v>276.74</v>
      </c>
      <c r="N534" s="10" t="n">
        <v>8.3</v>
      </c>
      <c r="O534" s="9"/>
      <c r="P534" s="11" t="str">
        <f aca="false">IF(J534="%mo","",IF(G534="MO",IF(J534="hh",INDEX(MO_HH,MATCH(I534,MO_CAT,0)),M534*P_FACT_IPC),IF(G534="SUBPART",IFERROR(INDEX(APU_SUBP!$C$7:$C$40,MATCH(H534,APU_SUBP!$A$7:$A$40,0)),M534*P_FACT_IPC),M534*P_FACT_IPC)))</f>
        <v/>
      </c>
      <c r="Q534" s="11" t="n">
        <f aca="false">IF(J534="%mo",L534/100*SUMIFS($R$7:$R$782,$A$7:$A$782,A534),L534*P534)</f>
        <v>6.1845768772348</v>
      </c>
      <c r="R534" s="11" t="n">
        <f aca="false">IF(G534="MO",L534*P534,0)</f>
        <v>0</v>
      </c>
    </row>
    <row r="535" customFormat="false" ht="15" hidden="false" customHeight="false" outlineLevel="0" collapsed="false">
      <c r="A535" s="7" t="s">
        <v>694</v>
      </c>
      <c r="B535" s="7" t="s">
        <v>686</v>
      </c>
      <c r="C535" s="7" t="s">
        <v>334</v>
      </c>
      <c r="D535" s="7" t="s">
        <v>695</v>
      </c>
      <c r="E535" s="7" t="s">
        <v>494</v>
      </c>
      <c r="F535" s="11" t="n">
        <v>6000</v>
      </c>
      <c r="G535" s="7" t="s">
        <v>281</v>
      </c>
      <c r="H535" s="7" t="s">
        <v>696</v>
      </c>
      <c r="I535" s="7" t="s">
        <v>697</v>
      </c>
      <c r="J535" s="7" t="s">
        <v>277</v>
      </c>
      <c r="K535" s="22"/>
      <c r="L535" s="22" t="n">
        <v>1</v>
      </c>
      <c r="M535" s="11" t="n">
        <v>6000</v>
      </c>
      <c r="N535" s="11" t="n">
        <v>6000</v>
      </c>
      <c r="O535" s="7" t="s">
        <v>284</v>
      </c>
      <c r="P535" s="11" t="n">
        <f aca="false">IF(J535="%mo","",IF(G535="MO",IF(J535="hh",INDEX(MO_HH,MATCH(I535,MO_CAT,0)),M535*P_FACT_IPC),IF(G535="SUBPART",IFERROR(INDEX(APU_SUBP!$C$7:$C$40,MATCH(H535,APU_SUBP!$A$7:$A$40,0)),M535*P_FACT_IPC),M535*P_FACT_IPC)))</f>
        <v>7717.77504616543</v>
      </c>
      <c r="Q535" s="11" t="n">
        <f aca="false">IF(J535="%mo",L535/100*SUMIFS($R$7:$R$782,$A$7:$A$782,A535),L535*P535)</f>
        <v>7717.77504616543</v>
      </c>
      <c r="R535" s="11" t="n">
        <f aca="false">IF(G535="MO",L535*P535,0)</f>
        <v>7717.77504616543</v>
      </c>
    </row>
    <row r="536" customFormat="false" ht="15" hidden="false" customHeight="false" outlineLevel="0" collapsed="false">
      <c r="A536" s="9" t="s">
        <v>698</v>
      </c>
      <c r="B536" s="9" t="s">
        <v>686</v>
      </c>
      <c r="C536" s="9" t="s">
        <v>339</v>
      </c>
      <c r="D536" s="9" t="s">
        <v>340</v>
      </c>
      <c r="E536" s="9" t="s">
        <v>341</v>
      </c>
      <c r="F536" s="10" t="n">
        <v>202.06</v>
      </c>
      <c r="G536" s="9" t="s">
        <v>274</v>
      </c>
      <c r="H536" s="9" t="s">
        <v>342</v>
      </c>
      <c r="I536" s="9" t="s">
        <v>343</v>
      </c>
      <c r="J536" s="9" t="s">
        <v>341</v>
      </c>
      <c r="K536" s="31"/>
      <c r="L536" s="31" t="n">
        <v>1</v>
      </c>
      <c r="M536" s="10" t="n">
        <v>53.5</v>
      </c>
      <c r="N536" s="10" t="n">
        <v>53.5</v>
      </c>
      <c r="O536" s="9"/>
      <c r="P536" s="11" t="n">
        <f aca="false">IF(J536="%mo","",IF(G536="MO",IF(J536="hh",INDEX(MO_HH,MATCH(I536,MO_CAT,0)),M536*P_FACT_IPC),IF(G536="SUBPART",IFERROR(INDEX(APU_SUBP!$C$7:$C$40,MATCH(H536,APU_SUBP!$A$7:$A$40,0)),M536*P_FACT_IPC),M536*P_FACT_IPC)))</f>
        <v>68.8168274949751</v>
      </c>
      <c r="Q536" s="11" t="n">
        <f aca="false">IF(J536="%mo",L536/100*SUMIFS($R$7:$R$782,$A$7:$A$782,A536),L536*P536)</f>
        <v>68.8168274949751</v>
      </c>
      <c r="R536" s="11" t="n">
        <f aca="false">IF(G536="MO",L536*P536,0)</f>
        <v>0</v>
      </c>
    </row>
    <row r="537" customFormat="false" ht="15" hidden="false" customHeight="false" outlineLevel="0" collapsed="false">
      <c r="A537" s="7" t="s">
        <v>698</v>
      </c>
      <c r="B537" s="7" t="s">
        <v>686</v>
      </c>
      <c r="C537" s="7" t="s">
        <v>339</v>
      </c>
      <c r="D537" s="7" t="s">
        <v>340</v>
      </c>
      <c r="E537" s="7" t="s">
        <v>341</v>
      </c>
      <c r="F537" s="11" t="n">
        <v>202.06</v>
      </c>
      <c r="G537" s="7" t="s">
        <v>274</v>
      </c>
      <c r="H537" s="7" t="s">
        <v>344</v>
      </c>
      <c r="I537" s="7" t="s">
        <v>345</v>
      </c>
      <c r="J537" s="7" t="s">
        <v>341</v>
      </c>
      <c r="K537" s="22"/>
      <c r="L537" s="22" t="n">
        <v>1</v>
      </c>
      <c r="M537" s="11" t="n">
        <v>41.46</v>
      </c>
      <c r="N537" s="11" t="n">
        <v>41.46</v>
      </c>
      <c r="O537" s="7"/>
      <c r="P537" s="11" t="n">
        <f aca="false">IF(J537="%mo","",IF(G537="MO",IF(J537="hh",INDEX(MO_HH,MATCH(I537,MO_CAT,0)),M537*P_FACT_IPC),IF(G537="SUBPART",IFERROR(INDEX(APU_SUBP!$C$7:$C$40,MATCH(H537,APU_SUBP!$A$7:$A$40,0)),M537*P_FACT_IPC),M537*P_FACT_IPC)))</f>
        <v>53.3298255690031</v>
      </c>
      <c r="Q537" s="11" t="n">
        <f aca="false">IF(J537="%mo",L537/100*SUMIFS($R$7:$R$782,$A$7:$A$782,A537),L537*P537)</f>
        <v>53.3298255690031</v>
      </c>
      <c r="R537" s="11" t="n">
        <f aca="false">IF(G537="MO",L537*P537,0)</f>
        <v>0</v>
      </c>
    </row>
    <row r="538" customFormat="false" ht="15" hidden="false" customHeight="false" outlineLevel="0" collapsed="false">
      <c r="A538" s="9" t="s">
        <v>698</v>
      </c>
      <c r="B538" s="9" t="s">
        <v>686</v>
      </c>
      <c r="C538" s="9" t="s">
        <v>339</v>
      </c>
      <c r="D538" s="9" t="s">
        <v>340</v>
      </c>
      <c r="E538" s="9" t="s">
        <v>341</v>
      </c>
      <c r="F538" s="10" t="n">
        <v>202.06</v>
      </c>
      <c r="G538" s="9" t="s">
        <v>274</v>
      </c>
      <c r="H538" s="9" t="s">
        <v>346</v>
      </c>
      <c r="I538" s="9" t="s">
        <v>347</v>
      </c>
      <c r="J538" s="9" t="s">
        <v>341</v>
      </c>
      <c r="K538" s="31"/>
      <c r="L538" s="31" t="n">
        <v>1</v>
      </c>
      <c r="M538" s="10" t="n">
        <v>25.68</v>
      </c>
      <c r="N538" s="10" t="n">
        <v>25.68</v>
      </c>
      <c r="O538" s="9"/>
      <c r="P538" s="11" t="n">
        <f aca="false">IF(J538="%mo","",IF(G538="MO",IF(J538="hh",INDEX(MO_HH,MATCH(I538,MO_CAT,0)),M538*P_FACT_IPC),IF(G538="SUBPART",IFERROR(INDEX(APU_SUBP!$C$7:$C$40,MATCH(H538,APU_SUBP!$A$7:$A$40,0)),M538*P_FACT_IPC),M538*P_FACT_IPC)))</f>
        <v>33.032077197588</v>
      </c>
      <c r="Q538" s="11" t="n">
        <f aca="false">IF(J538="%mo",L538/100*SUMIFS($R$7:$R$782,$A$7:$A$782,A538),L538*P538)</f>
        <v>33.032077197588</v>
      </c>
      <c r="R538" s="11" t="n">
        <f aca="false">IF(G538="MO",L538*P538,0)</f>
        <v>0</v>
      </c>
    </row>
    <row r="539" customFormat="false" ht="15" hidden="false" customHeight="false" outlineLevel="0" collapsed="false">
      <c r="A539" s="7" t="s">
        <v>698</v>
      </c>
      <c r="B539" s="7" t="s">
        <v>686</v>
      </c>
      <c r="C539" s="7" t="s">
        <v>339</v>
      </c>
      <c r="D539" s="7" t="s">
        <v>340</v>
      </c>
      <c r="E539" s="7" t="s">
        <v>341</v>
      </c>
      <c r="F539" s="11" t="n">
        <v>202.06</v>
      </c>
      <c r="G539" s="7" t="s">
        <v>274</v>
      </c>
      <c r="H539" s="7" t="s">
        <v>348</v>
      </c>
      <c r="I539" s="7" t="s">
        <v>349</v>
      </c>
      <c r="J539" s="7" t="s">
        <v>341</v>
      </c>
      <c r="K539" s="22"/>
      <c r="L539" s="22" t="n">
        <v>1</v>
      </c>
      <c r="M539" s="11" t="n">
        <v>15.56</v>
      </c>
      <c r="N539" s="11" t="n">
        <v>15.56</v>
      </c>
      <c r="O539" s="7"/>
      <c r="P539" s="11" t="n">
        <f aca="false">IF(J539="%mo","",IF(G539="MO",IF(J539="hh",INDEX(MO_HH,MATCH(I539,MO_CAT,0)),M539*P_FACT_IPC),IF(G539="SUBPART",IFERROR(INDEX(APU_SUBP!$C$7:$C$40,MATCH(H539,APU_SUBP!$A$7:$A$40,0)),M539*P_FACT_IPC),M539*P_FACT_IPC)))</f>
        <v>20.014763286389</v>
      </c>
      <c r="Q539" s="11" t="n">
        <f aca="false">IF(J539="%mo",L539/100*SUMIFS($R$7:$R$782,$A$7:$A$782,A539),L539*P539)</f>
        <v>20.014763286389</v>
      </c>
      <c r="R539" s="11" t="n">
        <f aca="false">IF(G539="MO",L539*P539,0)</f>
        <v>0</v>
      </c>
    </row>
    <row r="540" customFormat="false" ht="15" hidden="false" customHeight="false" outlineLevel="0" collapsed="false">
      <c r="A540" s="9" t="s">
        <v>698</v>
      </c>
      <c r="B540" s="9" t="s">
        <v>686</v>
      </c>
      <c r="C540" s="9" t="s">
        <v>339</v>
      </c>
      <c r="D540" s="9" t="s">
        <v>340</v>
      </c>
      <c r="E540" s="9" t="s">
        <v>341</v>
      </c>
      <c r="F540" s="10" t="n">
        <v>202.06</v>
      </c>
      <c r="G540" s="9" t="s">
        <v>274</v>
      </c>
      <c r="H540" s="9" t="s">
        <v>350</v>
      </c>
      <c r="I540" s="9" t="s">
        <v>351</v>
      </c>
      <c r="J540" s="9" t="s">
        <v>341</v>
      </c>
      <c r="K540" s="31"/>
      <c r="L540" s="31" t="n">
        <v>1</v>
      </c>
      <c r="M540" s="10" t="n">
        <v>12.45</v>
      </c>
      <c r="N540" s="10" t="n">
        <v>12.45</v>
      </c>
      <c r="O540" s="9"/>
      <c r="P540" s="11" t="n">
        <f aca="false">IF(J540="%mo","",IF(G540="MO",IF(J540="hh",INDEX(MO_HH,MATCH(I540,MO_CAT,0)),M540*P_FACT_IPC),IF(G540="SUBPART",IFERROR(INDEX(APU_SUBP!$C$7:$C$40,MATCH(H540,APU_SUBP!$A$7:$A$40,0)),M540*P_FACT_IPC),M540*P_FACT_IPC)))</f>
        <v>16.0143832207933</v>
      </c>
      <c r="Q540" s="11" t="n">
        <f aca="false">IF(J540="%mo",L540/100*SUMIFS($R$7:$R$782,$A$7:$A$782,A540),L540*P540)</f>
        <v>16.0143832207933</v>
      </c>
      <c r="R540" s="11" t="n">
        <f aca="false">IF(G540="MO",L540*P540,0)</f>
        <v>0</v>
      </c>
    </row>
    <row r="541" customFormat="false" ht="15" hidden="false" customHeight="false" outlineLevel="0" collapsed="false">
      <c r="A541" s="7" t="s">
        <v>698</v>
      </c>
      <c r="B541" s="7" t="s">
        <v>686</v>
      </c>
      <c r="C541" s="7" t="s">
        <v>339</v>
      </c>
      <c r="D541" s="7" t="s">
        <v>340</v>
      </c>
      <c r="E541" s="7" t="s">
        <v>341</v>
      </c>
      <c r="F541" s="11" t="n">
        <v>202.06</v>
      </c>
      <c r="G541" s="7" t="s">
        <v>274</v>
      </c>
      <c r="H541" s="7" t="s">
        <v>352</v>
      </c>
      <c r="I541" s="7" t="s">
        <v>353</v>
      </c>
      <c r="J541" s="7" t="s">
        <v>341</v>
      </c>
      <c r="K541" s="22"/>
      <c r="L541" s="22" t="n">
        <v>1</v>
      </c>
      <c r="M541" s="11" t="n">
        <v>27.78</v>
      </c>
      <c r="N541" s="11" t="n">
        <v>27.78</v>
      </c>
      <c r="O541" s="7"/>
      <c r="P541" s="11" t="n">
        <f aca="false">IF(J541="%mo","",IF(G541="MO",IF(J541="hh",INDEX(MO_HH,MATCH(I541,MO_CAT,0)),M541*P_FACT_IPC),IF(G541="SUBPART",IFERROR(INDEX(APU_SUBP!$C$7:$C$40,MATCH(H541,APU_SUBP!$A$7:$A$40,0)),M541*P_FACT_IPC),M541*P_FACT_IPC)))</f>
        <v>35.7332984637459</v>
      </c>
      <c r="Q541" s="11" t="n">
        <f aca="false">IF(J541="%mo",L541/100*SUMIFS($R$7:$R$782,$A$7:$A$782,A541),L541*P541)</f>
        <v>35.7332984637459</v>
      </c>
      <c r="R541" s="11" t="n">
        <f aca="false">IF(G541="MO",L541*P541,0)</f>
        <v>0</v>
      </c>
    </row>
    <row r="542" customFormat="false" ht="15" hidden="false" customHeight="false" outlineLevel="0" collapsed="false">
      <c r="A542" s="9" t="s">
        <v>698</v>
      </c>
      <c r="B542" s="9" t="s">
        <v>686</v>
      </c>
      <c r="C542" s="9" t="s">
        <v>339</v>
      </c>
      <c r="D542" s="9" t="s">
        <v>340</v>
      </c>
      <c r="E542" s="9" t="s">
        <v>341</v>
      </c>
      <c r="F542" s="10" t="n">
        <v>202.06</v>
      </c>
      <c r="G542" s="9" t="s">
        <v>274</v>
      </c>
      <c r="H542" s="9" t="s">
        <v>354</v>
      </c>
      <c r="I542" s="9" t="s">
        <v>355</v>
      </c>
      <c r="J542" s="9" t="s">
        <v>341</v>
      </c>
      <c r="K542" s="31"/>
      <c r="L542" s="31" t="n">
        <v>1</v>
      </c>
      <c r="M542" s="10" t="n">
        <v>25.63</v>
      </c>
      <c r="N542" s="10" t="n">
        <v>25.63</v>
      </c>
      <c r="O542" s="9"/>
      <c r="P542" s="11" t="n">
        <f aca="false">IF(J542="%mo","",IF(G542="MO",IF(J542="hh",INDEX(MO_HH,MATCH(I542,MO_CAT,0)),M542*P_FACT_IPC),IF(G542="SUBPART",IFERROR(INDEX(APU_SUBP!$C$7:$C$40,MATCH(H542,APU_SUBP!$A$7:$A$40,0)),M542*P_FACT_IPC),M542*P_FACT_IPC)))</f>
        <v>32.9677624055367</v>
      </c>
      <c r="Q542" s="11" t="n">
        <f aca="false">IF(J542="%mo",L542/100*SUMIFS($R$7:$R$782,$A$7:$A$782,A542),L542*P542)</f>
        <v>32.9677624055367</v>
      </c>
      <c r="R542" s="11" t="n">
        <f aca="false">IF(G542="MO",L542*P542,0)</f>
        <v>0</v>
      </c>
    </row>
    <row r="543" customFormat="false" ht="15" hidden="false" customHeight="false" outlineLevel="0" collapsed="false">
      <c r="A543" s="7" t="s">
        <v>699</v>
      </c>
      <c r="B543" s="7" t="s">
        <v>686</v>
      </c>
      <c r="C543" s="7" t="s">
        <v>357</v>
      </c>
      <c r="D543" s="7" t="s">
        <v>358</v>
      </c>
      <c r="E543" s="7" t="s">
        <v>16</v>
      </c>
      <c r="F543" s="11" t="n">
        <v>4445.55</v>
      </c>
      <c r="G543" s="7" t="s">
        <v>281</v>
      </c>
      <c r="H543" s="7" t="s">
        <v>282</v>
      </c>
      <c r="I543" s="7" t="s">
        <v>107</v>
      </c>
      <c r="J543" s="7" t="s">
        <v>283</v>
      </c>
      <c r="K543" s="22" t="n">
        <v>0.5</v>
      </c>
      <c r="L543" s="22" t="n">
        <v>4</v>
      </c>
      <c r="M543" s="11" t="n">
        <v>25.81</v>
      </c>
      <c r="N543" s="11" t="n">
        <v>103.24</v>
      </c>
      <c r="O543" s="7" t="s">
        <v>284</v>
      </c>
      <c r="P543" s="11" t="n">
        <f aca="false">IF(J543="%mo","",IF(G543="MO",IF(J543="hh",INDEX(MO_HH,MATCH(I543,MO_CAT,0)),M543*P_FACT_IPC),IF(G543="SUBPART",IFERROR(INDEX(APU_SUBP!$C$7:$C$40,MATCH(H543,APU_SUBP!$A$7:$A$40,0)),M543*P_FACT_IPC),M543*P_FACT_IPC)))</f>
        <v>19.226758045292</v>
      </c>
      <c r="Q543" s="11" t="n">
        <f aca="false">IF(J543="%mo",L543/100*SUMIFS($R$7:$R$782,$A$7:$A$782,A543),L543*P543)</f>
        <v>76.9070321811681</v>
      </c>
      <c r="R543" s="11" t="n">
        <f aca="false">IF(G543="MO",L543*P543,0)</f>
        <v>76.9070321811681</v>
      </c>
    </row>
    <row r="544" customFormat="false" ht="15" hidden="false" customHeight="false" outlineLevel="0" collapsed="false">
      <c r="A544" s="9" t="s">
        <v>699</v>
      </c>
      <c r="B544" s="9" t="s">
        <v>686</v>
      </c>
      <c r="C544" s="9" t="s">
        <v>357</v>
      </c>
      <c r="D544" s="9" t="s">
        <v>358</v>
      </c>
      <c r="E544" s="9" t="s">
        <v>16</v>
      </c>
      <c r="F544" s="10" t="n">
        <v>4445.55</v>
      </c>
      <c r="G544" s="9" t="s">
        <v>281</v>
      </c>
      <c r="H544" s="9" t="s">
        <v>306</v>
      </c>
      <c r="I544" s="9" t="s">
        <v>112</v>
      </c>
      <c r="J544" s="9" t="s">
        <v>283</v>
      </c>
      <c r="K544" s="31" t="n">
        <v>1</v>
      </c>
      <c r="L544" s="31" t="n">
        <v>8</v>
      </c>
      <c r="M544" s="10" t="n">
        <v>23.46</v>
      </c>
      <c r="N544" s="10" t="n">
        <v>187.68</v>
      </c>
      <c r="O544" s="9" t="s">
        <v>284</v>
      </c>
      <c r="P544" s="11" t="n">
        <f aca="false">IF(J544="%mo","",IF(G544="MO",IF(J544="hh",INDEX(MO_HH,MATCH(I544,MO_CAT,0)),M544*P_FACT_IPC),IF(G544="SUBPART",IFERROR(INDEX(APU_SUBP!$C$7:$C$40,MATCH(H544,APU_SUBP!$A$7:$A$40,0)),M544*P_FACT_IPC),M544*P_FACT_IPC)))</f>
        <v>17.4761620977354</v>
      </c>
      <c r="Q544" s="11" t="n">
        <f aca="false">IF(J544="%mo",L544/100*SUMIFS($R$7:$R$782,$A$7:$A$782,A544),L544*P544)</f>
        <v>139.809296781883</v>
      </c>
      <c r="R544" s="11" t="n">
        <f aca="false">IF(G544="MO",L544*P544,0)</f>
        <v>139.809296781883</v>
      </c>
    </row>
    <row r="545" customFormat="false" ht="15" hidden="false" customHeight="false" outlineLevel="0" collapsed="false">
      <c r="A545" s="7" t="s">
        <v>699</v>
      </c>
      <c r="B545" s="7" t="s">
        <v>686</v>
      </c>
      <c r="C545" s="7" t="s">
        <v>357</v>
      </c>
      <c r="D545" s="7" t="s">
        <v>358</v>
      </c>
      <c r="E545" s="7" t="s">
        <v>16</v>
      </c>
      <c r="F545" s="11" t="n">
        <v>4445.55</v>
      </c>
      <c r="G545" s="7" t="s">
        <v>281</v>
      </c>
      <c r="H545" s="7" t="s">
        <v>286</v>
      </c>
      <c r="I545" s="7" t="s">
        <v>122</v>
      </c>
      <c r="J545" s="7" t="s">
        <v>283</v>
      </c>
      <c r="K545" s="22" t="n">
        <v>4</v>
      </c>
      <c r="L545" s="22" t="n">
        <v>32</v>
      </c>
      <c r="M545" s="11" t="n">
        <v>16.78</v>
      </c>
      <c r="N545" s="11" t="n">
        <v>536.96</v>
      </c>
      <c r="O545" s="7" t="s">
        <v>287</v>
      </c>
      <c r="P545" s="11" t="n">
        <f aca="false">IF(J545="%mo","",IF(G545="MO",IF(J545="hh",INDEX(MO_HH,MATCH(I545,MO_CAT,0)),M545*P_FACT_IPC),IF(G545="SUBPART",IFERROR(INDEX(APU_SUBP!$C$7:$C$40,MATCH(H545,APU_SUBP!$A$7:$A$40,0)),M545*P_FACT_IPC),M545*P_FACT_IPC)))</f>
        <v>12.5</v>
      </c>
      <c r="Q545" s="11" t="n">
        <f aca="false">IF(J545="%mo",L545/100*SUMIFS($R$7:$R$782,$A$7:$A$782,A545),L545*P545)</f>
        <v>400</v>
      </c>
      <c r="R545" s="11" t="n">
        <f aca="false">IF(G545="MO",L545*P545,0)</f>
        <v>400</v>
      </c>
    </row>
    <row r="546" customFormat="false" ht="15" hidden="false" customHeight="false" outlineLevel="0" collapsed="false">
      <c r="A546" s="9" t="s">
        <v>699</v>
      </c>
      <c r="B546" s="9" t="s">
        <v>686</v>
      </c>
      <c r="C546" s="9" t="s">
        <v>357</v>
      </c>
      <c r="D546" s="9" t="s">
        <v>358</v>
      </c>
      <c r="E546" s="9" t="s">
        <v>16</v>
      </c>
      <c r="F546" s="10" t="n">
        <v>4445.55</v>
      </c>
      <c r="G546" s="9" t="s">
        <v>307</v>
      </c>
      <c r="H546" s="9" t="s">
        <v>359</v>
      </c>
      <c r="I546" s="9" t="s">
        <v>360</v>
      </c>
      <c r="J546" s="9" t="s">
        <v>361</v>
      </c>
      <c r="K546" s="31"/>
      <c r="L546" s="31" t="n">
        <v>0.85</v>
      </c>
      <c r="M546" s="10" t="n">
        <v>4.43</v>
      </c>
      <c r="N546" s="10" t="n">
        <v>3.77</v>
      </c>
      <c r="O546" s="9"/>
      <c r="P546" s="11" t="n">
        <f aca="false">IF(J546="%mo","",IF(G546="MO",IF(J546="hh",INDEX(MO_HH,MATCH(I546,MO_CAT,0)),M546*P_FACT_IPC),IF(G546="SUBPART",IFERROR(INDEX(APU_SUBP!$C$7:$C$40,MATCH(H546,APU_SUBP!$A$7:$A$40,0)),M546*P_FACT_IPC),M546*P_FACT_IPC)))</f>
        <v>5.69829057575214</v>
      </c>
      <c r="Q546" s="11" t="n">
        <f aca="false">IF(J546="%mo",L546/100*SUMIFS($R$7:$R$782,$A$7:$A$782,A546),L546*P546)</f>
        <v>4.84354698938932</v>
      </c>
      <c r="R546" s="11" t="n">
        <f aca="false">IF(G546="MO",L546*P546,0)</f>
        <v>0</v>
      </c>
    </row>
    <row r="547" customFormat="false" ht="15" hidden="false" customHeight="false" outlineLevel="0" collapsed="false">
      <c r="A547" s="7" t="s">
        <v>699</v>
      </c>
      <c r="B547" s="7" t="s">
        <v>686</v>
      </c>
      <c r="C547" s="7" t="s">
        <v>357</v>
      </c>
      <c r="D547" s="7" t="s">
        <v>358</v>
      </c>
      <c r="E547" s="7" t="s">
        <v>16</v>
      </c>
      <c r="F547" s="11" t="n">
        <v>4445.55</v>
      </c>
      <c r="G547" s="7" t="s">
        <v>307</v>
      </c>
      <c r="H547" s="7" t="s">
        <v>362</v>
      </c>
      <c r="I547" s="7" t="s">
        <v>363</v>
      </c>
      <c r="J547" s="7" t="s">
        <v>310</v>
      </c>
      <c r="K547" s="22"/>
      <c r="L547" s="22" t="n">
        <v>1.05</v>
      </c>
      <c r="M547" s="11" t="n">
        <v>24.68</v>
      </c>
      <c r="N547" s="11" t="n">
        <v>25.91</v>
      </c>
      <c r="O547" s="7"/>
      <c r="P547" s="11" t="n">
        <f aca="false">IF(J547="%mo","",IF(G547="MO",IF(J547="hh",INDEX(MO_HH,MATCH(I547,MO_CAT,0)),M547*P_FACT_IPC),IF(G547="SUBPART",IFERROR(INDEX(APU_SUBP!$C$7:$C$40,MATCH(H547,APU_SUBP!$A$7:$A$40,0)),M547*P_FACT_IPC),M547*P_FACT_IPC)))</f>
        <v>31.7457813565605</v>
      </c>
      <c r="Q547" s="11" t="n">
        <f aca="false">IF(J547="%mo",L547/100*SUMIFS($R$7:$R$782,$A$7:$A$782,A547),L547*P547)</f>
        <v>33.3330704243885</v>
      </c>
      <c r="R547" s="11" t="n">
        <f aca="false">IF(G547="MO",L547*P547,0)</f>
        <v>0</v>
      </c>
    </row>
    <row r="548" customFormat="false" ht="15" hidden="false" customHeight="false" outlineLevel="0" collapsed="false">
      <c r="A548" s="9" t="s">
        <v>699</v>
      </c>
      <c r="B548" s="9" t="s">
        <v>686</v>
      </c>
      <c r="C548" s="9" t="s">
        <v>357</v>
      </c>
      <c r="D548" s="9" t="s">
        <v>358</v>
      </c>
      <c r="E548" s="9" t="s">
        <v>16</v>
      </c>
      <c r="F548" s="10" t="n">
        <v>4445.55</v>
      </c>
      <c r="G548" s="9" t="s">
        <v>307</v>
      </c>
      <c r="H548" s="9" t="s">
        <v>364</v>
      </c>
      <c r="I548" s="9" t="s">
        <v>365</v>
      </c>
      <c r="J548" s="9" t="s">
        <v>316</v>
      </c>
      <c r="K548" s="31"/>
      <c r="L548" s="31" t="n">
        <v>70</v>
      </c>
      <c r="M548" s="10" t="n">
        <v>4.13</v>
      </c>
      <c r="N548" s="10" t="n">
        <v>289.1</v>
      </c>
      <c r="O548" s="9"/>
      <c r="P548" s="11" t="n">
        <f aca="false">IF(J548="%mo","",IF(G548="MO",IF(J548="hh",INDEX(MO_HH,MATCH(I548,MO_CAT,0)),M548*P_FACT_IPC),IF(G548="SUBPART",IFERROR(INDEX(APU_SUBP!$C$7:$C$40,MATCH(H548,APU_SUBP!$A$7:$A$40,0)),M548*P_FACT_IPC),M548*P_FACT_IPC)))</f>
        <v>5.31240182344387</v>
      </c>
      <c r="Q548" s="11" t="n">
        <f aca="false">IF(J548="%mo",L548/100*SUMIFS($R$7:$R$782,$A$7:$A$782,A548),L548*P548)</f>
        <v>371.868127641071</v>
      </c>
      <c r="R548" s="11" t="n">
        <f aca="false">IF(G548="MO",L548*P548,0)</f>
        <v>0</v>
      </c>
    </row>
    <row r="549" customFormat="false" ht="15" hidden="false" customHeight="false" outlineLevel="0" collapsed="false">
      <c r="A549" s="7" t="s">
        <v>699</v>
      </c>
      <c r="B549" s="7" t="s">
        <v>686</v>
      </c>
      <c r="C549" s="7" t="s">
        <v>357</v>
      </c>
      <c r="D549" s="7" t="s">
        <v>358</v>
      </c>
      <c r="E549" s="7" t="s">
        <v>16</v>
      </c>
      <c r="F549" s="11" t="n">
        <v>4445.55</v>
      </c>
      <c r="G549" s="7" t="s">
        <v>307</v>
      </c>
      <c r="H549" s="7" t="s">
        <v>317</v>
      </c>
      <c r="I549" s="7" t="s">
        <v>318</v>
      </c>
      <c r="J549" s="7" t="s">
        <v>319</v>
      </c>
      <c r="K549" s="22"/>
      <c r="L549" s="22" t="n">
        <v>0.25</v>
      </c>
      <c r="M549" s="11" t="n">
        <v>34.07</v>
      </c>
      <c r="N549" s="11" t="n">
        <v>8.52</v>
      </c>
      <c r="O549" s="7"/>
      <c r="P549" s="11" t="n">
        <f aca="false">IF(J549="%mo","",IF(G549="MO",IF(J549="hh",INDEX(MO_HH,MATCH(I549,MO_CAT,0)),M549*P_FACT_IPC),IF(G549="SUBPART",IFERROR(INDEX(APU_SUBP!$C$7:$C$40,MATCH(H549,APU_SUBP!$A$7:$A$40,0)),M549*P_FACT_IPC),M549*P_FACT_IPC)))</f>
        <v>43.8240993038094</v>
      </c>
      <c r="Q549" s="11" t="n">
        <f aca="false">IF(J549="%mo",L549/100*SUMIFS($R$7:$R$782,$A$7:$A$782,A549),L549*P549)</f>
        <v>10.9560248259523</v>
      </c>
      <c r="R549" s="11" t="n">
        <f aca="false">IF(G549="MO",L549*P549,0)</f>
        <v>0</v>
      </c>
    </row>
    <row r="550" customFormat="false" ht="15" hidden="false" customHeight="false" outlineLevel="0" collapsed="false">
      <c r="A550" s="9" t="s">
        <v>699</v>
      </c>
      <c r="B550" s="9" t="s">
        <v>686</v>
      </c>
      <c r="C550" s="9" t="s">
        <v>357</v>
      </c>
      <c r="D550" s="9" t="s">
        <v>358</v>
      </c>
      <c r="E550" s="9" t="s">
        <v>16</v>
      </c>
      <c r="F550" s="10" t="n">
        <v>4445.55</v>
      </c>
      <c r="G550" s="9" t="s">
        <v>307</v>
      </c>
      <c r="H550" s="9" t="s">
        <v>366</v>
      </c>
      <c r="I550" s="9" t="s">
        <v>367</v>
      </c>
      <c r="J550" s="9" t="s">
        <v>16</v>
      </c>
      <c r="K550" s="31"/>
      <c r="L550" s="31" t="n">
        <v>15</v>
      </c>
      <c r="M550" s="10" t="n">
        <v>3.01</v>
      </c>
      <c r="N550" s="10" t="n">
        <v>45.15</v>
      </c>
      <c r="O550" s="9"/>
      <c r="P550" s="11" t="n">
        <f aca="false">IF(J550="%mo","",IF(G550="MO",IF(J550="hh",INDEX(MO_HH,MATCH(I550,MO_CAT,0)),M550*P_FACT_IPC),IF(G550="SUBPART",IFERROR(INDEX(APU_SUBP!$C$7:$C$40,MATCH(H550,APU_SUBP!$A$7:$A$40,0)),M550*P_FACT_IPC),M550*P_FACT_IPC)))</f>
        <v>3.87175048149299</v>
      </c>
      <c r="Q550" s="11" t="n">
        <f aca="false">IF(J550="%mo",L550/100*SUMIFS($R$7:$R$782,$A$7:$A$782,A550),L550*P550)</f>
        <v>58.0762572223949</v>
      </c>
      <c r="R550" s="11" t="n">
        <f aca="false">IF(G550="MO",L550*P550,0)</f>
        <v>0</v>
      </c>
    </row>
    <row r="551" customFormat="false" ht="15" hidden="false" customHeight="false" outlineLevel="0" collapsed="false">
      <c r="A551" s="7" t="s">
        <v>699</v>
      </c>
      <c r="B551" s="7" t="s">
        <v>686</v>
      </c>
      <c r="C551" s="7" t="s">
        <v>357</v>
      </c>
      <c r="D551" s="7" t="s">
        <v>358</v>
      </c>
      <c r="E551" s="7" t="s">
        <v>16</v>
      </c>
      <c r="F551" s="11" t="n">
        <v>4445.55</v>
      </c>
      <c r="G551" s="7" t="s">
        <v>288</v>
      </c>
      <c r="H551" s="7" t="s">
        <v>327</v>
      </c>
      <c r="I551" s="7" t="s">
        <v>328</v>
      </c>
      <c r="J551" s="7" t="s">
        <v>329</v>
      </c>
      <c r="K551" s="22"/>
      <c r="L551" s="22" t="n">
        <v>3</v>
      </c>
      <c r="M551" s="11" t="n">
        <v>827.88</v>
      </c>
      <c r="N551" s="11" t="n">
        <v>24.84</v>
      </c>
      <c r="O551" s="7"/>
      <c r="P551" s="11" t="str">
        <f aca="false">IF(J551="%mo","",IF(G551="MO",IF(J551="hh",INDEX(MO_HH,MATCH(I551,MO_CAT,0)),M551*P_FACT_IPC),IF(G551="SUBPART",IFERROR(INDEX(APU_SUBP!$C$7:$C$40,MATCH(H551,APU_SUBP!$A$7:$A$40,0)),M551*P_FACT_IPC),M551*P_FACT_IPC)))</f>
        <v/>
      </c>
      <c r="Q551" s="11" t="n">
        <f aca="false">IF(J551="%mo",L551/100*SUMIFS($R$7:$R$782,$A$7:$A$782,A551),L551*P551)</f>
        <v>18.5014898688915</v>
      </c>
      <c r="R551" s="11" t="n">
        <f aca="false">IF(G551="MO",L551*P551,0)</f>
        <v>0</v>
      </c>
    </row>
    <row r="552" customFormat="false" ht="15" hidden="false" customHeight="false" outlineLevel="0" collapsed="false">
      <c r="A552" s="9" t="s">
        <v>699</v>
      </c>
      <c r="B552" s="9" t="s">
        <v>686</v>
      </c>
      <c r="C552" s="9" t="s">
        <v>357</v>
      </c>
      <c r="D552" s="9" t="s">
        <v>358</v>
      </c>
      <c r="E552" s="9" t="s">
        <v>16</v>
      </c>
      <c r="F552" s="10" t="n">
        <v>4445.55</v>
      </c>
      <c r="G552" s="9" t="s">
        <v>274</v>
      </c>
      <c r="H552" s="9" t="s">
        <v>368</v>
      </c>
      <c r="I552" s="9" t="s">
        <v>369</v>
      </c>
      <c r="J552" s="9" t="s">
        <v>277</v>
      </c>
      <c r="K552" s="31"/>
      <c r="L552" s="31" t="n">
        <v>1</v>
      </c>
      <c r="M552" s="10" t="n">
        <v>3200</v>
      </c>
      <c r="N552" s="10" t="n">
        <v>3200</v>
      </c>
      <c r="O552" s="9"/>
      <c r="P552" s="11" t="n">
        <f aca="false">IF(J552="%mo","",IF(G552="MO",IF(J552="hh",INDEX(MO_HH,MATCH(I552,MO_CAT,0)),M552*P_FACT_IPC),IF(G552="SUBPART",IFERROR(INDEX(APU_SUBP!$C$7:$C$40,MATCH(H552,APU_SUBP!$A$7:$A$40,0)),M552*P_FACT_IPC),M552*P_FACT_IPC)))</f>
        <v>4116.14669128823</v>
      </c>
      <c r="Q552" s="11" t="n">
        <f aca="false">IF(J552="%mo",L552/100*SUMIFS($R$7:$R$782,$A$7:$A$782,A552),L552*P552)</f>
        <v>4116.14669128823</v>
      </c>
      <c r="R552" s="11" t="n">
        <f aca="false">IF(G552="MO",L552*P552,0)</f>
        <v>0</v>
      </c>
    </row>
    <row r="553" customFormat="false" ht="15" hidden="false" customHeight="false" outlineLevel="0" collapsed="false">
      <c r="A553" s="7" t="s">
        <v>699</v>
      </c>
      <c r="B553" s="7" t="s">
        <v>686</v>
      </c>
      <c r="C553" s="7" t="s">
        <v>357</v>
      </c>
      <c r="D553" s="7" t="s">
        <v>358</v>
      </c>
      <c r="E553" s="7" t="s">
        <v>16</v>
      </c>
      <c r="F553" s="11" t="n">
        <v>4445.55</v>
      </c>
      <c r="G553" s="7" t="s">
        <v>370</v>
      </c>
      <c r="H553" s="7" t="s">
        <v>371</v>
      </c>
      <c r="I553" s="7" t="s">
        <v>372</v>
      </c>
      <c r="J553" s="7" t="s">
        <v>273</v>
      </c>
      <c r="K553" s="22"/>
      <c r="L553" s="22" t="n">
        <v>0.36</v>
      </c>
      <c r="M553" s="11" t="n">
        <v>56.6</v>
      </c>
      <c r="N553" s="11" t="n">
        <v>20.38</v>
      </c>
      <c r="O553" s="7"/>
      <c r="P553" s="11" t="n">
        <f aca="false">IF(J553="%mo","",IF(G553="MO",IF(J553="hh",INDEX(MO_HH,MATCH(I553,MO_CAT,0)),M553*P_FACT_IPC),IF(G553="SUBPART",IFERROR(INDEX(APU_SUBP!$C$7:$C$40,MATCH(H553,APU_SUBP!$A$7:$A$40,0)),M553*P_FACT_IPC),M553*P_FACT_IPC)))</f>
        <v>69.1425112769682</v>
      </c>
      <c r="Q553" s="11" t="n">
        <f aca="false">IF(J553="%mo",L553/100*SUMIFS($R$7:$R$782,$A$7:$A$782,A553),L553*P553)</f>
        <v>24.8913040597086</v>
      </c>
      <c r="R553" s="11" t="n">
        <f aca="false">IF(G553="MO",L553*P553,0)</f>
        <v>0</v>
      </c>
    </row>
    <row r="554" customFormat="false" ht="15" hidden="false" customHeight="false" outlineLevel="0" collapsed="false">
      <c r="A554" s="9" t="s">
        <v>700</v>
      </c>
      <c r="B554" s="9" t="s">
        <v>686</v>
      </c>
      <c r="C554" s="9" t="s">
        <v>374</v>
      </c>
      <c r="D554" s="9" t="s">
        <v>701</v>
      </c>
      <c r="E554" s="9" t="s">
        <v>18</v>
      </c>
      <c r="F554" s="10" t="n">
        <v>3393.35</v>
      </c>
      <c r="G554" s="9" t="s">
        <v>281</v>
      </c>
      <c r="H554" s="9" t="s">
        <v>282</v>
      </c>
      <c r="I554" s="9" t="s">
        <v>107</v>
      </c>
      <c r="J554" s="9" t="s">
        <v>283</v>
      </c>
      <c r="K554" s="31" t="n">
        <v>1</v>
      </c>
      <c r="L554" s="31" t="n">
        <v>3.8095</v>
      </c>
      <c r="M554" s="10" t="n">
        <v>25.81</v>
      </c>
      <c r="N554" s="10" t="n">
        <v>98.32</v>
      </c>
      <c r="O554" s="9" t="s">
        <v>284</v>
      </c>
      <c r="P554" s="11" t="n">
        <f aca="false">IF(J554="%mo","",IF(G554="MO",IF(J554="hh",INDEX(MO_HH,MATCH(I554,MO_CAT,0)),M554*P_FACT_IPC),IF(G554="SUBPART",IFERROR(INDEX(APU_SUBP!$C$7:$C$40,MATCH(H554,APU_SUBP!$A$7:$A$40,0)),M554*P_FACT_IPC),M554*P_FACT_IPC)))</f>
        <v>19.226758045292</v>
      </c>
      <c r="Q554" s="11" t="n">
        <f aca="false">IF(J554="%mo",L554/100*SUMIFS($R$7:$R$782,$A$7:$A$782,A554),L554*P554)</f>
        <v>73.2443347735399</v>
      </c>
      <c r="R554" s="11" t="n">
        <f aca="false">IF(G554="MO",L554*P554,0)</f>
        <v>73.2443347735399</v>
      </c>
    </row>
    <row r="555" customFormat="false" ht="15" hidden="false" customHeight="false" outlineLevel="0" collapsed="false">
      <c r="A555" s="7" t="s">
        <v>700</v>
      </c>
      <c r="B555" s="7" t="s">
        <v>686</v>
      </c>
      <c r="C555" s="7" t="s">
        <v>374</v>
      </c>
      <c r="D555" s="7" t="s">
        <v>701</v>
      </c>
      <c r="E555" s="7" t="s">
        <v>18</v>
      </c>
      <c r="F555" s="11" t="n">
        <v>3393.35</v>
      </c>
      <c r="G555" s="7" t="s">
        <v>281</v>
      </c>
      <c r="H555" s="7" t="s">
        <v>286</v>
      </c>
      <c r="I555" s="7" t="s">
        <v>122</v>
      </c>
      <c r="J555" s="7" t="s">
        <v>283</v>
      </c>
      <c r="K555" s="22" t="n">
        <v>50</v>
      </c>
      <c r="L555" s="22" t="n">
        <v>190.4762</v>
      </c>
      <c r="M555" s="11" t="n">
        <v>16.78</v>
      </c>
      <c r="N555" s="11" t="n">
        <v>3196.19</v>
      </c>
      <c r="O555" s="7" t="s">
        <v>287</v>
      </c>
      <c r="P555" s="11" t="n">
        <f aca="false">IF(J555="%mo","",IF(G555="MO",IF(J555="hh",INDEX(MO_HH,MATCH(I555,MO_CAT,0)),M555*P_FACT_IPC),IF(G555="SUBPART",IFERROR(INDEX(APU_SUBP!$C$7:$C$40,MATCH(H555,APU_SUBP!$A$7:$A$40,0)),M555*P_FACT_IPC),M555*P_FACT_IPC)))</f>
        <v>12.5</v>
      </c>
      <c r="Q555" s="11" t="n">
        <f aca="false">IF(J555="%mo",L555/100*SUMIFS($R$7:$R$782,$A$7:$A$782,A555),L555*P555)</f>
        <v>2380.9525</v>
      </c>
      <c r="R555" s="11" t="n">
        <f aca="false">IF(G555="MO",L555*P555,0)</f>
        <v>2380.9525</v>
      </c>
    </row>
    <row r="556" customFormat="false" ht="15" hidden="false" customHeight="false" outlineLevel="0" collapsed="false">
      <c r="A556" s="9" t="s">
        <v>700</v>
      </c>
      <c r="B556" s="9" t="s">
        <v>686</v>
      </c>
      <c r="C556" s="9" t="s">
        <v>374</v>
      </c>
      <c r="D556" s="9" t="s">
        <v>701</v>
      </c>
      <c r="E556" s="9" t="s">
        <v>18</v>
      </c>
      <c r="F556" s="10" t="n">
        <v>3393.35</v>
      </c>
      <c r="G556" s="9" t="s">
        <v>288</v>
      </c>
      <c r="H556" s="9" t="s">
        <v>327</v>
      </c>
      <c r="I556" s="9" t="s">
        <v>328</v>
      </c>
      <c r="J556" s="9" t="s">
        <v>329</v>
      </c>
      <c r="K556" s="31"/>
      <c r="L556" s="31" t="n">
        <v>3</v>
      </c>
      <c r="M556" s="10" t="n">
        <v>3294.51</v>
      </c>
      <c r="N556" s="10" t="n">
        <v>98.84</v>
      </c>
      <c r="O556" s="9"/>
      <c r="P556" s="11" t="str">
        <f aca="false">IF(J556="%mo","",IF(G556="MO",IF(J556="hh",INDEX(MO_HH,MATCH(I556,MO_CAT,0)),M556*P_FACT_IPC),IF(G556="SUBPART",IFERROR(INDEX(APU_SUBP!$C$7:$C$40,MATCH(H556,APU_SUBP!$A$7:$A$40,0)),M556*P_FACT_IPC),M556*P_FACT_IPC)))</f>
        <v/>
      </c>
      <c r="Q556" s="11" t="n">
        <f aca="false">IF(J556="%mo",L556/100*SUMIFS($R$7:$R$782,$A$7:$A$782,A556),L556*P556)</f>
        <v>73.6259050432062</v>
      </c>
      <c r="R556" s="11" t="n">
        <f aca="false">IF(G556="MO",L556*P556,0)</f>
        <v>0</v>
      </c>
    </row>
    <row r="557" customFormat="false" ht="15" hidden="false" customHeight="false" outlineLevel="0" collapsed="false">
      <c r="A557" s="7" t="s">
        <v>702</v>
      </c>
      <c r="B557" s="7" t="s">
        <v>686</v>
      </c>
      <c r="C557" s="7" t="s">
        <v>377</v>
      </c>
      <c r="D557" s="7" t="s">
        <v>703</v>
      </c>
      <c r="E557" s="7" t="s">
        <v>341</v>
      </c>
      <c r="F557" s="11" t="n">
        <v>1.42</v>
      </c>
      <c r="G557" s="7" t="s">
        <v>281</v>
      </c>
      <c r="H557" s="7" t="s">
        <v>282</v>
      </c>
      <c r="I557" s="7" t="s">
        <v>107</v>
      </c>
      <c r="J557" s="7" t="s">
        <v>283</v>
      </c>
      <c r="K557" s="22" t="n">
        <v>0.1</v>
      </c>
      <c r="L557" s="22" t="n">
        <v>0.0038</v>
      </c>
      <c r="M557" s="11" t="n">
        <v>25.81</v>
      </c>
      <c r="N557" s="11" t="n">
        <v>0.1</v>
      </c>
      <c r="O557" s="7" t="s">
        <v>284</v>
      </c>
      <c r="P557" s="11" t="n">
        <f aca="false">IF(J557="%mo","",IF(G557="MO",IF(J557="hh",INDEX(MO_HH,MATCH(I557,MO_CAT,0)),M557*P_FACT_IPC),IF(G557="SUBPART",IFERROR(INDEX(APU_SUBP!$C$7:$C$40,MATCH(H557,APU_SUBP!$A$7:$A$40,0)),M557*P_FACT_IPC),M557*P_FACT_IPC)))</f>
        <v>19.226758045292</v>
      </c>
      <c r="Q557" s="11" t="n">
        <f aca="false">IF(J557="%mo",L557/100*SUMIFS($R$7:$R$782,$A$7:$A$782,A557),L557*P557)</f>
        <v>0.0730616805721096</v>
      </c>
      <c r="R557" s="11" t="n">
        <f aca="false">IF(G557="MO",L557*P557,0)</f>
        <v>0.0730616805721096</v>
      </c>
    </row>
    <row r="558" customFormat="false" ht="15" hidden="false" customHeight="false" outlineLevel="0" collapsed="false">
      <c r="A558" s="9" t="s">
        <v>702</v>
      </c>
      <c r="B558" s="9" t="s">
        <v>686</v>
      </c>
      <c r="C558" s="9" t="s">
        <v>377</v>
      </c>
      <c r="D558" s="9" t="s">
        <v>703</v>
      </c>
      <c r="E558" s="9" t="s">
        <v>341</v>
      </c>
      <c r="F558" s="10" t="n">
        <v>1.42</v>
      </c>
      <c r="G558" s="9" t="s">
        <v>281</v>
      </c>
      <c r="H558" s="9" t="s">
        <v>286</v>
      </c>
      <c r="I558" s="9" t="s">
        <v>122</v>
      </c>
      <c r="J558" s="9" t="s">
        <v>283</v>
      </c>
      <c r="K558" s="31" t="n">
        <v>2</v>
      </c>
      <c r="L558" s="31" t="n">
        <v>0.0762</v>
      </c>
      <c r="M558" s="10" t="n">
        <v>16.78</v>
      </c>
      <c r="N558" s="10" t="n">
        <v>1.28</v>
      </c>
      <c r="O558" s="9" t="s">
        <v>287</v>
      </c>
      <c r="P558" s="11" t="n">
        <f aca="false">IF(J558="%mo","",IF(G558="MO",IF(J558="hh",INDEX(MO_HH,MATCH(I558,MO_CAT,0)),M558*P_FACT_IPC),IF(G558="SUBPART",IFERROR(INDEX(APU_SUBP!$C$7:$C$40,MATCH(H558,APU_SUBP!$A$7:$A$40,0)),M558*P_FACT_IPC),M558*P_FACT_IPC)))</f>
        <v>12.5</v>
      </c>
      <c r="Q558" s="11" t="n">
        <f aca="false">IF(J558="%mo",L558/100*SUMIFS($R$7:$R$782,$A$7:$A$782,A558),L558*P558)</f>
        <v>0.9525</v>
      </c>
      <c r="R558" s="11" t="n">
        <f aca="false">IF(G558="MO",L558*P558,0)</f>
        <v>0.9525</v>
      </c>
    </row>
    <row r="559" customFormat="false" ht="15" hidden="false" customHeight="false" outlineLevel="0" collapsed="false">
      <c r="A559" s="7" t="s">
        <v>702</v>
      </c>
      <c r="B559" s="7" t="s">
        <v>686</v>
      </c>
      <c r="C559" s="7" t="s">
        <v>377</v>
      </c>
      <c r="D559" s="7" t="s">
        <v>703</v>
      </c>
      <c r="E559" s="7" t="s">
        <v>341</v>
      </c>
      <c r="F559" s="11" t="n">
        <v>1.42</v>
      </c>
      <c r="G559" s="7" t="s">
        <v>288</v>
      </c>
      <c r="H559" s="7" t="s">
        <v>327</v>
      </c>
      <c r="I559" s="7" t="s">
        <v>328</v>
      </c>
      <c r="J559" s="7" t="s">
        <v>329</v>
      </c>
      <c r="K559" s="22"/>
      <c r="L559" s="22" t="n">
        <v>3</v>
      </c>
      <c r="M559" s="11" t="n">
        <v>1.38</v>
      </c>
      <c r="N559" s="11" t="n">
        <v>0.04</v>
      </c>
      <c r="O559" s="7"/>
      <c r="P559" s="11" t="str">
        <f aca="false">IF(J559="%mo","",IF(G559="MO",IF(J559="hh",INDEX(MO_HH,MATCH(I559,MO_CAT,0)),M559*P_FACT_IPC),IF(G559="SUBPART",IFERROR(INDEX(APU_SUBP!$C$7:$C$40,MATCH(H559,APU_SUBP!$A$7:$A$40,0)),M559*P_FACT_IPC),M559*P_FACT_IPC)))</f>
        <v/>
      </c>
      <c r="Q559" s="11" t="n">
        <f aca="false">IF(J559="%mo",L559/100*SUMIFS($R$7:$R$782,$A$7:$A$782,A559),L559*P559)</f>
        <v>0.0307668504171633</v>
      </c>
      <c r="R559" s="11" t="n">
        <f aca="false">IF(G559="MO",L559*P559,0)</f>
        <v>0</v>
      </c>
    </row>
    <row r="560" customFormat="false" ht="15" hidden="false" customHeight="false" outlineLevel="0" collapsed="false">
      <c r="A560" s="9" t="s">
        <v>704</v>
      </c>
      <c r="B560" s="9" t="s">
        <v>686</v>
      </c>
      <c r="C560" s="9" t="s">
        <v>380</v>
      </c>
      <c r="D560" s="9" t="s">
        <v>705</v>
      </c>
      <c r="E560" s="9" t="s">
        <v>273</v>
      </c>
      <c r="F560" s="10" t="n">
        <v>69.35</v>
      </c>
      <c r="G560" s="9" t="s">
        <v>281</v>
      </c>
      <c r="H560" s="9" t="s">
        <v>282</v>
      </c>
      <c r="I560" s="9" t="s">
        <v>107</v>
      </c>
      <c r="J560" s="9" t="s">
        <v>283</v>
      </c>
      <c r="K560" s="31" t="n">
        <v>0.1</v>
      </c>
      <c r="L560" s="31" t="n">
        <v>0.1778</v>
      </c>
      <c r="M560" s="10" t="n">
        <v>25.81</v>
      </c>
      <c r="N560" s="10" t="n">
        <v>4.59</v>
      </c>
      <c r="O560" s="9" t="s">
        <v>284</v>
      </c>
      <c r="P560" s="11" t="n">
        <f aca="false">IF(J560="%mo","",IF(G560="MO",IF(J560="hh",INDEX(MO_HH,MATCH(I560,MO_CAT,0)),M560*P_FACT_IPC),IF(G560="SUBPART",IFERROR(INDEX(APU_SUBP!$C$7:$C$40,MATCH(H560,APU_SUBP!$A$7:$A$40,0)),M560*P_FACT_IPC),M560*P_FACT_IPC)))</f>
        <v>19.226758045292</v>
      </c>
      <c r="Q560" s="11" t="n">
        <f aca="false">IF(J560="%mo",L560/100*SUMIFS($R$7:$R$782,$A$7:$A$782,A560),L560*P560)</f>
        <v>3.41851758045292</v>
      </c>
      <c r="R560" s="11" t="n">
        <f aca="false">IF(G560="MO",L560*P560,0)</f>
        <v>3.41851758045292</v>
      </c>
    </row>
    <row r="561" customFormat="false" ht="15" hidden="false" customHeight="false" outlineLevel="0" collapsed="false">
      <c r="A561" s="7" t="s">
        <v>704</v>
      </c>
      <c r="B561" s="7" t="s">
        <v>686</v>
      </c>
      <c r="C561" s="7" t="s">
        <v>380</v>
      </c>
      <c r="D561" s="7" t="s">
        <v>705</v>
      </c>
      <c r="E561" s="7" t="s">
        <v>273</v>
      </c>
      <c r="F561" s="11" t="n">
        <v>69.35</v>
      </c>
      <c r="G561" s="7" t="s">
        <v>281</v>
      </c>
      <c r="H561" s="7" t="s">
        <v>286</v>
      </c>
      <c r="I561" s="7" t="s">
        <v>122</v>
      </c>
      <c r="J561" s="7" t="s">
        <v>283</v>
      </c>
      <c r="K561" s="22" t="n">
        <v>2</v>
      </c>
      <c r="L561" s="22" t="n">
        <v>3.5556</v>
      </c>
      <c r="M561" s="11" t="n">
        <v>16.78</v>
      </c>
      <c r="N561" s="11" t="n">
        <v>59.66</v>
      </c>
      <c r="O561" s="7" t="s">
        <v>287</v>
      </c>
      <c r="P561" s="11" t="n">
        <f aca="false">IF(J561="%mo","",IF(G561="MO",IF(J561="hh",INDEX(MO_HH,MATCH(I561,MO_CAT,0)),M561*P_FACT_IPC),IF(G561="SUBPART",IFERROR(INDEX(APU_SUBP!$C$7:$C$40,MATCH(H561,APU_SUBP!$A$7:$A$40,0)),M561*P_FACT_IPC),M561*P_FACT_IPC)))</f>
        <v>12.5</v>
      </c>
      <c r="Q561" s="11" t="n">
        <f aca="false">IF(J561="%mo",L561/100*SUMIFS($R$7:$R$782,$A$7:$A$782,A561),L561*P561)</f>
        <v>44.445</v>
      </c>
      <c r="R561" s="11" t="n">
        <f aca="false">IF(G561="MO",L561*P561,0)</f>
        <v>44.445</v>
      </c>
    </row>
    <row r="562" customFormat="false" ht="15" hidden="false" customHeight="false" outlineLevel="0" collapsed="false">
      <c r="A562" s="9" t="s">
        <v>704</v>
      </c>
      <c r="B562" s="9" t="s">
        <v>686</v>
      </c>
      <c r="C562" s="9" t="s">
        <v>380</v>
      </c>
      <c r="D562" s="9" t="s">
        <v>705</v>
      </c>
      <c r="E562" s="9" t="s">
        <v>273</v>
      </c>
      <c r="F562" s="10" t="n">
        <v>69.35</v>
      </c>
      <c r="G562" s="9" t="s">
        <v>288</v>
      </c>
      <c r="H562" s="9" t="s">
        <v>327</v>
      </c>
      <c r="I562" s="9" t="s">
        <v>328</v>
      </c>
      <c r="J562" s="9" t="s">
        <v>329</v>
      </c>
      <c r="K562" s="31"/>
      <c r="L562" s="31" t="n">
        <v>3</v>
      </c>
      <c r="M562" s="10" t="n">
        <v>64.25</v>
      </c>
      <c r="N562" s="10" t="n">
        <v>1.93</v>
      </c>
      <c r="O562" s="9"/>
      <c r="P562" s="11" t="str">
        <f aca="false">IF(J562="%mo","",IF(G562="MO",IF(J562="hh",INDEX(MO_HH,MATCH(I562,MO_CAT,0)),M562*P_FACT_IPC),IF(G562="SUBPART",IFERROR(INDEX(APU_SUBP!$C$7:$C$40,MATCH(H562,APU_SUBP!$A$7:$A$40,0)),M562*P_FACT_IPC),M562*P_FACT_IPC)))</f>
        <v/>
      </c>
      <c r="Q562" s="11" t="n">
        <f aca="false">IF(J562="%mo",L562/100*SUMIFS($R$7:$R$782,$A$7:$A$782,A562),L562*P562)</f>
        <v>1.43590552741359</v>
      </c>
      <c r="R562" s="11" t="n">
        <f aca="false">IF(G562="MO",L562*P562,0)</f>
        <v>0</v>
      </c>
    </row>
    <row r="563" customFormat="false" ht="15" hidden="false" customHeight="false" outlineLevel="0" collapsed="false">
      <c r="A563" s="7" t="s">
        <v>704</v>
      </c>
      <c r="B563" s="7" t="s">
        <v>686</v>
      </c>
      <c r="C563" s="7" t="s">
        <v>380</v>
      </c>
      <c r="D563" s="7" t="s">
        <v>705</v>
      </c>
      <c r="E563" s="7" t="s">
        <v>273</v>
      </c>
      <c r="F563" s="11" t="n">
        <v>69.35</v>
      </c>
      <c r="G563" s="7" t="s">
        <v>370</v>
      </c>
      <c r="H563" s="7" t="s">
        <v>415</v>
      </c>
      <c r="I563" s="7" t="s">
        <v>416</v>
      </c>
      <c r="J563" s="7" t="s">
        <v>273</v>
      </c>
      <c r="K563" s="22"/>
      <c r="L563" s="22" t="n">
        <v>0.15</v>
      </c>
      <c r="M563" s="11" t="n">
        <v>21.15</v>
      </c>
      <c r="N563" s="11" t="n">
        <v>3.17</v>
      </c>
      <c r="O563" s="7"/>
      <c r="P563" s="11" t="n">
        <f aca="false">IF(J563="%mo","",IF(G563="MO",IF(J563="hh",INDEX(MO_HH,MATCH(I563,MO_CAT,0)),M563*P_FACT_IPC),IF(G563="SUBPART",IFERROR(INDEX(APU_SUBP!$C$7:$C$40,MATCH(H563,APU_SUBP!$A$7:$A$40,0)),M563*P_FACT_IPC),M563*P_FACT_IPC)))</f>
        <v>22.7438822970285</v>
      </c>
      <c r="Q563" s="11" t="n">
        <f aca="false">IF(J563="%mo",L563/100*SUMIFS($R$7:$R$782,$A$7:$A$782,A563),L563*P563)</f>
        <v>3.41158234455427</v>
      </c>
      <c r="R563" s="11" t="n">
        <f aca="false">IF(G563="MO",L563*P563,0)</f>
        <v>0</v>
      </c>
    </row>
    <row r="564" customFormat="false" ht="15" hidden="false" customHeight="false" outlineLevel="0" collapsed="false">
      <c r="A564" s="9" t="s">
        <v>706</v>
      </c>
      <c r="B564" s="9" t="s">
        <v>686</v>
      </c>
      <c r="C564" s="9" t="s">
        <v>385</v>
      </c>
      <c r="D564" s="9" t="s">
        <v>655</v>
      </c>
      <c r="E564" s="9" t="s">
        <v>273</v>
      </c>
      <c r="F564" s="10" t="n">
        <v>36.48</v>
      </c>
      <c r="G564" s="9" t="s">
        <v>281</v>
      </c>
      <c r="H564" s="9" t="s">
        <v>285</v>
      </c>
      <c r="I564" s="9" t="s">
        <v>117</v>
      </c>
      <c r="J564" s="9" t="s">
        <v>283</v>
      </c>
      <c r="K564" s="31" t="n">
        <v>0.1</v>
      </c>
      <c r="L564" s="31" t="n">
        <v>0.1</v>
      </c>
      <c r="M564" s="10" t="n">
        <v>18.56</v>
      </c>
      <c r="N564" s="10" t="n">
        <v>1.86</v>
      </c>
      <c r="O564" s="9" t="s">
        <v>284</v>
      </c>
      <c r="P564" s="11" t="n">
        <f aca="false">IF(J564="%mo","",IF(G564="MO",IF(J564="hh",INDEX(MO_HH,MATCH(I564,MO_CAT,0)),M564*P_FACT_IPC),IF(G564="SUBPART",IFERROR(INDEX(APU_SUBP!$C$7:$C$40,MATCH(H564,APU_SUBP!$A$7:$A$40,0)),M564*P_FACT_IPC),M564*P_FACT_IPC)))</f>
        <v>13.8259833134684</v>
      </c>
      <c r="Q564" s="11" t="n">
        <f aca="false">IF(J564="%mo",L564/100*SUMIFS($R$7:$R$782,$A$7:$A$782,A564),L564*P564)</f>
        <v>1.38259833134684</v>
      </c>
      <c r="R564" s="11" t="n">
        <f aca="false">IF(G564="MO",L564*P564,0)</f>
        <v>1.38259833134684</v>
      </c>
    </row>
    <row r="565" customFormat="false" ht="15" hidden="false" customHeight="false" outlineLevel="0" collapsed="false">
      <c r="A565" s="7" t="s">
        <v>706</v>
      </c>
      <c r="B565" s="7" t="s">
        <v>686</v>
      </c>
      <c r="C565" s="7" t="s">
        <v>385</v>
      </c>
      <c r="D565" s="7" t="s">
        <v>655</v>
      </c>
      <c r="E565" s="7" t="s">
        <v>273</v>
      </c>
      <c r="F565" s="11" t="n">
        <v>36.48</v>
      </c>
      <c r="G565" s="7" t="s">
        <v>281</v>
      </c>
      <c r="H565" s="7" t="s">
        <v>286</v>
      </c>
      <c r="I565" s="7" t="s">
        <v>122</v>
      </c>
      <c r="J565" s="7" t="s">
        <v>283</v>
      </c>
      <c r="K565" s="22" t="n">
        <v>2</v>
      </c>
      <c r="L565" s="22" t="n">
        <v>2</v>
      </c>
      <c r="M565" s="11" t="n">
        <v>16.78</v>
      </c>
      <c r="N565" s="11" t="n">
        <v>33.56</v>
      </c>
      <c r="O565" s="7" t="s">
        <v>287</v>
      </c>
      <c r="P565" s="11" t="n">
        <f aca="false">IF(J565="%mo","",IF(G565="MO",IF(J565="hh",INDEX(MO_HH,MATCH(I565,MO_CAT,0)),M565*P_FACT_IPC),IF(G565="SUBPART",IFERROR(INDEX(APU_SUBP!$C$7:$C$40,MATCH(H565,APU_SUBP!$A$7:$A$40,0)),M565*P_FACT_IPC),M565*P_FACT_IPC)))</f>
        <v>12.5</v>
      </c>
      <c r="Q565" s="11" t="n">
        <f aca="false">IF(J565="%mo",L565/100*SUMIFS($R$7:$R$782,$A$7:$A$782,A565),L565*P565)</f>
        <v>25</v>
      </c>
      <c r="R565" s="11" t="n">
        <f aca="false">IF(G565="MO",L565*P565,0)</f>
        <v>25</v>
      </c>
    </row>
    <row r="566" customFormat="false" ht="15" hidden="false" customHeight="false" outlineLevel="0" collapsed="false">
      <c r="A566" s="9" t="s">
        <v>706</v>
      </c>
      <c r="B566" s="9" t="s">
        <v>686</v>
      </c>
      <c r="C566" s="9" t="s">
        <v>385</v>
      </c>
      <c r="D566" s="9" t="s">
        <v>655</v>
      </c>
      <c r="E566" s="9" t="s">
        <v>273</v>
      </c>
      <c r="F566" s="10" t="n">
        <v>36.48</v>
      </c>
      <c r="G566" s="9" t="s">
        <v>288</v>
      </c>
      <c r="H566" s="9" t="s">
        <v>327</v>
      </c>
      <c r="I566" s="9" t="s">
        <v>328</v>
      </c>
      <c r="J566" s="9" t="s">
        <v>329</v>
      </c>
      <c r="K566" s="31"/>
      <c r="L566" s="31" t="n">
        <v>3</v>
      </c>
      <c r="M566" s="10" t="n">
        <v>35.42</v>
      </c>
      <c r="N566" s="10" t="n">
        <v>1.06</v>
      </c>
      <c r="O566" s="9"/>
      <c r="P566" s="11" t="str">
        <f aca="false">IF(J566="%mo","",IF(G566="MO",IF(J566="hh",INDEX(MO_HH,MATCH(I566,MO_CAT,0)),M566*P_FACT_IPC),IF(G566="SUBPART",IFERROR(INDEX(APU_SUBP!$C$7:$C$40,MATCH(H566,APU_SUBP!$A$7:$A$40,0)),M566*P_FACT_IPC),M566*P_FACT_IPC)))</f>
        <v/>
      </c>
      <c r="Q566" s="11" t="n">
        <f aca="false">IF(J566="%mo",L566/100*SUMIFS($R$7:$R$782,$A$7:$A$782,A566),L566*P566)</f>
        <v>0.791477949940405</v>
      </c>
      <c r="R566" s="11" t="n">
        <f aca="false">IF(G566="MO",L566*P566,0)</f>
        <v>0</v>
      </c>
    </row>
    <row r="567" customFormat="false" ht="15" hidden="false" customHeight="false" outlineLevel="0" collapsed="false">
      <c r="A567" s="7" t="s">
        <v>707</v>
      </c>
      <c r="B567" s="7" t="s">
        <v>686</v>
      </c>
      <c r="C567" s="7" t="s">
        <v>390</v>
      </c>
      <c r="D567" s="7" t="s">
        <v>657</v>
      </c>
      <c r="E567" s="7" t="s">
        <v>12</v>
      </c>
      <c r="F567" s="11" t="n">
        <v>890.75</v>
      </c>
      <c r="G567" s="7" t="s">
        <v>281</v>
      </c>
      <c r="H567" s="7" t="s">
        <v>282</v>
      </c>
      <c r="I567" s="7" t="s">
        <v>107</v>
      </c>
      <c r="J567" s="7" t="s">
        <v>283</v>
      </c>
      <c r="K567" s="22" t="n">
        <v>1</v>
      </c>
      <c r="L567" s="22" t="n">
        <v>1</v>
      </c>
      <c r="M567" s="11" t="n">
        <v>25.81</v>
      </c>
      <c r="N567" s="11" t="n">
        <v>25.81</v>
      </c>
      <c r="O567" s="7" t="s">
        <v>284</v>
      </c>
      <c r="P567" s="11" t="n">
        <f aca="false">IF(J567="%mo","",IF(G567="MO",IF(J567="hh",INDEX(MO_HH,MATCH(I567,MO_CAT,0)),M567*P_FACT_IPC),IF(G567="SUBPART",IFERROR(INDEX(APU_SUBP!$C$7:$C$40,MATCH(H567,APU_SUBP!$A$7:$A$40,0)),M567*P_FACT_IPC),M567*P_FACT_IPC)))</f>
        <v>19.226758045292</v>
      </c>
      <c r="Q567" s="11" t="n">
        <f aca="false">IF(J567="%mo",L567/100*SUMIFS($R$7:$R$782,$A$7:$A$782,A567),L567*P567)</f>
        <v>19.226758045292</v>
      </c>
      <c r="R567" s="11" t="n">
        <f aca="false">IF(G567="MO",L567*P567,0)</f>
        <v>19.226758045292</v>
      </c>
    </row>
    <row r="568" customFormat="false" ht="15" hidden="false" customHeight="false" outlineLevel="0" collapsed="false">
      <c r="A568" s="9" t="s">
        <v>707</v>
      </c>
      <c r="B568" s="9" t="s">
        <v>686</v>
      </c>
      <c r="C568" s="9" t="s">
        <v>390</v>
      </c>
      <c r="D568" s="9" t="s">
        <v>657</v>
      </c>
      <c r="E568" s="9" t="s">
        <v>12</v>
      </c>
      <c r="F568" s="10" t="n">
        <v>890.75</v>
      </c>
      <c r="G568" s="9" t="s">
        <v>281</v>
      </c>
      <c r="H568" s="9" t="s">
        <v>286</v>
      </c>
      <c r="I568" s="9" t="s">
        <v>122</v>
      </c>
      <c r="J568" s="9" t="s">
        <v>283</v>
      </c>
      <c r="K568" s="31" t="n">
        <v>50</v>
      </c>
      <c r="L568" s="31" t="n">
        <v>50</v>
      </c>
      <c r="M568" s="10" t="n">
        <v>16.78</v>
      </c>
      <c r="N568" s="10" t="n">
        <v>839</v>
      </c>
      <c r="O568" s="9" t="s">
        <v>287</v>
      </c>
      <c r="P568" s="11" t="n">
        <f aca="false">IF(J568="%mo","",IF(G568="MO",IF(J568="hh",INDEX(MO_HH,MATCH(I568,MO_CAT,0)),M568*P_FACT_IPC),IF(G568="SUBPART",IFERROR(INDEX(APU_SUBP!$C$7:$C$40,MATCH(H568,APU_SUBP!$A$7:$A$40,0)),M568*P_FACT_IPC),M568*P_FACT_IPC)))</f>
        <v>12.5</v>
      </c>
      <c r="Q568" s="11" t="n">
        <f aca="false">IF(J568="%mo",L568/100*SUMIFS($R$7:$R$782,$A$7:$A$782,A568),L568*P568)</f>
        <v>625</v>
      </c>
      <c r="R568" s="11" t="n">
        <f aca="false">IF(G568="MO",L568*P568,0)</f>
        <v>625</v>
      </c>
    </row>
    <row r="569" customFormat="false" ht="15" hidden="false" customHeight="false" outlineLevel="0" collapsed="false">
      <c r="A569" s="7" t="s">
        <v>707</v>
      </c>
      <c r="B569" s="7" t="s">
        <v>686</v>
      </c>
      <c r="C569" s="7" t="s">
        <v>390</v>
      </c>
      <c r="D569" s="7" t="s">
        <v>657</v>
      </c>
      <c r="E569" s="7" t="s">
        <v>12</v>
      </c>
      <c r="F569" s="11" t="n">
        <v>890.75</v>
      </c>
      <c r="G569" s="7" t="s">
        <v>288</v>
      </c>
      <c r="H569" s="7" t="s">
        <v>327</v>
      </c>
      <c r="I569" s="7" t="s">
        <v>328</v>
      </c>
      <c r="J569" s="7" t="s">
        <v>329</v>
      </c>
      <c r="K569" s="22"/>
      <c r="L569" s="22" t="n">
        <v>3</v>
      </c>
      <c r="M569" s="11" t="n">
        <v>864.81</v>
      </c>
      <c r="N569" s="11" t="n">
        <v>25.94</v>
      </c>
      <c r="O569" s="7"/>
      <c r="P569" s="11" t="str">
        <f aca="false">IF(J569="%mo","",IF(G569="MO",IF(J569="hh",INDEX(MO_HH,MATCH(I569,MO_CAT,0)),M569*P_FACT_IPC),IF(G569="SUBPART",IFERROR(INDEX(APU_SUBP!$C$7:$C$40,MATCH(H569,APU_SUBP!$A$7:$A$40,0)),M569*P_FACT_IPC),M569*P_FACT_IPC)))</f>
        <v/>
      </c>
      <c r="Q569" s="11" t="n">
        <f aca="false">IF(J569="%mo",L569/100*SUMIFS($R$7:$R$782,$A$7:$A$782,A569),L569*P569)</f>
        <v>19.3268027413588</v>
      </c>
      <c r="R569" s="11" t="n">
        <f aca="false">IF(G569="MO",L569*P569,0)</f>
        <v>0</v>
      </c>
    </row>
    <row r="570" customFormat="false" ht="15" hidden="false" customHeight="false" outlineLevel="0" collapsed="false">
      <c r="A570" s="9" t="s">
        <v>708</v>
      </c>
      <c r="B570" s="9" t="s">
        <v>686</v>
      </c>
      <c r="C570" s="9" t="s">
        <v>393</v>
      </c>
      <c r="D570" s="9" t="s">
        <v>659</v>
      </c>
      <c r="E570" s="9" t="s">
        <v>12</v>
      </c>
      <c r="F570" s="10" t="n">
        <v>2279.91</v>
      </c>
      <c r="G570" s="9" t="s">
        <v>281</v>
      </c>
      <c r="H570" s="9" t="s">
        <v>282</v>
      </c>
      <c r="I570" s="9" t="s">
        <v>107</v>
      </c>
      <c r="J570" s="9" t="s">
        <v>283</v>
      </c>
      <c r="K570" s="31" t="n">
        <v>1</v>
      </c>
      <c r="L570" s="31" t="n">
        <v>0.04</v>
      </c>
      <c r="M570" s="10" t="n">
        <v>25.81</v>
      </c>
      <c r="N570" s="10" t="n">
        <v>1.03</v>
      </c>
      <c r="O570" s="9" t="s">
        <v>284</v>
      </c>
      <c r="P570" s="11" t="n">
        <f aca="false">IF(J570="%mo","",IF(G570="MO",IF(J570="hh",INDEX(MO_HH,MATCH(I570,MO_CAT,0)),M570*P_FACT_IPC),IF(G570="SUBPART",IFERROR(INDEX(APU_SUBP!$C$7:$C$40,MATCH(H570,APU_SUBP!$A$7:$A$40,0)),M570*P_FACT_IPC),M570*P_FACT_IPC)))</f>
        <v>19.226758045292</v>
      </c>
      <c r="Q570" s="11" t="n">
        <f aca="false">IF(J570="%mo",L570/100*SUMIFS($R$7:$R$782,$A$7:$A$782,A570),L570*P570)</f>
        <v>0.769070321811681</v>
      </c>
      <c r="R570" s="11" t="n">
        <f aca="false">IF(G570="MO",L570*P570,0)</f>
        <v>0.769070321811681</v>
      </c>
    </row>
    <row r="571" customFormat="false" ht="15" hidden="false" customHeight="false" outlineLevel="0" collapsed="false">
      <c r="A571" s="7" t="s">
        <v>708</v>
      </c>
      <c r="B571" s="7" t="s">
        <v>686</v>
      </c>
      <c r="C571" s="7" t="s">
        <v>393</v>
      </c>
      <c r="D571" s="7" t="s">
        <v>659</v>
      </c>
      <c r="E571" s="7" t="s">
        <v>12</v>
      </c>
      <c r="F571" s="11" t="n">
        <v>2279.91</v>
      </c>
      <c r="G571" s="7" t="s">
        <v>281</v>
      </c>
      <c r="H571" s="7" t="s">
        <v>286</v>
      </c>
      <c r="I571" s="7" t="s">
        <v>122</v>
      </c>
      <c r="J571" s="7" t="s">
        <v>283</v>
      </c>
      <c r="K571" s="22" t="n">
        <v>50</v>
      </c>
      <c r="L571" s="22" t="n">
        <v>2</v>
      </c>
      <c r="M571" s="11" t="n">
        <v>16.78</v>
      </c>
      <c r="N571" s="11" t="n">
        <v>33.56</v>
      </c>
      <c r="O571" s="7" t="s">
        <v>287</v>
      </c>
      <c r="P571" s="11" t="n">
        <f aca="false">IF(J571="%mo","",IF(G571="MO",IF(J571="hh",INDEX(MO_HH,MATCH(I571,MO_CAT,0)),M571*P_FACT_IPC),IF(G571="SUBPART",IFERROR(INDEX(APU_SUBP!$C$7:$C$40,MATCH(H571,APU_SUBP!$A$7:$A$40,0)),M571*P_FACT_IPC),M571*P_FACT_IPC)))</f>
        <v>12.5</v>
      </c>
      <c r="Q571" s="11" t="n">
        <f aca="false">IF(J571="%mo",L571/100*SUMIFS($R$7:$R$782,$A$7:$A$782,A571),L571*P571)</f>
        <v>25</v>
      </c>
      <c r="R571" s="11" t="n">
        <f aca="false">IF(G571="MO",L571*P571,0)</f>
        <v>25</v>
      </c>
    </row>
    <row r="572" customFormat="false" ht="15" hidden="false" customHeight="false" outlineLevel="0" collapsed="false">
      <c r="A572" s="9" t="s">
        <v>708</v>
      </c>
      <c r="B572" s="9" t="s">
        <v>686</v>
      </c>
      <c r="C572" s="9" t="s">
        <v>393</v>
      </c>
      <c r="D572" s="9" t="s">
        <v>659</v>
      </c>
      <c r="E572" s="9" t="s">
        <v>12</v>
      </c>
      <c r="F572" s="10" t="n">
        <v>2279.91</v>
      </c>
      <c r="G572" s="9" t="s">
        <v>307</v>
      </c>
      <c r="H572" s="9" t="s">
        <v>660</v>
      </c>
      <c r="I572" s="9" t="s">
        <v>661</v>
      </c>
      <c r="J572" s="9" t="s">
        <v>16</v>
      </c>
      <c r="K572" s="31"/>
      <c r="L572" s="31" t="n">
        <v>0.001</v>
      </c>
      <c r="M572" s="10" t="n">
        <v>9.56</v>
      </c>
      <c r="N572" s="10" t="n">
        <v>0.01</v>
      </c>
      <c r="O572" s="9"/>
      <c r="P572" s="11" t="n">
        <f aca="false">IF(J572="%mo","",IF(G572="MO",IF(J572="hh",INDEX(MO_HH,MATCH(I572,MO_CAT,0)),M572*P_FACT_IPC),IF(G572="SUBPART",IFERROR(INDEX(APU_SUBP!$C$7:$C$40,MATCH(H572,APU_SUBP!$A$7:$A$40,0)),M572*P_FACT_IPC),M572*P_FACT_IPC)))</f>
        <v>12.2969882402236</v>
      </c>
      <c r="Q572" s="11" t="n">
        <f aca="false">IF(J572="%mo",L572/100*SUMIFS($R$7:$R$782,$A$7:$A$782,A572),L572*P572)</f>
        <v>0.0122969882402236</v>
      </c>
      <c r="R572" s="11" t="n">
        <f aca="false">IF(G572="MO",L572*P572,0)</f>
        <v>0</v>
      </c>
    </row>
    <row r="573" customFormat="false" ht="15" hidden="false" customHeight="false" outlineLevel="0" collapsed="false">
      <c r="A573" s="7" t="s">
        <v>708</v>
      </c>
      <c r="B573" s="7" t="s">
        <v>686</v>
      </c>
      <c r="C573" s="7" t="s">
        <v>393</v>
      </c>
      <c r="D573" s="7" t="s">
        <v>659</v>
      </c>
      <c r="E573" s="7" t="s">
        <v>12</v>
      </c>
      <c r="F573" s="11" t="n">
        <v>2279.91</v>
      </c>
      <c r="G573" s="7" t="s">
        <v>307</v>
      </c>
      <c r="H573" s="7" t="s">
        <v>662</v>
      </c>
      <c r="I573" s="7" t="s">
        <v>663</v>
      </c>
      <c r="J573" s="7" t="s">
        <v>16</v>
      </c>
      <c r="K573" s="22"/>
      <c r="L573" s="22" t="n">
        <v>0.01</v>
      </c>
      <c r="M573" s="11" t="n">
        <v>2.7</v>
      </c>
      <c r="N573" s="11" t="n">
        <v>0.03</v>
      </c>
      <c r="O573" s="7"/>
      <c r="P573" s="11" t="n">
        <f aca="false">IF(J573="%mo","",IF(G573="MO",IF(J573="hh",INDEX(MO_HH,MATCH(I573,MO_CAT,0)),M573*P_FACT_IPC),IF(G573="SUBPART",IFERROR(INDEX(APU_SUBP!$C$7:$C$40,MATCH(H573,APU_SUBP!$A$7:$A$40,0)),M573*P_FACT_IPC),M573*P_FACT_IPC)))</f>
        <v>3.47299877077444</v>
      </c>
      <c r="Q573" s="11" t="n">
        <f aca="false">IF(J573="%mo",L573/100*SUMIFS($R$7:$R$782,$A$7:$A$782,A573),L573*P573)</f>
        <v>0.0347299877077444</v>
      </c>
      <c r="R573" s="11" t="n">
        <f aca="false">IF(G573="MO",L573*P573,0)</f>
        <v>0</v>
      </c>
    </row>
    <row r="574" customFormat="false" ht="15" hidden="false" customHeight="false" outlineLevel="0" collapsed="false">
      <c r="A574" s="9" t="s">
        <v>708</v>
      </c>
      <c r="B574" s="9" t="s">
        <v>686</v>
      </c>
      <c r="C574" s="9" t="s">
        <v>393</v>
      </c>
      <c r="D574" s="9" t="s">
        <v>659</v>
      </c>
      <c r="E574" s="9" t="s">
        <v>12</v>
      </c>
      <c r="F574" s="10" t="n">
        <v>2279.91</v>
      </c>
      <c r="G574" s="9" t="s">
        <v>307</v>
      </c>
      <c r="H574" s="9" t="s">
        <v>664</v>
      </c>
      <c r="I574" s="9" t="s">
        <v>665</v>
      </c>
      <c r="J574" s="9" t="s">
        <v>361</v>
      </c>
      <c r="K574" s="31"/>
      <c r="L574" s="31" t="n">
        <v>133.33</v>
      </c>
      <c r="M574" s="10" t="n">
        <v>16.84</v>
      </c>
      <c r="N574" s="10" t="n">
        <v>2245.28</v>
      </c>
      <c r="O574" s="9"/>
      <c r="P574" s="11" t="n">
        <f aca="false">IF(J574="%mo","",IF(G574="MO",IF(J574="hh",INDEX(MO_HH,MATCH(I574,MO_CAT,0)),M574*P_FACT_IPC),IF(G574="SUBPART",IFERROR(INDEX(APU_SUBP!$C$7:$C$40,MATCH(H574,APU_SUBP!$A$7:$A$40,0)),M574*P_FACT_IPC),M574*P_FACT_IPC)))</f>
        <v>21.6612219629043</v>
      </c>
      <c r="Q574" s="11" t="n">
        <f aca="false">IF(J574="%mo",L574/100*SUMIFS($R$7:$R$782,$A$7:$A$782,A574),L574*P574)</f>
        <v>2888.09072431403</v>
      </c>
      <c r="R574" s="11" t="n">
        <f aca="false">IF(G574="MO",L574*P574,0)</f>
        <v>0</v>
      </c>
    </row>
    <row r="575" customFormat="false" ht="15" hidden="false" customHeight="false" outlineLevel="0" collapsed="false">
      <c r="A575" s="7" t="s">
        <v>709</v>
      </c>
      <c r="B575" s="7" t="s">
        <v>686</v>
      </c>
      <c r="C575" s="7" t="s">
        <v>402</v>
      </c>
      <c r="D575" s="7" t="s">
        <v>667</v>
      </c>
      <c r="E575" s="7" t="s">
        <v>12</v>
      </c>
      <c r="F575" s="11" t="n">
        <v>1109.9</v>
      </c>
      <c r="G575" s="7" t="s">
        <v>281</v>
      </c>
      <c r="H575" s="7" t="s">
        <v>282</v>
      </c>
      <c r="I575" s="7" t="s">
        <v>107</v>
      </c>
      <c r="J575" s="7" t="s">
        <v>283</v>
      </c>
      <c r="K575" s="22" t="n">
        <v>1</v>
      </c>
      <c r="L575" s="22" t="n">
        <v>0.0889</v>
      </c>
      <c r="M575" s="11" t="n">
        <v>25.81</v>
      </c>
      <c r="N575" s="11" t="n">
        <v>2.29</v>
      </c>
      <c r="O575" s="7" t="s">
        <v>284</v>
      </c>
      <c r="P575" s="11" t="n">
        <f aca="false">IF(J575="%mo","",IF(G575="MO",IF(J575="hh",INDEX(MO_HH,MATCH(I575,MO_CAT,0)),M575*P_FACT_IPC),IF(G575="SUBPART",IFERROR(INDEX(APU_SUBP!$C$7:$C$40,MATCH(H575,APU_SUBP!$A$7:$A$40,0)),M575*P_FACT_IPC),M575*P_FACT_IPC)))</f>
        <v>19.226758045292</v>
      </c>
      <c r="Q575" s="11" t="n">
        <f aca="false">IF(J575="%mo",L575/100*SUMIFS($R$7:$R$782,$A$7:$A$782,A575),L575*P575)</f>
        <v>1.70925879022646</v>
      </c>
      <c r="R575" s="11" t="n">
        <f aca="false">IF(G575="MO",L575*P575,0)</f>
        <v>1.70925879022646</v>
      </c>
    </row>
    <row r="576" customFormat="false" ht="15" hidden="false" customHeight="false" outlineLevel="0" collapsed="false">
      <c r="A576" s="9" t="s">
        <v>709</v>
      </c>
      <c r="B576" s="9" t="s">
        <v>686</v>
      </c>
      <c r="C576" s="9" t="s">
        <v>402</v>
      </c>
      <c r="D576" s="9" t="s">
        <v>667</v>
      </c>
      <c r="E576" s="9" t="s">
        <v>12</v>
      </c>
      <c r="F576" s="10" t="n">
        <v>1109.9</v>
      </c>
      <c r="G576" s="9" t="s">
        <v>281</v>
      </c>
      <c r="H576" s="9" t="s">
        <v>286</v>
      </c>
      <c r="I576" s="9" t="s">
        <v>122</v>
      </c>
      <c r="J576" s="9" t="s">
        <v>283</v>
      </c>
      <c r="K576" s="31" t="n">
        <v>10</v>
      </c>
      <c r="L576" s="31" t="n">
        <v>0.8889</v>
      </c>
      <c r="M576" s="10" t="n">
        <v>16.78</v>
      </c>
      <c r="N576" s="10" t="n">
        <v>14.92</v>
      </c>
      <c r="O576" s="9" t="s">
        <v>287</v>
      </c>
      <c r="P576" s="11" t="n">
        <f aca="false">IF(J576="%mo","",IF(G576="MO",IF(J576="hh",INDEX(MO_HH,MATCH(I576,MO_CAT,0)),M576*P_FACT_IPC),IF(G576="SUBPART",IFERROR(INDEX(APU_SUBP!$C$7:$C$40,MATCH(H576,APU_SUBP!$A$7:$A$40,0)),M576*P_FACT_IPC),M576*P_FACT_IPC)))</f>
        <v>12.5</v>
      </c>
      <c r="Q576" s="11" t="n">
        <f aca="false">IF(J576="%mo",L576/100*SUMIFS($R$7:$R$782,$A$7:$A$782,A576),L576*P576)</f>
        <v>11.11125</v>
      </c>
      <c r="R576" s="11" t="n">
        <f aca="false">IF(G576="MO",L576*P576,0)</f>
        <v>11.11125</v>
      </c>
    </row>
    <row r="577" customFormat="false" ht="15" hidden="false" customHeight="false" outlineLevel="0" collapsed="false">
      <c r="A577" s="7" t="s">
        <v>709</v>
      </c>
      <c r="B577" s="7" t="s">
        <v>686</v>
      </c>
      <c r="C577" s="7" t="s">
        <v>402</v>
      </c>
      <c r="D577" s="7" t="s">
        <v>667</v>
      </c>
      <c r="E577" s="7" t="s">
        <v>12</v>
      </c>
      <c r="F577" s="11" t="n">
        <v>1109.9</v>
      </c>
      <c r="G577" s="7" t="s">
        <v>307</v>
      </c>
      <c r="H577" s="7" t="s">
        <v>668</v>
      </c>
      <c r="I577" s="7" t="s">
        <v>669</v>
      </c>
      <c r="J577" s="7" t="s">
        <v>21</v>
      </c>
      <c r="K577" s="22"/>
      <c r="L577" s="22" t="n">
        <v>25</v>
      </c>
      <c r="M577" s="11" t="n">
        <v>1.13</v>
      </c>
      <c r="N577" s="11" t="n">
        <v>28.25</v>
      </c>
      <c r="O577" s="7"/>
      <c r="P577" s="11" t="n">
        <f aca="false">IF(J577="%mo","",IF(G577="MO",IF(J577="hh",INDEX(MO_HH,MATCH(I577,MO_CAT,0)),M577*P_FACT_IPC),IF(G577="SUBPART",IFERROR(INDEX(APU_SUBP!$C$7:$C$40,MATCH(H577,APU_SUBP!$A$7:$A$40,0)),M577*P_FACT_IPC),M577*P_FACT_IPC)))</f>
        <v>1.45351430036116</v>
      </c>
      <c r="Q577" s="11" t="n">
        <f aca="false">IF(J577="%mo",L577/100*SUMIFS($R$7:$R$782,$A$7:$A$782,A577),L577*P577)</f>
        <v>36.3378575090289</v>
      </c>
      <c r="R577" s="11" t="n">
        <f aca="false">IF(G577="MO",L577*P577,0)</f>
        <v>0</v>
      </c>
    </row>
    <row r="578" customFormat="false" ht="15" hidden="false" customHeight="false" outlineLevel="0" collapsed="false">
      <c r="A578" s="9" t="s">
        <v>709</v>
      </c>
      <c r="B578" s="9" t="s">
        <v>686</v>
      </c>
      <c r="C578" s="9" t="s">
        <v>402</v>
      </c>
      <c r="D578" s="9" t="s">
        <v>667</v>
      </c>
      <c r="E578" s="9" t="s">
        <v>12</v>
      </c>
      <c r="F578" s="10" t="n">
        <v>1109.9</v>
      </c>
      <c r="G578" s="9" t="s">
        <v>288</v>
      </c>
      <c r="H578" s="9" t="s">
        <v>428</v>
      </c>
      <c r="I578" s="9" t="s">
        <v>429</v>
      </c>
      <c r="J578" s="9" t="s">
        <v>322</v>
      </c>
      <c r="K578" s="31" t="n">
        <v>5</v>
      </c>
      <c r="L578" s="31" t="n">
        <v>0.4444</v>
      </c>
      <c r="M578" s="10" t="n">
        <v>15.62</v>
      </c>
      <c r="N578" s="10" t="n">
        <v>6.94</v>
      </c>
      <c r="O578" s="9"/>
      <c r="P578" s="11" t="n">
        <f aca="false">IF(J578="%mo","",IF(G578="MO",IF(J578="hh",INDEX(MO_HH,MATCH(I578,MO_CAT,0)),M578*P_FACT_IPC),IF(G578="SUBPART",IFERROR(INDEX(APU_SUBP!$C$7:$C$40,MATCH(H578,APU_SUBP!$A$7:$A$40,0)),M578*P_FACT_IPC),M578*P_FACT_IPC)))</f>
        <v>20.0919410368507</v>
      </c>
      <c r="Q578" s="11" t="n">
        <f aca="false">IF(J578="%mo",L578/100*SUMIFS($R$7:$R$782,$A$7:$A$782,A578),L578*P578)</f>
        <v>8.92885859677644</v>
      </c>
      <c r="R578" s="11" t="n">
        <f aca="false">IF(G578="MO",L578*P578,0)</f>
        <v>0</v>
      </c>
    </row>
    <row r="579" customFormat="false" ht="15" hidden="false" customHeight="false" outlineLevel="0" collapsed="false">
      <c r="A579" s="7" t="s">
        <v>709</v>
      </c>
      <c r="B579" s="7" t="s">
        <v>686</v>
      </c>
      <c r="C579" s="7" t="s">
        <v>402</v>
      </c>
      <c r="D579" s="7" t="s">
        <v>667</v>
      </c>
      <c r="E579" s="7" t="s">
        <v>12</v>
      </c>
      <c r="F579" s="11" t="n">
        <v>1109.9</v>
      </c>
      <c r="G579" s="7" t="s">
        <v>370</v>
      </c>
      <c r="H579" s="7" t="s">
        <v>415</v>
      </c>
      <c r="I579" s="7" t="s">
        <v>416</v>
      </c>
      <c r="J579" s="7" t="s">
        <v>273</v>
      </c>
      <c r="K579" s="22"/>
      <c r="L579" s="22" t="n">
        <v>50</v>
      </c>
      <c r="M579" s="11" t="n">
        <v>21.15</v>
      </c>
      <c r="N579" s="11" t="n">
        <v>1057.5</v>
      </c>
      <c r="O579" s="7"/>
      <c r="P579" s="11" t="n">
        <f aca="false">IF(J579="%mo","",IF(G579="MO",IF(J579="hh",INDEX(MO_HH,MATCH(I579,MO_CAT,0)),M579*P_FACT_IPC),IF(G579="SUBPART",IFERROR(INDEX(APU_SUBP!$C$7:$C$40,MATCH(H579,APU_SUBP!$A$7:$A$40,0)),M579*P_FACT_IPC),M579*P_FACT_IPC)))</f>
        <v>22.7438822970285</v>
      </c>
      <c r="Q579" s="11" t="n">
        <f aca="false">IF(J579="%mo",L579/100*SUMIFS($R$7:$R$782,$A$7:$A$782,A579),L579*P579)</f>
        <v>1137.19411485142</v>
      </c>
      <c r="R579" s="11" t="n">
        <f aca="false">IF(G579="MO",L579*P579,0)</f>
        <v>0</v>
      </c>
    </row>
    <row r="580" customFormat="false" ht="15" hidden="false" customHeight="false" outlineLevel="0" collapsed="false">
      <c r="A580" s="9" t="s">
        <v>710</v>
      </c>
      <c r="B580" s="9" t="s">
        <v>686</v>
      </c>
      <c r="C580" s="9" t="s">
        <v>671</v>
      </c>
      <c r="D580" s="9" t="s">
        <v>391</v>
      </c>
      <c r="E580" s="9" t="s">
        <v>16</v>
      </c>
      <c r="F580" s="10" t="n">
        <v>1.73</v>
      </c>
      <c r="G580" s="9" t="s">
        <v>281</v>
      </c>
      <c r="H580" s="9" t="s">
        <v>282</v>
      </c>
      <c r="I580" s="9" t="s">
        <v>107</v>
      </c>
      <c r="J580" s="9" t="s">
        <v>283</v>
      </c>
      <c r="K580" s="31" t="n">
        <v>0.1</v>
      </c>
      <c r="L580" s="31" t="n">
        <v>0.0087</v>
      </c>
      <c r="M580" s="10" t="n">
        <v>25.81</v>
      </c>
      <c r="N580" s="10" t="n">
        <v>0.22</v>
      </c>
      <c r="O580" s="9" t="s">
        <v>284</v>
      </c>
      <c r="P580" s="11" t="n">
        <f aca="false">IF(J580="%mo","",IF(G580="MO",IF(J580="hh",INDEX(MO_HH,MATCH(I580,MO_CAT,0)),M580*P_FACT_IPC),IF(G580="SUBPART",IFERROR(INDEX(APU_SUBP!$C$7:$C$40,MATCH(H580,APU_SUBP!$A$7:$A$40,0)),M580*P_FACT_IPC),M580*P_FACT_IPC)))</f>
        <v>19.226758045292</v>
      </c>
      <c r="Q580" s="11" t="n">
        <f aca="false">IF(J580="%mo",L580/100*SUMIFS($R$7:$R$782,$A$7:$A$782,A580),L580*P580)</f>
        <v>0.167272794994041</v>
      </c>
      <c r="R580" s="11" t="n">
        <f aca="false">IF(G580="MO",L580*P580,0)</f>
        <v>0.167272794994041</v>
      </c>
    </row>
    <row r="581" customFormat="false" ht="15" hidden="false" customHeight="false" outlineLevel="0" collapsed="false">
      <c r="A581" s="7" t="s">
        <v>710</v>
      </c>
      <c r="B581" s="7" t="s">
        <v>686</v>
      </c>
      <c r="C581" s="7" t="s">
        <v>671</v>
      </c>
      <c r="D581" s="7" t="s">
        <v>391</v>
      </c>
      <c r="E581" s="7" t="s">
        <v>16</v>
      </c>
      <c r="F581" s="11" t="n">
        <v>1.73</v>
      </c>
      <c r="G581" s="7" t="s">
        <v>281</v>
      </c>
      <c r="H581" s="7" t="s">
        <v>286</v>
      </c>
      <c r="I581" s="7" t="s">
        <v>122</v>
      </c>
      <c r="J581" s="7" t="s">
        <v>283</v>
      </c>
      <c r="K581" s="22" t="n">
        <v>1</v>
      </c>
      <c r="L581" s="22" t="n">
        <v>0.087</v>
      </c>
      <c r="M581" s="11" t="n">
        <v>16.78</v>
      </c>
      <c r="N581" s="11" t="n">
        <v>1.46</v>
      </c>
      <c r="O581" s="7" t="s">
        <v>287</v>
      </c>
      <c r="P581" s="11" t="n">
        <f aca="false">IF(J581="%mo","",IF(G581="MO",IF(J581="hh",INDEX(MO_HH,MATCH(I581,MO_CAT,0)),M581*P_FACT_IPC),IF(G581="SUBPART",IFERROR(INDEX(APU_SUBP!$C$7:$C$40,MATCH(H581,APU_SUBP!$A$7:$A$40,0)),M581*P_FACT_IPC),M581*P_FACT_IPC)))</f>
        <v>12.5</v>
      </c>
      <c r="Q581" s="11" t="n">
        <f aca="false">IF(J581="%mo",L581/100*SUMIFS($R$7:$R$782,$A$7:$A$782,A581),L581*P581)</f>
        <v>1.0875</v>
      </c>
      <c r="R581" s="11" t="n">
        <f aca="false">IF(G581="MO",L581*P581,0)</f>
        <v>1.0875</v>
      </c>
    </row>
    <row r="582" customFormat="false" ht="15" hidden="false" customHeight="false" outlineLevel="0" collapsed="false">
      <c r="A582" s="9" t="s">
        <v>710</v>
      </c>
      <c r="B582" s="9" t="s">
        <v>686</v>
      </c>
      <c r="C582" s="9" t="s">
        <v>671</v>
      </c>
      <c r="D582" s="9" t="s">
        <v>391</v>
      </c>
      <c r="E582" s="9" t="s">
        <v>16</v>
      </c>
      <c r="F582" s="10" t="n">
        <v>1.73</v>
      </c>
      <c r="G582" s="9" t="s">
        <v>288</v>
      </c>
      <c r="H582" s="9" t="s">
        <v>327</v>
      </c>
      <c r="I582" s="9" t="s">
        <v>328</v>
      </c>
      <c r="J582" s="9" t="s">
        <v>329</v>
      </c>
      <c r="K582" s="31"/>
      <c r="L582" s="31" t="n">
        <v>3</v>
      </c>
      <c r="M582" s="10" t="n">
        <v>1.68</v>
      </c>
      <c r="N582" s="10" t="n">
        <v>0.05</v>
      </c>
      <c r="O582" s="9"/>
      <c r="P582" s="11" t="str">
        <f aca="false">IF(J582="%mo","",IF(G582="MO",IF(J582="hh",INDEX(MO_HH,MATCH(I582,MO_CAT,0)),M582*P_FACT_IPC),IF(G582="SUBPART",IFERROR(INDEX(APU_SUBP!$C$7:$C$40,MATCH(H582,APU_SUBP!$A$7:$A$40,0)),M582*P_FACT_IPC),M582*P_FACT_IPC)))</f>
        <v/>
      </c>
      <c r="Q582" s="11" t="n">
        <f aca="false">IF(J582="%mo",L582/100*SUMIFS($R$7:$R$782,$A$7:$A$782,A582),L582*P582)</f>
        <v>0.0376431838498212</v>
      </c>
      <c r="R582" s="11" t="n">
        <f aca="false">IF(G582="MO",L582*P582,0)</f>
        <v>0</v>
      </c>
    </row>
    <row r="583" customFormat="false" ht="15" hidden="false" customHeight="false" outlineLevel="0" collapsed="false">
      <c r="A583" s="7" t="s">
        <v>711</v>
      </c>
      <c r="B583" s="7" t="s">
        <v>686</v>
      </c>
      <c r="C583" s="7" t="s">
        <v>673</v>
      </c>
      <c r="D583" s="7" t="s">
        <v>674</v>
      </c>
      <c r="E583" s="7" t="s">
        <v>16</v>
      </c>
      <c r="F583" s="11" t="n">
        <v>1.17</v>
      </c>
      <c r="G583" s="7" t="s">
        <v>281</v>
      </c>
      <c r="H583" s="7" t="s">
        <v>285</v>
      </c>
      <c r="I583" s="7" t="s">
        <v>117</v>
      </c>
      <c r="J583" s="7" t="s">
        <v>283</v>
      </c>
      <c r="K583" s="22" t="n">
        <v>0.1</v>
      </c>
      <c r="L583" s="22" t="n">
        <v>0.005</v>
      </c>
      <c r="M583" s="11" t="n">
        <v>18.56</v>
      </c>
      <c r="N583" s="11" t="n">
        <v>0.09</v>
      </c>
      <c r="O583" s="7" t="s">
        <v>284</v>
      </c>
      <c r="P583" s="11" t="n">
        <f aca="false">IF(J583="%mo","",IF(G583="MO",IF(J583="hh",INDEX(MO_HH,MATCH(I583,MO_CAT,0)),M583*P_FACT_IPC),IF(G583="SUBPART",IFERROR(INDEX(APU_SUBP!$C$7:$C$40,MATCH(H583,APU_SUBP!$A$7:$A$40,0)),M583*P_FACT_IPC),M583*P_FACT_IPC)))</f>
        <v>13.8259833134684</v>
      </c>
      <c r="Q583" s="11" t="n">
        <f aca="false">IF(J583="%mo",L583/100*SUMIFS($R$7:$R$782,$A$7:$A$782,A583),L583*P583)</f>
        <v>0.0691299165673421</v>
      </c>
      <c r="R583" s="11" t="n">
        <f aca="false">IF(G583="MO",L583*P583,0)</f>
        <v>0.0691299165673421</v>
      </c>
    </row>
    <row r="584" customFormat="false" ht="15" hidden="false" customHeight="false" outlineLevel="0" collapsed="false">
      <c r="A584" s="9" t="s">
        <v>711</v>
      </c>
      <c r="B584" s="9" t="s">
        <v>686</v>
      </c>
      <c r="C584" s="9" t="s">
        <v>673</v>
      </c>
      <c r="D584" s="9" t="s">
        <v>674</v>
      </c>
      <c r="E584" s="9" t="s">
        <v>16</v>
      </c>
      <c r="F584" s="10" t="n">
        <v>1.17</v>
      </c>
      <c r="G584" s="9" t="s">
        <v>281</v>
      </c>
      <c r="H584" s="9" t="s">
        <v>286</v>
      </c>
      <c r="I584" s="9" t="s">
        <v>122</v>
      </c>
      <c r="J584" s="9" t="s">
        <v>283</v>
      </c>
      <c r="K584" s="31" t="n">
        <v>1</v>
      </c>
      <c r="L584" s="31" t="n">
        <v>0.05</v>
      </c>
      <c r="M584" s="10" t="n">
        <v>16.78</v>
      </c>
      <c r="N584" s="10" t="n">
        <v>0.84</v>
      </c>
      <c r="O584" s="9" t="s">
        <v>287</v>
      </c>
      <c r="P584" s="11" t="n">
        <f aca="false">IF(J584="%mo","",IF(G584="MO",IF(J584="hh",INDEX(MO_HH,MATCH(I584,MO_CAT,0)),M584*P_FACT_IPC),IF(G584="SUBPART",IFERROR(INDEX(APU_SUBP!$C$7:$C$40,MATCH(H584,APU_SUBP!$A$7:$A$40,0)),M584*P_FACT_IPC),M584*P_FACT_IPC)))</f>
        <v>12.5</v>
      </c>
      <c r="Q584" s="11" t="n">
        <f aca="false">IF(J584="%mo",L584/100*SUMIFS($R$7:$R$782,$A$7:$A$782,A584),L584*P584)</f>
        <v>0.625</v>
      </c>
      <c r="R584" s="11" t="n">
        <f aca="false">IF(G584="MO",L584*P584,0)</f>
        <v>0.625</v>
      </c>
    </row>
    <row r="585" customFormat="false" ht="15" hidden="false" customHeight="false" outlineLevel="0" collapsed="false">
      <c r="A585" s="7" t="s">
        <v>711</v>
      </c>
      <c r="B585" s="7" t="s">
        <v>686</v>
      </c>
      <c r="C585" s="7" t="s">
        <v>673</v>
      </c>
      <c r="D585" s="7" t="s">
        <v>674</v>
      </c>
      <c r="E585" s="7" t="s">
        <v>16</v>
      </c>
      <c r="F585" s="11" t="n">
        <v>1.17</v>
      </c>
      <c r="G585" s="7" t="s">
        <v>307</v>
      </c>
      <c r="H585" s="7" t="s">
        <v>395</v>
      </c>
      <c r="I585" s="7" t="s">
        <v>396</v>
      </c>
      <c r="J585" s="7" t="s">
        <v>361</v>
      </c>
      <c r="K585" s="22"/>
      <c r="L585" s="22" t="n">
        <v>0.11</v>
      </c>
      <c r="M585" s="11" t="n">
        <v>1.16</v>
      </c>
      <c r="N585" s="11" t="n">
        <v>0.13</v>
      </c>
      <c r="O585" s="7"/>
      <c r="P585" s="11" t="n">
        <f aca="false">IF(J585="%mo","",IF(G585="MO",IF(J585="hh",INDEX(MO_HH,MATCH(I585,MO_CAT,0)),M585*P_FACT_IPC),IF(G585="SUBPART",IFERROR(INDEX(APU_SUBP!$C$7:$C$40,MATCH(H585,APU_SUBP!$A$7:$A$40,0)),M585*P_FACT_IPC),M585*P_FACT_IPC)))</f>
        <v>1.49210317559198</v>
      </c>
      <c r="Q585" s="11" t="n">
        <f aca="false">IF(J585="%mo",L585/100*SUMIFS($R$7:$R$782,$A$7:$A$782,A585),L585*P585)</f>
        <v>0.164131349315118</v>
      </c>
      <c r="R585" s="11" t="n">
        <f aca="false">IF(G585="MO",L585*P585,0)</f>
        <v>0</v>
      </c>
    </row>
    <row r="586" customFormat="false" ht="15" hidden="false" customHeight="false" outlineLevel="0" collapsed="false">
      <c r="A586" s="9" t="s">
        <v>711</v>
      </c>
      <c r="B586" s="9" t="s">
        <v>686</v>
      </c>
      <c r="C586" s="9" t="s">
        <v>673</v>
      </c>
      <c r="D586" s="9" t="s">
        <v>674</v>
      </c>
      <c r="E586" s="9" t="s">
        <v>16</v>
      </c>
      <c r="F586" s="10" t="n">
        <v>1.17</v>
      </c>
      <c r="G586" s="9" t="s">
        <v>307</v>
      </c>
      <c r="H586" s="9" t="s">
        <v>397</v>
      </c>
      <c r="I586" s="9" t="s">
        <v>398</v>
      </c>
      <c r="J586" s="9" t="s">
        <v>16</v>
      </c>
      <c r="K586" s="31"/>
      <c r="L586" s="31" t="n">
        <v>1</v>
      </c>
      <c r="M586" s="10" t="n">
        <v>0.05</v>
      </c>
      <c r="N586" s="10" t="n">
        <v>0.05</v>
      </c>
      <c r="O586" s="9"/>
      <c r="P586" s="11" t="n">
        <f aca="false">IF(J586="%mo","",IF(G586="MO",IF(J586="hh",INDEX(MO_HH,MATCH(I586,MO_CAT,0)),M586*P_FACT_IPC),IF(G586="SUBPART",IFERROR(INDEX(APU_SUBP!$C$7:$C$40,MATCH(H586,APU_SUBP!$A$7:$A$40,0)),M586*P_FACT_IPC),M586*P_FACT_IPC)))</f>
        <v>0.0643147920513786</v>
      </c>
      <c r="Q586" s="11" t="n">
        <f aca="false">IF(J586="%mo",L586/100*SUMIFS($R$7:$R$782,$A$7:$A$782,A586),L586*P586)</f>
        <v>0.0643147920513786</v>
      </c>
      <c r="R586" s="11" t="n">
        <f aca="false">IF(G586="MO",L586*P586,0)</f>
        <v>0</v>
      </c>
    </row>
    <row r="587" customFormat="false" ht="15" hidden="false" customHeight="false" outlineLevel="0" collapsed="false">
      <c r="A587" s="7" t="s">
        <v>711</v>
      </c>
      <c r="B587" s="7" t="s">
        <v>686</v>
      </c>
      <c r="C587" s="7" t="s">
        <v>673</v>
      </c>
      <c r="D587" s="7" t="s">
        <v>674</v>
      </c>
      <c r="E587" s="7" t="s">
        <v>16</v>
      </c>
      <c r="F587" s="11" t="n">
        <v>1.17</v>
      </c>
      <c r="G587" s="7" t="s">
        <v>288</v>
      </c>
      <c r="H587" s="7" t="s">
        <v>327</v>
      </c>
      <c r="I587" s="7" t="s">
        <v>328</v>
      </c>
      <c r="J587" s="7" t="s">
        <v>329</v>
      </c>
      <c r="K587" s="22"/>
      <c r="L587" s="22" t="n">
        <v>3</v>
      </c>
      <c r="M587" s="11" t="n">
        <v>0.93</v>
      </c>
      <c r="N587" s="11" t="n">
        <v>0.03</v>
      </c>
      <c r="O587" s="7"/>
      <c r="P587" s="11" t="str">
        <f aca="false">IF(J587="%mo","",IF(G587="MO",IF(J587="hh",INDEX(MO_HH,MATCH(I587,MO_CAT,0)),M587*P_FACT_IPC),IF(G587="SUBPART",IFERROR(INDEX(APU_SUBP!$C$7:$C$40,MATCH(H587,APU_SUBP!$A$7:$A$40,0)),M587*P_FACT_IPC),M587*P_FACT_IPC)))</f>
        <v/>
      </c>
      <c r="Q587" s="11" t="n">
        <f aca="false">IF(J587="%mo",L587/100*SUMIFS($R$7:$R$782,$A$7:$A$782,A587),L587*P587)</f>
        <v>0.0208238974970203</v>
      </c>
      <c r="R587" s="11" t="n">
        <f aca="false">IF(G587="MO",L587*P587,0)</f>
        <v>0</v>
      </c>
    </row>
    <row r="588" customFormat="false" ht="15" hidden="false" customHeight="false" outlineLevel="0" collapsed="false">
      <c r="A588" s="9" t="s">
        <v>711</v>
      </c>
      <c r="B588" s="9" t="s">
        <v>686</v>
      </c>
      <c r="C588" s="9" t="s">
        <v>673</v>
      </c>
      <c r="D588" s="9" t="s">
        <v>674</v>
      </c>
      <c r="E588" s="9" t="s">
        <v>16</v>
      </c>
      <c r="F588" s="10" t="n">
        <v>1.17</v>
      </c>
      <c r="G588" s="9" t="s">
        <v>370</v>
      </c>
      <c r="H588" s="9" t="s">
        <v>399</v>
      </c>
      <c r="I588" s="9" t="s">
        <v>400</v>
      </c>
      <c r="J588" s="9" t="s">
        <v>273</v>
      </c>
      <c r="K588" s="31"/>
      <c r="L588" s="31" t="n">
        <v>0.0012</v>
      </c>
      <c r="M588" s="10" t="n">
        <v>24.35</v>
      </c>
      <c r="N588" s="10" t="n">
        <v>0.03</v>
      </c>
      <c r="O588" s="9"/>
      <c r="P588" s="11" t="n">
        <f aca="false">IF(J588="%mo","",IF(G588="MO",IF(J588="hh",INDEX(MO_HH,MATCH(I588,MO_CAT,0)),M588*P_FACT_IPC),IF(G588="SUBPART",IFERROR(INDEX(APU_SUBP!$C$7:$C$40,MATCH(H588,APU_SUBP!$A$7:$A$40,0)),M588*P_FACT_IPC),M588*P_FACT_IPC)))</f>
        <v>30.5614930535066</v>
      </c>
      <c r="Q588" s="11" t="n">
        <f aca="false">IF(J588="%mo",L588/100*SUMIFS($R$7:$R$782,$A$7:$A$782,A588),L588*P588)</f>
        <v>0.036673791664208</v>
      </c>
      <c r="R588" s="11" t="n">
        <f aca="false">IF(G588="MO",L588*P588,0)</f>
        <v>0</v>
      </c>
    </row>
    <row r="589" customFormat="false" ht="15" hidden="false" customHeight="false" outlineLevel="0" collapsed="false">
      <c r="A589" s="7" t="s">
        <v>712</v>
      </c>
      <c r="B589" s="7" t="s">
        <v>686</v>
      </c>
      <c r="C589" s="7" t="s">
        <v>676</v>
      </c>
      <c r="D589" s="7" t="s">
        <v>403</v>
      </c>
      <c r="E589" s="7" t="s">
        <v>16</v>
      </c>
      <c r="F589" s="11" t="n">
        <v>0.16</v>
      </c>
      <c r="G589" s="7" t="s">
        <v>281</v>
      </c>
      <c r="H589" s="7" t="s">
        <v>285</v>
      </c>
      <c r="I589" s="7" t="s">
        <v>117</v>
      </c>
      <c r="J589" s="7" t="s">
        <v>283</v>
      </c>
      <c r="K589" s="22" t="n">
        <v>1</v>
      </c>
      <c r="L589" s="22" t="n">
        <v>0.0013</v>
      </c>
      <c r="M589" s="11" t="n">
        <v>18.56</v>
      </c>
      <c r="N589" s="11" t="n">
        <v>0.02</v>
      </c>
      <c r="O589" s="7" t="s">
        <v>284</v>
      </c>
      <c r="P589" s="11" t="n">
        <f aca="false">IF(J589="%mo","",IF(G589="MO",IF(J589="hh",INDEX(MO_HH,MATCH(I589,MO_CAT,0)),M589*P_FACT_IPC),IF(G589="SUBPART",IFERROR(INDEX(APU_SUBP!$C$7:$C$40,MATCH(H589,APU_SUBP!$A$7:$A$40,0)),M589*P_FACT_IPC),M589*P_FACT_IPC)))</f>
        <v>13.8259833134684</v>
      </c>
      <c r="Q589" s="11" t="n">
        <f aca="false">IF(J589="%mo",L589/100*SUMIFS($R$7:$R$782,$A$7:$A$782,A589),L589*P589)</f>
        <v>0.0179737783075089</v>
      </c>
      <c r="R589" s="11" t="n">
        <f aca="false">IF(G589="MO",L589*P589,0)</f>
        <v>0.0179737783075089</v>
      </c>
    </row>
    <row r="590" customFormat="false" ht="15" hidden="false" customHeight="false" outlineLevel="0" collapsed="false">
      <c r="A590" s="9" t="s">
        <v>712</v>
      </c>
      <c r="B590" s="9" t="s">
        <v>686</v>
      </c>
      <c r="C590" s="9" t="s">
        <v>676</v>
      </c>
      <c r="D590" s="9" t="s">
        <v>403</v>
      </c>
      <c r="E590" s="9" t="s">
        <v>16</v>
      </c>
      <c r="F590" s="10" t="n">
        <v>0.16</v>
      </c>
      <c r="G590" s="9" t="s">
        <v>281</v>
      </c>
      <c r="H590" s="9" t="s">
        <v>286</v>
      </c>
      <c r="I590" s="9" t="s">
        <v>122</v>
      </c>
      <c r="J590" s="9" t="s">
        <v>283</v>
      </c>
      <c r="K590" s="31" t="n">
        <v>2</v>
      </c>
      <c r="L590" s="31" t="n">
        <v>0.0027</v>
      </c>
      <c r="M590" s="10" t="n">
        <v>16.78</v>
      </c>
      <c r="N590" s="10" t="n">
        <v>0.05</v>
      </c>
      <c r="O590" s="9" t="s">
        <v>287</v>
      </c>
      <c r="P590" s="11" t="n">
        <f aca="false">IF(J590="%mo","",IF(G590="MO",IF(J590="hh",INDEX(MO_HH,MATCH(I590,MO_CAT,0)),M590*P_FACT_IPC),IF(G590="SUBPART",IFERROR(INDEX(APU_SUBP!$C$7:$C$40,MATCH(H590,APU_SUBP!$A$7:$A$40,0)),M590*P_FACT_IPC),M590*P_FACT_IPC)))</f>
        <v>12.5</v>
      </c>
      <c r="Q590" s="11" t="n">
        <f aca="false">IF(J590="%mo",L590/100*SUMIFS($R$7:$R$782,$A$7:$A$782,A590),L590*P590)</f>
        <v>0.03375</v>
      </c>
      <c r="R590" s="11" t="n">
        <f aca="false">IF(G590="MO",L590*P590,0)</f>
        <v>0.03375</v>
      </c>
    </row>
    <row r="591" customFormat="false" ht="15" hidden="false" customHeight="false" outlineLevel="0" collapsed="false">
      <c r="A591" s="7" t="s">
        <v>712</v>
      </c>
      <c r="B591" s="7" t="s">
        <v>686</v>
      </c>
      <c r="C591" s="7" t="s">
        <v>676</v>
      </c>
      <c r="D591" s="7" t="s">
        <v>403</v>
      </c>
      <c r="E591" s="7" t="s">
        <v>16</v>
      </c>
      <c r="F591" s="11" t="n">
        <v>0.16</v>
      </c>
      <c r="G591" s="7" t="s">
        <v>288</v>
      </c>
      <c r="H591" s="7" t="s">
        <v>404</v>
      </c>
      <c r="I591" s="7" t="s">
        <v>405</v>
      </c>
      <c r="J591" s="7" t="s">
        <v>291</v>
      </c>
      <c r="K591" s="22" t="n">
        <v>1</v>
      </c>
      <c r="L591" s="22" t="n">
        <v>0.0013</v>
      </c>
      <c r="M591" s="11" t="n">
        <v>65.48</v>
      </c>
      <c r="N591" s="11" t="n">
        <v>0.09</v>
      </c>
      <c r="O591" s="7"/>
      <c r="P591" s="11" t="n">
        <f aca="false">IF(J591="%mo","",IF(G591="MO",IF(J591="hh",INDEX(MO_HH,MATCH(I591,MO_CAT,0)),M591*P_FACT_IPC),IF(G591="SUBPART",IFERROR(INDEX(APU_SUBP!$C$7:$C$40,MATCH(H591,APU_SUBP!$A$7:$A$40,0)),M591*P_FACT_IPC),M591*P_FACT_IPC)))</f>
        <v>84.2266516704854</v>
      </c>
      <c r="Q591" s="11" t="n">
        <f aca="false">IF(J591="%mo",L591/100*SUMIFS($R$7:$R$782,$A$7:$A$782,A591),L591*P591)</f>
        <v>0.109494647171631</v>
      </c>
      <c r="R591" s="11" t="n">
        <f aca="false">IF(G591="MO",L591*P591,0)</f>
        <v>0</v>
      </c>
    </row>
    <row r="592" customFormat="false" ht="15" hidden="false" customHeight="false" outlineLevel="0" collapsed="false">
      <c r="A592" s="9" t="s">
        <v>713</v>
      </c>
      <c r="B592" s="9" t="s">
        <v>686</v>
      </c>
      <c r="C592" s="9" t="s">
        <v>678</v>
      </c>
      <c r="D592" s="9" t="s">
        <v>408</v>
      </c>
      <c r="E592" s="9" t="s">
        <v>16</v>
      </c>
      <c r="F592" s="10" t="n">
        <v>0.34</v>
      </c>
      <c r="G592" s="9" t="s">
        <v>281</v>
      </c>
      <c r="H592" s="9" t="s">
        <v>282</v>
      </c>
      <c r="I592" s="9" t="s">
        <v>107</v>
      </c>
      <c r="J592" s="9" t="s">
        <v>283</v>
      </c>
      <c r="K592" s="31" t="n">
        <v>0.1</v>
      </c>
      <c r="L592" s="31" t="n">
        <v>0.0007</v>
      </c>
      <c r="M592" s="10" t="n">
        <v>25.81</v>
      </c>
      <c r="N592" s="10" t="n">
        <v>0.02</v>
      </c>
      <c r="O592" s="9" t="s">
        <v>284</v>
      </c>
      <c r="P592" s="11" t="n">
        <f aca="false">IF(J592="%mo","",IF(G592="MO",IF(J592="hh",INDEX(MO_HH,MATCH(I592,MO_CAT,0)),M592*P_FACT_IPC),IF(G592="SUBPART",IFERROR(INDEX(APU_SUBP!$C$7:$C$40,MATCH(H592,APU_SUBP!$A$7:$A$40,0)),M592*P_FACT_IPC),M592*P_FACT_IPC)))</f>
        <v>19.226758045292</v>
      </c>
      <c r="Q592" s="11" t="n">
        <f aca="false">IF(J592="%mo",L592/100*SUMIFS($R$7:$R$782,$A$7:$A$782,A592),L592*P592)</f>
        <v>0.0134587306317044</v>
      </c>
      <c r="R592" s="11" t="n">
        <f aca="false">IF(G592="MO",L592*P592,0)</f>
        <v>0.0134587306317044</v>
      </c>
    </row>
    <row r="593" customFormat="false" ht="15" hidden="false" customHeight="false" outlineLevel="0" collapsed="false">
      <c r="A593" s="7" t="s">
        <v>713</v>
      </c>
      <c r="B593" s="7" t="s">
        <v>686</v>
      </c>
      <c r="C593" s="7" t="s">
        <v>678</v>
      </c>
      <c r="D593" s="7" t="s">
        <v>408</v>
      </c>
      <c r="E593" s="7" t="s">
        <v>16</v>
      </c>
      <c r="F593" s="11" t="n">
        <v>0.34</v>
      </c>
      <c r="G593" s="7" t="s">
        <v>281</v>
      </c>
      <c r="H593" s="7" t="s">
        <v>286</v>
      </c>
      <c r="I593" s="7" t="s">
        <v>122</v>
      </c>
      <c r="J593" s="7" t="s">
        <v>283</v>
      </c>
      <c r="K593" s="22" t="n">
        <v>1</v>
      </c>
      <c r="L593" s="22" t="n">
        <v>0.0067</v>
      </c>
      <c r="M593" s="11" t="n">
        <v>16.78</v>
      </c>
      <c r="N593" s="11" t="n">
        <v>0.11</v>
      </c>
      <c r="O593" s="7" t="s">
        <v>287</v>
      </c>
      <c r="P593" s="11" t="n">
        <f aca="false">IF(J593="%mo","",IF(G593="MO",IF(J593="hh",INDEX(MO_HH,MATCH(I593,MO_CAT,0)),M593*P_FACT_IPC),IF(G593="SUBPART",IFERROR(INDEX(APU_SUBP!$C$7:$C$40,MATCH(H593,APU_SUBP!$A$7:$A$40,0)),M593*P_FACT_IPC),M593*P_FACT_IPC)))</f>
        <v>12.5</v>
      </c>
      <c r="Q593" s="11" t="n">
        <f aca="false">IF(J593="%mo",L593/100*SUMIFS($R$7:$R$782,$A$7:$A$782,A593),L593*P593)</f>
        <v>0.08375</v>
      </c>
      <c r="R593" s="11" t="n">
        <f aca="false">IF(G593="MO",L593*P593,0)</f>
        <v>0.08375</v>
      </c>
    </row>
    <row r="594" customFormat="false" ht="15" hidden="false" customHeight="false" outlineLevel="0" collapsed="false">
      <c r="A594" s="9" t="s">
        <v>713</v>
      </c>
      <c r="B594" s="9" t="s">
        <v>686</v>
      </c>
      <c r="C594" s="9" t="s">
        <v>678</v>
      </c>
      <c r="D594" s="9" t="s">
        <v>408</v>
      </c>
      <c r="E594" s="9" t="s">
        <v>16</v>
      </c>
      <c r="F594" s="10" t="n">
        <v>0.34</v>
      </c>
      <c r="G594" s="9" t="s">
        <v>307</v>
      </c>
      <c r="H594" s="9" t="s">
        <v>409</v>
      </c>
      <c r="I594" s="9" t="s">
        <v>410</v>
      </c>
      <c r="J594" s="9" t="s">
        <v>411</v>
      </c>
      <c r="K594" s="31"/>
      <c r="L594" s="31" t="n">
        <v>0.002</v>
      </c>
      <c r="M594" s="10" t="n">
        <v>107.04</v>
      </c>
      <c r="N594" s="10" t="n">
        <v>0.21</v>
      </c>
      <c r="O594" s="9"/>
      <c r="P594" s="11" t="n">
        <f aca="false">IF(J594="%mo","",IF(G594="MO",IF(J594="hh",INDEX(MO_HH,MATCH(I594,MO_CAT,0)),M594*P_FACT_IPC),IF(G594="SUBPART",IFERROR(INDEX(APU_SUBP!$C$7:$C$40,MATCH(H594,APU_SUBP!$A$7:$A$40,0)),M594*P_FACT_IPC),M594*P_FACT_IPC)))</f>
        <v>137.685106823591</v>
      </c>
      <c r="Q594" s="11" t="n">
        <f aca="false">IF(J594="%mo",L594/100*SUMIFS($R$7:$R$782,$A$7:$A$782,A594),L594*P594)</f>
        <v>0.275370213647183</v>
      </c>
      <c r="R594" s="11" t="n">
        <f aca="false">IF(G594="MO",L594*P594,0)</f>
        <v>0</v>
      </c>
    </row>
    <row r="595" customFormat="false" ht="15" hidden="false" customHeight="false" outlineLevel="0" collapsed="false">
      <c r="A595" s="7" t="s">
        <v>713</v>
      </c>
      <c r="B595" s="7" t="s">
        <v>686</v>
      </c>
      <c r="C595" s="7" t="s">
        <v>678</v>
      </c>
      <c r="D595" s="7" t="s">
        <v>408</v>
      </c>
      <c r="E595" s="7" t="s">
        <v>16</v>
      </c>
      <c r="F595" s="11" t="n">
        <v>0.34</v>
      </c>
      <c r="G595" s="7" t="s">
        <v>288</v>
      </c>
      <c r="H595" s="7" t="s">
        <v>327</v>
      </c>
      <c r="I595" s="7" t="s">
        <v>328</v>
      </c>
      <c r="J595" s="7" t="s">
        <v>329</v>
      </c>
      <c r="K595" s="22"/>
      <c r="L595" s="22" t="n">
        <v>3</v>
      </c>
      <c r="M595" s="11" t="n">
        <v>0.13</v>
      </c>
      <c r="N595" s="11" t="n">
        <v>0.0039</v>
      </c>
      <c r="O595" s="7"/>
      <c r="P595" s="11" t="str">
        <f aca="false">IF(J595="%mo","",IF(G595="MO",IF(J595="hh",INDEX(MO_HH,MATCH(I595,MO_CAT,0)),M595*P_FACT_IPC),IF(G595="SUBPART",IFERROR(INDEX(APU_SUBP!$C$7:$C$40,MATCH(H595,APU_SUBP!$A$7:$A$40,0)),M595*P_FACT_IPC),M595*P_FACT_IPC)))</f>
        <v/>
      </c>
      <c r="Q595" s="11" t="n">
        <f aca="false">IF(J595="%mo",L595/100*SUMIFS($R$7:$R$782,$A$7:$A$782,A595),L595*P595)</f>
        <v>0.00291626191895113</v>
      </c>
      <c r="R595" s="11" t="n">
        <f aca="false">IF(G595="MO",L595*P595,0)</f>
        <v>0</v>
      </c>
    </row>
    <row r="596" customFormat="false" ht="15" hidden="false" customHeight="false" outlineLevel="0" collapsed="false">
      <c r="A596" s="9" t="s">
        <v>714</v>
      </c>
      <c r="B596" s="9" t="s">
        <v>686</v>
      </c>
      <c r="C596" s="9" t="s">
        <v>680</v>
      </c>
      <c r="D596" s="9" t="s">
        <v>414</v>
      </c>
      <c r="E596" s="9" t="s">
        <v>341</v>
      </c>
      <c r="F596" s="10" t="n">
        <v>0.81</v>
      </c>
      <c r="G596" s="9" t="s">
        <v>281</v>
      </c>
      <c r="H596" s="9" t="s">
        <v>282</v>
      </c>
      <c r="I596" s="9" t="s">
        <v>107</v>
      </c>
      <c r="J596" s="9" t="s">
        <v>283</v>
      </c>
      <c r="K596" s="31" t="n">
        <v>0.1</v>
      </c>
      <c r="L596" s="31" t="n">
        <v>0.004</v>
      </c>
      <c r="M596" s="10" t="n">
        <v>25.81</v>
      </c>
      <c r="N596" s="10" t="n">
        <v>0.1</v>
      </c>
      <c r="O596" s="9" t="s">
        <v>284</v>
      </c>
      <c r="P596" s="11" t="n">
        <f aca="false">IF(J596="%mo","",IF(G596="MO",IF(J596="hh",INDEX(MO_HH,MATCH(I596,MO_CAT,0)),M596*P_FACT_IPC),IF(G596="SUBPART",IFERROR(INDEX(APU_SUBP!$C$7:$C$40,MATCH(H596,APU_SUBP!$A$7:$A$40,0)),M596*P_FACT_IPC),M596*P_FACT_IPC)))</f>
        <v>19.226758045292</v>
      </c>
      <c r="Q596" s="11" t="n">
        <f aca="false">IF(J596="%mo",L596/100*SUMIFS($R$7:$R$782,$A$7:$A$782,A596),L596*P596)</f>
        <v>0.0769070321811681</v>
      </c>
      <c r="R596" s="11" t="n">
        <f aca="false">IF(G596="MO",L596*P596,0)</f>
        <v>0.0769070321811681</v>
      </c>
    </row>
    <row r="597" customFormat="false" ht="15" hidden="false" customHeight="false" outlineLevel="0" collapsed="false">
      <c r="A597" s="7" t="s">
        <v>714</v>
      </c>
      <c r="B597" s="7" t="s">
        <v>686</v>
      </c>
      <c r="C597" s="7" t="s">
        <v>680</v>
      </c>
      <c r="D597" s="7" t="s">
        <v>414</v>
      </c>
      <c r="E597" s="7" t="s">
        <v>341</v>
      </c>
      <c r="F597" s="11" t="n">
        <v>0.81</v>
      </c>
      <c r="G597" s="7" t="s">
        <v>281</v>
      </c>
      <c r="H597" s="7" t="s">
        <v>286</v>
      </c>
      <c r="I597" s="7" t="s">
        <v>122</v>
      </c>
      <c r="J597" s="7" t="s">
        <v>283</v>
      </c>
      <c r="K597" s="22" t="n">
        <v>1</v>
      </c>
      <c r="L597" s="22" t="n">
        <v>0.04</v>
      </c>
      <c r="M597" s="11" t="n">
        <v>16.78</v>
      </c>
      <c r="N597" s="11" t="n">
        <v>0.67</v>
      </c>
      <c r="O597" s="7" t="s">
        <v>287</v>
      </c>
      <c r="P597" s="11" t="n">
        <f aca="false">IF(J597="%mo","",IF(G597="MO",IF(J597="hh",INDEX(MO_HH,MATCH(I597,MO_CAT,0)),M597*P_FACT_IPC),IF(G597="SUBPART",IFERROR(INDEX(APU_SUBP!$C$7:$C$40,MATCH(H597,APU_SUBP!$A$7:$A$40,0)),M597*P_FACT_IPC),M597*P_FACT_IPC)))</f>
        <v>12.5</v>
      </c>
      <c r="Q597" s="11" t="n">
        <f aca="false">IF(J597="%mo",L597/100*SUMIFS($R$7:$R$782,$A$7:$A$782,A597),L597*P597)</f>
        <v>0.5</v>
      </c>
      <c r="R597" s="11" t="n">
        <f aca="false">IF(G597="MO",L597*P597,0)</f>
        <v>0.5</v>
      </c>
    </row>
    <row r="598" customFormat="false" ht="15" hidden="false" customHeight="false" outlineLevel="0" collapsed="false">
      <c r="A598" s="9" t="s">
        <v>714</v>
      </c>
      <c r="B598" s="9" t="s">
        <v>686</v>
      </c>
      <c r="C598" s="9" t="s">
        <v>680</v>
      </c>
      <c r="D598" s="9" t="s">
        <v>414</v>
      </c>
      <c r="E598" s="9" t="s">
        <v>341</v>
      </c>
      <c r="F598" s="10" t="n">
        <v>0.81</v>
      </c>
      <c r="G598" s="9" t="s">
        <v>288</v>
      </c>
      <c r="H598" s="9" t="s">
        <v>327</v>
      </c>
      <c r="I598" s="9" t="s">
        <v>328</v>
      </c>
      <c r="J598" s="9" t="s">
        <v>329</v>
      </c>
      <c r="K598" s="31"/>
      <c r="L598" s="31" t="n">
        <v>3</v>
      </c>
      <c r="M598" s="10" t="n">
        <v>0.77</v>
      </c>
      <c r="N598" s="10" t="n">
        <v>0.02</v>
      </c>
      <c r="O598" s="9"/>
      <c r="P598" s="11" t="str">
        <f aca="false">IF(J598="%mo","",IF(G598="MO",IF(J598="hh",INDEX(MO_HH,MATCH(I598,MO_CAT,0)),M598*P_FACT_IPC),IF(G598="SUBPART",IFERROR(INDEX(APU_SUBP!$C$7:$C$40,MATCH(H598,APU_SUBP!$A$7:$A$40,0)),M598*P_FACT_IPC),M598*P_FACT_IPC)))</f>
        <v/>
      </c>
      <c r="Q598" s="11" t="n">
        <f aca="false">IF(J598="%mo",L598/100*SUMIFS($R$7:$R$782,$A$7:$A$782,A598),L598*P598)</f>
        <v>0.017307210965435</v>
      </c>
      <c r="R598" s="11" t="n">
        <f aca="false">IF(G598="MO",L598*P598,0)</f>
        <v>0</v>
      </c>
    </row>
    <row r="599" customFormat="false" ht="15" hidden="false" customHeight="false" outlineLevel="0" collapsed="false">
      <c r="A599" s="7" t="s">
        <v>714</v>
      </c>
      <c r="B599" s="7" t="s">
        <v>686</v>
      </c>
      <c r="C599" s="7" t="s">
        <v>680</v>
      </c>
      <c r="D599" s="7" t="s">
        <v>414</v>
      </c>
      <c r="E599" s="7" t="s">
        <v>341</v>
      </c>
      <c r="F599" s="11" t="n">
        <v>0.81</v>
      </c>
      <c r="G599" s="7" t="s">
        <v>370</v>
      </c>
      <c r="H599" s="7" t="s">
        <v>415</v>
      </c>
      <c r="I599" s="7" t="s">
        <v>416</v>
      </c>
      <c r="J599" s="7" t="s">
        <v>273</v>
      </c>
      <c r="K599" s="22"/>
      <c r="L599" s="22" t="n">
        <v>0.001</v>
      </c>
      <c r="M599" s="11" t="n">
        <v>21.15</v>
      </c>
      <c r="N599" s="11" t="n">
        <v>0.02</v>
      </c>
      <c r="O599" s="7"/>
      <c r="P599" s="11" t="n">
        <f aca="false">IF(J599="%mo","",IF(G599="MO",IF(J599="hh",INDEX(MO_HH,MATCH(I599,MO_CAT,0)),M599*P_FACT_IPC),IF(G599="SUBPART",IFERROR(INDEX(APU_SUBP!$C$7:$C$40,MATCH(H599,APU_SUBP!$A$7:$A$40,0)),M599*P_FACT_IPC),M599*P_FACT_IPC)))</f>
        <v>22.7438822970285</v>
      </c>
      <c r="Q599" s="11" t="n">
        <f aca="false">IF(J599="%mo",L599/100*SUMIFS($R$7:$R$782,$A$7:$A$782,A599),L599*P599)</f>
        <v>0.0227438822970285</v>
      </c>
      <c r="R599" s="11" t="n">
        <f aca="false">IF(G599="MO",L599*P599,0)</f>
        <v>0</v>
      </c>
    </row>
    <row r="600" customFormat="false" ht="15" hidden="false" customHeight="false" outlineLevel="0" collapsed="false">
      <c r="A600" s="9" t="s">
        <v>715</v>
      </c>
      <c r="B600" s="9" t="s">
        <v>686</v>
      </c>
      <c r="C600" s="9" t="s">
        <v>682</v>
      </c>
      <c r="D600" s="9" t="s">
        <v>419</v>
      </c>
      <c r="E600" s="9" t="s">
        <v>16</v>
      </c>
      <c r="F600" s="10" t="n">
        <v>1.48</v>
      </c>
      <c r="G600" s="9" t="s">
        <v>281</v>
      </c>
      <c r="H600" s="9" t="s">
        <v>282</v>
      </c>
      <c r="I600" s="9" t="s">
        <v>107</v>
      </c>
      <c r="J600" s="9" t="s">
        <v>283</v>
      </c>
      <c r="K600" s="31" t="n">
        <v>1</v>
      </c>
      <c r="L600" s="31" t="n">
        <v>0.001</v>
      </c>
      <c r="M600" s="10" t="n">
        <v>25.81</v>
      </c>
      <c r="N600" s="10" t="n">
        <v>0.03</v>
      </c>
      <c r="O600" s="9" t="s">
        <v>284</v>
      </c>
      <c r="P600" s="11" t="n">
        <f aca="false">IF(J600="%mo","",IF(G600="MO",IF(J600="hh",INDEX(MO_HH,MATCH(I600,MO_CAT,0)),M600*P_FACT_IPC),IF(G600="SUBPART",IFERROR(INDEX(APU_SUBP!$C$7:$C$40,MATCH(H600,APU_SUBP!$A$7:$A$40,0)),M600*P_FACT_IPC),M600*P_FACT_IPC)))</f>
        <v>19.226758045292</v>
      </c>
      <c r="Q600" s="11" t="n">
        <f aca="false">IF(J600="%mo",L600/100*SUMIFS($R$7:$R$782,$A$7:$A$782,A600),L600*P600)</f>
        <v>0.019226758045292</v>
      </c>
      <c r="R600" s="11" t="n">
        <f aca="false">IF(G600="MO",L600*P600,0)</f>
        <v>0.019226758045292</v>
      </c>
    </row>
    <row r="601" customFormat="false" ht="15" hidden="false" customHeight="false" outlineLevel="0" collapsed="false">
      <c r="A601" s="7" t="s">
        <v>715</v>
      </c>
      <c r="B601" s="7" t="s">
        <v>686</v>
      </c>
      <c r="C601" s="7" t="s">
        <v>682</v>
      </c>
      <c r="D601" s="7" t="s">
        <v>419</v>
      </c>
      <c r="E601" s="7" t="s">
        <v>16</v>
      </c>
      <c r="F601" s="11" t="n">
        <v>1.48</v>
      </c>
      <c r="G601" s="7" t="s">
        <v>281</v>
      </c>
      <c r="H601" s="7" t="s">
        <v>286</v>
      </c>
      <c r="I601" s="7" t="s">
        <v>122</v>
      </c>
      <c r="J601" s="7" t="s">
        <v>283</v>
      </c>
      <c r="K601" s="22" t="n">
        <v>50</v>
      </c>
      <c r="L601" s="22" t="n">
        <v>0.05</v>
      </c>
      <c r="M601" s="11" t="n">
        <v>16.78</v>
      </c>
      <c r="N601" s="11" t="n">
        <v>0.84</v>
      </c>
      <c r="O601" s="7" t="s">
        <v>287</v>
      </c>
      <c r="P601" s="11" t="n">
        <f aca="false">IF(J601="%mo","",IF(G601="MO",IF(J601="hh",INDEX(MO_HH,MATCH(I601,MO_CAT,0)),M601*P_FACT_IPC),IF(G601="SUBPART",IFERROR(INDEX(APU_SUBP!$C$7:$C$40,MATCH(H601,APU_SUBP!$A$7:$A$40,0)),M601*P_FACT_IPC),M601*P_FACT_IPC)))</f>
        <v>12.5</v>
      </c>
      <c r="Q601" s="11" t="n">
        <f aca="false">IF(J601="%mo",L601/100*SUMIFS($R$7:$R$782,$A$7:$A$782,A601),L601*P601)</f>
        <v>0.625</v>
      </c>
      <c r="R601" s="11" t="n">
        <f aca="false">IF(G601="MO",L601*P601,0)</f>
        <v>0.625</v>
      </c>
    </row>
    <row r="602" customFormat="false" ht="15" hidden="false" customHeight="false" outlineLevel="0" collapsed="false">
      <c r="A602" s="9" t="s">
        <v>715</v>
      </c>
      <c r="B602" s="9" t="s">
        <v>686</v>
      </c>
      <c r="C602" s="9" t="s">
        <v>682</v>
      </c>
      <c r="D602" s="9" t="s">
        <v>419</v>
      </c>
      <c r="E602" s="9" t="s">
        <v>16</v>
      </c>
      <c r="F602" s="10" t="n">
        <v>1.48</v>
      </c>
      <c r="G602" s="9" t="s">
        <v>307</v>
      </c>
      <c r="H602" s="9" t="s">
        <v>395</v>
      </c>
      <c r="I602" s="9" t="s">
        <v>396</v>
      </c>
      <c r="J602" s="9" t="s">
        <v>361</v>
      </c>
      <c r="K602" s="31"/>
      <c r="L602" s="31" t="n">
        <v>0.5</v>
      </c>
      <c r="M602" s="10" t="n">
        <v>1.16</v>
      </c>
      <c r="N602" s="10" t="n">
        <v>0.58</v>
      </c>
      <c r="O602" s="9"/>
      <c r="P602" s="11" t="n">
        <f aca="false">IF(J602="%mo","",IF(G602="MO",IF(J602="hh",INDEX(MO_HH,MATCH(I602,MO_CAT,0)),M602*P_FACT_IPC),IF(G602="SUBPART",IFERROR(INDEX(APU_SUBP!$C$7:$C$40,MATCH(H602,APU_SUBP!$A$7:$A$40,0)),M602*P_FACT_IPC),M602*P_FACT_IPC)))</f>
        <v>1.49210317559198</v>
      </c>
      <c r="Q602" s="11" t="n">
        <f aca="false">IF(J602="%mo",L602/100*SUMIFS($R$7:$R$782,$A$7:$A$782,A602),L602*P602)</f>
        <v>0.746051587795992</v>
      </c>
      <c r="R602" s="11" t="n">
        <f aca="false">IF(G602="MO",L602*P602,0)</f>
        <v>0</v>
      </c>
    </row>
    <row r="603" customFormat="false" ht="15" hidden="false" customHeight="false" outlineLevel="0" collapsed="false">
      <c r="A603" s="7" t="s">
        <v>715</v>
      </c>
      <c r="B603" s="7" t="s">
        <v>686</v>
      </c>
      <c r="C603" s="7" t="s">
        <v>682</v>
      </c>
      <c r="D603" s="7" t="s">
        <v>419</v>
      </c>
      <c r="E603" s="7" t="s">
        <v>16</v>
      </c>
      <c r="F603" s="11" t="n">
        <v>1.48</v>
      </c>
      <c r="G603" s="7" t="s">
        <v>288</v>
      </c>
      <c r="H603" s="7" t="s">
        <v>327</v>
      </c>
      <c r="I603" s="7" t="s">
        <v>328</v>
      </c>
      <c r="J603" s="7" t="s">
        <v>329</v>
      </c>
      <c r="K603" s="22"/>
      <c r="L603" s="22" t="n">
        <v>3</v>
      </c>
      <c r="M603" s="11" t="n">
        <v>0.87</v>
      </c>
      <c r="N603" s="11" t="n">
        <v>0.03</v>
      </c>
      <c r="O603" s="7"/>
      <c r="P603" s="11" t="str">
        <f aca="false">IF(J603="%mo","",IF(G603="MO",IF(J603="hh",INDEX(MO_HH,MATCH(I603,MO_CAT,0)),M603*P_FACT_IPC),IF(G603="SUBPART",IFERROR(INDEX(APU_SUBP!$C$7:$C$40,MATCH(H603,APU_SUBP!$A$7:$A$40,0)),M603*P_FACT_IPC),M603*P_FACT_IPC)))</f>
        <v/>
      </c>
      <c r="Q603" s="11" t="n">
        <f aca="false">IF(J603="%mo",L603/100*SUMIFS($R$7:$R$782,$A$7:$A$782,A603),L603*P603)</f>
        <v>0.0193268027413588</v>
      </c>
      <c r="R603" s="11" t="n">
        <f aca="false">IF(G603="MO",L603*P603,0)</f>
        <v>0</v>
      </c>
    </row>
    <row r="604" customFormat="false" ht="15" hidden="false" customHeight="false" outlineLevel="0" collapsed="false">
      <c r="A604" s="9" t="s">
        <v>716</v>
      </c>
      <c r="B604" s="9" t="s">
        <v>686</v>
      </c>
      <c r="C604" s="9" t="s">
        <v>684</v>
      </c>
      <c r="D604" s="9" t="s">
        <v>422</v>
      </c>
      <c r="E604" s="9" t="s">
        <v>16</v>
      </c>
      <c r="F604" s="10" t="n">
        <v>1.05</v>
      </c>
      <c r="G604" s="9" t="s">
        <v>281</v>
      </c>
      <c r="H604" s="9" t="s">
        <v>282</v>
      </c>
      <c r="I604" s="9" t="s">
        <v>107</v>
      </c>
      <c r="J604" s="9" t="s">
        <v>283</v>
      </c>
      <c r="K604" s="31" t="n">
        <v>1</v>
      </c>
      <c r="L604" s="31" t="n">
        <v>0.001</v>
      </c>
      <c r="M604" s="10" t="n">
        <v>25.81</v>
      </c>
      <c r="N604" s="10" t="n">
        <v>0.03</v>
      </c>
      <c r="O604" s="9" t="s">
        <v>284</v>
      </c>
      <c r="P604" s="11" t="n">
        <f aca="false">IF(J604="%mo","",IF(G604="MO",IF(J604="hh",INDEX(MO_HH,MATCH(I604,MO_CAT,0)),M604*P_FACT_IPC),IF(G604="SUBPART",IFERROR(INDEX(APU_SUBP!$C$7:$C$40,MATCH(H604,APU_SUBP!$A$7:$A$40,0)),M604*P_FACT_IPC),M604*P_FACT_IPC)))</f>
        <v>19.226758045292</v>
      </c>
      <c r="Q604" s="11" t="n">
        <f aca="false">IF(J604="%mo",L604/100*SUMIFS($R$7:$R$782,$A$7:$A$782,A604),L604*P604)</f>
        <v>0.019226758045292</v>
      </c>
      <c r="R604" s="11" t="n">
        <f aca="false">IF(G604="MO",L604*P604,0)</f>
        <v>0.019226758045292</v>
      </c>
    </row>
    <row r="605" customFormat="false" ht="15" hidden="false" customHeight="false" outlineLevel="0" collapsed="false">
      <c r="A605" s="7" t="s">
        <v>716</v>
      </c>
      <c r="B605" s="7" t="s">
        <v>686</v>
      </c>
      <c r="C605" s="7" t="s">
        <v>684</v>
      </c>
      <c r="D605" s="7" t="s">
        <v>422</v>
      </c>
      <c r="E605" s="7" t="s">
        <v>16</v>
      </c>
      <c r="F605" s="11" t="n">
        <v>1.05</v>
      </c>
      <c r="G605" s="7" t="s">
        <v>281</v>
      </c>
      <c r="H605" s="7" t="s">
        <v>286</v>
      </c>
      <c r="I605" s="7" t="s">
        <v>122</v>
      </c>
      <c r="J605" s="7" t="s">
        <v>283</v>
      </c>
      <c r="K605" s="22" t="n">
        <v>50</v>
      </c>
      <c r="L605" s="22" t="n">
        <v>0.05</v>
      </c>
      <c r="M605" s="11" t="n">
        <v>16.78</v>
      </c>
      <c r="N605" s="11" t="n">
        <v>0.84</v>
      </c>
      <c r="O605" s="7" t="s">
        <v>287</v>
      </c>
      <c r="P605" s="11" t="n">
        <f aca="false">IF(J605="%mo","",IF(G605="MO",IF(J605="hh",INDEX(MO_HH,MATCH(I605,MO_CAT,0)),M605*P_FACT_IPC),IF(G605="SUBPART",IFERROR(INDEX(APU_SUBP!$C$7:$C$40,MATCH(H605,APU_SUBP!$A$7:$A$40,0)),M605*P_FACT_IPC),M605*P_FACT_IPC)))</f>
        <v>12.5</v>
      </c>
      <c r="Q605" s="11" t="n">
        <f aca="false">IF(J605="%mo",L605/100*SUMIFS($R$7:$R$782,$A$7:$A$782,A605),L605*P605)</f>
        <v>0.625</v>
      </c>
      <c r="R605" s="11" t="n">
        <f aca="false">IF(G605="MO",L605*P605,0)</f>
        <v>0.625</v>
      </c>
    </row>
    <row r="606" customFormat="false" ht="15" hidden="false" customHeight="false" outlineLevel="0" collapsed="false">
      <c r="A606" s="9" t="s">
        <v>716</v>
      </c>
      <c r="B606" s="9" t="s">
        <v>686</v>
      </c>
      <c r="C606" s="9" t="s">
        <v>684</v>
      </c>
      <c r="D606" s="9" t="s">
        <v>422</v>
      </c>
      <c r="E606" s="9" t="s">
        <v>16</v>
      </c>
      <c r="F606" s="10" t="n">
        <v>1.05</v>
      </c>
      <c r="G606" s="9" t="s">
        <v>307</v>
      </c>
      <c r="H606" s="9" t="s">
        <v>423</v>
      </c>
      <c r="I606" s="9" t="s">
        <v>424</v>
      </c>
      <c r="J606" s="9" t="s">
        <v>21</v>
      </c>
      <c r="K606" s="31"/>
      <c r="L606" s="31" t="n">
        <v>0.01</v>
      </c>
      <c r="M606" s="10" t="n">
        <v>0.7</v>
      </c>
      <c r="N606" s="10" t="n">
        <v>0.01</v>
      </c>
      <c r="O606" s="9"/>
      <c r="P606" s="11" t="n">
        <f aca="false">IF(J606="%mo","",IF(G606="MO",IF(J606="hh",INDEX(MO_HH,MATCH(I606,MO_CAT,0)),M606*P_FACT_IPC),IF(G606="SUBPART",IFERROR(INDEX(APU_SUBP!$C$7:$C$40,MATCH(H606,APU_SUBP!$A$7:$A$40,0)),M606*P_FACT_IPC),M606*P_FACT_IPC)))</f>
        <v>0.9004070887193</v>
      </c>
      <c r="Q606" s="11" t="n">
        <f aca="false">IF(J606="%mo",L606/100*SUMIFS($R$7:$R$782,$A$7:$A$782,A606),L606*P606)</f>
        <v>0.009004070887193</v>
      </c>
      <c r="R606" s="11" t="n">
        <f aca="false">IF(G606="MO",L606*P606,0)</f>
        <v>0</v>
      </c>
    </row>
    <row r="607" customFormat="false" ht="15" hidden="false" customHeight="false" outlineLevel="0" collapsed="false">
      <c r="A607" s="7" t="s">
        <v>716</v>
      </c>
      <c r="B607" s="7" t="s">
        <v>686</v>
      </c>
      <c r="C607" s="7" t="s">
        <v>684</v>
      </c>
      <c r="D607" s="7" t="s">
        <v>422</v>
      </c>
      <c r="E607" s="7" t="s">
        <v>16</v>
      </c>
      <c r="F607" s="11" t="n">
        <v>1.05</v>
      </c>
      <c r="G607" s="7" t="s">
        <v>307</v>
      </c>
      <c r="H607" s="7" t="s">
        <v>425</v>
      </c>
      <c r="I607" s="7" t="s">
        <v>426</v>
      </c>
      <c r="J607" s="7" t="s">
        <v>427</v>
      </c>
      <c r="K607" s="22"/>
      <c r="L607" s="22" t="n">
        <v>0.0025</v>
      </c>
      <c r="M607" s="11" t="n">
        <v>14.5</v>
      </c>
      <c r="N607" s="11" t="n">
        <v>0.04</v>
      </c>
      <c r="O607" s="7"/>
      <c r="P607" s="11" t="n">
        <f aca="false">IF(J607="%mo","",IF(G607="MO",IF(J607="hh",INDEX(MO_HH,MATCH(I607,MO_CAT,0)),M607*P_FACT_IPC),IF(G607="SUBPART",IFERROR(INDEX(APU_SUBP!$C$7:$C$40,MATCH(H607,APU_SUBP!$A$7:$A$40,0)),M607*P_FACT_IPC),M607*P_FACT_IPC)))</f>
        <v>18.6512896948998</v>
      </c>
      <c r="Q607" s="11" t="n">
        <f aca="false">IF(J607="%mo",L607/100*SUMIFS($R$7:$R$782,$A$7:$A$782,A607),L607*P607)</f>
        <v>0.0466282242372495</v>
      </c>
      <c r="R607" s="11" t="n">
        <f aca="false">IF(G607="MO",L607*P607,0)</f>
        <v>0</v>
      </c>
    </row>
    <row r="608" customFormat="false" ht="15" hidden="false" customHeight="false" outlineLevel="0" collapsed="false">
      <c r="A608" s="9" t="s">
        <v>716</v>
      </c>
      <c r="B608" s="9" t="s">
        <v>686</v>
      </c>
      <c r="C608" s="9" t="s">
        <v>684</v>
      </c>
      <c r="D608" s="9" t="s">
        <v>422</v>
      </c>
      <c r="E608" s="9" t="s">
        <v>16</v>
      </c>
      <c r="F608" s="10" t="n">
        <v>1.05</v>
      </c>
      <c r="G608" s="9" t="s">
        <v>288</v>
      </c>
      <c r="H608" s="9" t="s">
        <v>428</v>
      </c>
      <c r="I608" s="9" t="s">
        <v>429</v>
      </c>
      <c r="J608" s="9" t="s">
        <v>322</v>
      </c>
      <c r="K608" s="31" t="n">
        <v>1</v>
      </c>
      <c r="L608" s="31" t="n">
        <v>0.001</v>
      </c>
      <c r="M608" s="10" t="n">
        <v>15.62</v>
      </c>
      <c r="N608" s="10" t="n">
        <v>0.02</v>
      </c>
      <c r="O608" s="9"/>
      <c r="P608" s="11" t="n">
        <f aca="false">IF(J608="%mo","",IF(G608="MO",IF(J608="hh",INDEX(MO_HH,MATCH(I608,MO_CAT,0)),M608*P_FACT_IPC),IF(G608="SUBPART",IFERROR(INDEX(APU_SUBP!$C$7:$C$40,MATCH(H608,APU_SUBP!$A$7:$A$40,0)),M608*P_FACT_IPC),M608*P_FACT_IPC)))</f>
        <v>20.0919410368507</v>
      </c>
      <c r="Q608" s="11" t="n">
        <f aca="false">IF(J608="%mo",L608/100*SUMIFS($R$7:$R$782,$A$7:$A$782,A608),L608*P608)</f>
        <v>0.0200919410368507</v>
      </c>
      <c r="R608" s="11" t="n">
        <f aca="false">IF(G608="MO",L608*P608,0)</f>
        <v>0</v>
      </c>
    </row>
    <row r="609" customFormat="false" ht="15" hidden="false" customHeight="false" outlineLevel="0" collapsed="false">
      <c r="A609" s="7" t="s">
        <v>716</v>
      </c>
      <c r="B609" s="7" t="s">
        <v>686</v>
      </c>
      <c r="C609" s="7" t="s">
        <v>684</v>
      </c>
      <c r="D609" s="7" t="s">
        <v>422</v>
      </c>
      <c r="E609" s="7" t="s">
        <v>16</v>
      </c>
      <c r="F609" s="11" t="n">
        <v>1.05</v>
      </c>
      <c r="G609" s="7" t="s">
        <v>370</v>
      </c>
      <c r="H609" s="7" t="s">
        <v>415</v>
      </c>
      <c r="I609" s="7" t="s">
        <v>416</v>
      </c>
      <c r="J609" s="7" t="s">
        <v>273</v>
      </c>
      <c r="K609" s="22"/>
      <c r="L609" s="22" t="n">
        <v>0.005</v>
      </c>
      <c r="M609" s="11" t="n">
        <v>21.15</v>
      </c>
      <c r="N609" s="11" t="n">
        <v>0.11</v>
      </c>
      <c r="O609" s="7"/>
      <c r="P609" s="11" t="n">
        <f aca="false">IF(J609="%mo","",IF(G609="MO",IF(J609="hh",INDEX(MO_HH,MATCH(I609,MO_CAT,0)),M609*P_FACT_IPC),IF(G609="SUBPART",IFERROR(INDEX(APU_SUBP!$C$7:$C$40,MATCH(H609,APU_SUBP!$A$7:$A$40,0)),M609*P_FACT_IPC),M609*P_FACT_IPC)))</f>
        <v>22.7438822970285</v>
      </c>
      <c r="Q609" s="11" t="n">
        <f aca="false">IF(J609="%mo",L609/100*SUMIFS($R$7:$R$782,$A$7:$A$782,A609),L609*P609)</f>
        <v>0.113719411485142</v>
      </c>
      <c r="R609" s="11" t="n">
        <f aca="false">IF(G609="MO",L609*P609,0)</f>
        <v>0</v>
      </c>
    </row>
    <row r="610" customFormat="false" ht="15" hidden="false" customHeight="false" outlineLevel="0" collapsed="false">
      <c r="A610" s="9" t="s">
        <v>717</v>
      </c>
      <c r="B610" s="9" t="s">
        <v>718</v>
      </c>
      <c r="C610" s="9" t="s">
        <v>719</v>
      </c>
      <c r="D610" s="9" t="s">
        <v>400</v>
      </c>
      <c r="E610" s="9" t="s">
        <v>273</v>
      </c>
      <c r="F610" s="10" t="n">
        <v>24.35</v>
      </c>
      <c r="G610" s="9" t="s">
        <v>370</v>
      </c>
      <c r="H610" s="9" t="s">
        <v>720</v>
      </c>
      <c r="I610" s="9" t="s">
        <v>721</v>
      </c>
      <c r="J610" s="9" t="s">
        <v>273</v>
      </c>
      <c r="K610" s="31"/>
      <c r="L610" s="31" t="n">
        <v>1</v>
      </c>
      <c r="M610" s="10" t="n">
        <v>2.08</v>
      </c>
      <c r="N610" s="10" t="n">
        <v>2.08</v>
      </c>
      <c r="O610" s="9"/>
      <c r="P610" s="11" t="n">
        <f aca="false">IF(J610="%mo","",IF(G610="MO",IF(J610="hh",INDEX(MO_HH,MATCH(I610,MO_CAT,0)),M610*P_FACT_IPC),IF(G610="SUBPART",IFERROR(INDEX(APU_SUBP!$C$7:$C$40,MATCH(H610,APU_SUBP!$A$7:$A$40,0)),M610*P_FACT_IPC),M610*P_FACT_IPC)))</f>
        <v>2.61556914721159</v>
      </c>
      <c r="Q610" s="11" t="n">
        <f aca="false">IF(J610="%mo",L610/100*SUMIFS($R$7:$R$782,$A$7:$A$782,A610),L610*P610)</f>
        <v>2.61556914721159</v>
      </c>
      <c r="R610" s="11" t="n">
        <f aca="false">IF(G610="MO",L610*P610,0)</f>
        <v>0</v>
      </c>
    </row>
    <row r="611" customFormat="false" ht="15" hidden="false" customHeight="false" outlineLevel="0" collapsed="false">
      <c r="A611" s="7" t="s">
        <v>717</v>
      </c>
      <c r="B611" s="7" t="s">
        <v>718</v>
      </c>
      <c r="C611" s="7" t="s">
        <v>719</v>
      </c>
      <c r="D611" s="7" t="s">
        <v>400</v>
      </c>
      <c r="E611" s="7" t="s">
        <v>273</v>
      </c>
      <c r="F611" s="11" t="n">
        <v>24.35</v>
      </c>
      <c r="G611" s="7" t="s">
        <v>370</v>
      </c>
      <c r="H611" s="7" t="s">
        <v>722</v>
      </c>
      <c r="I611" s="7" t="s">
        <v>723</v>
      </c>
      <c r="J611" s="7" t="s">
        <v>273</v>
      </c>
      <c r="K611" s="22"/>
      <c r="L611" s="22" t="n">
        <v>1</v>
      </c>
      <c r="M611" s="11" t="n">
        <v>22.27</v>
      </c>
      <c r="N611" s="11" t="n">
        <v>22.27</v>
      </c>
      <c r="O611" s="7"/>
      <c r="P611" s="11" t="n">
        <f aca="false">IF(J611="%mo","",IF(G611="MO",IF(J611="hh",INDEX(MO_HH,MATCH(I611,MO_CAT,0)),M611*P_FACT_IPC),IF(G611="SUBPART",IFERROR(INDEX(APU_SUBP!$C$7:$C$40,MATCH(H611,APU_SUBP!$A$7:$A$40,0)),M611*P_FACT_IPC),M611*P_FACT_IPC)))</f>
        <v>27.945923906295</v>
      </c>
      <c r="Q611" s="11" t="n">
        <f aca="false">IF(J611="%mo",L611/100*SUMIFS($R$7:$R$782,$A$7:$A$782,A611),L611*P611)</f>
        <v>27.945923906295</v>
      </c>
      <c r="R611" s="11" t="n">
        <f aca="false">IF(G611="MO",L611*P611,0)</f>
        <v>0</v>
      </c>
    </row>
    <row r="612" customFormat="false" ht="15" hidden="false" customHeight="false" outlineLevel="0" collapsed="false">
      <c r="A612" s="9" t="s">
        <v>724</v>
      </c>
      <c r="B612" s="9" t="s">
        <v>718</v>
      </c>
      <c r="C612" s="9" t="s">
        <v>725</v>
      </c>
      <c r="D612" s="9" t="s">
        <v>416</v>
      </c>
      <c r="E612" s="9" t="s">
        <v>273</v>
      </c>
      <c r="F612" s="10" t="n">
        <v>21.15</v>
      </c>
      <c r="G612" s="9" t="s">
        <v>281</v>
      </c>
      <c r="H612" s="9" t="s">
        <v>285</v>
      </c>
      <c r="I612" s="9" t="s">
        <v>117</v>
      </c>
      <c r="J612" s="9" t="s">
        <v>283</v>
      </c>
      <c r="K612" s="31" t="n">
        <v>1</v>
      </c>
      <c r="L612" s="31" t="n">
        <v>0.0782</v>
      </c>
      <c r="M612" s="10" t="n">
        <v>18.56</v>
      </c>
      <c r="N612" s="10" t="n">
        <v>1.45</v>
      </c>
      <c r="O612" s="9" t="s">
        <v>284</v>
      </c>
      <c r="P612" s="11" t="n">
        <f aca="false">IF(J612="%mo","",IF(G612="MO",IF(J612="hh",INDEX(MO_HH,MATCH(I612,MO_CAT,0)),M612*P_FACT_IPC),IF(G612="SUBPART",IFERROR(INDEX(APU_SUBP!$C$7:$C$40,MATCH(H612,APU_SUBP!$A$7:$A$40,0)),M612*P_FACT_IPC),M612*P_FACT_IPC)))</f>
        <v>13.8259833134684</v>
      </c>
      <c r="Q612" s="11" t="n">
        <f aca="false">IF(J612="%mo",L612/100*SUMIFS($R$7:$R$782,$A$7:$A$782,A612),L612*P612)</f>
        <v>1.08119189511323</v>
      </c>
      <c r="R612" s="11" t="n">
        <f aca="false">IF(G612="MO",L612*P612,0)</f>
        <v>1.08119189511323</v>
      </c>
    </row>
    <row r="613" customFormat="false" ht="15" hidden="false" customHeight="false" outlineLevel="0" collapsed="false">
      <c r="A613" s="7" t="s">
        <v>724</v>
      </c>
      <c r="B613" s="7" t="s">
        <v>718</v>
      </c>
      <c r="C613" s="7" t="s">
        <v>725</v>
      </c>
      <c r="D613" s="7" t="s">
        <v>416</v>
      </c>
      <c r="E613" s="7" t="s">
        <v>273</v>
      </c>
      <c r="F613" s="11" t="n">
        <v>21.15</v>
      </c>
      <c r="G613" s="7" t="s">
        <v>281</v>
      </c>
      <c r="H613" s="7" t="s">
        <v>286</v>
      </c>
      <c r="I613" s="7" t="s">
        <v>122</v>
      </c>
      <c r="J613" s="7" t="s">
        <v>283</v>
      </c>
      <c r="K613" s="22" t="n">
        <v>5</v>
      </c>
      <c r="L613" s="22" t="n">
        <v>0.3912</v>
      </c>
      <c r="M613" s="11" t="n">
        <v>16.78</v>
      </c>
      <c r="N613" s="11" t="n">
        <v>6.56</v>
      </c>
      <c r="O613" s="7" t="s">
        <v>287</v>
      </c>
      <c r="P613" s="11" t="n">
        <f aca="false">IF(J613="%mo","",IF(G613="MO",IF(J613="hh",INDEX(MO_HH,MATCH(I613,MO_CAT,0)),M613*P_FACT_IPC),IF(G613="SUBPART",IFERROR(INDEX(APU_SUBP!$C$7:$C$40,MATCH(H613,APU_SUBP!$A$7:$A$40,0)),M613*P_FACT_IPC),M613*P_FACT_IPC)))</f>
        <v>12.5</v>
      </c>
      <c r="Q613" s="11" t="n">
        <f aca="false">IF(J613="%mo",L613/100*SUMIFS($R$7:$R$782,$A$7:$A$782,A613),L613*P613)</f>
        <v>4.89</v>
      </c>
      <c r="R613" s="11" t="n">
        <f aca="false">IF(G613="MO",L613*P613,0)</f>
        <v>4.89</v>
      </c>
    </row>
    <row r="614" customFormat="false" ht="15" hidden="false" customHeight="false" outlineLevel="0" collapsed="false">
      <c r="A614" s="9" t="s">
        <v>724</v>
      </c>
      <c r="B614" s="9" t="s">
        <v>718</v>
      </c>
      <c r="C614" s="9" t="s">
        <v>725</v>
      </c>
      <c r="D614" s="9" t="s">
        <v>416</v>
      </c>
      <c r="E614" s="9" t="s">
        <v>273</v>
      </c>
      <c r="F614" s="10" t="n">
        <v>21.15</v>
      </c>
      <c r="G614" s="9" t="s">
        <v>288</v>
      </c>
      <c r="H614" s="9" t="s">
        <v>327</v>
      </c>
      <c r="I614" s="9" t="s">
        <v>328</v>
      </c>
      <c r="J614" s="9" t="s">
        <v>329</v>
      </c>
      <c r="K614" s="31"/>
      <c r="L614" s="31" t="n">
        <v>3</v>
      </c>
      <c r="M614" s="10" t="n">
        <v>8.01</v>
      </c>
      <c r="N614" s="10" t="n">
        <v>0.24</v>
      </c>
      <c r="O614" s="9"/>
      <c r="P614" s="11" t="str">
        <f aca="false">IF(J614="%mo","",IF(G614="MO",IF(J614="hh",INDEX(MO_HH,MATCH(I614,MO_CAT,0)),M614*P_FACT_IPC),IF(G614="SUBPART",IFERROR(INDEX(APU_SUBP!$C$7:$C$40,MATCH(H614,APU_SUBP!$A$7:$A$40,0)),M614*P_FACT_IPC),M614*P_FACT_IPC)))</f>
        <v/>
      </c>
      <c r="Q614" s="11" t="n">
        <f aca="false">IF(J614="%mo",L614/100*SUMIFS($R$7:$R$782,$A$7:$A$782,A614),L614*P614)</f>
        <v>0.179135756853397</v>
      </c>
      <c r="R614" s="11" t="n">
        <f aca="false">IF(G614="MO",L614*P614,0)</f>
        <v>0</v>
      </c>
    </row>
    <row r="615" customFormat="false" ht="15" hidden="false" customHeight="false" outlineLevel="0" collapsed="false">
      <c r="A615" s="7" t="s">
        <v>724</v>
      </c>
      <c r="B615" s="7" t="s">
        <v>718</v>
      </c>
      <c r="C615" s="7" t="s">
        <v>725</v>
      </c>
      <c r="D615" s="7" t="s">
        <v>416</v>
      </c>
      <c r="E615" s="7" t="s">
        <v>273</v>
      </c>
      <c r="F615" s="11" t="n">
        <v>21.15</v>
      </c>
      <c r="G615" s="7" t="s">
        <v>288</v>
      </c>
      <c r="H615" s="7" t="s">
        <v>726</v>
      </c>
      <c r="I615" s="7" t="s">
        <v>727</v>
      </c>
      <c r="J615" s="7" t="s">
        <v>291</v>
      </c>
      <c r="K615" s="22" t="n">
        <v>0.5</v>
      </c>
      <c r="L615" s="22" t="n">
        <v>0.0391</v>
      </c>
      <c r="M615" s="11" t="n">
        <v>48.17</v>
      </c>
      <c r="N615" s="11" t="n">
        <v>1.88</v>
      </c>
      <c r="O615" s="7"/>
      <c r="P615" s="11" t="n">
        <f aca="false">IF(J615="%mo","",IF(G615="MO",IF(J615="hh",INDEX(MO_HH,MATCH(I615,MO_CAT,0)),M615*P_FACT_IPC),IF(G615="SUBPART",IFERROR(INDEX(APU_SUBP!$C$7:$C$40,MATCH(H615,APU_SUBP!$A$7:$A$40,0)),M615*P_FACT_IPC),M615*P_FACT_IPC)))</f>
        <v>61.9608706622981</v>
      </c>
      <c r="Q615" s="11" t="n">
        <f aca="false">IF(J615="%mo",L615/100*SUMIFS($R$7:$R$782,$A$7:$A$782,A615),L615*P615)</f>
        <v>2.42267004289586</v>
      </c>
      <c r="R615" s="11" t="n">
        <f aca="false">IF(G615="MO",L615*P615,0)</f>
        <v>0</v>
      </c>
    </row>
    <row r="616" customFormat="false" ht="15" hidden="false" customHeight="false" outlineLevel="0" collapsed="false">
      <c r="A616" s="9" t="s">
        <v>724</v>
      </c>
      <c r="B616" s="9" t="s">
        <v>718</v>
      </c>
      <c r="C616" s="9" t="s">
        <v>725</v>
      </c>
      <c r="D616" s="9" t="s">
        <v>416</v>
      </c>
      <c r="E616" s="9" t="s">
        <v>273</v>
      </c>
      <c r="F616" s="10" t="n">
        <v>21.15</v>
      </c>
      <c r="G616" s="9" t="s">
        <v>288</v>
      </c>
      <c r="H616" s="9" t="s">
        <v>298</v>
      </c>
      <c r="I616" s="9" t="s">
        <v>299</v>
      </c>
      <c r="J616" s="9" t="s">
        <v>291</v>
      </c>
      <c r="K616" s="31" t="n">
        <v>1</v>
      </c>
      <c r="L616" s="31" t="n">
        <v>0.0782</v>
      </c>
      <c r="M616" s="10" t="n">
        <v>140.88</v>
      </c>
      <c r="N616" s="10" t="n">
        <v>11.02</v>
      </c>
      <c r="O616" s="9"/>
      <c r="P616" s="11" t="n">
        <f aca="false">IF(J616="%mo","",IF(G616="MO",IF(J616="hh",INDEX(MO_HH,MATCH(I616,MO_CAT,0)),M616*P_FACT_IPC),IF(G616="SUBPART",IFERROR(INDEX(APU_SUBP!$C$7:$C$40,MATCH(H616,APU_SUBP!$A$7:$A$40,0)),M616*P_FACT_IPC),M616*P_FACT_IPC)))</f>
        <v>181.213358083964</v>
      </c>
      <c r="Q616" s="11" t="n">
        <f aca="false">IF(J616="%mo",L616/100*SUMIFS($R$7:$R$782,$A$7:$A$782,A616),L616*P616)</f>
        <v>14.170884602166</v>
      </c>
      <c r="R616" s="11" t="n">
        <f aca="false">IF(G616="MO",L616*P616,0)</f>
        <v>0</v>
      </c>
    </row>
    <row r="617" customFormat="false" ht="15" hidden="false" customHeight="false" outlineLevel="0" collapsed="false">
      <c r="A617" s="7" t="s">
        <v>728</v>
      </c>
      <c r="B617" s="7" t="s">
        <v>718</v>
      </c>
      <c r="C617" s="7" t="s">
        <v>729</v>
      </c>
      <c r="D617" s="7" t="s">
        <v>372</v>
      </c>
      <c r="E617" s="7" t="s">
        <v>273</v>
      </c>
      <c r="F617" s="11" t="n">
        <v>56.6</v>
      </c>
      <c r="G617" s="7" t="s">
        <v>370</v>
      </c>
      <c r="H617" s="7" t="s">
        <v>730</v>
      </c>
      <c r="I617" s="7" t="s">
        <v>731</v>
      </c>
      <c r="J617" s="7" t="s">
        <v>273</v>
      </c>
      <c r="K617" s="22"/>
      <c r="L617" s="22" t="n">
        <v>1</v>
      </c>
      <c r="M617" s="11" t="n">
        <v>4.33</v>
      </c>
      <c r="N617" s="11" t="n">
        <v>4.33</v>
      </c>
      <c r="O617" s="7"/>
      <c r="P617" s="11" t="n">
        <f aca="false">IF(J617="%mo","",IF(G617="MO",IF(J617="hh",INDEX(MO_HH,MATCH(I617,MO_CAT,0)),M617*P_FACT_IPC),IF(G617="SUBPART",IFERROR(INDEX(APU_SUBP!$C$7:$C$40,MATCH(H617,APU_SUBP!$A$7:$A$40,0)),M617*P_FACT_IPC),M617*P_FACT_IPC)))</f>
        <v>5.24396374068928</v>
      </c>
      <c r="Q617" s="11" t="n">
        <f aca="false">IF(J617="%mo",L617/100*SUMIFS($R$7:$R$782,$A$7:$A$782,A617),L617*P617)</f>
        <v>5.24396374068928</v>
      </c>
      <c r="R617" s="11" t="n">
        <f aca="false">IF(G617="MO",L617*P617,0)</f>
        <v>0</v>
      </c>
    </row>
    <row r="618" customFormat="false" ht="15" hidden="false" customHeight="false" outlineLevel="0" collapsed="false">
      <c r="A618" s="9" t="s">
        <v>728</v>
      </c>
      <c r="B618" s="9" t="s">
        <v>718</v>
      </c>
      <c r="C618" s="9" t="s">
        <v>729</v>
      </c>
      <c r="D618" s="9" t="s">
        <v>372</v>
      </c>
      <c r="E618" s="9" t="s">
        <v>273</v>
      </c>
      <c r="F618" s="10" t="n">
        <v>56.6</v>
      </c>
      <c r="G618" s="9" t="s">
        <v>370</v>
      </c>
      <c r="H618" s="9" t="s">
        <v>732</v>
      </c>
      <c r="I618" s="9" t="s">
        <v>733</v>
      </c>
      <c r="J618" s="9" t="s">
        <v>273</v>
      </c>
      <c r="K618" s="31"/>
      <c r="L618" s="31" t="n">
        <v>1</v>
      </c>
      <c r="M618" s="10" t="n">
        <v>52.27</v>
      </c>
      <c r="N618" s="10" t="n">
        <v>52.27</v>
      </c>
      <c r="O618" s="9"/>
      <c r="P618" s="11" t="n">
        <f aca="false">IF(J618="%mo","",IF(G618="MO",IF(J618="hh",INDEX(MO_HH,MATCH(I618,MO_CAT,0)),M618*P_FACT_IPC),IF(G618="SUBPART",IFERROR(INDEX(APU_SUBP!$C$7:$C$40,MATCH(H618,APU_SUBP!$A$7:$A$40,0)),M618*P_FACT_IPC),M618*P_FACT_IPC)))</f>
        <v>63.8985475362789</v>
      </c>
      <c r="Q618" s="11" t="n">
        <f aca="false">IF(J618="%mo",L618/100*SUMIFS($R$7:$R$782,$A$7:$A$782,A618),L618*P618)</f>
        <v>63.8985475362789</v>
      </c>
      <c r="R618" s="11" t="n">
        <f aca="false">IF(G618="MO",L618*P618,0)</f>
        <v>0</v>
      </c>
    </row>
    <row r="619" customFormat="false" ht="15" hidden="false" customHeight="false" outlineLevel="0" collapsed="false">
      <c r="A619" s="7" t="s">
        <v>734</v>
      </c>
      <c r="B619" s="7" t="s">
        <v>718</v>
      </c>
      <c r="C619" s="7" t="s">
        <v>735</v>
      </c>
      <c r="D619" s="7" t="s">
        <v>731</v>
      </c>
      <c r="E619" s="7" t="s">
        <v>273</v>
      </c>
      <c r="F619" s="11" t="n">
        <v>4.33</v>
      </c>
      <c r="G619" s="7" t="s">
        <v>281</v>
      </c>
      <c r="H619" s="7" t="s">
        <v>282</v>
      </c>
      <c r="I619" s="7" t="s">
        <v>107</v>
      </c>
      <c r="J619" s="7" t="s">
        <v>283</v>
      </c>
      <c r="K619" s="22" t="n">
        <v>0.1</v>
      </c>
      <c r="L619" s="22" t="n">
        <v>0.001</v>
      </c>
      <c r="M619" s="11" t="n">
        <v>25.81</v>
      </c>
      <c r="N619" s="11" t="n">
        <v>0.03</v>
      </c>
      <c r="O619" s="7" t="s">
        <v>284</v>
      </c>
      <c r="P619" s="11" t="n">
        <f aca="false">IF(J619="%mo","",IF(G619="MO",IF(J619="hh",INDEX(MO_HH,MATCH(I619,MO_CAT,0)),M619*P_FACT_IPC),IF(G619="SUBPART",IFERROR(INDEX(APU_SUBP!$C$7:$C$40,MATCH(H619,APU_SUBP!$A$7:$A$40,0)),M619*P_FACT_IPC),M619*P_FACT_IPC)))</f>
        <v>19.226758045292</v>
      </c>
      <c r="Q619" s="11" t="n">
        <f aca="false">IF(J619="%mo",L619/100*SUMIFS($R$7:$R$782,$A$7:$A$782,A619),L619*P619)</f>
        <v>0.019226758045292</v>
      </c>
      <c r="R619" s="11" t="n">
        <f aca="false">IF(G619="MO",L619*P619,0)</f>
        <v>0.019226758045292</v>
      </c>
    </row>
    <row r="620" customFormat="false" ht="15" hidden="false" customHeight="false" outlineLevel="0" collapsed="false">
      <c r="A620" s="9" t="s">
        <v>734</v>
      </c>
      <c r="B620" s="9" t="s">
        <v>718</v>
      </c>
      <c r="C620" s="9" t="s">
        <v>735</v>
      </c>
      <c r="D620" s="9" t="s">
        <v>731</v>
      </c>
      <c r="E620" s="9" t="s">
        <v>273</v>
      </c>
      <c r="F620" s="10" t="n">
        <v>4.33</v>
      </c>
      <c r="G620" s="9" t="s">
        <v>281</v>
      </c>
      <c r="H620" s="9" t="s">
        <v>285</v>
      </c>
      <c r="I620" s="9" t="s">
        <v>117</v>
      </c>
      <c r="J620" s="9" t="s">
        <v>283</v>
      </c>
      <c r="K620" s="31" t="n">
        <v>1</v>
      </c>
      <c r="L620" s="31" t="n">
        <v>0.01</v>
      </c>
      <c r="M620" s="10" t="n">
        <v>18.56</v>
      </c>
      <c r="N620" s="10" t="n">
        <v>0.19</v>
      </c>
      <c r="O620" s="9" t="s">
        <v>284</v>
      </c>
      <c r="P620" s="11" t="n">
        <f aca="false">IF(J620="%mo","",IF(G620="MO",IF(J620="hh",INDEX(MO_HH,MATCH(I620,MO_CAT,0)),M620*P_FACT_IPC),IF(G620="SUBPART",IFERROR(INDEX(APU_SUBP!$C$7:$C$40,MATCH(H620,APU_SUBP!$A$7:$A$40,0)),M620*P_FACT_IPC),M620*P_FACT_IPC)))</f>
        <v>13.8259833134684</v>
      </c>
      <c r="Q620" s="11" t="n">
        <f aca="false">IF(J620="%mo",L620/100*SUMIFS($R$7:$R$782,$A$7:$A$782,A620),L620*P620)</f>
        <v>0.138259833134684</v>
      </c>
      <c r="R620" s="11" t="n">
        <f aca="false">IF(G620="MO",L620*P620,0)</f>
        <v>0.138259833134684</v>
      </c>
    </row>
    <row r="621" customFormat="false" ht="15" hidden="false" customHeight="false" outlineLevel="0" collapsed="false">
      <c r="A621" s="7" t="s">
        <v>734</v>
      </c>
      <c r="B621" s="7" t="s">
        <v>718</v>
      </c>
      <c r="C621" s="7" t="s">
        <v>735</v>
      </c>
      <c r="D621" s="7" t="s">
        <v>731</v>
      </c>
      <c r="E621" s="7" t="s">
        <v>273</v>
      </c>
      <c r="F621" s="11" t="n">
        <v>4.33</v>
      </c>
      <c r="G621" s="7" t="s">
        <v>281</v>
      </c>
      <c r="H621" s="7" t="s">
        <v>286</v>
      </c>
      <c r="I621" s="7" t="s">
        <v>122</v>
      </c>
      <c r="J621" s="7" t="s">
        <v>283</v>
      </c>
      <c r="K621" s="22" t="n">
        <v>2</v>
      </c>
      <c r="L621" s="22" t="n">
        <v>0.02</v>
      </c>
      <c r="M621" s="11" t="n">
        <v>16.78</v>
      </c>
      <c r="N621" s="11" t="n">
        <v>0.34</v>
      </c>
      <c r="O621" s="7" t="s">
        <v>287</v>
      </c>
      <c r="P621" s="11" t="n">
        <f aca="false">IF(J621="%mo","",IF(G621="MO",IF(J621="hh",INDEX(MO_HH,MATCH(I621,MO_CAT,0)),M621*P_FACT_IPC),IF(G621="SUBPART",IFERROR(INDEX(APU_SUBP!$C$7:$C$40,MATCH(H621,APU_SUBP!$A$7:$A$40,0)),M621*P_FACT_IPC),M621*P_FACT_IPC)))</f>
        <v>12.5</v>
      </c>
      <c r="Q621" s="11" t="n">
        <f aca="false">IF(J621="%mo",L621/100*SUMIFS($R$7:$R$782,$A$7:$A$782,A621),L621*P621)</f>
        <v>0.25</v>
      </c>
      <c r="R621" s="11" t="n">
        <f aca="false">IF(G621="MO",L621*P621,0)</f>
        <v>0.25</v>
      </c>
    </row>
    <row r="622" customFormat="false" ht="15" hidden="false" customHeight="false" outlineLevel="0" collapsed="false">
      <c r="A622" s="9" t="s">
        <v>734</v>
      </c>
      <c r="B622" s="9" t="s">
        <v>718</v>
      </c>
      <c r="C622" s="9" t="s">
        <v>735</v>
      </c>
      <c r="D622" s="9" t="s">
        <v>731</v>
      </c>
      <c r="E622" s="9" t="s">
        <v>273</v>
      </c>
      <c r="F622" s="10" t="n">
        <v>4.33</v>
      </c>
      <c r="G622" s="9" t="s">
        <v>288</v>
      </c>
      <c r="H622" s="9" t="s">
        <v>327</v>
      </c>
      <c r="I622" s="9" t="s">
        <v>328</v>
      </c>
      <c r="J622" s="9" t="s">
        <v>329</v>
      </c>
      <c r="K622" s="31"/>
      <c r="L622" s="31" t="n">
        <v>3</v>
      </c>
      <c r="M622" s="10" t="n">
        <v>0.56</v>
      </c>
      <c r="N622" s="10" t="n">
        <v>0.02</v>
      </c>
      <c r="O622" s="9"/>
      <c r="P622" s="11" t="str">
        <f aca="false">IF(J622="%mo","",IF(G622="MO",IF(J622="hh",INDEX(MO_HH,MATCH(I622,MO_CAT,0)),M622*P_FACT_IPC),IF(G622="SUBPART",IFERROR(INDEX(APU_SUBP!$C$7:$C$40,MATCH(H622,APU_SUBP!$A$7:$A$40,0)),M622*P_FACT_IPC),M622*P_FACT_IPC)))</f>
        <v/>
      </c>
      <c r="Q622" s="11" t="n">
        <f aca="false">IF(J622="%mo",L622/100*SUMIFS($R$7:$R$782,$A$7:$A$782,A622),L622*P622)</f>
        <v>0.0122245977353993</v>
      </c>
      <c r="R622" s="11" t="n">
        <f aca="false">IF(G622="MO",L622*P622,0)</f>
        <v>0</v>
      </c>
    </row>
    <row r="623" customFormat="false" ht="15" hidden="false" customHeight="false" outlineLevel="0" collapsed="false">
      <c r="A623" s="7" t="s">
        <v>734</v>
      </c>
      <c r="B623" s="7" t="s">
        <v>718</v>
      </c>
      <c r="C623" s="7" t="s">
        <v>735</v>
      </c>
      <c r="D623" s="7" t="s">
        <v>731</v>
      </c>
      <c r="E623" s="7" t="s">
        <v>273</v>
      </c>
      <c r="F623" s="11" t="n">
        <v>4.33</v>
      </c>
      <c r="G623" s="7" t="s">
        <v>288</v>
      </c>
      <c r="H623" s="7" t="s">
        <v>736</v>
      </c>
      <c r="I623" s="7" t="s">
        <v>737</v>
      </c>
      <c r="J623" s="7" t="s">
        <v>291</v>
      </c>
      <c r="K623" s="22" t="n">
        <v>1</v>
      </c>
      <c r="L623" s="22" t="n">
        <v>0.01</v>
      </c>
      <c r="M623" s="11" t="n">
        <v>15.25</v>
      </c>
      <c r="N623" s="11" t="n">
        <v>0.15</v>
      </c>
      <c r="O623" s="7"/>
      <c r="P623" s="11" t="n">
        <f aca="false">IF(J623="%mo","",IF(G623="MO",IF(J623="hh",INDEX(MO_HH,MATCH(I623,MO_CAT,0)),M623*P_FACT_IPC),IF(G623="SUBPART",IFERROR(INDEX(APU_SUBP!$C$7:$C$40,MATCH(H623,APU_SUBP!$A$7:$A$40,0)),M623*P_FACT_IPC),M623*P_FACT_IPC)))</f>
        <v>19.6160115756705</v>
      </c>
      <c r="Q623" s="11" t="n">
        <f aca="false">IF(J623="%mo",L623/100*SUMIFS($R$7:$R$782,$A$7:$A$782,A623),L623*P623)</f>
        <v>0.196160115756705</v>
      </c>
      <c r="R623" s="11" t="n">
        <f aca="false">IF(G623="MO",L623*P623,0)</f>
        <v>0</v>
      </c>
    </row>
    <row r="624" customFormat="false" ht="15" hidden="false" customHeight="false" outlineLevel="0" collapsed="false">
      <c r="A624" s="9" t="s">
        <v>734</v>
      </c>
      <c r="B624" s="9" t="s">
        <v>718</v>
      </c>
      <c r="C624" s="9" t="s">
        <v>735</v>
      </c>
      <c r="D624" s="9" t="s">
        <v>731</v>
      </c>
      <c r="E624" s="9" t="s">
        <v>273</v>
      </c>
      <c r="F624" s="10" t="n">
        <v>4.33</v>
      </c>
      <c r="G624" s="9" t="s">
        <v>288</v>
      </c>
      <c r="H624" s="9" t="s">
        <v>738</v>
      </c>
      <c r="I624" s="9" t="s">
        <v>739</v>
      </c>
      <c r="J624" s="9" t="s">
        <v>291</v>
      </c>
      <c r="K624" s="31" t="n">
        <v>0.5</v>
      </c>
      <c r="L624" s="31" t="n">
        <v>0.005</v>
      </c>
      <c r="M624" s="10" t="n">
        <v>233.48</v>
      </c>
      <c r="N624" s="10" t="n">
        <v>1.17</v>
      </c>
      <c r="O624" s="9"/>
      <c r="P624" s="11" t="n">
        <f aca="false">IF(J624="%mo","",IF(G624="MO",IF(J624="hh",INDEX(MO_HH,MATCH(I624,MO_CAT,0)),M624*P_FACT_IPC),IF(G624="SUBPART",IFERROR(INDEX(APU_SUBP!$C$7:$C$40,MATCH(H624,APU_SUBP!$A$7:$A$40,0)),M624*P_FACT_IPC),M624*P_FACT_IPC)))</f>
        <v>300.324352963117</v>
      </c>
      <c r="Q624" s="11" t="n">
        <f aca="false">IF(J624="%mo",L624/100*SUMIFS($R$7:$R$782,$A$7:$A$782,A624),L624*P624)</f>
        <v>1.50162176481559</v>
      </c>
      <c r="R624" s="11" t="n">
        <f aca="false">IF(G624="MO",L624*P624,0)</f>
        <v>0</v>
      </c>
    </row>
    <row r="625" customFormat="false" ht="15" hidden="false" customHeight="false" outlineLevel="0" collapsed="false">
      <c r="A625" s="7" t="s">
        <v>734</v>
      </c>
      <c r="B625" s="7" t="s">
        <v>718</v>
      </c>
      <c r="C625" s="7" t="s">
        <v>735</v>
      </c>
      <c r="D625" s="7" t="s">
        <v>731</v>
      </c>
      <c r="E625" s="7" t="s">
        <v>273</v>
      </c>
      <c r="F625" s="11" t="n">
        <v>4.33</v>
      </c>
      <c r="G625" s="7" t="s">
        <v>288</v>
      </c>
      <c r="H625" s="7" t="s">
        <v>740</v>
      </c>
      <c r="I625" s="7" t="s">
        <v>741</v>
      </c>
      <c r="J625" s="7" t="s">
        <v>291</v>
      </c>
      <c r="K625" s="22" t="n">
        <v>1</v>
      </c>
      <c r="L625" s="22" t="n">
        <v>0.01</v>
      </c>
      <c r="M625" s="11" t="n">
        <v>243.06</v>
      </c>
      <c r="N625" s="11" t="n">
        <v>2.43</v>
      </c>
      <c r="O625" s="7"/>
      <c r="P625" s="11" t="n">
        <f aca="false">IF(J625="%mo","",IF(G625="MO",IF(J625="hh",INDEX(MO_HH,MATCH(I625,MO_CAT,0)),M625*P_FACT_IPC),IF(G625="SUBPART",IFERROR(INDEX(APU_SUBP!$C$7:$C$40,MATCH(H625,APU_SUBP!$A$7:$A$40,0)),M625*P_FACT_IPC),M625*P_FACT_IPC)))</f>
        <v>312.647067120162</v>
      </c>
      <c r="Q625" s="11" t="n">
        <f aca="false">IF(J625="%mo",L625/100*SUMIFS($R$7:$R$782,$A$7:$A$782,A625),L625*P625)</f>
        <v>3.12647067120162</v>
      </c>
      <c r="R625" s="11" t="n">
        <f aca="false">IF(G625="MO",L625*P625,0)</f>
        <v>0</v>
      </c>
    </row>
    <row r="626" customFormat="false" ht="15" hidden="false" customHeight="false" outlineLevel="0" collapsed="false">
      <c r="A626" s="9" t="s">
        <v>742</v>
      </c>
      <c r="B626" s="9" t="s">
        <v>718</v>
      </c>
      <c r="C626" s="9" t="s">
        <v>743</v>
      </c>
      <c r="D626" s="9" t="s">
        <v>733</v>
      </c>
      <c r="E626" s="9" t="s">
        <v>273</v>
      </c>
      <c r="F626" s="10" t="n">
        <v>52.27</v>
      </c>
      <c r="G626" s="9" t="s">
        <v>281</v>
      </c>
      <c r="H626" s="9" t="s">
        <v>286</v>
      </c>
      <c r="I626" s="9" t="s">
        <v>122</v>
      </c>
      <c r="J626" s="9" t="s">
        <v>283</v>
      </c>
      <c r="K626" s="31" t="n">
        <v>1</v>
      </c>
      <c r="L626" s="31" t="n">
        <v>0.1684</v>
      </c>
      <c r="M626" s="10" t="n">
        <v>16.78</v>
      </c>
      <c r="N626" s="10" t="n">
        <v>2.83</v>
      </c>
      <c r="O626" s="9" t="s">
        <v>287</v>
      </c>
      <c r="P626" s="11" t="n">
        <f aca="false">IF(J626="%mo","",IF(G626="MO",IF(J626="hh",INDEX(MO_HH,MATCH(I626,MO_CAT,0)),M626*P_FACT_IPC),IF(G626="SUBPART",IFERROR(INDEX(APU_SUBP!$C$7:$C$40,MATCH(H626,APU_SUBP!$A$7:$A$40,0)),M626*P_FACT_IPC),M626*P_FACT_IPC)))</f>
        <v>12.5</v>
      </c>
      <c r="Q626" s="11" t="n">
        <f aca="false">IF(J626="%mo",L626/100*SUMIFS($R$7:$R$782,$A$7:$A$782,A626),L626*P626)</f>
        <v>2.105</v>
      </c>
      <c r="R626" s="11" t="n">
        <f aca="false">IF(G626="MO",L626*P626,0)</f>
        <v>2.105</v>
      </c>
    </row>
    <row r="627" customFormat="false" ht="15" hidden="false" customHeight="false" outlineLevel="0" collapsed="false">
      <c r="A627" s="7" t="s">
        <v>742</v>
      </c>
      <c r="B627" s="7" t="s">
        <v>718</v>
      </c>
      <c r="C627" s="7" t="s">
        <v>743</v>
      </c>
      <c r="D627" s="7" t="s">
        <v>733</v>
      </c>
      <c r="E627" s="7" t="s">
        <v>273</v>
      </c>
      <c r="F627" s="11" t="n">
        <v>52.27</v>
      </c>
      <c r="G627" s="7" t="s">
        <v>281</v>
      </c>
      <c r="H627" s="7" t="s">
        <v>285</v>
      </c>
      <c r="I627" s="7" t="s">
        <v>117</v>
      </c>
      <c r="J627" s="7" t="s">
        <v>283</v>
      </c>
      <c r="K627" s="22" t="n">
        <v>1</v>
      </c>
      <c r="L627" s="22" t="n">
        <v>0.1684</v>
      </c>
      <c r="M627" s="11" t="n">
        <v>18.56</v>
      </c>
      <c r="N627" s="11" t="n">
        <v>3.13</v>
      </c>
      <c r="O627" s="7" t="s">
        <v>284</v>
      </c>
      <c r="P627" s="11" t="n">
        <f aca="false">IF(J627="%mo","",IF(G627="MO",IF(J627="hh",INDEX(MO_HH,MATCH(I627,MO_CAT,0)),M627*P_FACT_IPC),IF(G627="SUBPART",IFERROR(INDEX(APU_SUBP!$C$7:$C$40,MATCH(H627,APU_SUBP!$A$7:$A$40,0)),M627*P_FACT_IPC),M627*P_FACT_IPC)))</f>
        <v>13.8259833134684</v>
      </c>
      <c r="Q627" s="11" t="n">
        <f aca="false">IF(J627="%mo",L627/100*SUMIFS($R$7:$R$782,$A$7:$A$782,A627),L627*P627)</f>
        <v>2.32829558998808</v>
      </c>
      <c r="R627" s="11" t="n">
        <f aca="false">IF(G627="MO",L627*P627,0)</f>
        <v>2.32829558998808</v>
      </c>
    </row>
    <row r="628" customFormat="false" ht="15" hidden="false" customHeight="false" outlineLevel="0" collapsed="false">
      <c r="A628" s="9" t="s">
        <v>742</v>
      </c>
      <c r="B628" s="9" t="s">
        <v>718</v>
      </c>
      <c r="C628" s="9" t="s">
        <v>743</v>
      </c>
      <c r="D628" s="9" t="s">
        <v>733</v>
      </c>
      <c r="E628" s="9" t="s">
        <v>273</v>
      </c>
      <c r="F628" s="10" t="n">
        <v>52.27</v>
      </c>
      <c r="G628" s="9" t="s">
        <v>288</v>
      </c>
      <c r="H628" s="9" t="s">
        <v>327</v>
      </c>
      <c r="I628" s="9" t="s">
        <v>328</v>
      </c>
      <c r="J628" s="9" t="s">
        <v>329</v>
      </c>
      <c r="K628" s="31"/>
      <c r="L628" s="31" t="n">
        <v>3</v>
      </c>
      <c r="M628" s="10" t="n">
        <v>5.96</v>
      </c>
      <c r="N628" s="10" t="n">
        <v>0.18</v>
      </c>
      <c r="O628" s="9"/>
      <c r="P628" s="11" t="str">
        <f aca="false">IF(J628="%mo","",IF(G628="MO",IF(J628="hh",INDEX(MO_HH,MATCH(I628,MO_CAT,0)),M628*P_FACT_IPC),IF(G628="SUBPART",IFERROR(INDEX(APU_SUBP!$C$7:$C$40,MATCH(H628,APU_SUBP!$A$7:$A$40,0)),M628*P_FACT_IPC),M628*P_FACT_IPC)))</f>
        <v/>
      </c>
      <c r="Q628" s="11" t="n">
        <f aca="false">IF(J628="%mo",L628/100*SUMIFS($R$7:$R$782,$A$7:$A$782,A628),L628*P628)</f>
        <v>0.132998867699642</v>
      </c>
      <c r="R628" s="11" t="n">
        <f aca="false">IF(G628="MO",L628*P628,0)</f>
        <v>0</v>
      </c>
    </row>
    <row r="629" customFormat="false" ht="15" hidden="false" customHeight="false" outlineLevel="0" collapsed="false">
      <c r="A629" s="7" t="s">
        <v>742</v>
      </c>
      <c r="B629" s="7" t="s">
        <v>718</v>
      </c>
      <c r="C629" s="7" t="s">
        <v>743</v>
      </c>
      <c r="D629" s="7" t="s">
        <v>733</v>
      </c>
      <c r="E629" s="7" t="s">
        <v>273</v>
      </c>
      <c r="F629" s="11" t="n">
        <v>52.27</v>
      </c>
      <c r="G629" s="7" t="s">
        <v>288</v>
      </c>
      <c r="H629" s="7" t="s">
        <v>289</v>
      </c>
      <c r="I629" s="7" t="s">
        <v>290</v>
      </c>
      <c r="J629" s="7" t="s">
        <v>291</v>
      </c>
      <c r="K629" s="22" t="n">
        <v>0.5</v>
      </c>
      <c r="L629" s="22" t="n">
        <v>0.0842</v>
      </c>
      <c r="M629" s="11" t="n">
        <v>170.08</v>
      </c>
      <c r="N629" s="11" t="n">
        <v>14.32</v>
      </c>
      <c r="O629" s="7"/>
      <c r="P629" s="11" t="n">
        <f aca="false">IF(J629="%mo","",IF(G629="MO",IF(J629="hh",INDEX(MO_HH,MATCH(I629,MO_CAT,0)),M629*P_FACT_IPC),IF(G629="SUBPART",IFERROR(INDEX(APU_SUBP!$C$7:$C$40,MATCH(H629,APU_SUBP!$A$7:$A$40,0)),M629*P_FACT_IPC),M629*P_FACT_IPC)))</f>
        <v>218.773196641969</v>
      </c>
      <c r="Q629" s="11" t="n">
        <f aca="false">IF(J629="%mo",L629/100*SUMIFS($R$7:$R$782,$A$7:$A$782,A629),L629*P629)</f>
        <v>18.4207031572538</v>
      </c>
      <c r="R629" s="11" t="n">
        <f aca="false">IF(G629="MO",L629*P629,0)</f>
        <v>0</v>
      </c>
    </row>
    <row r="630" customFormat="false" ht="15" hidden="false" customHeight="false" outlineLevel="0" collapsed="false">
      <c r="A630" s="9" t="s">
        <v>742</v>
      </c>
      <c r="B630" s="9" t="s">
        <v>718</v>
      </c>
      <c r="C630" s="9" t="s">
        <v>743</v>
      </c>
      <c r="D630" s="9" t="s">
        <v>733</v>
      </c>
      <c r="E630" s="9" t="s">
        <v>273</v>
      </c>
      <c r="F630" s="10" t="n">
        <v>52.27</v>
      </c>
      <c r="G630" s="9" t="s">
        <v>288</v>
      </c>
      <c r="H630" s="9" t="s">
        <v>296</v>
      </c>
      <c r="I630" s="9" t="s">
        <v>297</v>
      </c>
      <c r="J630" s="9" t="s">
        <v>291</v>
      </c>
      <c r="K630" s="31" t="n">
        <v>1</v>
      </c>
      <c r="L630" s="31" t="n">
        <v>0.1684</v>
      </c>
      <c r="M630" s="10" t="n">
        <v>188.87</v>
      </c>
      <c r="N630" s="10" t="n">
        <v>31.81</v>
      </c>
      <c r="O630" s="9"/>
      <c r="P630" s="11" t="n">
        <f aca="false">IF(J630="%mo","",IF(G630="MO",IF(J630="hh",INDEX(MO_HH,MATCH(I630,MO_CAT,0)),M630*P_FACT_IPC),IF(G630="SUBPART",IFERROR(INDEX(APU_SUBP!$C$7:$C$40,MATCH(H630,APU_SUBP!$A$7:$A$40,0)),M630*P_FACT_IPC),M630*P_FACT_IPC)))</f>
        <v>242.942695494877</v>
      </c>
      <c r="Q630" s="11" t="n">
        <f aca="false">IF(J630="%mo",L630/100*SUMIFS($R$7:$R$782,$A$7:$A$782,A630),L630*P630)</f>
        <v>40.9115499213374</v>
      </c>
      <c r="R630" s="11" t="n">
        <f aca="false">IF(G630="MO",L630*P630,0)</f>
        <v>0</v>
      </c>
    </row>
    <row r="631" customFormat="false" ht="15" hidden="false" customHeight="false" outlineLevel="0" collapsed="false">
      <c r="A631" s="7" t="s">
        <v>744</v>
      </c>
      <c r="B631" s="7" t="s">
        <v>718</v>
      </c>
      <c r="C631" s="7" t="s">
        <v>745</v>
      </c>
      <c r="D631" s="7" t="s">
        <v>721</v>
      </c>
      <c r="E631" s="7" t="s">
        <v>273</v>
      </c>
      <c r="F631" s="11" t="n">
        <v>2.08</v>
      </c>
      <c r="G631" s="7" t="s">
        <v>281</v>
      </c>
      <c r="H631" s="7" t="s">
        <v>285</v>
      </c>
      <c r="I631" s="7" t="s">
        <v>117</v>
      </c>
      <c r="J631" s="7" t="s">
        <v>283</v>
      </c>
      <c r="K631" s="22" t="n">
        <v>0.1</v>
      </c>
      <c r="L631" s="22" t="n">
        <v>0.0008</v>
      </c>
      <c r="M631" s="11" t="n">
        <v>18.56</v>
      </c>
      <c r="N631" s="11" t="n">
        <v>0.01</v>
      </c>
      <c r="O631" s="7" t="s">
        <v>284</v>
      </c>
      <c r="P631" s="11" t="n">
        <f aca="false">IF(J631="%mo","",IF(G631="MO",IF(J631="hh",INDEX(MO_HH,MATCH(I631,MO_CAT,0)),M631*P_FACT_IPC),IF(G631="SUBPART",IFERROR(INDEX(APU_SUBP!$C$7:$C$40,MATCH(H631,APU_SUBP!$A$7:$A$40,0)),M631*P_FACT_IPC),M631*P_FACT_IPC)))</f>
        <v>13.8259833134684</v>
      </c>
      <c r="Q631" s="11" t="n">
        <f aca="false">IF(J631="%mo",L631/100*SUMIFS($R$7:$R$782,$A$7:$A$782,A631),L631*P631)</f>
        <v>0.0110607866507747</v>
      </c>
      <c r="R631" s="11" t="n">
        <f aca="false">IF(G631="MO",L631*P631,0)</f>
        <v>0.0110607866507747</v>
      </c>
    </row>
    <row r="632" customFormat="false" ht="15" hidden="false" customHeight="false" outlineLevel="0" collapsed="false">
      <c r="A632" s="9" t="s">
        <v>744</v>
      </c>
      <c r="B632" s="9" t="s">
        <v>718</v>
      </c>
      <c r="C632" s="9" t="s">
        <v>745</v>
      </c>
      <c r="D632" s="9" t="s">
        <v>721</v>
      </c>
      <c r="E632" s="9" t="s">
        <v>273</v>
      </c>
      <c r="F632" s="10" t="n">
        <v>2.08</v>
      </c>
      <c r="G632" s="9" t="s">
        <v>281</v>
      </c>
      <c r="H632" s="9" t="s">
        <v>286</v>
      </c>
      <c r="I632" s="9" t="s">
        <v>122</v>
      </c>
      <c r="J632" s="9" t="s">
        <v>283</v>
      </c>
      <c r="K632" s="31" t="n">
        <v>1</v>
      </c>
      <c r="L632" s="31" t="n">
        <v>0.008</v>
      </c>
      <c r="M632" s="10" t="n">
        <v>16.78</v>
      </c>
      <c r="N632" s="10" t="n">
        <v>0.13</v>
      </c>
      <c r="O632" s="9" t="s">
        <v>287</v>
      </c>
      <c r="P632" s="11" t="n">
        <f aca="false">IF(J632="%mo","",IF(G632="MO",IF(J632="hh",INDEX(MO_HH,MATCH(I632,MO_CAT,0)),M632*P_FACT_IPC),IF(G632="SUBPART",IFERROR(INDEX(APU_SUBP!$C$7:$C$40,MATCH(H632,APU_SUBP!$A$7:$A$40,0)),M632*P_FACT_IPC),M632*P_FACT_IPC)))</f>
        <v>12.5</v>
      </c>
      <c r="Q632" s="11" t="n">
        <f aca="false">IF(J632="%mo",L632/100*SUMIFS($R$7:$R$782,$A$7:$A$782,A632),L632*P632)</f>
        <v>0.1</v>
      </c>
      <c r="R632" s="11" t="n">
        <f aca="false">IF(G632="MO",L632*P632,0)</f>
        <v>0.1</v>
      </c>
    </row>
    <row r="633" customFormat="false" ht="15" hidden="false" customHeight="false" outlineLevel="0" collapsed="false">
      <c r="A633" s="7" t="s">
        <v>744</v>
      </c>
      <c r="B633" s="7" t="s">
        <v>718</v>
      </c>
      <c r="C633" s="7" t="s">
        <v>745</v>
      </c>
      <c r="D633" s="7" t="s">
        <v>721</v>
      </c>
      <c r="E633" s="7" t="s">
        <v>273</v>
      </c>
      <c r="F633" s="11" t="n">
        <v>2.08</v>
      </c>
      <c r="G633" s="7" t="s">
        <v>288</v>
      </c>
      <c r="H633" s="7" t="s">
        <v>327</v>
      </c>
      <c r="I633" s="7" t="s">
        <v>328</v>
      </c>
      <c r="J633" s="7" t="s">
        <v>329</v>
      </c>
      <c r="K633" s="22"/>
      <c r="L633" s="22" t="n">
        <v>3</v>
      </c>
      <c r="M633" s="11" t="n">
        <v>0.14</v>
      </c>
      <c r="N633" s="11" t="n">
        <v>0</v>
      </c>
      <c r="O633" s="7"/>
      <c r="P633" s="11" t="str">
        <f aca="false">IF(J633="%mo","",IF(G633="MO",IF(J633="hh",INDEX(MO_HH,MATCH(I633,MO_CAT,0)),M633*P_FACT_IPC),IF(G633="SUBPART",IFERROR(INDEX(APU_SUBP!$C$7:$C$40,MATCH(H633,APU_SUBP!$A$7:$A$40,0)),M633*P_FACT_IPC),M633*P_FACT_IPC)))</f>
        <v/>
      </c>
      <c r="Q633" s="11" t="n">
        <f aca="false">IF(J633="%mo",L633/100*SUMIFS($R$7:$R$782,$A$7:$A$782,A633),L633*P633)</f>
        <v>0.00333182359952324</v>
      </c>
      <c r="R633" s="11" t="n">
        <f aca="false">IF(G633="MO",L633*P633,0)</f>
        <v>0</v>
      </c>
    </row>
    <row r="634" customFormat="false" ht="15" hidden="false" customHeight="false" outlineLevel="0" collapsed="false">
      <c r="A634" s="9" t="s">
        <v>744</v>
      </c>
      <c r="B634" s="9" t="s">
        <v>718</v>
      </c>
      <c r="C634" s="9" t="s">
        <v>745</v>
      </c>
      <c r="D634" s="9" t="s">
        <v>721</v>
      </c>
      <c r="E634" s="9" t="s">
        <v>273</v>
      </c>
      <c r="F634" s="10" t="n">
        <v>2.08</v>
      </c>
      <c r="G634" s="9" t="s">
        <v>288</v>
      </c>
      <c r="H634" s="9" t="s">
        <v>740</v>
      </c>
      <c r="I634" s="9" t="s">
        <v>741</v>
      </c>
      <c r="J634" s="9" t="s">
        <v>291</v>
      </c>
      <c r="K634" s="31" t="n">
        <v>1</v>
      </c>
      <c r="L634" s="31" t="n">
        <v>0.008</v>
      </c>
      <c r="M634" s="10" t="n">
        <v>243.06</v>
      </c>
      <c r="N634" s="10" t="n">
        <v>1.94</v>
      </c>
      <c r="O634" s="9"/>
      <c r="P634" s="11" t="n">
        <f aca="false">IF(J634="%mo","",IF(G634="MO",IF(J634="hh",INDEX(MO_HH,MATCH(I634,MO_CAT,0)),M634*P_FACT_IPC),IF(G634="SUBPART",IFERROR(INDEX(APU_SUBP!$C$7:$C$40,MATCH(H634,APU_SUBP!$A$7:$A$40,0)),M634*P_FACT_IPC),M634*P_FACT_IPC)))</f>
        <v>312.647067120162</v>
      </c>
      <c r="Q634" s="11" t="n">
        <f aca="false">IF(J634="%mo",L634/100*SUMIFS($R$7:$R$782,$A$7:$A$782,A634),L634*P634)</f>
        <v>2.50117653696129</v>
      </c>
      <c r="R634" s="11" t="n">
        <f aca="false">IF(G634="MO",L634*P634,0)</f>
        <v>0</v>
      </c>
    </row>
    <row r="635" customFormat="false" ht="15" hidden="false" customHeight="false" outlineLevel="0" collapsed="false">
      <c r="A635" s="7" t="s">
        <v>746</v>
      </c>
      <c r="B635" s="7" t="s">
        <v>718</v>
      </c>
      <c r="C635" s="7" t="s">
        <v>747</v>
      </c>
      <c r="D635" s="7" t="s">
        <v>723</v>
      </c>
      <c r="E635" s="7" t="s">
        <v>273</v>
      </c>
      <c r="F635" s="11" t="n">
        <v>22.27</v>
      </c>
      <c r="G635" s="7" t="s">
        <v>281</v>
      </c>
      <c r="H635" s="7" t="s">
        <v>286</v>
      </c>
      <c r="I635" s="7" t="s">
        <v>122</v>
      </c>
      <c r="J635" s="7" t="s">
        <v>283</v>
      </c>
      <c r="K635" s="22" t="n">
        <v>1</v>
      </c>
      <c r="L635" s="22" t="n">
        <v>0.0766</v>
      </c>
      <c r="M635" s="11" t="n">
        <v>16.78</v>
      </c>
      <c r="N635" s="11" t="n">
        <v>1.29</v>
      </c>
      <c r="O635" s="7" t="s">
        <v>287</v>
      </c>
      <c r="P635" s="11" t="n">
        <f aca="false">IF(J635="%mo","",IF(G635="MO",IF(J635="hh",INDEX(MO_HH,MATCH(I635,MO_CAT,0)),M635*P_FACT_IPC),IF(G635="SUBPART",IFERROR(INDEX(APU_SUBP!$C$7:$C$40,MATCH(H635,APU_SUBP!$A$7:$A$40,0)),M635*P_FACT_IPC),M635*P_FACT_IPC)))</f>
        <v>12.5</v>
      </c>
      <c r="Q635" s="11" t="n">
        <f aca="false">IF(J635="%mo",L635/100*SUMIFS($R$7:$R$782,$A$7:$A$782,A635),L635*P635)</f>
        <v>0.9575</v>
      </c>
      <c r="R635" s="11" t="n">
        <f aca="false">IF(G635="MO",L635*P635,0)</f>
        <v>0.9575</v>
      </c>
    </row>
    <row r="636" customFormat="false" ht="15" hidden="false" customHeight="false" outlineLevel="0" collapsed="false">
      <c r="A636" s="9" t="s">
        <v>746</v>
      </c>
      <c r="B636" s="9" t="s">
        <v>718</v>
      </c>
      <c r="C636" s="9" t="s">
        <v>747</v>
      </c>
      <c r="D636" s="9" t="s">
        <v>723</v>
      </c>
      <c r="E636" s="9" t="s">
        <v>273</v>
      </c>
      <c r="F636" s="10" t="n">
        <v>22.27</v>
      </c>
      <c r="G636" s="9" t="s">
        <v>288</v>
      </c>
      <c r="H636" s="9" t="s">
        <v>289</v>
      </c>
      <c r="I636" s="9" t="s">
        <v>290</v>
      </c>
      <c r="J636" s="9" t="s">
        <v>291</v>
      </c>
      <c r="K636" s="31" t="n">
        <v>0.5</v>
      </c>
      <c r="L636" s="31" t="n">
        <v>0.0383</v>
      </c>
      <c r="M636" s="10" t="n">
        <v>170.08</v>
      </c>
      <c r="N636" s="10" t="n">
        <v>6.51</v>
      </c>
      <c r="O636" s="9"/>
      <c r="P636" s="11" t="n">
        <f aca="false">IF(J636="%mo","",IF(G636="MO",IF(J636="hh",INDEX(MO_HH,MATCH(I636,MO_CAT,0)),M636*P_FACT_IPC),IF(G636="SUBPART",IFERROR(INDEX(APU_SUBP!$C$7:$C$40,MATCH(H636,APU_SUBP!$A$7:$A$40,0)),M636*P_FACT_IPC),M636*P_FACT_IPC)))</f>
        <v>218.773196641969</v>
      </c>
      <c r="Q636" s="11" t="n">
        <f aca="false">IF(J636="%mo",L636/100*SUMIFS($R$7:$R$782,$A$7:$A$782,A636),L636*P636)</f>
        <v>8.37901343138743</v>
      </c>
      <c r="R636" s="11" t="n">
        <f aca="false">IF(G636="MO",L636*P636,0)</f>
        <v>0</v>
      </c>
    </row>
    <row r="637" customFormat="false" ht="15" hidden="false" customHeight="false" outlineLevel="0" collapsed="false">
      <c r="A637" s="7" t="s">
        <v>746</v>
      </c>
      <c r="B637" s="7" t="s">
        <v>718</v>
      </c>
      <c r="C637" s="7" t="s">
        <v>747</v>
      </c>
      <c r="D637" s="7" t="s">
        <v>723</v>
      </c>
      <c r="E637" s="7" t="s">
        <v>273</v>
      </c>
      <c r="F637" s="11" t="n">
        <v>22.27</v>
      </c>
      <c r="G637" s="7" t="s">
        <v>288</v>
      </c>
      <c r="H637" s="7" t="s">
        <v>296</v>
      </c>
      <c r="I637" s="7" t="s">
        <v>297</v>
      </c>
      <c r="J637" s="7" t="s">
        <v>291</v>
      </c>
      <c r="K637" s="22" t="n">
        <v>1</v>
      </c>
      <c r="L637" s="22" t="n">
        <v>0.0766</v>
      </c>
      <c r="M637" s="11" t="n">
        <v>188.87</v>
      </c>
      <c r="N637" s="11" t="n">
        <v>14.47</v>
      </c>
      <c r="O637" s="7"/>
      <c r="P637" s="11" t="n">
        <f aca="false">IF(J637="%mo","",IF(G637="MO",IF(J637="hh",INDEX(MO_HH,MATCH(I637,MO_CAT,0)),M637*P_FACT_IPC),IF(G637="SUBPART",IFERROR(INDEX(APU_SUBP!$C$7:$C$40,MATCH(H637,APU_SUBP!$A$7:$A$40,0)),M637*P_FACT_IPC),M637*P_FACT_IPC)))</f>
        <v>242.942695494877</v>
      </c>
      <c r="Q637" s="11" t="n">
        <f aca="false">IF(J637="%mo",L637/100*SUMIFS($R$7:$R$782,$A$7:$A$782,A637),L637*P637)</f>
        <v>18.6094104749076</v>
      </c>
      <c r="R637" s="11" t="n">
        <f aca="false">IF(G637="MO",L637*P637,0)</f>
        <v>0</v>
      </c>
    </row>
    <row r="638" customFormat="false" ht="15" hidden="false" customHeight="false" outlineLevel="0" collapsed="false">
      <c r="A638" s="9" t="s">
        <v>748</v>
      </c>
      <c r="B638" s="9" t="s">
        <v>718</v>
      </c>
      <c r="C638" s="9" t="s">
        <v>749</v>
      </c>
      <c r="D638" s="9" t="s">
        <v>467</v>
      </c>
      <c r="E638" s="9" t="s">
        <v>273</v>
      </c>
      <c r="F638" s="10" t="n">
        <v>86.3</v>
      </c>
      <c r="G638" s="9" t="s">
        <v>281</v>
      </c>
      <c r="H638" s="9" t="s">
        <v>285</v>
      </c>
      <c r="I638" s="9" t="s">
        <v>117</v>
      </c>
      <c r="J638" s="9" t="s">
        <v>283</v>
      </c>
      <c r="K638" s="31" t="n">
        <v>1</v>
      </c>
      <c r="L638" s="31" t="n">
        <v>1.6</v>
      </c>
      <c r="M638" s="10" t="n">
        <v>18.56</v>
      </c>
      <c r="N638" s="10" t="n">
        <v>29.7</v>
      </c>
      <c r="O638" s="9" t="s">
        <v>284</v>
      </c>
      <c r="P638" s="11" t="n">
        <f aca="false">IF(J638="%mo","",IF(G638="MO",IF(J638="hh",INDEX(MO_HH,MATCH(I638,MO_CAT,0)),M638*P_FACT_IPC),IF(G638="SUBPART",IFERROR(INDEX(APU_SUBP!$C$7:$C$40,MATCH(H638,APU_SUBP!$A$7:$A$40,0)),M638*P_FACT_IPC),M638*P_FACT_IPC)))</f>
        <v>13.8259833134684</v>
      </c>
      <c r="Q638" s="11" t="n">
        <f aca="false">IF(J638="%mo",L638/100*SUMIFS($R$7:$R$782,$A$7:$A$782,A638),L638*P638)</f>
        <v>22.1215733015495</v>
      </c>
      <c r="R638" s="11" t="n">
        <f aca="false">IF(G638="MO",L638*P638,0)</f>
        <v>22.1215733015495</v>
      </c>
    </row>
    <row r="639" customFormat="false" ht="15" hidden="false" customHeight="false" outlineLevel="0" collapsed="false">
      <c r="A639" s="7" t="s">
        <v>748</v>
      </c>
      <c r="B639" s="7" t="s">
        <v>718</v>
      </c>
      <c r="C639" s="7" t="s">
        <v>749</v>
      </c>
      <c r="D639" s="7" t="s">
        <v>467</v>
      </c>
      <c r="E639" s="7" t="s">
        <v>273</v>
      </c>
      <c r="F639" s="11" t="n">
        <v>86.3</v>
      </c>
      <c r="G639" s="7" t="s">
        <v>281</v>
      </c>
      <c r="H639" s="7" t="s">
        <v>286</v>
      </c>
      <c r="I639" s="7" t="s">
        <v>122</v>
      </c>
      <c r="J639" s="7" t="s">
        <v>283</v>
      </c>
      <c r="K639" s="22" t="n">
        <v>2</v>
      </c>
      <c r="L639" s="22" t="n">
        <v>3.2</v>
      </c>
      <c r="M639" s="11" t="n">
        <v>16.78</v>
      </c>
      <c r="N639" s="11" t="n">
        <v>53.7</v>
      </c>
      <c r="O639" s="7" t="s">
        <v>287</v>
      </c>
      <c r="P639" s="11" t="n">
        <f aca="false">IF(J639="%mo","",IF(G639="MO",IF(J639="hh",INDEX(MO_HH,MATCH(I639,MO_CAT,0)),M639*P_FACT_IPC),IF(G639="SUBPART",IFERROR(INDEX(APU_SUBP!$C$7:$C$40,MATCH(H639,APU_SUBP!$A$7:$A$40,0)),M639*P_FACT_IPC),M639*P_FACT_IPC)))</f>
        <v>12.5</v>
      </c>
      <c r="Q639" s="11" t="n">
        <f aca="false">IF(J639="%mo",L639/100*SUMIFS($R$7:$R$782,$A$7:$A$782,A639),L639*P639)</f>
        <v>40</v>
      </c>
      <c r="R639" s="11" t="n">
        <f aca="false">IF(G639="MO",L639*P639,0)</f>
        <v>40</v>
      </c>
    </row>
    <row r="640" customFormat="false" ht="15" hidden="false" customHeight="false" outlineLevel="0" collapsed="false">
      <c r="A640" s="9" t="s">
        <v>748</v>
      </c>
      <c r="B640" s="9" t="s">
        <v>718</v>
      </c>
      <c r="C640" s="9" t="s">
        <v>749</v>
      </c>
      <c r="D640" s="9" t="s">
        <v>467</v>
      </c>
      <c r="E640" s="9" t="s">
        <v>273</v>
      </c>
      <c r="F640" s="10" t="n">
        <v>86.3</v>
      </c>
      <c r="G640" s="9" t="s">
        <v>288</v>
      </c>
      <c r="H640" s="9" t="s">
        <v>648</v>
      </c>
      <c r="I640" s="9" t="s">
        <v>649</v>
      </c>
      <c r="J640" s="9" t="s">
        <v>322</v>
      </c>
      <c r="K640" s="31" t="n">
        <v>1</v>
      </c>
      <c r="L640" s="31" t="n">
        <v>1.6</v>
      </c>
      <c r="M640" s="10" t="n">
        <v>0.25</v>
      </c>
      <c r="N640" s="10" t="n">
        <v>0.4</v>
      </c>
      <c r="O640" s="9"/>
      <c r="P640" s="11" t="n">
        <f aca="false">IF(J640="%mo","",IF(G640="MO",IF(J640="hh",INDEX(MO_HH,MATCH(I640,MO_CAT,0)),M640*P_FACT_IPC),IF(G640="SUBPART",IFERROR(INDEX(APU_SUBP!$C$7:$C$40,MATCH(H640,APU_SUBP!$A$7:$A$40,0)),M640*P_FACT_IPC),M640*P_FACT_IPC)))</f>
        <v>0.321573960256893</v>
      </c>
      <c r="Q640" s="11" t="n">
        <f aca="false">IF(J640="%mo",L640/100*SUMIFS($R$7:$R$782,$A$7:$A$782,A640),L640*P640)</f>
        <v>0.514518336411029</v>
      </c>
      <c r="R640" s="11" t="n">
        <f aca="false">IF(G640="MO",L640*P640,0)</f>
        <v>0</v>
      </c>
    </row>
    <row r="641" customFormat="false" ht="15" hidden="false" customHeight="false" outlineLevel="0" collapsed="false">
      <c r="A641" s="7" t="s">
        <v>748</v>
      </c>
      <c r="B641" s="7" t="s">
        <v>718</v>
      </c>
      <c r="C641" s="7" t="s">
        <v>749</v>
      </c>
      <c r="D641" s="7" t="s">
        <v>467</v>
      </c>
      <c r="E641" s="7" t="s">
        <v>273</v>
      </c>
      <c r="F641" s="11" t="n">
        <v>86.3</v>
      </c>
      <c r="G641" s="7" t="s">
        <v>288</v>
      </c>
      <c r="H641" s="7" t="s">
        <v>327</v>
      </c>
      <c r="I641" s="7" t="s">
        <v>328</v>
      </c>
      <c r="J641" s="7" t="s">
        <v>329</v>
      </c>
      <c r="K641" s="22"/>
      <c r="L641" s="22" t="n">
        <v>3</v>
      </c>
      <c r="M641" s="11" t="n">
        <v>83.4</v>
      </c>
      <c r="N641" s="11" t="n">
        <v>2.5</v>
      </c>
      <c r="O641" s="7"/>
      <c r="P641" s="11" t="str">
        <f aca="false">IF(J641="%mo","",IF(G641="MO",IF(J641="hh",INDEX(MO_HH,MATCH(I641,MO_CAT,0)),M641*P_FACT_IPC),IF(G641="SUBPART",IFERROR(INDEX(APU_SUBP!$C$7:$C$40,MATCH(H641,APU_SUBP!$A$7:$A$40,0)),M641*P_FACT_IPC),M641*P_FACT_IPC)))</f>
        <v/>
      </c>
      <c r="Q641" s="11" t="n">
        <f aca="false">IF(J641="%mo",L641/100*SUMIFS($R$7:$R$782,$A$7:$A$782,A641),L641*P641)</f>
        <v>1.86364719904648</v>
      </c>
      <c r="R641" s="11" t="n">
        <f aca="false">IF(G641="MO",L641*P641,0)</f>
        <v>0</v>
      </c>
    </row>
    <row r="642" customFormat="false" ht="15" hidden="false" customHeight="false" outlineLevel="0" collapsed="false">
      <c r="A642" s="9" t="s">
        <v>750</v>
      </c>
      <c r="B642" s="9" t="s">
        <v>718</v>
      </c>
      <c r="C642" s="9" t="s">
        <v>751</v>
      </c>
      <c r="D642" s="9" t="s">
        <v>388</v>
      </c>
      <c r="E642" s="9" t="s">
        <v>273</v>
      </c>
      <c r="F642" s="10" t="n">
        <v>113.54</v>
      </c>
      <c r="G642" s="9" t="s">
        <v>370</v>
      </c>
      <c r="H642" s="9" t="s">
        <v>752</v>
      </c>
      <c r="I642" s="9" t="s">
        <v>753</v>
      </c>
      <c r="J642" s="9" t="s">
        <v>273</v>
      </c>
      <c r="K642" s="31"/>
      <c r="L642" s="31" t="n">
        <v>1</v>
      </c>
      <c r="M642" s="10" t="n">
        <v>7.18</v>
      </c>
      <c r="N642" s="10" t="n">
        <v>7.18</v>
      </c>
      <c r="O642" s="9"/>
      <c r="P642" s="11" t="n">
        <f aca="false">IF(J642="%mo","",IF(G642="MO",IF(J642="hh",INDEX(MO_HH,MATCH(I642,MO_CAT,0)),M642*P_FACT_IPC),IF(G642="SUBPART",IFERROR(INDEX(APU_SUBP!$C$7:$C$40,MATCH(H642,APU_SUBP!$A$7:$A$40,0)),M642*P_FACT_IPC),M642*P_FACT_IPC)))</f>
        <v>7.21234850182462</v>
      </c>
      <c r="Q642" s="11" t="n">
        <f aca="false">IF(J642="%mo",L642/100*SUMIFS($R$7:$R$782,$A$7:$A$782,A642),L642*P642)</f>
        <v>7.21234850182462</v>
      </c>
      <c r="R642" s="11" t="n">
        <f aca="false">IF(G642="MO",L642*P642,0)</f>
        <v>0</v>
      </c>
    </row>
    <row r="643" customFormat="false" ht="15" hidden="false" customHeight="false" outlineLevel="0" collapsed="false">
      <c r="A643" s="7" t="s">
        <v>750</v>
      </c>
      <c r="B643" s="7" t="s">
        <v>718</v>
      </c>
      <c r="C643" s="7" t="s">
        <v>751</v>
      </c>
      <c r="D643" s="7" t="s">
        <v>388</v>
      </c>
      <c r="E643" s="7" t="s">
        <v>273</v>
      </c>
      <c r="F643" s="11" t="n">
        <v>113.54</v>
      </c>
      <c r="G643" s="7" t="s">
        <v>370</v>
      </c>
      <c r="H643" s="7" t="s">
        <v>754</v>
      </c>
      <c r="I643" s="7" t="s">
        <v>755</v>
      </c>
      <c r="J643" s="7" t="s">
        <v>273</v>
      </c>
      <c r="K643" s="22"/>
      <c r="L643" s="22" t="n">
        <v>1</v>
      </c>
      <c r="M643" s="11" t="n">
        <v>45.07</v>
      </c>
      <c r="N643" s="11" t="n">
        <v>45.07</v>
      </c>
      <c r="O643" s="7"/>
      <c r="P643" s="11" t="n">
        <f aca="false">IF(J643="%mo","",IF(G643="MO",IF(J643="hh",INDEX(MO_HH,MATCH(I643,MO_CAT,0)),M643*P_FACT_IPC),IF(G643="SUBPART",IFERROR(INDEX(APU_SUBP!$C$7:$C$40,MATCH(H643,APU_SUBP!$A$7:$A$40,0)),M643*P_FACT_IPC),M643*P_FACT_IPC)))</f>
        <v>33.57689511323</v>
      </c>
      <c r="Q643" s="11" t="n">
        <f aca="false">IF(J643="%mo",L643/100*SUMIFS($R$7:$R$782,$A$7:$A$782,A643),L643*P643)</f>
        <v>33.57689511323</v>
      </c>
      <c r="R643" s="11" t="n">
        <f aca="false">IF(G643="MO",L643*P643,0)</f>
        <v>0</v>
      </c>
    </row>
    <row r="644" customFormat="false" ht="15" hidden="false" customHeight="false" outlineLevel="0" collapsed="false">
      <c r="A644" s="9" t="s">
        <v>750</v>
      </c>
      <c r="B644" s="9" t="s">
        <v>718</v>
      </c>
      <c r="C644" s="9" t="s">
        <v>751</v>
      </c>
      <c r="D644" s="9" t="s">
        <v>388</v>
      </c>
      <c r="E644" s="9" t="s">
        <v>273</v>
      </c>
      <c r="F644" s="10" t="n">
        <v>113.54</v>
      </c>
      <c r="G644" s="9" t="s">
        <v>370</v>
      </c>
      <c r="H644" s="9" t="s">
        <v>756</v>
      </c>
      <c r="I644" s="9" t="s">
        <v>757</v>
      </c>
      <c r="J644" s="9" t="s">
        <v>273</v>
      </c>
      <c r="K644" s="31"/>
      <c r="L644" s="31" t="n">
        <v>1.05</v>
      </c>
      <c r="M644" s="10" t="n">
        <v>58.37</v>
      </c>
      <c r="N644" s="10" t="n">
        <v>61.29</v>
      </c>
      <c r="O644" s="9"/>
      <c r="P644" s="11" t="n">
        <f aca="false">IF(J644="%mo","",IF(G644="MO",IF(J644="hh",INDEX(MO_HH,MATCH(I644,MO_CAT,0)),M644*P_FACT_IPC),IF(G644="SUBPART",IFERROR(INDEX(APU_SUBP!$C$7:$C$40,MATCH(H644,APU_SUBP!$A$7:$A$40,0)),M644*P_FACT_IPC),M644*P_FACT_IPC)))</f>
        <v>43.4785220500596</v>
      </c>
      <c r="Q644" s="11" t="n">
        <f aca="false">IF(J644="%mo",L644/100*SUMIFS($R$7:$R$782,$A$7:$A$782,A644),L644*P644)</f>
        <v>45.6524481525626</v>
      </c>
      <c r="R644" s="11" t="n">
        <f aca="false">IF(G644="MO",L644*P644,0)</f>
        <v>0</v>
      </c>
    </row>
    <row r="645" customFormat="false" ht="15" hidden="false" customHeight="false" outlineLevel="0" collapsed="false">
      <c r="A645" s="7" t="s">
        <v>758</v>
      </c>
      <c r="B645" s="7" t="s">
        <v>718</v>
      </c>
      <c r="C645" s="7" t="s">
        <v>759</v>
      </c>
      <c r="D645" s="7" t="s">
        <v>757</v>
      </c>
      <c r="E645" s="7" t="s">
        <v>273</v>
      </c>
      <c r="F645" s="11" t="n">
        <v>58.37</v>
      </c>
      <c r="G645" s="7" t="s">
        <v>281</v>
      </c>
      <c r="H645" s="7" t="s">
        <v>285</v>
      </c>
      <c r="I645" s="7" t="s">
        <v>117</v>
      </c>
      <c r="J645" s="7" t="s">
        <v>283</v>
      </c>
      <c r="K645" s="22" t="n">
        <v>0.1</v>
      </c>
      <c r="L645" s="22" t="n">
        <v>0.16</v>
      </c>
      <c r="M645" s="11" t="n">
        <v>18.56</v>
      </c>
      <c r="N645" s="11" t="n">
        <v>2.97</v>
      </c>
      <c r="O645" s="7" t="s">
        <v>284</v>
      </c>
      <c r="P645" s="11" t="n">
        <f aca="false">IF(J645="%mo","",IF(G645="MO",IF(J645="hh",INDEX(MO_HH,MATCH(I645,MO_CAT,0)),M645*P_FACT_IPC),IF(G645="SUBPART",IFERROR(INDEX(APU_SUBP!$C$7:$C$40,MATCH(H645,APU_SUBP!$A$7:$A$40,0)),M645*P_FACT_IPC),M645*P_FACT_IPC)))</f>
        <v>13.8259833134684</v>
      </c>
      <c r="Q645" s="11" t="n">
        <f aca="false">IF(J645="%mo",L645/100*SUMIFS($R$7:$R$782,$A$7:$A$782,A645),L645*P645)</f>
        <v>2.21215733015495</v>
      </c>
      <c r="R645" s="11" t="n">
        <f aca="false">IF(G645="MO",L645*P645,0)</f>
        <v>2.21215733015495</v>
      </c>
    </row>
    <row r="646" customFormat="false" ht="15" hidden="false" customHeight="false" outlineLevel="0" collapsed="false">
      <c r="A646" s="9" t="s">
        <v>758</v>
      </c>
      <c r="B646" s="9" t="s">
        <v>718</v>
      </c>
      <c r="C646" s="9" t="s">
        <v>759</v>
      </c>
      <c r="D646" s="9" t="s">
        <v>757</v>
      </c>
      <c r="E646" s="9" t="s">
        <v>273</v>
      </c>
      <c r="F646" s="10" t="n">
        <v>58.37</v>
      </c>
      <c r="G646" s="9" t="s">
        <v>281</v>
      </c>
      <c r="H646" s="9" t="s">
        <v>286</v>
      </c>
      <c r="I646" s="9" t="s">
        <v>122</v>
      </c>
      <c r="J646" s="9" t="s">
        <v>283</v>
      </c>
      <c r="K646" s="31" t="n">
        <v>2</v>
      </c>
      <c r="L646" s="31" t="n">
        <v>3.2</v>
      </c>
      <c r="M646" s="10" t="n">
        <v>16.78</v>
      </c>
      <c r="N646" s="10" t="n">
        <v>53.7</v>
      </c>
      <c r="O646" s="9" t="s">
        <v>287</v>
      </c>
      <c r="P646" s="11" t="n">
        <f aca="false">IF(J646="%mo","",IF(G646="MO",IF(J646="hh",INDEX(MO_HH,MATCH(I646,MO_CAT,0)),M646*P_FACT_IPC),IF(G646="SUBPART",IFERROR(INDEX(APU_SUBP!$C$7:$C$40,MATCH(H646,APU_SUBP!$A$7:$A$40,0)),M646*P_FACT_IPC),M646*P_FACT_IPC)))</f>
        <v>12.5</v>
      </c>
      <c r="Q646" s="11" t="n">
        <f aca="false">IF(J646="%mo",L646/100*SUMIFS($R$7:$R$782,$A$7:$A$782,A646),L646*P646)</f>
        <v>40</v>
      </c>
      <c r="R646" s="11" t="n">
        <f aca="false">IF(G646="MO",L646*P646,0)</f>
        <v>40</v>
      </c>
    </row>
    <row r="647" customFormat="false" ht="15" hidden="false" customHeight="false" outlineLevel="0" collapsed="false">
      <c r="A647" s="7" t="s">
        <v>758</v>
      </c>
      <c r="B647" s="7" t="s">
        <v>718</v>
      </c>
      <c r="C647" s="7" t="s">
        <v>759</v>
      </c>
      <c r="D647" s="7" t="s">
        <v>757</v>
      </c>
      <c r="E647" s="7" t="s">
        <v>273</v>
      </c>
      <c r="F647" s="11" t="n">
        <v>58.37</v>
      </c>
      <c r="G647" s="7" t="s">
        <v>288</v>
      </c>
      <c r="H647" s="7" t="s">
        <v>327</v>
      </c>
      <c r="I647" s="7" t="s">
        <v>328</v>
      </c>
      <c r="J647" s="7" t="s">
        <v>329</v>
      </c>
      <c r="K647" s="22"/>
      <c r="L647" s="22" t="n">
        <v>3</v>
      </c>
      <c r="M647" s="11" t="n">
        <v>56.67</v>
      </c>
      <c r="N647" s="11" t="n">
        <v>1.7</v>
      </c>
      <c r="O647" s="7"/>
      <c r="P647" s="11" t="str">
        <f aca="false">IF(J647="%mo","",IF(G647="MO",IF(J647="hh",INDEX(MO_HH,MATCH(I647,MO_CAT,0)),M647*P_FACT_IPC),IF(G647="SUBPART",IFERROR(INDEX(APU_SUBP!$C$7:$C$40,MATCH(H647,APU_SUBP!$A$7:$A$40,0)),M647*P_FACT_IPC),M647*P_FACT_IPC)))</f>
        <v/>
      </c>
      <c r="Q647" s="11" t="n">
        <f aca="false">IF(J647="%mo",L647/100*SUMIFS($R$7:$R$782,$A$7:$A$782,A647),L647*P647)</f>
        <v>1.26636471990465</v>
      </c>
      <c r="R647" s="11" t="n">
        <f aca="false">IF(G647="MO",L647*P647,0)</f>
        <v>0</v>
      </c>
    </row>
    <row r="648" customFormat="false" ht="15" hidden="false" customHeight="false" outlineLevel="0" collapsed="false">
      <c r="A648" s="9" t="s">
        <v>760</v>
      </c>
      <c r="B648" s="9" t="s">
        <v>718</v>
      </c>
      <c r="C648" s="9" t="s">
        <v>761</v>
      </c>
      <c r="D648" s="9" t="s">
        <v>753</v>
      </c>
      <c r="E648" s="9" t="s">
        <v>273</v>
      </c>
      <c r="F648" s="10" t="n">
        <v>7.18</v>
      </c>
      <c r="G648" s="9" t="s">
        <v>281</v>
      </c>
      <c r="H648" s="9" t="s">
        <v>285</v>
      </c>
      <c r="I648" s="9" t="s">
        <v>117</v>
      </c>
      <c r="J648" s="9" t="s">
        <v>283</v>
      </c>
      <c r="K648" s="31" t="n">
        <v>1</v>
      </c>
      <c r="L648" s="31" t="n">
        <v>0.0526</v>
      </c>
      <c r="M648" s="10" t="n">
        <v>18.56</v>
      </c>
      <c r="N648" s="10" t="n">
        <v>0.98</v>
      </c>
      <c r="O648" s="9" t="s">
        <v>284</v>
      </c>
      <c r="P648" s="11" t="n">
        <f aca="false">IF(J648="%mo","",IF(G648="MO",IF(J648="hh",INDEX(MO_HH,MATCH(I648,MO_CAT,0)),M648*P_FACT_IPC),IF(G648="SUBPART",IFERROR(INDEX(APU_SUBP!$C$7:$C$40,MATCH(H648,APU_SUBP!$A$7:$A$40,0)),M648*P_FACT_IPC),M648*P_FACT_IPC)))</f>
        <v>13.8259833134684</v>
      </c>
      <c r="Q648" s="11" t="n">
        <f aca="false">IF(J648="%mo",L648/100*SUMIFS($R$7:$R$782,$A$7:$A$782,A648),L648*P648)</f>
        <v>0.727246722288439</v>
      </c>
      <c r="R648" s="11" t="n">
        <f aca="false">IF(G648="MO",L648*P648,0)</f>
        <v>0.727246722288439</v>
      </c>
    </row>
    <row r="649" customFormat="false" ht="15" hidden="false" customHeight="false" outlineLevel="0" collapsed="false">
      <c r="A649" s="7" t="s">
        <v>760</v>
      </c>
      <c r="B649" s="7" t="s">
        <v>718</v>
      </c>
      <c r="C649" s="7" t="s">
        <v>761</v>
      </c>
      <c r="D649" s="7" t="s">
        <v>753</v>
      </c>
      <c r="E649" s="7" t="s">
        <v>273</v>
      </c>
      <c r="F649" s="11" t="n">
        <v>7.18</v>
      </c>
      <c r="G649" s="7" t="s">
        <v>281</v>
      </c>
      <c r="H649" s="7" t="s">
        <v>286</v>
      </c>
      <c r="I649" s="7" t="s">
        <v>122</v>
      </c>
      <c r="J649" s="7" t="s">
        <v>283</v>
      </c>
      <c r="K649" s="22" t="n">
        <v>3</v>
      </c>
      <c r="L649" s="22" t="n">
        <v>0.1579</v>
      </c>
      <c r="M649" s="11" t="n">
        <v>16.78</v>
      </c>
      <c r="N649" s="11" t="n">
        <v>2.65</v>
      </c>
      <c r="O649" s="7" t="s">
        <v>287</v>
      </c>
      <c r="P649" s="11" t="n">
        <f aca="false">IF(J649="%mo","",IF(G649="MO",IF(J649="hh",INDEX(MO_HH,MATCH(I649,MO_CAT,0)),M649*P_FACT_IPC),IF(G649="SUBPART",IFERROR(INDEX(APU_SUBP!$C$7:$C$40,MATCH(H649,APU_SUBP!$A$7:$A$40,0)),M649*P_FACT_IPC),M649*P_FACT_IPC)))</f>
        <v>12.5</v>
      </c>
      <c r="Q649" s="11" t="n">
        <f aca="false">IF(J649="%mo",L649/100*SUMIFS($R$7:$R$782,$A$7:$A$782,A649),L649*P649)</f>
        <v>1.97375</v>
      </c>
      <c r="R649" s="11" t="n">
        <f aca="false">IF(G649="MO",L649*P649,0)</f>
        <v>1.97375</v>
      </c>
    </row>
    <row r="650" customFormat="false" ht="15" hidden="false" customHeight="false" outlineLevel="0" collapsed="false">
      <c r="A650" s="9" t="s">
        <v>760</v>
      </c>
      <c r="B650" s="9" t="s">
        <v>718</v>
      </c>
      <c r="C650" s="9" t="s">
        <v>761</v>
      </c>
      <c r="D650" s="9" t="s">
        <v>753</v>
      </c>
      <c r="E650" s="9" t="s">
        <v>273</v>
      </c>
      <c r="F650" s="10" t="n">
        <v>7.18</v>
      </c>
      <c r="G650" s="9" t="s">
        <v>288</v>
      </c>
      <c r="H650" s="9" t="s">
        <v>327</v>
      </c>
      <c r="I650" s="9" t="s">
        <v>328</v>
      </c>
      <c r="J650" s="9" t="s">
        <v>329</v>
      </c>
      <c r="K650" s="31"/>
      <c r="L650" s="31" t="n">
        <v>3</v>
      </c>
      <c r="M650" s="10" t="n">
        <v>3.63</v>
      </c>
      <c r="N650" s="10" t="n">
        <v>0.11</v>
      </c>
      <c r="O650" s="9"/>
      <c r="P650" s="11" t="str">
        <f aca="false">IF(J650="%mo","",IF(G650="MO",IF(J650="hh",INDEX(MO_HH,MATCH(I650,MO_CAT,0)),M650*P_FACT_IPC),IF(G650="SUBPART",IFERROR(INDEX(APU_SUBP!$C$7:$C$40,MATCH(H650,APU_SUBP!$A$7:$A$40,0)),M650*P_FACT_IPC),M650*P_FACT_IPC)))</f>
        <v/>
      </c>
      <c r="Q650" s="11" t="n">
        <f aca="false">IF(J650="%mo",L650/100*SUMIFS($R$7:$R$782,$A$7:$A$782,A650),L650*P650)</f>
        <v>0.0810299016686532</v>
      </c>
      <c r="R650" s="11" t="n">
        <f aca="false">IF(G650="MO",L650*P650,0)</f>
        <v>0</v>
      </c>
    </row>
    <row r="651" customFormat="false" ht="15" hidden="false" customHeight="false" outlineLevel="0" collapsed="false">
      <c r="A651" s="7" t="s">
        <v>760</v>
      </c>
      <c r="B651" s="7" t="s">
        <v>718</v>
      </c>
      <c r="C651" s="7" t="s">
        <v>761</v>
      </c>
      <c r="D651" s="7" t="s">
        <v>753</v>
      </c>
      <c r="E651" s="7" t="s">
        <v>273</v>
      </c>
      <c r="F651" s="11" t="n">
        <v>7.18</v>
      </c>
      <c r="G651" s="7" t="s">
        <v>288</v>
      </c>
      <c r="H651" s="7" t="s">
        <v>404</v>
      </c>
      <c r="I651" s="7" t="s">
        <v>405</v>
      </c>
      <c r="J651" s="7" t="s">
        <v>291</v>
      </c>
      <c r="K651" s="22" t="n">
        <v>1</v>
      </c>
      <c r="L651" s="22" t="n">
        <v>0.0526</v>
      </c>
      <c r="M651" s="11" t="n">
        <v>65.48</v>
      </c>
      <c r="N651" s="11" t="n">
        <v>3.44</v>
      </c>
      <c r="O651" s="7"/>
      <c r="P651" s="11" t="n">
        <f aca="false">IF(J651="%mo","",IF(G651="MO",IF(J651="hh",INDEX(MO_HH,MATCH(I651,MO_CAT,0)),M651*P_FACT_IPC),IF(G651="SUBPART",IFERROR(INDEX(APU_SUBP!$C$7:$C$40,MATCH(H651,APU_SUBP!$A$7:$A$40,0)),M651*P_FACT_IPC),M651*P_FACT_IPC)))</f>
        <v>84.2266516704854</v>
      </c>
      <c r="Q651" s="11" t="n">
        <f aca="false">IF(J651="%mo",L651/100*SUMIFS($R$7:$R$782,$A$7:$A$782,A651),L651*P651)</f>
        <v>4.43032187786753</v>
      </c>
      <c r="R651" s="11" t="n">
        <f aca="false">IF(G651="MO",L651*P651,0)</f>
        <v>0</v>
      </c>
    </row>
    <row r="652" customFormat="false" ht="15" hidden="false" customHeight="false" outlineLevel="0" collapsed="false">
      <c r="A652" s="9" t="s">
        <v>762</v>
      </c>
      <c r="B652" s="9" t="s">
        <v>718</v>
      </c>
      <c r="C652" s="9" t="s">
        <v>763</v>
      </c>
      <c r="D652" s="9" t="s">
        <v>755</v>
      </c>
      <c r="E652" s="9" t="s">
        <v>273</v>
      </c>
      <c r="F652" s="10" t="n">
        <v>45.07</v>
      </c>
      <c r="G652" s="9" t="s">
        <v>281</v>
      </c>
      <c r="H652" s="9" t="s">
        <v>282</v>
      </c>
      <c r="I652" s="9" t="s">
        <v>107</v>
      </c>
      <c r="J652" s="9" t="s">
        <v>283</v>
      </c>
      <c r="K652" s="31" t="n">
        <v>0.025</v>
      </c>
      <c r="L652" s="31" t="n">
        <v>0.08</v>
      </c>
      <c r="M652" s="10" t="n">
        <v>25.81</v>
      </c>
      <c r="N652" s="10" t="n">
        <v>2.06</v>
      </c>
      <c r="O652" s="9" t="s">
        <v>284</v>
      </c>
      <c r="P652" s="11" t="n">
        <f aca="false">IF(J652="%mo","",IF(G652="MO",IF(J652="hh",INDEX(MO_HH,MATCH(I652,MO_CAT,0)),M652*P_FACT_IPC),IF(G652="SUBPART",IFERROR(INDEX(APU_SUBP!$C$7:$C$40,MATCH(H652,APU_SUBP!$A$7:$A$40,0)),M652*P_FACT_IPC),M652*P_FACT_IPC)))</f>
        <v>19.226758045292</v>
      </c>
      <c r="Q652" s="11" t="n">
        <f aca="false">IF(J652="%mo",L652/100*SUMIFS($R$7:$R$782,$A$7:$A$782,A652),L652*P652)</f>
        <v>1.53814064362336</v>
      </c>
      <c r="R652" s="11" t="n">
        <f aca="false">IF(G652="MO",L652*P652,0)</f>
        <v>1.53814064362336</v>
      </c>
    </row>
    <row r="653" customFormat="false" ht="15" hidden="false" customHeight="false" outlineLevel="0" collapsed="false">
      <c r="A653" s="7" t="s">
        <v>762</v>
      </c>
      <c r="B653" s="7" t="s">
        <v>718</v>
      </c>
      <c r="C653" s="7" t="s">
        <v>763</v>
      </c>
      <c r="D653" s="7" t="s">
        <v>755</v>
      </c>
      <c r="E653" s="7" t="s">
        <v>273</v>
      </c>
      <c r="F653" s="11" t="n">
        <v>45.07</v>
      </c>
      <c r="G653" s="7" t="s">
        <v>281</v>
      </c>
      <c r="H653" s="7" t="s">
        <v>285</v>
      </c>
      <c r="I653" s="7" t="s">
        <v>117</v>
      </c>
      <c r="J653" s="7" t="s">
        <v>283</v>
      </c>
      <c r="K653" s="22" t="n">
        <v>0.25</v>
      </c>
      <c r="L653" s="22" t="n">
        <v>0.8</v>
      </c>
      <c r="M653" s="11" t="n">
        <v>18.56</v>
      </c>
      <c r="N653" s="11" t="n">
        <v>14.85</v>
      </c>
      <c r="O653" s="7" t="s">
        <v>284</v>
      </c>
      <c r="P653" s="11" t="n">
        <f aca="false">IF(J653="%mo","",IF(G653="MO",IF(J653="hh",INDEX(MO_HH,MATCH(I653,MO_CAT,0)),M653*P_FACT_IPC),IF(G653="SUBPART",IFERROR(INDEX(APU_SUBP!$C$7:$C$40,MATCH(H653,APU_SUBP!$A$7:$A$40,0)),M653*P_FACT_IPC),M653*P_FACT_IPC)))</f>
        <v>13.8259833134684</v>
      </c>
      <c r="Q653" s="11" t="n">
        <f aca="false">IF(J653="%mo",L653/100*SUMIFS($R$7:$R$782,$A$7:$A$782,A653),L653*P653)</f>
        <v>11.0607866507747</v>
      </c>
      <c r="R653" s="11" t="n">
        <f aca="false">IF(G653="MO",L653*P653,0)</f>
        <v>11.0607866507747</v>
      </c>
    </row>
    <row r="654" customFormat="false" ht="15" hidden="false" customHeight="false" outlineLevel="0" collapsed="false">
      <c r="A654" s="9" t="s">
        <v>762</v>
      </c>
      <c r="B654" s="9" t="s">
        <v>718</v>
      </c>
      <c r="C654" s="9" t="s">
        <v>763</v>
      </c>
      <c r="D654" s="9" t="s">
        <v>755</v>
      </c>
      <c r="E654" s="9" t="s">
        <v>273</v>
      </c>
      <c r="F654" s="10" t="n">
        <v>45.07</v>
      </c>
      <c r="G654" s="9" t="s">
        <v>281</v>
      </c>
      <c r="H654" s="9" t="s">
        <v>286</v>
      </c>
      <c r="I654" s="9" t="s">
        <v>122</v>
      </c>
      <c r="J654" s="9" t="s">
        <v>283</v>
      </c>
      <c r="K654" s="31" t="n">
        <v>0.5</v>
      </c>
      <c r="L654" s="31" t="n">
        <v>1.6</v>
      </c>
      <c r="M654" s="10" t="n">
        <v>16.78</v>
      </c>
      <c r="N654" s="10" t="n">
        <v>26.85</v>
      </c>
      <c r="O654" s="9" t="s">
        <v>287</v>
      </c>
      <c r="P654" s="11" t="n">
        <f aca="false">IF(J654="%mo","",IF(G654="MO",IF(J654="hh",INDEX(MO_HH,MATCH(I654,MO_CAT,0)),M654*P_FACT_IPC),IF(G654="SUBPART",IFERROR(INDEX(APU_SUBP!$C$7:$C$40,MATCH(H654,APU_SUBP!$A$7:$A$40,0)),M654*P_FACT_IPC),M654*P_FACT_IPC)))</f>
        <v>12.5</v>
      </c>
      <c r="Q654" s="11" t="n">
        <f aca="false">IF(J654="%mo",L654/100*SUMIFS($R$7:$R$782,$A$7:$A$782,A654),L654*P654)</f>
        <v>20</v>
      </c>
      <c r="R654" s="11" t="n">
        <f aca="false">IF(G654="MO",L654*P654,0)</f>
        <v>20</v>
      </c>
    </row>
    <row r="655" customFormat="false" ht="15" hidden="false" customHeight="false" outlineLevel="0" collapsed="false">
      <c r="A655" s="7" t="s">
        <v>762</v>
      </c>
      <c r="B655" s="7" t="s">
        <v>718</v>
      </c>
      <c r="C655" s="7" t="s">
        <v>763</v>
      </c>
      <c r="D655" s="7" t="s">
        <v>755</v>
      </c>
      <c r="E655" s="7" t="s">
        <v>273</v>
      </c>
      <c r="F655" s="11" t="n">
        <v>45.07</v>
      </c>
      <c r="G655" s="7" t="s">
        <v>288</v>
      </c>
      <c r="H655" s="7" t="s">
        <v>327</v>
      </c>
      <c r="I655" s="7" t="s">
        <v>328</v>
      </c>
      <c r="J655" s="7" t="s">
        <v>329</v>
      </c>
      <c r="K655" s="22"/>
      <c r="L655" s="22" t="n">
        <v>3</v>
      </c>
      <c r="M655" s="11" t="n">
        <v>43.76</v>
      </c>
      <c r="N655" s="11" t="n">
        <v>1.31</v>
      </c>
      <c r="O655" s="7"/>
      <c r="P655" s="11" t="str">
        <f aca="false">IF(J655="%mo","",IF(G655="MO",IF(J655="hh",INDEX(MO_HH,MATCH(I655,MO_CAT,0)),M655*P_FACT_IPC),IF(G655="SUBPART",IFERROR(INDEX(APU_SUBP!$C$7:$C$40,MATCH(H655,APU_SUBP!$A$7:$A$40,0)),M655*P_FACT_IPC),M655*P_FACT_IPC)))</f>
        <v/>
      </c>
      <c r="Q655" s="11" t="n">
        <f aca="false">IF(J655="%mo",L655/100*SUMIFS($R$7:$R$782,$A$7:$A$782,A655),L655*P655)</f>
        <v>0.977967818831943</v>
      </c>
      <c r="R655" s="11" t="n">
        <f aca="false">IF(G655="MO",L655*P655,0)</f>
        <v>0</v>
      </c>
    </row>
    <row r="656" customFormat="false" ht="15" hidden="false" customHeight="false" outlineLevel="0" collapsed="false">
      <c r="A656" s="9" t="s">
        <v>764</v>
      </c>
      <c r="B656" s="9" t="s">
        <v>718</v>
      </c>
      <c r="C656" s="9" t="s">
        <v>765</v>
      </c>
      <c r="D656" s="9" t="s">
        <v>440</v>
      </c>
      <c r="E656" s="9" t="s">
        <v>273</v>
      </c>
      <c r="F656" s="10" t="n">
        <v>471.02</v>
      </c>
      <c r="G656" s="9" t="s">
        <v>281</v>
      </c>
      <c r="H656" s="9" t="s">
        <v>306</v>
      </c>
      <c r="I656" s="9" t="s">
        <v>112</v>
      </c>
      <c r="J656" s="9" t="s">
        <v>283</v>
      </c>
      <c r="K656" s="31" t="n">
        <v>1</v>
      </c>
      <c r="L656" s="31" t="n">
        <v>0.8889</v>
      </c>
      <c r="M656" s="10" t="n">
        <v>23.46</v>
      </c>
      <c r="N656" s="10" t="n">
        <v>20.85</v>
      </c>
      <c r="O656" s="9" t="s">
        <v>284</v>
      </c>
      <c r="P656" s="11" t="n">
        <f aca="false">IF(J656="%mo","",IF(G656="MO",IF(J656="hh",INDEX(MO_HH,MATCH(I656,MO_CAT,0)),M656*P_FACT_IPC),IF(G656="SUBPART",IFERROR(INDEX(APU_SUBP!$C$7:$C$40,MATCH(H656,APU_SUBP!$A$7:$A$40,0)),M656*P_FACT_IPC),M656*P_FACT_IPC)))</f>
        <v>17.4761620977354</v>
      </c>
      <c r="Q656" s="11" t="n">
        <f aca="false">IF(J656="%mo",L656/100*SUMIFS($R$7:$R$782,$A$7:$A$782,A656),L656*P656)</f>
        <v>15.534560488677</v>
      </c>
      <c r="R656" s="11" t="n">
        <f aca="false">IF(G656="MO",L656*P656,0)</f>
        <v>15.534560488677</v>
      </c>
    </row>
    <row r="657" customFormat="false" ht="15" hidden="false" customHeight="false" outlineLevel="0" collapsed="false">
      <c r="A657" s="7" t="s">
        <v>764</v>
      </c>
      <c r="B657" s="7" t="s">
        <v>718</v>
      </c>
      <c r="C657" s="7" t="s">
        <v>765</v>
      </c>
      <c r="D657" s="7" t="s">
        <v>440</v>
      </c>
      <c r="E657" s="7" t="s">
        <v>273</v>
      </c>
      <c r="F657" s="11" t="n">
        <v>471.02</v>
      </c>
      <c r="G657" s="7" t="s">
        <v>281</v>
      </c>
      <c r="H657" s="7" t="s">
        <v>282</v>
      </c>
      <c r="I657" s="7" t="s">
        <v>107</v>
      </c>
      <c r="J657" s="7" t="s">
        <v>283</v>
      </c>
      <c r="K657" s="22" t="n">
        <v>1</v>
      </c>
      <c r="L657" s="22" t="n">
        <v>0.8889</v>
      </c>
      <c r="M657" s="11" t="n">
        <v>25.81</v>
      </c>
      <c r="N657" s="11" t="n">
        <v>22.94</v>
      </c>
      <c r="O657" s="7" t="s">
        <v>284</v>
      </c>
      <c r="P657" s="11" t="n">
        <f aca="false">IF(J657="%mo","",IF(G657="MO",IF(J657="hh",INDEX(MO_HH,MATCH(I657,MO_CAT,0)),M657*P_FACT_IPC),IF(G657="SUBPART",IFERROR(INDEX(APU_SUBP!$C$7:$C$40,MATCH(H657,APU_SUBP!$A$7:$A$40,0)),M657*P_FACT_IPC),M657*P_FACT_IPC)))</f>
        <v>19.226758045292</v>
      </c>
      <c r="Q657" s="11" t="n">
        <f aca="false">IF(J657="%mo",L657/100*SUMIFS($R$7:$R$782,$A$7:$A$782,A657),L657*P657)</f>
        <v>17.0906652264601</v>
      </c>
      <c r="R657" s="11" t="n">
        <f aca="false">IF(G657="MO",L657*P657,0)</f>
        <v>17.0906652264601</v>
      </c>
    </row>
    <row r="658" customFormat="false" ht="15" hidden="false" customHeight="false" outlineLevel="0" collapsed="false">
      <c r="A658" s="9" t="s">
        <v>764</v>
      </c>
      <c r="B658" s="9" t="s">
        <v>718</v>
      </c>
      <c r="C658" s="9" t="s">
        <v>765</v>
      </c>
      <c r="D658" s="9" t="s">
        <v>440</v>
      </c>
      <c r="E658" s="9" t="s">
        <v>273</v>
      </c>
      <c r="F658" s="10" t="n">
        <v>471.02</v>
      </c>
      <c r="G658" s="9" t="s">
        <v>281</v>
      </c>
      <c r="H658" s="9" t="s">
        <v>285</v>
      </c>
      <c r="I658" s="9" t="s">
        <v>117</v>
      </c>
      <c r="J658" s="9" t="s">
        <v>283</v>
      </c>
      <c r="K658" s="31" t="n">
        <v>2</v>
      </c>
      <c r="L658" s="31" t="n">
        <v>1.7778</v>
      </c>
      <c r="M658" s="10" t="n">
        <v>18.56</v>
      </c>
      <c r="N658" s="10" t="n">
        <v>33</v>
      </c>
      <c r="O658" s="9" t="s">
        <v>284</v>
      </c>
      <c r="P658" s="11" t="n">
        <f aca="false">IF(J658="%mo","",IF(G658="MO",IF(J658="hh",INDEX(MO_HH,MATCH(I658,MO_CAT,0)),M658*P_FACT_IPC),IF(G658="SUBPART",IFERROR(INDEX(APU_SUBP!$C$7:$C$40,MATCH(H658,APU_SUBP!$A$7:$A$40,0)),M658*P_FACT_IPC),M658*P_FACT_IPC)))</f>
        <v>13.8259833134684</v>
      </c>
      <c r="Q658" s="11" t="n">
        <f aca="false">IF(J658="%mo",L658/100*SUMIFS($R$7:$R$782,$A$7:$A$782,A658),L658*P658)</f>
        <v>24.5798331346841</v>
      </c>
      <c r="R658" s="11" t="n">
        <f aca="false">IF(G658="MO",L658*P658,0)</f>
        <v>24.5798331346841</v>
      </c>
    </row>
    <row r="659" customFormat="false" ht="15" hidden="false" customHeight="false" outlineLevel="0" collapsed="false">
      <c r="A659" s="7" t="s">
        <v>764</v>
      </c>
      <c r="B659" s="7" t="s">
        <v>718</v>
      </c>
      <c r="C659" s="7" t="s">
        <v>765</v>
      </c>
      <c r="D659" s="7" t="s">
        <v>440</v>
      </c>
      <c r="E659" s="7" t="s">
        <v>273</v>
      </c>
      <c r="F659" s="11" t="n">
        <v>471.02</v>
      </c>
      <c r="G659" s="7" t="s">
        <v>281</v>
      </c>
      <c r="H659" s="7" t="s">
        <v>286</v>
      </c>
      <c r="I659" s="7" t="s">
        <v>122</v>
      </c>
      <c r="J659" s="7" t="s">
        <v>283</v>
      </c>
      <c r="K659" s="22" t="n">
        <v>8</v>
      </c>
      <c r="L659" s="22" t="n">
        <v>7.1111</v>
      </c>
      <c r="M659" s="11" t="n">
        <v>16.78</v>
      </c>
      <c r="N659" s="11" t="n">
        <v>119.32</v>
      </c>
      <c r="O659" s="7" t="s">
        <v>287</v>
      </c>
      <c r="P659" s="11" t="n">
        <f aca="false">IF(J659="%mo","",IF(G659="MO",IF(J659="hh",INDEX(MO_HH,MATCH(I659,MO_CAT,0)),M659*P_FACT_IPC),IF(G659="SUBPART",IFERROR(INDEX(APU_SUBP!$C$7:$C$40,MATCH(H659,APU_SUBP!$A$7:$A$40,0)),M659*P_FACT_IPC),M659*P_FACT_IPC)))</f>
        <v>12.5</v>
      </c>
      <c r="Q659" s="11" t="n">
        <f aca="false">IF(J659="%mo",L659/100*SUMIFS($R$7:$R$782,$A$7:$A$782,A659),L659*P659)</f>
        <v>88.88875</v>
      </c>
      <c r="R659" s="11" t="n">
        <f aca="false">IF(G659="MO",L659*P659,0)</f>
        <v>88.88875</v>
      </c>
    </row>
    <row r="660" customFormat="false" ht="15" hidden="false" customHeight="false" outlineLevel="0" collapsed="false">
      <c r="A660" s="9" t="s">
        <v>764</v>
      </c>
      <c r="B660" s="9" t="s">
        <v>718</v>
      </c>
      <c r="C660" s="9" t="s">
        <v>765</v>
      </c>
      <c r="D660" s="9" t="s">
        <v>440</v>
      </c>
      <c r="E660" s="9" t="s">
        <v>273</v>
      </c>
      <c r="F660" s="10" t="n">
        <v>471.02</v>
      </c>
      <c r="G660" s="9" t="s">
        <v>307</v>
      </c>
      <c r="H660" s="9" t="s">
        <v>362</v>
      </c>
      <c r="I660" s="9" t="s">
        <v>363</v>
      </c>
      <c r="J660" s="9" t="s">
        <v>310</v>
      </c>
      <c r="K660" s="31"/>
      <c r="L660" s="31" t="n">
        <v>7.5</v>
      </c>
      <c r="M660" s="10" t="n">
        <v>24.68</v>
      </c>
      <c r="N660" s="10" t="n">
        <v>185.1</v>
      </c>
      <c r="O660" s="9"/>
      <c r="P660" s="11" t="n">
        <f aca="false">IF(J660="%mo","",IF(G660="MO",IF(J660="hh",INDEX(MO_HH,MATCH(I660,MO_CAT,0)),M660*P_FACT_IPC),IF(G660="SUBPART",IFERROR(INDEX(APU_SUBP!$C$7:$C$40,MATCH(H660,APU_SUBP!$A$7:$A$40,0)),M660*P_FACT_IPC),M660*P_FACT_IPC)))</f>
        <v>31.7457813565605</v>
      </c>
      <c r="Q660" s="11" t="n">
        <f aca="false">IF(J660="%mo",L660/100*SUMIFS($R$7:$R$782,$A$7:$A$782,A660),L660*P660)</f>
        <v>238.093360174203</v>
      </c>
      <c r="R660" s="11" t="n">
        <f aca="false">IF(G660="MO",L660*P660,0)</f>
        <v>0</v>
      </c>
    </row>
    <row r="661" customFormat="false" ht="15" hidden="false" customHeight="false" outlineLevel="0" collapsed="false">
      <c r="A661" s="7" t="s">
        <v>764</v>
      </c>
      <c r="B661" s="7" t="s">
        <v>718</v>
      </c>
      <c r="C661" s="7" t="s">
        <v>765</v>
      </c>
      <c r="D661" s="7" t="s">
        <v>440</v>
      </c>
      <c r="E661" s="7" t="s">
        <v>273</v>
      </c>
      <c r="F661" s="11" t="n">
        <v>471.02</v>
      </c>
      <c r="G661" s="7" t="s">
        <v>288</v>
      </c>
      <c r="H661" s="7" t="s">
        <v>766</v>
      </c>
      <c r="I661" s="7" t="s">
        <v>767</v>
      </c>
      <c r="J661" s="7" t="s">
        <v>291</v>
      </c>
      <c r="K661" s="22" t="n">
        <v>1</v>
      </c>
      <c r="L661" s="22" t="n">
        <v>0.8889</v>
      </c>
      <c r="M661" s="11" t="n">
        <v>10.02</v>
      </c>
      <c r="N661" s="11" t="n">
        <v>8.91</v>
      </c>
      <c r="O661" s="7"/>
      <c r="P661" s="11" t="n">
        <f aca="false">IF(J661="%mo","",IF(G661="MO",IF(J661="hh",INDEX(MO_HH,MATCH(I661,MO_CAT,0)),M661*P_FACT_IPC),IF(G661="SUBPART",IFERROR(INDEX(APU_SUBP!$C$7:$C$40,MATCH(H661,APU_SUBP!$A$7:$A$40,0)),M661*P_FACT_IPC),M661*P_FACT_IPC)))</f>
        <v>12.8886843270963</v>
      </c>
      <c r="Q661" s="11" t="n">
        <f aca="false">IF(J661="%mo",L661/100*SUMIFS($R$7:$R$782,$A$7:$A$782,A661),L661*P661)</f>
        <v>11.4567514983559</v>
      </c>
      <c r="R661" s="11" t="n">
        <f aca="false">IF(G661="MO",L661*P661,0)</f>
        <v>0</v>
      </c>
    </row>
    <row r="662" customFormat="false" ht="15" hidden="false" customHeight="false" outlineLevel="0" collapsed="false">
      <c r="A662" s="9" t="s">
        <v>764</v>
      </c>
      <c r="B662" s="9" t="s">
        <v>718</v>
      </c>
      <c r="C662" s="9" t="s">
        <v>765</v>
      </c>
      <c r="D662" s="9" t="s">
        <v>440</v>
      </c>
      <c r="E662" s="9" t="s">
        <v>273</v>
      </c>
      <c r="F662" s="10" t="n">
        <v>471.02</v>
      </c>
      <c r="G662" s="9" t="s">
        <v>288</v>
      </c>
      <c r="H662" s="9" t="s">
        <v>327</v>
      </c>
      <c r="I662" s="9" t="s">
        <v>328</v>
      </c>
      <c r="J662" s="9" t="s">
        <v>329</v>
      </c>
      <c r="K662" s="31"/>
      <c r="L662" s="31" t="n">
        <v>5</v>
      </c>
      <c r="M662" s="10" t="n">
        <v>196.11</v>
      </c>
      <c r="N662" s="10" t="n">
        <v>9.81</v>
      </c>
      <c r="O662" s="9"/>
      <c r="P662" s="11" t="str">
        <f aca="false">IF(J662="%mo","",IF(G662="MO",IF(J662="hh",INDEX(MO_HH,MATCH(I662,MO_CAT,0)),M662*P_FACT_IPC),IF(G662="SUBPART",IFERROR(INDEX(APU_SUBP!$C$7:$C$40,MATCH(H662,APU_SUBP!$A$7:$A$40,0)),M662*P_FACT_IPC),M662*P_FACT_IPC)))</f>
        <v/>
      </c>
      <c r="Q662" s="11" t="n">
        <f aca="false">IF(J662="%mo",L662/100*SUMIFS($R$7:$R$782,$A$7:$A$782,A662),L662*P662)</f>
        <v>7.30469044249106</v>
      </c>
      <c r="R662" s="11" t="n">
        <f aca="false">IF(G662="MO",L662*P662,0)</f>
        <v>0</v>
      </c>
    </row>
    <row r="663" customFormat="false" ht="15" hidden="false" customHeight="false" outlineLevel="0" collapsed="false">
      <c r="A663" s="7" t="s">
        <v>764</v>
      </c>
      <c r="B663" s="7" t="s">
        <v>718</v>
      </c>
      <c r="C663" s="7" t="s">
        <v>765</v>
      </c>
      <c r="D663" s="7" t="s">
        <v>440</v>
      </c>
      <c r="E663" s="7" t="s">
        <v>273</v>
      </c>
      <c r="F663" s="11" t="n">
        <v>471.02</v>
      </c>
      <c r="G663" s="7" t="s">
        <v>370</v>
      </c>
      <c r="H663" s="7" t="s">
        <v>415</v>
      </c>
      <c r="I663" s="7" t="s">
        <v>416</v>
      </c>
      <c r="J663" s="7" t="s">
        <v>273</v>
      </c>
      <c r="K663" s="22"/>
      <c r="L663" s="22" t="n">
        <v>0.15</v>
      </c>
      <c r="M663" s="11" t="n">
        <v>21.15</v>
      </c>
      <c r="N663" s="11" t="n">
        <v>3.17</v>
      </c>
      <c r="O663" s="7"/>
      <c r="P663" s="11" t="n">
        <f aca="false">IF(J663="%mo","",IF(G663="MO",IF(J663="hh",INDEX(MO_HH,MATCH(I663,MO_CAT,0)),M663*P_FACT_IPC),IF(G663="SUBPART",IFERROR(INDEX(APU_SUBP!$C$7:$C$40,MATCH(H663,APU_SUBP!$A$7:$A$40,0)),M663*P_FACT_IPC),M663*P_FACT_IPC)))</f>
        <v>22.7438822970285</v>
      </c>
      <c r="Q663" s="11" t="n">
        <f aca="false">IF(J663="%mo",L663/100*SUMIFS($R$7:$R$782,$A$7:$A$782,A663),L663*P663)</f>
        <v>3.41158234455427</v>
      </c>
      <c r="R663" s="11" t="n">
        <f aca="false">IF(G663="MO",L663*P663,0)</f>
        <v>0</v>
      </c>
    </row>
    <row r="664" customFormat="false" ht="15" hidden="false" customHeight="false" outlineLevel="0" collapsed="false">
      <c r="A664" s="9" t="s">
        <v>764</v>
      </c>
      <c r="B664" s="9" t="s">
        <v>718</v>
      </c>
      <c r="C664" s="9" t="s">
        <v>765</v>
      </c>
      <c r="D664" s="9" t="s">
        <v>440</v>
      </c>
      <c r="E664" s="9" t="s">
        <v>273</v>
      </c>
      <c r="F664" s="10" t="n">
        <v>471.02</v>
      </c>
      <c r="G664" s="9" t="s">
        <v>370</v>
      </c>
      <c r="H664" s="9" t="s">
        <v>371</v>
      </c>
      <c r="I664" s="9" t="s">
        <v>372</v>
      </c>
      <c r="J664" s="9" t="s">
        <v>273</v>
      </c>
      <c r="K664" s="31"/>
      <c r="L664" s="31" t="n">
        <v>1.2</v>
      </c>
      <c r="M664" s="10" t="n">
        <v>56.6</v>
      </c>
      <c r="N664" s="10" t="n">
        <v>67.92</v>
      </c>
      <c r="O664" s="9"/>
      <c r="P664" s="11" t="n">
        <f aca="false">IF(J664="%mo","",IF(G664="MO",IF(J664="hh",INDEX(MO_HH,MATCH(I664,MO_CAT,0)),M664*P_FACT_IPC),IF(G664="SUBPART",IFERROR(INDEX(APU_SUBP!$C$7:$C$40,MATCH(H664,APU_SUBP!$A$7:$A$40,0)),M664*P_FACT_IPC),M664*P_FACT_IPC)))</f>
        <v>69.1425112769682</v>
      </c>
      <c r="Q664" s="11" t="n">
        <f aca="false">IF(J664="%mo",L664/100*SUMIFS($R$7:$R$782,$A$7:$A$782,A664),L664*P664)</f>
        <v>82.9710135323618</v>
      </c>
      <c r="R664" s="11" t="n">
        <f aca="false">IF(G664="MO",L664*P664,0)</f>
        <v>0</v>
      </c>
    </row>
    <row r="665" customFormat="false" ht="15" hidden="false" customHeight="false" outlineLevel="0" collapsed="false">
      <c r="A665" s="7" t="s">
        <v>768</v>
      </c>
      <c r="B665" s="7" t="s">
        <v>769</v>
      </c>
      <c r="C665" s="7" t="s">
        <v>770</v>
      </c>
      <c r="D665" s="7" t="s">
        <v>378</v>
      </c>
      <c r="E665" s="7" t="s">
        <v>273</v>
      </c>
      <c r="F665" s="11" t="n">
        <v>63.82</v>
      </c>
      <c r="G665" s="7" t="s">
        <v>281</v>
      </c>
      <c r="H665" s="7" t="s">
        <v>282</v>
      </c>
      <c r="I665" s="7" t="s">
        <v>107</v>
      </c>
      <c r="J665" s="7" t="s">
        <v>283</v>
      </c>
      <c r="K665" s="22" t="n">
        <v>0.1</v>
      </c>
      <c r="L665" s="22" t="n">
        <v>0.32</v>
      </c>
      <c r="M665" s="11" t="n">
        <v>25.81</v>
      </c>
      <c r="N665" s="11" t="n">
        <v>8.26</v>
      </c>
      <c r="O665" s="7" t="s">
        <v>284</v>
      </c>
      <c r="P665" s="11" t="n">
        <f aca="false">IF(J665="%mo","",IF(G665="MO",IF(J665="hh",INDEX(MO_HH,MATCH(I665,MO_CAT,0)),M665*P_FACT_IPC),IF(G665="SUBPART",IFERROR(INDEX(APU_SUBP!$C$7:$C$40,MATCH(H665,APU_SUBP!$A$7:$A$40,0)),M665*P_FACT_IPC),M665*P_FACT_IPC)))</f>
        <v>19.226758045292</v>
      </c>
      <c r="Q665" s="11" t="n">
        <f aca="false">IF(J665="%mo",L665/100*SUMIFS($R$7:$R$782,$A$7:$A$782,A665),L665*P665)</f>
        <v>6.15256257449344</v>
      </c>
      <c r="R665" s="11" t="n">
        <f aca="false">IF(G665="MO",L665*P665,0)</f>
        <v>6.15256257449344</v>
      </c>
    </row>
    <row r="666" customFormat="false" ht="15" hidden="false" customHeight="false" outlineLevel="0" collapsed="false">
      <c r="A666" s="9" t="s">
        <v>768</v>
      </c>
      <c r="B666" s="9" t="s">
        <v>769</v>
      </c>
      <c r="C666" s="9" t="s">
        <v>770</v>
      </c>
      <c r="D666" s="9" t="s">
        <v>378</v>
      </c>
      <c r="E666" s="9" t="s">
        <v>273</v>
      </c>
      <c r="F666" s="10" t="n">
        <v>63.82</v>
      </c>
      <c r="G666" s="9" t="s">
        <v>281</v>
      </c>
      <c r="H666" s="9" t="s">
        <v>286</v>
      </c>
      <c r="I666" s="9" t="s">
        <v>122</v>
      </c>
      <c r="J666" s="9" t="s">
        <v>283</v>
      </c>
      <c r="K666" s="31" t="n">
        <v>1</v>
      </c>
      <c r="L666" s="31" t="n">
        <v>3.2</v>
      </c>
      <c r="M666" s="10" t="n">
        <v>16.78</v>
      </c>
      <c r="N666" s="10" t="n">
        <v>53.7</v>
      </c>
      <c r="O666" s="9" t="s">
        <v>287</v>
      </c>
      <c r="P666" s="11" t="n">
        <f aca="false">IF(J666="%mo","",IF(G666="MO",IF(J666="hh",INDEX(MO_HH,MATCH(I666,MO_CAT,0)),M666*P_FACT_IPC),IF(G666="SUBPART",IFERROR(INDEX(APU_SUBP!$C$7:$C$40,MATCH(H666,APU_SUBP!$A$7:$A$40,0)),M666*P_FACT_IPC),M666*P_FACT_IPC)))</f>
        <v>12.5</v>
      </c>
      <c r="Q666" s="11" t="n">
        <f aca="false">IF(J666="%mo",L666/100*SUMIFS($R$7:$R$782,$A$7:$A$782,A666),L666*P666)</f>
        <v>40</v>
      </c>
      <c r="R666" s="11" t="n">
        <f aca="false">IF(G666="MO",L666*P666,0)</f>
        <v>40</v>
      </c>
    </row>
    <row r="667" customFormat="false" ht="15" hidden="false" customHeight="false" outlineLevel="0" collapsed="false">
      <c r="A667" s="7" t="s">
        <v>768</v>
      </c>
      <c r="B667" s="7" t="s">
        <v>769</v>
      </c>
      <c r="C667" s="7" t="s">
        <v>770</v>
      </c>
      <c r="D667" s="7" t="s">
        <v>378</v>
      </c>
      <c r="E667" s="7" t="s">
        <v>273</v>
      </c>
      <c r="F667" s="11" t="n">
        <v>63.82</v>
      </c>
      <c r="G667" s="7" t="s">
        <v>288</v>
      </c>
      <c r="H667" s="7" t="s">
        <v>327</v>
      </c>
      <c r="I667" s="7" t="s">
        <v>328</v>
      </c>
      <c r="J667" s="7" t="s">
        <v>329</v>
      </c>
      <c r="K667" s="22"/>
      <c r="L667" s="22" t="n">
        <v>3</v>
      </c>
      <c r="M667" s="11" t="n">
        <v>61.96</v>
      </c>
      <c r="N667" s="11" t="n">
        <v>1.86</v>
      </c>
      <c r="O667" s="7"/>
      <c r="P667" s="11" t="str">
        <f aca="false">IF(J667="%mo","",IF(G667="MO",IF(J667="hh",INDEX(MO_HH,MATCH(I667,MO_CAT,0)),M667*P_FACT_IPC),IF(G667="SUBPART",IFERROR(INDEX(APU_SUBP!$C$7:$C$40,MATCH(H667,APU_SUBP!$A$7:$A$40,0)),M667*P_FACT_IPC),M667*P_FACT_IPC)))</f>
        <v/>
      </c>
      <c r="Q667" s="11" t="n">
        <f aca="false">IF(J667="%mo",L667/100*SUMIFS($R$7:$R$782,$A$7:$A$782,A667),L667*P667)</f>
        <v>1.3845768772348</v>
      </c>
      <c r="R667" s="11" t="n">
        <f aca="false">IF(G667="MO",L667*P667,0)</f>
        <v>0</v>
      </c>
    </row>
    <row r="668" customFormat="false" ht="15" hidden="false" customHeight="false" outlineLevel="0" collapsed="false">
      <c r="A668" s="9" t="s">
        <v>771</v>
      </c>
      <c r="B668" s="9" t="s">
        <v>769</v>
      </c>
      <c r="C668" s="9" t="s">
        <v>772</v>
      </c>
      <c r="D668" s="9" t="s">
        <v>381</v>
      </c>
      <c r="E668" s="9" t="s">
        <v>341</v>
      </c>
      <c r="F668" s="10" t="n">
        <v>3.19</v>
      </c>
      <c r="G668" s="9" t="s">
        <v>281</v>
      </c>
      <c r="H668" s="9" t="s">
        <v>282</v>
      </c>
      <c r="I668" s="9" t="s">
        <v>107</v>
      </c>
      <c r="J668" s="9" t="s">
        <v>283</v>
      </c>
      <c r="K668" s="31" t="n">
        <v>0.1</v>
      </c>
      <c r="L668" s="31" t="n">
        <v>0.0032</v>
      </c>
      <c r="M668" s="10" t="n">
        <v>25.81</v>
      </c>
      <c r="N668" s="10" t="n">
        <v>0.08</v>
      </c>
      <c r="O668" s="9" t="s">
        <v>284</v>
      </c>
      <c r="P668" s="11" t="n">
        <f aca="false">IF(J668="%mo","",IF(G668="MO",IF(J668="hh",INDEX(MO_HH,MATCH(I668,MO_CAT,0)),M668*P_FACT_IPC),IF(G668="SUBPART",IFERROR(INDEX(APU_SUBP!$C$7:$C$40,MATCH(H668,APU_SUBP!$A$7:$A$40,0)),M668*P_FACT_IPC),M668*P_FACT_IPC)))</f>
        <v>19.226758045292</v>
      </c>
      <c r="Q668" s="11" t="n">
        <f aca="false">IF(J668="%mo",L668/100*SUMIFS($R$7:$R$782,$A$7:$A$782,A668),L668*P668)</f>
        <v>0.0615256257449344</v>
      </c>
      <c r="R668" s="11" t="n">
        <f aca="false">IF(G668="MO",L668*P668,0)</f>
        <v>0.0615256257449344</v>
      </c>
    </row>
    <row r="669" customFormat="false" ht="15" hidden="false" customHeight="false" outlineLevel="0" collapsed="false">
      <c r="A669" s="7" t="s">
        <v>771</v>
      </c>
      <c r="B669" s="7" t="s">
        <v>769</v>
      </c>
      <c r="C669" s="7" t="s">
        <v>772</v>
      </c>
      <c r="D669" s="7" t="s">
        <v>381</v>
      </c>
      <c r="E669" s="7" t="s">
        <v>341</v>
      </c>
      <c r="F669" s="11" t="n">
        <v>3.19</v>
      </c>
      <c r="G669" s="7" t="s">
        <v>281</v>
      </c>
      <c r="H669" s="7" t="s">
        <v>306</v>
      </c>
      <c r="I669" s="7" t="s">
        <v>112</v>
      </c>
      <c r="J669" s="7" t="s">
        <v>283</v>
      </c>
      <c r="K669" s="22" t="n">
        <v>1</v>
      </c>
      <c r="L669" s="22" t="n">
        <v>0.032</v>
      </c>
      <c r="M669" s="11" t="n">
        <v>23.46</v>
      </c>
      <c r="N669" s="11" t="n">
        <v>0.75</v>
      </c>
      <c r="O669" s="7" t="s">
        <v>284</v>
      </c>
      <c r="P669" s="11" t="n">
        <f aca="false">IF(J669="%mo","",IF(G669="MO",IF(J669="hh",INDEX(MO_HH,MATCH(I669,MO_CAT,0)),M669*P_FACT_IPC),IF(G669="SUBPART",IFERROR(INDEX(APU_SUBP!$C$7:$C$40,MATCH(H669,APU_SUBP!$A$7:$A$40,0)),M669*P_FACT_IPC),M669*P_FACT_IPC)))</f>
        <v>17.4761620977354</v>
      </c>
      <c r="Q669" s="11" t="n">
        <f aca="false">IF(J669="%mo",L669/100*SUMIFS($R$7:$R$782,$A$7:$A$782,A669),L669*P669)</f>
        <v>0.559237187127533</v>
      </c>
      <c r="R669" s="11" t="n">
        <f aca="false">IF(G669="MO",L669*P669,0)</f>
        <v>0.559237187127533</v>
      </c>
    </row>
    <row r="670" customFormat="false" ht="15" hidden="false" customHeight="false" outlineLevel="0" collapsed="false">
      <c r="A670" s="9" t="s">
        <v>771</v>
      </c>
      <c r="B670" s="9" t="s">
        <v>769</v>
      </c>
      <c r="C670" s="9" t="s">
        <v>772</v>
      </c>
      <c r="D670" s="9" t="s">
        <v>381</v>
      </c>
      <c r="E670" s="9" t="s">
        <v>341</v>
      </c>
      <c r="F670" s="10" t="n">
        <v>3.19</v>
      </c>
      <c r="G670" s="9" t="s">
        <v>281</v>
      </c>
      <c r="H670" s="9" t="s">
        <v>286</v>
      </c>
      <c r="I670" s="9" t="s">
        <v>122</v>
      </c>
      <c r="J670" s="9" t="s">
        <v>283</v>
      </c>
      <c r="K670" s="31" t="n">
        <v>2</v>
      </c>
      <c r="L670" s="31" t="n">
        <v>0.064</v>
      </c>
      <c r="M670" s="10" t="n">
        <v>16.78</v>
      </c>
      <c r="N670" s="10" t="n">
        <v>1.07</v>
      </c>
      <c r="O670" s="9" t="s">
        <v>287</v>
      </c>
      <c r="P670" s="11" t="n">
        <f aca="false">IF(J670="%mo","",IF(G670="MO",IF(J670="hh",INDEX(MO_HH,MATCH(I670,MO_CAT,0)),M670*P_FACT_IPC),IF(G670="SUBPART",IFERROR(INDEX(APU_SUBP!$C$7:$C$40,MATCH(H670,APU_SUBP!$A$7:$A$40,0)),M670*P_FACT_IPC),M670*P_FACT_IPC)))</f>
        <v>12.5</v>
      </c>
      <c r="Q670" s="11" t="n">
        <f aca="false">IF(J670="%mo",L670/100*SUMIFS($R$7:$R$782,$A$7:$A$782,A670),L670*P670)</f>
        <v>0.8</v>
      </c>
      <c r="R670" s="11" t="n">
        <f aca="false">IF(G670="MO",L670*P670,0)</f>
        <v>0.8</v>
      </c>
    </row>
    <row r="671" customFormat="false" ht="15" hidden="false" customHeight="false" outlineLevel="0" collapsed="false">
      <c r="A671" s="7" t="s">
        <v>771</v>
      </c>
      <c r="B671" s="7" t="s">
        <v>769</v>
      </c>
      <c r="C671" s="7" t="s">
        <v>772</v>
      </c>
      <c r="D671" s="7" t="s">
        <v>381</v>
      </c>
      <c r="E671" s="7" t="s">
        <v>341</v>
      </c>
      <c r="F671" s="11" t="n">
        <v>3.19</v>
      </c>
      <c r="G671" s="7" t="s">
        <v>288</v>
      </c>
      <c r="H671" s="7" t="s">
        <v>327</v>
      </c>
      <c r="I671" s="7" t="s">
        <v>328</v>
      </c>
      <c r="J671" s="7" t="s">
        <v>329</v>
      </c>
      <c r="K671" s="22"/>
      <c r="L671" s="22" t="n">
        <v>3</v>
      </c>
      <c r="M671" s="11" t="n">
        <v>1.9</v>
      </c>
      <c r="N671" s="11" t="n">
        <v>0.06</v>
      </c>
      <c r="O671" s="7"/>
      <c r="P671" s="11" t="str">
        <f aca="false">IF(J671="%mo","",IF(G671="MO",IF(J671="hh",INDEX(MO_HH,MATCH(I671,MO_CAT,0)),M671*P_FACT_IPC),IF(G671="SUBPART",IFERROR(INDEX(APU_SUBP!$C$7:$C$40,MATCH(H671,APU_SUBP!$A$7:$A$40,0)),M671*P_FACT_IPC),M671*P_FACT_IPC)))</f>
        <v/>
      </c>
      <c r="Q671" s="11" t="n">
        <f aca="false">IF(J671="%mo",L671/100*SUMIFS($R$7:$R$782,$A$7:$A$782,A671),L671*P671)</f>
        <v>0.042622884386174</v>
      </c>
      <c r="R671" s="11" t="n">
        <f aca="false">IF(G671="MO",L671*P671,0)</f>
        <v>0</v>
      </c>
    </row>
    <row r="672" customFormat="false" ht="15" hidden="false" customHeight="false" outlineLevel="0" collapsed="false">
      <c r="A672" s="9" t="s">
        <v>771</v>
      </c>
      <c r="B672" s="9" t="s">
        <v>769</v>
      </c>
      <c r="C672" s="9" t="s">
        <v>772</v>
      </c>
      <c r="D672" s="9" t="s">
        <v>381</v>
      </c>
      <c r="E672" s="9" t="s">
        <v>341</v>
      </c>
      <c r="F672" s="10" t="n">
        <v>3.19</v>
      </c>
      <c r="G672" s="9" t="s">
        <v>288</v>
      </c>
      <c r="H672" s="9" t="s">
        <v>382</v>
      </c>
      <c r="I672" s="9" t="s">
        <v>383</v>
      </c>
      <c r="J672" s="9" t="s">
        <v>291</v>
      </c>
      <c r="K672" s="31" t="n">
        <v>1</v>
      </c>
      <c r="L672" s="31" t="n">
        <v>0.032</v>
      </c>
      <c r="M672" s="10" t="n">
        <v>38.5</v>
      </c>
      <c r="N672" s="10" t="n">
        <v>1.23</v>
      </c>
      <c r="O672" s="9"/>
      <c r="P672" s="11" t="n">
        <f aca="false">IF(J672="%mo","",IF(G672="MO",IF(J672="hh",INDEX(MO_HH,MATCH(I672,MO_CAT,0)),M672*P_FACT_IPC),IF(G672="SUBPART",IFERROR(INDEX(APU_SUBP!$C$7:$C$40,MATCH(H672,APU_SUBP!$A$7:$A$40,0)),M672*P_FACT_IPC),M672*P_FACT_IPC)))</f>
        <v>49.5223898795615</v>
      </c>
      <c r="Q672" s="11" t="n">
        <f aca="false">IF(J672="%mo",L672/100*SUMIFS($R$7:$R$782,$A$7:$A$782,A672),L672*P672)</f>
        <v>1.58471647614597</v>
      </c>
      <c r="R672" s="11" t="n">
        <f aca="false">IF(G672="MO",L672*P672,0)</f>
        <v>0</v>
      </c>
    </row>
    <row r="673" customFormat="false" ht="15" hidden="false" customHeight="false" outlineLevel="0" collapsed="false">
      <c r="A673" s="7" t="s">
        <v>773</v>
      </c>
      <c r="B673" s="7" t="s">
        <v>769</v>
      </c>
      <c r="C673" s="7" t="s">
        <v>719</v>
      </c>
      <c r="D673" s="7" t="s">
        <v>400</v>
      </c>
      <c r="E673" s="7" t="s">
        <v>273</v>
      </c>
      <c r="F673" s="11" t="n">
        <v>24.35</v>
      </c>
      <c r="G673" s="7" t="s">
        <v>370</v>
      </c>
      <c r="H673" s="7" t="s">
        <v>720</v>
      </c>
      <c r="I673" s="7" t="s">
        <v>721</v>
      </c>
      <c r="J673" s="7" t="s">
        <v>273</v>
      </c>
      <c r="K673" s="22"/>
      <c r="L673" s="22" t="n">
        <v>1</v>
      </c>
      <c r="M673" s="11" t="n">
        <v>2.08</v>
      </c>
      <c r="N673" s="11" t="n">
        <v>2.08</v>
      </c>
      <c r="O673" s="7"/>
      <c r="P673" s="11" t="n">
        <f aca="false">IF(J673="%mo","",IF(G673="MO",IF(J673="hh",INDEX(MO_HH,MATCH(I673,MO_CAT,0)),M673*P_FACT_IPC),IF(G673="SUBPART",IFERROR(INDEX(APU_SUBP!$C$7:$C$40,MATCH(H673,APU_SUBP!$A$7:$A$40,0)),M673*P_FACT_IPC),M673*P_FACT_IPC)))</f>
        <v>2.61556914721159</v>
      </c>
      <c r="Q673" s="11" t="n">
        <f aca="false">IF(J673="%mo",L673/100*SUMIFS($R$7:$R$782,$A$7:$A$782,A673),L673*P673)</f>
        <v>2.61556914721159</v>
      </c>
      <c r="R673" s="11" t="n">
        <f aca="false">IF(G673="MO",L673*P673,0)</f>
        <v>0</v>
      </c>
    </row>
    <row r="674" customFormat="false" ht="15" hidden="false" customHeight="false" outlineLevel="0" collapsed="false">
      <c r="A674" s="9" t="s">
        <v>773</v>
      </c>
      <c r="B674" s="9" t="s">
        <v>769</v>
      </c>
      <c r="C674" s="9" t="s">
        <v>719</v>
      </c>
      <c r="D674" s="9" t="s">
        <v>400</v>
      </c>
      <c r="E674" s="9" t="s">
        <v>273</v>
      </c>
      <c r="F674" s="10" t="n">
        <v>24.35</v>
      </c>
      <c r="G674" s="9" t="s">
        <v>370</v>
      </c>
      <c r="H674" s="9" t="s">
        <v>722</v>
      </c>
      <c r="I674" s="9" t="s">
        <v>723</v>
      </c>
      <c r="J674" s="9" t="s">
        <v>273</v>
      </c>
      <c r="K674" s="31"/>
      <c r="L674" s="31" t="n">
        <v>1</v>
      </c>
      <c r="M674" s="10" t="n">
        <v>22.27</v>
      </c>
      <c r="N674" s="10" t="n">
        <v>22.27</v>
      </c>
      <c r="O674" s="9"/>
      <c r="P674" s="11" t="n">
        <f aca="false">IF(J674="%mo","",IF(G674="MO",IF(J674="hh",INDEX(MO_HH,MATCH(I674,MO_CAT,0)),M674*P_FACT_IPC),IF(G674="SUBPART",IFERROR(INDEX(APU_SUBP!$C$7:$C$40,MATCH(H674,APU_SUBP!$A$7:$A$40,0)),M674*P_FACT_IPC),M674*P_FACT_IPC)))</f>
        <v>27.945923906295</v>
      </c>
      <c r="Q674" s="11" t="n">
        <f aca="false">IF(J674="%mo",L674/100*SUMIFS($R$7:$R$782,$A$7:$A$782,A674),L674*P674)</f>
        <v>27.945923906295</v>
      </c>
      <c r="R674" s="11" t="n">
        <f aca="false">IF(G674="MO",L674*P674,0)</f>
        <v>0</v>
      </c>
    </row>
    <row r="675" customFormat="false" ht="15" hidden="false" customHeight="false" outlineLevel="0" collapsed="false">
      <c r="A675" s="7" t="s">
        <v>774</v>
      </c>
      <c r="B675" s="7" t="s">
        <v>769</v>
      </c>
      <c r="C675" s="7" t="s">
        <v>725</v>
      </c>
      <c r="D675" s="7" t="s">
        <v>416</v>
      </c>
      <c r="E675" s="7" t="s">
        <v>273</v>
      </c>
      <c r="F675" s="11" t="n">
        <v>21.15</v>
      </c>
      <c r="G675" s="7" t="s">
        <v>281</v>
      </c>
      <c r="H675" s="7" t="s">
        <v>285</v>
      </c>
      <c r="I675" s="7" t="s">
        <v>117</v>
      </c>
      <c r="J675" s="7" t="s">
        <v>283</v>
      </c>
      <c r="K675" s="22" t="n">
        <v>1</v>
      </c>
      <c r="L675" s="22" t="n">
        <v>0.0782</v>
      </c>
      <c r="M675" s="11" t="n">
        <v>18.56</v>
      </c>
      <c r="N675" s="11" t="n">
        <v>1.45</v>
      </c>
      <c r="O675" s="7" t="s">
        <v>284</v>
      </c>
      <c r="P675" s="11" t="n">
        <f aca="false">IF(J675="%mo","",IF(G675="MO",IF(J675="hh",INDEX(MO_HH,MATCH(I675,MO_CAT,0)),M675*P_FACT_IPC),IF(G675="SUBPART",IFERROR(INDEX(APU_SUBP!$C$7:$C$40,MATCH(H675,APU_SUBP!$A$7:$A$40,0)),M675*P_FACT_IPC),M675*P_FACT_IPC)))</f>
        <v>13.8259833134684</v>
      </c>
      <c r="Q675" s="11" t="n">
        <f aca="false">IF(J675="%mo",L675/100*SUMIFS($R$7:$R$782,$A$7:$A$782,A675),L675*P675)</f>
        <v>1.08119189511323</v>
      </c>
      <c r="R675" s="11" t="n">
        <f aca="false">IF(G675="MO",L675*P675,0)</f>
        <v>1.08119189511323</v>
      </c>
    </row>
    <row r="676" customFormat="false" ht="15" hidden="false" customHeight="false" outlineLevel="0" collapsed="false">
      <c r="A676" s="9" t="s">
        <v>774</v>
      </c>
      <c r="B676" s="9" t="s">
        <v>769</v>
      </c>
      <c r="C676" s="9" t="s">
        <v>725</v>
      </c>
      <c r="D676" s="9" t="s">
        <v>416</v>
      </c>
      <c r="E676" s="9" t="s">
        <v>273</v>
      </c>
      <c r="F676" s="10" t="n">
        <v>21.15</v>
      </c>
      <c r="G676" s="9" t="s">
        <v>281</v>
      </c>
      <c r="H676" s="9" t="s">
        <v>286</v>
      </c>
      <c r="I676" s="9" t="s">
        <v>122</v>
      </c>
      <c r="J676" s="9" t="s">
        <v>283</v>
      </c>
      <c r="K676" s="31" t="n">
        <v>5</v>
      </c>
      <c r="L676" s="31" t="n">
        <v>0.3912</v>
      </c>
      <c r="M676" s="10" t="n">
        <v>16.78</v>
      </c>
      <c r="N676" s="10" t="n">
        <v>6.56</v>
      </c>
      <c r="O676" s="9" t="s">
        <v>287</v>
      </c>
      <c r="P676" s="11" t="n">
        <f aca="false">IF(J676="%mo","",IF(G676="MO",IF(J676="hh",INDEX(MO_HH,MATCH(I676,MO_CAT,0)),M676*P_FACT_IPC),IF(G676="SUBPART",IFERROR(INDEX(APU_SUBP!$C$7:$C$40,MATCH(H676,APU_SUBP!$A$7:$A$40,0)),M676*P_FACT_IPC),M676*P_FACT_IPC)))</f>
        <v>12.5</v>
      </c>
      <c r="Q676" s="11" t="n">
        <f aca="false">IF(J676="%mo",L676/100*SUMIFS($R$7:$R$782,$A$7:$A$782,A676),L676*P676)</f>
        <v>4.89</v>
      </c>
      <c r="R676" s="11" t="n">
        <f aca="false">IF(G676="MO",L676*P676,0)</f>
        <v>4.89</v>
      </c>
    </row>
    <row r="677" customFormat="false" ht="15" hidden="false" customHeight="false" outlineLevel="0" collapsed="false">
      <c r="A677" s="7" t="s">
        <v>774</v>
      </c>
      <c r="B677" s="7" t="s">
        <v>769</v>
      </c>
      <c r="C677" s="7" t="s">
        <v>725</v>
      </c>
      <c r="D677" s="7" t="s">
        <v>416</v>
      </c>
      <c r="E677" s="7" t="s">
        <v>273</v>
      </c>
      <c r="F677" s="11" t="n">
        <v>21.15</v>
      </c>
      <c r="G677" s="7" t="s">
        <v>288</v>
      </c>
      <c r="H677" s="7" t="s">
        <v>327</v>
      </c>
      <c r="I677" s="7" t="s">
        <v>328</v>
      </c>
      <c r="J677" s="7" t="s">
        <v>329</v>
      </c>
      <c r="K677" s="22"/>
      <c r="L677" s="22" t="n">
        <v>3</v>
      </c>
      <c r="M677" s="11" t="n">
        <v>8.01</v>
      </c>
      <c r="N677" s="11" t="n">
        <v>0.24</v>
      </c>
      <c r="O677" s="7"/>
      <c r="P677" s="11" t="str">
        <f aca="false">IF(J677="%mo","",IF(G677="MO",IF(J677="hh",INDEX(MO_HH,MATCH(I677,MO_CAT,0)),M677*P_FACT_IPC),IF(G677="SUBPART",IFERROR(INDEX(APU_SUBP!$C$7:$C$40,MATCH(H677,APU_SUBP!$A$7:$A$40,0)),M677*P_FACT_IPC),M677*P_FACT_IPC)))</f>
        <v/>
      </c>
      <c r="Q677" s="11" t="n">
        <f aca="false">IF(J677="%mo",L677/100*SUMIFS($R$7:$R$782,$A$7:$A$782,A677),L677*P677)</f>
        <v>0.179135756853397</v>
      </c>
      <c r="R677" s="11" t="n">
        <f aca="false">IF(G677="MO",L677*P677,0)</f>
        <v>0</v>
      </c>
    </row>
    <row r="678" customFormat="false" ht="15" hidden="false" customHeight="false" outlineLevel="0" collapsed="false">
      <c r="A678" s="9" t="s">
        <v>774</v>
      </c>
      <c r="B678" s="9" t="s">
        <v>769</v>
      </c>
      <c r="C678" s="9" t="s">
        <v>725</v>
      </c>
      <c r="D678" s="9" t="s">
        <v>416</v>
      </c>
      <c r="E678" s="9" t="s">
        <v>273</v>
      </c>
      <c r="F678" s="10" t="n">
        <v>21.15</v>
      </c>
      <c r="G678" s="9" t="s">
        <v>288</v>
      </c>
      <c r="H678" s="9" t="s">
        <v>726</v>
      </c>
      <c r="I678" s="9" t="s">
        <v>727</v>
      </c>
      <c r="J678" s="9" t="s">
        <v>291</v>
      </c>
      <c r="K678" s="31" t="n">
        <v>0.5</v>
      </c>
      <c r="L678" s="31" t="n">
        <v>0.0391</v>
      </c>
      <c r="M678" s="10" t="n">
        <v>48.17</v>
      </c>
      <c r="N678" s="10" t="n">
        <v>1.88</v>
      </c>
      <c r="O678" s="9"/>
      <c r="P678" s="11" t="n">
        <f aca="false">IF(J678="%mo","",IF(G678="MO",IF(J678="hh",INDEX(MO_HH,MATCH(I678,MO_CAT,0)),M678*P_FACT_IPC),IF(G678="SUBPART",IFERROR(INDEX(APU_SUBP!$C$7:$C$40,MATCH(H678,APU_SUBP!$A$7:$A$40,0)),M678*P_FACT_IPC),M678*P_FACT_IPC)))</f>
        <v>61.9608706622981</v>
      </c>
      <c r="Q678" s="11" t="n">
        <f aca="false">IF(J678="%mo",L678/100*SUMIFS($R$7:$R$782,$A$7:$A$782,A678),L678*P678)</f>
        <v>2.42267004289586</v>
      </c>
      <c r="R678" s="11" t="n">
        <f aca="false">IF(G678="MO",L678*P678,0)</f>
        <v>0</v>
      </c>
    </row>
    <row r="679" customFormat="false" ht="15" hidden="false" customHeight="false" outlineLevel="0" collapsed="false">
      <c r="A679" s="7" t="s">
        <v>774</v>
      </c>
      <c r="B679" s="7" t="s">
        <v>769</v>
      </c>
      <c r="C679" s="7" t="s">
        <v>725</v>
      </c>
      <c r="D679" s="7" t="s">
        <v>416</v>
      </c>
      <c r="E679" s="7" t="s">
        <v>273</v>
      </c>
      <c r="F679" s="11" t="n">
        <v>21.15</v>
      </c>
      <c r="G679" s="7" t="s">
        <v>288</v>
      </c>
      <c r="H679" s="7" t="s">
        <v>298</v>
      </c>
      <c r="I679" s="7" t="s">
        <v>299</v>
      </c>
      <c r="J679" s="7" t="s">
        <v>291</v>
      </c>
      <c r="K679" s="22" t="n">
        <v>1</v>
      </c>
      <c r="L679" s="22" t="n">
        <v>0.0782</v>
      </c>
      <c r="M679" s="11" t="n">
        <v>140.88</v>
      </c>
      <c r="N679" s="11" t="n">
        <v>11.02</v>
      </c>
      <c r="O679" s="7"/>
      <c r="P679" s="11" t="n">
        <f aca="false">IF(J679="%mo","",IF(G679="MO",IF(J679="hh",INDEX(MO_HH,MATCH(I679,MO_CAT,0)),M679*P_FACT_IPC),IF(G679="SUBPART",IFERROR(INDEX(APU_SUBP!$C$7:$C$40,MATCH(H679,APU_SUBP!$A$7:$A$40,0)),M679*P_FACT_IPC),M679*P_FACT_IPC)))</f>
        <v>181.213358083964</v>
      </c>
      <c r="Q679" s="11" t="n">
        <f aca="false">IF(J679="%mo",L679/100*SUMIFS($R$7:$R$782,$A$7:$A$782,A679),L679*P679)</f>
        <v>14.170884602166</v>
      </c>
      <c r="R679" s="11" t="n">
        <f aca="false">IF(G679="MO",L679*P679,0)</f>
        <v>0</v>
      </c>
    </row>
    <row r="680" customFormat="false" ht="15" hidden="false" customHeight="false" outlineLevel="0" collapsed="false">
      <c r="A680" s="9" t="s">
        <v>775</v>
      </c>
      <c r="B680" s="9" t="s">
        <v>769</v>
      </c>
      <c r="C680" s="9" t="s">
        <v>729</v>
      </c>
      <c r="D680" s="9" t="s">
        <v>372</v>
      </c>
      <c r="E680" s="9" t="s">
        <v>273</v>
      </c>
      <c r="F680" s="10" t="n">
        <v>56.6</v>
      </c>
      <c r="G680" s="9" t="s">
        <v>370</v>
      </c>
      <c r="H680" s="9" t="s">
        <v>730</v>
      </c>
      <c r="I680" s="9" t="s">
        <v>731</v>
      </c>
      <c r="J680" s="9" t="s">
        <v>273</v>
      </c>
      <c r="K680" s="31"/>
      <c r="L680" s="31" t="n">
        <v>1</v>
      </c>
      <c r="M680" s="10" t="n">
        <v>4.33</v>
      </c>
      <c r="N680" s="10" t="n">
        <v>4.33</v>
      </c>
      <c r="O680" s="9"/>
      <c r="P680" s="11" t="n">
        <f aca="false">IF(J680="%mo","",IF(G680="MO",IF(J680="hh",INDEX(MO_HH,MATCH(I680,MO_CAT,0)),M680*P_FACT_IPC),IF(G680="SUBPART",IFERROR(INDEX(APU_SUBP!$C$7:$C$40,MATCH(H680,APU_SUBP!$A$7:$A$40,0)),M680*P_FACT_IPC),M680*P_FACT_IPC)))</f>
        <v>5.24396374068928</v>
      </c>
      <c r="Q680" s="11" t="n">
        <f aca="false">IF(J680="%mo",L680/100*SUMIFS($R$7:$R$782,$A$7:$A$782,A680),L680*P680)</f>
        <v>5.24396374068928</v>
      </c>
      <c r="R680" s="11" t="n">
        <f aca="false">IF(G680="MO",L680*P680,0)</f>
        <v>0</v>
      </c>
    </row>
    <row r="681" customFormat="false" ht="15" hidden="false" customHeight="false" outlineLevel="0" collapsed="false">
      <c r="A681" s="7" t="s">
        <v>775</v>
      </c>
      <c r="B681" s="7" t="s">
        <v>769</v>
      </c>
      <c r="C681" s="7" t="s">
        <v>729</v>
      </c>
      <c r="D681" s="7" t="s">
        <v>372</v>
      </c>
      <c r="E681" s="7" t="s">
        <v>273</v>
      </c>
      <c r="F681" s="11" t="n">
        <v>56.6</v>
      </c>
      <c r="G681" s="7" t="s">
        <v>370</v>
      </c>
      <c r="H681" s="7" t="s">
        <v>732</v>
      </c>
      <c r="I681" s="7" t="s">
        <v>733</v>
      </c>
      <c r="J681" s="7" t="s">
        <v>273</v>
      </c>
      <c r="K681" s="22"/>
      <c r="L681" s="22" t="n">
        <v>1</v>
      </c>
      <c r="M681" s="11" t="n">
        <v>52.27</v>
      </c>
      <c r="N681" s="11" t="n">
        <v>52.27</v>
      </c>
      <c r="O681" s="7"/>
      <c r="P681" s="11" t="n">
        <f aca="false">IF(J681="%mo","",IF(G681="MO",IF(J681="hh",INDEX(MO_HH,MATCH(I681,MO_CAT,0)),M681*P_FACT_IPC),IF(G681="SUBPART",IFERROR(INDEX(APU_SUBP!$C$7:$C$40,MATCH(H681,APU_SUBP!$A$7:$A$40,0)),M681*P_FACT_IPC),M681*P_FACT_IPC)))</f>
        <v>63.8985475362789</v>
      </c>
      <c r="Q681" s="11" t="n">
        <f aca="false">IF(J681="%mo",L681/100*SUMIFS($R$7:$R$782,$A$7:$A$782,A681),L681*P681)</f>
        <v>63.8985475362789</v>
      </c>
      <c r="R681" s="11" t="n">
        <f aca="false">IF(G681="MO",L681*P681,0)</f>
        <v>0</v>
      </c>
    </row>
    <row r="682" customFormat="false" ht="15" hidden="false" customHeight="false" outlineLevel="0" collapsed="false">
      <c r="A682" s="9" t="s">
        <v>776</v>
      </c>
      <c r="B682" s="9" t="s">
        <v>769</v>
      </c>
      <c r="C682" s="9" t="s">
        <v>735</v>
      </c>
      <c r="D682" s="9" t="s">
        <v>731</v>
      </c>
      <c r="E682" s="9" t="s">
        <v>273</v>
      </c>
      <c r="F682" s="10" t="n">
        <v>4.33</v>
      </c>
      <c r="G682" s="9" t="s">
        <v>281</v>
      </c>
      <c r="H682" s="9" t="s">
        <v>282</v>
      </c>
      <c r="I682" s="9" t="s">
        <v>107</v>
      </c>
      <c r="J682" s="9" t="s">
        <v>283</v>
      </c>
      <c r="K682" s="31" t="n">
        <v>0.1</v>
      </c>
      <c r="L682" s="31" t="n">
        <v>0.001</v>
      </c>
      <c r="M682" s="10" t="n">
        <v>25.81</v>
      </c>
      <c r="N682" s="10" t="n">
        <v>0.03</v>
      </c>
      <c r="O682" s="9" t="s">
        <v>284</v>
      </c>
      <c r="P682" s="11" t="n">
        <f aca="false">IF(J682="%mo","",IF(G682="MO",IF(J682="hh",INDEX(MO_HH,MATCH(I682,MO_CAT,0)),M682*P_FACT_IPC),IF(G682="SUBPART",IFERROR(INDEX(APU_SUBP!$C$7:$C$40,MATCH(H682,APU_SUBP!$A$7:$A$40,0)),M682*P_FACT_IPC),M682*P_FACT_IPC)))</f>
        <v>19.226758045292</v>
      </c>
      <c r="Q682" s="11" t="n">
        <f aca="false">IF(J682="%mo",L682/100*SUMIFS($R$7:$R$782,$A$7:$A$782,A682),L682*P682)</f>
        <v>0.019226758045292</v>
      </c>
      <c r="R682" s="11" t="n">
        <f aca="false">IF(G682="MO",L682*P682,0)</f>
        <v>0.019226758045292</v>
      </c>
    </row>
    <row r="683" customFormat="false" ht="15" hidden="false" customHeight="false" outlineLevel="0" collapsed="false">
      <c r="A683" s="7" t="s">
        <v>776</v>
      </c>
      <c r="B683" s="7" t="s">
        <v>769</v>
      </c>
      <c r="C683" s="7" t="s">
        <v>735</v>
      </c>
      <c r="D683" s="7" t="s">
        <v>731</v>
      </c>
      <c r="E683" s="7" t="s">
        <v>273</v>
      </c>
      <c r="F683" s="11" t="n">
        <v>4.33</v>
      </c>
      <c r="G683" s="7" t="s">
        <v>281</v>
      </c>
      <c r="H683" s="7" t="s">
        <v>285</v>
      </c>
      <c r="I683" s="7" t="s">
        <v>117</v>
      </c>
      <c r="J683" s="7" t="s">
        <v>283</v>
      </c>
      <c r="K683" s="22" t="n">
        <v>1</v>
      </c>
      <c r="L683" s="22" t="n">
        <v>0.01</v>
      </c>
      <c r="M683" s="11" t="n">
        <v>18.56</v>
      </c>
      <c r="N683" s="11" t="n">
        <v>0.19</v>
      </c>
      <c r="O683" s="7" t="s">
        <v>284</v>
      </c>
      <c r="P683" s="11" t="n">
        <f aca="false">IF(J683="%mo","",IF(G683="MO",IF(J683="hh",INDEX(MO_HH,MATCH(I683,MO_CAT,0)),M683*P_FACT_IPC),IF(G683="SUBPART",IFERROR(INDEX(APU_SUBP!$C$7:$C$40,MATCH(H683,APU_SUBP!$A$7:$A$40,0)),M683*P_FACT_IPC),M683*P_FACT_IPC)))</f>
        <v>13.8259833134684</v>
      </c>
      <c r="Q683" s="11" t="n">
        <f aca="false">IF(J683="%mo",L683/100*SUMIFS($R$7:$R$782,$A$7:$A$782,A683),L683*P683)</f>
        <v>0.138259833134684</v>
      </c>
      <c r="R683" s="11" t="n">
        <f aca="false">IF(G683="MO",L683*P683,0)</f>
        <v>0.138259833134684</v>
      </c>
    </row>
    <row r="684" customFormat="false" ht="15" hidden="false" customHeight="false" outlineLevel="0" collapsed="false">
      <c r="A684" s="9" t="s">
        <v>776</v>
      </c>
      <c r="B684" s="9" t="s">
        <v>769</v>
      </c>
      <c r="C684" s="9" t="s">
        <v>735</v>
      </c>
      <c r="D684" s="9" t="s">
        <v>731</v>
      </c>
      <c r="E684" s="9" t="s">
        <v>273</v>
      </c>
      <c r="F684" s="10" t="n">
        <v>4.33</v>
      </c>
      <c r="G684" s="9" t="s">
        <v>281</v>
      </c>
      <c r="H684" s="9" t="s">
        <v>286</v>
      </c>
      <c r="I684" s="9" t="s">
        <v>122</v>
      </c>
      <c r="J684" s="9" t="s">
        <v>283</v>
      </c>
      <c r="K684" s="31" t="n">
        <v>2</v>
      </c>
      <c r="L684" s="31" t="n">
        <v>0.02</v>
      </c>
      <c r="M684" s="10" t="n">
        <v>16.78</v>
      </c>
      <c r="N684" s="10" t="n">
        <v>0.34</v>
      </c>
      <c r="O684" s="9" t="s">
        <v>287</v>
      </c>
      <c r="P684" s="11" t="n">
        <f aca="false">IF(J684="%mo","",IF(G684="MO",IF(J684="hh",INDEX(MO_HH,MATCH(I684,MO_CAT,0)),M684*P_FACT_IPC),IF(G684="SUBPART",IFERROR(INDEX(APU_SUBP!$C$7:$C$40,MATCH(H684,APU_SUBP!$A$7:$A$40,0)),M684*P_FACT_IPC),M684*P_FACT_IPC)))</f>
        <v>12.5</v>
      </c>
      <c r="Q684" s="11" t="n">
        <f aca="false">IF(J684="%mo",L684/100*SUMIFS($R$7:$R$782,$A$7:$A$782,A684),L684*P684)</f>
        <v>0.25</v>
      </c>
      <c r="R684" s="11" t="n">
        <f aca="false">IF(G684="MO",L684*P684,0)</f>
        <v>0.25</v>
      </c>
    </row>
    <row r="685" customFormat="false" ht="15" hidden="false" customHeight="false" outlineLevel="0" collapsed="false">
      <c r="A685" s="7" t="s">
        <v>776</v>
      </c>
      <c r="B685" s="7" t="s">
        <v>769</v>
      </c>
      <c r="C685" s="7" t="s">
        <v>735</v>
      </c>
      <c r="D685" s="7" t="s">
        <v>731</v>
      </c>
      <c r="E685" s="7" t="s">
        <v>273</v>
      </c>
      <c r="F685" s="11" t="n">
        <v>4.33</v>
      </c>
      <c r="G685" s="7" t="s">
        <v>288</v>
      </c>
      <c r="H685" s="7" t="s">
        <v>327</v>
      </c>
      <c r="I685" s="7" t="s">
        <v>328</v>
      </c>
      <c r="J685" s="7" t="s">
        <v>329</v>
      </c>
      <c r="K685" s="22"/>
      <c r="L685" s="22" t="n">
        <v>3</v>
      </c>
      <c r="M685" s="11" t="n">
        <v>0.56</v>
      </c>
      <c r="N685" s="11" t="n">
        <v>0.02</v>
      </c>
      <c r="O685" s="7"/>
      <c r="P685" s="11" t="str">
        <f aca="false">IF(J685="%mo","",IF(G685="MO",IF(J685="hh",INDEX(MO_HH,MATCH(I685,MO_CAT,0)),M685*P_FACT_IPC),IF(G685="SUBPART",IFERROR(INDEX(APU_SUBP!$C$7:$C$40,MATCH(H685,APU_SUBP!$A$7:$A$40,0)),M685*P_FACT_IPC),M685*P_FACT_IPC)))</f>
        <v/>
      </c>
      <c r="Q685" s="11" t="n">
        <f aca="false">IF(J685="%mo",L685/100*SUMIFS($R$7:$R$782,$A$7:$A$782,A685),L685*P685)</f>
        <v>0.0122245977353993</v>
      </c>
      <c r="R685" s="11" t="n">
        <f aca="false">IF(G685="MO",L685*P685,0)</f>
        <v>0</v>
      </c>
    </row>
    <row r="686" customFormat="false" ht="15" hidden="false" customHeight="false" outlineLevel="0" collapsed="false">
      <c r="A686" s="9" t="s">
        <v>776</v>
      </c>
      <c r="B686" s="9" t="s">
        <v>769</v>
      </c>
      <c r="C686" s="9" t="s">
        <v>735</v>
      </c>
      <c r="D686" s="9" t="s">
        <v>731</v>
      </c>
      <c r="E686" s="9" t="s">
        <v>273</v>
      </c>
      <c r="F686" s="10" t="n">
        <v>4.33</v>
      </c>
      <c r="G686" s="9" t="s">
        <v>288</v>
      </c>
      <c r="H686" s="9" t="s">
        <v>736</v>
      </c>
      <c r="I686" s="9" t="s">
        <v>737</v>
      </c>
      <c r="J686" s="9" t="s">
        <v>291</v>
      </c>
      <c r="K686" s="31" t="n">
        <v>1</v>
      </c>
      <c r="L686" s="31" t="n">
        <v>0.01</v>
      </c>
      <c r="M686" s="10" t="n">
        <v>15.25</v>
      </c>
      <c r="N686" s="10" t="n">
        <v>0.15</v>
      </c>
      <c r="O686" s="9"/>
      <c r="P686" s="11" t="n">
        <f aca="false">IF(J686="%mo","",IF(G686="MO",IF(J686="hh",INDEX(MO_HH,MATCH(I686,MO_CAT,0)),M686*P_FACT_IPC),IF(G686="SUBPART",IFERROR(INDEX(APU_SUBP!$C$7:$C$40,MATCH(H686,APU_SUBP!$A$7:$A$40,0)),M686*P_FACT_IPC),M686*P_FACT_IPC)))</f>
        <v>19.6160115756705</v>
      </c>
      <c r="Q686" s="11" t="n">
        <f aca="false">IF(J686="%mo",L686/100*SUMIFS($R$7:$R$782,$A$7:$A$782,A686),L686*P686)</f>
        <v>0.196160115756705</v>
      </c>
      <c r="R686" s="11" t="n">
        <f aca="false">IF(G686="MO",L686*P686,0)</f>
        <v>0</v>
      </c>
    </row>
    <row r="687" customFormat="false" ht="15" hidden="false" customHeight="false" outlineLevel="0" collapsed="false">
      <c r="A687" s="7" t="s">
        <v>776</v>
      </c>
      <c r="B687" s="7" t="s">
        <v>769</v>
      </c>
      <c r="C687" s="7" t="s">
        <v>735</v>
      </c>
      <c r="D687" s="7" t="s">
        <v>731</v>
      </c>
      <c r="E687" s="7" t="s">
        <v>273</v>
      </c>
      <c r="F687" s="11" t="n">
        <v>4.33</v>
      </c>
      <c r="G687" s="7" t="s">
        <v>288</v>
      </c>
      <c r="H687" s="7" t="s">
        <v>738</v>
      </c>
      <c r="I687" s="7" t="s">
        <v>739</v>
      </c>
      <c r="J687" s="7" t="s">
        <v>291</v>
      </c>
      <c r="K687" s="22" t="n">
        <v>0.5</v>
      </c>
      <c r="L687" s="22" t="n">
        <v>0.005</v>
      </c>
      <c r="M687" s="11" t="n">
        <v>233.48</v>
      </c>
      <c r="N687" s="11" t="n">
        <v>1.17</v>
      </c>
      <c r="O687" s="7"/>
      <c r="P687" s="11" t="n">
        <f aca="false">IF(J687="%mo","",IF(G687="MO",IF(J687="hh",INDEX(MO_HH,MATCH(I687,MO_CAT,0)),M687*P_FACT_IPC),IF(G687="SUBPART",IFERROR(INDEX(APU_SUBP!$C$7:$C$40,MATCH(H687,APU_SUBP!$A$7:$A$40,0)),M687*P_FACT_IPC),M687*P_FACT_IPC)))</f>
        <v>300.324352963117</v>
      </c>
      <c r="Q687" s="11" t="n">
        <f aca="false">IF(J687="%mo",L687/100*SUMIFS($R$7:$R$782,$A$7:$A$782,A687),L687*P687)</f>
        <v>1.50162176481559</v>
      </c>
      <c r="R687" s="11" t="n">
        <f aca="false">IF(G687="MO",L687*P687,0)</f>
        <v>0</v>
      </c>
    </row>
    <row r="688" customFormat="false" ht="15" hidden="false" customHeight="false" outlineLevel="0" collapsed="false">
      <c r="A688" s="9" t="s">
        <v>776</v>
      </c>
      <c r="B688" s="9" t="s">
        <v>769</v>
      </c>
      <c r="C688" s="9" t="s">
        <v>735</v>
      </c>
      <c r="D688" s="9" t="s">
        <v>731</v>
      </c>
      <c r="E688" s="9" t="s">
        <v>273</v>
      </c>
      <c r="F688" s="10" t="n">
        <v>4.33</v>
      </c>
      <c r="G688" s="9" t="s">
        <v>288</v>
      </c>
      <c r="H688" s="9" t="s">
        <v>740</v>
      </c>
      <c r="I688" s="9" t="s">
        <v>741</v>
      </c>
      <c r="J688" s="9" t="s">
        <v>291</v>
      </c>
      <c r="K688" s="31" t="n">
        <v>1</v>
      </c>
      <c r="L688" s="31" t="n">
        <v>0.01</v>
      </c>
      <c r="M688" s="10" t="n">
        <v>243.06</v>
      </c>
      <c r="N688" s="10" t="n">
        <v>2.43</v>
      </c>
      <c r="O688" s="9"/>
      <c r="P688" s="11" t="n">
        <f aca="false">IF(J688="%mo","",IF(G688="MO",IF(J688="hh",INDEX(MO_HH,MATCH(I688,MO_CAT,0)),M688*P_FACT_IPC),IF(G688="SUBPART",IFERROR(INDEX(APU_SUBP!$C$7:$C$40,MATCH(H688,APU_SUBP!$A$7:$A$40,0)),M688*P_FACT_IPC),M688*P_FACT_IPC)))</f>
        <v>312.647067120162</v>
      </c>
      <c r="Q688" s="11" t="n">
        <f aca="false">IF(J688="%mo",L688/100*SUMIFS($R$7:$R$782,$A$7:$A$782,A688),L688*P688)</f>
        <v>3.12647067120162</v>
      </c>
      <c r="R688" s="11" t="n">
        <f aca="false">IF(G688="MO",L688*P688,0)</f>
        <v>0</v>
      </c>
    </row>
    <row r="689" customFormat="false" ht="15" hidden="false" customHeight="false" outlineLevel="0" collapsed="false">
      <c r="A689" s="7" t="s">
        <v>777</v>
      </c>
      <c r="B689" s="7" t="s">
        <v>769</v>
      </c>
      <c r="C689" s="7" t="s">
        <v>743</v>
      </c>
      <c r="D689" s="7" t="s">
        <v>733</v>
      </c>
      <c r="E689" s="7" t="s">
        <v>273</v>
      </c>
      <c r="F689" s="11" t="n">
        <v>52.27</v>
      </c>
      <c r="G689" s="7" t="s">
        <v>281</v>
      </c>
      <c r="H689" s="7" t="s">
        <v>286</v>
      </c>
      <c r="I689" s="7" t="s">
        <v>122</v>
      </c>
      <c r="J689" s="7" t="s">
        <v>283</v>
      </c>
      <c r="K689" s="22" t="n">
        <v>1</v>
      </c>
      <c r="L689" s="22" t="n">
        <v>0.1684</v>
      </c>
      <c r="M689" s="11" t="n">
        <v>16.78</v>
      </c>
      <c r="N689" s="11" t="n">
        <v>2.83</v>
      </c>
      <c r="O689" s="7" t="s">
        <v>287</v>
      </c>
      <c r="P689" s="11" t="n">
        <f aca="false">IF(J689="%mo","",IF(G689="MO",IF(J689="hh",INDEX(MO_HH,MATCH(I689,MO_CAT,0)),M689*P_FACT_IPC),IF(G689="SUBPART",IFERROR(INDEX(APU_SUBP!$C$7:$C$40,MATCH(H689,APU_SUBP!$A$7:$A$40,0)),M689*P_FACT_IPC),M689*P_FACT_IPC)))</f>
        <v>12.5</v>
      </c>
      <c r="Q689" s="11" t="n">
        <f aca="false">IF(J689="%mo",L689/100*SUMIFS($R$7:$R$782,$A$7:$A$782,A689),L689*P689)</f>
        <v>2.105</v>
      </c>
      <c r="R689" s="11" t="n">
        <f aca="false">IF(G689="MO",L689*P689,0)</f>
        <v>2.105</v>
      </c>
    </row>
    <row r="690" customFormat="false" ht="15" hidden="false" customHeight="false" outlineLevel="0" collapsed="false">
      <c r="A690" s="9" t="s">
        <v>777</v>
      </c>
      <c r="B690" s="9" t="s">
        <v>769</v>
      </c>
      <c r="C690" s="9" t="s">
        <v>743</v>
      </c>
      <c r="D690" s="9" t="s">
        <v>733</v>
      </c>
      <c r="E690" s="9" t="s">
        <v>273</v>
      </c>
      <c r="F690" s="10" t="n">
        <v>52.27</v>
      </c>
      <c r="G690" s="9" t="s">
        <v>281</v>
      </c>
      <c r="H690" s="9" t="s">
        <v>285</v>
      </c>
      <c r="I690" s="9" t="s">
        <v>117</v>
      </c>
      <c r="J690" s="9" t="s">
        <v>283</v>
      </c>
      <c r="K690" s="31" t="n">
        <v>1</v>
      </c>
      <c r="L690" s="31" t="n">
        <v>0.1684</v>
      </c>
      <c r="M690" s="10" t="n">
        <v>18.56</v>
      </c>
      <c r="N690" s="10" t="n">
        <v>3.13</v>
      </c>
      <c r="O690" s="9" t="s">
        <v>284</v>
      </c>
      <c r="P690" s="11" t="n">
        <f aca="false">IF(J690="%mo","",IF(G690="MO",IF(J690="hh",INDEX(MO_HH,MATCH(I690,MO_CAT,0)),M690*P_FACT_IPC),IF(G690="SUBPART",IFERROR(INDEX(APU_SUBP!$C$7:$C$40,MATCH(H690,APU_SUBP!$A$7:$A$40,0)),M690*P_FACT_IPC),M690*P_FACT_IPC)))</f>
        <v>13.8259833134684</v>
      </c>
      <c r="Q690" s="11" t="n">
        <f aca="false">IF(J690="%mo",L690/100*SUMIFS($R$7:$R$782,$A$7:$A$782,A690),L690*P690)</f>
        <v>2.32829558998808</v>
      </c>
      <c r="R690" s="11" t="n">
        <f aca="false">IF(G690="MO",L690*P690,0)</f>
        <v>2.32829558998808</v>
      </c>
    </row>
    <row r="691" customFormat="false" ht="15" hidden="false" customHeight="false" outlineLevel="0" collapsed="false">
      <c r="A691" s="7" t="s">
        <v>777</v>
      </c>
      <c r="B691" s="7" t="s">
        <v>769</v>
      </c>
      <c r="C691" s="7" t="s">
        <v>743</v>
      </c>
      <c r="D691" s="7" t="s">
        <v>733</v>
      </c>
      <c r="E691" s="7" t="s">
        <v>273</v>
      </c>
      <c r="F691" s="11" t="n">
        <v>52.27</v>
      </c>
      <c r="G691" s="7" t="s">
        <v>288</v>
      </c>
      <c r="H691" s="7" t="s">
        <v>327</v>
      </c>
      <c r="I691" s="7" t="s">
        <v>328</v>
      </c>
      <c r="J691" s="7" t="s">
        <v>329</v>
      </c>
      <c r="K691" s="22"/>
      <c r="L691" s="22" t="n">
        <v>3</v>
      </c>
      <c r="M691" s="11" t="n">
        <v>5.96</v>
      </c>
      <c r="N691" s="11" t="n">
        <v>0.18</v>
      </c>
      <c r="O691" s="7"/>
      <c r="P691" s="11" t="str">
        <f aca="false">IF(J691="%mo","",IF(G691="MO",IF(J691="hh",INDEX(MO_HH,MATCH(I691,MO_CAT,0)),M691*P_FACT_IPC),IF(G691="SUBPART",IFERROR(INDEX(APU_SUBP!$C$7:$C$40,MATCH(H691,APU_SUBP!$A$7:$A$40,0)),M691*P_FACT_IPC),M691*P_FACT_IPC)))</f>
        <v/>
      </c>
      <c r="Q691" s="11" t="n">
        <f aca="false">IF(J691="%mo",L691/100*SUMIFS($R$7:$R$782,$A$7:$A$782,A691),L691*P691)</f>
        <v>0.132998867699642</v>
      </c>
      <c r="R691" s="11" t="n">
        <f aca="false">IF(G691="MO",L691*P691,0)</f>
        <v>0</v>
      </c>
    </row>
    <row r="692" customFormat="false" ht="15" hidden="false" customHeight="false" outlineLevel="0" collapsed="false">
      <c r="A692" s="9" t="s">
        <v>777</v>
      </c>
      <c r="B692" s="9" t="s">
        <v>769</v>
      </c>
      <c r="C692" s="9" t="s">
        <v>743</v>
      </c>
      <c r="D692" s="9" t="s">
        <v>733</v>
      </c>
      <c r="E692" s="9" t="s">
        <v>273</v>
      </c>
      <c r="F692" s="10" t="n">
        <v>52.27</v>
      </c>
      <c r="G692" s="9" t="s">
        <v>288</v>
      </c>
      <c r="H692" s="9" t="s">
        <v>289</v>
      </c>
      <c r="I692" s="9" t="s">
        <v>290</v>
      </c>
      <c r="J692" s="9" t="s">
        <v>291</v>
      </c>
      <c r="K692" s="31" t="n">
        <v>0.5</v>
      </c>
      <c r="L692" s="31" t="n">
        <v>0.0842</v>
      </c>
      <c r="M692" s="10" t="n">
        <v>170.08</v>
      </c>
      <c r="N692" s="10" t="n">
        <v>14.32</v>
      </c>
      <c r="O692" s="9"/>
      <c r="P692" s="11" t="n">
        <f aca="false">IF(J692="%mo","",IF(G692="MO",IF(J692="hh",INDEX(MO_HH,MATCH(I692,MO_CAT,0)),M692*P_FACT_IPC),IF(G692="SUBPART",IFERROR(INDEX(APU_SUBP!$C$7:$C$40,MATCH(H692,APU_SUBP!$A$7:$A$40,0)),M692*P_FACT_IPC),M692*P_FACT_IPC)))</f>
        <v>218.773196641969</v>
      </c>
      <c r="Q692" s="11" t="n">
        <f aca="false">IF(J692="%mo",L692/100*SUMIFS($R$7:$R$782,$A$7:$A$782,A692),L692*P692)</f>
        <v>18.4207031572538</v>
      </c>
      <c r="R692" s="11" t="n">
        <f aca="false">IF(G692="MO",L692*P692,0)</f>
        <v>0</v>
      </c>
    </row>
    <row r="693" customFormat="false" ht="15" hidden="false" customHeight="false" outlineLevel="0" collapsed="false">
      <c r="A693" s="7" t="s">
        <v>777</v>
      </c>
      <c r="B693" s="7" t="s">
        <v>769</v>
      </c>
      <c r="C693" s="7" t="s">
        <v>743</v>
      </c>
      <c r="D693" s="7" t="s">
        <v>733</v>
      </c>
      <c r="E693" s="7" t="s">
        <v>273</v>
      </c>
      <c r="F693" s="11" t="n">
        <v>52.27</v>
      </c>
      <c r="G693" s="7" t="s">
        <v>288</v>
      </c>
      <c r="H693" s="7" t="s">
        <v>296</v>
      </c>
      <c r="I693" s="7" t="s">
        <v>297</v>
      </c>
      <c r="J693" s="7" t="s">
        <v>291</v>
      </c>
      <c r="K693" s="22" t="n">
        <v>1</v>
      </c>
      <c r="L693" s="22" t="n">
        <v>0.1684</v>
      </c>
      <c r="M693" s="11" t="n">
        <v>188.87</v>
      </c>
      <c r="N693" s="11" t="n">
        <v>31.81</v>
      </c>
      <c r="O693" s="7"/>
      <c r="P693" s="11" t="n">
        <f aca="false">IF(J693="%mo","",IF(G693="MO",IF(J693="hh",INDEX(MO_HH,MATCH(I693,MO_CAT,0)),M693*P_FACT_IPC),IF(G693="SUBPART",IFERROR(INDEX(APU_SUBP!$C$7:$C$40,MATCH(H693,APU_SUBP!$A$7:$A$40,0)),M693*P_FACT_IPC),M693*P_FACT_IPC)))</f>
        <v>242.942695494877</v>
      </c>
      <c r="Q693" s="11" t="n">
        <f aca="false">IF(J693="%mo",L693/100*SUMIFS($R$7:$R$782,$A$7:$A$782,A693),L693*P693)</f>
        <v>40.9115499213374</v>
      </c>
      <c r="R693" s="11" t="n">
        <f aca="false">IF(G693="MO",L693*P693,0)</f>
        <v>0</v>
      </c>
    </row>
    <row r="694" customFormat="false" ht="15" hidden="false" customHeight="false" outlineLevel="0" collapsed="false">
      <c r="A694" s="9" t="s">
        <v>778</v>
      </c>
      <c r="B694" s="9" t="s">
        <v>769</v>
      </c>
      <c r="C694" s="9" t="s">
        <v>779</v>
      </c>
      <c r="D694" s="9" t="s">
        <v>509</v>
      </c>
      <c r="E694" s="9" t="s">
        <v>273</v>
      </c>
      <c r="F694" s="10" t="n">
        <v>371.1</v>
      </c>
      <c r="G694" s="9" t="s">
        <v>281</v>
      </c>
      <c r="H694" s="9" t="s">
        <v>285</v>
      </c>
      <c r="I694" s="9" t="s">
        <v>117</v>
      </c>
      <c r="J694" s="9" t="s">
        <v>283</v>
      </c>
      <c r="K694" s="31" t="n">
        <v>1</v>
      </c>
      <c r="L694" s="31" t="n">
        <v>1</v>
      </c>
      <c r="M694" s="10" t="n">
        <v>18.56</v>
      </c>
      <c r="N694" s="10" t="n">
        <v>18.56</v>
      </c>
      <c r="O694" s="9" t="s">
        <v>284</v>
      </c>
      <c r="P694" s="11" t="n">
        <f aca="false">IF(J694="%mo","",IF(G694="MO",IF(J694="hh",INDEX(MO_HH,MATCH(I694,MO_CAT,0)),M694*P_FACT_IPC),IF(G694="SUBPART",IFERROR(INDEX(APU_SUBP!$C$7:$C$40,MATCH(H694,APU_SUBP!$A$7:$A$40,0)),M694*P_FACT_IPC),M694*P_FACT_IPC)))</f>
        <v>13.8259833134684</v>
      </c>
      <c r="Q694" s="11" t="n">
        <f aca="false">IF(J694="%mo",L694/100*SUMIFS($R$7:$R$782,$A$7:$A$782,A694),L694*P694)</f>
        <v>13.8259833134684</v>
      </c>
      <c r="R694" s="11" t="n">
        <f aca="false">IF(G694="MO",L694*P694,0)</f>
        <v>13.8259833134684</v>
      </c>
    </row>
    <row r="695" customFormat="false" ht="15" hidden="false" customHeight="false" outlineLevel="0" collapsed="false">
      <c r="A695" s="7" t="s">
        <v>778</v>
      </c>
      <c r="B695" s="7" t="s">
        <v>769</v>
      </c>
      <c r="C695" s="7" t="s">
        <v>779</v>
      </c>
      <c r="D695" s="7" t="s">
        <v>509</v>
      </c>
      <c r="E695" s="7" t="s">
        <v>273</v>
      </c>
      <c r="F695" s="11" t="n">
        <v>371.1</v>
      </c>
      <c r="G695" s="7" t="s">
        <v>281</v>
      </c>
      <c r="H695" s="7" t="s">
        <v>282</v>
      </c>
      <c r="I695" s="7" t="s">
        <v>107</v>
      </c>
      <c r="J695" s="7" t="s">
        <v>283</v>
      </c>
      <c r="K695" s="22" t="n">
        <v>1</v>
      </c>
      <c r="L695" s="22" t="n">
        <v>1</v>
      </c>
      <c r="M695" s="11" t="n">
        <v>25.81</v>
      </c>
      <c r="N695" s="11" t="n">
        <v>25.81</v>
      </c>
      <c r="O695" s="7" t="s">
        <v>284</v>
      </c>
      <c r="P695" s="11" t="n">
        <f aca="false">IF(J695="%mo","",IF(G695="MO",IF(J695="hh",INDEX(MO_HH,MATCH(I695,MO_CAT,0)),M695*P_FACT_IPC),IF(G695="SUBPART",IFERROR(INDEX(APU_SUBP!$C$7:$C$40,MATCH(H695,APU_SUBP!$A$7:$A$40,0)),M695*P_FACT_IPC),M695*P_FACT_IPC)))</f>
        <v>19.226758045292</v>
      </c>
      <c r="Q695" s="11" t="n">
        <f aca="false">IF(J695="%mo",L695/100*SUMIFS($R$7:$R$782,$A$7:$A$782,A695),L695*P695)</f>
        <v>19.226758045292</v>
      </c>
      <c r="R695" s="11" t="n">
        <f aca="false">IF(G695="MO",L695*P695,0)</f>
        <v>19.226758045292</v>
      </c>
    </row>
    <row r="696" customFormat="false" ht="15" hidden="false" customHeight="false" outlineLevel="0" collapsed="false">
      <c r="A696" s="9" t="s">
        <v>778</v>
      </c>
      <c r="B696" s="9" t="s">
        <v>769</v>
      </c>
      <c r="C696" s="9" t="s">
        <v>779</v>
      </c>
      <c r="D696" s="9" t="s">
        <v>509</v>
      </c>
      <c r="E696" s="9" t="s">
        <v>273</v>
      </c>
      <c r="F696" s="10" t="n">
        <v>371.1</v>
      </c>
      <c r="G696" s="9" t="s">
        <v>281</v>
      </c>
      <c r="H696" s="9" t="s">
        <v>306</v>
      </c>
      <c r="I696" s="9" t="s">
        <v>112</v>
      </c>
      <c r="J696" s="9" t="s">
        <v>283</v>
      </c>
      <c r="K696" s="31" t="n">
        <v>2</v>
      </c>
      <c r="L696" s="31" t="n">
        <v>2</v>
      </c>
      <c r="M696" s="10" t="n">
        <v>23.46</v>
      </c>
      <c r="N696" s="10" t="n">
        <v>46.92</v>
      </c>
      <c r="O696" s="9" t="s">
        <v>284</v>
      </c>
      <c r="P696" s="11" t="n">
        <f aca="false">IF(J696="%mo","",IF(G696="MO",IF(J696="hh",INDEX(MO_HH,MATCH(I696,MO_CAT,0)),M696*P_FACT_IPC),IF(G696="SUBPART",IFERROR(INDEX(APU_SUBP!$C$7:$C$40,MATCH(H696,APU_SUBP!$A$7:$A$40,0)),M696*P_FACT_IPC),M696*P_FACT_IPC)))</f>
        <v>17.4761620977354</v>
      </c>
      <c r="Q696" s="11" t="n">
        <f aca="false">IF(J696="%mo",L696/100*SUMIFS($R$7:$R$782,$A$7:$A$782,A696),L696*P696)</f>
        <v>34.9523241954708</v>
      </c>
      <c r="R696" s="11" t="n">
        <f aca="false">IF(G696="MO",L696*P696,0)</f>
        <v>34.9523241954708</v>
      </c>
    </row>
    <row r="697" customFormat="false" ht="15" hidden="false" customHeight="false" outlineLevel="0" collapsed="false">
      <c r="A697" s="7" t="s">
        <v>778</v>
      </c>
      <c r="B697" s="7" t="s">
        <v>769</v>
      </c>
      <c r="C697" s="7" t="s">
        <v>779</v>
      </c>
      <c r="D697" s="7" t="s">
        <v>509</v>
      </c>
      <c r="E697" s="7" t="s">
        <v>273</v>
      </c>
      <c r="F697" s="11" t="n">
        <v>371.1</v>
      </c>
      <c r="G697" s="7" t="s">
        <v>281</v>
      </c>
      <c r="H697" s="7" t="s">
        <v>286</v>
      </c>
      <c r="I697" s="7" t="s">
        <v>122</v>
      </c>
      <c r="J697" s="7" t="s">
        <v>283</v>
      </c>
      <c r="K697" s="22" t="n">
        <v>8</v>
      </c>
      <c r="L697" s="22" t="n">
        <v>8</v>
      </c>
      <c r="M697" s="11" t="n">
        <v>16.78</v>
      </c>
      <c r="N697" s="11" t="n">
        <v>134.24</v>
      </c>
      <c r="O697" s="7" t="s">
        <v>287</v>
      </c>
      <c r="P697" s="11" t="n">
        <f aca="false">IF(J697="%mo","",IF(G697="MO",IF(J697="hh",INDEX(MO_HH,MATCH(I697,MO_CAT,0)),M697*P_FACT_IPC),IF(G697="SUBPART",IFERROR(INDEX(APU_SUBP!$C$7:$C$40,MATCH(H697,APU_SUBP!$A$7:$A$40,0)),M697*P_FACT_IPC),M697*P_FACT_IPC)))</f>
        <v>12.5</v>
      </c>
      <c r="Q697" s="11" t="n">
        <f aca="false">IF(J697="%mo",L697/100*SUMIFS($R$7:$R$782,$A$7:$A$782,A697),L697*P697)</f>
        <v>100</v>
      </c>
      <c r="R697" s="11" t="n">
        <f aca="false">IF(G697="MO",L697*P697,0)</f>
        <v>100</v>
      </c>
    </row>
    <row r="698" customFormat="false" ht="15" hidden="false" customHeight="false" outlineLevel="0" collapsed="false">
      <c r="A698" s="9" t="s">
        <v>778</v>
      </c>
      <c r="B698" s="9" t="s">
        <v>769</v>
      </c>
      <c r="C698" s="9" t="s">
        <v>779</v>
      </c>
      <c r="D698" s="9" t="s">
        <v>509</v>
      </c>
      <c r="E698" s="9" t="s">
        <v>273</v>
      </c>
      <c r="F698" s="10" t="n">
        <v>371.1</v>
      </c>
      <c r="G698" s="9" t="s">
        <v>307</v>
      </c>
      <c r="H698" s="9" t="s">
        <v>362</v>
      </c>
      <c r="I698" s="9" t="s">
        <v>363</v>
      </c>
      <c r="J698" s="9" t="s">
        <v>310</v>
      </c>
      <c r="K698" s="31"/>
      <c r="L698" s="31" t="n">
        <v>2.5</v>
      </c>
      <c r="M698" s="10" t="n">
        <v>24.68</v>
      </c>
      <c r="N698" s="10" t="n">
        <v>61.7</v>
      </c>
      <c r="O698" s="9"/>
      <c r="P698" s="11" t="n">
        <f aca="false">IF(J698="%mo","",IF(G698="MO",IF(J698="hh",INDEX(MO_HH,MATCH(I698,MO_CAT,0)),M698*P_FACT_IPC),IF(G698="SUBPART",IFERROR(INDEX(APU_SUBP!$C$7:$C$40,MATCH(H698,APU_SUBP!$A$7:$A$40,0)),M698*P_FACT_IPC),M698*P_FACT_IPC)))</f>
        <v>31.7457813565605</v>
      </c>
      <c r="Q698" s="11" t="n">
        <f aca="false">IF(J698="%mo",L698/100*SUMIFS($R$7:$R$782,$A$7:$A$782,A698),L698*P698)</f>
        <v>79.3644533914012</v>
      </c>
      <c r="R698" s="11" t="n">
        <f aca="false">IF(G698="MO",L698*P698,0)</f>
        <v>0</v>
      </c>
    </row>
    <row r="699" customFormat="false" ht="15" hidden="false" customHeight="false" outlineLevel="0" collapsed="false">
      <c r="A699" s="7" t="s">
        <v>778</v>
      </c>
      <c r="B699" s="7" t="s">
        <v>769</v>
      </c>
      <c r="C699" s="7" t="s">
        <v>779</v>
      </c>
      <c r="D699" s="7" t="s">
        <v>509</v>
      </c>
      <c r="E699" s="7" t="s">
        <v>273</v>
      </c>
      <c r="F699" s="11" t="n">
        <v>371.1</v>
      </c>
      <c r="G699" s="7" t="s">
        <v>288</v>
      </c>
      <c r="H699" s="7" t="s">
        <v>766</v>
      </c>
      <c r="I699" s="7" t="s">
        <v>767</v>
      </c>
      <c r="J699" s="7" t="s">
        <v>291</v>
      </c>
      <c r="K699" s="22" t="n">
        <v>0.6667</v>
      </c>
      <c r="L699" s="22" t="n">
        <v>0.6667</v>
      </c>
      <c r="M699" s="11" t="n">
        <v>10.02</v>
      </c>
      <c r="N699" s="11" t="n">
        <v>6.68</v>
      </c>
      <c r="O699" s="7"/>
      <c r="P699" s="11" t="n">
        <f aca="false">IF(J699="%mo","",IF(G699="MO",IF(J699="hh",INDEX(MO_HH,MATCH(I699,MO_CAT,0)),M699*P_FACT_IPC),IF(G699="SUBPART",IFERROR(INDEX(APU_SUBP!$C$7:$C$40,MATCH(H699,APU_SUBP!$A$7:$A$40,0)),M699*P_FACT_IPC),M699*P_FACT_IPC)))</f>
        <v>12.8886843270963</v>
      </c>
      <c r="Q699" s="11" t="n">
        <f aca="false">IF(J699="%mo",L699/100*SUMIFS($R$7:$R$782,$A$7:$A$782,A699),L699*P699)</f>
        <v>8.59288584087508</v>
      </c>
      <c r="R699" s="11" t="n">
        <f aca="false">IF(G699="MO",L699*P699,0)</f>
        <v>0</v>
      </c>
    </row>
    <row r="700" customFormat="false" ht="15" hidden="false" customHeight="false" outlineLevel="0" collapsed="false">
      <c r="A700" s="9" t="s">
        <v>778</v>
      </c>
      <c r="B700" s="9" t="s">
        <v>769</v>
      </c>
      <c r="C700" s="9" t="s">
        <v>779</v>
      </c>
      <c r="D700" s="9" t="s">
        <v>509</v>
      </c>
      <c r="E700" s="9" t="s">
        <v>273</v>
      </c>
      <c r="F700" s="10" t="n">
        <v>371.1</v>
      </c>
      <c r="G700" s="9" t="s">
        <v>370</v>
      </c>
      <c r="H700" s="9" t="s">
        <v>415</v>
      </c>
      <c r="I700" s="9" t="s">
        <v>416</v>
      </c>
      <c r="J700" s="9" t="s">
        <v>273</v>
      </c>
      <c r="K700" s="31"/>
      <c r="L700" s="31" t="n">
        <v>0.08</v>
      </c>
      <c r="M700" s="10" t="n">
        <v>21.15</v>
      </c>
      <c r="N700" s="10" t="n">
        <v>1.69</v>
      </c>
      <c r="O700" s="9"/>
      <c r="P700" s="11" t="n">
        <f aca="false">IF(J700="%mo","",IF(G700="MO",IF(J700="hh",INDEX(MO_HH,MATCH(I700,MO_CAT,0)),M700*P_FACT_IPC),IF(G700="SUBPART",IFERROR(INDEX(APU_SUBP!$C$7:$C$40,MATCH(H700,APU_SUBP!$A$7:$A$40,0)),M700*P_FACT_IPC),M700*P_FACT_IPC)))</f>
        <v>22.7438822970285</v>
      </c>
      <c r="Q700" s="11" t="n">
        <f aca="false">IF(J700="%mo",L700/100*SUMIFS($R$7:$R$782,$A$7:$A$782,A700),L700*P700)</f>
        <v>1.81951058376228</v>
      </c>
      <c r="R700" s="11" t="n">
        <f aca="false">IF(G700="MO",L700*P700,0)</f>
        <v>0</v>
      </c>
    </row>
    <row r="701" customFormat="false" ht="15" hidden="false" customHeight="false" outlineLevel="0" collapsed="false">
      <c r="A701" s="7" t="s">
        <v>778</v>
      </c>
      <c r="B701" s="7" t="s">
        <v>769</v>
      </c>
      <c r="C701" s="7" t="s">
        <v>779</v>
      </c>
      <c r="D701" s="7" t="s">
        <v>509</v>
      </c>
      <c r="E701" s="7" t="s">
        <v>273</v>
      </c>
      <c r="F701" s="11" t="n">
        <v>371.1</v>
      </c>
      <c r="G701" s="7" t="s">
        <v>370</v>
      </c>
      <c r="H701" s="7" t="s">
        <v>652</v>
      </c>
      <c r="I701" s="7" t="s">
        <v>653</v>
      </c>
      <c r="J701" s="7" t="s">
        <v>273</v>
      </c>
      <c r="K701" s="22"/>
      <c r="L701" s="22" t="n">
        <v>0.4</v>
      </c>
      <c r="M701" s="11" t="n">
        <v>68.47</v>
      </c>
      <c r="N701" s="11" t="n">
        <v>27.39</v>
      </c>
      <c r="O701" s="7"/>
      <c r="P701" s="11" t="n">
        <f aca="false">IF(J701="%mo","",IF(G701="MO",IF(J701="hh",INDEX(MO_HH,MATCH(I701,MO_CAT,0)),M701*P_FACT_IPC),IF(G701="SUBPART",IFERROR(INDEX(APU_SUBP!$C$7:$C$40,MATCH(H701,APU_SUBP!$A$7:$A$40,0)),M701*P_FACT_IPC),M701*P_FACT_IPC)))</f>
        <v>52.8647966543872</v>
      </c>
      <c r="Q701" s="11" t="n">
        <f aca="false">IF(J701="%mo",L701/100*SUMIFS($R$7:$R$782,$A$7:$A$782,A701),L701*P701)</f>
        <v>21.1459186617549</v>
      </c>
      <c r="R701" s="11" t="n">
        <f aca="false">IF(G701="MO",L701*P701,0)</f>
        <v>0</v>
      </c>
    </row>
    <row r="702" customFormat="false" ht="15" hidden="false" customHeight="false" outlineLevel="0" collapsed="false">
      <c r="A702" s="9" t="s">
        <v>778</v>
      </c>
      <c r="B702" s="9" t="s">
        <v>769</v>
      </c>
      <c r="C702" s="9" t="s">
        <v>779</v>
      </c>
      <c r="D702" s="9" t="s">
        <v>509</v>
      </c>
      <c r="E702" s="9" t="s">
        <v>273</v>
      </c>
      <c r="F702" s="10" t="n">
        <v>371.1</v>
      </c>
      <c r="G702" s="9" t="s">
        <v>370</v>
      </c>
      <c r="H702" s="9" t="s">
        <v>371</v>
      </c>
      <c r="I702" s="9" t="s">
        <v>372</v>
      </c>
      <c r="J702" s="9" t="s">
        <v>273</v>
      </c>
      <c r="K702" s="31"/>
      <c r="L702" s="31" t="n">
        <v>0.85</v>
      </c>
      <c r="M702" s="10" t="n">
        <v>56.6</v>
      </c>
      <c r="N702" s="10" t="n">
        <v>48.11</v>
      </c>
      <c r="O702" s="9"/>
      <c r="P702" s="11" t="n">
        <f aca="false">IF(J702="%mo","",IF(G702="MO",IF(J702="hh",INDEX(MO_HH,MATCH(I702,MO_CAT,0)),M702*P_FACT_IPC),IF(G702="SUBPART",IFERROR(INDEX(APU_SUBP!$C$7:$C$40,MATCH(H702,APU_SUBP!$A$7:$A$40,0)),M702*P_FACT_IPC),M702*P_FACT_IPC)))</f>
        <v>69.1425112769682</v>
      </c>
      <c r="Q702" s="11" t="n">
        <f aca="false">IF(J702="%mo",L702/100*SUMIFS($R$7:$R$782,$A$7:$A$782,A702),L702*P702)</f>
        <v>58.771134585423</v>
      </c>
      <c r="R702" s="11" t="n">
        <f aca="false">IF(G702="MO",L702*P702,0)</f>
        <v>0</v>
      </c>
    </row>
    <row r="703" customFormat="false" ht="15" hidden="false" customHeight="false" outlineLevel="0" collapsed="false">
      <c r="A703" s="7" t="s">
        <v>780</v>
      </c>
      <c r="B703" s="7" t="s">
        <v>769</v>
      </c>
      <c r="C703" s="7" t="s">
        <v>745</v>
      </c>
      <c r="D703" s="7" t="s">
        <v>721</v>
      </c>
      <c r="E703" s="7" t="s">
        <v>273</v>
      </c>
      <c r="F703" s="11" t="n">
        <v>2.08</v>
      </c>
      <c r="G703" s="7" t="s">
        <v>281</v>
      </c>
      <c r="H703" s="7" t="s">
        <v>285</v>
      </c>
      <c r="I703" s="7" t="s">
        <v>117</v>
      </c>
      <c r="J703" s="7" t="s">
        <v>283</v>
      </c>
      <c r="K703" s="22" t="n">
        <v>0.1</v>
      </c>
      <c r="L703" s="22" t="n">
        <v>0.0008</v>
      </c>
      <c r="M703" s="11" t="n">
        <v>18.56</v>
      </c>
      <c r="N703" s="11" t="n">
        <v>0.01</v>
      </c>
      <c r="O703" s="7" t="s">
        <v>284</v>
      </c>
      <c r="P703" s="11" t="n">
        <f aca="false">IF(J703="%mo","",IF(G703="MO",IF(J703="hh",INDEX(MO_HH,MATCH(I703,MO_CAT,0)),M703*P_FACT_IPC),IF(G703="SUBPART",IFERROR(INDEX(APU_SUBP!$C$7:$C$40,MATCH(H703,APU_SUBP!$A$7:$A$40,0)),M703*P_FACT_IPC),M703*P_FACT_IPC)))</f>
        <v>13.8259833134684</v>
      </c>
      <c r="Q703" s="11" t="n">
        <f aca="false">IF(J703="%mo",L703/100*SUMIFS($R$7:$R$782,$A$7:$A$782,A703),L703*P703)</f>
        <v>0.0110607866507747</v>
      </c>
      <c r="R703" s="11" t="n">
        <f aca="false">IF(G703="MO",L703*P703,0)</f>
        <v>0.0110607866507747</v>
      </c>
    </row>
    <row r="704" customFormat="false" ht="15" hidden="false" customHeight="false" outlineLevel="0" collapsed="false">
      <c r="A704" s="9" t="s">
        <v>780</v>
      </c>
      <c r="B704" s="9" t="s">
        <v>769</v>
      </c>
      <c r="C704" s="9" t="s">
        <v>745</v>
      </c>
      <c r="D704" s="9" t="s">
        <v>721</v>
      </c>
      <c r="E704" s="9" t="s">
        <v>273</v>
      </c>
      <c r="F704" s="10" t="n">
        <v>2.08</v>
      </c>
      <c r="G704" s="9" t="s">
        <v>281</v>
      </c>
      <c r="H704" s="9" t="s">
        <v>286</v>
      </c>
      <c r="I704" s="9" t="s">
        <v>122</v>
      </c>
      <c r="J704" s="9" t="s">
        <v>283</v>
      </c>
      <c r="K704" s="31" t="n">
        <v>1</v>
      </c>
      <c r="L704" s="31" t="n">
        <v>0.008</v>
      </c>
      <c r="M704" s="10" t="n">
        <v>16.78</v>
      </c>
      <c r="N704" s="10" t="n">
        <v>0.13</v>
      </c>
      <c r="O704" s="9" t="s">
        <v>287</v>
      </c>
      <c r="P704" s="11" t="n">
        <f aca="false">IF(J704="%mo","",IF(G704="MO",IF(J704="hh",INDEX(MO_HH,MATCH(I704,MO_CAT,0)),M704*P_FACT_IPC),IF(G704="SUBPART",IFERROR(INDEX(APU_SUBP!$C$7:$C$40,MATCH(H704,APU_SUBP!$A$7:$A$40,0)),M704*P_FACT_IPC),M704*P_FACT_IPC)))</f>
        <v>12.5</v>
      </c>
      <c r="Q704" s="11" t="n">
        <f aca="false">IF(J704="%mo",L704/100*SUMIFS($R$7:$R$782,$A$7:$A$782,A704),L704*P704)</f>
        <v>0.1</v>
      </c>
      <c r="R704" s="11" t="n">
        <f aca="false">IF(G704="MO",L704*P704,0)</f>
        <v>0.1</v>
      </c>
    </row>
    <row r="705" customFormat="false" ht="15" hidden="false" customHeight="false" outlineLevel="0" collapsed="false">
      <c r="A705" s="7" t="s">
        <v>780</v>
      </c>
      <c r="B705" s="7" t="s">
        <v>769</v>
      </c>
      <c r="C705" s="7" t="s">
        <v>745</v>
      </c>
      <c r="D705" s="7" t="s">
        <v>721</v>
      </c>
      <c r="E705" s="7" t="s">
        <v>273</v>
      </c>
      <c r="F705" s="11" t="n">
        <v>2.08</v>
      </c>
      <c r="G705" s="7" t="s">
        <v>288</v>
      </c>
      <c r="H705" s="7" t="s">
        <v>327</v>
      </c>
      <c r="I705" s="7" t="s">
        <v>328</v>
      </c>
      <c r="J705" s="7" t="s">
        <v>329</v>
      </c>
      <c r="K705" s="22"/>
      <c r="L705" s="22" t="n">
        <v>3</v>
      </c>
      <c r="M705" s="11" t="n">
        <v>0.14</v>
      </c>
      <c r="N705" s="11" t="n">
        <v>0</v>
      </c>
      <c r="O705" s="7"/>
      <c r="P705" s="11" t="str">
        <f aca="false">IF(J705="%mo","",IF(G705="MO",IF(J705="hh",INDEX(MO_HH,MATCH(I705,MO_CAT,0)),M705*P_FACT_IPC),IF(G705="SUBPART",IFERROR(INDEX(APU_SUBP!$C$7:$C$40,MATCH(H705,APU_SUBP!$A$7:$A$40,0)),M705*P_FACT_IPC),M705*P_FACT_IPC)))</f>
        <v/>
      </c>
      <c r="Q705" s="11" t="n">
        <f aca="false">IF(J705="%mo",L705/100*SUMIFS($R$7:$R$782,$A$7:$A$782,A705),L705*P705)</f>
        <v>0.00333182359952324</v>
      </c>
      <c r="R705" s="11" t="n">
        <f aca="false">IF(G705="MO",L705*P705,0)</f>
        <v>0</v>
      </c>
    </row>
    <row r="706" customFormat="false" ht="15" hidden="false" customHeight="false" outlineLevel="0" collapsed="false">
      <c r="A706" s="9" t="s">
        <v>780</v>
      </c>
      <c r="B706" s="9" t="s">
        <v>769</v>
      </c>
      <c r="C706" s="9" t="s">
        <v>745</v>
      </c>
      <c r="D706" s="9" t="s">
        <v>721</v>
      </c>
      <c r="E706" s="9" t="s">
        <v>273</v>
      </c>
      <c r="F706" s="10" t="n">
        <v>2.08</v>
      </c>
      <c r="G706" s="9" t="s">
        <v>288</v>
      </c>
      <c r="H706" s="9" t="s">
        <v>740</v>
      </c>
      <c r="I706" s="9" t="s">
        <v>741</v>
      </c>
      <c r="J706" s="9" t="s">
        <v>291</v>
      </c>
      <c r="K706" s="31" t="n">
        <v>1</v>
      </c>
      <c r="L706" s="31" t="n">
        <v>0.008</v>
      </c>
      <c r="M706" s="10" t="n">
        <v>243.06</v>
      </c>
      <c r="N706" s="10" t="n">
        <v>1.94</v>
      </c>
      <c r="O706" s="9"/>
      <c r="P706" s="11" t="n">
        <f aca="false">IF(J706="%mo","",IF(G706="MO",IF(J706="hh",INDEX(MO_HH,MATCH(I706,MO_CAT,0)),M706*P_FACT_IPC),IF(G706="SUBPART",IFERROR(INDEX(APU_SUBP!$C$7:$C$40,MATCH(H706,APU_SUBP!$A$7:$A$40,0)),M706*P_FACT_IPC),M706*P_FACT_IPC)))</f>
        <v>312.647067120162</v>
      </c>
      <c r="Q706" s="11" t="n">
        <f aca="false">IF(J706="%mo",L706/100*SUMIFS($R$7:$R$782,$A$7:$A$782,A706),L706*P706)</f>
        <v>2.50117653696129</v>
      </c>
      <c r="R706" s="11" t="n">
        <f aca="false">IF(G706="MO",L706*P706,0)</f>
        <v>0</v>
      </c>
    </row>
    <row r="707" customFormat="false" ht="15" hidden="false" customHeight="false" outlineLevel="0" collapsed="false">
      <c r="A707" s="7" t="s">
        <v>781</v>
      </c>
      <c r="B707" s="7" t="s">
        <v>769</v>
      </c>
      <c r="C707" s="7" t="s">
        <v>747</v>
      </c>
      <c r="D707" s="7" t="s">
        <v>723</v>
      </c>
      <c r="E707" s="7" t="s">
        <v>273</v>
      </c>
      <c r="F707" s="11" t="n">
        <v>22.27</v>
      </c>
      <c r="G707" s="7" t="s">
        <v>281</v>
      </c>
      <c r="H707" s="7" t="s">
        <v>286</v>
      </c>
      <c r="I707" s="7" t="s">
        <v>122</v>
      </c>
      <c r="J707" s="7" t="s">
        <v>283</v>
      </c>
      <c r="K707" s="22" t="n">
        <v>1</v>
      </c>
      <c r="L707" s="22" t="n">
        <v>0.0766</v>
      </c>
      <c r="M707" s="11" t="n">
        <v>16.78</v>
      </c>
      <c r="N707" s="11" t="n">
        <v>1.29</v>
      </c>
      <c r="O707" s="7" t="s">
        <v>287</v>
      </c>
      <c r="P707" s="11" t="n">
        <f aca="false">IF(J707="%mo","",IF(G707="MO",IF(J707="hh",INDEX(MO_HH,MATCH(I707,MO_CAT,0)),M707*P_FACT_IPC),IF(G707="SUBPART",IFERROR(INDEX(APU_SUBP!$C$7:$C$40,MATCH(H707,APU_SUBP!$A$7:$A$40,0)),M707*P_FACT_IPC),M707*P_FACT_IPC)))</f>
        <v>12.5</v>
      </c>
      <c r="Q707" s="11" t="n">
        <f aca="false">IF(J707="%mo",L707/100*SUMIFS($R$7:$R$782,$A$7:$A$782,A707),L707*P707)</f>
        <v>0.9575</v>
      </c>
      <c r="R707" s="11" t="n">
        <f aca="false">IF(G707="MO",L707*P707,0)</f>
        <v>0.9575</v>
      </c>
    </row>
    <row r="708" customFormat="false" ht="15" hidden="false" customHeight="false" outlineLevel="0" collapsed="false">
      <c r="A708" s="9" t="s">
        <v>781</v>
      </c>
      <c r="B708" s="9" t="s">
        <v>769</v>
      </c>
      <c r="C708" s="9" t="s">
        <v>747</v>
      </c>
      <c r="D708" s="9" t="s">
        <v>723</v>
      </c>
      <c r="E708" s="9" t="s">
        <v>273</v>
      </c>
      <c r="F708" s="10" t="n">
        <v>22.27</v>
      </c>
      <c r="G708" s="9" t="s">
        <v>288</v>
      </c>
      <c r="H708" s="9" t="s">
        <v>289</v>
      </c>
      <c r="I708" s="9" t="s">
        <v>290</v>
      </c>
      <c r="J708" s="9" t="s">
        <v>291</v>
      </c>
      <c r="K708" s="31" t="n">
        <v>0.5</v>
      </c>
      <c r="L708" s="31" t="n">
        <v>0.0383</v>
      </c>
      <c r="M708" s="10" t="n">
        <v>170.08</v>
      </c>
      <c r="N708" s="10" t="n">
        <v>6.51</v>
      </c>
      <c r="O708" s="9"/>
      <c r="P708" s="11" t="n">
        <f aca="false">IF(J708="%mo","",IF(G708="MO",IF(J708="hh",INDEX(MO_HH,MATCH(I708,MO_CAT,0)),M708*P_FACT_IPC),IF(G708="SUBPART",IFERROR(INDEX(APU_SUBP!$C$7:$C$40,MATCH(H708,APU_SUBP!$A$7:$A$40,0)),M708*P_FACT_IPC),M708*P_FACT_IPC)))</f>
        <v>218.773196641969</v>
      </c>
      <c r="Q708" s="11" t="n">
        <f aca="false">IF(J708="%mo",L708/100*SUMIFS($R$7:$R$782,$A$7:$A$782,A708),L708*P708)</f>
        <v>8.37901343138743</v>
      </c>
      <c r="R708" s="11" t="n">
        <f aca="false">IF(G708="MO",L708*P708,0)</f>
        <v>0</v>
      </c>
    </row>
    <row r="709" customFormat="false" ht="15" hidden="false" customHeight="false" outlineLevel="0" collapsed="false">
      <c r="A709" s="7" t="s">
        <v>781</v>
      </c>
      <c r="B709" s="7" t="s">
        <v>769</v>
      </c>
      <c r="C709" s="7" t="s">
        <v>747</v>
      </c>
      <c r="D709" s="7" t="s">
        <v>723</v>
      </c>
      <c r="E709" s="7" t="s">
        <v>273</v>
      </c>
      <c r="F709" s="11" t="n">
        <v>22.27</v>
      </c>
      <c r="G709" s="7" t="s">
        <v>288</v>
      </c>
      <c r="H709" s="7" t="s">
        <v>296</v>
      </c>
      <c r="I709" s="7" t="s">
        <v>297</v>
      </c>
      <c r="J709" s="7" t="s">
        <v>291</v>
      </c>
      <c r="K709" s="22" t="n">
        <v>1</v>
      </c>
      <c r="L709" s="22" t="n">
        <v>0.0766</v>
      </c>
      <c r="M709" s="11" t="n">
        <v>188.87</v>
      </c>
      <c r="N709" s="11" t="n">
        <v>14.47</v>
      </c>
      <c r="O709" s="7"/>
      <c r="P709" s="11" t="n">
        <f aca="false">IF(J709="%mo","",IF(G709="MO",IF(J709="hh",INDEX(MO_HH,MATCH(I709,MO_CAT,0)),M709*P_FACT_IPC),IF(G709="SUBPART",IFERROR(INDEX(APU_SUBP!$C$7:$C$40,MATCH(H709,APU_SUBP!$A$7:$A$40,0)),M709*P_FACT_IPC),M709*P_FACT_IPC)))</f>
        <v>242.942695494877</v>
      </c>
      <c r="Q709" s="11" t="n">
        <f aca="false">IF(J709="%mo",L709/100*SUMIFS($R$7:$R$782,$A$7:$A$782,A709),L709*P709)</f>
        <v>18.6094104749076</v>
      </c>
      <c r="R709" s="11" t="n">
        <f aca="false">IF(G709="MO",L709*P709,0)</f>
        <v>0</v>
      </c>
    </row>
    <row r="710" customFormat="false" ht="15" hidden="false" customHeight="false" outlineLevel="0" collapsed="false">
      <c r="A710" s="9" t="s">
        <v>782</v>
      </c>
      <c r="B710" s="9" t="s">
        <v>769</v>
      </c>
      <c r="C710" s="9" t="s">
        <v>783</v>
      </c>
      <c r="D710" s="9" t="s">
        <v>511</v>
      </c>
      <c r="E710" s="9" t="s">
        <v>16</v>
      </c>
      <c r="F710" s="10" t="n">
        <v>24.83</v>
      </c>
      <c r="G710" s="9" t="s">
        <v>281</v>
      </c>
      <c r="H710" s="9" t="s">
        <v>282</v>
      </c>
      <c r="I710" s="9" t="s">
        <v>107</v>
      </c>
      <c r="J710" s="9" t="s">
        <v>283</v>
      </c>
      <c r="K710" s="31" t="n">
        <v>0.1</v>
      </c>
      <c r="L710" s="31" t="n">
        <v>0.04</v>
      </c>
      <c r="M710" s="10" t="n">
        <v>25.81</v>
      </c>
      <c r="N710" s="10" t="n">
        <v>1.03</v>
      </c>
      <c r="O710" s="9" t="s">
        <v>284</v>
      </c>
      <c r="P710" s="11" t="n">
        <f aca="false">IF(J710="%mo","",IF(G710="MO",IF(J710="hh",INDEX(MO_HH,MATCH(I710,MO_CAT,0)),M710*P_FACT_IPC),IF(G710="SUBPART",IFERROR(INDEX(APU_SUBP!$C$7:$C$40,MATCH(H710,APU_SUBP!$A$7:$A$40,0)),M710*P_FACT_IPC),M710*P_FACT_IPC)))</f>
        <v>19.226758045292</v>
      </c>
      <c r="Q710" s="11" t="n">
        <f aca="false">IF(J710="%mo",L710/100*SUMIFS($R$7:$R$782,$A$7:$A$782,A710),L710*P710)</f>
        <v>0.769070321811681</v>
      </c>
      <c r="R710" s="11" t="n">
        <f aca="false">IF(G710="MO",L710*P710,0)</f>
        <v>0.769070321811681</v>
      </c>
    </row>
    <row r="711" customFormat="false" ht="15" hidden="false" customHeight="false" outlineLevel="0" collapsed="false">
      <c r="A711" s="7" t="s">
        <v>782</v>
      </c>
      <c r="B711" s="7" t="s">
        <v>769</v>
      </c>
      <c r="C711" s="7" t="s">
        <v>783</v>
      </c>
      <c r="D711" s="7" t="s">
        <v>511</v>
      </c>
      <c r="E711" s="7" t="s">
        <v>16</v>
      </c>
      <c r="F711" s="11" t="n">
        <v>24.83</v>
      </c>
      <c r="G711" s="7" t="s">
        <v>281</v>
      </c>
      <c r="H711" s="7" t="s">
        <v>286</v>
      </c>
      <c r="I711" s="7" t="s">
        <v>122</v>
      </c>
      <c r="J711" s="7" t="s">
        <v>283</v>
      </c>
      <c r="K711" s="22" t="n">
        <v>2</v>
      </c>
      <c r="L711" s="22" t="n">
        <v>0.8</v>
      </c>
      <c r="M711" s="11" t="n">
        <v>16.78</v>
      </c>
      <c r="N711" s="11" t="n">
        <v>13.42</v>
      </c>
      <c r="O711" s="7" t="s">
        <v>287</v>
      </c>
      <c r="P711" s="11" t="n">
        <f aca="false">IF(J711="%mo","",IF(G711="MO",IF(J711="hh",INDEX(MO_HH,MATCH(I711,MO_CAT,0)),M711*P_FACT_IPC),IF(G711="SUBPART",IFERROR(INDEX(APU_SUBP!$C$7:$C$40,MATCH(H711,APU_SUBP!$A$7:$A$40,0)),M711*P_FACT_IPC),M711*P_FACT_IPC)))</f>
        <v>12.5</v>
      </c>
      <c r="Q711" s="11" t="n">
        <f aca="false">IF(J711="%mo",L711/100*SUMIFS($R$7:$R$782,$A$7:$A$782,A711),L711*P711)</f>
        <v>10</v>
      </c>
      <c r="R711" s="11" t="n">
        <f aca="false">IF(G711="MO",L711*P711,0)</f>
        <v>10</v>
      </c>
    </row>
    <row r="712" customFormat="false" ht="15" hidden="false" customHeight="false" outlineLevel="0" collapsed="false">
      <c r="A712" s="9" t="s">
        <v>782</v>
      </c>
      <c r="B712" s="9" t="s">
        <v>769</v>
      </c>
      <c r="C712" s="9" t="s">
        <v>783</v>
      </c>
      <c r="D712" s="9" t="s">
        <v>511</v>
      </c>
      <c r="E712" s="9" t="s">
        <v>16</v>
      </c>
      <c r="F712" s="10" t="n">
        <v>24.83</v>
      </c>
      <c r="G712" s="9" t="s">
        <v>307</v>
      </c>
      <c r="H712" s="9" t="s">
        <v>784</v>
      </c>
      <c r="I712" s="9" t="s">
        <v>785</v>
      </c>
      <c r="J712" s="9" t="s">
        <v>16</v>
      </c>
      <c r="K712" s="31"/>
      <c r="L712" s="31" t="n">
        <v>1</v>
      </c>
      <c r="M712" s="10" t="n">
        <v>9.95</v>
      </c>
      <c r="N712" s="10" t="n">
        <v>9.95</v>
      </c>
      <c r="O712" s="9"/>
      <c r="P712" s="11" t="n">
        <f aca="false">IF(J712="%mo","",IF(G712="MO",IF(J712="hh",INDEX(MO_HH,MATCH(I712,MO_CAT,0)),M712*P_FACT_IPC),IF(G712="SUBPART",IFERROR(INDEX(APU_SUBP!$C$7:$C$40,MATCH(H712,APU_SUBP!$A$7:$A$40,0)),M712*P_FACT_IPC),M712*P_FACT_IPC)))</f>
        <v>12.7986436182243</v>
      </c>
      <c r="Q712" s="11" t="n">
        <f aca="false">IF(J712="%mo",L712/100*SUMIFS($R$7:$R$782,$A$7:$A$782,A712),L712*P712)</f>
        <v>12.7986436182243</v>
      </c>
      <c r="R712" s="11" t="n">
        <f aca="false">IF(G712="MO",L712*P712,0)</f>
        <v>0</v>
      </c>
    </row>
    <row r="713" customFormat="false" ht="15" hidden="false" customHeight="false" outlineLevel="0" collapsed="false">
      <c r="A713" s="7" t="s">
        <v>782</v>
      </c>
      <c r="B713" s="7" t="s">
        <v>769</v>
      </c>
      <c r="C713" s="7" t="s">
        <v>783</v>
      </c>
      <c r="D713" s="7" t="s">
        <v>511</v>
      </c>
      <c r="E713" s="7" t="s">
        <v>16</v>
      </c>
      <c r="F713" s="11" t="n">
        <v>24.83</v>
      </c>
      <c r="G713" s="7" t="s">
        <v>288</v>
      </c>
      <c r="H713" s="7" t="s">
        <v>327</v>
      </c>
      <c r="I713" s="7" t="s">
        <v>328</v>
      </c>
      <c r="J713" s="7" t="s">
        <v>329</v>
      </c>
      <c r="K713" s="22"/>
      <c r="L713" s="22" t="n">
        <v>3</v>
      </c>
      <c r="M713" s="11" t="n">
        <v>14.45</v>
      </c>
      <c r="N713" s="11" t="n">
        <v>0.43</v>
      </c>
      <c r="O713" s="7"/>
      <c r="P713" s="11" t="str">
        <f aca="false">IF(J713="%mo","",IF(G713="MO",IF(J713="hh",INDEX(MO_HH,MATCH(I713,MO_CAT,0)),M713*P_FACT_IPC),IF(G713="SUBPART",IFERROR(INDEX(APU_SUBP!$C$7:$C$40,MATCH(H713,APU_SUBP!$A$7:$A$40,0)),M713*P_FACT_IPC),M713*P_FACT_IPC)))</f>
        <v/>
      </c>
      <c r="Q713" s="11" t="n">
        <f aca="false">IF(J713="%mo",L713/100*SUMIFS($R$7:$R$782,$A$7:$A$782,A713),L713*P713)</f>
        <v>0.32307210965435</v>
      </c>
      <c r="R713" s="11" t="n">
        <f aca="false">IF(G713="MO",L713*P713,0)</f>
        <v>0</v>
      </c>
    </row>
    <row r="714" customFormat="false" ht="15" hidden="false" customHeight="false" outlineLevel="0" collapsed="false">
      <c r="A714" s="9" t="s">
        <v>786</v>
      </c>
      <c r="B714" s="9" t="s">
        <v>769</v>
      </c>
      <c r="C714" s="9" t="s">
        <v>787</v>
      </c>
      <c r="D714" s="9" t="s">
        <v>513</v>
      </c>
      <c r="E714" s="9" t="s">
        <v>21</v>
      </c>
      <c r="F714" s="10" t="n">
        <v>1.77</v>
      </c>
      <c r="G714" s="9" t="s">
        <v>281</v>
      </c>
      <c r="H714" s="9" t="s">
        <v>285</v>
      </c>
      <c r="I714" s="9" t="s">
        <v>117</v>
      </c>
      <c r="J714" s="9" t="s">
        <v>283</v>
      </c>
      <c r="K714" s="31" t="n">
        <v>0.1</v>
      </c>
      <c r="L714" s="31" t="n">
        <v>0.004</v>
      </c>
      <c r="M714" s="10" t="n">
        <v>18.56</v>
      </c>
      <c r="N714" s="10" t="n">
        <v>0.07</v>
      </c>
      <c r="O714" s="9" t="s">
        <v>284</v>
      </c>
      <c r="P714" s="11" t="n">
        <f aca="false">IF(J714="%mo","",IF(G714="MO",IF(J714="hh",INDEX(MO_HH,MATCH(I714,MO_CAT,0)),M714*P_FACT_IPC),IF(G714="SUBPART",IFERROR(INDEX(APU_SUBP!$C$7:$C$40,MATCH(H714,APU_SUBP!$A$7:$A$40,0)),M714*P_FACT_IPC),M714*P_FACT_IPC)))</f>
        <v>13.8259833134684</v>
      </c>
      <c r="Q714" s="11" t="n">
        <f aca="false">IF(J714="%mo",L714/100*SUMIFS($R$7:$R$782,$A$7:$A$782,A714),L714*P714)</f>
        <v>0.0553039332538737</v>
      </c>
      <c r="R714" s="11" t="n">
        <f aca="false">IF(G714="MO",L714*P714,0)</f>
        <v>0.0553039332538737</v>
      </c>
    </row>
    <row r="715" customFormat="false" ht="15" hidden="false" customHeight="false" outlineLevel="0" collapsed="false">
      <c r="A715" s="7" t="s">
        <v>786</v>
      </c>
      <c r="B715" s="7" t="s">
        <v>769</v>
      </c>
      <c r="C715" s="7" t="s">
        <v>787</v>
      </c>
      <c r="D715" s="7" t="s">
        <v>513</v>
      </c>
      <c r="E715" s="7" t="s">
        <v>21</v>
      </c>
      <c r="F715" s="11" t="n">
        <v>1.77</v>
      </c>
      <c r="G715" s="7" t="s">
        <v>281</v>
      </c>
      <c r="H715" s="7" t="s">
        <v>286</v>
      </c>
      <c r="I715" s="7" t="s">
        <v>122</v>
      </c>
      <c r="J715" s="7" t="s">
        <v>283</v>
      </c>
      <c r="K715" s="22" t="n">
        <v>2</v>
      </c>
      <c r="L715" s="22" t="n">
        <v>0.08</v>
      </c>
      <c r="M715" s="11" t="n">
        <v>16.78</v>
      </c>
      <c r="N715" s="11" t="n">
        <v>1.34</v>
      </c>
      <c r="O715" s="7" t="s">
        <v>287</v>
      </c>
      <c r="P715" s="11" t="n">
        <f aca="false">IF(J715="%mo","",IF(G715="MO",IF(J715="hh",INDEX(MO_HH,MATCH(I715,MO_CAT,0)),M715*P_FACT_IPC),IF(G715="SUBPART",IFERROR(INDEX(APU_SUBP!$C$7:$C$40,MATCH(H715,APU_SUBP!$A$7:$A$40,0)),M715*P_FACT_IPC),M715*P_FACT_IPC)))</f>
        <v>12.5</v>
      </c>
      <c r="Q715" s="11" t="n">
        <f aca="false">IF(J715="%mo",L715/100*SUMIFS($R$7:$R$782,$A$7:$A$782,A715),L715*P715)</f>
        <v>1</v>
      </c>
      <c r="R715" s="11" t="n">
        <f aca="false">IF(G715="MO",L715*P715,0)</f>
        <v>1</v>
      </c>
    </row>
    <row r="716" customFormat="false" ht="15" hidden="false" customHeight="false" outlineLevel="0" collapsed="false">
      <c r="A716" s="9" t="s">
        <v>786</v>
      </c>
      <c r="B716" s="9" t="s">
        <v>769</v>
      </c>
      <c r="C716" s="9" t="s">
        <v>787</v>
      </c>
      <c r="D716" s="9" t="s">
        <v>513</v>
      </c>
      <c r="E716" s="9" t="s">
        <v>21</v>
      </c>
      <c r="F716" s="10" t="n">
        <v>1.77</v>
      </c>
      <c r="G716" s="9" t="s">
        <v>307</v>
      </c>
      <c r="H716" s="9" t="s">
        <v>539</v>
      </c>
      <c r="I716" s="9" t="s">
        <v>540</v>
      </c>
      <c r="J716" s="9" t="s">
        <v>361</v>
      </c>
      <c r="K716" s="31"/>
      <c r="L716" s="31" t="n">
        <v>0.005</v>
      </c>
      <c r="M716" s="10" t="n">
        <v>5.55</v>
      </c>
      <c r="N716" s="10" t="n">
        <v>0.03</v>
      </c>
      <c r="O716" s="9"/>
      <c r="P716" s="11" t="n">
        <f aca="false">IF(J716="%mo","",IF(G716="MO",IF(J716="hh",INDEX(MO_HH,MATCH(I716,MO_CAT,0)),M716*P_FACT_IPC),IF(G716="SUBPART",IFERROR(INDEX(APU_SUBP!$C$7:$C$40,MATCH(H716,APU_SUBP!$A$7:$A$40,0)),M716*P_FACT_IPC),M716*P_FACT_IPC)))</f>
        <v>7.13894191770302</v>
      </c>
      <c r="Q716" s="11" t="n">
        <f aca="false">IF(J716="%mo",L716/100*SUMIFS($R$7:$R$782,$A$7:$A$782,A716),L716*P716)</f>
        <v>0.0356947095885151</v>
      </c>
      <c r="R716" s="11" t="n">
        <f aca="false">IF(G716="MO",L716*P716,0)</f>
        <v>0</v>
      </c>
    </row>
    <row r="717" customFormat="false" ht="15" hidden="false" customHeight="false" outlineLevel="0" collapsed="false">
      <c r="A717" s="7" t="s">
        <v>786</v>
      </c>
      <c r="B717" s="7" t="s">
        <v>769</v>
      </c>
      <c r="C717" s="7" t="s">
        <v>787</v>
      </c>
      <c r="D717" s="7" t="s">
        <v>513</v>
      </c>
      <c r="E717" s="7" t="s">
        <v>21</v>
      </c>
      <c r="F717" s="11" t="n">
        <v>1.77</v>
      </c>
      <c r="G717" s="7" t="s">
        <v>307</v>
      </c>
      <c r="H717" s="7" t="s">
        <v>537</v>
      </c>
      <c r="I717" s="7" t="s">
        <v>538</v>
      </c>
      <c r="J717" s="7" t="s">
        <v>21</v>
      </c>
      <c r="K717" s="22"/>
      <c r="L717" s="22" t="n">
        <v>1.05</v>
      </c>
      <c r="M717" s="11" t="n">
        <v>0.28</v>
      </c>
      <c r="N717" s="11" t="n">
        <v>0.29</v>
      </c>
      <c r="O717" s="7"/>
      <c r="P717" s="11" t="n">
        <f aca="false">IF(J717="%mo","",IF(G717="MO",IF(J717="hh",INDEX(MO_HH,MATCH(I717,MO_CAT,0)),M717*P_FACT_IPC),IF(G717="SUBPART",IFERROR(INDEX(APU_SUBP!$C$7:$C$40,MATCH(H717,APU_SUBP!$A$7:$A$40,0)),M717*P_FACT_IPC),M717*P_FACT_IPC)))</f>
        <v>0.36016283548772</v>
      </c>
      <c r="Q717" s="11" t="n">
        <f aca="false">IF(J717="%mo",L717/100*SUMIFS($R$7:$R$782,$A$7:$A$782,A717),L717*P717)</f>
        <v>0.378170977262106</v>
      </c>
      <c r="R717" s="11" t="n">
        <f aca="false">IF(G717="MO",L717*P717,0)</f>
        <v>0</v>
      </c>
    </row>
    <row r="718" customFormat="false" ht="15" hidden="false" customHeight="false" outlineLevel="0" collapsed="false">
      <c r="A718" s="9" t="s">
        <v>786</v>
      </c>
      <c r="B718" s="9" t="s">
        <v>769</v>
      </c>
      <c r="C718" s="9" t="s">
        <v>787</v>
      </c>
      <c r="D718" s="9" t="s">
        <v>513</v>
      </c>
      <c r="E718" s="9" t="s">
        <v>21</v>
      </c>
      <c r="F718" s="10" t="n">
        <v>1.77</v>
      </c>
      <c r="G718" s="9" t="s">
        <v>288</v>
      </c>
      <c r="H718" s="9" t="s">
        <v>327</v>
      </c>
      <c r="I718" s="9" t="s">
        <v>328</v>
      </c>
      <c r="J718" s="9" t="s">
        <v>329</v>
      </c>
      <c r="K718" s="31"/>
      <c r="L718" s="31" t="n">
        <v>3</v>
      </c>
      <c r="M718" s="10" t="n">
        <v>1.41</v>
      </c>
      <c r="N718" s="10" t="n">
        <v>0.04</v>
      </c>
      <c r="O718" s="9"/>
      <c r="P718" s="11" t="str">
        <f aca="false">IF(J718="%mo","",IF(G718="MO",IF(J718="hh",INDEX(MO_HH,MATCH(I718,MO_CAT,0)),M718*P_FACT_IPC),IF(G718="SUBPART",IFERROR(INDEX(APU_SUBP!$C$7:$C$40,MATCH(H718,APU_SUBP!$A$7:$A$40,0)),M718*P_FACT_IPC),M718*P_FACT_IPC)))</f>
        <v/>
      </c>
      <c r="Q718" s="11" t="n">
        <f aca="false">IF(J718="%mo",L718/100*SUMIFS($R$7:$R$782,$A$7:$A$782,A718),L718*P718)</f>
        <v>0.0316591179976162</v>
      </c>
      <c r="R718" s="11" t="n">
        <f aca="false">IF(G718="MO",L718*P718,0)</f>
        <v>0</v>
      </c>
    </row>
    <row r="719" customFormat="false" ht="15" hidden="false" customHeight="false" outlineLevel="0" collapsed="false">
      <c r="A719" s="7" t="s">
        <v>788</v>
      </c>
      <c r="B719" s="7" t="s">
        <v>769</v>
      </c>
      <c r="C719" s="7" t="s">
        <v>789</v>
      </c>
      <c r="D719" s="7" t="s">
        <v>598</v>
      </c>
      <c r="E719" s="7" t="s">
        <v>16</v>
      </c>
      <c r="F719" s="11" t="n">
        <v>0.38</v>
      </c>
      <c r="G719" s="7" t="s">
        <v>281</v>
      </c>
      <c r="H719" s="7" t="s">
        <v>285</v>
      </c>
      <c r="I719" s="7" t="s">
        <v>117</v>
      </c>
      <c r="J719" s="7" t="s">
        <v>283</v>
      </c>
      <c r="K719" s="22" t="n">
        <v>1</v>
      </c>
      <c r="L719" s="22" t="n">
        <v>0.0025</v>
      </c>
      <c r="M719" s="11" t="n">
        <v>18.56</v>
      </c>
      <c r="N719" s="11" t="n">
        <v>0.05</v>
      </c>
      <c r="O719" s="7" t="s">
        <v>284</v>
      </c>
      <c r="P719" s="11" t="n">
        <f aca="false">IF(J719="%mo","",IF(G719="MO",IF(J719="hh",INDEX(MO_HH,MATCH(I719,MO_CAT,0)),M719*P_FACT_IPC),IF(G719="SUBPART",IFERROR(INDEX(APU_SUBP!$C$7:$C$40,MATCH(H719,APU_SUBP!$A$7:$A$40,0)),M719*P_FACT_IPC),M719*P_FACT_IPC)))</f>
        <v>13.8259833134684</v>
      </c>
      <c r="Q719" s="11" t="n">
        <f aca="false">IF(J719="%mo",L719/100*SUMIFS($R$7:$R$782,$A$7:$A$782,A719),L719*P719)</f>
        <v>0.034564958283671</v>
      </c>
      <c r="R719" s="11" t="n">
        <f aca="false">IF(G719="MO",L719*P719,0)</f>
        <v>0.034564958283671</v>
      </c>
    </row>
    <row r="720" customFormat="false" ht="15" hidden="false" customHeight="false" outlineLevel="0" collapsed="false">
      <c r="A720" s="9" t="s">
        <v>788</v>
      </c>
      <c r="B720" s="9" t="s">
        <v>769</v>
      </c>
      <c r="C720" s="9" t="s">
        <v>789</v>
      </c>
      <c r="D720" s="9" t="s">
        <v>598</v>
      </c>
      <c r="E720" s="9" t="s">
        <v>16</v>
      </c>
      <c r="F720" s="10" t="n">
        <v>0.38</v>
      </c>
      <c r="G720" s="9" t="s">
        <v>281</v>
      </c>
      <c r="H720" s="9" t="s">
        <v>286</v>
      </c>
      <c r="I720" s="9" t="s">
        <v>122</v>
      </c>
      <c r="J720" s="9" t="s">
        <v>283</v>
      </c>
      <c r="K720" s="31" t="n">
        <v>4</v>
      </c>
      <c r="L720" s="31" t="n">
        <v>0.0099</v>
      </c>
      <c r="M720" s="10" t="n">
        <v>16.78</v>
      </c>
      <c r="N720" s="10" t="n">
        <v>0.17</v>
      </c>
      <c r="O720" s="9" t="s">
        <v>287</v>
      </c>
      <c r="P720" s="11" t="n">
        <f aca="false">IF(J720="%mo","",IF(G720="MO",IF(J720="hh",INDEX(MO_HH,MATCH(I720,MO_CAT,0)),M720*P_FACT_IPC),IF(G720="SUBPART",IFERROR(INDEX(APU_SUBP!$C$7:$C$40,MATCH(H720,APU_SUBP!$A$7:$A$40,0)),M720*P_FACT_IPC),M720*P_FACT_IPC)))</f>
        <v>12.5</v>
      </c>
      <c r="Q720" s="11" t="n">
        <f aca="false">IF(J720="%mo",L720/100*SUMIFS($R$7:$R$782,$A$7:$A$782,A720),L720*P720)</f>
        <v>0.12375</v>
      </c>
      <c r="R720" s="11" t="n">
        <f aca="false">IF(G720="MO",L720*P720,0)</f>
        <v>0.12375</v>
      </c>
    </row>
    <row r="721" customFormat="false" ht="15" hidden="false" customHeight="false" outlineLevel="0" collapsed="false">
      <c r="A721" s="7" t="s">
        <v>788</v>
      </c>
      <c r="B721" s="7" t="s">
        <v>769</v>
      </c>
      <c r="C721" s="7" t="s">
        <v>789</v>
      </c>
      <c r="D721" s="7" t="s">
        <v>598</v>
      </c>
      <c r="E721" s="7" t="s">
        <v>16</v>
      </c>
      <c r="F721" s="11" t="n">
        <v>0.38</v>
      </c>
      <c r="G721" s="7" t="s">
        <v>288</v>
      </c>
      <c r="H721" s="7" t="s">
        <v>404</v>
      </c>
      <c r="I721" s="7" t="s">
        <v>405</v>
      </c>
      <c r="J721" s="7" t="s">
        <v>291</v>
      </c>
      <c r="K721" s="22" t="n">
        <v>1</v>
      </c>
      <c r="L721" s="22" t="n">
        <v>0.0025</v>
      </c>
      <c r="M721" s="11" t="n">
        <v>65.48</v>
      </c>
      <c r="N721" s="11" t="n">
        <v>0.16</v>
      </c>
      <c r="O721" s="7"/>
      <c r="P721" s="11" t="n">
        <f aca="false">IF(J721="%mo","",IF(G721="MO",IF(J721="hh",INDEX(MO_HH,MATCH(I721,MO_CAT,0)),M721*P_FACT_IPC),IF(G721="SUBPART",IFERROR(INDEX(APU_SUBP!$C$7:$C$40,MATCH(H721,APU_SUBP!$A$7:$A$40,0)),M721*P_FACT_IPC),M721*P_FACT_IPC)))</f>
        <v>84.2266516704854</v>
      </c>
      <c r="Q721" s="11" t="n">
        <f aca="false">IF(J721="%mo",L721/100*SUMIFS($R$7:$R$782,$A$7:$A$782,A721),L721*P721)</f>
        <v>0.210566629176214</v>
      </c>
      <c r="R721" s="11" t="n">
        <f aca="false">IF(G721="MO",L721*P721,0)</f>
        <v>0</v>
      </c>
    </row>
    <row r="722" customFormat="false" ht="15" hidden="false" customHeight="false" outlineLevel="0" collapsed="false">
      <c r="A722" s="9" t="s">
        <v>790</v>
      </c>
      <c r="B722" s="9" t="s">
        <v>769</v>
      </c>
      <c r="C722" s="9" t="s">
        <v>749</v>
      </c>
      <c r="D722" s="9" t="s">
        <v>467</v>
      </c>
      <c r="E722" s="9" t="s">
        <v>273</v>
      </c>
      <c r="F722" s="10" t="n">
        <v>86.3</v>
      </c>
      <c r="G722" s="9" t="s">
        <v>281</v>
      </c>
      <c r="H722" s="9" t="s">
        <v>285</v>
      </c>
      <c r="I722" s="9" t="s">
        <v>117</v>
      </c>
      <c r="J722" s="9" t="s">
        <v>283</v>
      </c>
      <c r="K722" s="31" t="n">
        <v>1</v>
      </c>
      <c r="L722" s="31" t="n">
        <v>1.6</v>
      </c>
      <c r="M722" s="10" t="n">
        <v>18.56</v>
      </c>
      <c r="N722" s="10" t="n">
        <v>29.7</v>
      </c>
      <c r="O722" s="9" t="s">
        <v>284</v>
      </c>
      <c r="P722" s="11" t="n">
        <f aca="false">IF(J722="%mo","",IF(G722="MO",IF(J722="hh",INDEX(MO_HH,MATCH(I722,MO_CAT,0)),M722*P_FACT_IPC),IF(G722="SUBPART",IFERROR(INDEX(APU_SUBP!$C$7:$C$40,MATCH(H722,APU_SUBP!$A$7:$A$40,0)),M722*P_FACT_IPC),M722*P_FACT_IPC)))</f>
        <v>13.8259833134684</v>
      </c>
      <c r="Q722" s="11" t="n">
        <f aca="false">IF(J722="%mo",L722/100*SUMIFS($R$7:$R$782,$A$7:$A$782,A722),L722*P722)</f>
        <v>22.1215733015495</v>
      </c>
      <c r="R722" s="11" t="n">
        <f aca="false">IF(G722="MO",L722*P722,0)</f>
        <v>22.1215733015495</v>
      </c>
    </row>
    <row r="723" customFormat="false" ht="15" hidden="false" customHeight="false" outlineLevel="0" collapsed="false">
      <c r="A723" s="7" t="s">
        <v>790</v>
      </c>
      <c r="B723" s="7" t="s">
        <v>769</v>
      </c>
      <c r="C723" s="7" t="s">
        <v>749</v>
      </c>
      <c r="D723" s="7" t="s">
        <v>467</v>
      </c>
      <c r="E723" s="7" t="s">
        <v>273</v>
      </c>
      <c r="F723" s="11" t="n">
        <v>86.3</v>
      </c>
      <c r="G723" s="7" t="s">
        <v>281</v>
      </c>
      <c r="H723" s="7" t="s">
        <v>286</v>
      </c>
      <c r="I723" s="7" t="s">
        <v>122</v>
      </c>
      <c r="J723" s="7" t="s">
        <v>283</v>
      </c>
      <c r="K723" s="22" t="n">
        <v>2</v>
      </c>
      <c r="L723" s="22" t="n">
        <v>3.2</v>
      </c>
      <c r="M723" s="11" t="n">
        <v>16.78</v>
      </c>
      <c r="N723" s="11" t="n">
        <v>53.7</v>
      </c>
      <c r="O723" s="7" t="s">
        <v>287</v>
      </c>
      <c r="P723" s="11" t="n">
        <f aca="false">IF(J723="%mo","",IF(G723="MO",IF(J723="hh",INDEX(MO_HH,MATCH(I723,MO_CAT,0)),M723*P_FACT_IPC),IF(G723="SUBPART",IFERROR(INDEX(APU_SUBP!$C$7:$C$40,MATCH(H723,APU_SUBP!$A$7:$A$40,0)),M723*P_FACT_IPC),M723*P_FACT_IPC)))</f>
        <v>12.5</v>
      </c>
      <c r="Q723" s="11" t="n">
        <f aca="false">IF(J723="%mo",L723/100*SUMIFS($R$7:$R$782,$A$7:$A$782,A723),L723*P723)</f>
        <v>40</v>
      </c>
      <c r="R723" s="11" t="n">
        <f aca="false">IF(G723="MO",L723*P723,0)</f>
        <v>40</v>
      </c>
    </row>
    <row r="724" customFormat="false" ht="15" hidden="false" customHeight="false" outlineLevel="0" collapsed="false">
      <c r="A724" s="9" t="s">
        <v>790</v>
      </c>
      <c r="B724" s="9" t="s">
        <v>769</v>
      </c>
      <c r="C724" s="9" t="s">
        <v>749</v>
      </c>
      <c r="D724" s="9" t="s">
        <v>467</v>
      </c>
      <c r="E724" s="9" t="s">
        <v>273</v>
      </c>
      <c r="F724" s="10" t="n">
        <v>86.3</v>
      </c>
      <c r="G724" s="9" t="s">
        <v>288</v>
      </c>
      <c r="H724" s="9" t="s">
        <v>648</v>
      </c>
      <c r="I724" s="9" t="s">
        <v>649</v>
      </c>
      <c r="J724" s="9" t="s">
        <v>322</v>
      </c>
      <c r="K724" s="31" t="n">
        <v>1</v>
      </c>
      <c r="L724" s="31" t="n">
        <v>1.6</v>
      </c>
      <c r="M724" s="10" t="n">
        <v>0.25</v>
      </c>
      <c r="N724" s="10" t="n">
        <v>0.4</v>
      </c>
      <c r="O724" s="9"/>
      <c r="P724" s="11" t="n">
        <f aca="false">IF(J724="%mo","",IF(G724="MO",IF(J724="hh",INDEX(MO_HH,MATCH(I724,MO_CAT,0)),M724*P_FACT_IPC),IF(G724="SUBPART",IFERROR(INDEX(APU_SUBP!$C$7:$C$40,MATCH(H724,APU_SUBP!$A$7:$A$40,0)),M724*P_FACT_IPC),M724*P_FACT_IPC)))</f>
        <v>0.321573960256893</v>
      </c>
      <c r="Q724" s="11" t="n">
        <f aca="false">IF(J724="%mo",L724/100*SUMIFS($R$7:$R$782,$A$7:$A$782,A724),L724*P724)</f>
        <v>0.514518336411029</v>
      </c>
      <c r="R724" s="11" t="n">
        <f aca="false">IF(G724="MO",L724*P724,0)</f>
        <v>0</v>
      </c>
    </row>
    <row r="725" customFormat="false" ht="15" hidden="false" customHeight="false" outlineLevel="0" collapsed="false">
      <c r="A725" s="7" t="s">
        <v>790</v>
      </c>
      <c r="B725" s="7" t="s">
        <v>769</v>
      </c>
      <c r="C725" s="7" t="s">
        <v>749</v>
      </c>
      <c r="D725" s="7" t="s">
        <v>467</v>
      </c>
      <c r="E725" s="7" t="s">
        <v>273</v>
      </c>
      <c r="F725" s="11" t="n">
        <v>86.3</v>
      </c>
      <c r="G725" s="7" t="s">
        <v>288</v>
      </c>
      <c r="H725" s="7" t="s">
        <v>327</v>
      </c>
      <c r="I725" s="7" t="s">
        <v>328</v>
      </c>
      <c r="J725" s="7" t="s">
        <v>329</v>
      </c>
      <c r="K725" s="22"/>
      <c r="L725" s="22" t="n">
        <v>3</v>
      </c>
      <c r="M725" s="11" t="n">
        <v>83.4</v>
      </c>
      <c r="N725" s="11" t="n">
        <v>2.5</v>
      </c>
      <c r="O725" s="7"/>
      <c r="P725" s="11" t="str">
        <f aca="false">IF(J725="%mo","",IF(G725="MO",IF(J725="hh",INDEX(MO_HH,MATCH(I725,MO_CAT,0)),M725*P_FACT_IPC),IF(G725="SUBPART",IFERROR(INDEX(APU_SUBP!$C$7:$C$40,MATCH(H725,APU_SUBP!$A$7:$A$40,0)),M725*P_FACT_IPC),M725*P_FACT_IPC)))</f>
        <v/>
      </c>
      <c r="Q725" s="11" t="n">
        <f aca="false">IF(J725="%mo",L725/100*SUMIFS($R$7:$R$782,$A$7:$A$782,A725),L725*P725)</f>
        <v>1.86364719904648</v>
      </c>
      <c r="R725" s="11" t="n">
        <f aca="false">IF(G725="MO",L725*P725,0)</f>
        <v>0</v>
      </c>
    </row>
    <row r="726" customFormat="false" ht="15" hidden="false" customHeight="false" outlineLevel="0" collapsed="false">
      <c r="A726" s="9" t="s">
        <v>791</v>
      </c>
      <c r="B726" s="9" t="s">
        <v>769</v>
      </c>
      <c r="C726" s="9" t="s">
        <v>792</v>
      </c>
      <c r="D726" s="9" t="s">
        <v>575</v>
      </c>
      <c r="E726" s="9" t="s">
        <v>273</v>
      </c>
      <c r="F726" s="10" t="n">
        <v>238.24</v>
      </c>
      <c r="G726" s="9" t="s">
        <v>281</v>
      </c>
      <c r="H726" s="9" t="s">
        <v>285</v>
      </c>
      <c r="I726" s="9" t="s">
        <v>117</v>
      </c>
      <c r="J726" s="9" t="s">
        <v>283</v>
      </c>
      <c r="K726" s="31" t="n">
        <v>0.1</v>
      </c>
      <c r="L726" s="31" t="n">
        <v>0.8</v>
      </c>
      <c r="M726" s="10" t="n">
        <v>18.56</v>
      </c>
      <c r="N726" s="10" t="n">
        <v>14.85</v>
      </c>
      <c r="O726" s="9" t="s">
        <v>284</v>
      </c>
      <c r="P726" s="11" t="n">
        <f aca="false">IF(J726="%mo","",IF(G726="MO",IF(J726="hh",INDEX(MO_HH,MATCH(I726,MO_CAT,0)),M726*P_FACT_IPC),IF(G726="SUBPART",IFERROR(INDEX(APU_SUBP!$C$7:$C$40,MATCH(H726,APU_SUBP!$A$7:$A$40,0)),M726*P_FACT_IPC),M726*P_FACT_IPC)))</f>
        <v>13.8259833134684</v>
      </c>
      <c r="Q726" s="11" t="n">
        <f aca="false">IF(J726="%mo",L726/100*SUMIFS($R$7:$R$782,$A$7:$A$782,A726),L726*P726)</f>
        <v>11.0607866507747</v>
      </c>
      <c r="R726" s="11" t="n">
        <f aca="false">IF(G726="MO",L726*P726,0)</f>
        <v>11.0607866507747</v>
      </c>
    </row>
    <row r="727" customFormat="false" ht="15" hidden="false" customHeight="false" outlineLevel="0" collapsed="false">
      <c r="A727" s="7" t="s">
        <v>791</v>
      </c>
      <c r="B727" s="7" t="s">
        <v>769</v>
      </c>
      <c r="C727" s="7" t="s">
        <v>792</v>
      </c>
      <c r="D727" s="7" t="s">
        <v>575</v>
      </c>
      <c r="E727" s="7" t="s">
        <v>273</v>
      </c>
      <c r="F727" s="11" t="n">
        <v>238.24</v>
      </c>
      <c r="G727" s="7" t="s">
        <v>281</v>
      </c>
      <c r="H727" s="7" t="s">
        <v>286</v>
      </c>
      <c r="I727" s="7" t="s">
        <v>122</v>
      </c>
      <c r="J727" s="7" t="s">
        <v>283</v>
      </c>
      <c r="K727" s="22" t="n">
        <v>1</v>
      </c>
      <c r="L727" s="22" t="n">
        <v>8</v>
      </c>
      <c r="M727" s="11" t="n">
        <v>16.78</v>
      </c>
      <c r="N727" s="11" t="n">
        <v>134.24</v>
      </c>
      <c r="O727" s="7" t="s">
        <v>287</v>
      </c>
      <c r="P727" s="11" t="n">
        <f aca="false">IF(J727="%mo","",IF(G727="MO",IF(J727="hh",INDEX(MO_HH,MATCH(I727,MO_CAT,0)),M727*P_FACT_IPC),IF(G727="SUBPART",IFERROR(INDEX(APU_SUBP!$C$7:$C$40,MATCH(H727,APU_SUBP!$A$7:$A$40,0)),M727*P_FACT_IPC),M727*P_FACT_IPC)))</f>
        <v>12.5</v>
      </c>
      <c r="Q727" s="11" t="n">
        <f aca="false">IF(J727="%mo",L727/100*SUMIFS($R$7:$R$782,$A$7:$A$782,A727),L727*P727)</f>
        <v>100</v>
      </c>
      <c r="R727" s="11" t="n">
        <f aca="false">IF(G727="MO",L727*P727,0)</f>
        <v>100</v>
      </c>
    </row>
    <row r="728" customFormat="false" ht="15" hidden="false" customHeight="false" outlineLevel="0" collapsed="false">
      <c r="A728" s="9" t="s">
        <v>791</v>
      </c>
      <c r="B728" s="9" t="s">
        <v>769</v>
      </c>
      <c r="C728" s="9" t="s">
        <v>792</v>
      </c>
      <c r="D728" s="9" t="s">
        <v>575</v>
      </c>
      <c r="E728" s="9" t="s">
        <v>273</v>
      </c>
      <c r="F728" s="10" t="n">
        <v>238.24</v>
      </c>
      <c r="G728" s="9" t="s">
        <v>288</v>
      </c>
      <c r="H728" s="9" t="s">
        <v>793</v>
      </c>
      <c r="I728" s="9" t="s">
        <v>794</v>
      </c>
      <c r="J728" s="9" t="s">
        <v>291</v>
      </c>
      <c r="K728" s="31" t="n">
        <v>1</v>
      </c>
      <c r="L728" s="31" t="n">
        <v>8</v>
      </c>
      <c r="M728" s="10" t="n">
        <v>8.5</v>
      </c>
      <c r="N728" s="10" t="n">
        <v>68</v>
      </c>
      <c r="O728" s="9"/>
      <c r="P728" s="11" t="n">
        <f aca="false">IF(J728="%mo","",IF(G728="MO",IF(J728="hh",INDEX(MO_HH,MATCH(I728,MO_CAT,0)),M728*P_FACT_IPC),IF(G728="SUBPART",IFERROR(INDEX(APU_SUBP!$C$7:$C$40,MATCH(H728,APU_SUBP!$A$7:$A$40,0)),M728*P_FACT_IPC),M728*P_FACT_IPC)))</f>
        <v>10.9335146487344</v>
      </c>
      <c r="Q728" s="11" t="n">
        <f aca="false">IF(J728="%mo",L728/100*SUMIFS($R$7:$R$782,$A$7:$A$782,A728),L728*P728)</f>
        <v>87.4681171898749</v>
      </c>
      <c r="R728" s="11" t="n">
        <f aca="false">IF(G728="MO",L728*P728,0)</f>
        <v>0</v>
      </c>
    </row>
    <row r="729" customFormat="false" ht="15" hidden="false" customHeight="false" outlineLevel="0" collapsed="false">
      <c r="A729" s="7" t="s">
        <v>791</v>
      </c>
      <c r="B729" s="7" t="s">
        <v>769</v>
      </c>
      <c r="C729" s="7" t="s">
        <v>792</v>
      </c>
      <c r="D729" s="7" t="s">
        <v>575</v>
      </c>
      <c r="E729" s="7" t="s">
        <v>273</v>
      </c>
      <c r="F729" s="11" t="n">
        <v>238.24</v>
      </c>
      <c r="G729" s="7" t="s">
        <v>370</v>
      </c>
      <c r="H729" s="7" t="s">
        <v>415</v>
      </c>
      <c r="I729" s="7" t="s">
        <v>416</v>
      </c>
      <c r="J729" s="7" t="s">
        <v>273</v>
      </c>
      <c r="K729" s="22"/>
      <c r="L729" s="22" t="n">
        <v>1</v>
      </c>
      <c r="M729" s="11" t="n">
        <v>21.15</v>
      </c>
      <c r="N729" s="11" t="n">
        <v>21.15</v>
      </c>
      <c r="O729" s="7"/>
      <c r="P729" s="11" t="n">
        <f aca="false">IF(J729="%mo","",IF(G729="MO",IF(J729="hh",INDEX(MO_HH,MATCH(I729,MO_CAT,0)),M729*P_FACT_IPC),IF(G729="SUBPART",IFERROR(INDEX(APU_SUBP!$C$7:$C$40,MATCH(H729,APU_SUBP!$A$7:$A$40,0)),M729*P_FACT_IPC),M729*P_FACT_IPC)))</f>
        <v>22.7438822970285</v>
      </c>
      <c r="Q729" s="11" t="n">
        <f aca="false">IF(J729="%mo",L729/100*SUMIFS($R$7:$R$782,$A$7:$A$782,A729),L729*P729)</f>
        <v>22.7438822970285</v>
      </c>
      <c r="R729" s="11" t="n">
        <f aca="false">IF(G729="MO",L729*P729,0)</f>
        <v>0</v>
      </c>
    </row>
    <row r="730" customFormat="false" ht="15" hidden="false" customHeight="false" outlineLevel="0" collapsed="false">
      <c r="A730" s="9" t="s">
        <v>795</v>
      </c>
      <c r="B730" s="9" t="s">
        <v>769</v>
      </c>
      <c r="C730" s="9" t="s">
        <v>796</v>
      </c>
      <c r="D730" s="9" t="s">
        <v>515</v>
      </c>
      <c r="E730" s="9" t="s">
        <v>16</v>
      </c>
      <c r="F730" s="10" t="n">
        <v>587.74</v>
      </c>
      <c r="G730" s="9" t="s">
        <v>281</v>
      </c>
      <c r="H730" s="9" t="s">
        <v>282</v>
      </c>
      <c r="I730" s="9" t="s">
        <v>107</v>
      </c>
      <c r="J730" s="9" t="s">
        <v>283</v>
      </c>
      <c r="K730" s="31" t="n">
        <v>1</v>
      </c>
      <c r="L730" s="31" t="n">
        <v>8</v>
      </c>
      <c r="M730" s="10" t="n">
        <v>25.81</v>
      </c>
      <c r="N730" s="10" t="n">
        <v>206.48</v>
      </c>
      <c r="O730" s="9" t="s">
        <v>284</v>
      </c>
      <c r="P730" s="11" t="n">
        <f aca="false">IF(J730="%mo","",IF(G730="MO",IF(J730="hh",INDEX(MO_HH,MATCH(I730,MO_CAT,0)),M730*P_FACT_IPC),IF(G730="SUBPART",IFERROR(INDEX(APU_SUBP!$C$7:$C$40,MATCH(H730,APU_SUBP!$A$7:$A$40,0)),M730*P_FACT_IPC),M730*P_FACT_IPC)))</f>
        <v>19.226758045292</v>
      </c>
      <c r="Q730" s="11" t="n">
        <f aca="false">IF(J730="%mo",L730/100*SUMIFS($R$7:$R$782,$A$7:$A$782,A730),L730*P730)</f>
        <v>153.814064362336</v>
      </c>
      <c r="R730" s="11" t="n">
        <f aca="false">IF(G730="MO",L730*P730,0)</f>
        <v>153.814064362336</v>
      </c>
    </row>
    <row r="731" customFormat="false" ht="15" hidden="false" customHeight="false" outlineLevel="0" collapsed="false">
      <c r="A731" s="7" t="s">
        <v>795</v>
      </c>
      <c r="B731" s="7" t="s">
        <v>769</v>
      </c>
      <c r="C731" s="7" t="s">
        <v>796</v>
      </c>
      <c r="D731" s="7" t="s">
        <v>515</v>
      </c>
      <c r="E731" s="7" t="s">
        <v>16</v>
      </c>
      <c r="F731" s="11" t="n">
        <v>587.74</v>
      </c>
      <c r="G731" s="7" t="s">
        <v>281</v>
      </c>
      <c r="H731" s="7" t="s">
        <v>286</v>
      </c>
      <c r="I731" s="7" t="s">
        <v>122</v>
      </c>
      <c r="J731" s="7" t="s">
        <v>283</v>
      </c>
      <c r="K731" s="22" t="n">
        <v>2</v>
      </c>
      <c r="L731" s="22" t="n">
        <v>16</v>
      </c>
      <c r="M731" s="11" t="n">
        <v>16.78</v>
      </c>
      <c r="N731" s="11" t="n">
        <v>268.48</v>
      </c>
      <c r="O731" s="7" t="s">
        <v>287</v>
      </c>
      <c r="P731" s="11" t="n">
        <f aca="false">IF(J731="%mo","",IF(G731="MO",IF(J731="hh",INDEX(MO_HH,MATCH(I731,MO_CAT,0)),M731*P_FACT_IPC),IF(G731="SUBPART",IFERROR(INDEX(APU_SUBP!$C$7:$C$40,MATCH(H731,APU_SUBP!$A$7:$A$40,0)),M731*P_FACT_IPC),M731*P_FACT_IPC)))</f>
        <v>12.5</v>
      </c>
      <c r="Q731" s="11" t="n">
        <f aca="false">IF(J731="%mo",L731/100*SUMIFS($R$7:$R$782,$A$7:$A$782,A731),L731*P731)</f>
        <v>200</v>
      </c>
      <c r="R731" s="11" t="n">
        <f aca="false">IF(G731="MO",L731*P731,0)</f>
        <v>200</v>
      </c>
    </row>
    <row r="732" customFormat="false" ht="15" hidden="false" customHeight="false" outlineLevel="0" collapsed="false">
      <c r="A732" s="9" t="s">
        <v>795</v>
      </c>
      <c r="B732" s="9" t="s">
        <v>769</v>
      </c>
      <c r="C732" s="9" t="s">
        <v>796</v>
      </c>
      <c r="D732" s="9" t="s">
        <v>515</v>
      </c>
      <c r="E732" s="9" t="s">
        <v>16</v>
      </c>
      <c r="F732" s="10" t="n">
        <v>587.74</v>
      </c>
      <c r="G732" s="9" t="s">
        <v>307</v>
      </c>
      <c r="H732" s="9" t="s">
        <v>359</v>
      </c>
      <c r="I732" s="9" t="s">
        <v>360</v>
      </c>
      <c r="J732" s="9" t="s">
        <v>361</v>
      </c>
      <c r="K732" s="31"/>
      <c r="L732" s="31" t="n">
        <v>0.01</v>
      </c>
      <c r="M732" s="10" t="n">
        <v>4.43</v>
      </c>
      <c r="N732" s="10" t="n">
        <v>0.04</v>
      </c>
      <c r="O732" s="9"/>
      <c r="P732" s="11" t="n">
        <f aca="false">IF(J732="%mo","",IF(G732="MO",IF(J732="hh",INDEX(MO_HH,MATCH(I732,MO_CAT,0)),M732*P_FACT_IPC),IF(G732="SUBPART",IFERROR(INDEX(APU_SUBP!$C$7:$C$40,MATCH(H732,APU_SUBP!$A$7:$A$40,0)),M732*P_FACT_IPC),M732*P_FACT_IPC)))</f>
        <v>5.69829057575214</v>
      </c>
      <c r="Q732" s="11" t="n">
        <f aca="false">IF(J732="%mo",L732/100*SUMIFS($R$7:$R$782,$A$7:$A$782,A732),L732*P732)</f>
        <v>0.0569829057575214</v>
      </c>
      <c r="R732" s="11" t="n">
        <f aca="false">IF(G732="MO",L732*P732,0)</f>
        <v>0</v>
      </c>
    </row>
    <row r="733" customFormat="false" ht="15" hidden="false" customHeight="false" outlineLevel="0" collapsed="false">
      <c r="A733" s="7" t="s">
        <v>795</v>
      </c>
      <c r="B733" s="7" t="s">
        <v>769</v>
      </c>
      <c r="C733" s="7" t="s">
        <v>796</v>
      </c>
      <c r="D733" s="7" t="s">
        <v>515</v>
      </c>
      <c r="E733" s="7" t="s">
        <v>16</v>
      </c>
      <c r="F733" s="11" t="n">
        <v>587.74</v>
      </c>
      <c r="G733" s="7" t="s">
        <v>307</v>
      </c>
      <c r="H733" s="7" t="s">
        <v>797</v>
      </c>
      <c r="I733" s="7" t="s">
        <v>798</v>
      </c>
      <c r="J733" s="7" t="s">
        <v>799</v>
      </c>
      <c r="K733" s="22"/>
      <c r="L733" s="22" t="n">
        <v>2</v>
      </c>
      <c r="M733" s="11" t="n">
        <v>13.4</v>
      </c>
      <c r="N733" s="11" t="n">
        <v>26.8</v>
      </c>
      <c r="O733" s="7"/>
      <c r="P733" s="11" t="n">
        <f aca="false">IF(J733="%mo","",IF(G733="MO",IF(J733="hh",INDEX(MO_HH,MATCH(I733,MO_CAT,0)),M733*P_FACT_IPC),IF(G733="SUBPART",IFERROR(INDEX(APU_SUBP!$C$7:$C$40,MATCH(H733,APU_SUBP!$A$7:$A$40,0)),M733*P_FACT_IPC),M733*P_FACT_IPC)))</f>
        <v>17.2363642697695</v>
      </c>
      <c r="Q733" s="11" t="n">
        <f aca="false">IF(J733="%mo",L733/100*SUMIFS($R$7:$R$782,$A$7:$A$782,A733),L733*P733)</f>
        <v>34.4727285395389</v>
      </c>
      <c r="R733" s="11" t="n">
        <f aca="false">IF(G733="MO",L733*P733,0)</f>
        <v>0</v>
      </c>
    </row>
    <row r="734" customFormat="false" ht="15" hidden="false" customHeight="false" outlineLevel="0" collapsed="false">
      <c r="A734" s="9" t="s">
        <v>795</v>
      </c>
      <c r="B734" s="9" t="s">
        <v>769</v>
      </c>
      <c r="C734" s="9" t="s">
        <v>796</v>
      </c>
      <c r="D734" s="9" t="s">
        <v>515</v>
      </c>
      <c r="E734" s="9" t="s">
        <v>16</v>
      </c>
      <c r="F734" s="10" t="n">
        <v>587.74</v>
      </c>
      <c r="G734" s="9" t="s">
        <v>307</v>
      </c>
      <c r="H734" s="9" t="s">
        <v>364</v>
      </c>
      <c r="I734" s="9" t="s">
        <v>365</v>
      </c>
      <c r="J734" s="9" t="s">
        <v>316</v>
      </c>
      <c r="K734" s="31"/>
      <c r="L734" s="31" t="n">
        <v>10.5</v>
      </c>
      <c r="M734" s="10" t="n">
        <v>4.13</v>
      </c>
      <c r="N734" s="10" t="n">
        <v>43.37</v>
      </c>
      <c r="O734" s="9"/>
      <c r="P734" s="11" t="n">
        <f aca="false">IF(J734="%mo","",IF(G734="MO",IF(J734="hh",INDEX(MO_HH,MATCH(I734,MO_CAT,0)),M734*P_FACT_IPC),IF(G734="SUBPART",IFERROR(INDEX(APU_SUBP!$C$7:$C$40,MATCH(H734,APU_SUBP!$A$7:$A$40,0)),M734*P_FACT_IPC),M734*P_FACT_IPC)))</f>
        <v>5.31240182344387</v>
      </c>
      <c r="Q734" s="11" t="n">
        <f aca="false">IF(J734="%mo",L734/100*SUMIFS($R$7:$R$782,$A$7:$A$782,A734),L734*P734)</f>
        <v>55.7802191461607</v>
      </c>
      <c r="R734" s="11" t="n">
        <f aca="false">IF(G734="MO",L734*P734,0)</f>
        <v>0</v>
      </c>
    </row>
    <row r="735" customFormat="false" ht="15" hidden="false" customHeight="false" outlineLevel="0" collapsed="false">
      <c r="A735" s="7" t="s">
        <v>795</v>
      </c>
      <c r="B735" s="7" t="s">
        <v>769</v>
      </c>
      <c r="C735" s="7" t="s">
        <v>796</v>
      </c>
      <c r="D735" s="7" t="s">
        <v>515</v>
      </c>
      <c r="E735" s="7" t="s">
        <v>16</v>
      </c>
      <c r="F735" s="11" t="n">
        <v>587.74</v>
      </c>
      <c r="G735" s="7" t="s">
        <v>288</v>
      </c>
      <c r="H735" s="7" t="s">
        <v>327</v>
      </c>
      <c r="I735" s="7" t="s">
        <v>328</v>
      </c>
      <c r="J735" s="7" t="s">
        <v>329</v>
      </c>
      <c r="K735" s="22"/>
      <c r="L735" s="22" t="n">
        <v>3</v>
      </c>
      <c r="M735" s="11" t="n">
        <v>474.96</v>
      </c>
      <c r="N735" s="11" t="n">
        <v>14.25</v>
      </c>
      <c r="O735" s="7"/>
      <c r="P735" s="11" t="str">
        <f aca="false">IF(J735="%mo","",IF(G735="MO",IF(J735="hh",INDEX(MO_HH,MATCH(I735,MO_CAT,0)),M735*P_FACT_IPC),IF(G735="SUBPART",IFERROR(INDEX(APU_SUBP!$C$7:$C$40,MATCH(H735,APU_SUBP!$A$7:$A$40,0)),M735*P_FACT_IPC),M735*P_FACT_IPC)))</f>
        <v/>
      </c>
      <c r="Q735" s="11" t="n">
        <f aca="false">IF(J735="%mo",L735/100*SUMIFS($R$7:$R$782,$A$7:$A$782,A735),L735*P735)</f>
        <v>10.6144219308701</v>
      </c>
      <c r="R735" s="11" t="n">
        <f aca="false">IF(G735="MO",L735*P735,0)</f>
        <v>0</v>
      </c>
    </row>
    <row r="736" customFormat="false" ht="15" hidden="false" customHeight="false" outlineLevel="0" collapsed="false">
      <c r="A736" s="9" t="s">
        <v>795</v>
      </c>
      <c r="B736" s="9" t="s">
        <v>769</v>
      </c>
      <c r="C736" s="9" t="s">
        <v>796</v>
      </c>
      <c r="D736" s="9" t="s">
        <v>515</v>
      </c>
      <c r="E736" s="9" t="s">
        <v>16</v>
      </c>
      <c r="F736" s="10" t="n">
        <v>587.74</v>
      </c>
      <c r="G736" s="9" t="s">
        <v>370</v>
      </c>
      <c r="H736" s="9" t="s">
        <v>512</v>
      </c>
      <c r="I736" s="9" t="s">
        <v>513</v>
      </c>
      <c r="J736" s="9" t="s">
        <v>21</v>
      </c>
      <c r="K736" s="31"/>
      <c r="L736" s="31" t="n">
        <v>16</v>
      </c>
      <c r="M736" s="10" t="n">
        <v>1.77</v>
      </c>
      <c r="N736" s="10" t="n">
        <v>28.32</v>
      </c>
      <c r="O736" s="9"/>
      <c r="P736" s="11" t="n">
        <f aca="false">IF(J736="%mo","",IF(G736="MO",IF(J736="hh",INDEX(MO_HH,MATCH(I736,MO_CAT,0)),M736*P_FACT_IPC),IF(G736="SUBPART",IFERROR(INDEX(APU_SUBP!$C$7:$C$40,MATCH(H736,APU_SUBP!$A$7:$A$40,0)),M736*P_FACT_IPC),M736*P_FACT_IPC)))</f>
        <v>1.50082873810211</v>
      </c>
      <c r="Q736" s="11" t="n">
        <f aca="false">IF(J736="%mo",L736/100*SUMIFS($R$7:$R$782,$A$7:$A$782,A736),L736*P736)</f>
        <v>24.0132598096338</v>
      </c>
      <c r="R736" s="11" t="n">
        <f aca="false">IF(G736="MO",L736*P736,0)</f>
        <v>0</v>
      </c>
    </row>
    <row r="737" customFormat="false" ht="15" hidden="false" customHeight="false" outlineLevel="0" collapsed="false">
      <c r="A737" s="7" t="s">
        <v>800</v>
      </c>
      <c r="B737" s="7" t="s">
        <v>769</v>
      </c>
      <c r="C737" s="7" t="s">
        <v>759</v>
      </c>
      <c r="D737" s="7" t="s">
        <v>757</v>
      </c>
      <c r="E737" s="7" t="s">
        <v>273</v>
      </c>
      <c r="F737" s="11" t="n">
        <v>58.37</v>
      </c>
      <c r="G737" s="7" t="s">
        <v>281</v>
      </c>
      <c r="H737" s="7" t="s">
        <v>285</v>
      </c>
      <c r="I737" s="7" t="s">
        <v>117</v>
      </c>
      <c r="J737" s="7" t="s">
        <v>283</v>
      </c>
      <c r="K737" s="22" t="n">
        <v>0.1</v>
      </c>
      <c r="L737" s="22" t="n">
        <v>0.16</v>
      </c>
      <c r="M737" s="11" t="n">
        <v>18.56</v>
      </c>
      <c r="N737" s="11" t="n">
        <v>2.97</v>
      </c>
      <c r="O737" s="7" t="s">
        <v>284</v>
      </c>
      <c r="P737" s="11" t="n">
        <f aca="false">IF(J737="%mo","",IF(G737="MO",IF(J737="hh",INDEX(MO_HH,MATCH(I737,MO_CAT,0)),M737*P_FACT_IPC),IF(G737="SUBPART",IFERROR(INDEX(APU_SUBP!$C$7:$C$40,MATCH(H737,APU_SUBP!$A$7:$A$40,0)),M737*P_FACT_IPC),M737*P_FACT_IPC)))</f>
        <v>13.8259833134684</v>
      </c>
      <c r="Q737" s="11" t="n">
        <f aca="false">IF(J737="%mo",L737/100*SUMIFS($R$7:$R$782,$A$7:$A$782,A737),L737*P737)</f>
        <v>2.21215733015495</v>
      </c>
      <c r="R737" s="11" t="n">
        <f aca="false">IF(G737="MO",L737*P737,0)</f>
        <v>2.21215733015495</v>
      </c>
    </row>
    <row r="738" customFormat="false" ht="15" hidden="false" customHeight="false" outlineLevel="0" collapsed="false">
      <c r="A738" s="9" t="s">
        <v>800</v>
      </c>
      <c r="B738" s="9" t="s">
        <v>769</v>
      </c>
      <c r="C738" s="9" t="s">
        <v>759</v>
      </c>
      <c r="D738" s="9" t="s">
        <v>757</v>
      </c>
      <c r="E738" s="9" t="s">
        <v>273</v>
      </c>
      <c r="F738" s="10" t="n">
        <v>58.37</v>
      </c>
      <c r="G738" s="9" t="s">
        <v>281</v>
      </c>
      <c r="H738" s="9" t="s">
        <v>286</v>
      </c>
      <c r="I738" s="9" t="s">
        <v>122</v>
      </c>
      <c r="J738" s="9" t="s">
        <v>283</v>
      </c>
      <c r="K738" s="31" t="n">
        <v>2</v>
      </c>
      <c r="L738" s="31" t="n">
        <v>3.2</v>
      </c>
      <c r="M738" s="10" t="n">
        <v>16.78</v>
      </c>
      <c r="N738" s="10" t="n">
        <v>53.7</v>
      </c>
      <c r="O738" s="9" t="s">
        <v>287</v>
      </c>
      <c r="P738" s="11" t="n">
        <f aca="false">IF(J738="%mo","",IF(G738="MO",IF(J738="hh",INDEX(MO_HH,MATCH(I738,MO_CAT,0)),M738*P_FACT_IPC),IF(G738="SUBPART",IFERROR(INDEX(APU_SUBP!$C$7:$C$40,MATCH(H738,APU_SUBP!$A$7:$A$40,0)),M738*P_FACT_IPC),M738*P_FACT_IPC)))</f>
        <v>12.5</v>
      </c>
      <c r="Q738" s="11" t="n">
        <f aca="false">IF(J738="%mo",L738/100*SUMIFS($R$7:$R$782,$A$7:$A$782,A738),L738*P738)</f>
        <v>40</v>
      </c>
      <c r="R738" s="11" t="n">
        <f aca="false">IF(G738="MO",L738*P738,0)</f>
        <v>40</v>
      </c>
    </row>
    <row r="739" customFormat="false" ht="15" hidden="false" customHeight="false" outlineLevel="0" collapsed="false">
      <c r="A739" s="7" t="s">
        <v>800</v>
      </c>
      <c r="B739" s="7" t="s">
        <v>769</v>
      </c>
      <c r="C739" s="7" t="s">
        <v>759</v>
      </c>
      <c r="D739" s="7" t="s">
        <v>757</v>
      </c>
      <c r="E739" s="7" t="s">
        <v>273</v>
      </c>
      <c r="F739" s="11" t="n">
        <v>58.37</v>
      </c>
      <c r="G739" s="7" t="s">
        <v>288</v>
      </c>
      <c r="H739" s="7" t="s">
        <v>327</v>
      </c>
      <c r="I739" s="7" t="s">
        <v>328</v>
      </c>
      <c r="J739" s="7" t="s">
        <v>329</v>
      </c>
      <c r="K739" s="22"/>
      <c r="L739" s="22" t="n">
        <v>3</v>
      </c>
      <c r="M739" s="11" t="n">
        <v>56.67</v>
      </c>
      <c r="N739" s="11" t="n">
        <v>1.7</v>
      </c>
      <c r="O739" s="7"/>
      <c r="P739" s="11" t="str">
        <f aca="false">IF(J739="%mo","",IF(G739="MO",IF(J739="hh",INDEX(MO_HH,MATCH(I739,MO_CAT,0)),M739*P_FACT_IPC),IF(G739="SUBPART",IFERROR(INDEX(APU_SUBP!$C$7:$C$40,MATCH(H739,APU_SUBP!$A$7:$A$40,0)),M739*P_FACT_IPC),M739*P_FACT_IPC)))</f>
        <v/>
      </c>
      <c r="Q739" s="11" t="n">
        <f aca="false">IF(J739="%mo",L739/100*SUMIFS($R$7:$R$782,$A$7:$A$782,A739),L739*P739)</f>
        <v>1.26636471990465</v>
      </c>
      <c r="R739" s="11" t="n">
        <f aca="false">IF(G739="MO",L739*P739,0)</f>
        <v>0</v>
      </c>
    </row>
    <row r="740" customFormat="false" ht="15" hidden="false" customHeight="false" outlineLevel="0" collapsed="false">
      <c r="A740" s="9" t="s">
        <v>801</v>
      </c>
      <c r="B740" s="9" t="s">
        <v>769</v>
      </c>
      <c r="C740" s="9" t="s">
        <v>761</v>
      </c>
      <c r="D740" s="9" t="s">
        <v>753</v>
      </c>
      <c r="E740" s="9" t="s">
        <v>273</v>
      </c>
      <c r="F740" s="10" t="n">
        <v>7.18</v>
      </c>
      <c r="G740" s="9" t="s">
        <v>281</v>
      </c>
      <c r="H740" s="9" t="s">
        <v>285</v>
      </c>
      <c r="I740" s="9" t="s">
        <v>117</v>
      </c>
      <c r="J740" s="9" t="s">
        <v>283</v>
      </c>
      <c r="K740" s="31" t="n">
        <v>1</v>
      </c>
      <c r="L740" s="31" t="n">
        <v>0.0526</v>
      </c>
      <c r="M740" s="10" t="n">
        <v>18.56</v>
      </c>
      <c r="N740" s="10" t="n">
        <v>0.98</v>
      </c>
      <c r="O740" s="9" t="s">
        <v>284</v>
      </c>
      <c r="P740" s="11" t="n">
        <f aca="false">IF(J740="%mo","",IF(G740="MO",IF(J740="hh",INDEX(MO_HH,MATCH(I740,MO_CAT,0)),M740*P_FACT_IPC),IF(G740="SUBPART",IFERROR(INDEX(APU_SUBP!$C$7:$C$40,MATCH(H740,APU_SUBP!$A$7:$A$40,0)),M740*P_FACT_IPC),M740*P_FACT_IPC)))</f>
        <v>13.8259833134684</v>
      </c>
      <c r="Q740" s="11" t="n">
        <f aca="false">IF(J740="%mo",L740/100*SUMIFS($R$7:$R$782,$A$7:$A$782,A740),L740*P740)</f>
        <v>0.727246722288439</v>
      </c>
      <c r="R740" s="11" t="n">
        <f aca="false">IF(G740="MO",L740*P740,0)</f>
        <v>0.727246722288439</v>
      </c>
    </row>
    <row r="741" customFormat="false" ht="15" hidden="false" customHeight="false" outlineLevel="0" collapsed="false">
      <c r="A741" s="7" t="s">
        <v>801</v>
      </c>
      <c r="B741" s="7" t="s">
        <v>769</v>
      </c>
      <c r="C741" s="7" t="s">
        <v>761</v>
      </c>
      <c r="D741" s="7" t="s">
        <v>753</v>
      </c>
      <c r="E741" s="7" t="s">
        <v>273</v>
      </c>
      <c r="F741" s="11" t="n">
        <v>7.18</v>
      </c>
      <c r="G741" s="7" t="s">
        <v>281</v>
      </c>
      <c r="H741" s="7" t="s">
        <v>286</v>
      </c>
      <c r="I741" s="7" t="s">
        <v>122</v>
      </c>
      <c r="J741" s="7" t="s">
        <v>283</v>
      </c>
      <c r="K741" s="22" t="n">
        <v>3</v>
      </c>
      <c r="L741" s="22" t="n">
        <v>0.1579</v>
      </c>
      <c r="M741" s="11" t="n">
        <v>16.78</v>
      </c>
      <c r="N741" s="11" t="n">
        <v>2.65</v>
      </c>
      <c r="O741" s="7" t="s">
        <v>287</v>
      </c>
      <c r="P741" s="11" t="n">
        <f aca="false">IF(J741="%mo","",IF(G741="MO",IF(J741="hh",INDEX(MO_HH,MATCH(I741,MO_CAT,0)),M741*P_FACT_IPC),IF(G741="SUBPART",IFERROR(INDEX(APU_SUBP!$C$7:$C$40,MATCH(H741,APU_SUBP!$A$7:$A$40,0)),M741*P_FACT_IPC),M741*P_FACT_IPC)))</f>
        <v>12.5</v>
      </c>
      <c r="Q741" s="11" t="n">
        <f aca="false">IF(J741="%mo",L741/100*SUMIFS($R$7:$R$782,$A$7:$A$782,A741),L741*P741)</f>
        <v>1.97375</v>
      </c>
      <c r="R741" s="11" t="n">
        <f aca="false">IF(G741="MO",L741*P741,0)</f>
        <v>1.97375</v>
      </c>
    </row>
    <row r="742" customFormat="false" ht="15" hidden="false" customHeight="false" outlineLevel="0" collapsed="false">
      <c r="A742" s="9" t="s">
        <v>801</v>
      </c>
      <c r="B742" s="9" t="s">
        <v>769</v>
      </c>
      <c r="C742" s="9" t="s">
        <v>761</v>
      </c>
      <c r="D742" s="9" t="s">
        <v>753</v>
      </c>
      <c r="E742" s="9" t="s">
        <v>273</v>
      </c>
      <c r="F742" s="10" t="n">
        <v>7.18</v>
      </c>
      <c r="G742" s="9" t="s">
        <v>288</v>
      </c>
      <c r="H742" s="9" t="s">
        <v>327</v>
      </c>
      <c r="I742" s="9" t="s">
        <v>328</v>
      </c>
      <c r="J742" s="9" t="s">
        <v>329</v>
      </c>
      <c r="K742" s="31"/>
      <c r="L742" s="31" t="n">
        <v>3</v>
      </c>
      <c r="M742" s="10" t="n">
        <v>3.63</v>
      </c>
      <c r="N742" s="10" t="n">
        <v>0.11</v>
      </c>
      <c r="O742" s="9"/>
      <c r="P742" s="11" t="str">
        <f aca="false">IF(J742="%mo","",IF(G742="MO",IF(J742="hh",INDEX(MO_HH,MATCH(I742,MO_CAT,0)),M742*P_FACT_IPC),IF(G742="SUBPART",IFERROR(INDEX(APU_SUBP!$C$7:$C$40,MATCH(H742,APU_SUBP!$A$7:$A$40,0)),M742*P_FACT_IPC),M742*P_FACT_IPC)))</f>
        <v/>
      </c>
      <c r="Q742" s="11" t="n">
        <f aca="false">IF(J742="%mo",L742/100*SUMIFS($R$7:$R$782,$A$7:$A$782,A742),L742*P742)</f>
        <v>0.0810299016686532</v>
      </c>
      <c r="R742" s="11" t="n">
        <f aca="false">IF(G742="MO",L742*P742,0)</f>
        <v>0</v>
      </c>
    </row>
    <row r="743" customFormat="false" ht="15" hidden="false" customHeight="false" outlineLevel="0" collapsed="false">
      <c r="A743" s="7" t="s">
        <v>801</v>
      </c>
      <c r="B743" s="7" t="s">
        <v>769</v>
      </c>
      <c r="C743" s="7" t="s">
        <v>761</v>
      </c>
      <c r="D743" s="7" t="s">
        <v>753</v>
      </c>
      <c r="E743" s="7" t="s">
        <v>273</v>
      </c>
      <c r="F743" s="11" t="n">
        <v>7.18</v>
      </c>
      <c r="G743" s="7" t="s">
        <v>288</v>
      </c>
      <c r="H743" s="7" t="s">
        <v>404</v>
      </c>
      <c r="I743" s="7" t="s">
        <v>405</v>
      </c>
      <c r="J743" s="7" t="s">
        <v>291</v>
      </c>
      <c r="K743" s="22" t="n">
        <v>1</v>
      </c>
      <c r="L743" s="22" t="n">
        <v>0.0526</v>
      </c>
      <c r="M743" s="11" t="n">
        <v>65.48</v>
      </c>
      <c r="N743" s="11" t="n">
        <v>3.44</v>
      </c>
      <c r="O743" s="7"/>
      <c r="P743" s="11" t="n">
        <f aca="false">IF(J743="%mo","",IF(G743="MO",IF(J743="hh",INDEX(MO_HH,MATCH(I743,MO_CAT,0)),M743*P_FACT_IPC),IF(G743="SUBPART",IFERROR(INDEX(APU_SUBP!$C$7:$C$40,MATCH(H743,APU_SUBP!$A$7:$A$40,0)),M743*P_FACT_IPC),M743*P_FACT_IPC)))</f>
        <v>84.2266516704854</v>
      </c>
      <c r="Q743" s="11" t="n">
        <f aca="false">IF(J743="%mo",L743/100*SUMIFS($R$7:$R$782,$A$7:$A$782,A743),L743*P743)</f>
        <v>4.43032187786753</v>
      </c>
      <c r="R743" s="11" t="n">
        <f aca="false">IF(G743="MO",L743*P743,0)</f>
        <v>0</v>
      </c>
    </row>
    <row r="744" customFormat="false" ht="15" hidden="false" customHeight="false" outlineLevel="0" collapsed="false">
      <c r="A744" s="9" t="s">
        <v>802</v>
      </c>
      <c r="B744" s="9" t="s">
        <v>769</v>
      </c>
      <c r="C744" s="9" t="s">
        <v>803</v>
      </c>
      <c r="D744" s="9" t="s">
        <v>653</v>
      </c>
      <c r="E744" s="9" t="s">
        <v>273</v>
      </c>
      <c r="F744" s="10" t="n">
        <v>68.47</v>
      </c>
      <c r="G744" s="9" t="s">
        <v>370</v>
      </c>
      <c r="H744" s="9" t="s">
        <v>752</v>
      </c>
      <c r="I744" s="9" t="s">
        <v>753</v>
      </c>
      <c r="J744" s="9" t="s">
        <v>273</v>
      </c>
      <c r="K744" s="31"/>
      <c r="L744" s="31" t="n">
        <v>1</v>
      </c>
      <c r="M744" s="10" t="n">
        <v>7.18</v>
      </c>
      <c r="N744" s="10" t="n">
        <v>7.18</v>
      </c>
      <c r="O744" s="9"/>
      <c r="P744" s="11" t="n">
        <f aca="false">IF(J744="%mo","",IF(G744="MO",IF(J744="hh",INDEX(MO_HH,MATCH(I744,MO_CAT,0)),M744*P_FACT_IPC),IF(G744="SUBPART",IFERROR(INDEX(APU_SUBP!$C$7:$C$40,MATCH(H744,APU_SUBP!$A$7:$A$40,0)),M744*P_FACT_IPC),M744*P_FACT_IPC)))</f>
        <v>7.21234850182462</v>
      </c>
      <c r="Q744" s="11" t="n">
        <f aca="false">IF(J744="%mo",L744/100*SUMIFS($R$7:$R$782,$A$7:$A$782,A744),L744*P744)</f>
        <v>7.21234850182462</v>
      </c>
      <c r="R744" s="11" t="n">
        <f aca="false">IF(G744="MO",L744*P744,0)</f>
        <v>0</v>
      </c>
    </row>
    <row r="745" customFormat="false" ht="15" hidden="false" customHeight="false" outlineLevel="0" collapsed="false">
      <c r="A745" s="7" t="s">
        <v>802</v>
      </c>
      <c r="B745" s="7" t="s">
        <v>769</v>
      </c>
      <c r="C745" s="7" t="s">
        <v>803</v>
      </c>
      <c r="D745" s="7" t="s">
        <v>653</v>
      </c>
      <c r="E745" s="7" t="s">
        <v>273</v>
      </c>
      <c r="F745" s="11" t="n">
        <v>68.47</v>
      </c>
      <c r="G745" s="7" t="s">
        <v>370</v>
      </c>
      <c r="H745" s="7" t="s">
        <v>756</v>
      </c>
      <c r="I745" s="7" t="s">
        <v>757</v>
      </c>
      <c r="J745" s="7" t="s">
        <v>273</v>
      </c>
      <c r="K745" s="22"/>
      <c r="L745" s="22" t="n">
        <v>1.05</v>
      </c>
      <c r="M745" s="11" t="n">
        <v>58.37</v>
      </c>
      <c r="N745" s="11" t="n">
        <v>61.29</v>
      </c>
      <c r="O745" s="7"/>
      <c r="P745" s="11" t="n">
        <f aca="false">IF(J745="%mo","",IF(G745="MO",IF(J745="hh",INDEX(MO_HH,MATCH(I745,MO_CAT,0)),M745*P_FACT_IPC),IF(G745="SUBPART",IFERROR(INDEX(APU_SUBP!$C$7:$C$40,MATCH(H745,APU_SUBP!$A$7:$A$40,0)),M745*P_FACT_IPC),M745*P_FACT_IPC)))</f>
        <v>43.4785220500596</v>
      </c>
      <c r="Q745" s="11" t="n">
        <f aca="false">IF(J745="%mo",L745/100*SUMIFS($R$7:$R$782,$A$7:$A$782,A745),L745*P745)</f>
        <v>45.6524481525626</v>
      </c>
      <c r="R745" s="11" t="n">
        <f aca="false">IF(G745="MO",L745*P745,0)</f>
        <v>0</v>
      </c>
    </row>
    <row r="746" customFormat="false" ht="15" hidden="false" customHeight="false" outlineLevel="0" collapsed="false">
      <c r="A746" s="9" t="s">
        <v>804</v>
      </c>
      <c r="B746" s="9" t="s">
        <v>805</v>
      </c>
      <c r="C746" s="9" t="s">
        <v>719</v>
      </c>
      <c r="D746" s="9" t="s">
        <v>400</v>
      </c>
      <c r="E746" s="9" t="s">
        <v>273</v>
      </c>
      <c r="F746" s="10" t="n">
        <v>24.35</v>
      </c>
      <c r="G746" s="9" t="s">
        <v>370</v>
      </c>
      <c r="H746" s="9" t="s">
        <v>720</v>
      </c>
      <c r="I746" s="9" t="s">
        <v>721</v>
      </c>
      <c r="J746" s="9" t="s">
        <v>273</v>
      </c>
      <c r="K746" s="31"/>
      <c r="L746" s="31" t="n">
        <v>1</v>
      </c>
      <c r="M746" s="10" t="n">
        <v>2.08</v>
      </c>
      <c r="N746" s="10" t="n">
        <v>2.08</v>
      </c>
      <c r="O746" s="9"/>
      <c r="P746" s="11" t="n">
        <f aca="false">IF(J746="%mo","",IF(G746="MO",IF(J746="hh",INDEX(MO_HH,MATCH(I746,MO_CAT,0)),M746*P_FACT_IPC),IF(G746="SUBPART",IFERROR(INDEX(APU_SUBP!$C$7:$C$40,MATCH(H746,APU_SUBP!$A$7:$A$40,0)),M746*P_FACT_IPC),M746*P_FACT_IPC)))</f>
        <v>2.61556914721159</v>
      </c>
      <c r="Q746" s="11" t="n">
        <f aca="false">IF(J746="%mo",L746/100*SUMIFS($R$7:$R$782,$A$7:$A$782,A746),L746*P746)</f>
        <v>2.61556914721159</v>
      </c>
      <c r="R746" s="11" t="n">
        <f aca="false">IF(G746="MO",L746*P746,0)</f>
        <v>0</v>
      </c>
    </row>
    <row r="747" customFormat="false" ht="15" hidden="false" customHeight="false" outlineLevel="0" collapsed="false">
      <c r="A747" s="7" t="s">
        <v>804</v>
      </c>
      <c r="B747" s="7" t="s">
        <v>805</v>
      </c>
      <c r="C747" s="7" t="s">
        <v>719</v>
      </c>
      <c r="D747" s="7" t="s">
        <v>400</v>
      </c>
      <c r="E747" s="7" t="s">
        <v>273</v>
      </c>
      <c r="F747" s="11" t="n">
        <v>24.35</v>
      </c>
      <c r="G747" s="7" t="s">
        <v>370</v>
      </c>
      <c r="H747" s="7" t="s">
        <v>722</v>
      </c>
      <c r="I747" s="7" t="s">
        <v>723</v>
      </c>
      <c r="J747" s="7" t="s">
        <v>273</v>
      </c>
      <c r="K747" s="22"/>
      <c r="L747" s="22" t="n">
        <v>1</v>
      </c>
      <c r="M747" s="11" t="n">
        <v>22.27</v>
      </c>
      <c r="N747" s="11" t="n">
        <v>22.27</v>
      </c>
      <c r="O747" s="7"/>
      <c r="P747" s="11" t="n">
        <f aca="false">IF(J747="%mo","",IF(G747="MO",IF(J747="hh",INDEX(MO_HH,MATCH(I747,MO_CAT,0)),M747*P_FACT_IPC),IF(G747="SUBPART",IFERROR(INDEX(APU_SUBP!$C$7:$C$40,MATCH(H747,APU_SUBP!$A$7:$A$40,0)),M747*P_FACT_IPC),M747*P_FACT_IPC)))</f>
        <v>27.945923906295</v>
      </c>
      <c r="Q747" s="11" t="n">
        <f aca="false">IF(J747="%mo",L747/100*SUMIFS($R$7:$R$782,$A$7:$A$782,A747),L747*P747)</f>
        <v>27.945923906295</v>
      </c>
      <c r="R747" s="11" t="n">
        <f aca="false">IF(G747="MO",L747*P747,0)</f>
        <v>0</v>
      </c>
    </row>
    <row r="748" customFormat="false" ht="15" hidden="false" customHeight="false" outlineLevel="0" collapsed="false">
      <c r="A748" s="9" t="s">
        <v>806</v>
      </c>
      <c r="B748" s="9" t="s">
        <v>805</v>
      </c>
      <c r="C748" s="9" t="s">
        <v>725</v>
      </c>
      <c r="D748" s="9" t="s">
        <v>416</v>
      </c>
      <c r="E748" s="9" t="s">
        <v>273</v>
      </c>
      <c r="F748" s="10" t="n">
        <v>21.15</v>
      </c>
      <c r="G748" s="9" t="s">
        <v>281</v>
      </c>
      <c r="H748" s="9" t="s">
        <v>285</v>
      </c>
      <c r="I748" s="9" t="s">
        <v>117</v>
      </c>
      <c r="J748" s="9" t="s">
        <v>283</v>
      </c>
      <c r="K748" s="31" t="n">
        <v>1</v>
      </c>
      <c r="L748" s="31" t="n">
        <v>0.0782</v>
      </c>
      <c r="M748" s="10" t="n">
        <v>18.56</v>
      </c>
      <c r="N748" s="10" t="n">
        <v>1.45</v>
      </c>
      <c r="O748" s="9" t="s">
        <v>284</v>
      </c>
      <c r="P748" s="11" t="n">
        <f aca="false">IF(J748="%mo","",IF(G748="MO",IF(J748="hh",INDEX(MO_HH,MATCH(I748,MO_CAT,0)),M748*P_FACT_IPC),IF(G748="SUBPART",IFERROR(INDEX(APU_SUBP!$C$7:$C$40,MATCH(H748,APU_SUBP!$A$7:$A$40,0)),M748*P_FACT_IPC),M748*P_FACT_IPC)))</f>
        <v>13.8259833134684</v>
      </c>
      <c r="Q748" s="11" t="n">
        <f aca="false">IF(J748="%mo",L748/100*SUMIFS($R$7:$R$782,$A$7:$A$782,A748),L748*P748)</f>
        <v>1.08119189511323</v>
      </c>
      <c r="R748" s="11" t="n">
        <f aca="false">IF(G748="MO",L748*P748,0)</f>
        <v>1.08119189511323</v>
      </c>
    </row>
    <row r="749" customFormat="false" ht="15" hidden="false" customHeight="false" outlineLevel="0" collapsed="false">
      <c r="A749" s="7" t="s">
        <v>806</v>
      </c>
      <c r="B749" s="7" t="s">
        <v>805</v>
      </c>
      <c r="C749" s="7" t="s">
        <v>725</v>
      </c>
      <c r="D749" s="7" t="s">
        <v>416</v>
      </c>
      <c r="E749" s="7" t="s">
        <v>273</v>
      </c>
      <c r="F749" s="11" t="n">
        <v>21.15</v>
      </c>
      <c r="G749" s="7" t="s">
        <v>281</v>
      </c>
      <c r="H749" s="7" t="s">
        <v>286</v>
      </c>
      <c r="I749" s="7" t="s">
        <v>122</v>
      </c>
      <c r="J749" s="7" t="s">
        <v>283</v>
      </c>
      <c r="K749" s="22" t="n">
        <v>5</v>
      </c>
      <c r="L749" s="22" t="n">
        <v>0.3912</v>
      </c>
      <c r="M749" s="11" t="n">
        <v>16.78</v>
      </c>
      <c r="N749" s="11" t="n">
        <v>6.56</v>
      </c>
      <c r="O749" s="7" t="s">
        <v>287</v>
      </c>
      <c r="P749" s="11" t="n">
        <f aca="false">IF(J749="%mo","",IF(G749="MO",IF(J749="hh",INDEX(MO_HH,MATCH(I749,MO_CAT,0)),M749*P_FACT_IPC),IF(G749="SUBPART",IFERROR(INDEX(APU_SUBP!$C$7:$C$40,MATCH(H749,APU_SUBP!$A$7:$A$40,0)),M749*P_FACT_IPC),M749*P_FACT_IPC)))</f>
        <v>12.5</v>
      </c>
      <c r="Q749" s="11" t="n">
        <f aca="false">IF(J749="%mo",L749/100*SUMIFS($R$7:$R$782,$A$7:$A$782,A749),L749*P749)</f>
        <v>4.89</v>
      </c>
      <c r="R749" s="11" t="n">
        <f aca="false">IF(G749="MO",L749*P749,0)</f>
        <v>4.89</v>
      </c>
    </row>
    <row r="750" customFormat="false" ht="15" hidden="false" customHeight="false" outlineLevel="0" collapsed="false">
      <c r="A750" s="9" t="s">
        <v>806</v>
      </c>
      <c r="B750" s="9" t="s">
        <v>805</v>
      </c>
      <c r="C750" s="9" t="s">
        <v>725</v>
      </c>
      <c r="D750" s="9" t="s">
        <v>416</v>
      </c>
      <c r="E750" s="9" t="s">
        <v>273</v>
      </c>
      <c r="F750" s="10" t="n">
        <v>21.15</v>
      </c>
      <c r="G750" s="9" t="s">
        <v>288</v>
      </c>
      <c r="H750" s="9" t="s">
        <v>327</v>
      </c>
      <c r="I750" s="9" t="s">
        <v>328</v>
      </c>
      <c r="J750" s="9" t="s">
        <v>329</v>
      </c>
      <c r="K750" s="31"/>
      <c r="L750" s="31" t="n">
        <v>3</v>
      </c>
      <c r="M750" s="10" t="n">
        <v>8.01</v>
      </c>
      <c r="N750" s="10" t="n">
        <v>0.24</v>
      </c>
      <c r="O750" s="9"/>
      <c r="P750" s="11" t="str">
        <f aca="false">IF(J750="%mo","",IF(G750="MO",IF(J750="hh",INDEX(MO_HH,MATCH(I750,MO_CAT,0)),M750*P_FACT_IPC),IF(G750="SUBPART",IFERROR(INDEX(APU_SUBP!$C$7:$C$40,MATCH(H750,APU_SUBP!$A$7:$A$40,0)),M750*P_FACT_IPC),M750*P_FACT_IPC)))</f>
        <v/>
      </c>
      <c r="Q750" s="11" t="n">
        <f aca="false">IF(J750="%mo",L750/100*SUMIFS($R$7:$R$782,$A$7:$A$782,A750),L750*P750)</f>
        <v>0.179135756853397</v>
      </c>
      <c r="R750" s="11" t="n">
        <f aca="false">IF(G750="MO",L750*P750,0)</f>
        <v>0</v>
      </c>
    </row>
    <row r="751" customFormat="false" ht="15" hidden="false" customHeight="false" outlineLevel="0" collapsed="false">
      <c r="A751" s="7" t="s">
        <v>806</v>
      </c>
      <c r="B751" s="7" t="s">
        <v>805</v>
      </c>
      <c r="C751" s="7" t="s">
        <v>725</v>
      </c>
      <c r="D751" s="7" t="s">
        <v>416</v>
      </c>
      <c r="E751" s="7" t="s">
        <v>273</v>
      </c>
      <c r="F751" s="11" t="n">
        <v>21.15</v>
      </c>
      <c r="G751" s="7" t="s">
        <v>288</v>
      </c>
      <c r="H751" s="7" t="s">
        <v>726</v>
      </c>
      <c r="I751" s="7" t="s">
        <v>727</v>
      </c>
      <c r="J751" s="7" t="s">
        <v>291</v>
      </c>
      <c r="K751" s="22" t="n">
        <v>0.5</v>
      </c>
      <c r="L751" s="22" t="n">
        <v>0.0391</v>
      </c>
      <c r="M751" s="11" t="n">
        <v>48.17</v>
      </c>
      <c r="N751" s="11" t="n">
        <v>1.88</v>
      </c>
      <c r="O751" s="7"/>
      <c r="P751" s="11" t="n">
        <f aca="false">IF(J751="%mo","",IF(G751="MO",IF(J751="hh",INDEX(MO_HH,MATCH(I751,MO_CAT,0)),M751*P_FACT_IPC),IF(G751="SUBPART",IFERROR(INDEX(APU_SUBP!$C$7:$C$40,MATCH(H751,APU_SUBP!$A$7:$A$40,0)),M751*P_FACT_IPC),M751*P_FACT_IPC)))</f>
        <v>61.9608706622981</v>
      </c>
      <c r="Q751" s="11" t="n">
        <f aca="false">IF(J751="%mo",L751/100*SUMIFS($R$7:$R$782,$A$7:$A$782,A751),L751*P751)</f>
        <v>2.42267004289586</v>
      </c>
      <c r="R751" s="11" t="n">
        <f aca="false">IF(G751="MO",L751*P751,0)</f>
        <v>0</v>
      </c>
    </row>
    <row r="752" customFormat="false" ht="15" hidden="false" customHeight="false" outlineLevel="0" collapsed="false">
      <c r="A752" s="9" t="s">
        <v>806</v>
      </c>
      <c r="B752" s="9" t="s">
        <v>805</v>
      </c>
      <c r="C752" s="9" t="s">
        <v>725</v>
      </c>
      <c r="D752" s="9" t="s">
        <v>416</v>
      </c>
      <c r="E752" s="9" t="s">
        <v>273</v>
      </c>
      <c r="F752" s="10" t="n">
        <v>21.15</v>
      </c>
      <c r="G752" s="9" t="s">
        <v>288</v>
      </c>
      <c r="H752" s="9" t="s">
        <v>298</v>
      </c>
      <c r="I752" s="9" t="s">
        <v>299</v>
      </c>
      <c r="J752" s="9" t="s">
        <v>291</v>
      </c>
      <c r="K752" s="31" t="n">
        <v>1</v>
      </c>
      <c r="L752" s="31" t="n">
        <v>0.0782</v>
      </c>
      <c r="M752" s="10" t="n">
        <v>140.88</v>
      </c>
      <c r="N752" s="10" t="n">
        <v>11.02</v>
      </c>
      <c r="O752" s="9"/>
      <c r="P752" s="11" t="n">
        <f aca="false">IF(J752="%mo","",IF(G752="MO",IF(J752="hh",INDEX(MO_HH,MATCH(I752,MO_CAT,0)),M752*P_FACT_IPC),IF(G752="SUBPART",IFERROR(INDEX(APU_SUBP!$C$7:$C$40,MATCH(H752,APU_SUBP!$A$7:$A$40,0)),M752*P_FACT_IPC),M752*P_FACT_IPC)))</f>
        <v>181.213358083964</v>
      </c>
      <c r="Q752" s="11" t="n">
        <f aca="false">IF(J752="%mo",L752/100*SUMIFS($R$7:$R$782,$A$7:$A$782,A752),L752*P752)</f>
        <v>14.170884602166</v>
      </c>
      <c r="R752" s="11" t="n">
        <f aca="false">IF(G752="MO",L752*P752,0)</f>
        <v>0</v>
      </c>
    </row>
    <row r="753" customFormat="false" ht="15" hidden="false" customHeight="false" outlineLevel="0" collapsed="false">
      <c r="A753" s="7" t="s">
        <v>807</v>
      </c>
      <c r="B753" s="7" t="s">
        <v>805</v>
      </c>
      <c r="C753" s="7" t="s">
        <v>729</v>
      </c>
      <c r="D753" s="7" t="s">
        <v>372</v>
      </c>
      <c r="E753" s="7" t="s">
        <v>273</v>
      </c>
      <c r="F753" s="11" t="n">
        <v>56.6</v>
      </c>
      <c r="G753" s="7" t="s">
        <v>370</v>
      </c>
      <c r="H753" s="7" t="s">
        <v>730</v>
      </c>
      <c r="I753" s="7" t="s">
        <v>731</v>
      </c>
      <c r="J753" s="7" t="s">
        <v>273</v>
      </c>
      <c r="K753" s="22"/>
      <c r="L753" s="22" t="n">
        <v>1</v>
      </c>
      <c r="M753" s="11" t="n">
        <v>4.33</v>
      </c>
      <c r="N753" s="11" t="n">
        <v>4.33</v>
      </c>
      <c r="O753" s="7"/>
      <c r="P753" s="11" t="n">
        <f aca="false">IF(J753="%mo","",IF(G753="MO",IF(J753="hh",INDEX(MO_HH,MATCH(I753,MO_CAT,0)),M753*P_FACT_IPC),IF(G753="SUBPART",IFERROR(INDEX(APU_SUBP!$C$7:$C$40,MATCH(H753,APU_SUBP!$A$7:$A$40,0)),M753*P_FACT_IPC),M753*P_FACT_IPC)))</f>
        <v>5.24396374068928</v>
      </c>
      <c r="Q753" s="11" t="n">
        <f aca="false">IF(J753="%mo",L753/100*SUMIFS($R$7:$R$782,$A$7:$A$782,A753),L753*P753)</f>
        <v>5.24396374068928</v>
      </c>
      <c r="R753" s="11" t="n">
        <f aca="false">IF(G753="MO",L753*P753,0)</f>
        <v>0</v>
      </c>
    </row>
    <row r="754" customFormat="false" ht="15" hidden="false" customHeight="false" outlineLevel="0" collapsed="false">
      <c r="A754" s="9" t="s">
        <v>807</v>
      </c>
      <c r="B754" s="9" t="s">
        <v>805</v>
      </c>
      <c r="C754" s="9" t="s">
        <v>729</v>
      </c>
      <c r="D754" s="9" t="s">
        <v>372</v>
      </c>
      <c r="E754" s="9" t="s">
        <v>273</v>
      </c>
      <c r="F754" s="10" t="n">
        <v>56.6</v>
      </c>
      <c r="G754" s="9" t="s">
        <v>370</v>
      </c>
      <c r="H754" s="9" t="s">
        <v>732</v>
      </c>
      <c r="I754" s="9" t="s">
        <v>733</v>
      </c>
      <c r="J754" s="9" t="s">
        <v>273</v>
      </c>
      <c r="K754" s="31"/>
      <c r="L754" s="31" t="n">
        <v>1</v>
      </c>
      <c r="M754" s="10" t="n">
        <v>52.27</v>
      </c>
      <c r="N754" s="10" t="n">
        <v>52.27</v>
      </c>
      <c r="O754" s="9"/>
      <c r="P754" s="11" t="n">
        <f aca="false">IF(J754="%mo","",IF(G754="MO",IF(J754="hh",INDEX(MO_HH,MATCH(I754,MO_CAT,0)),M754*P_FACT_IPC),IF(G754="SUBPART",IFERROR(INDEX(APU_SUBP!$C$7:$C$40,MATCH(H754,APU_SUBP!$A$7:$A$40,0)),M754*P_FACT_IPC),M754*P_FACT_IPC)))</f>
        <v>63.8985475362789</v>
      </c>
      <c r="Q754" s="11" t="n">
        <f aca="false">IF(J754="%mo",L754/100*SUMIFS($R$7:$R$782,$A$7:$A$782,A754),L754*P754)</f>
        <v>63.8985475362789</v>
      </c>
      <c r="R754" s="11" t="n">
        <f aca="false">IF(G754="MO",L754*P754,0)</f>
        <v>0</v>
      </c>
    </row>
    <row r="755" customFormat="false" ht="15" hidden="false" customHeight="false" outlineLevel="0" collapsed="false">
      <c r="A755" s="7" t="s">
        <v>808</v>
      </c>
      <c r="B755" s="7" t="s">
        <v>805</v>
      </c>
      <c r="C755" s="7" t="s">
        <v>735</v>
      </c>
      <c r="D755" s="7" t="s">
        <v>731</v>
      </c>
      <c r="E755" s="7" t="s">
        <v>273</v>
      </c>
      <c r="F755" s="11" t="n">
        <v>4.33</v>
      </c>
      <c r="G755" s="7" t="s">
        <v>281</v>
      </c>
      <c r="H755" s="7" t="s">
        <v>282</v>
      </c>
      <c r="I755" s="7" t="s">
        <v>107</v>
      </c>
      <c r="J755" s="7" t="s">
        <v>283</v>
      </c>
      <c r="K755" s="22" t="n">
        <v>0.1</v>
      </c>
      <c r="L755" s="22" t="n">
        <v>0.001</v>
      </c>
      <c r="M755" s="11" t="n">
        <v>25.81</v>
      </c>
      <c r="N755" s="11" t="n">
        <v>0.03</v>
      </c>
      <c r="O755" s="7" t="s">
        <v>284</v>
      </c>
      <c r="P755" s="11" t="n">
        <f aca="false">IF(J755="%mo","",IF(G755="MO",IF(J755="hh",INDEX(MO_HH,MATCH(I755,MO_CAT,0)),M755*P_FACT_IPC),IF(G755="SUBPART",IFERROR(INDEX(APU_SUBP!$C$7:$C$40,MATCH(H755,APU_SUBP!$A$7:$A$40,0)),M755*P_FACT_IPC),M755*P_FACT_IPC)))</f>
        <v>19.226758045292</v>
      </c>
      <c r="Q755" s="11" t="n">
        <f aca="false">IF(J755="%mo",L755/100*SUMIFS($R$7:$R$782,$A$7:$A$782,A755),L755*P755)</f>
        <v>0.019226758045292</v>
      </c>
      <c r="R755" s="11" t="n">
        <f aca="false">IF(G755="MO",L755*P755,0)</f>
        <v>0.019226758045292</v>
      </c>
    </row>
    <row r="756" customFormat="false" ht="15" hidden="false" customHeight="false" outlineLevel="0" collapsed="false">
      <c r="A756" s="9" t="s">
        <v>808</v>
      </c>
      <c r="B756" s="9" t="s">
        <v>805</v>
      </c>
      <c r="C756" s="9" t="s">
        <v>735</v>
      </c>
      <c r="D756" s="9" t="s">
        <v>731</v>
      </c>
      <c r="E756" s="9" t="s">
        <v>273</v>
      </c>
      <c r="F756" s="10" t="n">
        <v>4.33</v>
      </c>
      <c r="G756" s="9" t="s">
        <v>281</v>
      </c>
      <c r="H756" s="9" t="s">
        <v>285</v>
      </c>
      <c r="I756" s="9" t="s">
        <v>117</v>
      </c>
      <c r="J756" s="9" t="s">
        <v>283</v>
      </c>
      <c r="K756" s="31" t="n">
        <v>1</v>
      </c>
      <c r="L756" s="31" t="n">
        <v>0.01</v>
      </c>
      <c r="M756" s="10" t="n">
        <v>18.56</v>
      </c>
      <c r="N756" s="10" t="n">
        <v>0.19</v>
      </c>
      <c r="O756" s="9" t="s">
        <v>284</v>
      </c>
      <c r="P756" s="11" t="n">
        <f aca="false">IF(J756="%mo","",IF(G756="MO",IF(J756="hh",INDEX(MO_HH,MATCH(I756,MO_CAT,0)),M756*P_FACT_IPC),IF(G756="SUBPART",IFERROR(INDEX(APU_SUBP!$C$7:$C$40,MATCH(H756,APU_SUBP!$A$7:$A$40,0)),M756*P_FACT_IPC),M756*P_FACT_IPC)))</f>
        <v>13.8259833134684</v>
      </c>
      <c r="Q756" s="11" t="n">
        <f aca="false">IF(J756="%mo",L756/100*SUMIFS($R$7:$R$782,$A$7:$A$782,A756),L756*P756)</f>
        <v>0.138259833134684</v>
      </c>
      <c r="R756" s="11" t="n">
        <f aca="false">IF(G756="MO",L756*P756,0)</f>
        <v>0.138259833134684</v>
      </c>
    </row>
    <row r="757" customFormat="false" ht="15" hidden="false" customHeight="false" outlineLevel="0" collapsed="false">
      <c r="A757" s="7" t="s">
        <v>808</v>
      </c>
      <c r="B757" s="7" t="s">
        <v>805</v>
      </c>
      <c r="C757" s="7" t="s">
        <v>735</v>
      </c>
      <c r="D757" s="7" t="s">
        <v>731</v>
      </c>
      <c r="E757" s="7" t="s">
        <v>273</v>
      </c>
      <c r="F757" s="11" t="n">
        <v>4.33</v>
      </c>
      <c r="G757" s="7" t="s">
        <v>281</v>
      </c>
      <c r="H757" s="7" t="s">
        <v>286</v>
      </c>
      <c r="I757" s="7" t="s">
        <v>122</v>
      </c>
      <c r="J757" s="7" t="s">
        <v>283</v>
      </c>
      <c r="K757" s="22" t="n">
        <v>2</v>
      </c>
      <c r="L757" s="22" t="n">
        <v>0.02</v>
      </c>
      <c r="M757" s="11" t="n">
        <v>16.78</v>
      </c>
      <c r="N757" s="11" t="n">
        <v>0.34</v>
      </c>
      <c r="O757" s="7" t="s">
        <v>287</v>
      </c>
      <c r="P757" s="11" t="n">
        <f aca="false">IF(J757="%mo","",IF(G757="MO",IF(J757="hh",INDEX(MO_HH,MATCH(I757,MO_CAT,0)),M757*P_FACT_IPC),IF(G757="SUBPART",IFERROR(INDEX(APU_SUBP!$C$7:$C$40,MATCH(H757,APU_SUBP!$A$7:$A$40,0)),M757*P_FACT_IPC),M757*P_FACT_IPC)))</f>
        <v>12.5</v>
      </c>
      <c r="Q757" s="11" t="n">
        <f aca="false">IF(J757="%mo",L757/100*SUMIFS($R$7:$R$782,$A$7:$A$782,A757),L757*P757)</f>
        <v>0.25</v>
      </c>
      <c r="R757" s="11" t="n">
        <f aca="false">IF(G757="MO",L757*P757,0)</f>
        <v>0.25</v>
      </c>
    </row>
    <row r="758" customFormat="false" ht="15" hidden="false" customHeight="false" outlineLevel="0" collapsed="false">
      <c r="A758" s="9" t="s">
        <v>808</v>
      </c>
      <c r="B758" s="9" t="s">
        <v>805</v>
      </c>
      <c r="C758" s="9" t="s">
        <v>735</v>
      </c>
      <c r="D758" s="9" t="s">
        <v>731</v>
      </c>
      <c r="E758" s="9" t="s">
        <v>273</v>
      </c>
      <c r="F758" s="10" t="n">
        <v>4.33</v>
      </c>
      <c r="G758" s="9" t="s">
        <v>288</v>
      </c>
      <c r="H758" s="9" t="s">
        <v>327</v>
      </c>
      <c r="I758" s="9" t="s">
        <v>328</v>
      </c>
      <c r="J758" s="9" t="s">
        <v>329</v>
      </c>
      <c r="K758" s="31"/>
      <c r="L758" s="31" t="n">
        <v>3</v>
      </c>
      <c r="M758" s="10" t="n">
        <v>0.56</v>
      </c>
      <c r="N758" s="10" t="n">
        <v>0.02</v>
      </c>
      <c r="O758" s="9"/>
      <c r="P758" s="11" t="str">
        <f aca="false">IF(J758="%mo","",IF(G758="MO",IF(J758="hh",INDEX(MO_HH,MATCH(I758,MO_CAT,0)),M758*P_FACT_IPC),IF(G758="SUBPART",IFERROR(INDEX(APU_SUBP!$C$7:$C$40,MATCH(H758,APU_SUBP!$A$7:$A$40,0)),M758*P_FACT_IPC),M758*P_FACT_IPC)))</f>
        <v/>
      </c>
      <c r="Q758" s="11" t="n">
        <f aca="false">IF(J758="%mo",L758/100*SUMIFS($R$7:$R$782,$A$7:$A$782,A758),L758*P758)</f>
        <v>0.0122245977353993</v>
      </c>
      <c r="R758" s="11" t="n">
        <f aca="false">IF(G758="MO",L758*P758,0)</f>
        <v>0</v>
      </c>
    </row>
    <row r="759" customFormat="false" ht="15" hidden="false" customHeight="false" outlineLevel="0" collapsed="false">
      <c r="A759" s="7" t="s">
        <v>808</v>
      </c>
      <c r="B759" s="7" t="s">
        <v>805</v>
      </c>
      <c r="C759" s="7" t="s">
        <v>735</v>
      </c>
      <c r="D759" s="7" t="s">
        <v>731</v>
      </c>
      <c r="E759" s="7" t="s">
        <v>273</v>
      </c>
      <c r="F759" s="11" t="n">
        <v>4.33</v>
      </c>
      <c r="G759" s="7" t="s">
        <v>288</v>
      </c>
      <c r="H759" s="7" t="s">
        <v>736</v>
      </c>
      <c r="I759" s="7" t="s">
        <v>737</v>
      </c>
      <c r="J759" s="7" t="s">
        <v>291</v>
      </c>
      <c r="K759" s="22" t="n">
        <v>1</v>
      </c>
      <c r="L759" s="22" t="n">
        <v>0.01</v>
      </c>
      <c r="M759" s="11" t="n">
        <v>15.25</v>
      </c>
      <c r="N759" s="11" t="n">
        <v>0.15</v>
      </c>
      <c r="O759" s="7"/>
      <c r="P759" s="11" t="n">
        <f aca="false">IF(J759="%mo","",IF(G759="MO",IF(J759="hh",INDEX(MO_HH,MATCH(I759,MO_CAT,0)),M759*P_FACT_IPC),IF(G759="SUBPART",IFERROR(INDEX(APU_SUBP!$C$7:$C$40,MATCH(H759,APU_SUBP!$A$7:$A$40,0)),M759*P_FACT_IPC),M759*P_FACT_IPC)))</f>
        <v>19.6160115756705</v>
      </c>
      <c r="Q759" s="11" t="n">
        <f aca="false">IF(J759="%mo",L759/100*SUMIFS($R$7:$R$782,$A$7:$A$782,A759),L759*P759)</f>
        <v>0.196160115756705</v>
      </c>
      <c r="R759" s="11" t="n">
        <f aca="false">IF(G759="MO",L759*P759,0)</f>
        <v>0</v>
      </c>
    </row>
    <row r="760" customFormat="false" ht="15" hidden="false" customHeight="false" outlineLevel="0" collapsed="false">
      <c r="A760" s="9" t="s">
        <v>808</v>
      </c>
      <c r="B760" s="9" t="s">
        <v>805</v>
      </c>
      <c r="C760" s="9" t="s">
        <v>735</v>
      </c>
      <c r="D760" s="9" t="s">
        <v>731</v>
      </c>
      <c r="E760" s="9" t="s">
        <v>273</v>
      </c>
      <c r="F760" s="10" t="n">
        <v>4.33</v>
      </c>
      <c r="G760" s="9" t="s">
        <v>288</v>
      </c>
      <c r="H760" s="9" t="s">
        <v>738</v>
      </c>
      <c r="I760" s="9" t="s">
        <v>739</v>
      </c>
      <c r="J760" s="9" t="s">
        <v>291</v>
      </c>
      <c r="K760" s="31" t="n">
        <v>0.5</v>
      </c>
      <c r="L760" s="31" t="n">
        <v>0.005</v>
      </c>
      <c r="M760" s="10" t="n">
        <v>233.48</v>
      </c>
      <c r="N760" s="10" t="n">
        <v>1.17</v>
      </c>
      <c r="O760" s="9"/>
      <c r="P760" s="11" t="n">
        <f aca="false">IF(J760="%mo","",IF(G760="MO",IF(J760="hh",INDEX(MO_HH,MATCH(I760,MO_CAT,0)),M760*P_FACT_IPC),IF(G760="SUBPART",IFERROR(INDEX(APU_SUBP!$C$7:$C$40,MATCH(H760,APU_SUBP!$A$7:$A$40,0)),M760*P_FACT_IPC),M760*P_FACT_IPC)))</f>
        <v>300.324352963117</v>
      </c>
      <c r="Q760" s="11" t="n">
        <f aca="false">IF(J760="%mo",L760/100*SUMIFS($R$7:$R$782,$A$7:$A$782,A760),L760*P760)</f>
        <v>1.50162176481559</v>
      </c>
      <c r="R760" s="11" t="n">
        <f aca="false">IF(G760="MO",L760*P760,0)</f>
        <v>0</v>
      </c>
    </row>
    <row r="761" customFormat="false" ht="15" hidden="false" customHeight="false" outlineLevel="0" collapsed="false">
      <c r="A761" s="7" t="s">
        <v>808</v>
      </c>
      <c r="B761" s="7" t="s">
        <v>805</v>
      </c>
      <c r="C761" s="7" t="s">
        <v>735</v>
      </c>
      <c r="D761" s="7" t="s">
        <v>731</v>
      </c>
      <c r="E761" s="7" t="s">
        <v>273</v>
      </c>
      <c r="F761" s="11" t="n">
        <v>4.33</v>
      </c>
      <c r="G761" s="7" t="s">
        <v>288</v>
      </c>
      <c r="H761" s="7" t="s">
        <v>740</v>
      </c>
      <c r="I761" s="7" t="s">
        <v>741</v>
      </c>
      <c r="J761" s="7" t="s">
        <v>291</v>
      </c>
      <c r="K761" s="22" t="n">
        <v>1</v>
      </c>
      <c r="L761" s="22" t="n">
        <v>0.01</v>
      </c>
      <c r="M761" s="11" t="n">
        <v>243.06</v>
      </c>
      <c r="N761" s="11" t="n">
        <v>2.43</v>
      </c>
      <c r="O761" s="7"/>
      <c r="P761" s="11" t="n">
        <f aca="false">IF(J761="%mo","",IF(G761="MO",IF(J761="hh",INDEX(MO_HH,MATCH(I761,MO_CAT,0)),M761*P_FACT_IPC),IF(G761="SUBPART",IFERROR(INDEX(APU_SUBP!$C$7:$C$40,MATCH(H761,APU_SUBP!$A$7:$A$40,0)),M761*P_FACT_IPC),M761*P_FACT_IPC)))</f>
        <v>312.647067120162</v>
      </c>
      <c r="Q761" s="11" t="n">
        <f aca="false">IF(J761="%mo",L761/100*SUMIFS($R$7:$R$782,$A$7:$A$782,A761),L761*P761)</f>
        <v>3.12647067120162</v>
      </c>
      <c r="R761" s="11" t="n">
        <f aca="false">IF(G761="MO",L761*P761,0)</f>
        <v>0</v>
      </c>
    </row>
    <row r="762" customFormat="false" ht="15" hidden="false" customHeight="false" outlineLevel="0" collapsed="false">
      <c r="A762" s="9" t="s">
        <v>809</v>
      </c>
      <c r="B762" s="9" t="s">
        <v>805</v>
      </c>
      <c r="C762" s="9" t="s">
        <v>743</v>
      </c>
      <c r="D762" s="9" t="s">
        <v>733</v>
      </c>
      <c r="E762" s="9" t="s">
        <v>273</v>
      </c>
      <c r="F762" s="10" t="n">
        <v>52.27</v>
      </c>
      <c r="G762" s="9" t="s">
        <v>281</v>
      </c>
      <c r="H762" s="9" t="s">
        <v>286</v>
      </c>
      <c r="I762" s="9" t="s">
        <v>122</v>
      </c>
      <c r="J762" s="9" t="s">
        <v>283</v>
      </c>
      <c r="K762" s="31" t="n">
        <v>1</v>
      </c>
      <c r="L762" s="31" t="n">
        <v>0.1684</v>
      </c>
      <c r="M762" s="10" t="n">
        <v>16.78</v>
      </c>
      <c r="N762" s="10" t="n">
        <v>2.83</v>
      </c>
      <c r="O762" s="9" t="s">
        <v>287</v>
      </c>
      <c r="P762" s="11" t="n">
        <f aca="false">IF(J762="%mo","",IF(G762="MO",IF(J762="hh",INDEX(MO_HH,MATCH(I762,MO_CAT,0)),M762*P_FACT_IPC),IF(G762="SUBPART",IFERROR(INDEX(APU_SUBP!$C$7:$C$40,MATCH(H762,APU_SUBP!$A$7:$A$40,0)),M762*P_FACT_IPC),M762*P_FACT_IPC)))</f>
        <v>12.5</v>
      </c>
      <c r="Q762" s="11" t="n">
        <f aca="false">IF(J762="%mo",L762/100*SUMIFS($R$7:$R$782,$A$7:$A$782,A762),L762*P762)</f>
        <v>2.105</v>
      </c>
      <c r="R762" s="11" t="n">
        <f aca="false">IF(G762="MO",L762*P762,0)</f>
        <v>2.105</v>
      </c>
    </row>
    <row r="763" customFormat="false" ht="15" hidden="false" customHeight="false" outlineLevel="0" collapsed="false">
      <c r="A763" s="7" t="s">
        <v>809</v>
      </c>
      <c r="B763" s="7" t="s">
        <v>805</v>
      </c>
      <c r="C763" s="7" t="s">
        <v>743</v>
      </c>
      <c r="D763" s="7" t="s">
        <v>733</v>
      </c>
      <c r="E763" s="7" t="s">
        <v>273</v>
      </c>
      <c r="F763" s="11" t="n">
        <v>52.27</v>
      </c>
      <c r="G763" s="7" t="s">
        <v>281</v>
      </c>
      <c r="H763" s="7" t="s">
        <v>285</v>
      </c>
      <c r="I763" s="7" t="s">
        <v>117</v>
      </c>
      <c r="J763" s="7" t="s">
        <v>283</v>
      </c>
      <c r="K763" s="22" t="n">
        <v>1</v>
      </c>
      <c r="L763" s="22" t="n">
        <v>0.1684</v>
      </c>
      <c r="M763" s="11" t="n">
        <v>18.56</v>
      </c>
      <c r="N763" s="11" t="n">
        <v>3.13</v>
      </c>
      <c r="O763" s="7" t="s">
        <v>284</v>
      </c>
      <c r="P763" s="11" t="n">
        <f aca="false">IF(J763="%mo","",IF(G763="MO",IF(J763="hh",INDEX(MO_HH,MATCH(I763,MO_CAT,0)),M763*P_FACT_IPC),IF(G763="SUBPART",IFERROR(INDEX(APU_SUBP!$C$7:$C$40,MATCH(H763,APU_SUBP!$A$7:$A$40,0)),M763*P_FACT_IPC),M763*P_FACT_IPC)))</f>
        <v>13.8259833134684</v>
      </c>
      <c r="Q763" s="11" t="n">
        <f aca="false">IF(J763="%mo",L763/100*SUMIFS($R$7:$R$782,$A$7:$A$782,A763),L763*P763)</f>
        <v>2.32829558998808</v>
      </c>
      <c r="R763" s="11" t="n">
        <f aca="false">IF(G763="MO",L763*P763,0)</f>
        <v>2.32829558998808</v>
      </c>
    </row>
    <row r="764" customFormat="false" ht="15" hidden="false" customHeight="false" outlineLevel="0" collapsed="false">
      <c r="A764" s="9" t="s">
        <v>809</v>
      </c>
      <c r="B764" s="9" t="s">
        <v>805</v>
      </c>
      <c r="C764" s="9" t="s">
        <v>743</v>
      </c>
      <c r="D764" s="9" t="s">
        <v>733</v>
      </c>
      <c r="E764" s="9" t="s">
        <v>273</v>
      </c>
      <c r="F764" s="10" t="n">
        <v>52.27</v>
      </c>
      <c r="G764" s="9" t="s">
        <v>288</v>
      </c>
      <c r="H764" s="9" t="s">
        <v>327</v>
      </c>
      <c r="I764" s="9" t="s">
        <v>328</v>
      </c>
      <c r="J764" s="9" t="s">
        <v>329</v>
      </c>
      <c r="K764" s="31"/>
      <c r="L764" s="31" t="n">
        <v>3</v>
      </c>
      <c r="M764" s="10" t="n">
        <v>5.96</v>
      </c>
      <c r="N764" s="10" t="n">
        <v>0.18</v>
      </c>
      <c r="O764" s="9"/>
      <c r="P764" s="11" t="str">
        <f aca="false">IF(J764="%mo","",IF(G764="MO",IF(J764="hh",INDEX(MO_HH,MATCH(I764,MO_CAT,0)),M764*P_FACT_IPC),IF(G764="SUBPART",IFERROR(INDEX(APU_SUBP!$C$7:$C$40,MATCH(H764,APU_SUBP!$A$7:$A$40,0)),M764*P_FACT_IPC),M764*P_FACT_IPC)))</f>
        <v/>
      </c>
      <c r="Q764" s="11" t="n">
        <f aca="false">IF(J764="%mo",L764/100*SUMIFS($R$7:$R$782,$A$7:$A$782,A764),L764*P764)</f>
        <v>0.132998867699642</v>
      </c>
      <c r="R764" s="11" t="n">
        <f aca="false">IF(G764="MO",L764*P764,0)</f>
        <v>0</v>
      </c>
    </row>
    <row r="765" customFormat="false" ht="15" hidden="false" customHeight="false" outlineLevel="0" collapsed="false">
      <c r="A765" s="7" t="s">
        <v>809</v>
      </c>
      <c r="B765" s="7" t="s">
        <v>805</v>
      </c>
      <c r="C765" s="7" t="s">
        <v>743</v>
      </c>
      <c r="D765" s="7" t="s">
        <v>733</v>
      </c>
      <c r="E765" s="7" t="s">
        <v>273</v>
      </c>
      <c r="F765" s="11" t="n">
        <v>52.27</v>
      </c>
      <c r="G765" s="7" t="s">
        <v>288</v>
      </c>
      <c r="H765" s="7" t="s">
        <v>289</v>
      </c>
      <c r="I765" s="7" t="s">
        <v>290</v>
      </c>
      <c r="J765" s="7" t="s">
        <v>291</v>
      </c>
      <c r="K765" s="22" t="n">
        <v>0.5</v>
      </c>
      <c r="L765" s="22" t="n">
        <v>0.0842</v>
      </c>
      <c r="M765" s="11" t="n">
        <v>170.08</v>
      </c>
      <c r="N765" s="11" t="n">
        <v>14.32</v>
      </c>
      <c r="O765" s="7"/>
      <c r="P765" s="11" t="n">
        <f aca="false">IF(J765="%mo","",IF(G765="MO",IF(J765="hh",INDEX(MO_HH,MATCH(I765,MO_CAT,0)),M765*P_FACT_IPC),IF(G765="SUBPART",IFERROR(INDEX(APU_SUBP!$C$7:$C$40,MATCH(H765,APU_SUBP!$A$7:$A$40,0)),M765*P_FACT_IPC),M765*P_FACT_IPC)))</f>
        <v>218.773196641969</v>
      </c>
      <c r="Q765" s="11" t="n">
        <f aca="false">IF(J765="%mo",L765/100*SUMIFS($R$7:$R$782,$A$7:$A$782,A765),L765*P765)</f>
        <v>18.4207031572538</v>
      </c>
      <c r="R765" s="11" t="n">
        <f aca="false">IF(G765="MO",L765*P765,0)</f>
        <v>0</v>
      </c>
    </row>
    <row r="766" customFormat="false" ht="15" hidden="false" customHeight="false" outlineLevel="0" collapsed="false">
      <c r="A766" s="9" t="s">
        <v>809</v>
      </c>
      <c r="B766" s="9" t="s">
        <v>805</v>
      </c>
      <c r="C766" s="9" t="s">
        <v>743</v>
      </c>
      <c r="D766" s="9" t="s">
        <v>733</v>
      </c>
      <c r="E766" s="9" t="s">
        <v>273</v>
      </c>
      <c r="F766" s="10" t="n">
        <v>52.27</v>
      </c>
      <c r="G766" s="9" t="s">
        <v>288</v>
      </c>
      <c r="H766" s="9" t="s">
        <v>296</v>
      </c>
      <c r="I766" s="9" t="s">
        <v>297</v>
      </c>
      <c r="J766" s="9" t="s">
        <v>291</v>
      </c>
      <c r="K766" s="31" t="n">
        <v>1</v>
      </c>
      <c r="L766" s="31" t="n">
        <v>0.1684</v>
      </c>
      <c r="M766" s="10" t="n">
        <v>188.87</v>
      </c>
      <c r="N766" s="10" t="n">
        <v>31.81</v>
      </c>
      <c r="O766" s="9"/>
      <c r="P766" s="11" t="n">
        <f aca="false">IF(J766="%mo","",IF(G766="MO",IF(J766="hh",INDEX(MO_HH,MATCH(I766,MO_CAT,0)),M766*P_FACT_IPC),IF(G766="SUBPART",IFERROR(INDEX(APU_SUBP!$C$7:$C$40,MATCH(H766,APU_SUBP!$A$7:$A$40,0)),M766*P_FACT_IPC),M766*P_FACT_IPC)))</f>
        <v>242.942695494877</v>
      </c>
      <c r="Q766" s="11" t="n">
        <f aca="false">IF(J766="%mo",L766/100*SUMIFS($R$7:$R$782,$A$7:$A$782,A766),L766*P766)</f>
        <v>40.9115499213374</v>
      </c>
      <c r="R766" s="11" t="n">
        <f aca="false">IF(G766="MO",L766*P766,0)</f>
        <v>0</v>
      </c>
    </row>
    <row r="767" customFormat="false" ht="15" hidden="false" customHeight="false" outlineLevel="0" collapsed="false">
      <c r="A767" s="7" t="s">
        <v>810</v>
      </c>
      <c r="B767" s="7" t="s">
        <v>805</v>
      </c>
      <c r="C767" s="7" t="s">
        <v>745</v>
      </c>
      <c r="D767" s="7" t="s">
        <v>721</v>
      </c>
      <c r="E767" s="7" t="s">
        <v>273</v>
      </c>
      <c r="F767" s="11" t="n">
        <v>2.08</v>
      </c>
      <c r="G767" s="7" t="s">
        <v>281</v>
      </c>
      <c r="H767" s="7" t="s">
        <v>285</v>
      </c>
      <c r="I767" s="7" t="s">
        <v>117</v>
      </c>
      <c r="J767" s="7" t="s">
        <v>283</v>
      </c>
      <c r="K767" s="22" t="n">
        <v>0.1</v>
      </c>
      <c r="L767" s="22" t="n">
        <v>0.0008</v>
      </c>
      <c r="M767" s="11" t="n">
        <v>18.56</v>
      </c>
      <c r="N767" s="11" t="n">
        <v>0.01</v>
      </c>
      <c r="O767" s="7" t="s">
        <v>284</v>
      </c>
      <c r="P767" s="11" t="n">
        <f aca="false">IF(J767="%mo","",IF(G767="MO",IF(J767="hh",INDEX(MO_HH,MATCH(I767,MO_CAT,0)),M767*P_FACT_IPC),IF(G767="SUBPART",IFERROR(INDEX(APU_SUBP!$C$7:$C$40,MATCH(H767,APU_SUBP!$A$7:$A$40,0)),M767*P_FACT_IPC),M767*P_FACT_IPC)))</f>
        <v>13.8259833134684</v>
      </c>
      <c r="Q767" s="11" t="n">
        <f aca="false">IF(J767="%mo",L767/100*SUMIFS($R$7:$R$782,$A$7:$A$782,A767),L767*P767)</f>
        <v>0.0110607866507747</v>
      </c>
      <c r="R767" s="11" t="n">
        <f aca="false">IF(G767="MO",L767*P767,0)</f>
        <v>0.0110607866507747</v>
      </c>
    </row>
    <row r="768" customFormat="false" ht="15" hidden="false" customHeight="false" outlineLevel="0" collapsed="false">
      <c r="A768" s="9" t="s">
        <v>810</v>
      </c>
      <c r="B768" s="9" t="s">
        <v>805</v>
      </c>
      <c r="C768" s="9" t="s">
        <v>745</v>
      </c>
      <c r="D768" s="9" t="s">
        <v>721</v>
      </c>
      <c r="E768" s="9" t="s">
        <v>273</v>
      </c>
      <c r="F768" s="10" t="n">
        <v>2.08</v>
      </c>
      <c r="G768" s="9" t="s">
        <v>281</v>
      </c>
      <c r="H768" s="9" t="s">
        <v>286</v>
      </c>
      <c r="I768" s="9" t="s">
        <v>122</v>
      </c>
      <c r="J768" s="9" t="s">
        <v>283</v>
      </c>
      <c r="K768" s="31" t="n">
        <v>1</v>
      </c>
      <c r="L768" s="31" t="n">
        <v>0.008</v>
      </c>
      <c r="M768" s="10" t="n">
        <v>16.78</v>
      </c>
      <c r="N768" s="10" t="n">
        <v>0.13</v>
      </c>
      <c r="O768" s="9" t="s">
        <v>287</v>
      </c>
      <c r="P768" s="11" t="n">
        <f aca="false">IF(J768="%mo","",IF(G768="MO",IF(J768="hh",INDEX(MO_HH,MATCH(I768,MO_CAT,0)),M768*P_FACT_IPC),IF(G768="SUBPART",IFERROR(INDEX(APU_SUBP!$C$7:$C$40,MATCH(H768,APU_SUBP!$A$7:$A$40,0)),M768*P_FACT_IPC),M768*P_FACT_IPC)))</f>
        <v>12.5</v>
      </c>
      <c r="Q768" s="11" t="n">
        <f aca="false">IF(J768="%mo",L768/100*SUMIFS($R$7:$R$782,$A$7:$A$782,A768),L768*P768)</f>
        <v>0.1</v>
      </c>
      <c r="R768" s="11" t="n">
        <f aca="false">IF(G768="MO",L768*P768,0)</f>
        <v>0.1</v>
      </c>
    </row>
    <row r="769" customFormat="false" ht="15" hidden="false" customHeight="false" outlineLevel="0" collapsed="false">
      <c r="A769" s="7" t="s">
        <v>810</v>
      </c>
      <c r="B769" s="7" t="s">
        <v>805</v>
      </c>
      <c r="C769" s="7" t="s">
        <v>745</v>
      </c>
      <c r="D769" s="7" t="s">
        <v>721</v>
      </c>
      <c r="E769" s="7" t="s">
        <v>273</v>
      </c>
      <c r="F769" s="11" t="n">
        <v>2.08</v>
      </c>
      <c r="G769" s="7" t="s">
        <v>288</v>
      </c>
      <c r="H769" s="7" t="s">
        <v>327</v>
      </c>
      <c r="I769" s="7" t="s">
        <v>328</v>
      </c>
      <c r="J769" s="7" t="s">
        <v>329</v>
      </c>
      <c r="K769" s="22"/>
      <c r="L769" s="22" t="n">
        <v>3</v>
      </c>
      <c r="M769" s="11" t="n">
        <v>0.14</v>
      </c>
      <c r="N769" s="11" t="n">
        <v>0</v>
      </c>
      <c r="O769" s="7"/>
      <c r="P769" s="11" t="str">
        <f aca="false">IF(J769="%mo","",IF(G769="MO",IF(J769="hh",INDEX(MO_HH,MATCH(I769,MO_CAT,0)),M769*P_FACT_IPC),IF(G769="SUBPART",IFERROR(INDEX(APU_SUBP!$C$7:$C$40,MATCH(H769,APU_SUBP!$A$7:$A$40,0)),M769*P_FACT_IPC),M769*P_FACT_IPC)))</f>
        <v/>
      </c>
      <c r="Q769" s="11" t="n">
        <f aca="false">IF(J769="%mo",L769/100*SUMIFS($R$7:$R$782,$A$7:$A$782,A769),L769*P769)</f>
        <v>0.00333182359952324</v>
      </c>
      <c r="R769" s="11" t="n">
        <f aca="false">IF(G769="MO",L769*P769,0)</f>
        <v>0</v>
      </c>
    </row>
    <row r="770" customFormat="false" ht="15" hidden="false" customHeight="false" outlineLevel="0" collapsed="false">
      <c r="A770" s="9" t="s">
        <v>810</v>
      </c>
      <c r="B770" s="9" t="s">
        <v>805</v>
      </c>
      <c r="C770" s="9" t="s">
        <v>745</v>
      </c>
      <c r="D770" s="9" t="s">
        <v>721</v>
      </c>
      <c r="E770" s="9" t="s">
        <v>273</v>
      </c>
      <c r="F770" s="10" t="n">
        <v>2.08</v>
      </c>
      <c r="G770" s="9" t="s">
        <v>288</v>
      </c>
      <c r="H770" s="9" t="s">
        <v>740</v>
      </c>
      <c r="I770" s="9" t="s">
        <v>741</v>
      </c>
      <c r="J770" s="9" t="s">
        <v>291</v>
      </c>
      <c r="K770" s="31" t="n">
        <v>1</v>
      </c>
      <c r="L770" s="31" t="n">
        <v>0.008</v>
      </c>
      <c r="M770" s="10" t="n">
        <v>243.06</v>
      </c>
      <c r="N770" s="10" t="n">
        <v>1.94</v>
      </c>
      <c r="O770" s="9"/>
      <c r="P770" s="11" t="n">
        <f aca="false">IF(J770="%mo","",IF(G770="MO",IF(J770="hh",INDEX(MO_HH,MATCH(I770,MO_CAT,0)),M770*P_FACT_IPC),IF(G770="SUBPART",IFERROR(INDEX(APU_SUBP!$C$7:$C$40,MATCH(H770,APU_SUBP!$A$7:$A$40,0)),M770*P_FACT_IPC),M770*P_FACT_IPC)))</f>
        <v>312.647067120162</v>
      </c>
      <c r="Q770" s="11" t="n">
        <f aca="false">IF(J770="%mo",L770/100*SUMIFS($R$7:$R$782,$A$7:$A$782,A770),L770*P770)</f>
        <v>2.50117653696129</v>
      </c>
      <c r="R770" s="11" t="n">
        <f aca="false">IF(G770="MO",L770*P770,0)</f>
        <v>0</v>
      </c>
    </row>
    <row r="771" customFormat="false" ht="15" hidden="false" customHeight="false" outlineLevel="0" collapsed="false">
      <c r="A771" s="7" t="s">
        <v>811</v>
      </c>
      <c r="B771" s="7" t="s">
        <v>805</v>
      </c>
      <c r="C771" s="7" t="s">
        <v>747</v>
      </c>
      <c r="D771" s="7" t="s">
        <v>723</v>
      </c>
      <c r="E771" s="7" t="s">
        <v>273</v>
      </c>
      <c r="F771" s="11" t="n">
        <v>22.27</v>
      </c>
      <c r="G771" s="7" t="s">
        <v>281</v>
      </c>
      <c r="H771" s="7" t="s">
        <v>286</v>
      </c>
      <c r="I771" s="7" t="s">
        <v>122</v>
      </c>
      <c r="J771" s="7" t="s">
        <v>283</v>
      </c>
      <c r="K771" s="22" t="n">
        <v>1</v>
      </c>
      <c r="L771" s="22" t="n">
        <v>0.0766</v>
      </c>
      <c r="M771" s="11" t="n">
        <v>16.78</v>
      </c>
      <c r="N771" s="11" t="n">
        <v>1.29</v>
      </c>
      <c r="O771" s="7" t="s">
        <v>287</v>
      </c>
      <c r="P771" s="11" t="n">
        <f aca="false">IF(J771="%mo","",IF(G771="MO",IF(J771="hh",INDEX(MO_HH,MATCH(I771,MO_CAT,0)),M771*P_FACT_IPC),IF(G771="SUBPART",IFERROR(INDEX(APU_SUBP!$C$7:$C$40,MATCH(H771,APU_SUBP!$A$7:$A$40,0)),M771*P_FACT_IPC),M771*P_FACT_IPC)))</f>
        <v>12.5</v>
      </c>
      <c r="Q771" s="11" t="n">
        <f aca="false">IF(J771="%mo",L771/100*SUMIFS($R$7:$R$782,$A$7:$A$782,A771),L771*P771)</f>
        <v>0.9575</v>
      </c>
      <c r="R771" s="11" t="n">
        <f aca="false">IF(G771="MO",L771*P771,0)</f>
        <v>0.9575</v>
      </c>
    </row>
    <row r="772" customFormat="false" ht="15" hidden="false" customHeight="false" outlineLevel="0" collapsed="false">
      <c r="A772" s="9" t="s">
        <v>811</v>
      </c>
      <c r="B772" s="9" t="s">
        <v>805</v>
      </c>
      <c r="C772" s="9" t="s">
        <v>747</v>
      </c>
      <c r="D772" s="9" t="s">
        <v>723</v>
      </c>
      <c r="E772" s="9" t="s">
        <v>273</v>
      </c>
      <c r="F772" s="10" t="n">
        <v>22.27</v>
      </c>
      <c r="G772" s="9" t="s">
        <v>288</v>
      </c>
      <c r="H772" s="9" t="s">
        <v>289</v>
      </c>
      <c r="I772" s="9" t="s">
        <v>290</v>
      </c>
      <c r="J772" s="9" t="s">
        <v>291</v>
      </c>
      <c r="K772" s="31" t="n">
        <v>0.5</v>
      </c>
      <c r="L772" s="31" t="n">
        <v>0.0383</v>
      </c>
      <c r="M772" s="10" t="n">
        <v>170.08</v>
      </c>
      <c r="N772" s="10" t="n">
        <v>6.51</v>
      </c>
      <c r="O772" s="9"/>
      <c r="P772" s="11" t="n">
        <f aca="false">IF(J772="%mo","",IF(G772="MO",IF(J772="hh",INDEX(MO_HH,MATCH(I772,MO_CAT,0)),M772*P_FACT_IPC),IF(G772="SUBPART",IFERROR(INDEX(APU_SUBP!$C$7:$C$40,MATCH(H772,APU_SUBP!$A$7:$A$40,0)),M772*P_FACT_IPC),M772*P_FACT_IPC)))</f>
        <v>218.773196641969</v>
      </c>
      <c r="Q772" s="11" t="n">
        <f aca="false">IF(J772="%mo",L772/100*SUMIFS($R$7:$R$782,$A$7:$A$782,A772),L772*P772)</f>
        <v>8.37901343138743</v>
      </c>
      <c r="R772" s="11" t="n">
        <f aca="false">IF(G772="MO",L772*P772,0)</f>
        <v>0</v>
      </c>
    </row>
    <row r="773" customFormat="false" ht="15" hidden="false" customHeight="false" outlineLevel="0" collapsed="false">
      <c r="A773" s="7" t="s">
        <v>811</v>
      </c>
      <c r="B773" s="7" t="s">
        <v>805</v>
      </c>
      <c r="C773" s="7" t="s">
        <v>747</v>
      </c>
      <c r="D773" s="7" t="s">
        <v>723</v>
      </c>
      <c r="E773" s="7" t="s">
        <v>273</v>
      </c>
      <c r="F773" s="11" t="n">
        <v>22.27</v>
      </c>
      <c r="G773" s="7" t="s">
        <v>288</v>
      </c>
      <c r="H773" s="7" t="s">
        <v>296</v>
      </c>
      <c r="I773" s="7" t="s">
        <v>297</v>
      </c>
      <c r="J773" s="7" t="s">
        <v>291</v>
      </c>
      <c r="K773" s="22" t="n">
        <v>1</v>
      </c>
      <c r="L773" s="22" t="n">
        <v>0.0766</v>
      </c>
      <c r="M773" s="11" t="n">
        <v>188.87</v>
      </c>
      <c r="N773" s="11" t="n">
        <v>14.47</v>
      </c>
      <c r="O773" s="7"/>
      <c r="P773" s="11" t="n">
        <f aca="false">IF(J773="%mo","",IF(G773="MO",IF(J773="hh",INDEX(MO_HH,MATCH(I773,MO_CAT,0)),M773*P_FACT_IPC),IF(G773="SUBPART",IFERROR(INDEX(APU_SUBP!$C$7:$C$40,MATCH(H773,APU_SUBP!$A$7:$A$40,0)),M773*P_FACT_IPC),M773*P_FACT_IPC)))</f>
        <v>242.942695494877</v>
      </c>
      <c r="Q773" s="11" t="n">
        <f aca="false">IF(J773="%mo",L773/100*SUMIFS($R$7:$R$782,$A$7:$A$782,A773),L773*P773)</f>
        <v>18.6094104749076</v>
      </c>
      <c r="R773" s="11" t="n">
        <f aca="false">IF(G773="MO",L773*P773,0)</f>
        <v>0</v>
      </c>
    </row>
    <row r="774" customFormat="false" ht="15" hidden="false" customHeight="false" outlineLevel="0" collapsed="false">
      <c r="A774" s="9" t="s">
        <v>812</v>
      </c>
      <c r="B774" s="9" t="s">
        <v>805</v>
      </c>
      <c r="C774" s="9" t="s">
        <v>759</v>
      </c>
      <c r="D774" s="9" t="s">
        <v>757</v>
      </c>
      <c r="E774" s="9" t="s">
        <v>273</v>
      </c>
      <c r="F774" s="10" t="n">
        <v>58.37</v>
      </c>
      <c r="G774" s="9" t="s">
        <v>281</v>
      </c>
      <c r="H774" s="9" t="s">
        <v>285</v>
      </c>
      <c r="I774" s="9" t="s">
        <v>117</v>
      </c>
      <c r="J774" s="9" t="s">
        <v>283</v>
      </c>
      <c r="K774" s="31" t="n">
        <v>0.1</v>
      </c>
      <c r="L774" s="31" t="n">
        <v>0.16</v>
      </c>
      <c r="M774" s="10" t="n">
        <v>18.56</v>
      </c>
      <c r="N774" s="10" t="n">
        <v>2.97</v>
      </c>
      <c r="O774" s="9" t="s">
        <v>284</v>
      </c>
      <c r="P774" s="11" t="n">
        <f aca="false">IF(J774="%mo","",IF(G774="MO",IF(J774="hh",INDEX(MO_HH,MATCH(I774,MO_CAT,0)),M774*P_FACT_IPC),IF(G774="SUBPART",IFERROR(INDEX(APU_SUBP!$C$7:$C$40,MATCH(H774,APU_SUBP!$A$7:$A$40,0)),M774*P_FACT_IPC),M774*P_FACT_IPC)))</f>
        <v>13.8259833134684</v>
      </c>
      <c r="Q774" s="11" t="n">
        <f aca="false">IF(J774="%mo",L774/100*SUMIFS($R$7:$R$782,$A$7:$A$782,A774),L774*P774)</f>
        <v>2.21215733015495</v>
      </c>
      <c r="R774" s="11" t="n">
        <f aca="false">IF(G774="MO",L774*P774,0)</f>
        <v>2.21215733015495</v>
      </c>
    </row>
    <row r="775" customFormat="false" ht="15" hidden="false" customHeight="false" outlineLevel="0" collapsed="false">
      <c r="A775" s="7" t="s">
        <v>812</v>
      </c>
      <c r="B775" s="7" t="s">
        <v>805</v>
      </c>
      <c r="C775" s="7" t="s">
        <v>759</v>
      </c>
      <c r="D775" s="7" t="s">
        <v>757</v>
      </c>
      <c r="E775" s="7" t="s">
        <v>273</v>
      </c>
      <c r="F775" s="11" t="n">
        <v>58.37</v>
      </c>
      <c r="G775" s="7" t="s">
        <v>281</v>
      </c>
      <c r="H775" s="7" t="s">
        <v>286</v>
      </c>
      <c r="I775" s="7" t="s">
        <v>122</v>
      </c>
      <c r="J775" s="7" t="s">
        <v>283</v>
      </c>
      <c r="K775" s="22" t="n">
        <v>2</v>
      </c>
      <c r="L775" s="22" t="n">
        <v>3.2</v>
      </c>
      <c r="M775" s="11" t="n">
        <v>16.78</v>
      </c>
      <c r="N775" s="11" t="n">
        <v>53.7</v>
      </c>
      <c r="O775" s="7" t="s">
        <v>287</v>
      </c>
      <c r="P775" s="11" t="n">
        <f aca="false">IF(J775="%mo","",IF(G775="MO",IF(J775="hh",INDEX(MO_HH,MATCH(I775,MO_CAT,0)),M775*P_FACT_IPC),IF(G775="SUBPART",IFERROR(INDEX(APU_SUBP!$C$7:$C$40,MATCH(H775,APU_SUBP!$A$7:$A$40,0)),M775*P_FACT_IPC),M775*P_FACT_IPC)))</f>
        <v>12.5</v>
      </c>
      <c r="Q775" s="11" t="n">
        <f aca="false">IF(J775="%mo",L775/100*SUMIFS($R$7:$R$782,$A$7:$A$782,A775),L775*P775)</f>
        <v>40</v>
      </c>
      <c r="R775" s="11" t="n">
        <f aca="false">IF(G775="MO",L775*P775,0)</f>
        <v>40</v>
      </c>
    </row>
    <row r="776" customFormat="false" ht="15" hidden="false" customHeight="false" outlineLevel="0" collapsed="false">
      <c r="A776" s="9" t="s">
        <v>812</v>
      </c>
      <c r="B776" s="9" t="s">
        <v>805</v>
      </c>
      <c r="C776" s="9" t="s">
        <v>759</v>
      </c>
      <c r="D776" s="9" t="s">
        <v>757</v>
      </c>
      <c r="E776" s="9" t="s">
        <v>273</v>
      </c>
      <c r="F776" s="10" t="n">
        <v>58.37</v>
      </c>
      <c r="G776" s="9" t="s">
        <v>288</v>
      </c>
      <c r="H776" s="9" t="s">
        <v>327</v>
      </c>
      <c r="I776" s="9" t="s">
        <v>328</v>
      </c>
      <c r="J776" s="9" t="s">
        <v>329</v>
      </c>
      <c r="K776" s="31"/>
      <c r="L776" s="31" t="n">
        <v>3</v>
      </c>
      <c r="M776" s="10" t="n">
        <v>56.67</v>
      </c>
      <c r="N776" s="10" t="n">
        <v>1.7</v>
      </c>
      <c r="O776" s="9"/>
      <c r="P776" s="11" t="str">
        <f aca="false">IF(J776="%mo","",IF(G776="MO",IF(J776="hh",INDEX(MO_HH,MATCH(I776,MO_CAT,0)),M776*P_FACT_IPC),IF(G776="SUBPART",IFERROR(INDEX(APU_SUBP!$C$7:$C$40,MATCH(H776,APU_SUBP!$A$7:$A$40,0)),M776*P_FACT_IPC),M776*P_FACT_IPC)))</f>
        <v/>
      </c>
      <c r="Q776" s="11" t="n">
        <f aca="false">IF(J776="%mo",L776/100*SUMIFS($R$7:$R$782,$A$7:$A$782,A776),L776*P776)</f>
        <v>1.26636471990465</v>
      </c>
      <c r="R776" s="11" t="n">
        <f aca="false">IF(G776="MO",L776*P776,0)</f>
        <v>0</v>
      </c>
    </row>
    <row r="777" customFormat="false" ht="15" hidden="false" customHeight="false" outlineLevel="0" collapsed="false">
      <c r="A777" s="7" t="s">
        <v>813</v>
      </c>
      <c r="B777" s="7" t="s">
        <v>805</v>
      </c>
      <c r="C777" s="7" t="s">
        <v>761</v>
      </c>
      <c r="D777" s="7" t="s">
        <v>753</v>
      </c>
      <c r="E777" s="7" t="s">
        <v>273</v>
      </c>
      <c r="F777" s="11" t="n">
        <v>7.18</v>
      </c>
      <c r="G777" s="7" t="s">
        <v>281</v>
      </c>
      <c r="H777" s="7" t="s">
        <v>285</v>
      </c>
      <c r="I777" s="7" t="s">
        <v>117</v>
      </c>
      <c r="J777" s="7" t="s">
        <v>283</v>
      </c>
      <c r="K777" s="22" t="n">
        <v>1</v>
      </c>
      <c r="L777" s="22" t="n">
        <v>0.0526</v>
      </c>
      <c r="M777" s="11" t="n">
        <v>18.56</v>
      </c>
      <c r="N777" s="11" t="n">
        <v>0.98</v>
      </c>
      <c r="O777" s="7" t="s">
        <v>284</v>
      </c>
      <c r="P777" s="11" t="n">
        <f aca="false">IF(J777="%mo","",IF(G777="MO",IF(J777="hh",INDEX(MO_HH,MATCH(I777,MO_CAT,0)),M777*P_FACT_IPC),IF(G777="SUBPART",IFERROR(INDEX(APU_SUBP!$C$7:$C$40,MATCH(H777,APU_SUBP!$A$7:$A$40,0)),M777*P_FACT_IPC),M777*P_FACT_IPC)))</f>
        <v>13.8259833134684</v>
      </c>
      <c r="Q777" s="11" t="n">
        <f aca="false">IF(J777="%mo",L777/100*SUMIFS($R$7:$R$782,$A$7:$A$782,A777),L777*P777)</f>
        <v>0.727246722288439</v>
      </c>
      <c r="R777" s="11" t="n">
        <f aca="false">IF(G777="MO",L777*P777,0)</f>
        <v>0.727246722288439</v>
      </c>
    </row>
    <row r="778" customFormat="false" ht="15" hidden="false" customHeight="false" outlineLevel="0" collapsed="false">
      <c r="A778" s="9" t="s">
        <v>813</v>
      </c>
      <c r="B778" s="9" t="s">
        <v>805</v>
      </c>
      <c r="C778" s="9" t="s">
        <v>761</v>
      </c>
      <c r="D778" s="9" t="s">
        <v>753</v>
      </c>
      <c r="E778" s="9" t="s">
        <v>273</v>
      </c>
      <c r="F778" s="10" t="n">
        <v>7.18</v>
      </c>
      <c r="G778" s="9" t="s">
        <v>281</v>
      </c>
      <c r="H778" s="9" t="s">
        <v>286</v>
      </c>
      <c r="I778" s="9" t="s">
        <v>122</v>
      </c>
      <c r="J778" s="9" t="s">
        <v>283</v>
      </c>
      <c r="K778" s="31" t="n">
        <v>3</v>
      </c>
      <c r="L778" s="31" t="n">
        <v>0.1579</v>
      </c>
      <c r="M778" s="10" t="n">
        <v>16.78</v>
      </c>
      <c r="N778" s="10" t="n">
        <v>2.65</v>
      </c>
      <c r="O778" s="9" t="s">
        <v>287</v>
      </c>
      <c r="P778" s="11" t="n">
        <f aca="false">IF(J778="%mo","",IF(G778="MO",IF(J778="hh",INDEX(MO_HH,MATCH(I778,MO_CAT,0)),M778*P_FACT_IPC),IF(G778="SUBPART",IFERROR(INDEX(APU_SUBP!$C$7:$C$40,MATCH(H778,APU_SUBP!$A$7:$A$40,0)),M778*P_FACT_IPC),M778*P_FACT_IPC)))</f>
        <v>12.5</v>
      </c>
      <c r="Q778" s="11" t="n">
        <f aca="false">IF(J778="%mo",L778/100*SUMIFS($R$7:$R$782,$A$7:$A$782,A778),L778*P778)</f>
        <v>1.97375</v>
      </c>
      <c r="R778" s="11" t="n">
        <f aca="false">IF(G778="MO",L778*P778,0)</f>
        <v>1.97375</v>
      </c>
    </row>
    <row r="779" customFormat="false" ht="15" hidden="false" customHeight="false" outlineLevel="0" collapsed="false">
      <c r="A779" s="7" t="s">
        <v>813</v>
      </c>
      <c r="B779" s="7" t="s">
        <v>805</v>
      </c>
      <c r="C779" s="7" t="s">
        <v>761</v>
      </c>
      <c r="D779" s="7" t="s">
        <v>753</v>
      </c>
      <c r="E779" s="7" t="s">
        <v>273</v>
      </c>
      <c r="F779" s="11" t="n">
        <v>7.18</v>
      </c>
      <c r="G779" s="7" t="s">
        <v>288</v>
      </c>
      <c r="H779" s="7" t="s">
        <v>327</v>
      </c>
      <c r="I779" s="7" t="s">
        <v>328</v>
      </c>
      <c r="J779" s="7" t="s">
        <v>329</v>
      </c>
      <c r="K779" s="22"/>
      <c r="L779" s="22" t="n">
        <v>3</v>
      </c>
      <c r="M779" s="11" t="n">
        <v>3.63</v>
      </c>
      <c r="N779" s="11" t="n">
        <v>0.11</v>
      </c>
      <c r="O779" s="7"/>
      <c r="P779" s="11" t="str">
        <f aca="false">IF(J779="%mo","",IF(G779="MO",IF(J779="hh",INDEX(MO_HH,MATCH(I779,MO_CAT,0)),M779*P_FACT_IPC),IF(G779="SUBPART",IFERROR(INDEX(APU_SUBP!$C$7:$C$40,MATCH(H779,APU_SUBP!$A$7:$A$40,0)),M779*P_FACT_IPC),M779*P_FACT_IPC)))</f>
        <v/>
      </c>
      <c r="Q779" s="11" t="n">
        <f aca="false">IF(J779="%mo",L779/100*SUMIFS($R$7:$R$782,$A$7:$A$782,A779),L779*P779)</f>
        <v>0.0810299016686532</v>
      </c>
      <c r="R779" s="11" t="n">
        <f aca="false">IF(G779="MO",L779*P779,0)</f>
        <v>0</v>
      </c>
    </row>
    <row r="780" customFormat="false" ht="15" hidden="false" customHeight="false" outlineLevel="0" collapsed="false">
      <c r="A780" s="9" t="s">
        <v>813</v>
      </c>
      <c r="B780" s="9" t="s">
        <v>805</v>
      </c>
      <c r="C780" s="9" t="s">
        <v>761</v>
      </c>
      <c r="D780" s="9" t="s">
        <v>753</v>
      </c>
      <c r="E780" s="9" t="s">
        <v>273</v>
      </c>
      <c r="F780" s="10" t="n">
        <v>7.18</v>
      </c>
      <c r="G780" s="9" t="s">
        <v>288</v>
      </c>
      <c r="H780" s="9" t="s">
        <v>404</v>
      </c>
      <c r="I780" s="9" t="s">
        <v>405</v>
      </c>
      <c r="J780" s="9" t="s">
        <v>291</v>
      </c>
      <c r="K780" s="31" t="n">
        <v>1</v>
      </c>
      <c r="L780" s="31" t="n">
        <v>0.0526</v>
      </c>
      <c r="M780" s="10" t="n">
        <v>65.48</v>
      </c>
      <c r="N780" s="10" t="n">
        <v>3.44</v>
      </c>
      <c r="O780" s="9"/>
      <c r="P780" s="11" t="n">
        <f aca="false">IF(J780="%mo","",IF(G780="MO",IF(J780="hh",INDEX(MO_HH,MATCH(I780,MO_CAT,0)),M780*P_FACT_IPC),IF(G780="SUBPART",IFERROR(INDEX(APU_SUBP!$C$7:$C$40,MATCH(H780,APU_SUBP!$A$7:$A$40,0)),M780*P_FACT_IPC),M780*P_FACT_IPC)))</f>
        <v>84.2266516704854</v>
      </c>
      <c r="Q780" s="11" t="n">
        <f aca="false">IF(J780="%mo",L780/100*SUMIFS($R$7:$R$782,$A$7:$A$782,A780),L780*P780)</f>
        <v>4.43032187786753</v>
      </c>
      <c r="R780" s="11" t="n">
        <f aca="false">IF(G780="MO",L780*P780,0)</f>
        <v>0</v>
      </c>
    </row>
    <row r="781" customFormat="false" ht="15" hidden="false" customHeight="false" outlineLevel="0" collapsed="false">
      <c r="A781" s="7" t="s">
        <v>814</v>
      </c>
      <c r="B781" s="7" t="s">
        <v>805</v>
      </c>
      <c r="C781" s="7" t="s">
        <v>803</v>
      </c>
      <c r="D781" s="7" t="s">
        <v>653</v>
      </c>
      <c r="E781" s="7" t="s">
        <v>273</v>
      </c>
      <c r="F781" s="11" t="n">
        <v>68.47</v>
      </c>
      <c r="G781" s="7" t="s">
        <v>370</v>
      </c>
      <c r="H781" s="7" t="s">
        <v>752</v>
      </c>
      <c r="I781" s="7" t="s">
        <v>753</v>
      </c>
      <c r="J781" s="7" t="s">
        <v>273</v>
      </c>
      <c r="K781" s="22"/>
      <c r="L781" s="22" t="n">
        <v>1</v>
      </c>
      <c r="M781" s="11" t="n">
        <v>7.18</v>
      </c>
      <c r="N781" s="11" t="n">
        <v>7.18</v>
      </c>
      <c r="O781" s="7"/>
      <c r="P781" s="11" t="n">
        <f aca="false">IF(J781="%mo","",IF(G781="MO",IF(J781="hh",INDEX(MO_HH,MATCH(I781,MO_CAT,0)),M781*P_FACT_IPC),IF(G781="SUBPART",IFERROR(INDEX(APU_SUBP!$C$7:$C$40,MATCH(H781,APU_SUBP!$A$7:$A$40,0)),M781*P_FACT_IPC),M781*P_FACT_IPC)))</f>
        <v>7.21234850182462</v>
      </c>
      <c r="Q781" s="11" t="n">
        <f aca="false">IF(J781="%mo",L781/100*SUMIFS($R$7:$R$782,$A$7:$A$782,A781),L781*P781)</f>
        <v>7.21234850182462</v>
      </c>
      <c r="R781" s="11" t="n">
        <f aca="false">IF(G781="MO",L781*P781,0)</f>
        <v>0</v>
      </c>
    </row>
    <row r="782" customFormat="false" ht="15" hidden="false" customHeight="false" outlineLevel="0" collapsed="false">
      <c r="A782" s="9" t="s">
        <v>814</v>
      </c>
      <c r="B782" s="9" t="s">
        <v>805</v>
      </c>
      <c r="C782" s="9" t="s">
        <v>803</v>
      </c>
      <c r="D782" s="9" t="s">
        <v>653</v>
      </c>
      <c r="E782" s="9" t="s">
        <v>273</v>
      </c>
      <c r="F782" s="10" t="n">
        <v>68.47</v>
      </c>
      <c r="G782" s="9" t="s">
        <v>370</v>
      </c>
      <c r="H782" s="9" t="s">
        <v>756</v>
      </c>
      <c r="I782" s="9" t="s">
        <v>757</v>
      </c>
      <c r="J782" s="9" t="s">
        <v>273</v>
      </c>
      <c r="K782" s="31"/>
      <c r="L782" s="31" t="n">
        <v>1.05</v>
      </c>
      <c r="M782" s="10" t="n">
        <v>58.37</v>
      </c>
      <c r="N782" s="10" t="n">
        <v>61.29</v>
      </c>
      <c r="O782" s="9"/>
      <c r="P782" s="11" t="n">
        <f aca="false">IF(J782="%mo","",IF(G782="MO",IF(J782="hh",INDEX(MO_HH,MATCH(I782,MO_CAT,0)),M782*P_FACT_IPC),IF(G782="SUBPART",IFERROR(INDEX(APU_SUBP!$C$7:$C$40,MATCH(H782,APU_SUBP!$A$7:$A$40,0)),M782*P_FACT_IPC),M782*P_FACT_IPC)))</f>
        <v>43.4785220500596</v>
      </c>
      <c r="Q782" s="11" t="n">
        <f aca="false">IF(J782="%mo",L782/100*SUMIFS($R$7:$R$782,$A$7:$A$782,A782),L782*P782)</f>
        <v>45.6524481525626</v>
      </c>
      <c r="R782" s="11" t="n">
        <f aca="false">IF(G782="MO",L782*P782,0)</f>
        <v>0</v>
      </c>
    </row>
  </sheetData>
  <autoFilter ref="A6:R782"/>
  <mergeCells count="5">
    <mergeCell ref="A1:R1"/>
    <mergeCell ref="A2:R2"/>
    <mergeCell ref="A3:R3"/>
    <mergeCell ref="A4:R4"/>
    <mergeCell ref="A5:R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tru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0"/>
    <col collapsed="false" customWidth="true" hidden="false" outlineLevel="0" max="4" min="3" style="0" width="14"/>
    <col collapsed="false" customWidth="true" hidden="false" outlineLevel="0" max="5" min="5" style="0" width="36"/>
    <col collapsed="false" customWidth="true" hidden="false" outlineLevel="0" max="6" min="6" style="0" width="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4" customFormat="false" ht="19.5" hidden="false" customHeight="true" outlineLevel="0" collapsed="false">
      <c r="A4" s="4" t="s">
        <v>815</v>
      </c>
      <c r="B4" s="4"/>
      <c r="C4" s="4"/>
      <c r="D4" s="4"/>
      <c r="E4" s="4"/>
      <c r="F4" s="4"/>
    </row>
    <row r="5" customFormat="false" ht="15" hidden="false" customHeight="false" outlineLevel="0" collapsed="false">
      <c r="A5" s="5" t="s">
        <v>816</v>
      </c>
      <c r="B5" s="5"/>
      <c r="C5" s="5"/>
      <c r="D5" s="5"/>
      <c r="E5" s="5"/>
      <c r="F5" s="5"/>
    </row>
    <row r="6" customFormat="false" ht="36" hidden="false" customHeight="true" outlineLevel="0" collapsed="false">
      <c r="A6" s="6" t="s">
        <v>258</v>
      </c>
      <c r="B6" s="6" t="s">
        <v>817</v>
      </c>
      <c r="C6" s="6" t="s">
        <v>818</v>
      </c>
      <c r="D6" s="6" t="s">
        <v>256</v>
      </c>
      <c r="E6" s="6" t="s">
        <v>819</v>
      </c>
      <c r="F6" s="6" t="s">
        <v>260</v>
      </c>
    </row>
    <row r="7" customFormat="false" ht="15" hidden="false" customHeight="false" outlineLevel="0" collapsed="false">
      <c r="A7" s="7" t="s">
        <v>399</v>
      </c>
      <c r="B7" s="7" t="s">
        <v>400</v>
      </c>
      <c r="C7" s="11" t="n">
        <f aca="false">SUMIFS(APU_BASE!$Q$7:$Q$782,APU_BASE!$A$7:$A$782,E7)</f>
        <v>30.5614930535066</v>
      </c>
      <c r="D7" s="11" t="n">
        <v>24.35</v>
      </c>
      <c r="E7" s="7" t="s">
        <v>717</v>
      </c>
      <c r="F7" s="7" t="s">
        <v>273</v>
      </c>
    </row>
    <row r="8" customFormat="false" ht="15" hidden="false" customHeight="false" outlineLevel="0" collapsed="false">
      <c r="A8" s="7" t="s">
        <v>415</v>
      </c>
      <c r="B8" s="7" t="s">
        <v>416</v>
      </c>
      <c r="C8" s="11" t="n">
        <f aca="false">SUMIFS(APU_BASE!$Q$7:$Q$782,APU_BASE!$A$7:$A$782,E8)</f>
        <v>22.7438822970285</v>
      </c>
      <c r="D8" s="11" t="n">
        <v>21.15</v>
      </c>
      <c r="E8" s="7" t="s">
        <v>724</v>
      </c>
      <c r="F8" s="7" t="s">
        <v>273</v>
      </c>
    </row>
    <row r="9" customFormat="false" ht="15" hidden="false" customHeight="false" outlineLevel="0" collapsed="false">
      <c r="A9" s="7" t="s">
        <v>371</v>
      </c>
      <c r="B9" s="7" t="s">
        <v>372</v>
      </c>
      <c r="C9" s="11" t="n">
        <f aca="false">SUMIFS(APU_BASE!$Q$7:$Q$782,APU_BASE!$A$7:$A$782,E9)</f>
        <v>69.1425112769682</v>
      </c>
      <c r="D9" s="11" t="n">
        <v>56.6</v>
      </c>
      <c r="E9" s="7" t="s">
        <v>728</v>
      </c>
      <c r="F9" s="7" t="s">
        <v>273</v>
      </c>
    </row>
    <row r="10" customFormat="false" ht="15" hidden="false" customHeight="false" outlineLevel="0" collapsed="false">
      <c r="A10" s="7" t="s">
        <v>730</v>
      </c>
      <c r="B10" s="7" t="s">
        <v>731</v>
      </c>
      <c r="C10" s="11" t="n">
        <f aca="false">SUMIFS(APU_BASE!$Q$7:$Q$782,APU_BASE!$A$7:$A$782,E10)</f>
        <v>5.24396374068928</v>
      </c>
      <c r="D10" s="11" t="n">
        <v>4.33</v>
      </c>
      <c r="E10" s="7" t="s">
        <v>734</v>
      </c>
      <c r="F10" s="7" t="s">
        <v>273</v>
      </c>
    </row>
    <row r="11" customFormat="false" ht="15" hidden="false" customHeight="false" outlineLevel="0" collapsed="false">
      <c r="A11" s="7" t="s">
        <v>732</v>
      </c>
      <c r="B11" s="7" t="s">
        <v>733</v>
      </c>
      <c r="C11" s="11" t="n">
        <f aca="false">SUMIFS(APU_BASE!$Q$7:$Q$782,APU_BASE!$A$7:$A$782,E11)</f>
        <v>63.8985475362789</v>
      </c>
      <c r="D11" s="11" t="n">
        <v>52.27</v>
      </c>
      <c r="E11" s="7" t="s">
        <v>742</v>
      </c>
      <c r="F11" s="7" t="s">
        <v>273</v>
      </c>
    </row>
    <row r="12" customFormat="false" ht="15" hidden="false" customHeight="false" outlineLevel="0" collapsed="false">
      <c r="A12" s="7" t="s">
        <v>720</v>
      </c>
      <c r="B12" s="7" t="s">
        <v>721</v>
      </c>
      <c r="C12" s="11" t="n">
        <f aca="false">SUMIFS(APU_BASE!$Q$7:$Q$782,APU_BASE!$A$7:$A$782,E12)</f>
        <v>2.61556914721159</v>
      </c>
      <c r="D12" s="11" t="n">
        <v>2.08</v>
      </c>
      <c r="E12" s="7" t="s">
        <v>744</v>
      </c>
      <c r="F12" s="7" t="s">
        <v>273</v>
      </c>
    </row>
    <row r="13" customFormat="false" ht="15" hidden="false" customHeight="false" outlineLevel="0" collapsed="false">
      <c r="A13" s="7" t="s">
        <v>722</v>
      </c>
      <c r="B13" s="7" t="s">
        <v>723</v>
      </c>
      <c r="C13" s="11" t="n">
        <f aca="false">SUMIFS(APU_BASE!$Q$7:$Q$782,APU_BASE!$A$7:$A$782,E13)</f>
        <v>27.945923906295</v>
      </c>
      <c r="D13" s="11" t="n">
        <v>22.27</v>
      </c>
      <c r="E13" s="7" t="s">
        <v>746</v>
      </c>
      <c r="F13" s="7" t="s">
        <v>273</v>
      </c>
    </row>
    <row r="14" customFormat="false" ht="15" hidden="false" customHeight="false" outlineLevel="0" collapsed="false">
      <c r="A14" s="7" t="s">
        <v>466</v>
      </c>
      <c r="B14" s="7" t="s">
        <v>467</v>
      </c>
      <c r="C14" s="11" t="n">
        <f aca="false">SUMIFS(APU_BASE!$Q$7:$Q$782,APU_BASE!$A$7:$A$782,E14)</f>
        <v>64.499738837007</v>
      </c>
      <c r="D14" s="11" t="n">
        <v>86.3</v>
      </c>
      <c r="E14" s="7" t="s">
        <v>748</v>
      </c>
      <c r="F14" s="7" t="s">
        <v>273</v>
      </c>
    </row>
    <row r="15" customFormat="false" ht="15" hidden="false" customHeight="false" outlineLevel="0" collapsed="false">
      <c r="A15" s="7" t="s">
        <v>387</v>
      </c>
      <c r="B15" s="7" t="s">
        <v>388</v>
      </c>
      <c r="C15" s="11" t="n">
        <f aca="false">SUMIFS(APU_BASE!$Q$7:$Q$782,APU_BASE!$A$7:$A$782,E15)</f>
        <v>86.4416917676172</v>
      </c>
      <c r="D15" s="11" t="n">
        <v>113.54</v>
      </c>
      <c r="E15" s="7" t="s">
        <v>750</v>
      </c>
      <c r="F15" s="7" t="s">
        <v>273</v>
      </c>
    </row>
    <row r="16" customFormat="false" ht="15" hidden="false" customHeight="false" outlineLevel="0" collapsed="false">
      <c r="A16" s="7" t="s">
        <v>756</v>
      </c>
      <c r="B16" s="7" t="s">
        <v>757</v>
      </c>
      <c r="C16" s="11" t="n">
        <f aca="false">SUMIFS(APU_BASE!$Q$7:$Q$782,APU_BASE!$A$7:$A$782,E16)</f>
        <v>43.4785220500596</v>
      </c>
      <c r="D16" s="11" t="n">
        <v>58.37</v>
      </c>
      <c r="E16" s="7" t="s">
        <v>758</v>
      </c>
      <c r="F16" s="7" t="s">
        <v>273</v>
      </c>
    </row>
    <row r="17" customFormat="false" ht="15" hidden="false" customHeight="false" outlineLevel="0" collapsed="false">
      <c r="A17" s="7" t="s">
        <v>752</v>
      </c>
      <c r="B17" s="7" t="s">
        <v>753</v>
      </c>
      <c r="C17" s="11" t="n">
        <f aca="false">SUMIFS(APU_BASE!$Q$7:$Q$782,APU_BASE!$A$7:$A$782,E17)</f>
        <v>7.21234850182462</v>
      </c>
      <c r="D17" s="11" t="n">
        <v>7.18</v>
      </c>
      <c r="E17" s="7" t="s">
        <v>760</v>
      </c>
      <c r="F17" s="7" t="s">
        <v>273</v>
      </c>
    </row>
    <row r="18" customFormat="false" ht="15" hidden="false" customHeight="false" outlineLevel="0" collapsed="false">
      <c r="A18" s="7" t="s">
        <v>754</v>
      </c>
      <c r="B18" s="7" t="s">
        <v>755</v>
      </c>
      <c r="C18" s="11" t="n">
        <f aca="false">SUMIFS(APU_BASE!$Q$7:$Q$782,APU_BASE!$A$7:$A$782,E18)</f>
        <v>33.57689511323</v>
      </c>
      <c r="D18" s="11" t="n">
        <v>45.07</v>
      </c>
      <c r="E18" s="7" t="s">
        <v>762</v>
      </c>
      <c r="F18" s="7" t="s">
        <v>273</v>
      </c>
    </row>
    <row r="19" customFormat="false" ht="15" hidden="false" customHeight="false" outlineLevel="0" collapsed="false">
      <c r="A19" s="7" t="s">
        <v>439</v>
      </c>
      <c r="B19" s="7" t="s">
        <v>440</v>
      </c>
      <c r="C19" s="11" t="n">
        <f aca="false">SUMIFS(APU_BASE!$Q$7:$Q$782,APU_BASE!$A$7:$A$782,E19)</f>
        <v>489.331206841788</v>
      </c>
      <c r="D19" s="11" t="n">
        <v>471.02</v>
      </c>
      <c r="E19" s="7" t="s">
        <v>764</v>
      </c>
      <c r="F19" s="7" t="s">
        <v>273</v>
      </c>
    </row>
    <row r="20" customFormat="false" ht="15" hidden="false" customHeight="false" outlineLevel="0" collapsed="false">
      <c r="A20" s="7" t="s">
        <v>507</v>
      </c>
      <c r="B20" s="7" t="s">
        <v>378</v>
      </c>
      <c r="C20" s="11" t="n">
        <f aca="false">SUMIFS(APU_BASE!$Q$7:$Q$782,APU_BASE!$A$7:$A$782,E20)</f>
        <v>47.5371394517283</v>
      </c>
      <c r="D20" s="11" t="n">
        <v>63.82</v>
      </c>
      <c r="E20" s="7" t="s">
        <v>768</v>
      </c>
      <c r="F20" s="7" t="s">
        <v>273</v>
      </c>
    </row>
    <row r="21" customFormat="false" ht="15" hidden="false" customHeight="false" outlineLevel="0" collapsed="false">
      <c r="A21" s="7" t="s">
        <v>559</v>
      </c>
      <c r="B21" s="7" t="s">
        <v>381</v>
      </c>
      <c r="C21" s="11" t="n">
        <f aca="false">SUMIFS(APU_BASE!$Q$7:$Q$782,APU_BASE!$A$7:$A$782,E21)</f>
        <v>3.04810217340461</v>
      </c>
      <c r="D21" s="11" t="n">
        <v>3.19</v>
      </c>
      <c r="E21" s="7" t="s">
        <v>771</v>
      </c>
      <c r="F21" s="7" t="s">
        <v>341</v>
      </c>
    </row>
    <row r="22" customFormat="false" ht="15" hidden="false" customHeight="false" outlineLevel="0" collapsed="false">
      <c r="A22" s="7" t="s">
        <v>508</v>
      </c>
      <c r="B22" s="7" t="s">
        <v>509</v>
      </c>
      <c r="C22" s="11" t="n">
        <f aca="false">SUMIFS(APU_BASE!$Q$7:$Q$782,APU_BASE!$A$7:$A$782,E22)</f>
        <v>337.698968617448</v>
      </c>
      <c r="D22" s="11" t="n">
        <v>371.1</v>
      </c>
      <c r="E22" s="7" t="s">
        <v>778</v>
      </c>
      <c r="F22" s="7" t="s">
        <v>273</v>
      </c>
    </row>
    <row r="23" customFormat="false" ht="15" hidden="false" customHeight="false" outlineLevel="0" collapsed="false">
      <c r="A23" s="7" t="s">
        <v>510</v>
      </c>
      <c r="B23" s="7" t="s">
        <v>511</v>
      </c>
      <c r="C23" s="11" t="n">
        <f aca="false">SUMIFS(APU_BASE!$Q$7:$Q$782,APU_BASE!$A$7:$A$782,E23)</f>
        <v>23.8907860496904</v>
      </c>
      <c r="D23" s="11" t="n">
        <v>24.83</v>
      </c>
      <c r="E23" s="7" t="s">
        <v>782</v>
      </c>
      <c r="F23" s="7" t="s">
        <v>16</v>
      </c>
    </row>
    <row r="24" customFormat="false" ht="15" hidden="false" customHeight="false" outlineLevel="0" collapsed="false">
      <c r="A24" s="7" t="s">
        <v>512</v>
      </c>
      <c r="B24" s="7" t="s">
        <v>513</v>
      </c>
      <c r="C24" s="11" t="n">
        <f aca="false">SUMIFS(APU_BASE!$Q$7:$Q$782,APU_BASE!$A$7:$A$782,E24)</f>
        <v>1.50082873810211</v>
      </c>
      <c r="D24" s="11" t="n">
        <v>1.77</v>
      </c>
      <c r="E24" s="7" t="s">
        <v>786</v>
      </c>
      <c r="F24" s="7" t="s">
        <v>21</v>
      </c>
    </row>
    <row r="25" customFormat="false" ht="15" hidden="false" customHeight="false" outlineLevel="0" collapsed="false">
      <c r="A25" s="7" t="s">
        <v>627</v>
      </c>
      <c r="B25" s="7" t="s">
        <v>598</v>
      </c>
      <c r="C25" s="11" t="n">
        <f aca="false">SUMIFS(APU_BASE!$Q$7:$Q$782,APU_BASE!$A$7:$A$782,E25)</f>
        <v>0.368881587459885</v>
      </c>
      <c r="D25" s="11" t="n">
        <v>0.38</v>
      </c>
      <c r="E25" s="7" t="s">
        <v>788</v>
      </c>
      <c r="F25" s="7" t="s">
        <v>16</v>
      </c>
    </row>
    <row r="26" customFormat="false" ht="15" hidden="false" customHeight="false" outlineLevel="0" collapsed="false">
      <c r="A26" s="7" t="s">
        <v>574</v>
      </c>
      <c r="B26" s="7" t="s">
        <v>575</v>
      </c>
      <c r="C26" s="11" t="n">
        <f aca="false">SUMIFS(APU_BASE!$Q$7:$Q$782,APU_BASE!$A$7:$A$782,E26)</f>
        <v>221.272786137678</v>
      </c>
      <c r="D26" s="11" t="n">
        <v>238.24</v>
      </c>
      <c r="E26" s="7" t="s">
        <v>791</v>
      </c>
      <c r="F26" s="7" t="s">
        <v>273</v>
      </c>
    </row>
    <row r="27" customFormat="false" ht="15" hidden="false" customHeight="false" outlineLevel="0" collapsed="false">
      <c r="A27" s="7" t="s">
        <v>514</v>
      </c>
      <c r="B27" s="7" t="s">
        <v>515</v>
      </c>
      <c r="C27" s="11" t="n">
        <f aca="false">SUMIFS(APU_BASE!$Q$7:$Q$782,APU_BASE!$A$7:$A$782,E27)</f>
        <v>478.751676694297</v>
      </c>
      <c r="D27" s="11" t="n">
        <v>587.74</v>
      </c>
      <c r="E27" s="7" t="s">
        <v>795</v>
      </c>
      <c r="F27" s="7" t="s">
        <v>16</v>
      </c>
    </row>
    <row r="28" customFormat="false" ht="15" hidden="false" customHeight="false" outlineLevel="0" collapsed="false">
      <c r="A28" s="7" t="s">
        <v>652</v>
      </c>
      <c r="B28" s="7" t="s">
        <v>653</v>
      </c>
      <c r="C28" s="11" t="n">
        <f aca="false">SUMIFS(APU_BASE!$Q$7:$Q$782,APU_BASE!$A$7:$A$782,E28)</f>
        <v>52.8647966543872</v>
      </c>
      <c r="D28" s="11" t="n">
        <v>68.47</v>
      </c>
      <c r="E28" s="7" t="s">
        <v>802</v>
      </c>
      <c r="F28" s="7" t="s">
        <v>273</v>
      </c>
    </row>
  </sheetData>
  <mergeCells count="5">
    <mergeCell ref="A1:F1"/>
    <mergeCell ref="A2:F2"/>
    <mergeCell ref="A3:F3"/>
    <mergeCell ref="A4:F4"/>
    <mergeCell ref="A5:F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true"/>
  </sheetPr>
  <dimension ref="A1:L1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5"/>
    <col collapsed="false" customWidth="true" hidden="false" outlineLevel="0" max="3" min="3" style="0" width="9"/>
    <col collapsed="false" customWidth="true" hidden="false" outlineLevel="0" max="4" min="4" style="0" width="58"/>
    <col collapsed="false" customWidth="true" hidden="false" outlineLevel="0" max="5" min="5" style="0" width="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10" min="8" style="0" width="12"/>
    <col collapsed="false" customWidth="true" hidden="false" outlineLevel="0" max="11" min="11" style="0" width="13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9.5" hidden="false" customHeight="true" outlineLevel="0" collapsed="false">
      <c r="A4" s="4" t="s">
        <v>820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5" t="s">
        <v>821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36" hidden="false" customHeight="true" outlineLevel="0" collapsed="false">
      <c r="A6" s="6" t="s">
        <v>251</v>
      </c>
      <c r="B6" s="6" t="s">
        <v>252</v>
      </c>
      <c r="C6" s="6" t="s">
        <v>253</v>
      </c>
      <c r="D6" s="6" t="s">
        <v>254</v>
      </c>
      <c r="E6" s="6" t="s">
        <v>260</v>
      </c>
      <c r="F6" s="6" t="s">
        <v>256</v>
      </c>
      <c r="G6" s="6" t="s">
        <v>822</v>
      </c>
      <c r="H6" s="6" t="s">
        <v>818</v>
      </c>
      <c r="I6" s="6" t="s">
        <v>823</v>
      </c>
      <c r="J6" s="6" t="s">
        <v>824</v>
      </c>
      <c r="K6" s="6" t="s">
        <v>825</v>
      </c>
      <c r="L6" s="6" t="s">
        <v>826</v>
      </c>
    </row>
    <row r="7" customFormat="false" ht="15" hidden="false" customHeight="false" outlineLevel="0" collapsed="false">
      <c r="A7" s="7" t="s">
        <v>269</v>
      </c>
      <c r="B7" s="7" t="s">
        <v>270</v>
      </c>
      <c r="C7" s="7" t="s">
        <v>271</v>
      </c>
      <c r="D7" s="7" t="s">
        <v>272</v>
      </c>
      <c r="E7" s="7" t="s">
        <v>273</v>
      </c>
      <c r="F7" s="11" t="n">
        <v>60135.17</v>
      </c>
      <c r="G7" s="11" t="n">
        <f aca="false">SUMIFS(APU_BASE!$N$7:$N$782,APU_BASE!$A$7:$A$782,A7)</f>
        <v>60135.17</v>
      </c>
      <c r="H7" s="11" t="n">
        <f aca="false">SUMIFS(APU_BASE!$Q$7:$Q$782,APU_BASE!$A$7:$A$782,A7)</f>
        <v>77351.619070486</v>
      </c>
      <c r="I7" s="11" t="n">
        <f aca="false">SUMIFS(APU_BASE!$Q$7:$Q$782,APU_BASE!$A$7:$A$782,A7,APU_BASE!$O$7:$O$782,"NC")</f>
        <v>0</v>
      </c>
      <c r="J7" s="11" t="n">
        <f aca="false">SUMIFS(APU_BASE!$Q$7:$Q$782,APU_BASE!$A$7:$A$782,A7,APU_BASE!$O$7:$O$782,"C")</f>
        <v>0</v>
      </c>
      <c r="K7" s="11" t="n">
        <f aca="false">H7-I7-J7</f>
        <v>77351.619070486</v>
      </c>
      <c r="L7" s="14" t="n">
        <f aca="false">IF(F7=0,0,H7/F7-1)</f>
        <v>0.286295841027572</v>
      </c>
    </row>
    <row r="8" customFormat="false" ht="15" hidden="false" customHeight="false" outlineLevel="0" collapsed="false">
      <c r="A8" s="9" t="s">
        <v>278</v>
      </c>
      <c r="B8" s="9" t="s">
        <v>270</v>
      </c>
      <c r="C8" s="9" t="s">
        <v>279</v>
      </c>
      <c r="D8" s="9" t="s">
        <v>280</v>
      </c>
      <c r="E8" s="9" t="s">
        <v>18</v>
      </c>
      <c r="F8" s="10" t="n">
        <v>27992.8</v>
      </c>
      <c r="G8" s="11" t="n">
        <f aca="false">SUMIFS(APU_BASE!$N$7:$N$782,APU_BASE!$A$7:$A$782,A8)</f>
        <v>27992.8</v>
      </c>
      <c r="H8" s="11" t="n">
        <f aca="false">SUMIFS(APU_BASE!$Q$7:$Q$782,APU_BASE!$A$7:$A$782,A8)</f>
        <v>33977.6532379937</v>
      </c>
      <c r="I8" s="11" t="n">
        <f aca="false">SUMIFS(APU_BASE!$Q$7:$Q$782,APU_BASE!$A$7:$A$782,A8,APU_BASE!$O$7:$O$782,"NC")</f>
        <v>1600</v>
      </c>
      <c r="J8" s="11" t="n">
        <f aca="false">SUMIFS(APU_BASE!$Q$7:$Q$782,APU_BASE!$A$7:$A$782,A8,APU_BASE!$O$7:$O$782,"C")</f>
        <v>1192.49106078665</v>
      </c>
      <c r="K8" s="11" t="n">
        <f aca="false">H8-I8-J8</f>
        <v>31185.162177207</v>
      </c>
      <c r="L8" s="14" t="n">
        <f aca="false">IF(F8=0,0,H8/F8-1)</f>
        <v>0.213799735574636</v>
      </c>
    </row>
    <row r="9" customFormat="false" ht="15" hidden="false" customHeight="false" outlineLevel="0" collapsed="false">
      <c r="A9" s="7" t="s">
        <v>300</v>
      </c>
      <c r="B9" s="7" t="s">
        <v>270</v>
      </c>
      <c r="C9" s="7" t="s">
        <v>301</v>
      </c>
      <c r="D9" s="7" t="s">
        <v>302</v>
      </c>
      <c r="E9" s="7" t="s">
        <v>18</v>
      </c>
      <c r="F9" s="11" t="n">
        <v>4665.44</v>
      </c>
      <c r="G9" s="11" t="n">
        <f aca="false">SUMIFS(APU_BASE!$N$7:$N$782,APU_BASE!$A$7:$A$782,A9)</f>
        <v>4665.44</v>
      </c>
      <c r="H9" s="11" t="n">
        <f aca="false">SUMIFS(APU_BASE!$Q$7:$Q$782,APU_BASE!$A$7:$A$782,A9)</f>
        <v>5662.92134553955</v>
      </c>
      <c r="I9" s="11" t="n">
        <f aca="false">SUMIFS(APU_BASE!$Q$7:$Q$782,APU_BASE!$A$7:$A$782,A9,APU_BASE!$O$7:$O$782,"NC")</f>
        <v>266.66625</v>
      </c>
      <c r="J9" s="11" t="n">
        <f aca="false">SUMIFS(APU_BASE!$Q$7:$Q$782,APU_BASE!$A$7:$A$782,A9,APU_BASE!$O$7:$O$782,"C")</f>
        <v>198.749611889154</v>
      </c>
      <c r="K9" s="11" t="n">
        <f aca="false">H9-I9-J9</f>
        <v>5197.5054836504</v>
      </c>
      <c r="L9" s="14" t="n">
        <f aca="false">IF(F9=0,0,H9/F9-1)</f>
        <v>0.213802202051586</v>
      </c>
    </row>
    <row r="10" customFormat="false" ht="15" hidden="false" customHeight="false" outlineLevel="0" collapsed="false">
      <c r="A10" s="9" t="s">
        <v>303</v>
      </c>
      <c r="B10" s="9" t="s">
        <v>270</v>
      </c>
      <c r="C10" s="9" t="s">
        <v>304</v>
      </c>
      <c r="D10" s="9" t="s">
        <v>305</v>
      </c>
      <c r="E10" s="9" t="s">
        <v>18</v>
      </c>
      <c r="F10" s="10" t="n">
        <v>583.87</v>
      </c>
      <c r="G10" s="11" t="n">
        <f aca="false">SUMIFS(APU_BASE!$N$7:$N$782,APU_BASE!$A$7:$A$782,A10)</f>
        <v>583.87</v>
      </c>
      <c r="H10" s="11" t="n">
        <f aca="false">SUMIFS(APU_BASE!$Q$7:$Q$782,APU_BASE!$A$7:$A$782,A10)</f>
        <v>493.527488989706</v>
      </c>
      <c r="I10" s="11" t="n">
        <f aca="false">SUMIFS(APU_BASE!$Q$7:$Q$782,APU_BASE!$A$7:$A$782,A10,APU_BASE!$O$7:$O$782,"NC")</f>
        <v>187.5</v>
      </c>
      <c r="J10" s="11" t="n">
        <f aca="false">SUMIFS(APU_BASE!$Q$7:$Q$782,APU_BASE!$A$7:$A$782,A10,APU_BASE!$O$7:$O$782,"C")</f>
        <v>156.510727056019</v>
      </c>
      <c r="K10" s="11" t="n">
        <f aca="false">H10-I10-J10</f>
        <v>149.516761933687</v>
      </c>
      <c r="L10" s="14" t="n">
        <f aca="false">IF(F10=0,0,H10/F10-1)</f>
        <v>-0.154730523935626</v>
      </c>
    </row>
    <row r="11" customFormat="false" ht="15" hidden="false" customHeight="false" outlineLevel="0" collapsed="false">
      <c r="A11" s="7" t="s">
        <v>330</v>
      </c>
      <c r="B11" s="7" t="s">
        <v>270</v>
      </c>
      <c r="C11" s="7" t="s">
        <v>331</v>
      </c>
      <c r="D11" s="7" t="s">
        <v>332</v>
      </c>
      <c r="E11" s="7" t="s">
        <v>12</v>
      </c>
      <c r="F11" s="11" t="n">
        <v>285.04</v>
      </c>
      <c r="G11" s="11" t="n">
        <f aca="false">SUMIFS(APU_BASE!$N$7:$N$782,APU_BASE!$A$7:$A$782,A11)</f>
        <v>285.04</v>
      </c>
      <c r="H11" s="11" t="n">
        <f aca="false">SUMIFS(APU_BASE!$Q$7:$Q$782,APU_BASE!$A$7:$A$782,A11)</f>
        <v>212.337139451728</v>
      </c>
      <c r="I11" s="11" t="n">
        <f aca="false">SUMIFS(APU_BASE!$Q$7:$Q$782,APU_BASE!$A$7:$A$782,A11,APU_BASE!$O$7:$O$782,"NC")</f>
        <v>200</v>
      </c>
      <c r="J11" s="11" t="n">
        <f aca="false">SUMIFS(APU_BASE!$Q$7:$Q$782,APU_BASE!$A$7:$A$782,A11,APU_BASE!$O$7:$O$782,"C")</f>
        <v>6.15256257449344</v>
      </c>
      <c r="K11" s="11" t="n">
        <f aca="false">H11-I11-J11</f>
        <v>6.18457687723482</v>
      </c>
      <c r="L11" s="14" t="n">
        <f aca="false">IF(F11=0,0,H11/F11-1)</f>
        <v>-0.255061958140162</v>
      </c>
    </row>
    <row r="12" customFormat="false" ht="15" hidden="false" customHeight="false" outlineLevel="0" collapsed="false">
      <c r="A12" s="9" t="s">
        <v>333</v>
      </c>
      <c r="B12" s="9" t="s">
        <v>270</v>
      </c>
      <c r="C12" s="9" t="s">
        <v>334</v>
      </c>
      <c r="D12" s="9" t="s">
        <v>335</v>
      </c>
      <c r="E12" s="9" t="s">
        <v>16</v>
      </c>
      <c r="F12" s="10" t="n">
        <v>6000</v>
      </c>
      <c r="G12" s="11" t="n">
        <f aca="false">SUMIFS(APU_BASE!$N$7:$N$782,APU_BASE!$A$7:$A$782,A12)</f>
        <v>6000</v>
      </c>
      <c r="H12" s="11" t="n">
        <f aca="false">SUMIFS(APU_BASE!$Q$7:$Q$782,APU_BASE!$A$7:$A$782,A12)</f>
        <v>7717.77504616543</v>
      </c>
      <c r="I12" s="11" t="n">
        <f aca="false">SUMIFS(APU_BASE!$Q$7:$Q$782,APU_BASE!$A$7:$A$782,A12,APU_BASE!$O$7:$O$782,"NC")</f>
        <v>0</v>
      </c>
      <c r="J12" s="11" t="n">
        <f aca="false">SUMIFS(APU_BASE!$Q$7:$Q$782,APU_BASE!$A$7:$A$782,A12,APU_BASE!$O$7:$O$782,"C")</f>
        <v>7717.77504616543</v>
      </c>
      <c r="K12" s="11" t="n">
        <f aca="false">H12-I12-J12</f>
        <v>0</v>
      </c>
      <c r="L12" s="14" t="n">
        <f aca="false">IF(F12=0,0,H12/F12-1)</f>
        <v>0.286295841027572</v>
      </c>
    </row>
    <row r="13" customFormat="false" ht="15" hidden="false" customHeight="false" outlineLevel="0" collapsed="false">
      <c r="A13" s="7" t="s">
        <v>338</v>
      </c>
      <c r="B13" s="7" t="s">
        <v>270</v>
      </c>
      <c r="C13" s="7" t="s">
        <v>339</v>
      </c>
      <c r="D13" s="7" t="s">
        <v>340</v>
      </c>
      <c r="E13" s="7" t="s">
        <v>341</v>
      </c>
      <c r="F13" s="11" t="n">
        <v>202.06</v>
      </c>
      <c r="G13" s="11" t="n">
        <f aca="false">SUMIFS(APU_BASE!$N$7:$N$782,APU_BASE!$A$7:$A$782,A13)</f>
        <v>202.06</v>
      </c>
      <c r="H13" s="11" t="n">
        <f aca="false">SUMIFS(APU_BASE!$Q$7:$Q$782,APU_BASE!$A$7:$A$782,A13)</f>
        <v>259.908937638031</v>
      </c>
      <c r="I13" s="11" t="n">
        <f aca="false">SUMIFS(APU_BASE!$Q$7:$Q$782,APU_BASE!$A$7:$A$782,A13,APU_BASE!$O$7:$O$782,"NC")</f>
        <v>0</v>
      </c>
      <c r="J13" s="11" t="n">
        <f aca="false">SUMIFS(APU_BASE!$Q$7:$Q$782,APU_BASE!$A$7:$A$782,A13,APU_BASE!$O$7:$O$782,"C")</f>
        <v>0</v>
      </c>
      <c r="K13" s="11" t="n">
        <f aca="false">H13-I13-J13</f>
        <v>259.908937638031</v>
      </c>
      <c r="L13" s="14" t="n">
        <f aca="false">IF(F13=0,0,H13/F13-1)</f>
        <v>0.286295841027572</v>
      </c>
    </row>
    <row r="14" customFormat="false" ht="15" hidden="false" customHeight="false" outlineLevel="0" collapsed="false">
      <c r="A14" s="9" t="s">
        <v>356</v>
      </c>
      <c r="B14" s="9" t="s">
        <v>270</v>
      </c>
      <c r="C14" s="9" t="s">
        <v>357</v>
      </c>
      <c r="D14" s="9" t="s">
        <v>358</v>
      </c>
      <c r="E14" s="9" t="s">
        <v>16</v>
      </c>
      <c r="F14" s="10" t="n">
        <v>4445.55</v>
      </c>
      <c r="G14" s="11" t="n">
        <f aca="false">SUMIFS(APU_BASE!$N$7:$N$782,APU_BASE!$A$7:$A$782,A14)</f>
        <v>4445.55</v>
      </c>
      <c r="H14" s="11" t="n">
        <f aca="false">SUMIFS(APU_BASE!$Q$7:$Q$782,APU_BASE!$A$7:$A$782,A14)</f>
        <v>5255.33284128308</v>
      </c>
      <c r="I14" s="11" t="n">
        <f aca="false">SUMIFS(APU_BASE!$Q$7:$Q$782,APU_BASE!$A$7:$A$782,A14,APU_BASE!$O$7:$O$782,"NC")</f>
        <v>400</v>
      </c>
      <c r="J14" s="11" t="n">
        <f aca="false">SUMIFS(APU_BASE!$Q$7:$Q$782,APU_BASE!$A$7:$A$782,A14,APU_BASE!$O$7:$O$782,"C")</f>
        <v>216.716328963051</v>
      </c>
      <c r="K14" s="11" t="n">
        <f aca="false">H14-I14-J14</f>
        <v>4638.61651232002</v>
      </c>
      <c r="L14" s="14" t="n">
        <f aca="false">IF(F14=0,0,H14/F14-1)</f>
        <v>0.182155828026471</v>
      </c>
    </row>
    <row r="15" customFormat="false" ht="15" hidden="false" customHeight="false" outlineLevel="0" collapsed="false">
      <c r="A15" s="7" t="s">
        <v>373</v>
      </c>
      <c r="B15" s="7" t="s">
        <v>270</v>
      </c>
      <c r="C15" s="7" t="s">
        <v>374</v>
      </c>
      <c r="D15" s="7" t="s">
        <v>375</v>
      </c>
      <c r="E15" s="7" t="s">
        <v>341</v>
      </c>
      <c r="F15" s="11" t="n">
        <v>7.45</v>
      </c>
      <c r="G15" s="11" t="n">
        <f aca="false">SUMIFS(APU_BASE!$N$7:$N$782,APU_BASE!$A$7:$A$782,A15)</f>
        <v>7.45</v>
      </c>
      <c r="H15" s="11" t="n">
        <f aca="false">SUMIFS(APU_BASE!$Q$7:$Q$782,APU_BASE!$A$7:$A$782,A15)</f>
        <v>5.54607121573302</v>
      </c>
      <c r="I15" s="11" t="n">
        <f aca="false">SUMIFS(APU_BASE!$Q$7:$Q$782,APU_BASE!$A$7:$A$782,A15,APU_BASE!$O$7:$O$782,"NC")</f>
        <v>5</v>
      </c>
      <c r="J15" s="11" t="n">
        <f aca="false">SUMIFS(APU_BASE!$Q$7:$Q$782,APU_BASE!$A$7:$A$782,A15,APU_BASE!$O$7:$O$782,"C")</f>
        <v>0.38453516090584</v>
      </c>
      <c r="K15" s="11" t="n">
        <f aca="false">H15-I15-J15</f>
        <v>0.161536054827176</v>
      </c>
      <c r="L15" s="14" t="n">
        <f aca="false">IF(F15=0,0,H15/F15-1)</f>
        <v>-0.255560910639864</v>
      </c>
    </row>
    <row r="16" customFormat="false" ht="15" hidden="false" customHeight="false" outlineLevel="0" collapsed="false">
      <c r="A16" s="9" t="s">
        <v>376</v>
      </c>
      <c r="B16" s="9" t="s">
        <v>270</v>
      </c>
      <c r="C16" s="9" t="s">
        <v>377</v>
      </c>
      <c r="D16" s="9" t="s">
        <v>378</v>
      </c>
      <c r="E16" s="9" t="s">
        <v>273</v>
      </c>
      <c r="F16" s="10" t="n">
        <v>63.82</v>
      </c>
      <c r="G16" s="11" t="n">
        <f aca="false">SUMIFS(APU_BASE!$N$7:$N$782,APU_BASE!$A$7:$A$782,A16)</f>
        <v>63.82</v>
      </c>
      <c r="H16" s="11" t="n">
        <f aca="false">SUMIFS(APU_BASE!$Q$7:$Q$782,APU_BASE!$A$7:$A$782,A16)</f>
        <v>47.5371394517283</v>
      </c>
      <c r="I16" s="11" t="n">
        <f aca="false">SUMIFS(APU_BASE!$Q$7:$Q$782,APU_BASE!$A$7:$A$782,A16,APU_BASE!$O$7:$O$782,"NC")</f>
        <v>40</v>
      </c>
      <c r="J16" s="11" t="n">
        <f aca="false">SUMIFS(APU_BASE!$Q$7:$Q$782,APU_BASE!$A$7:$A$782,A16,APU_BASE!$O$7:$O$782,"C")</f>
        <v>6.15256257449344</v>
      </c>
      <c r="K16" s="11" t="n">
        <f aca="false">H16-I16-J16</f>
        <v>1.38457687723481</v>
      </c>
      <c r="L16" s="14" t="n">
        <f aca="false">IF(F16=0,0,H16/F16-1)</f>
        <v>-0.255137269637602</v>
      </c>
    </row>
    <row r="17" customFormat="false" ht="15" hidden="false" customHeight="false" outlineLevel="0" collapsed="false">
      <c r="A17" s="7" t="s">
        <v>379</v>
      </c>
      <c r="B17" s="7" t="s">
        <v>270</v>
      </c>
      <c r="C17" s="7" t="s">
        <v>380</v>
      </c>
      <c r="D17" s="7" t="s">
        <v>381</v>
      </c>
      <c r="E17" s="7" t="s">
        <v>341</v>
      </c>
      <c r="F17" s="11" t="n">
        <v>3.19</v>
      </c>
      <c r="G17" s="11" t="n">
        <f aca="false">SUMIFS(APU_BASE!$N$7:$N$782,APU_BASE!$A$7:$A$782,A17)</f>
        <v>3.19</v>
      </c>
      <c r="H17" s="11" t="n">
        <f aca="false">SUMIFS(APU_BASE!$Q$7:$Q$782,APU_BASE!$A$7:$A$782,A17)</f>
        <v>3.04810217340461</v>
      </c>
      <c r="I17" s="11" t="n">
        <f aca="false">SUMIFS(APU_BASE!$Q$7:$Q$782,APU_BASE!$A$7:$A$782,A17,APU_BASE!$O$7:$O$782,"NC")</f>
        <v>0.8</v>
      </c>
      <c r="J17" s="11" t="n">
        <f aca="false">SUMIFS(APU_BASE!$Q$7:$Q$782,APU_BASE!$A$7:$A$782,A17,APU_BASE!$O$7:$O$782,"C")</f>
        <v>0.620762812872467</v>
      </c>
      <c r="K17" s="11" t="n">
        <f aca="false">H17-I17-J17</f>
        <v>1.62733936053214</v>
      </c>
      <c r="L17" s="14" t="n">
        <f aca="false">IF(F17=0,0,H17/F17-1)</f>
        <v>-0.0444820773026304</v>
      </c>
    </row>
    <row r="18" customFormat="false" ht="15" hidden="false" customHeight="false" outlineLevel="0" collapsed="false">
      <c r="A18" s="9" t="s">
        <v>384</v>
      </c>
      <c r="B18" s="9" t="s">
        <v>270</v>
      </c>
      <c r="C18" s="9" t="s">
        <v>385</v>
      </c>
      <c r="D18" s="9" t="s">
        <v>386</v>
      </c>
      <c r="E18" s="9" t="s">
        <v>273</v>
      </c>
      <c r="F18" s="10" t="n">
        <v>166</v>
      </c>
      <c r="G18" s="11" t="n">
        <f aca="false">SUMIFS(APU_BASE!$N$7:$N$782,APU_BASE!$A$7:$A$782,A18)</f>
        <v>166</v>
      </c>
      <c r="H18" s="11" t="n">
        <f aca="false">SUMIFS(APU_BASE!$Q$7:$Q$782,APU_BASE!$A$7:$A$782,A18)</f>
        <v>125.614513841099</v>
      </c>
      <c r="I18" s="11" t="n">
        <f aca="false">SUMIFS(APU_BASE!$Q$7:$Q$782,APU_BASE!$A$7:$A$782,A18,APU_BASE!$O$7:$O$782,"NC")</f>
        <v>25</v>
      </c>
      <c r="J18" s="11" t="n">
        <f aca="false">SUMIFS(APU_BASE!$Q$7:$Q$782,APU_BASE!$A$7:$A$782,A18,APU_BASE!$O$7:$O$782,"C")</f>
        <v>8.83566746126341</v>
      </c>
      <c r="K18" s="11" t="n">
        <f aca="false">H18-I18-J18</f>
        <v>91.778846379836</v>
      </c>
      <c r="L18" s="14" t="n">
        <f aca="false">IF(F18=0,0,H18/F18-1)</f>
        <v>-0.243286061198196</v>
      </c>
    </row>
    <row r="19" customFormat="false" ht="15" hidden="false" customHeight="false" outlineLevel="0" collapsed="false">
      <c r="A19" s="7" t="s">
        <v>389</v>
      </c>
      <c r="B19" s="7" t="s">
        <v>270</v>
      </c>
      <c r="C19" s="7" t="s">
        <v>390</v>
      </c>
      <c r="D19" s="7" t="s">
        <v>391</v>
      </c>
      <c r="E19" s="7" t="s">
        <v>16</v>
      </c>
      <c r="F19" s="11" t="n">
        <v>1.73</v>
      </c>
      <c r="G19" s="11" t="n">
        <f aca="false">SUMIFS(APU_BASE!$N$7:$N$782,APU_BASE!$A$7:$A$782,A19)</f>
        <v>1.73</v>
      </c>
      <c r="H19" s="11" t="n">
        <f aca="false">SUMIFS(APU_BASE!$Q$7:$Q$782,APU_BASE!$A$7:$A$782,A19)</f>
        <v>1.29241597884386</v>
      </c>
      <c r="I19" s="11" t="n">
        <f aca="false">SUMIFS(APU_BASE!$Q$7:$Q$782,APU_BASE!$A$7:$A$782,A19,APU_BASE!$O$7:$O$782,"NC")</f>
        <v>1.0875</v>
      </c>
      <c r="J19" s="11" t="n">
        <f aca="false">SUMIFS(APU_BASE!$Q$7:$Q$782,APU_BASE!$A$7:$A$782,A19,APU_BASE!$O$7:$O$782,"C")</f>
        <v>0.167272794994041</v>
      </c>
      <c r="K19" s="11" t="n">
        <f aca="false">H19-I19-J19</f>
        <v>0.0376431838498212</v>
      </c>
      <c r="L19" s="14" t="n">
        <f aca="false">IF(F19=0,0,H19/F19-1)</f>
        <v>-0.252938740552681</v>
      </c>
    </row>
    <row r="20" customFormat="false" ht="15" hidden="false" customHeight="false" outlineLevel="0" collapsed="false">
      <c r="A20" s="9" t="s">
        <v>392</v>
      </c>
      <c r="B20" s="9" t="s">
        <v>270</v>
      </c>
      <c r="C20" s="9" t="s">
        <v>393</v>
      </c>
      <c r="D20" s="9" t="s">
        <v>394</v>
      </c>
      <c r="E20" s="9" t="s">
        <v>16</v>
      </c>
      <c r="F20" s="10" t="n">
        <v>1.17</v>
      </c>
      <c r="G20" s="11" t="n">
        <f aca="false">SUMIFS(APU_BASE!$N$7:$N$782,APU_BASE!$A$7:$A$782,A20)</f>
        <v>1.17</v>
      </c>
      <c r="H20" s="11" t="n">
        <f aca="false">SUMIFS(APU_BASE!$Q$7:$Q$782,APU_BASE!$A$7:$A$782,A20)</f>
        <v>0.980073747095067</v>
      </c>
      <c r="I20" s="11" t="n">
        <f aca="false">SUMIFS(APU_BASE!$Q$7:$Q$782,APU_BASE!$A$7:$A$782,A20,APU_BASE!$O$7:$O$782,"NC")</f>
        <v>0.625</v>
      </c>
      <c r="J20" s="11" t="n">
        <f aca="false">SUMIFS(APU_BASE!$Q$7:$Q$782,APU_BASE!$A$7:$A$782,A20,APU_BASE!$O$7:$O$782,"C")</f>
        <v>0.0691299165673421</v>
      </c>
      <c r="K20" s="11" t="n">
        <f aca="false">H20-I20-J20</f>
        <v>0.285943830527725</v>
      </c>
      <c r="L20" s="14" t="n">
        <f aca="false">IF(F20=0,0,H20/F20-1)</f>
        <v>-0.162330130687977</v>
      </c>
    </row>
    <row r="21" customFormat="false" ht="15" hidden="false" customHeight="false" outlineLevel="0" collapsed="false">
      <c r="A21" s="7" t="s">
        <v>401</v>
      </c>
      <c r="B21" s="7" t="s">
        <v>270</v>
      </c>
      <c r="C21" s="7" t="s">
        <v>402</v>
      </c>
      <c r="D21" s="7" t="s">
        <v>403</v>
      </c>
      <c r="E21" s="7" t="s">
        <v>16</v>
      </c>
      <c r="F21" s="11" t="n">
        <v>0.16</v>
      </c>
      <c r="G21" s="11" t="n">
        <f aca="false">SUMIFS(APU_BASE!$N$7:$N$782,APU_BASE!$A$7:$A$782,A21)</f>
        <v>0.16</v>
      </c>
      <c r="H21" s="11" t="n">
        <f aca="false">SUMIFS(APU_BASE!$Q$7:$Q$782,APU_BASE!$A$7:$A$782,A21)</f>
        <v>0.16121842547914</v>
      </c>
      <c r="I21" s="11" t="n">
        <f aca="false">SUMIFS(APU_BASE!$Q$7:$Q$782,APU_BASE!$A$7:$A$782,A21,APU_BASE!$O$7:$O$782,"NC")</f>
        <v>0.03375</v>
      </c>
      <c r="J21" s="11" t="n">
        <f aca="false">SUMIFS(APU_BASE!$Q$7:$Q$782,APU_BASE!$A$7:$A$782,A21,APU_BASE!$O$7:$O$782,"C")</f>
        <v>0.0179737783075089</v>
      </c>
      <c r="K21" s="11" t="n">
        <f aca="false">H21-I21-J21</f>
        <v>0.109494647171631</v>
      </c>
      <c r="L21" s="14" t="n">
        <f aca="false">IF(F21=0,0,H21/F21-1)</f>
        <v>0.00761515924462475</v>
      </c>
    </row>
    <row r="22" customFormat="false" ht="15" hidden="false" customHeight="false" outlineLevel="0" collapsed="false">
      <c r="A22" s="9" t="s">
        <v>406</v>
      </c>
      <c r="B22" s="9" t="s">
        <v>270</v>
      </c>
      <c r="C22" s="9" t="s">
        <v>407</v>
      </c>
      <c r="D22" s="9" t="s">
        <v>408</v>
      </c>
      <c r="E22" s="9" t="s">
        <v>16</v>
      </c>
      <c r="F22" s="10" t="n">
        <v>0.34</v>
      </c>
      <c r="G22" s="11" t="n">
        <f aca="false">SUMIFS(APU_BASE!$N$7:$N$782,APU_BASE!$A$7:$A$782,A22)</f>
        <v>0.3439</v>
      </c>
      <c r="H22" s="11" t="n">
        <f aca="false">SUMIFS(APU_BASE!$Q$7:$Q$782,APU_BASE!$A$7:$A$782,A22)</f>
        <v>0.375495206197838</v>
      </c>
      <c r="I22" s="11" t="n">
        <f aca="false">SUMIFS(APU_BASE!$Q$7:$Q$782,APU_BASE!$A$7:$A$782,A22,APU_BASE!$O$7:$O$782,"NC")</f>
        <v>0.08375</v>
      </c>
      <c r="J22" s="11" t="n">
        <f aca="false">SUMIFS(APU_BASE!$Q$7:$Q$782,APU_BASE!$A$7:$A$782,A22,APU_BASE!$O$7:$O$782,"C")</f>
        <v>0.0134587306317044</v>
      </c>
      <c r="K22" s="11" t="n">
        <f aca="false">H22-I22-J22</f>
        <v>0.278286475566134</v>
      </c>
      <c r="L22" s="14" t="n">
        <f aca="false">IF(F22=0,0,H22/F22-1)</f>
        <v>0.104397665287759</v>
      </c>
    </row>
    <row r="23" customFormat="false" ht="15" hidden="false" customHeight="false" outlineLevel="0" collapsed="false">
      <c r="A23" s="7" t="s">
        <v>412</v>
      </c>
      <c r="B23" s="7" t="s">
        <v>270</v>
      </c>
      <c r="C23" s="7" t="s">
        <v>413</v>
      </c>
      <c r="D23" s="7" t="s">
        <v>414</v>
      </c>
      <c r="E23" s="7" t="s">
        <v>341</v>
      </c>
      <c r="F23" s="11" t="n">
        <v>0.81</v>
      </c>
      <c r="G23" s="11" t="n">
        <f aca="false">SUMIFS(APU_BASE!$N$7:$N$782,APU_BASE!$A$7:$A$782,A23)</f>
        <v>0.81</v>
      </c>
      <c r="H23" s="11" t="n">
        <f aca="false">SUMIFS(APU_BASE!$Q$7:$Q$782,APU_BASE!$A$7:$A$782,A23)</f>
        <v>0.616958125443632</v>
      </c>
      <c r="I23" s="11" t="n">
        <f aca="false">SUMIFS(APU_BASE!$Q$7:$Q$782,APU_BASE!$A$7:$A$782,A23,APU_BASE!$O$7:$O$782,"NC")</f>
        <v>0.5</v>
      </c>
      <c r="J23" s="11" t="n">
        <f aca="false">SUMIFS(APU_BASE!$Q$7:$Q$782,APU_BASE!$A$7:$A$782,A23,APU_BASE!$O$7:$O$782,"C")</f>
        <v>0.0769070321811681</v>
      </c>
      <c r="K23" s="11" t="n">
        <f aca="false">H23-I23-J23</f>
        <v>0.0400510932624636</v>
      </c>
      <c r="L23" s="14" t="n">
        <f aca="false">IF(F23=0,0,H23/F23-1)</f>
        <v>-0.238323301921442</v>
      </c>
    </row>
    <row r="24" customFormat="false" ht="15" hidden="false" customHeight="false" outlineLevel="0" collapsed="false">
      <c r="A24" s="9" t="s">
        <v>417</v>
      </c>
      <c r="B24" s="9" t="s">
        <v>270</v>
      </c>
      <c r="C24" s="9" t="s">
        <v>418</v>
      </c>
      <c r="D24" s="9" t="s">
        <v>419</v>
      </c>
      <c r="E24" s="9" t="s">
        <v>16</v>
      </c>
      <c r="F24" s="10" t="n">
        <v>1.48</v>
      </c>
      <c r="G24" s="11" t="n">
        <f aca="false">SUMIFS(APU_BASE!$N$7:$N$782,APU_BASE!$A$7:$A$782,A24)</f>
        <v>1.48</v>
      </c>
      <c r="H24" s="11" t="n">
        <f aca="false">SUMIFS(APU_BASE!$Q$7:$Q$782,APU_BASE!$A$7:$A$782,A24)</f>
        <v>1.40960514858264</v>
      </c>
      <c r="I24" s="11" t="n">
        <f aca="false">SUMIFS(APU_BASE!$Q$7:$Q$782,APU_BASE!$A$7:$A$782,A24,APU_BASE!$O$7:$O$782,"NC")</f>
        <v>0.625</v>
      </c>
      <c r="J24" s="11" t="n">
        <f aca="false">SUMIFS(APU_BASE!$Q$7:$Q$782,APU_BASE!$A$7:$A$782,A24,APU_BASE!$O$7:$O$782,"C")</f>
        <v>0.019226758045292</v>
      </c>
      <c r="K24" s="11" t="n">
        <f aca="false">H24-I24-J24</f>
        <v>0.76537839053735</v>
      </c>
      <c r="L24" s="14" t="n">
        <f aca="false">IF(F24=0,0,H24/F24-1)</f>
        <v>-0.047564088795512</v>
      </c>
    </row>
    <row r="25" customFormat="false" ht="15" hidden="false" customHeight="false" outlineLevel="0" collapsed="false">
      <c r="A25" s="7" t="s">
        <v>420</v>
      </c>
      <c r="B25" s="7" t="s">
        <v>270</v>
      </c>
      <c r="C25" s="7" t="s">
        <v>421</v>
      </c>
      <c r="D25" s="7" t="s">
        <v>422</v>
      </c>
      <c r="E25" s="7" t="s">
        <v>16</v>
      </c>
      <c r="F25" s="11" t="n">
        <v>1.05</v>
      </c>
      <c r="G25" s="11" t="n">
        <f aca="false">SUMIFS(APU_BASE!$N$7:$N$782,APU_BASE!$A$7:$A$782,A25)</f>
        <v>1.05</v>
      </c>
      <c r="H25" s="11" t="n">
        <f aca="false">SUMIFS(APU_BASE!$Q$7:$Q$782,APU_BASE!$A$7:$A$782,A25)</f>
        <v>0.833670405691728</v>
      </c>
      <c r="I25" s="11" t="n">
        <f aca="false">SUMIFS(APU_BASE!$Q$7:$Q$782,APU_BASE!$A$7:$A$782,A25,APU_BASE!$O$7:$O$782,"NC")</f>
        <v>0.625</v>
      </c>
      <c r="J25" s="11" t="n">
        <f aca="false">SUMIFS(APU_BASE!$Q$7:$Q$782,APU_BASE!$A$7:$A$782,A25,APU_BASE!$O$7:$O$782,"C")</f>
        <v>0.019226758045292</v>
      </c>
      <c r="K25" s="11" t="n">
        <f aca="false">H25-I25-J25</f>
        <v>0.189443647646436</v>
      </c>
      <c r="L25" s="14" t="n">
        <f aca="false">IF(F25=0,0,H25/F25-1)</f>
        <v>-0.206028185055498</v>
      </c>
    </row>
    <row r="26" customFormat="false" ht="15" hidden="false" customHeight="false" outlineLevel="0" collapsed="false">
      <c r="A26" s="9" t="s">
        <v>430</v>
      </c>
      <c r="B26" s="9" t="s">
        <v>270</v>
      </c>
      <c r="C26" s="9" t="s">
        <v>431</v>
      </c>
      <c r="D26" s="9" t="s">
        <v>375</v>
      </c>
      <c r="E26" s="9" t="s">
        <v>341</v>
      </c>
      <c r="F26" s="10" t="n">
        <v>7.45</v>
      </c>
      <c r="G26" s="11" t="n">
        <f aca="false">SUMIFS(APU_BASE!$N$7:$N$782,APU_BASE!$A$7:$A$782,A26)</f>
        <v>7.45</v>
      </c>
      <c r="H26" s="11" t="n">
        <f aca="false">SUMIFS(APU_BASE!$Q$7:$Q$782,APU_BASE!$A$7:$A$782,A26)</f>
        <v>5.54607121573302</v>
      </c>
      <c r="I26" s="11" t="n">
        <f aca="false">SUMIFS(APU_BASE!$Q$7:$Q$782,APU_BASE!$A$7:$A$782,A26,APU_BASE!$O$7:$O$782,"NC")</f>
        <v>5</v>
      </c>
      <c r="J26" s="11" t="n">
        <f aca="false">SUMIFS(APU_BASE!$Q$7:$Q$782,APU_BASE!$A$7:$A$782,A26,APU_BASE!$O$7:$O$782,"C")</f>
        <v>0.38453516090584</v>
      </c>
      <c r="K26" s="11" t="n">
        <f aca="false">H26-I26-J26</f>
        <v>0.161536054827176</v>
      </c>
      <c r="L26" s="14" t="n">
        <f aca="false">IF(F26=0,0,H26/F26-1)</f>
        <v>-0.255560910639864</v>
      </c>
    </row>
    <row r="27" customFormat="false" ht="15" hidden="false" customHeight="false" outlineLevel="0" collapsed="false">
      <c r="A27" s="7" t="s">
        <v>432</v>
      </c>
      <c r="B27" s="7" t="s">
        <v>270</v>
      </c>
      <c r="C27" s="7" t="s">
        <v>433</v>
      </c>
      <c r="D27" s="7" t="s">
        <v>378</v>
      </c>
      <c r="E27" s="7" t="s">
        <v>273</v>
      </c>
      <c r="F27" s="11" t="n">
        <v>63.82</v>
      </c>
      <c r="G27" s="11" t="n">
        <f aca="false">SUMIFS(APU_BASE!$N$7:$N$782,APU_BASE!$A$7:$A$782,A27)</f>
        <v>63.82</v>
      </c>
      <c r="H27" s="11" t="n">
        <f aca="false">SUMIFS(APU_BASE!$Q$7:$Q$782,APU_BASE!$A$7:$A$782,A27)</f>
        <v>47.5371394517283</v>
      </c>
      <c r="I27" s="11" t="n">
        <f aca="false">SUMIFS(APU_BASE!$Q$7:$Q$782,APU_BASE!$A$7:$A$782,A27,APU_BASE!$O$7:$O$782,"NC")</f>
        <v>40</v>
      </c>
      <c r="J27" s="11" t="n">
        <f aca="false">SUMIFS(APU_BASE!$Q$7:$Q$782,APU_BASE!$A$7:$A$782,A27,APU_BASE!$O$7:$O$782,"C")</f>
        <v>6.15256257449344</v>
      </c>
      <c r="K27" s="11" t="n">
        <f aca="false">H27-I27-J27</f>
        <v>1.38457687723481</v>
      </c>
      <c r="L27" s="14" t="n">
        <f aca="false">IF(F27=0,0,H27/F27-1)</f>
        <v>-0.255137269637602</v>
      </c>
    </row>
    <row r="28" customFormat="false" ht="15" hidden="false" customHeight="false" outlineLevel="0" collapsed="false">
      <c r="A28" s="9" t="s">
        <v>434</v>
      </c>
      <c r="B28" s="9" t="s">
        <v>270</v>
      </c>
      <c r="C28" s="9" t="s">
        <v>435</v>
      </c>
      <c r="D28" s="9" t="s">
        <v>381</v>
      </c>
      <c r="E28" s="9" t="s">
        <v>341</v>
      </c>
      <c r="F28" s="10" t="n">
        <v>3.19</v>
      </c>
      <c r="G28" s="11" t="n">
        <f aca="false">SUMIFS(APU_BASE!$N$7:$N$782,APU_BASE!$A$7:$A$782,A28)</f>
        <v>3.19</v>
      </c>
      <c r="H28" s="11" t="n">
        <f aca="false">SUMIFS(APU_BASE!$Q$7:$Q$782,APU_BASE!$A$7:$A$782,A28)</f>
        <v>3.04810217340461</v>
      </c>
      <c r="I28" s="11" t="n">
        <f aca="false">SUMIFS(APU_BASE!$Q$7:$Q$782,APU_BASE!$A$7:$A$782,A28,APU_BASE!$O$7:$O$782,"NC")</f>
        <v>0.8</v>
      </c>
      <c r="J28" s="11" t="n">
        <f aca="false">SUMIFS(APU_BASE!$Q$7:$Q$782,APU_BASE!$A$7:$A$782,A28,APU_BASE!$O$7:$O$782,"C")</f>
        <v>0.620762812872467</v>
      </c>
      <c r="K28" s="11" t="n">
        <f aca="false">H28-I28-J28</f>
        <v>1.62733936053214</v>
      </c>
      <c r="L28" s="14" t="n">
        <f aca="false">IF(F28=0,0,H28/F28-1)</f>
        <v>-0.0444820773026304</v>
      </c>
    </row>
    <row r="29" customFormat="false" ht="15" hidden="false" customHeight="false" outlineLevel="0" collapsed="false">
      <c r="A29" s="7" t="s">
        <v>436</v>
      </c>
      <c r="B29" s="7" t="s">
        <v>270</v>
      </c>
      <c r="C29" s="7" t="s">
        <v>437</v>
      </c>
      <c r="D29" s="7" t="s">
        <v>438</v>
      </c>
      <c r="E29" s="7" t="s">
        <v>273</v>
      </c>
      <c r="F29" s="11" t="n">
        <v>304.91</v>
      </c>
      <c r="G29" s="11" t="n">
        <f aca="false">SUMIFS(APU_BASE!$N$7:$N$782,APU_BASE!$A$7:$A$782,A29)</f>
        <v>304.91</v>
      </c>
      <c r="H29" s="11" t="n">
        <f aca="false">SUMIFS(APU_BASE!$Q$7:$Q$782,APU_BASE!$A$7:$A$782,A29)</f>
        <v>256.32360252977</v>
      </c>
      <c r="I29" s="11" t="n">
        <f aca="false">SUMIFS(APU_BASE!$Q$7:$Q$782,APU_BASE!$A$7:$A$782,A29,APU_BASE!$O$7:$O$782,"NC")</f>
        <v>50</v>
      </c>
      <c r="J29" s="11" t="n">
        <f aca="false">SUMIFS(APU_BASE!$Q$7:$Q$782,APU_BASE!$A$7:$A$782,A29,APU_BASE!$O$7:$O$782,"C")</f>
        <v>36.7029201430274</v>
      </c>
      <c r="K29" s="11" t="n">
        <f aca="false">H29-I29-J29</f>
        <v>169.620682386742</v>
      </c>
      <c r="L29" s="14" t="n">
        <f aca="false">IF(F29=0,0,H29/F29-1)</f>
        <v>-0.159346684169855</v>
      </c>
    </row>
    <row r="30" customFormat="false" ht="15" hidden="false" customHeight="false" outlineLevel="0" collapsed="false">
      <c r="A30" s="9" t="s">
        <v>441</v>
      </c>
      <c r="B30" s="9" t="s">
        <v>270</v>
      </c>
      <c r="C30" s="9" t="s">
        <v>442</v>
      </c>
      <c r="D30" s="9" t="s">
        <v>391</v>
      </c>
      <c r="E30" s="9" t="s">
        <v>16</v>
      </c>
      <c r="F30" s="10" t="n">
        <v>1.73</v>
      </c>
      <c r="G30" s="11" t="n">
        <f aca="false">SUMIFS(APU_BASE!$N$7:$N$782,APU_BASE!$A$7:$A$782,A30)</f>
        <v>1.73</v>
      </c>
      <c r="H30" s="11" t="n">
        <f aca="false">SUMIFS(APU_BASE!$Q$7:$Q$782,APU_BASE!$A$7:$A$782,A30)</f>
        <v>1.29241597884386</v>
      </c>
      <c r="I30" s="11" t="n">
        <f aca="false">SUMIFS(APU_BASE!$Q$7:$Q$782,APU_BASE!$A$7:$A$782,A30,APU_BASE!$O$7:$O$782,"NC")</f>
        <v>1.0875</v>
      </c>
      <c r="J30" s="11" t="n">
        <f aca="false">SUMIFS(APU_BASE!$Q$7:$Q$782,APU_BASE!$A$7:$A$782,A30,APU_BASE!$O$7:$O$782,"C")</f>
        <v>0.167272794994041</v>
      </c>
      <c r="K30" s="11" t="n">
        <f aca="false">H30-I30-J30</f>
        <v>0.0376431838498212</v>
      </c>
      <c r="L30" s="14" t="n">
        <f aca="false">IF(F30=0,0,H30/F30-1)</f>
        <v>-0.252938740552681</v>
      </c>
    </row>
    <row r="31" customFormat="false" ht="15" hidden="false" customHeight="false" outlineLevel="0" collapsed="false">
      <c r="A31" s="7" t="s">
        <v>443</v>
      </c>
      <c r="B31" s="7" t="s">
        <v>270</v>
      </c>
      <c r="C31" s="7" t="s">
        <v>444</v>
      </c>
      <c r="D31" s="7" t="s">
        <v>394</v>
      </c>
      <c r="E31" s="7" t="s">
        <v>16</v>
      </c>
      <c r="F31" s="11" t="n">
        <v>1.17</v>
      </c>
      <c r="G31" s="11" t="n">
        <f aca="false">SUMIFS(APU_BASE!$N$7:$N$782,APU_BASE!$A$7:$A$782,A31)</f>
        <v>1.17</v>
      </c>
      <c r="H31" s="11" t="n">
        <f aca="false">SUMIFS(APU_BASE!$Q$7:$Q$782,APU_BASE!$A$7:$A$782,A31)</f>
        <v>0.980073747095067</v>
      </c>
      <c r="I31" s="11" t="n">
        <f aca="false">SUMIFS(APU_BASE!$Q$7:$Q$782,APU_BASE!$A$7:$A$782,A31,APU_BASE!$O$7:$O$782,"NC")</f>
        <v>0.625</v>
      </c>
      <c r="J31" s="11" t="n">
        <f aca="false">SUMIFS(APU_BASE!$Q$7:$Q$782,APU_BASE!$A$7:$A$782,A31,APU_BASE!$O$7:$O$782,"C")</f>
        <v>0.0691299165673421</v>
      </c>
      <c r="K31" s="11" t="n">
        <f aca="false">H31-I31-J31</f>
        <v>0.285943830527725</v>
      </c>
      <c r="L31" s="14" t="n">
        <f aca="false">IF(F31=0,0,H31/F31-1)</f>
        <v>-0.162330130687977</v>
      </c>
    </row>
    <row r="32" customFormat="false" ht="15" hidden="false" customHeight="false" outlineLevel="0" collapsed="false">
      <c r="A32" s="9" t="s">
        <v>445</v>
      </c>
      <c r="B32" s="9" t="s">
        <v>270</v>
      </c>
      <c r="C32" s="9" t="s">
        <v>446</v>
      </c>
      <c r="D32" s="9" t="s">
        <v>403</v>
      </c>
      <c r="E32" s="9" t="s">
        <v>16</v>
      </c>
      <c r="F32" s="10" t="n">
        <v>0.16</v>
      </c>
      <c r="G32" s="11" t="n">
        <f aca="false">SUMIFS(APU_BASE!$N$7:$N$782,APU_BASE!$A$7:$A$782,A32)</f>
        <v>0.16</v>
      </c>
      <c r="H32" s="11" t="n">
        <f aca="false">SUMIFS(APU_BASE!$Q$7:$Q$782,APU_BASE!$A$7:$A$782,A32)</f>
        <v>0.16121842547914</v>
      </c>
      <c r="I32" s="11" t="n">
        <f aca="false">SUMIFS(APU_BASE!$Q$7:$Q$782,APU_BASE!$A$7:$A$782,A32,APU_BASE!$O$7:$O$782,"NC")</f>
        <v>0.03375</v>
      </c>
      <c r="J32" s="11" t="n">
        <f aca="false">SUMIFS(APU_BASE!$Q$7:$Q$782,APU_BASE!$A$7:$A$782,A32,APU_BASE!$O$7:$O$782,"C")</f>
        <v>0.0179737783075089</v>
      </c>
      <c r="K32" s="11" t="n">
        <f aca="false">H32-I32-J32</f>
        <v>0.109494647171631</v>
      </c>
      <c r="L32" s="14" t="n">
        <f aca="false">IF(F32=0,0,H32/F32-1)</f>
        <v>0.00761515924462475</v>
      </c>
    </row>
    <row r="33" customFormat="false" ht="15" hidden="false" customHeight="false" outlineLevel="0" collapsed="false">
      <c r="A33" s="7" t="s">
        <v>447</v>
      </c>
      <c r="B33" s="7" t="s">
        <v>270</v>
      </c>
      <c r="C33" s="7" t="s">
        <v>448</v>
      </c>
      <c r="D33" s="7" t="s">
        <v>408</v>
      </c>
      <c r="E33" s="7" t="s">
        <v>16</v>
      </c>
      <c r="F33" s="11" t="n">
        <v>0.34</v>
      </c>
      <c r="G33" s="11" t="n">
        <f aca="false">SUMIFS(APU_BASE!$N$7:$N$782,APU_BASE!$A$7:$A$782,A33)</f>
        <v>0.3439</v>
      </c>
      <c r="H33" s="11" t="n">
        <f aca="false">SUMIFS(APU_BASE!$Q$7:$Q$782,APU_BASE!$A$7:$A$782,A33)</f>
        <v>0.375495206197838</v>
      </c>
      <c r="I33" s="11" t="n">
        <f aca="false">SUMIFS(APU_BASE!$Q$7:$Q$782,APU_BASE!$A$7:$A$782,A33,APU_BASE!$O$7:$O$782,"NC")</f>
        <v>0.08375</v>
      </c>
      <c r="J33" s="11" t="n">
        <f aca="false">SUMIFS(APU_BASE!$Q$7:$Q$782,APU_BASE!$A$7:$A$782,A33,APU_BASE!$O$7:$O$782,"C")</f>
        <v>0.0134587306317044</v>
      </c>
      <c r="K33" s="11" t="n">
        <f aca="false">H33-I33-J33</f>
        <v>0.278286475566134</v>
      </c>
      <c r="L33" s="14" t="n">
        <f aca="false">IF(F33=0,0,H33/F33-1)</f>
        <v>0.104397665287759</v>
      </c>
    </row>
    <row r="34" customFormat="false" ht="15" hidden="false" customHeight="false" outlineLevel="0" collapsed="false">
      <c r="A34" s="9" t="s">
        <v>449</v>
      </c>
      <c r="B34" s="9" t="s">
        <v>270</v>
      </c>
      <c r="C34" s="9" t="s">
        <v>450</v>
      </c>
      <c r="D34" s="9" t="s">
        <v>414</v>
      </c>
      <c r="E34" s="9" t="s">
        <v>341</v>
      </c>
      <c r="F34" s="10" t="n">
        <v>0.81</v>
      </c>
      <c r="G34" s="11" t="n">
        <f aca="false">SUMIFS(APU_BASE!$N$7:$N$782,APU_BASE!$A$7:$A$782,A34)</f>
        <v>0.81</v>
      </c>
      <c r="H34" s="11" t="n">
        <f aca="false">SUMIFS(APU_BASE!$Q$7:$Q$782,APU_BASE!$A$7:$A$782,A34)</f>
        <v>0.616958125443632</v>
      </c>
      <c r="I34" s="11" t="n">
        <f aca="false">SUMIFS(APU_BASE!$Q$7:$Q$782,APU_BASE!$A$7:$A$782,A34,APU_BASE!$O$7:$O$782,"NC")</f>
        <v>0.5</v>
      </c>
      <c r="J34" s="11" t="n">
        <f aca="false">SUMIFS(APU_BASE!$Q$7:$Q$782,APU_BASE!$A$7:$A$782,A34,APU_BASE!$O$7:$O$782,"C")</f>
        <v>0.0769070321811681</v>
      </c>
      <c r="K34" s="11" t="n">
        <f aca="false">H34-I34-J34</f>
        <v>0.0400510932624636</v>
      </c>
      <c r="L34" s="14" t="n">
        <f aca="false">IF(F34=0,0,H34/F34-1)</f>
        <v>-0.238323301921442</v>
      </c>
    </row>
    <row r="35" customFormat="false" ht="15" hidden="false" customHeight="false" outlineLevel="0" collapsed="false">
      <c r="A35" s="7" t="s">
        <v>451</v>
      </c>
      <c r="B35" s="7" t="s">
        <v>270</v>
      </c>
      <c r="C35" s="7" t="s">
        <v>452</v>
      </c>
      <c r="D35" s="7" t="s">
        <v>419</v>
      </c>
      <c r="E35" s="7" t="s">
        <v>16</v>
      </c>
      <c r="F35" s="11" t="n">
        <v>1.48</v>
      </c>
      <c r="G35" s="11" t="n">
        <f aca="false">SUMIFS(APU_BASE!$N$7:$N$782,APU_BASE!$A$7:$A$782,A35)</f>
        <v>1.48</v>
      </c>
      <c r="H35" s="11" t="n">
        <f aca="false">SUMIFS(APU_BASE!$Q$7:$Q$782,APU_BASE!$A$7:$A$782,A35)</f>
        <v>1.40960514858264</v>
      </c>
      <c r="I35" s="11" t="n">
        <f aca="false">SUMIFS(APU_BASE!$Q$7:$Q$782,APU_BASE!$A$7:$A$782,A35,APU_BASE!$O$7:$O$782,"NC")</f>
        <v>0.625</v>
      </c>
      <c r="J35" s="11" t="n">
        <f aca="false">SUMIFS(APU_BASE!$Q$7:$Q$782,APU_BASE!$A$7:$A$782,A35,APU_BASE!$O$7:$O$782,"C")</f>
        <v>0.019226758045292</v>
      </c>
      <c r="K35" s="11" t="n">
        <f aca="false">H35-I35-J35</f>
        <v>0.76537839053735</v>
      </c>
      <c r="L35" s="14" t="n">
        <f aca="false">IF(F35=0,0,H35/F35-1)</f>
        <v>-0.047564088795512</v>
      </c>
    </row>
    <row r="36" customFormat="false" ht="15" hidden="false" customHeight="false" outlineLevel="0" collapsed="false">
      <c r="A36" s="9" t="s">
        <v>453</v>
      </c>
      <c r="B36" s="9" t="s">
        <v>270</v>
      </c>
      <c r="C36" s="9" t="s">
        <v>454</v>
      </c>
      <c r="D36" s="9" t="s">
        <v>422</v>
      </c>
      <c r="E36" s="9" t="s">
        <v>16</v>
      </c>
      <c r="F36" s="10" t="n">
        <v>1.05</v>
      </c>
      <c r="G36" s="11" t="n">
        <f aca="false">SUMIFS(APU_BASE!$N$7:$N$782,APU_BASE!$A$7:$A$782,A36)</f>
        <v>1.05</v>
      </c>
      <c r="H36" s="11" t="n">
        <f aca="false">SUMIFS(APU_BASE!$Q$7:$Q$782,APU_BASE!$A$7:$A$782,A36)</f>
        <v>0.833670405691728</v>
      </c>
      <c r="I36" s="11" t="n">
        <f aca="false">SUMIFS(APU_BASE!$Q$7:$Q$782,APU_BASE!$A$7:$A$782,A36,APU_BASE!$O$7:$O$782,"NC")</f>
        <v>0.625</v>
      </c>
      <c r="J36" s="11" t="n">
        <f aca="false">SUMIFS(APU_BASE!$Q$7:$Q$782,APU_BASE!$A$7:$A$782,A36,APU_BASE!$O$7:$O$782,"C")</f>
        <v>0.019226758045292</v>
      </c>
      <c r="K36" s="11" t="n">
        <f aca="false">H36-I36-J36</f>
        <v>0.189443647646436</v>
      </c>
      <c r="L36" s="14" t="n">
        <f aca="false">IF(F36=0,0,H36/F36-1)</f>
        <v>-0.206028185055498</v>
      </c>
    </row>
    <row r="37" customFormat="false" ht="15" hidden="false" customHeight="false" outlineLevel="0" collapsed="false">
      <c r="A37" s="7" t="s">
        <v>455</v>
      </c>
      <c r="B37" s="7" t="s">
        <v>270</v>
      </c>
      <c r="C37" s="7" t="s">
        <v>456</v>
      </c>
      <c r="D37" s="7" t="s">
        <v>375</v>
      </c>
      <c r="E37" s="7" t="s">
        <v>341</v>
      </c>
      <c r="F37" s="11" t="n">
        <v>7.45</v>
      </c>
      <c r="G37" s="11" t="n">
        <f aca="false">SUMIFS(APU_BASE!$N$7:$N$782,APU_BASE!$A$7:$A$782,A37)</f>
        <v>7.45</v>
      </c>
      <c r="H37" s="11" t="n">
        <f aca="false">SUMIFS(APU_BASE!$Q$7:$Q$782,APU_BASE!$A$7:$A$782,A37)</f>
        <v>5.54607121573302</v>
      </c>
      <c r="I37" s="11" t="n">
        <f aca="false">SUMIFS(APU_BASE!$Q$7:$Q$782,APU_BASE!$A$7:$A$782,A37,APU_BASE!$O$7:$O$782,"NC")</f>
        <v>5</v>
      </c>
      <c r="J37" s="11" t="n">
        <f aca="false">SUMIFS(APU_BASE!$Q$7:$Q$782,APU_BASE!$A$7:$A$782,A37,APU_BASE!$O$7:$O$782,"C")</f>
        <v>0.38453516090584</v>
      </c>
      <c r="K37" s="11" t="n">
        <f aca="false">H37-I37-J37</f>
        <v>0.161536054827176</v>
      </c>
      <c r="L37" s="14" t="n">
        <f aca="false">IF(F37=0,0,H37/F37-1)</f>
        <v>-0.255560910639864</v>
      </c>
    </row>
    <row r="38" customFormat="false" ht="15" hidden="false" customHeight="false" outlineLevel="0" collapsed="false">
      <c r="A38" s="9" t="s">
        <v>457</v>
      </c>
      <c r="B38" s="9" t="s">
        <v>270</v>
      </c>
      <c r="C38" s="9" t="s">
        <v>458</v>
      </c>
      <c r="D38" s="9" t="s">
        <v>378</v>
      </c>
      <c r="E38" s="9" t="s">
        <v>273</v>
      </c>
      <c r="F38" s="10" t="n">
        <v>63.82</v>
      </c>
      <c r="G38" s="11" t="n">
        <f aca="false">SUMIFS(APU_BASE!$N$7:$N$782,APU_BASE!$A$7:$A$782,A38)</f>
        <v>63.82</v>
      </c>
      <c r="H38" s="11" t="n">
        <f aca="false">SUMIFS(APU_BASE!$Q$7:$Q$782,APU_BASE!$A$7:$A$782,A38)</f>
        <v>47.5371394517283</v>
      </c>
      <c r="I38" s="11" t="n">
        <f aca="false">SUMIFS(APU_BASE!$Q$7:$Q$782,APU_BASE!$A$7:$A$782,A38,APU_BASE!$O$7:$O$782,"NC")</f>
        <v>40</v>
      </c>
      <c r="J38" s="11" t="n">
        <f aca="false">SUMIFS(APU_BASE!$Q$7:$Q$782,APU_BASE!$A$7:$A$782,A38,APU_BASE!$O$7:$O$782,"C")</f>
        <v>6.15256257449344</v>
      </c>
      <c r="K38" s="11" t="n">
        <f aca="false">H38-I38-J38</f>
        <v>1.38457687723481</v>
      </c>
      <c r="L38" s="14" t="n">
        <f aca="false">IF(F38=0,0,H38/F38-1)</f>
        <v>-0.255137269637602</v>
      </c>
    </row>
    <row r="39" customFormat="false" ht="15" hidden="false" customHeight="false" outlineLevel="0" collapsed="false">
      <c r="A39" s="7" t="s">
        <v>459</v>
      </c>
      <c r="B39" s="7" t="s">
        <v>270</v>
      </c>
      <c r="C39" s="7" t="s">
        <v>460</v>
      </c>
      <c r="D39" s="7" t="s">
        <v>381</v>
      </c>
      <c r="E39" s="7" t="s">
        <v>341</v>
      </c>
      <c r="F39" s="11" t="n">
        <v>3.19</v>
      </c>
      <c r="G39" s="11" t="n">
        <f aca="false">SUMIFS(APU_BASE!$N$7:$N$782,APU_BASE!$A$7:$A$782,A39)</f>
        <v>3.19</v>
      </c>
      <c r="H39" s="11" t="n">
        <f aca="false">SUMIFS(APU_BASE!$Q$7:$Q$782,APU_BASE!$A$7:$A$782,A39)</f>
        <v>3.04810217340461</v>
      </c>
      <c r="I39" s="11" t="n">
        <f aca="false">SUMIFS(APU_BASE!$Q$7:$Q$782,APU_BASE!$A$7:$A$782,A39,APU_BASE!$O$7:$O$782,"NC")</f>
        <v>0.8</v>
      </c>
      <c r="J39" s="11" t="n">
        <f aca="false">SUMIFS(APU_BASE!$Q$7:$Q$782,APU_BASE!$A$7:$A$782,A39,APU_BASE!$O$7:$O$782,"C")</f>
        <v>0.620762812872467</v>
      </c>
      <c r="K39" s="11" t="n">
        <f aca="false">H39-I39-J39</f>
        <v>1.62733936053214</v>
      </c>
      <c r="L39" s="14" t="n">
        <f aca="false">IF(F39=0,0,H39/F39-1)</f>
        <v>-0.0444820773026304</v>
      </c>
    </row>
    <row r="40" customFormat="false" ht="15" hidden="false" customHeight="false" outlineLevel="0" collapsed="false">
      <c r="A40" s="9" t="s">
        <v>461</v>
      </c>
      <c r="B40" s="9" t="s">
        <v>270</v>
      </c>
      <c r="C40" s="9" t="s">
        <v>462</v>
      </c>
      <c r="D40" s="9" t="s">
        <v>463</v>
      </c>
      <c r="E40" s="9" t="s">
        <v>16</v>
      </c>
      <c r="F40" s="10" t="n">
        <v>6.75</v>
      </c>
      <c r="G40" s="11" t="n">
        <f aca="false">SUMIFS(APU_BASE!$N$7:$N$782,APU_BASE!$A$7:$A$782,A40)</f>
        <v>6.75</v>
      </c>
      <c r="H40" s="11" t="n">
        <f aca="false">SUMIFS(APU_BASE!$Q$7:$Q$782,APU_BASE!$A$7:$A$782,A40)</f>
        <v>5.69239263125986</v>
      </c>
      <c r="I40" s="11" t="n">
        <f aca="false">SUMIFS(APU_BASE!$Q$7:$Q$782,APU_BASE!$A$7:$A$782,A40,APU_BASE!$O$7:$O$782,"NC")</f>
        <v>2.08375</v>
      </c>
      <c r="J40" s="11" t="n">
        <f aca="false">SUMIFS(APU_BASE!$Q$7:$Q$782,APU_BASE!$A$7:$A$782,A40,APU_BASE!$O$7:$O$782,"C")</f>
        <v>0.159582091775924</v>
      </c>
      <c r="K40" s="11" t="n">
        <f aca="false">H40-I40-J40</f>
        <v>3.44906053948394</v>
      </c>
      <c r="L40" s="14" t="n">
        <f aca="false">IF(F40=0,0,H40/F40-1)</f>
        <v>-0.156682573146687</v>
      </c>
    </row>
    <row r="41" customFormat="false" ht="15" hidden="false" customHeight="false" outlineLevel="0" collapsed="false">
      <c r="A41" s="7" t="s">
        <v>468</v>
      </c>
      <c r="B41" s="7" t="s">
        <v>270</v>
      </c>
      <c r="C41" s="7" t="s">
        <v>469</v>
      </c>
      <c r="D41" s="7" t="s">
        <v>391</v>
      </c>
      <c r="E41" s="7" t="s">
        <v>16</v>
      </c>
      <c r="F41" s="11" t="n">
        <v>1.73</v>
      </c>
      <c r="G41" s="11" t="n">
        <f aca="false">SUMIFS(APU_BASE!$N$7:$N$782,APU_BASE!$A$7:$A$782,A41)</f>
        <v>1.73</v>
      </c>
      <c r="H41" s="11" t="n">
        <f aca="false">SUMIFS(APU_BASE!$Q$7:$Q$782,APU_BASE!$A$7:$A$782,A41)</f>
        <v>1.29241597884386</v>
      </c>
      <c r="I41" s="11" t="n">
        <f aca="false">SUMIFS(APU_BASE!$Q$7:$Q$782,APU_BASE!$A$7:$A$782,A41,APU_BASE!$O$7:$O$782,"NC")</f>
        <v>1.0875</v>
      </c>
      <c r="J41" s="11" t="n">
        <f aca="false">SUMIFS(APU_BASE!$Q$7:$Q$782,APU_BASE!$A$7:$A$782,A41,APU_BASE!$O$7:$O$782,"C")</f>
        <v>0.167272794994041</v>
      </c>
      <c r="K41" s="11" t="n">
        <f aca="false">H41-I41-J41</f>
        <v>0.0376431838498212</v>
      </c>
      <c r="L41" s="14" t="n">
        <f aca="false">IF(F41=0,0,H41/F41-1)</f>
        <v>-0.252938740552681</v>
      </c>
    </row>
    <row r="42" customFormat="false" ht="15" hidden="false" customHeight="false" outlineLevel="0" collapsed="false">
      <c r="A42" s="9" t="s">
        <v>470</v>
      </c>
      <c r="B42" s="9" t="s">
        <v>270</v>
      </c>
      <c r="C42" s="9" t="s">
        <v>471</v>
      </c>
      <c r="D42" s="9" t="s">
        <v>394</v>
      </c>
      <c r="E42" s="9" t="s">
        <v>16</v>
      </c>
      <c r="F42" s="10" t="n">
        <v>1.17</v>
      </c>
      <c r="G42" s="11" t="n">
        <f aca="false">SUMIFS(APU_BASE!$N$7:$N$782,APU_BASE!$A$7:$A$782,A42)</f>
        <v>1.17</v>
      </c>
      <c r="H42" s="11" t="n">
        <f aca="false">SUMIFS(APU_BASE!$Q$7:$Q$782,APU_BASE!$A$7:$A$782,A42)</f>
        <v>0.980073747095067</v>
      </c>
      <c r="I42" s="11" t="n">
        <f aca="false">SUMIFS(APU_BASE!$Q$7:$Q$782,APU_BASE!$A$7:$A$782,A42,APU_BASE!$O$7:$O$782,"NC")</f>
        <v>0.625</v>
      </c>
      <c r="J42" s="11" t="n">
        <f aca="false">SUMIFS(APU_BASE!$Q$7:$Q$782,APU_BASE!$A$7:$A$782,A42,APU_BASE!$O$7:$O$782,"C")</f>
        <v>0.0691299165673421</v>
      </c>
      <c r="K42" s="11" t="n">
        <f aca="false">H42-I42-J42</f>
        <v>0.285943830527725</v>
      </c>
      <c r="L42" s="14" t="n">
        <f aca="false">IF(F42=0,0,H42/F42-1)</f>
        <v>-0.162330130687977</v>
      </c>
    </row>
    <row r="43" customFormat="false" ht="15" hidden="false" customHeight="false" outlineLevel="0" collapsed="false">
      <c r="A43" s="7" t="s">
        <v>472</v>
      </c>
      <c r="B43" s="7" t="s">
        <v>270</v>
      </c>
      <c r="C43" s="7" t="s">
        <v>473</v>
      </c>
      <c r="D43" s="7" t="s">
        <v>403</v>
      </c>
      <c r="E43" s="7" t="s">
        <v>16</v>
      </c>
      <c r="F43" s="11" t="n">
        <v>0.16</v>
      </c>
      <c r="G43" s="11" t="n">
        <f aca="false">SUMIFS(APU_BASE!$N$7:$N$782,APU_BASE!$A$7:$A$782,A43)</f>
        <v>0.16</v>
      </c>
      <c r="H43" s="11" t="n">
        <f aca="false">SUMIFS(APU_BASE!$Q$7:$Q$782,APU_BASE!$A$7:$A$782,A43)</f>
        <v>0.16121842547914</v>
      </c>
      <c r="I43" s="11" t="n">
        <f aca="false">SUMIFS(APU_BASE!$Q$7:$Q$782,APU_BASE!$A$7:$A$782,A43,APU_BASE!$O$7:$O$782,"NC")</f>
        <v>0.03375</v>
      </c>
      <c r="J43" s="11" t="n">
        <f aca="false">SUMIFS(APU_BASE!$Q$7:$Q$782,APU_BASE!$A$7:$A$782,A43,APU_BASE!$O$7:$O$782,"C")</f>
        <v>0.0179737783075089</v>
      </c>
      <c r="K43" s="11" t="n">
        <f aca="false">H43-I43-J43</f>
        <v>0.109494647171631</v>
      </c>
      <c r="L43" s="14" t="n">
        <f aca="false">IF(F43=0,0,H43/F43-1)</f>
        <v>0.00761515924462475</v>
      </c>
    </row>
    <row r="44" customFormat="false" ht="15" hidden="false" customHeight="false" outlineLevel="0" collapsed="false">
      <c r="A44" s="9" t="s">
        <v>474</v>
      </c>
      <c r="B44" s="9" t="s">
        <v>270</v>
      </c>
      <c r="C44" s="9" t="s">
        <v>475</v>
      </c>
      <c r="D44" s="9" t="s">
        <v>408</v>
      </c>
      <c r="E44" s="9" t="s">
        <v>16</v>
      </c>
      <c r="F44" s="10" t="n">
        <v>0.34</v>
      </c>
      <c r="G44" s="11" t="n">
        <f aca="false">SUMIFS(APU_BASE!$N$7:$N$782,APU_BASE!$A$7:$A$782,A44)</f>
        <v>0.3439</v>
      </c>
      <c r="H44" s="11" t="n">
        <f aca="false">SUMIFS(APU_BASE!$Q$7:$Q$782,APU_BASE!$A$7:$A$782,A44)</f>
        <v>0.375495206197838</v>
      </c>
      <c r="I44" s="11" t="n">
        <f aca="false">SUMIFS(APU_BASE!$Q$7:$Q$782,APU_BASE!$A$7:$A$782,A44,APU_BASE!$O$7:$O$782,"NC")</f>
        <v>0.08375</v>
      </c>
      <c r="J44" s="11" t="n">
        <f aca="false">SUMIFS(APU_BASE!$Q$7:$Q$782,APU_BASE!$A$7:$A$782,A44,APU_BASE!$O$7:$O$782,"C")</f>
        <v>0.0134587306317044</v>
      </c>
      <c r="K44" s="11" t="n">
        <f aca="false">H44-I44-J44</f>
        <v>0.278286475566134</v>
      </c>
      <c r="L44" s="14" t="n">
        <f aca="false">IF(F44=0,0,H44/F44-1)</f>
        <v>0.104397665287759</v>
      </c>
    </row>
    <row r="45" customFormat="false" ht="15" hidden="false" customHeight="false" outlineLevel="0" collapsed="false">
      <c r="A45" s="7" t="s">
        <v>476</v>
      </c>
      <c r="B45" s="7" t="s">
        <v>270</v>
      </c>
      <c r="C45" s="7" t="s">
        <v>477</v>
      </c>
      <c r="D45" s="7" t="s">
        <v>414</v>
      </c>
      <c r="E45" s="7" t="s">
        <v>341</v>
      </c>
      <c r="F45" s="11" t="n">
        <v>0.81</v>
      </c>
      <c r="G45" s="11" t="n">
        <f aca="false">SUMIFS(APU_BASE!$N$7:$N$782,APU_BASE!$A$7:$A$782,A45)</f>
        <v>0.81</v>
      </c>
      <c r="H45" s="11" t="n">
        <f aca="false">SUMIFS(APU_BASE!$Q$7:$Q$782,APU_BASE!$A$7:$A$782,A45)</f>
        <v>0.616958125443632</v>
      </c>
      <c r="I45" s="11" t="n">
        <f aca="false">SUMIFS(APU_BASE!$Q$7:$Q$782,APU_BASE!$A$7:$A$782,A45,APU_BASE!$O$7:$O$782,"NC")</f>
        <v>0.5</v>
      </c>
      <c r="J45" s="11" t="n">
        <f aca="false">SUMIFS(APU_BASE!$Q$7:$Q$782,APU_BASE!$A$7:$A$782,A45,APU_BASE!$O$7:$O$782,"C")</f>
        <v>0.0769070321811681</v>
      </c>
      <c r="K45" s="11" t="n">
        <f aca="false">H45-I45-J45</f>
        <v>0.0400510932624636</v>
      </c>
      <c r="L45" s="14" t="n">
        <f aca="false">IF(F45=0,0,H45/F45-1)</f>
        <v>-0.238323301921442</v>
      </c>
    </row>
    <row r="46" customFormat="false" ht="15" hidden="false" customHeight="false" outlineLevel="0" collapsed="false">
      <c r="A46" s="9" t="s">
        <v>478</v>
      </c>
      <c r="B46" s="9" t="s">
        <v>270</v>
      </c>
      <c r="C46" s="9" t="s">
        <v>479</v>
      </c>
      <c r="D46" s="9" t="s">
        <v>419</v>
      </c>
      <c r="E46" s="9" t="s">
        <v>16</v>
      </c>
      <c r="F46" s="10" t="n">
        <v>1.48</v>
      </c>
      <c r="G46" s="11" t="n">
        <f aca="false">SUMIFS(APU_BASE!$N$7:$N$782,APU_BASE!$A$7:$A$782,A46)</f>
        <v>1.48</v>
      </c>
      <c r="H46" s="11" t="n">
        <f aca="false">SUMIFS(APU_BASE!$Q$7:$Q$782,APU_BASE!$A$7:$A$782,A46)</f>
        <v>1.40960514858264</v>
      </c>
      <c r="I46" s="11" t="n">
        <f aca="false">SUMIFS(APU_BASE!$Q$7:$Q$782,APU_BASE!$A$7:$A$782,A46,APU_BASE!$O$7:$O$782,"NC")</f>
        <v>0.625</v>
      </c>
      <c r="J46" s="11" t="n">
        <f aca="false">SUMIFS(APU_BASE!$Q$7:$Q$782,APU_BASE!$A$7:$A$782,A46,APU_BASE!$O$7:$O$782,"C")</f>
        <v>0.019226758045292</v>
      </c>
      <c r="K46" s="11" t="n">
        <f aca="false">H46-I46-J46</f>
        <v>0.76537839053735</v>
      </c>
      <c r="L46" s="14" t="n">
        <f aca="false">IF(F46=0,0,H46/F46-1)</f>
        <v>-0.047564088795512</v>
      </c>
    </row>
    <row r="47" customFormat="false" ht="15" hidden="false" customHeight="false" outlineLevel="0" collapsed="false">
      <c r="A47" s="7" t="s">
        <v>480</v>
      </c>
      <c r="B47" s="7" t="s">
        <v>270</v>
      </c>
      <c r="C47" s="7" t="s">
        <v>481</v>
      </c>
      <c r="D47" s="7" t="s">
        <v>422</v>
      </c>
      <c r="E47" s="7" t="s">
        <v>16</v>
      </c>
      <c r="F47" s="11" t="n">
        <v>1.05</v>
      </c>
      <c r="G47" s="11" t="n">
        <f aca="false">SUMIFS(APU_BASE!$N$7:$N$782,APU_BASE!$A$7:$A$782,A47)</f>
        <v>1.05</v>
      </c>
      <c r="H47" s="11" t="n">
        <f aca="false">SUMIFS(APU_BASE!$Q$7:$Q$782,APU_BASE!$A$7:$A$782,A47)</f>
        <v>0.833670405691728</v>
      </c>
      <c r="I47" s="11" t="n">
        <f aca="false">SUMIFS(APU_BASE!$Q$7:$Q$782,APU_BASE!$A$7:$A$782,A47,APU_BASE!$O$7:$O$782,"NC")</f>
        <v>0.625</v>
      </c>
      <c r="J47" s="11" t="n">
        <f aca="false">SUMIFS(APU_BASE!$Q$7:$Q$782,APU_BASE!$A$7:$A$782,A47,APU_BASE!$O$7:$O$782,"C")</f>
        <v>0.019226758045292</v>
      </c>
      <c r="K47" s="11" t="n">
        <f aca="false">H47-I47-J47</f>
        <v>0.189443647646436</v>
      </c>
      <c r="L47" s="14" t="n">
        <f aca="false">IF(F47=0,0,H47/F47-1)</f>
        <v>-0.206028185055498</v>
      </c>
    </row>
    <row r="48" customFormat="false" ht="15" hidden="false" customHeight="false" outlineLevel="0" collapsed="false">
      <c r="A48" s="9" t="s">
        <v>482</v>
      </c>
      <c r="B48" s="9" t="s">
        <v>483</v>
      </c>
      <c r="C48" s="9" t="s">
        <v>271</v>
      </c>
      <c r="D48" s="9" t="s">
        <v>484</v>
      </c>
      <c r="E48" s="9" t="s">
        <v>277</v>
      </c>
      <c r="F48" s="10" t="n">
        <v>93478.43</v>
      </c>
      <c r="G48" s="11" t="n">
        <f aca="false">SUMIFS(APU_BASE!$N$7:$N$782,APU_BASE!$A$7:$A$782,A48)</f>
        <v>93478.43</v>
      </c>
      <c r="H48" s="11" t="n">
        <f aca="false">SUMIFS(APU_BASE!$Q$7:$Q$782,APU_BASE!$A$7:$A$782,A48)</f>
        <v>120240.915734787</v>
      </c>
      <c r="I48" s="11" t="n">
        <f aca="false">SUMIFS(APU_BASE!$Q$7:$Q$782,APU_BASE!$A$7:$A$782,A48,APU_BASE!$O$7:$O$782,"NC")</f>
        <v>0</v>
      </c>
      <c r="J48" s="11" t="n">
        <f aca="false">SUMIFS(APU_BASE!$Q$7:$Q$782,APU_BASE!$A$7:$A$782,A48,APU_BASE!$O$7:$O$782,"C")</f>
        <v>0</v>
      </c>
      <c r="K48" s="11" t="n">
        <f aca="false">H48-I48-J48</f>
        <v>120240.915734787</v>
      </c>
      <c r="L48" s="14" t="n">
        <f aca="false">IF(F48=0,0,H48/F48-1)</f>
        <v>0.286295841027572</v>
      </c>
    </row>
    <row r="49" customFormat="false" ht="15" hidden="false" customHeight="false" outlineLevel="0" collapsed="false">
      <c r="A49" s="7" t="s">
        <v>487</v>
      </c>
      <c r="B49" s="7" t="s">
        <v>483</v>
      </c>
      <c r="C49" s="7" t="s">
        <v>279</v>
      </c>
      <c r="D49" s="7" t="s">
        <v>280</v>
      </c>
      <c r="E49" s="7" t="s">
        <v>18</v>
      </c>
      <c r="F49" s="11" t="n">
        <v>27992.8</v>
      </c>
      <c r="G49" s="11" t="n">
        <f aca="false">SUMIFS(APU_BASE!$N$7:$N$782,APU_BASE!$A$7:$A$782,A49)</f>
        <v>27992.8</v>
      </c>
      <c r="H49" s="11" t="n">
        <f aca="false">SUMIFS(APU_BASE!$Q$7:$Q$782,APU_BASE!$A$7:$A$782,A49)</f>
        <v>33977.6532379937</v>
      </c>
      <c r="I49" s="11" t="n">
        <f aca="false">SUMIFS(APU_BASE!$Q$7:$Q$782,APU_BASE!$A$7:$A$782,A49,APU_BASE!$O$7:$O$782,"NC")</f>
        <v>1600</v>
      </c>
      <c r="J49" s="11" t="n">
        <f aca="false">SUMIFS(APU_BASE!$Q$7:$Q$782,APU_BASE!$A$7:$A$782,A49,APU_BASE!$O$7:$O$782,"C")</f>
        <v>1192.49106078665</v>
      </c>
      <c r="K49" s="11" t="n">
        <f aca="false">H49-I49-J49</f>
        <v>31185.162177207</v>
      </c>
      <c r="L49" s="14" t="n">
        <f aca="false">IF(F49=0,0,H49/F49-1)</f>
        <v>0.213799735574636</v>
      </c>
    </row>
    <row r="50" customFormat="false" ht="15" hidden="false" customHeight="false" outlineLevel="0" collapsed="false">
      <c r="A50" s="9" t="s">
        <v>488</v>
      </c>
      <c r="B50" s="9" t="s">
        <v>483</v>
      </c>
      <c r="C50" s="9" t="s">
        <v>301</v>
      </c>
      <c r="D50" s="9" t="s">
        <v>302</v>
      </c>
      <c r="E50" s="9" t="s">
        <v>18</v>
      </c>
      <c r="F50" s="10" t="n">
        <v>4665.44</v>
      </c>
      <c r="G50" s="11" t="n">
        <f aca="false">SUMIFS(APU_BASE!$N$7:$N$782,APU_BASE!$A$7:$A$782,A50)</f>
        <v>4665.44</v>
      </c>
      <c r="H50" s="11" t="n">
        <f aca="false">SUMIFS(APU_BASE!$Q$7:$Q$782,APU_BASE!$A$7:$A$782,A50)</f>
        <v>5662.92134553955</v>
      </c>
      <c r="I50" s="11" t="n">
        <f aca="false">SUMIFS(APU_BASE!$Q$7:$Q$782,APU_BASE!$A$7:$A$782,A50,APU_BASE!$O$7:$O$782,"NC")</f>
        <v>266.66625</v>
      </c>
      <c r="J50" s="11" t="n">
        <f aca="false">SUMIFS(APU_BASE!$Q$7:$Q$782,APU_BASE!$A$7:$A$782,A50,APU_BASE!$O$7:$O$782,"C")</f>
        <v>198.749611889154</v>
      </c>
      <c r="K50" s="11" t="n">
        <f aca="false">H50-I50-J50</f>
        <v>5197.5054836504</v>
      </c>
      <c r="L50" s="14" t="n">
        <f aca="false">IF(F50=0,0,H50/F50-1)</f>
        <v>0.213802202051586</v>
      </c>
    </row>
    <row r="51" customFormat="false" ht="15" hidden="false" customHeight="false" outlineLevel="0" collapsed="false">
      <c r="A51" s="7" t="s">
        <v>489</v>
      </c>
      <c r="B51" s="7" t="s">
        <v>483</v>
      </c>
      <c r="C51" s="7" t="s">
        <v>304</v>
      </c>
      <c r="D51" s="7" t="s">
        <v>490</v>
      </c>
      <c r="E51" s="7" t="s">
        <v>12</v>
      </c>
      <c r="F51" s="11" t="n">
        <v>519.23</v>
      </c>
      <c r="G51" s="11" t="n">
        <f aca="false">SUMIFS(APU_BASE!$N$7:$N$782,APU_BASE!$A$7:$A$782,A51)</f>
        <v>519.23</v>
      </c>
      <c r="H51" s="11" t="n">
        <f aca="false">SUMIFS(APU_BASE!$Q$7:$Q$782,APU_BASE!$A$7:$A$782,A51)</f>
        <v>438.986437011399</v>
      </c>
      <c r="I51" s="11" t="n">
        <f aca="false">SUMIFS(APU_BASE!$Q$7:$Q$782,APU_BASE!$A$7:$A$782,A51,APU_BASE!$O$7:$O$782,"NC")</f>
        <v>166.66625</v>
      </c>
      <c r="J51" s="11" t="n">
        <f aca="false">SUMIFS(APU_BASE!$Q$7:$Q$782,APU_BASE!$A$7:$A$782,A51,APU_BASE!$O$7:$O$782,"C")</f>
        <v>139.119255065554</v>
      </c>
      <c r="K51" s="11" t="n">
        <f aca="false">H51-I51-J51</f>
        <v>133.200931945845</v>
      </c>
      <c r="L51" s="14" t="n">
        <f aca="false">IF(F51=0,0,H51/F51-1)</f>
        <v>-0.154543387301583</v>
      </c>
    </row>
    <row r="52" customFormat="false" ht="15" hidden="false" customHeight="false" outlineLevel="0" collapsed="false">
      <c r="A52" s="9" t="s">
        <v>491</v>
      </c>
      <c r="B52" s="9" t="s">
        <v>483</v>
      </c>
      <c r="C52" s="9" t="s">
        <v>331</v>
      </c>
      <c r="D52" s="9" t="s">
        <v>332</v>
      </c>
      <c r="E52" s="9" t="s">
        <v>12</v>
      </c>
      <c r="F52" s="10" t="n">
        <v>285.04</v>
      </c>
      <c r="G52" s="11" t="n">
        <f aca="false">SUMIFS(APU_BASE!$N$7:$N$782,APU_BASE!$A$7:$A$782,A52)</f>
        <v>285.04</v>
      </c>
      <c r="H52" s="11" t="n">
        <f aca="false">SUMIFS(APU_BASE!$Q$7:$Q$782,APU_BASE!$A$7:$A$782,A52)</f>
        <v>212.337139451728</v>
      </c>
      <c r="I52" s="11" t="n">
        <f aca="false">SUMIFS(APU_BASE!$Q$7:$Q$782,APU_BASE!$A$7:$A$782,A52,APU_BASE!$O$7:$O$782,"NC")</f>
        <v>200</v>
      </c>
      <c r="J52" s="11" t="n">
        <f aca="false">SUMIFS(APU_BASE!$Q$7:$Q$782,APU_BASE!$A$7:$A$782,A52,APU_BASE!$O$7:$O$782,"C")</f>
        <v>6.15256257449344</v>
      </c>
      <c r="K52" s="11" t="n">
        <f aca="false">H52-I52-J52</f>
        <v>6.18457687723482</v>
      </c>
      <c r="L52" s="14" t="n">
        <f aca="false">IF(F52=0,0,H52/F52-1)</f>
        <v>-0.255061958140162</v>
      </c>
    </row>
    <row r="53" customFormat="false" ht="15" hidden="false" customHeight="false" outlineLevel="0" collapsed="false">
      <c r="A53" s="7" t="s">
        <v>492</v>
      </c>
      <c r="B53" s="7" t="s">
        <v>483</v>
      </c>
      <c r="C53" s="7" t="s">
        <v>334</v>
      </c>
      <c r="D53" s="7" t="s">
        <v>493</v>
      </c>
      <c r="E53" s="7" t="s">
        <v>494</v>
      </c>
      <c r="F53" s="11" t="n">
        <v>8000</v>
      </c>
      <c r="G53" s="11" t="n">
        <f aca="false">SUMIFS(APU_BASE!$N$7:$N$782,APU_BASE!$A$7:$A$782,A53)</f>
        <v>8000</v>
      </c>
      <c r="H53" s="11" t="n">
        <f aca="false">SUMIFS(APU_BASE!$Q$7:$Q$782,APU_BASE!$A$7:$A$782,A53)</f>
        <v>10290.3667282206</v>
      </c>
      <c r="I53" s="11" t="n">
        <f aca="false">SUMIFS(APU_BASE!$Q$7:$Q$782,APU_BASE!$A$7:$A$782,A53,APU_BASE!$O$7:$O$782,"NC")</f>
        <v>0</v>
      </c>
      <c r="J53" s="11" t="n">
        <f aca="false">SUMIFS(APU_BASE!$Q$7:$Q$782,APU_BASE!$A$7:$A$782,A53,APU_BASE!$O$7:$O$782,"C")</f>
        <v>10290.3667282206</v>
      </c>
      <c r="K53" s="11" t="n">
        <f aca="false">H53-I53-J53</f>
        <v>0</v>
      </c>
      <c r="L53" s="14" t="n">
        <f aca="false">IF(F53=0,0,H53/F53-1)</f>
        <v>0.286295841027572</v>
      </c>
    </row>
    <row r="54" customFormat="false" ht="15" hidden="false" customHeight="false" outlineLevel="0" collapsed="false">
      <c r="A54" s="9" t="s">
        <v>497</v>
      </c>
      <c r="B54" s="9" t="s">
        <v>483</v>
      </c>
      <c r="C54" s="9" t="s">
        <v>498</v>
      </c>
      <c r="D54" s="9" t="s">
        <v>340</v>
      </c>
      <c r="E54" s="9" t="s">
        <v>341</v>
      </c>
      <c r="F54" s="10" t="n">
        <v>202.06</v>
      </c>
      <c r="G54" s="11" t="n">
        <f aca="false">SUMIFS(APU_BASE!$N$7:$N$782,APU_BASE!$A$7:$A$782,A54)</f>
        <v>202.06</v>
      </c>
      <c r="H54" s="11" t="n">
        <f aca="false">SUMIFS(APU_BASE!$Q$7:$Q$782,APU_BASE!$A$7:$A$782,A54)</f>
        <v>259.908937638031</v>
      </c>
      <c r="I54" s="11" t="n">
        <f aca="false">SUMIFS(APU_BASE!$Q$7:$Q$782,APU_BASE!$A$7:$A$782,A54,APU_BASE!$O$7:$O$782,"NC")</f>
        <v>0</v>
      </c>
      <c r="J54" s="11" t="n">
        <f aca="false">SUMIFS(APU_BASE!$Q$7:$Q$782,APU_BASE!$A$7:$A$782,A54,APU_BASE!$O$7:$O$782,"C")</f>
        <v>0</v>
      </c>
      <c r="K54" s="11" t="n">
        <f aca="false">H54-I54-J54</f>
        <v>259.908937638031</v>
      </c>
      <c r="L54" s="14" t="n">
        <f aca="false">IF(F54=0,0,H54/F54-1)</f>
        <v>0.286295841027572</v>
      </c>
    </row>
    <row r="55" customFormat="false" ht="15" hidden="false" customHeight="false" outlineLevel="0" collapsed="false">
      <c r="A55" s="7" t="s">
        <v>499</v>
      </c>
      <c r="B55" s="7" t="s">
        <v>483</v>
      </c>
      <c r="C55" s="7" t="s">
        <v>500</v>
      </c>
      <c r="D55" s="7" t="s">
        <v>501</v>
      </c>
      <c r="E55" s="7" t="s">
        <v>16</v>
      </c>
      <c r="F55" s="11" t="n">
        <v>4445.55</v>
      </c>
      <c r="G55" s="11" t="n">
        <f aca="false">SUMIFS(APU_BASE!$N$7:$N$782,APU_BASE!$A$7:$A$782,A55)</f>
        <v>4445.55</v>
      </c>
      <c r="H55" s="11" t="n">
        <f aca="false">SUMIFS(APU_BASE!$Q$7:$Q$782,APU_BASE!$A$7:$A$782,A55)</f>
        <v>5255.33284128308</v>
      </c>
      <c r="I55" s="11" t="n">
        <f aca="false">SUMIFS(APU_BASE!$Q$7:$Q$782,APU_BASE!$A$7:$A$782,A55,APU_BASE!$O$7:$O$782,"NC")</f>
        <v>400</v>
      </c>
      <c r="J55" s="11" t="n">
        <f aca="false">SUMIFS(APU_BASE!$Q$7:$Q$782,APU_BASE!$A$7:$A$782,A55,APU_BASE!$O$7:$O$782,"C")</f>
        <v>216.716328963051</v>
      </c>
      <c r="K55" s="11" t="n">
        <f aca="false">H55-I55-J55</f>
        <v>4638.61651232002</v>
      </c>
      <c r="L55" s="14" t="n">
        <f aca="false">IF(F55=0,0,H55/F55-1)</f>
        <v>0.182155828026471</v>
      </c>
    </row>
    <row r="56" customFormat="false" ht="15" hidden="false" customHeight="false" outlineLevel="0" collapsed="false">
      <c r="A56" s="9" t="s">
        <v>502</v>
      </c>
      <c r="B56" s="9" t="s">
        <v>483</v>
      </c>
      <c r="C56" s="9" t="s">
        <v>503</v>
      </c>
      <c r="D56" s="9" t="s">
        <v>381</v>
      </c>
      <c r="E56" s="9" t="s">
        <v>341</v>
      </c>
      <c r="F56" s="10" t="n">
        <v>3.19</v>
      </c>
      <c r="G56" s="11" t="n">
        <f aca="false">SUMIFS(APU_BASE!$N$7:$N$782,APU_BASE!$A$7:$A$782,A56)</f>
        <v>3.19</v>
      </c>
      <c r="H56" s="11" t="n">
        <f aca="false">SUMIFS(APU_BASE!$Q$7:$Q$782,APU_BASE!$A$7:$A$782,A56)</f>
        <v>3.04810217340461</v>
      </c>
      <c r="I56" s="11" t="n">
        <f aca="false">SUMIFS(APU_BASE!$Q$7:$Q$782,APU_BASE!$A$7:$A$782,A56,APU_BASE!$O$7:$O$782,"NC")</f>
        <v>0.8</v>
      </c>
      <c r="J56" s="11" t="n">
        <f aca="false">SUMIFS(APU_BASE!$Q$7:$Q$782,APU_BASE!$A$7:$A$782,A56,APU_BASE!$O$7:$O$782,"C")</f>
        <v>0.620762812872467</v>
      </c>
      <c r="K56" s="11" t="n">
        <f aca="false">H56-I56-J56</f>
        <v>1.62733936053214</v>
      </c>
      <c r="L56" s="14" t="n">
        <f aca="false">IF(F56=0,0,H56/F56-1)</f>
        <v>-0.0444820773026304</v>
      </c>
    </row>
    <row r="57" customFormat="false" ht="15" hidden="false" customHeight="false" outlineLevel="0" collapsed="false">
      <c r="A57" s="7" t="s">
        <v>504</v>
      </c>
      <c r="B57" s="7" t="s">
        <v>483</v>
      </c>
      <c r="C57" s="7" t="s">
        <v>505</v>
      </c>
      <c r="D57" s="7" t="s">
        <v>506</v>
      </c>
      <c r="E57" s="7" t="s">
        <v>21</v>
      </c>
      <c r="F57" s="11" t="n">
        <v>24.95</v>
      </c>
      <c r="G57" s="11" t="n">
        <f aca="false">SUMIFS(APU_BASE!$N$7:$N$782,APU_BASE!$A$7:$A$782,A57)</f>
        <v>24.95</v>
      </c>
      <c r="H57" s="11" t="n">
        <f aca="false">SUMIFS(APU_BASE!$Q$7:$Q$782,APU_BASE!$A$7:$A$782,A57)</f>
        <v>21.9698026074922</v>
      </c>
      <c r="I57" s="11" t="n">
        <f aca="false">SUMIFS(APU_BASE!$Q$7:$Q$782,APU_BASE!$A$7:$A$782,A57,APU_BASE!$O$7:$O$782,"NC")</f>
        <v>0</v>
      </c>
      <c r="J57" s="11" t="n">
        <f aca="false">SUMIFS(APU_BASE!$Q$7:$Q$782,APU_BASE!$A$7:$A$782,A57,APU_BASE!$O$7:$O$782,"C")</f>
        <v>0</v>
      </c>
      <c r="K57" s="11" t="n">
        <f aca="false">H57-I57-J57</f>
        <v>21.9698026074922</v>
      </c>
      <c r="L57" s="14" t="n">
        <f aca="false">IF(F57=0,0,H57/F57-1)</f>
        <v>-0.119446789278869</v>
      </c>
    </row>
    <row r="58" customFormat="false" ht="15" hidden="false" customHeight="false" outlineLevel="0" collapsed="false">
      <c r="A58" s="9" t="s">
        <v>516</v>
      </c>
      <c r="B58" s="9" t="s">
        <v>483</v>
      </c>
      <c r="C58" s="9" t="s">
        <v>517</v>
      </c>
      <c r="D58" s="9" t="s">
        <v>518</v>
      </c>
      <c r="E58" s="9" t="s">
        <v>16</v>
      </c>
      <c r="F58" s="10" t="n">
        <v>21.38</v>
      </c>
      <c r="G58" s="11" t="n">
        <f aca="false">SUMIFS(APU_BASE!$N$7:$N$782,APU_BASE!$A$7:$A$782,A58)</f>
        <v>21.38</v>
      </c>
      <c r="H58" s="11" t="n">
        <f aca="false">SUMIFS(APU_BASE!$Q$7:$Q$782,APU_BASE!$A$7:$A$782,A58)</f>
        <v>19.6164422315024</v>
      </c>
      <c r="I58" s="11" t="n">
        <f aca="false">SUMIFS(APU_BASE!$Q$7:$Q$782,APU_BASE!$A$7:$A$782,A58,APU_BASE!$O$7:$O$782,"NC")</f>
        <v>10</v>
      </c>
      <c r="J58" s="11" t="n">
        <f aca="false">SUMIFS(APU_BASE!$Q$7:$Q$782,APU_BASE!$A$7:$A$782,A58,APU_BASE!$O$7:$O$782,"C")</f>
        <v>0.553039332538737</v>
      </c>
      <c r="K58" s="11" t="n">
        <f aca="false">H58-I58-J58</f>
        <v>9.06340289896365</v>
      </c>
      <c r="L58" s="14" t="n">
        <f aca="false">IF(F58=0,0,H58/F58-1)</f>
        <v>-0.0824863315480644</v>
      </c>
    </row>
    <row r="59" customFormat="false" ht="15" hidden="false" customHeight="false" outlineLevel="0" collapsed="false">
      <c r="A59" s="7" t="s">
        <v>521</v>
      </c>
      <c r="B59" s="7" t="s">
        <v>483</v>
      </c>
      <c r="C59" s="7" t="s">
        <v>522</v>
      </c>
      <c r="D59" s="7" t="s">
        <v>523</v>
      </c>
      <c r="E59" s="7" t="s">
        <v>341</v>
      </c>
      <c r="F59" s="11" t="n">
        <v>1.27</v>
      </c>
      <c r="G59" s="11" t="n">
        <f aca="false">SUMIFS(APU_BASE!$N$7:$N$782,APU_BASE!$A$7:$A$782,A59)</f>
        <v>1.27</v>
      </c>
      <c r="H59" s="11" t="n">
        <f aca="false">SUMIFS(APU_BASE!$Q$7:$Q$782,APU_BASE!$A$7:$A$782,A59)</f>
        <v>1.10900059949777</v>
      </c>
      <c r="I59" s="11" t="n">
        <f aca="false">SUMIFS(APU_BASE!$Q$7:$Q$782,APU_BASE!$A$7:$A$782,A59,APU_BASE!$O$7:$O$782,"NC")</f>
        <v>0.66625</v>
      </c>
      <c r="J59" s="11" t="n">
        <f aca="false">SUMIFS(APU_BASE!$Q$7:$Q$782,APU_BASE!$A$7:$A$782,A59,APU_BASE!$O$7:$O$782,"C")</f>
        <v>0.0373301549463647</v>
      </c>
      <c r="K59" s="11" t="n">
        <f aca="false">H59-I59-J59</f>
        <v>0.405420444551404</v>
      </c>
      <c r="L59" s="14" t="n">
        <f aca="false">IF(F59=0,0,H59/F59-1)</f>
        <v>-0.12677118149782</v>
      </c>
    </row>
    <row r="60" customFormat="false" ht="15" hidden="false" customHeight="false" outlineLevel="0" collapsed="false">
      <c r="A60" s="9" t="s">
        <v>530</v>
      </c>
      <c r="B60" s="9" t="s">
        <v>483</v>
      </c>
      <c r="C60" s="9" t="s">
        <v>531</v>
      </c>
      <c r="D60" s="9" t="s">
        <v>532</v>
      </c>
      <c r="E60" s="9" t="s">
        <v>21</v>
      </c>
      <c r="F60" s="10" t="n">
        <v>2.71</v>
      </c>
      <c r="G60" s="11" t="n">
        <f aca="false">SUMIFS(APU_BASE!$N$7:$N$782,APU_BASE!$A$7:$A$782,A60)</f>
        <v>2.71</v>
      </c>
      <c r="H60" s="11" t="n">
        <f aca="false">SUMIFS(APU_BASE!$Q$7:$Q$782,APU_BASE!$A$7:$A$782,A60)</f>
        <v>3.07683125727653</v>
      </c>
      <c r="I60" s="11" t="n">
        <f aca="false">SUMIFS(APU_BASE!$Q$7:$Q$782,APU_BASE!$A$7:$A$782,A60,APU_BASE!$O$7:$O$782,"NC")</f>
        <v>0.5</v>
      </c>
      <c r="J60" s="11" t="n">
        <f aca="false">SUMIFS(APU_BASE!$Q$7:$Q$782,APU_BASE!$A$7:$A$782,A60,APU_BASE!$O$7:$O$782,"C")</f>
        <v>0.0553039332538737</v>
      </c>
      <c r="K60" s="11" t="n">
        <f aca="false">H60-I60-J60</f>
        <v>2.52152732402266</v>
      </c>
      <c r="L60" s="14" t="n">
        <f aca="false">IF(F60=0,0,H60/F60-1)</f>
        <v>0.135362087555916</v>
      </c>
    </row>
    <row r="61" customFormat="false" ht="15" hidden="false" customHeight="false" outlineLevel="0" collapsed="false">
      <c r="A61" s="7" t="s">
        <v>535</v>
      </c>
      <c r="B61" s="7" t="s">
        <v>483</v>
      </c>
      <c r="C61" s="7" t="s">
        <v>536</v>
      </c>
      <c r="D61" s="7" t="s">
        <v>513</v>
      </c>
      <c r="E61" s="7" t="s">
        <v>21</v>
      </c>
      <c r="F61" s="11" t="n">
        <v>1.77</v>
      </c>
      <c r="G61" s="11" t="n">
        <f aca="false">SUMIFS(APU_BASE!$N$7:$N$782,APU_BASE!$A$7:$A$782,A61)</f>
        <v>1.77</v>
      </c>
      <c r="H61" s="11" t="n">
        <f aca="false">SUMIFS(APU_BASE!$Q$7:$Q$782,APU_BASE!$A$7:$A$782,A61)</f>
        <v>1.50082873810211</v>
      </c>
      <c r="I61" s="11" t="n">
        <f aca="false">SUMIFS(APU_BASE!$Q$7:$Q$782,APU_BASE!$A$7:$A$782,A61,APU_BASE!$O$7:$O$782,"NC")</f>
        <v>1</v>
      </c>
      <c r="J61" s="11" t="n">
        <f aca="false">SUMIFS(APU_BASE!$Q$7:$Q$782,APU_BASE!$A$7:$A$782,A61,APU_BASE!$O$7:$O$782,"C")</f>
        <v>0.0553039332538737</v>
      </c>
      <c r="K61" s="11" t="n">
        <f aca="false">H61-I61-J61</f>
        <v>0.445524804848237</v>
      </c>
      <c r="L61" s="14" t="n">
        <f aca="false">IF(F61=0,0,H61/F61-1)</f>
        <v>-0.152074159264344</v>
      </c>
    </row>
    <row r="62" customFormat="false" ht="15" hidden="false" customHeight="false" outlineLevel="0" collapsed="false">
      <c r="A62" s="9" t="s">
        <v>541</v>
      </c>
      <c r="B62" s="9" t="s">
        <v>483</v>
      </c>
      <c r="C62" s="9" t="s">
        <v>542</v>
      </c>
      <c r="D62" s="9" t="s">
        <v>543</v>
      </c>
      <c r="E62" s="9" t="s">
        <v>16</v>
      </c>
      <c r="F62" s="10" t="n">
        <v>164.72</v>
      </c>
      <c r="G62" s="11" t="n">
        <f aca="false">SUMIFS(APU_BASE!$N$7:$N$782,APU_BASE!$A$7:$A$782,A62)</f>
        <v>164.72</v>
      </c>
      <c r="H62" s="11" t="n">
        <f aca="false">SUMIFS(APU_BASE!$Q$7:$Q$782,APU_BASE!$A$7:$A$782,A62)</f>
        <v>155.440064465159</v>
      </c>
      <c r="I62" s="11" t="n">
        <f aca="false">SUMIFS(APU_BASE!$Q$7:$Q$782,APU_BASE!$A$7:$A$782,A62,APU_BASE!$O$7:$O$782,"NC")</f>
        <v>50</v>
      </c>
      <c r="J62" s="11" t="n">
        <f aca="false">SUMIFS(APU_BASE!$Q$7:$Q$782,APU_BASE!$A$7:$A$782,A62,APU_BASE!$O$7:$O$782,"C")</f>
        <v>27.6519666269368</v>
      </c>
      <c r="K62" s="11" t="n">
        <f aca="false">H62-I62-J62</f>
        <v>77.7880978382219</v>
      </c>
      <c r="L62" s="14" t="n">
        <f aca="false">IF(F62=0,0,H62/F62-1)</f>
        <v>-0.0563376368069529</v>
      </c>
    </row>
    <row r="63" customFormat="false" ht="15" hidden="false" customHeight="false" outlineLevel="0" collapsed="false">
      <c r="A63" s="7" t="s">
        <v>546</v>
      </c>
      <c r="B63" s="7" t="s">
        <v>483</v>
      </c>
      <c r="C63" s="7" t="s">
        <v>547</v>
      </c>
      <c r="D63" s="7" t="s">
        <v>548</v>
      </c>
      <c r="E63" s="7" t="s">
        <v>341</v>
      </c>
      <c r="F63" s="11" t="n">
        <v>18.92</v>
      </c>
      <c r="G63" s="11" t="n">
        <f aca="false">SUMIFS(APU_BASE!$N$7:$N$782,APU_BASE!$A$7:$A$782,A63)</f>
        <v>18.92</v>
      </c>
      <c r="H63" s="11" t="n">
        <f aca="false">SUMIFS(APU_BASE!$Q$7:$Q$782,APU_BASE!$A$7:$A$782,A63)</f>
        <v>21.0089055566438</v>
      </c>
      <c r="I63" s="11" t="n">
        <f aca="false">SUMIFS(APU_BASE!$Q$7:$Q$782,APU_BASE!$A$7:$A$782,A63,APU_BASE!$O$7:$O$782,"NC")</f>
        <v>4</v>
      </c>
      <c r="J63" s="11" t="n">
        <f aca="false">SUMIFS(APU_BASE!$Q$7:$Q$782,APU_BASE!$A$7:$A$782,A63,APU_BASE!$O$7:$O$782,"C")</f>
        <v>0.442431466030989</v>
      </c>
      <c r="K63" s="11" t="n">
        <f aca="false">H63-I63-J63</f>
        <v>16.5664740906128</v>
      </c>
      <c r="L63" s="14" t="n">
        <f aca="false">IF(F63=0,0,H63/F63-1)</f>
        <v>0.110407270435717</v>
      </c>
    </row>
    <row r="64" customFormat="false" ht="15" hidden="false" customHeight="false" outlineLevel="0" collapsed="false">
      <c r="A64" s="9" t="s">
        <v>549</v>
      </c>
      <c r="B64" s="9" t="s">
        <v>483</v>
      </c>
      <c r="C64" s="9" t="s">
        <v>550</v>
      </c>
      <c r="D64" s="9" t="s">
        <v>551</v>
      </c>
      <c r="E64" s="9" t="s">
        <v>341</v>
      </c>
      <c r="F64" s="10" t="n">
        <v>11</v>
      </c>
      <c r="G64" s="11" t="n">
        <f aca="false">SUMIFS(APU_BASE!$N$7:$N$782,APU_BASE!$A$7:$A$782,A64)</f>
        <v>11</v>
      </c>
      <c r="H64" s="11" t="n">
        <f aca="false">SUMIFS(APU_BASE!$Q$7:$Q$782,APU_BASE!$A$7:$A$782,A64)</f>
        <v>14.1492542513033</v>
      </c>
      <c r="I64" s="11" t="n">
        <f aca="false">SUMIFS(APU_BASE!$Q$7:$Q$782,APU_BASE!$A$7:$A$782,A64,APU_BASE!$O$7:$O$782,"NC")</f>
        <v>0</v>
      </c>
      <c r="J64" s="11" t="n">
        <f aca="false">SUMIFS(APU_BASE!$Q$7:$Q$782,APU_BASE!$A$7:$A$782,A64,APU_BASE!$O$7:$O$782,"C")</f>
        <v>0</v>
      </c>
      <c r="K64" s="11" t="n">
        <f aca="false">H64-I64-J64</f>
        <v>14.1492542513033</v>
      </c>
      <c r="L64" s="14" t="n">
        <f aca="false">IF(F64=0,0,H64/F64-1)</f>
        <v>0.286295841027572</v>
      </c>
    </row>
    <row r="65" customFormat="false" ht="15" hidden="false" customHeight="false" outlineLevel="0" collapsed="false">
      <c r="A65" s="7" t="s">
        <v>554</v>
      </c>
      <c r="B65" s="7" t="s">
        <v>483</v>
      </c>
      <c r="C65" s="7" t="s">
        <v>555</v>
      </c>
      <c r="D65" s="7" t="s">
        <v>556</v>
      </c>
      <c r="E65" s="7" t="s">
        <v>341</v>
      </c>
      <c r="F65" s="11" t="n">
        <v>13.14</v>
      </c>
      <c r="G65" s="11" t="n">
        <f aca="false">SUMIFS(APU_BASE!$N$7:$N$782,APU_BASE!$A$7:$A$782,A65)</f>
        <v>13.14</v>
      </c>
      <c r="H65" s="11" t="n">
        <f aca="false">SUMIFS(APU_BASE!$Q$7:$Q$782,APU_BASE!$A$7:$A$782,A65)</f>
        <v>10.7823093999952</v>
      </c>
      <c r="I65" s="11" t="n">
        <f aca="false">SUMIFS(APU_BASE!$Q$7:$Q$782,APU_BASE!$A$7:$A$782,A65,APU_BASE!$O$7:$O$782,"NC")</f>
        <v>5</v>
      </c>
      <c r="J65" s="11" t="n">
        <f aca="false">SUMIFS(APU_BASE!$Q$7:$Q$782,APU_BASE!$A$7:$A$782,A65,APU_BASE!$O$7:$O$782,"C")</f>
        <v>1.76713349225268</v>
      </c>
      <c r="K65" s="11" t="n">
        <f aca="false">H65-I65-J65</f>
        <v>4.01517590774257</v>
      </c>
      <c r="L65" s="14" t="n">
        <f aca="false">IF(F65=0,0,H65/F65-1)</f>
        <v>-0.179428508371747</v>
      </c>
    </row>
    <row r="66" customFormat="false" ht="15" hidden="false" customHeight="false" outlineLevel="0" collapsed="false">
      <c r="A66" s="9" t="s">
        <v>560</v>
      </c>
      <c r="B66" s="9" t="s">
        <v>483</v>
      </c>
      <c r="C66" s="9" t="s">
        <v>561</v>
      </c>
      <c r="D66" s="9" t="s">
        <v>562</v>
      </c>
      <c r="E66" s="9" t="s">
        <v>341</v>
      </c>
      <c r="F66" s="10" t="n">
        <v>58.14</v>
      </c>
      <c r="G66" s="11" t="n">
        <f aca="false">SUMIFS(APU_BASE!$N$7:$N$782,APU_BASE!$A$7:$A$782,A66)</f>
        <v>58.14</v>
      </c>
      <c r="H66" s="11" t="n">
        <f aca="false">SUMIFS(APU_BASE!$Q$7:$Q$782,APU_BASE!$A$7:$A$782,A66)</f>
        <v>70.9049741964436</v>
      </c>
      <c r="I66" s="11" t="n">
        <f aca="false">SUMIFS(APU_BASE!$Q$7:$Q$782,APU_BASE!$A$7:$A$782,A66,APU_BASE!$O$7:$O$782,"NC")</f>
        <v>3.33375</v>
      </c>
      <c r="J66" s="11" t="n">
        <f aca="false">SUMIFS(APU_BASE!$Q$7:$Q$782,APU_BASE!$A$7:$A$782,A66,APU_BASE!$O$7:$O$782,"C")</f>
        <v>1.84300357568534</v>
      </c>
      <c r="K66" s="11" t="n">
        <f aca="false">H66-I66-J66</f>
        <v>65.7282206207582</v>
      </c>
      <c r="L66" s="14" t="n">
        <f aca="false">IF(F66=0,0,H66/F66-1)</f>
        <v>0.219555799732431</v>
      </c>
    </row>
    <row r="67" customFormat="false" ht="15" hidden="false" customHeight="false" outlineLevel="0" collapsed="false">
      <c r="A67" s="7" t="s">
        <v>563</v>
      </c>
      <c r="B67" s="7" t="s">
        <v>483</v>
      </c>
      <c r="C67" s="7" t="s">
        <v>564</v>
      </c>
      <c r="D67" s="7" t="s">
        <v>565</v>
      </c>
      <c r="E67" s="7" t="s">
        <v>341</v>
      </c>
      <c r="F67" s="11" t="n">
        <v>23.22</v>
      </c>
      <c r="G67" s="11" t="n">
        <f aca="false">SUMIFS(APU_BASE!$N$7:$N$782,APU_BASE!$A$7:$A$782,A67)</f>
        <v>23.22</v>
      </c>
      <c r="H67" s="11" t="n">
        <f aca="false">SUMIFS(APU_BASE!$Q$7:$Q$782,APU_BASE!$A$7:$A$782,A67)</f>
        <v>19.4635540830129</v>
      </c>
      <c r="I67" s="11" t="n">
        <f aca="false">SUMIFS(APU_BASE!$Q$7:$Q$782,APU_BASE!$A$7:$A$782,A67,APU_BASE!$O$7:$O$782,"NC")</f>
        <v>12.5</v>
      </c>
      <c r="J67" s="11" t="n">
        <f aca="false">SUMIFS(APU_BASE!$Q$7:$Q$782,APU_BASE!$A$7:$A$782,A67,APU_BASE!$O$7:$O$782,"C")</f>
        <v>1.38259833134684</v>
      </c>
      <c r="K67" s="11" t="n">
        <f aca="false">H67-I67-J67</f>
        <v>5.58095575166611</v>
      </c>
      <c r="L67" s="14" t="n">
        <f aca="false">IF(F67=0,0,H67/F67-1)</f>
        <v>-0.161776309947763</v>
      </c>
    </row>
    <row r="68" customFormat="false" ht="15" hidden="false" customHeight="false" outlineLevel="0" collapsed="false">
      <c r="A68" s="9" t="s">
        <v>568</v>
      </c>
      <c r="B68" s="9" t="s">
        <v>483</v>
      </c>
      <c r="C68" s="9" t="s">
        <v>374</v>
      </c>
      <c r="D68" s="9" t="s">
        <v>569</v>
      </c>
      <c r="E68" s="9" t="s">
        <v>273</v>
      </c>
      <c r="F68" s="10" t="n">
        <v>164.05</v>
      </c>
      <c r="G68" s="11" t="n">
        <f aca="false">SUMIFS(APU_BASE!$N$7:$N$782,APU_BASE!$A$7:$A$782,A68)</f>
        <v>164.05</v>
      </c>
      <c r="H68" s="11" t="n">
        <f aca="false">SUMIFS(APU_BASE!$Q$7:$Q$782,APU_BASE!$A$7:$A$782,A68)</f>
        <v>157.317630995969</v>
      </c>
      <c r="I68" s="11" t="n">
        <f aca="false">SUMIFS(APU_BASE!$Q$7:$Q$782,APU_BASE!$A$7:$A$782,A68,APU_BASE!$O$7:$O$782,"NC")</f>
        <v>16.66625</v>
      </c>
      <c r="J68" s="11" t="n">
        <f aca="false">SUMIFS(APU_BASE!$Q$7:$Q$782,APU_BASE!$A$7:$A$782,A68,APU_BASE!$O$7:$O$782,"C")</f>
        <v>12.8184795887962</v>
      </c>
      <c r="K68" s="11" t="n">
        <f aca="false">H68-I68-J68</f>
        <v>127.832901407173</v>
      </c>
      <c r="L68" s="14" t="n">
        <f aca="false">IF(F68=0,0,H68/F68-1)</f>
        <v>-0.041038518768857</v>
      </c>
    </row>
    <row r="69" customFormat="false" ht="15" hidden="false" customHeight="false" outlineLevel="0" collapsed="false">
      <c r="A69" s="7" t="s">
        <v>572</v>
      </c>
      <c r="B69" s="7" t="s">
        <v>483</v>
      </c>
      <c r="C69" s="7" t="s">
        <v>377</v>
      </c>
      <c r="D69" s="7" t="s">
        <v>573</v>
      </c>
      <c r="E69" s="7" t="s">
        <v>341</v>
      </c>
      <c r="F69" s="11" t="n">
        <v>10.54</v>
      </c>
      <c r="G69" s="11" t="n">
        <f aca="false">SUMIFS(APU_BASE!$N$7:$N$782,APU_BASE!$A$7:$A$782,A69)</f>
        <v>10.54</v>
      </c>
      <c r="H69" s="11" t="n">
        <f aca="false">SUMIFS(APU_BASE!$Q$7:$Q$782,APU_BASE!$A$7:$A$782,A69)</f>
        <v>8.28630501423733</v>
      </c>
      <c r="I69" s="11" t="n">
        <f aca="false">SUMIFS(APU_BASE!$Q$7:$Q$782,APU_BASE!$A$7:$A$782,A69,APU_BASE!$O$7:$O$782,"NC")</f>
        <v>3.33375</v>
      </c>
      <c r="J69" s="11" t="n">
        <f aca="false">SUMIFS(APU_BASE!$Q$7:$Q$782,APU_BASE!$A$7:$A$782,A69,APU_BASE!$O$7:$O$782,"C")</f>
        <v>2.56292684743743</v>
      </c>
      <c r="K69" s="11" t="n">
        <f aca="false">H69-I69-J69</f>
        <v>2.3896281667999</v>
      </c>
      <c r="L69" s="14" t="n">
        <f aca="false">IF(F69=0,0,H69/F69-1)</f>
        <v>-0.213823053677673</v>
      </c>
    </row>
    <row r="70" customFormat="false" ht="15" hidden="false" customHeight="false" outlineLevel="0" collapsed="false">
      <c r="A70" s="9" t="s">
        <v>576</v>
      </c>
      <c r="B70" s="9" t="s">
        <v>483</v>
      </c>
      <c r="C70" s="9" t="s">
        <v>380</v>
      </c>
      <c r="D70" s="9" t="s">
        <v>577</v>
      </c>
      <c r="E70" s="9" t="s">
        <v>341</v>
      </c>
      <c r="F70" s="10" t="n">
        <v>5.95</v>
      </c>
      <c r="G70" s="11" t="n">
        <f aca="false">SUMIFS(APU_BASE!$N$7:$N$782,APU_BASE!$A$7:$A$782,A70)</f>
        <v>5.95</v>
      </c>
      <c r="H70" s="11" t="n">
        <f aca="false">SUMIFS(APU_BASE!$Q$7:$Q$782,APU_BASE!$A$7:$A$782,A70)</f>
        <v>4.43685697258641</v>
      </c>
      <c r="I70" s="11" t="n">
        <f aca="false">SUMIFS(APU_BASE!$Q$7:$Q$782,APU_BASE!$A$7:$A$782,A70,APU_BASE!$O$7:$O$782,"NC")</f>
        <v>4</v>
      </c>
      <c r="J70" s="11" t="n">
        <f aca="false">SUMIFS(APU_BASE!$Q$7:$Q$782,APU_BASE!$A$7:$A$782,A70,APU_BASE!$O$7:$O$782,"C")</f>
        <v>0.307628128724672</v>
      </c>
      <c r="K70" s="11" t="n">
        <f aca="false">H70-I70-J70</f>
        <v>0.12922884386174</v>
      </c>
      <c r="L70" s="14" t="n">
        <f aca="false">IF(F70=0,0,H70/F70-1)</f>
        <v>-0.254309752506485</v>
      </c>
    </row>
    <row r="71" customFormat="false" ht="15" hidden="false" customHeight="false" outlineLevel="0" collapsed="false">
      <c r="A71" s="7" t="s">
        <v>578</v>
      </c>
      <c r="B71" s="7" t="s">
        <v>483</v>
      </c>
      <c r="C71" s="7" t="s">
        <v>385</v>
      </c>
      <c r="D71" s="7" t="s">
        <v>579</v>
      </c>
      <c r="E71" s="7" t="s">
        <v>341</v>
      </c>
      <c r="F71" s="11" t="n">
        <v>112.73</v>
      </c>
      <c r="G71" s="11" t="n">
        <f aca="false">SUMIFS(APU_BASE!$N$7:$N$782,APU_BASE!$A$7:$A$782,A71)</f>
        <v>112.73</v>
      </c>
      <c r="H71" s="11" t="n">
        <f aca="false">SUMIFS(APU_BASE!$Q$7:$Q$782,APU_BASE!$A$7:$A$782,A71)</f>
        <v>143.28933151315</v>
      </c>
      <c r="I71" s="11" t="n">
        <f aca="false">SUMIFS(APU_BASE!$Q$7:$Q$782,APU_BASE!$A$7:$A$782,A71,APU_BASE!$O$7:$O$782,"NC")</f>
        <v>2</v>
      </c>
      <c r="J71" s="11" t="n">
        <f aca="false">SUMIFS(APU_BASE!$Q$7:$Q$782,APU_BASE!$A$7:$A$782,A71,APU_BASE!$O$7:$O$782,"C")</f>
        <v>0.307628128724672</v>
      </c>
      <c r="K71" s="11" t="n">
        <f aca="false">H71-I71-J71</f>
        <v>140.981703384425</v>
      </c>
      <c r="L71" s="14" t="n">
        <f aca="false">IF(F71=0,0,H71/F71-1)</f>
        <v>0.271084285577482</v>
      </c>
    </row>
    <row r="72" customFormat="false" ht="15" hidden="false" customHeight="false" outlineLevel="0" collapsed="false">
      <c r="A72" s="9" t="s">
        <v>582</v>
      </c>
      <c r="B72" s="9" t="s">
        <v>483</v>
      </c>
      <c r="C72" s="9" t="s">
        <v>583</v>
      </c>
      <c r="D72" s="9" t="s">
        <v>414</v>
      </c>
      <c r="E72" s="9" t="s">
        <v>341</v>
      </c>
      <c r="F72" s="10" t="n">
        <v>0.81</v>
      </c>
      <c r="G72" s="11" t="n">
        <f aca="false">SUMIFS(APU_BASE!$N$7:$N$782,APU_BASE!$A$7:$A$782,A72)</f>
        <v>0.81</v>
      </c>
      <c r="H72" s="11" t="n">
        <f aca="false">SUMIFS(APU_BASE!$Q$7:$Q$782,APU_BASE!$A$7:$A$782,A72)</f>
        <v>0.616958125443632</v>
      </c>
      <c r="I72" s="11" t="n">
        <f aca="false">SUMIFS(APU_BASE!$Q$7:$Q$782,APU_BASE!$A$7:$A$782,A72,APU_BASE!$O$7:$O$782,"NC")</f>
        <v>0.5</v>
      </c>
      <c r="J72" s="11" t="n">
        <f aca="false">SUMIFS(APU_BASE!$Q$7:$Q$782,APU_BASE!$A$7:$A$782,A72,APU_BASE!$O$7:$O$782,"C")</f>
        <v>0.0769070321811681</v>
      </c>
      <c r="K72" s="11" t="n">
        <f aca="false">H72-I72-J72</f>
        <v>0.0400510932624636</v>
      </c>
      <c r="L72" s="14" t="n">
        <f aca="false">IF(F72=0,0,H72/F72-1)</f>
        <v>-0.238323301921442</v>
      </c>
    </row>
    <row r="73" customFormat="false" ht="15" hidden="false" customHeight="false" outlineLevel="0" collapsed="false">
      <c r="A73" s="7" t="s">
        <v>584</v>
      </c>
      <c r="B73" s="7" t="s">
        <v>483</v>
      </c>
      <c r="C73" s="7" t="s">
        <v>390</v>
      </c>
      <c r="D73" s="7" t="s">
        <v>585</v>
      </c>
      <c r="E73" s="7" t="s">
        <v>273</v>
      </c>
      <c r="F73" s="11" t="n">
        <v>64.29</v>
      </c>
      <c r="G73" s="11" t="n">
        <f aca="false">SUMIFS(APU_BASE!$N$7:$N$782,APU_BASE!$A$7:$A$782,A73)</f>
        <v>64.29</v>
      </c>
      <c r="H73" s="11" t="n">
        <f aca="false">SUMIFS(APU_BASE!$Q$7:$Q$782,APU_BASE!$A$7:$A$782,A73)</f>
        <v>64.3484004814828</v>
      </c>
      <c r="I73" s="11" t="n">
        <f aca="false">SUMIFS(APU_BASE!$Q$7:$Q$782,APU_BASE!$A$7:$A$782,A73,APU_BASE!$O$7:$O$782,"NC")</f>
        <v>13.33375</v>
      </c>
      <c r="J73" s="11" t="n">
        <f aca="false">SUMIFS(APU_BASE!$Q$7:$Q$782,APU_BASE!$A$7:$A$782,A73,APU_BASE!$O$7:$O$782,"C")</f>
        <v>10.2536300655542</v>
      </c>
      <c r="K73" s="11" t="n">
        <f aca="false">H73-I73-J73</f>
        <v>40.7610204159286</v>
      </c>
      <c r="L73" s="14" t="n">
        <f aca="false">IF(F73=0,0,H73/F73-1)</f>
        <v>0.000908391374752293</v>
      </c>
    </row>
    <row r="74" customFormat="false" ht="15" hidden="false" customHeight="false" outlineLevel="0" collapsed="false">
      <c r="A74" s="9" t="s">
        <v>586</v>
      </c>
      <c r="B74" s="9" t="s">
        <v>483</v>
      </c>
      <c r="C74" s="9" t="s">
        <v>393</v>
      </c>
      <c r="D74" s="9" t="s">
        <v>587</v>
      </c>
      <c r="E74" s="9" t="s">
        <v>16</v>
      </c>
      <c r="F74" s="10" t="n">
        <v>0.31</v>
      </c>
      <c r="G74" s="11" t="n">
        <f aca="false">SUMIFS(APU_BASE!$N$7:$N$782,APU_BASE!$A$7:$A$782,A74)</f>
        <v>0.31</v>
      </c>
      <c r="H74" s="11" t="n">
        <f aca="false">SUMIFS(APU_BASE!$Q$7:$Q$782,APU_BASE!$A$7:$A$782,A74)</f>
        <v>0.261296921074025</v>
      </c>
      <c r="I74" s="11" t="n">
        <f aca="false">SUMIFS(APU_BASE!$Q$7:$Q$782,APU_BASE!$A$7:$A$782,A74,APU_BASE!$O$7:$O$782,"NC")</f>
        <v>0.16625</v>
      </c>
      <c r="J74" s="11" t="n">
        <f aca="false">SUMIFS(APU_BASE!$Q$7:$Q$782,APU_BASE!$A$7:$A$782,A74,APU_BASE!$O$7:$O$782,"C")</f>
        <v>0.0249947854588796</v>
      </c>
      <c r="K74" s="11" t="n">
        <f aca="false">H74-I74-J74</f>
        <v>0.070052135615145</v>
      </c>
      <c r="L74" s="14" t="n">
        <f aca="false">IF(F74=0,0,H74/F74-1)</f>
        <v>-0.157106706212824</v>
      </c>
    </row>
    <row r="75" customFormat="false" ht="15" hidden="false" customHeight="false" outlineLevel="0" collapsed="false">
      <c r="A75" s="7" t="s">
        <v>588</v>
      </c>
      <c r="B75" s="7" t="s">
        <v>483</v>
      </c>
      <c r="C75" s="7" t="s">
        <v>402</v>
      </c>
      <c r="D75" s="7" t="s">
        <v>589</v>
      </c>
      <c r="E75" s="7" t="s">
        <v>16</v>
      </c>
      <c r="F75" s="11" t="n">
        <v>0.32</v>
      </c>
      <c r="G75" s="11" t="n">
        <f aca="false">SUMIFS(APU_BASE!$N$7:$N$782,APU_BASE!$A$7:$A$782,A75)</f>
        <v>0.32</v>
      </c>
      <c r="H75" s="11" t="n">
        <f aca="false">SUMIFS(APU_BASE!$Q$7:$Q$782,APU_BASE!$A$7:$A$782,A75)</f>
        <v>0.237685697258641</v>
      </c>
      <c r="I75" s="11" t="n">
        <f aca="false">SUMIFS(APU_BASE!$Q$7:$Q$782,APU_BASE!$A$7:$A$782,A75,APU_BASE!$O$7:$O$782,"NC")</f>
        <v>0.2</v>
      </c>
      <c r="J75" s="11" t="n">
        <f aca="false">SUMIFS(APU_BASE!$Q$7:$Q$782,APU_BASE!$A$7:$A$782,A75,APU_BASE!$O$7:$O$782,"C")</f>
        <v>0.0307628128724672</v>
      </c>
      <c r="K75" s="11" t="n">
        <f aca="false">H75-I75-J75</f>
        <v>0.00692288438617402</v>
      </c>
      <c r="L75" s="14" t="n">
        <f aca="false">IF(F75=0,0,H75/F75-1)</f>
        <v>-0.257232196066746</v>
      </c>
    </row>
    <row r="76" customFormat="false" ht="15" hidden="false" customHeight="false" outlineLevel="0" collapsed="false">
      <c r="A76" s="9" t="s">
        <v>590</v>
      </c>
      <c r="B76" s="9" t="s">
        <v>483</v>
      </c>
      <c r="C76" s="9" t="s">
        <v>407</v>
      </c>
      <c r="D76" s="9" t="s">
        <v>591</v>
      </c>
      <c r="E76" s="9" t="s">
        <v>16</v>
      </c>
      <c r="F76" s="10" t="n">
        <v>0.25</v>
      </c>
      <c r="G76" s="11" t="n">
        <f aca="false">SUMIFS(APU_BASE!$N$7:$N$782,APU_BASE!$A$7:$A$782,A76)</f>
        <v>0.25</v>
      </c>
      <c r="H76" s="11" t="n">
        <f aca="false">SUMIFS(APU_BASE!$Q$7:$Q$782,APU_BASE!$A$7:$A$782,A76)</f>
        <v>0.182126772943981</v>
      </c>
      <c r="I76" s="11" t="n">
        <f aca="false">SUMIFS(APU_BASE!$Q$7:$Q$782,APU_BASE!$A$7:$A$782,A76,APU_BASE!$O$7:$O$782,"NC")</f>
        <v>0.15375</v>
      </c>
      <c r="J76" s="11" t="n">
        <f aca="false">SUMIFS(APU_BASE!$Q$7:$Q$782,APU_BASE!$A$7:$A$782,A76,APU_BASE!$O$7:$O$782,"C")</f>
        <v>0.0230721096543504</v>
      </c>
      <c r="K76" s="11" t="n">
        <f aca="false">H76-I76-J76</f>
        <v>0.00530466328963051</v>
      </c>
      <c r="L76" s="14" t="n">
        <f aca="false">IF(F76=0,0,H76/F76-1)</f>
        <v>-0.271492908224076</v>
      </c>
    </row>
    <row r="77" customFormat="false" ht="15" hidden="false" customHeight="false" outlineLevel="0" collapsed="false">
      <c r="A77" s="7" t="s">
        <v>592</v>
      </c>
      <c r="B77" s="7" t="s">
        <v>483</v>
      </c>
      <c r="C77" s="7" t="s">
        <v>413</v>
      </c>
      <c r="D77" s="7" t="s">
        <v>593</v>
      </c>
      <c r="E77" s="7" t="s">
        <v>16</v>
      </c>
      <c r="F77" s="11" t="n">
        <v>0.33</v>
      </c>
      <c r="G77" s="11" t="n">
        <f aca="false">SUMIFS(APU_BASE!$N$7:$N$782,APU_BASE!$A$7:$A$782,A77)</f>
        <v>0.33</v>
      </c>
      <c r="H77" s="11" t="n">
        <f aca="false">SUMIFS(APU_BASE!$Q$7:$Q$782,APU_BASE!$A$7:$A$782,A77)</f>
        <v>0.248678553337306</v>
      </c>
      <c r="I77" s="11" t="n">
        <f aca="false">SUMIFS(APU_BASE!$Q$7:$Q$782,APU_BASE!$A$7:$A$782,A77,APU_BASE!$O$7:$O$782,"NC")</f>
        <v>0.20875</v>
      </c>
      <c r="J77" s="11" t="n">
        <f aca="false">SUMIFS(APU_BASE!$Q$7:$Q$782,APU_BASE!$A$7:$A$782,A77,APU_BASE!$O$7:$O$782,"C")</f>
        <v>0.0326854886769964</v>
      </c>
      <c r="K77" s="11" t="n">
        <f aca="false">H77-I77-J77</f>
        <v>0.00724306466030988</v>
      </c>
      <c r="L77" s="14" t="n">
        <f aca="false">IF(F77=0,0,H77/F77-1)</f>
        <v>-0.246428626250587</v>
      </c>
    </row>
    <row r="78" customFormat="false" ht="15" hidden="false" customHeight="false" outlineLevel="0" collapsed="false">
      <c r="A78" s="9" t="s">
        <v>594</v>
      </c>
      <c r="B78" s="9" t="s">
        <v>483</v>
      </c>
      <c r="C78" s="9" t="s">
        <v>418</v>
      </c>
      <c r="D78" s="9" t="s">
        <v>414</v>
      </c>
      <c r="E78" s="9" t="s">
        <v>341</v>
      </c>
      <c r="F78" s="10" t="n">
        <v>0.81</v>
      </c>
      <c r="G78" s="11" t="n">
        <f aca="false">SUMIFS(APU_BASE!$N$7:$N$782,APU_BASE!$A$7:$A$782,A78)</f>
        <v>0.81</v>
      </c>
      <c r="H78" s="11" t="n">
        <f aca="false">SUMIFS(APU_BASE!$Q$7:$Q$782,APU_BASE!$A$7:$A$782,A78)</f>
        <v>0.616958125443632</v>
      </c>
      <c r="I78" s="11" t="n">
        <f aca="false">SUMIFS(APU_BASE!$Q$7:$Q$782,APU_BASE!$A$7:$A$782,A78,APU_BASE!$O$7:$O$782,"NC")</f>
        <v>0.5</v>
      </c>
      <c r="J78" s="11" t="n">
        <f aca="false">SUMIFS(APU_BASE!$Q$7:$Q$782,APU_BASE!$A$7:$A$782,A78,APU_BASE!$O$7:$O$782,"C")</f>
        <v>0.0769070321811681</v>
      </c>
      <c r="K78" s="11" t="n">
        <f aca="false">H78-I78-J78</f>
        <v>0.0400510932624636</v>
      </c>
      <c r="L78" s="14" t="n">
        <f aca="false">IF(F78=0,0,H78/F78-1)</f>
        <v>-0.238323301921442</v>
      </c>
    </row>
    <row r="79" customFormat="false" ht="15" hidden="false" customHeight="false" outlineLevel="0" collapsed="false">
      <c r="A79" s="7" t="s">
        <v>595</v>
      </c>
      <c r="B79" s="7" t="s">
        <v>483</v>
      </c>
      <c r="C79" s="7" t="s">
        <v>431</v>
      </c>
      <c r="D79" s="7" t="s">
        <v>596</v>
      </c>
      <c r="E79" s="7" t="s">
        <v>16</v>
      </c>
      <c r="F79" s="11" t="n">
        <v>1.53</v>
      </c>
      <c r="G79" s="11" t="n">
        <f aca="false">SUMIFS(APU_BASE!$N$7:$N$782,APU_BASE!$A$7:$A$782,A79)</f>
        <v>1.53</v>
      </c>
      <c r="H79" s="11" t="n">
        <f aca="false">SUMIFS(APU_BASE!$Q$7:$Q$782,APU_BASE!$A$7:$A$782,A79)</f>
        <v>1.14606605333731</v>
      </c>
      <c r="I79" s="11" t="n">
        <f aca="false">SUMIFS(APU_BASE!$Q$7:$Q$782,APU_BASE!$A$7:$A$782,A79,APU_BASE!$O$7:$O$782,"NC")</f>
        <v>1.08</v>
      </c>
      <c r="J79" s="11" t="n">
        <f aca="false">SUMIFS(APU_BASE!$Q$7:$Q$782,APU_BASE!$A$7:$A$782,A79,APU_BASE!$O$7:$O$782,"C")</f>
        <v>0.0326854886769964</v>
      </c>
      <c r="K79" s="11" t="n">
        <f aca="false">H79-I79-J79</f>
        <v>0.0333805646603099</v>
      </c>
      <c r="L79" s="14" t="n">
        <f aca="false">IF(F79=0,0,H79/F79-1)</f>
        <v>-0.250937220040976</v>
      </c>
    </row>
    <row r="80" customFormat="false" ht="15" hidden="false" customHeight="false" outlineLevel="0" collapsed="false">
      <c r="A80" s="9" t="s">
        <v>597</v>
      </c>
      <c r="B80" s="9" t="s">
        <v>483</v>
      </c>
      <c r="C80" s="9" t="s">
        <v>433</v>
      </c>
      <c r="D80" s="9" t="s">
        <v>598</v>
      </c>
      <c r="E80" s="9" t="s">
        <v>16</v>
      </c>
      <c r="F80" s="10" t="n">
        <v>0.38</v>
      </c>
      <c r="G80" s="11" t="n">
        <f aca="false">SUMIFS(APU_BASE!$N$7:$N$782,APU_BASE!$A$7:$A$782,A80)</f>
        <v>0.38</v>
      </c>
      <c r="H80" s="11" t="n">
        <f aca="false">SUMIFS(APU_BASE!$Q$7:$Q$782,APU_BASE!$A$7:$A$782,A80)</f>
        <v>0.368881587459885</v>
      </c>
      <c r="I80" s="11" t="n">
        <f aca="false">SUMIFS(APU_BASE!$Q$7:$Q$782,APU_BASE!$A$7:$A$782,A80,APU_BASE!$O$7:$O$782,"NC")</f>
        <v>0.12375</v>
      </c>
      <c r="J80" s="11" t="n">
        <f aca="false">SUMIFS(APU_BASE!$Q$7:$Q$782,APU_BASE!$A$7:$A$782,A80,APU_BASE!$O$7:$O$782,"C")</f>
        <v>0.034564958283671</v>
      </c>
      <c r="K80" s="11" t="n">
        <f aca="false">H80-I80-J80</f>
        <v>0.210566629176213</v>
      </c>
      <c r="L80" s="14" t="n">
        <f aca="false">IF(F80=0,0,H80/F80-1)</f>
        <v>-0.029258980368725</v>
      </c>
    </row>
    <row r="81" customFormat="false" ht="15" hidden="false" customHeight="false" outlineLevel="0" collapsed="false">
      <c r="A81" s="7" t="s">
        <v>599</v>
      </c>
      <c r="B81" s="7" t="s">
        <v>483</v>
      </c>
      <c r="C81" s="7" t="s">
        <v>435</v>
      </c>
      <c r="D81" s="7" t="s">
        <v>600</v>
      </c>
      <c r="E81" s="7" t="s">
        <v>12</v>
      </c>
      <c r="F81" s="11" t="n">
        <v>49.03</v>
      </c>
      <c r="G81" s="11" t="n">
        <f aca="false">SUMIFS(APU_BASE!$N$7:$N$782,APU_BASE!$A$7:$A$782,A81)</f>
        <v>49.03</v>
      </c>
      <c r="H81" s="11" t="n">
        <f aca="false">SUMIFS(APU_BASE!$Q$7:$Q$782,APU_BASE!$A$7:$A$782,A81)</f>
        <v>44.2578156589588</v>
      </c>
      <c r="I81" s="11" t="n">
        <f aca="false">SUMIFS(APU_BASE!$Q$7:$Q$782,APU_BASE!$A$7:$A$782,A81,APU_BASE!$O$7:$O$782,"NC")</f>
        <v>25</v>
      </c>
      <c r="J81" s="11" t="n">
        <f aca="false">SUMIFS(APU_BASE!$Q$7:$Q$782,APU_BASE!$A$7:$A$782,A81,APU_BASE!$O$7:$O$782,"C")</f>
        <v>0.769070321811681</v>
      </c>
      <c r="K81" s="11" t="n">
        <f aca="false">H81-I81-J81</f>
        <v>18.4887453371471</v>
      </c>
      <c r="L81" s="14" t="n">
        <f aca="false">IF(F81=0,0,H81/F81-1)</f>
        <v>-0.0973319261888883</v>
      </c>
    </row>
    <row r="82" customFormat="false" ht="15" hidden="false" customHeight="false" outlineLevel="0" collapsed="false">
      <c r="A82" s="9" t="s">
        <v>605</v>
      </c>
      <c r="B82" s="9" t="s">
        <v>483</v>
      </c>
      <c r="C82" s="9" t="s">
        <v>437</v>
      </c>
      <c r="D82" s="9" t="s">
        <v>606</v>
      </c>
      <c r="E82" s="9" t="s">
        <v>16</v>
      </c>
      <c r="F82" s="10" t="n">
        <v>1.82</v>
      </c>
      <c r="G82" s="11" t="n">
        <f aca="false">SUMIFS(APU_BASE!$N$7:$N$782,APU_BASE!$A$7:$A$782,A82)</f>
        <v>1.82</v>
      </c>
      <c r="H82" s="11" t="n">
        <f aca="false">SUMIFS(APU_BASE!$Q$7:$Q$782,APU_BASE!$A$7:$A$782,A82)</f>
        <v>1.95631589965608</v>
      </c>
      <c r="I82" s="11" t="n">
        <f aca="false">SUMIFS(APU_BASE!$Q$7:$Q$782,APU_BASE!$A$7:$A$782,A82,APU_BASE!$O$7:$O$782,"NC")</f>
        <v>0.5</v>
      </c>
      <c r="J82" s="11" t="n">
        <f aca="false">SUMIFS(APU_BASE!$Q$7:$Q$782,APU_BASE!$A$7:$A$782,A82,APU_BASE!$O$7:$O$782,"C")</f>
        <v>0.0153814064362336</v>
      </c>
      <c r="K82" s="11" t="n">
        <f aca="false">H82-I82-J82</f>
        <v>1.44093449321984</v>
      </c>
      <c r="L82" s="14" t="n">
        <f aca="false">IF(F82=0,0,H82/F82-1)</f>
        <v>0.0748988459648765</v>
      </c>
    </row>
    <row r="83" customFormat="false" ht="15" hidden="false" customHeight="false" outlineLevel="0" collapsed="false">
      <c r="A83" s="7" t="s">
        <v>613</v>
      </c>
      <c r="B83" s="7" t="s">
        <v>483</v>
      </c>
      <c r="C83" s="7" t="s">
        <v>614</v>
      </c>
      <c r="D83" s="7" t="s">
        <v>615</v>
      </c>
      <c r="E83" s="7" t="s">
        <v>16</v>
      </c>
      <c r="F83" s="11" t="n">
        <v>2.25</v>
      </c>
      <c r="G83" s="11" t="n">
        <f aca="false">SUMIFS(APU_BASE!$N$7:$N$782,APU_BASE!$A$7:$A$782,A83)</f>
        <v>2.25</v>
      </c>
      <c r="H83" s="11" t="n">
        <f aca="false">SUMIFS(APU_BASE!$Q$7:$Q$782,APU_BASE!$A$7:$A$782,A83)</f>
        <v>2.61800535407157</v>
      </c>
      <c r="I83" s="11" t="n">
        <f aca="false">SUMIFS(APU_BASE!$Q$7:$Q$782,APU_BASE!$A$7:$A$782,A83,APU_BASE!$O$7:$O$782,"NC")</f>
        <v>0</v>
      </c>
      <c r="J83" s="11" t="n">
        <f aca="false">SUMIFS(APU_BASE!$Q$7:$Q$782,APU_BASE!$A$7:$A$782,A83,APU_BASE!$O$7:$O$782,"C")</f>
        <v>0.369153754469607</v>
      </c>
      <c r="K83" s="11" t="n">
        <f aca="false">H83-I83-J83</f>
        <v>2.24885159960196</v>
      </c>
      <c r="L83" s="14" t="n">
        <f aca="false">IF(F83=0,0,H83/F83-1)</f>
        <v>0.163557935142919</v>
      </c>
    </row>
    <row r="84" customFormat="false" ht="15" hidden="false" customHeight="false" outlineLevel="0" collapsed="false">
      <c r="A84" s="9" t="s">
        <v>616</v>
      </c>
      <c r="B84" s="9" t="s">
        <v>483</v>
      </c>
      <c r="C84" s="9" t="s">
        <v>442</v>
      </c>
      <c r="D84" s="9" t="s">
        <v>617</v>
      </c>
      <c r="E84" s="9" t="s">
        <v>16</v>
      </c>
      <c r="F84" s="10" t="n">
        <v>0.23</v>
      </c>
      <c r="G84" s="11" t="n">
        <f aca="false">SUMIFS(APU_BASE!$N$7:$N$782,APU_BASE!$A$7:$A$782,A84)</f>
        <v>0.2315</v>
      </c>
      <c r="H84" s="11" t="n">
        <f aca="false">SUMIFS(APU_BASE!$Q$7:$Q$782,APU_BASE!$A$7:$A$782,A84)</f>
        <v>0.266364882812904</v>
      </c>
      <c r="I84" s="11" t="n">
        <f aca="false">SUMIFS(APU_BASE!$Q$7:$Q$782,APU_BASE!$A$7:$A$782,A84,APU_BASE!$O$7:$O$782,"NC")</f>
        <v>0.03875</v>
      </c>
      <c r="J84" s="11" t="n">
        <f aca="false">SUMIFS(APU_BASE!$Q$7:$Q$782,APU_BASE!$A$7:$A$782,A84,APU_BASE!$O$7:$O$782,"C")</f>
        <v>0</v>
      </c>
      <c r="K84" s="11" t="n">
        <f aca="false">H84-I84-J84</f>
        <v>0.227614882812904</v>
      </c>
      <c r="L84" s="14" t="n">
        <f aca="false">IF(F84=0,0,H84/F84-1)</f>
        <v>0.15810818614306</v>
      </c>
    </row>
    <row r="85" customFormat="false" ht="15" hidden="false" customHeight="false" outlineLevel="0" collapsed="false">
      <c r="A85" s="7" t="s">
        <v>622</v>
      </c>
      <c r="B85" s="7" t="s">
        <v>483</v>
      </c>
      <c r="C85" s="7" t="s">
        <v>444</v>
      </c>
      <c r="D85" s="7" t="s">
        <v>422</v>
      </c>
      <c r="E85" s="7" t="s">
        <v>16</v>
      </c>
      <c r="F85" s="11" t="n">
        <v>1.05</v>
      </c>
      <c r="G85" s="11" t="n">
        <f aca="false">SUMIFS(APU_BASE!$N$7:$N$782,APU_BASE!$A$7:$A$782,A85)</f>
        <v>1.05</v>
      </c>
      <c r="H85" s="11" t="n">
        <f aca="false">SUMIFS(APU_BASE!$Q$7:$Q$782,APU_BASE!$A$7:$A$782,A85)</f>
        <v>0.833670405691728</v>
      </c>
      <c r="I85" s="11" t="n">
        <f aca="false">SUMIFS(APU_BASE!$Q$7:$Q$782,APU_BASE!$A$7:$A$782,A85,APU_BASE!$O$7:$O$782,"NC")</f>
        <v>0.625</v>
      </c>
      <c r="J85" s="11" t="n">
        <f aca="false">SUMIFS(APU_BASE!$Q$7:$Q$782,APU_BASE!$A$7:$A$782,A85,APU_BASE!$O$7:$O$782,"C")</f>
        <v>0.019226758045292</v>
      </c>
      <c r="K85" s="11" t="n">
        <f aca="false">H85-I85-J85</f>
        <v>0.189443647646436</v>
      </c>
      <c r="L85" s="14" t="n">
        <f aca="false">IF(F85=0,0,H85/F85-1)</f>
        <v>-0.206028185055498</v>
      </c>
    </row>
    <row r="86" customFormat="false" ht="15" hidden="false" customHeight="false" outlineLevel="0" collapsed="false">
      <c r="A86" s="9" t="s">
        <v>623</v>
      </c>
      <c r="B86" s="9" t="s">
        <v>483</v>
      </c>
      <c r="C86" s="9" t="s">
        <v>446</v>
      </c>
      <c r="D86" s="9" t="s">
        <v>624</v>
      </c>
      <c r="E86" s="9" t="s">
        <v>12</v>
      </c>
      <c r="F86" s="10" t="n">
        <v>142.52</v>
      </c>
      <c r="G86" s="11" t="n">
        <f aca="false">SUMIFS(APU_BASE!$N$7:$N$782,APU_BASE!$A$7:$A$782,A86)</f>
        <v>142.52</v>
      </c>
      <c r="H86" s="11" t="n">
        <f aca="false">SUMIFS(APU_BASE!$Q$7:$Q$782,APU_BASE!$A$7:$A$782,A86)</f>
        <v>106.168569725864</v>
      </c>
      <c r="I86" s="11" t="n">
        <f aca="false">SUMIFS(APU_BASE!$Q$7:$Q$782,APU_BASE!$A$7:$A$782,A86,APU_BASE!$O$7:$O$782,"NC")</f>
        <v>100</v>
      </c>
      <c r="J86" s="11" t="n">
        <f aca="false">SUMIFS(APU_BASE!$Q$7:$Q$782,APU_BASE!$A$7:$A$782,A86,APU_BASE!$O$7:$O$782,"C")</f>
        <v>3.07628128724672</v>
      </c>
      <c r="K86" s="11" t="n">
        <f aca="false">H86-I86-J86</f>
        <v>3.09228843861741</v>
      </c>
      <c r="L86" s="14" t="n">
        <f aca="false">IF(F86=0,0,H86/F86-1)</f>
        <v>-0.255061958140162</v>
      </c>
    </row>
    <row r="87" customFormat="false" ht="15" hidden="false" customHeight="false" outlineLevel="0" collapsed="false">
      <c r="A87" s="7" t="s">
        <v>625</v>
      </c>
      <c r="B87" s="7" t="s">
        <v>483</v>
      </c>
      <c r="C87" s="7" t="s">
        <v>448</v>
      </c>
      <c r="D87" s="7" t="s">
        <v>626</v>
      </c>
      <c r="E87" s="7" t="s">
        <v>16</v>
      </c>
      <c r="F87" s="11" t="n">
        <v>6.52</v>
      </c>
      <c r="G87" s="11" t="n">
        <f aca="false">SUMIFS(APU_BASE!$N$7:$N$782,APU_BASE!$A$7:$A$782,A87)</f>
        <v>6.52</v>
      </c>
      <c r="H87" s="11" t="n">
        <f aca="false">SUMIFS(APU_BASE!$Q$7:$Q$782,APU_BASE!$A$7:$A$782,A87)</f>
        <v>5.58604724126462</v>
      </c>
      <c r="I87" s="11" t="n">
        <f aca="false">SUMIFS(APU_BASE!$Q$7:$Q$782,APU_BASE!$A$7:$A$782,A87,APU_BASE!$O$7:$O$782,"NC")</f>
        <v>3.33375</v>
      </c>
      <c r="J87" s="11" t="n">
        <f aca="false">SUMIFS(APU_BASE!$Q$7:$Q$782,APU_BASE!$A$7:$A$782,A87,APU_BASE!$O$7:$O$782,"C")</f>
        <v>0.255715882002384</v>
      </c>
      <c r="K87" s="11" t="n">
        <f aca="false">H87-I87-J87</f>
        <v>1.99658135926224</v>
      </c>
      <c r="L87" s="14" t="n">
        <f aca="false">IF(F87=0,0,H87/F87-1)</f>
        <v>-0.143244288149598</v>
      </c>
    </row>
    <row r="88" customFormat="false" ht="15" hidden="false" customHeight="false" outlineLevel="0" collapsed="false">
      <c r="A88" s="9" t="s">
        <v>628</v>
      </c>
      <c r="B88" s="9" t="s">
        <v>483</v>
      </c>
      <c r="C88" s="9" t="s">
        <v>450</v>
      </c>
      <c r="D88" s="9" t="s">
        <v>615</v>
      </c>
      <c r="E88" s="9" t="s">
        <v>16</v>
      </c>
      <c r="F88" s="10" t="n">
        <v>2.25</v>
      </c>
      <c r="G88" s="11" t="n">
        <f aca="false">SUMIFS(APU_BASE!$N$7:$N$782,APU_BASE!$A$7:$A$782,A88)</f>
        <v>2.25</v>
      </c>
      <c r="H88" s="11" t="n">
        <f aca="false">SUMIFS(APU_BASE!$Q$7:$Q$782,APU_BASE!$A$7:$A$782,A88)</f>
        <v>2.61800535407157</v>
      </c>
      <c r="I88" s="11" t="n">
        <f aca="false">SUMIFS(APU_BASE!$Q$7:$Q$782,APU_BASE!$A$7:$A$782,A88,APU_BASE!$O$7:$O$782,"NC")</f>
        <v>0</v>
      </c>
      <c r="J88" s="11" t="n">
        <f aca="false">SUMIFS(APU_BASE!$Q$7:$Q$782,APU_BASE!$A$7:$A$782,A88,APU_BASE!$O$7:$O$782,"C")</f>
        <v>0.369153754469607</v>
      </c>
      <c r="K88" s="11" t="n">
        <f aca="false">H88-I88-J88</f>
        <v>2.24885159960196</v>
      </c>
      <c r="L88" s="14" t="n">
        <f aca="false">IF(F88=0,0,H88/F88-1)</f>
        <v>0.163557935142919</v>
      </c>
    </row>
    <row r="89" customFormat="false" ht="15" hidden="false" customHeight="false" outlineLevel="0" collapsed="false">
      <c r="A89" s="7" t="s">
        <v>629</v>
      </c>
      <c r="B89" s="7" t="s">
        <v>630</v>
      </c>
      <c r="C89" s="7" t="s">
        <v>271</v>
      </c>
      <c r="D89" s="7" t="s">
        <v>631</v>
      </c>
      <c r="E89" s="7" t="s">
        <v>277</v>
      </c>
      <c r="F89" s="11" t="n">
        <v>60004.4</v>
      </c>
      <c r="G89" s="11" t="n">
        <f aca="false">SUMIFS(APU_BASE!$N$7:$N$782,APU_BASE!$A$7:$A$782,A89)</f>
        <v>60004.4</v>
      </c>
      <c r="H89" s="11" t="n">
        <f aca="false">SUMIFS(APU_BASE!$Q$7:$Q$782,APU_BASE!$A$7:$A$782,A89)</f>
        <v>77183.4101633548</v>
      </c>
      <c r="I89" s="11" t="n">
        <f aca="false">SUMIFS(APU_BASE!$Q$7:$Q$782,APU_BASE!$A$7:$A$782,A89,APU_BASE!$O$7:$O$782,"NC")</f>
        <v>0</v>
      </c>
      <c r="J89" s="11" t="n">
        <f aca="false">SUMIFS(APU_BASE!$Q$7:$Q$782,APU_BASE!$A$7:$A$782,A89,APU_BASE!$O$7:$O$782,"C")</f>
        <v>0</v>
      </c>
      <c r="K89" s="11" t="n">
        <f aca="false">H89-I89-J89</f>
        <v>77183.4101633548</v>
      </c>
      <c r="L89" s="14" t="n">
        <f aca="false">IF(F89=0,0,H89/F89-1)</f>
        <v>0.286295841027572</v>
      </c>
    </row>
    <row r="90" customFormat="false" ht="15" hidden="false" customHeight="false" outlineLevel="0" collapsed="false">
      <c r="A90" s="9" t="s">
        <v>634</v>
      </c>
      <c r="B90" s="9" t="s">
        <v>630</v>
      </c>
      <c r="C90" s="9" t="s">
        <v>279</v>
      </c>
      <c r="D90" s="9" t="s">
        <v>280</v>
      </c>
      <c r="E90" s="9" t="s">
        <v>18</v>
      </c>
      <c r="F90" s="10" t="n">
        <v>27992.8</v>
      </c>
      <c r="G90" s="11" t="n">
        <f aca="false">SUMIFS(APU_BASE!$N$7:$N$782,APU_BASE!$A$7:$A$782,A90)</f>
        <v>27992.8</v>
      </c>
      <c r="H90" s="11" t="n">
        <f aca="false">SUMIFS(APU_BASE!$Q$7:$Q$782,APU_BASE!$A$7:$A$782,A90)</f>
        <v>33977.6532379937</v>
      </c>
      <c r="I90" s="11" t="n">
        <f aca="false">SUMIFS(APU_BASE!$Q$7:$Q$782,APU_BASE!$A$7:$A$782,A90,APU_BASE!$O$7:$O$782,"NC")</f>
        <v>1600</v>
      </c>
      <c r="J90" s="11" t="n">
        <f aca="false">SUMIFS(APU_BASE!$Q$7:$Q$782,APU_BASE!$A$7:$A$782,A90,APU_BASE!$O$7:$O$782,"C")</f>
        <v>1192.49106078665</v>
      </c>
      <c r="K90" s="11" t="n">
        <f aca="false">H90-I90-J90</f>
        <v>31185.162177207</v>
      </c>
      <c r="L90" s="14" t="n">
        <f aca="false">IF(F90=0,0,H90/F90-1)</f>
        <v>0.213799735574636</v>
      </c>
    </row>
    <row r="91" customFormat="false" ht="15" hidden="false" customHeight="false" outlineLevel="0" collapsed="false">
      <c r="A91" s="7" t="s">
        <v>635</v>
      </c>
      <c r="B91" s="7" t="s">
        <v>630</v>
      </c>
      <c r="C91" s="7" t="s">
        <v>301</v>
      </c>
      <c r="D91" s="7" t="s">
        <v>302</v>
      </c>
      <c r="E91" s="7" t="s">
        <v>18</v>
      </c>
      <c r="F91" s="11" t="n">
        <v>4665.44</v>
      </c>
      <c r="G91" s="11" t="n">
        <f aca="false">SUMIFS(APU_BASE!$N$7:$N$782,APU_BASE!$A$7:$A$782,A91)</f>
        <v>4665.44</v>
      </c>
      <c r="H91" s="11" t="n">
        <f aca="false">SUMIFS(APU_BASE!$Q$7:$Q$782,APU_BASE!$A$7:$A$782,A91)</f>
        <v>5662.92134553955</v>
      </c>
      <c r="I91" s="11" t="n">
        <f aca="false">SUMIFS(APU_BASE!$Q$7:$Q$782,APU_BASE!$A$7:$A$782,A91,APU_BASE!$O$7:$O$782,"NC")</f>
        <v>266.66625</v>
      </c>
      <c r="J91" s="11" t="n">
        <f aca="false">SUMIFS(APU_BASE!$Q$7:$Q$782,APU_BASE!$A$7:$A$782,A91,APU_BASE!$O$7:$O$782,"C")</f>
        <v>198.749611889154</v>
      </c>
      <c r="K91" s="11" t="n">
        <f aca="false">H91-I91-J91</f>
        <v>5197.5054836504</v>
      </c>
      <c r="L91" s="14" t="n">
        <f aca="false">IF(F91=0,0,H91/F91-1)</f>
        <v>0.213802202051586</v>
      </c>
    </row>
    <row r="92" customFormat="false" ht="15" hidden="false" customHeight="false" outlineLevel="0" collapsed="false">
      <c r="A92" s="9" t="s">
        <v>636</v>
      </c>
      <c r="B92" s="9" t="s">
        <v>630</v>
      </c>
      <c r="C92" s="9" t="s">
        <v>304</v>
      </c>
      <c r="D92" s="9" t="s">
        <v>305</v>
      </c>
      <c r="E92" s="9" t="s">
        <v>18</v>
      </c>
      <c r="F92" s="10" t="n">
        <v>583.87</v>
      </c>
      <c r="G92" s="11" t="n">
        <f aca="false">SUMIFS(APU_BASE!$N$7:$N$782,APU_BASE!$A$7:$A$782,A92)</f>
        <v>583.87</v>
      </c>
      <c r="H92" s="11" t="n">
        <f aca="false">SUMIFS(APU_BASE!$Q$7:$Q$782,APU_BASE!$A$7:$A$782,A92)</f>
        <v>493.527488989706</v>
      </c>
      <c r="I92" s="11" t="n">
        <f aca="false">SUMIFS(APU_BASE!$Q$7:$Q$782,APU_BASE!$A$7:$A$782,A92,APU_BASE!$O$7:$O$782,"NC")</f>
        <v>187.5</v>
      </c>
      <c r="J92" s="11" t="n">
        <f aca="false">SUMIFS(APU_BASE!$Q$7:$Q$782,APU_BASE!$A$7:$A$782,A92,APU_BASE!$O$7:$O$782,"C")</f>
        <v>156.510727056019</v>
      </c>
      <c r="K92" s="11" t="n">
        <f aca="false">H92-I92-J92</f>
        <v>149.516761933687</v>
      </c>
      <c r="L92" s="14" t="n">
        <f aca="false">IF(F92=0,0,H92/F92-1)</f>
        <v>-0.154730523935626</v>
      </c>
    </row>
    <row r="93" customFormat="false" ht="15" hidden="false" customHeight="false" outlineLevel="0" collapsed="false">
      <c r="A93" s="7" t="s">
        <v>637</v>
      </c>
      <c r="B93" s="7" t="s">
        <v>630</v>
      </c>
      <c r="C93" s="7" t="s">
        <v>331</v>
      </c>
      <c r="D93" s="7" t="s">
        <v>332</v>
      </c>
      <c r="E93" s="7" t="s">
        <v>12</v>
      </c>
      <c r="F93" s="11" t="n">
        <v>285.04</v>
      </c>
      <c r="G93" s="11" t="n">
        <f aca="false">SUMIFS(APU_BASE!$N$7:$N$782,APU_BASE!$A$7:$A$782,A93)</f>
        <v>285.04</v>
      </c>
      <c r="H93" s="11" t="n">
        <f aca="false">SUMIFS(APU_BASE!$Q$7:$Q$782,APU_BASE!$A$7:$A$782,A93)</f>
        <v>212.337139451728</v>
      </c>
      <c r="I93" s="11" t="n">
        <f aca="false">SUMIFS(APU_BASE!$Q$7:$Q$782,APU_BASE!$A$7:$A$782,A93,APU_BASE!$O$7:$O$782,"NC")</f>
        <v>200</v>
      </c>
      <c r="J93" s="11" t="n">
        <f aca="false">SUMIFS(APU_BASE!$Q$7:$Q$782,APU_BASE!$A$7:$A$782,A93,APU_BASE!$O$7:$O$782,"C")</f>
        <v>6.15256257449344</v>
      </c>
      <c r="K93" s="11" t="n">
        <f aca="false">H93-I93-J93</f>
        <v>6.18457687723482</v>
      </c>
      <c r="L93" s="14" t="n">
        <f aca="false">IF(F93=0,0,H93/F93-1)</f>
        <v>-0.255061958140162</v>
      </c>
    </row>
    <row r="94" customFormat="false" ht="15" hidden="false" customHeight="false" outlineLevel="0" collapsed="false">
      <c r="A94" s="9" t="s">
        <v>638</v>
      </c>
      <c r="B94" s="9" t="s">
        <v>630</v>
      </c>
      <c r="C94" s="9" t="s">
        <v>334</v>
      </c>
      <c r="D94" s="9" t="s">
        <v>639</v>
      </c>
      <c r="E94" s="9" t="s">
        <v>494</v>
      </c>
      <c r="F94" s="10" t="n">
        <v>6000</v>
      </c>
      <c r="G94" s="11" t="n">
        <f aca="false">SUMIFS(APU_BASE!$N$7:$N$782,APU_BASE!$A$7:$A$782,A94)</f>
        <v>6000</v>
      </c>
      <c r="H94" s="11" t="n">
        <f aca="false">SUMIFS(APU_BASE!$Q$7:$Q$782,APU_BASE!$A$7:$A$782,A94)</f>
        <v>7717.77504616543</v>
      </c>
      <c r="I94" s="11" t="n">
        <f aca="false">SUMIFS(APU_BASE!$Q$7:$Q$782,APU_BASE!$A$7:$A$782,A94,APU_BASE!$O$7:$O$782,"NC")</f>
        <v>0</v>
      </c>
      <c r="J94" s="11" t="n">
        <f aca="false">SUMIFS(APU_BASE!$Q$7:$Q$782,APU_BASE!$A$7:$A$782,A94,APU_BASE!$O$7:$O$782,"C")</f>
        <v>7717.77504616543</v>
      </c>
      <c r="K94" s="11" t="n">
        <f aca="false">H94-I94-J94</f>
        <v>0</v>
      </c>
      <c r="L94" s="14" t="n">
        <f aca="false">IF(F94=0,0,H94/F94-1)</f>
        <v>0.286295841027572</v>
      </c>
    </row>
    <row r="95" customFormat="false" ht="15" hidden="false" customHeight="false" outlineLevel="0" collapsed="false">
      <c r="A95" s="7" t="s">
        <v>642</v>
      </c>
      <c r="B95" s="7" t="s">
        <v>630</v>
      </c>
      <c r="C95" s="7" t="s">
        <v>339</v>
      </c>
      <c r="D95" s="7" t="s">
        <v>340</v>
      </c>
      <c r="E95" s="7" t="s">
        <v>341</v>
      </c>
      <c r="F95" s="11" t="n">
        <v>202.06</v>
      </c>
      <c r="G95" s="11" t="n">
        <f aca="false">SUMIFS(APU_BASE!$N$7:$N$782,APU_BASE!$A$7:$A$782,A95)</f>
        <v>202.06</v>
      </c>
      <c r="H95" s="11" t="n">
        <f aca="false">SUMIFS(APU_BASE!$Q$7:$Q$782,APU_BASE!$A$7:$A$782,A95)</f>
        <v>259.908937638031</v>
      </c>
      <c r="I95" s="11" t="n">
        <f aca="false">SUMIFS(APU_BASE!$Q$7:$Q$782,APU_BASE!$A$7:$A$782,A95,APU_BASE!$O$7:$O$782,"NC")</f>
        <v>0</v>
      </c>
      <c r="J95" s="11" t="n">
        <f aca="false">SUMIFS(APU_BASE!$Q$7:$Q$782,APU_BASE!$A$7:$A$782,A95,APU_BASE!$O$7:$O$782,"C")</f>
        <v>0</v>
      </c>
      <c r="K95" s="11" t="n">
        <f aca="false">H95-I95-J95</f>
        <v>259.908937638031</v>
      </c>
      <c r="L95" s="14" t="n">
        <f aca="false">IF(F95=0,0,H95/F95-1)</f>
        <v>0.286295841027572</v>
      </c>
    </row>
    <row r="96" customFormat="false" ht="15" hidden="false" customHeight="false" outlineLevel="0" collapsed="false">
      <c r="A96" s="9" t="s">
        <v>643</v>
      </c>
      <c r="B96" s="9" t="s">
        <v>630</v>
      </c>
      <c r="C96" s="9" t="s">
        <v>357</v>
      </c>
      <c r="D96" s="9" t="s">
        <v>358</v>
      </c>
      <c r="E96" s="9" t="s">
        <v>16</v>
      </c>
      <c r="F96" s="10" t="n">
        <v>4445.55</v>
      </c>
      <c r="G96" s="11" t="n">
        <f aca="false">SUMIFS(APU_BASE!$N$7:$N$782,APU_BASE!$A$7:$A$782,A96)</f>
        <v>4445.55</v>
      </c>
      <c r="H96" s="11" t="n">
        <f aca="false">SUMIFS(APU_BASE!$Q$7:$Q$782,APU_BASE!$A$7:$A$782,A96)</f>
        <v>5255.33284128308</v>
      </c>
      <c r="I96" s="11" t="n">
        <f aca="false">SUMIFS(APU_BASE!$Q$7:$Q$782,APU_BASE!$A$7:$A$782,A96,APU_BASE!$O$7:$O$782,"NC")</f>
        <v>400</v>
      </c>
      <c r="J96" s="11" t="n">
        <f aca="false">SUMIFS(APU_BASE!$Q$7:$Q$782,APU_BASE!$A$7:$A$782,A96,APU_BASE!$O$7:$O$782,"C")</f>
        <v>216.716328963051</v>
      </c>
      <c r="K96" s="11" t="n">
        <f aca="false">H96-I96-J96</f>
        <v>4638.61651232002</v>
      </c>
      <c r="L96" s="14" t="n">
        <f aca="false">IF(F96=0,0,H96/F96-1)</f>
        <v>0.182155828026471</v>
      </c>
    </row>
    <row r="97" customFormat="false" ht="15" hidden="false" customHeight="false" outlineLevel="0" collapsed="false">
      <c r="A97" s="7" t="s">
        <v>644</v>
      </c>
      <c r="B97" s="7" t="s">
        <v>630</v>
      </c>
      <c r="C97" s="7" t="s">
        <v>374</v>
      </c>
      <c r="D97" s="7" t="s">
        <v>645</v>
      </c>
      <c r="E97" s="7" t="s">
        <v>273</v>
      </c>
      <c r="F97" s="11" t="n">
        <v>35.63</v>
      </c>
      <c r="G97" s="11" t="n">
        <f aca="false">SUMIFS(APU_BASE!$N$7:$N$782,APU_BASE!$A$7:$A$782,A97)</f>
        <v>35.63</v>
      </c>
      <c r="H97" s="11" t="n">
        <f aca="false">SUMIFS(APU_BASE!$Q$7:$Q$782,APU_BASE!$A$7:$A$782,A97)</f>
        <v>26.542142431466</v>
      </c>
      <c r="I97" s="11" t="n">
        <f aca="false">SUMIFS(APU_BASE!$Q$7:$Q$782,APU_BASE!$A$7:$A$782,A97,APU_BASE!$O$7:$O$782,"NC")</f>
        <v>25</v>
      </c>
      <c r="J97" s="11" t="n">
        <f aca="false">SUMIFS(APU_BASE!$Q$7:$Q$782,APU_BASE!$A$7:$A$782,A97,APU_BASE!$O$7:$O$782,"C")</f>
        <v>0.769070321811681</v>
      </c>
      <c r="K97" s="11" t="n">
        <f aca="false">H97-I97-J97</f>
        <v>0.773072109654352</v>
      </c>
      <c r="L97" s="14" t="n">
        <f aca="false">IF(F97=0,0,H97/F97-1)</f>
        <v>-0.255061958140162</v>
      </c>
    </row>
    <row r="98" customFormat="false" ht="15" hidden="false" customHeight="false" outlineLevel="0" collapsed="false">
      <c r="A98" s="9" t="s">
        <v>646</v>
      </c>
      <c r="B98" s="9" t="s">
        <v>630</v>
      </c>
      <c r="C98" s="9" t="s">
        <v>377</v>
      </c>
      <c r="D98" s="9" t="s">
        <v>647</v>
      </c>
      <c r="E98" s="9" t="s">
        <v>273</v>
      </c>
      <c r="F98" s="10" t="n">
        <v>34.74</v>
      </c>
      <c r="G98" s="11" t="n">
        <f aca="false">SUMIFS(APU_BASE!$N$7:$N$782,APU_BASE!$A$7:$A$782,A98)</f>
        <v>34.74</v>
      </c>
      <c r="H98" s="11" t="n">
        <f aca="false">SUMIFS(APU_BASE!$Q$7:$Q$782,APU_BASE!$A$7:$A$782,A98)</f>
        <v>30.6775713510054</v>
      </c>
      <c r="I98" s="11" t="n">
        <f aca="false">SUMIFS(APU_BASE!$Q$7:$Q$782,APU_BASE!$A$7:$A$782,A98,APU_BASE!$O$7:$O$782,"NC")</f>
        <v>14.28625</v>
      </c>
      <c r="J98" s="11" t="n">
        <f aca="false">SUMIFS(APU_BASE!$Q$7:$Q$782,APU_BASE!$A$7:$A$782,A98,APU_BASE!$O$7:$O$782,"C")</f>
        <v>4.4353434147795</v>
      </c>
      <c r="K98" s="11" t="n">
        <f aca="false">H98-I98-J98</f>
        <v>11.9559779362259</v>
      </c>
      <c r="L98" s="14" t="n">
        <f aca="false">IF(F98=0,0,H98/F98-1)</f>
        <v>-0.116938072797773</v>
      </c>
    </row>
    <row r="99" customFormat="false" ht="15" hidden="false" customHeight="false" outlineLevel="0" collapsed="false">
      <c r="A99" s="7" t="s">
        <v>650</v>
      </c>
      <c r="B99" s="7" t="s">
        <v>630</v>
      </c>
      <c r="C99" s="7" t="s">
        <v>380</v>
      </c>
      <c r="D99" s="7" t="s">
        <v>651</v>
      </c>
      <c r="E99" s="7" t="s">
        <v>273</v>
      </c>
      <c r="F99" s="11" t="n">
        <v>130.07</v>
      </c>
      <c r="G99" s="11" t="n">
        <f aca="false">SUMIFS(APU_BASE!$N$7:$N$782,APU_BASE!$A$7:$A$782,A99)</f>
        <v>130.07</v>
      </c>
      <c r="H99" s="11" t="n">
        <f aca="false">SUMIFS(APU_BASE!$Q$7:$Q$782,APU_BASE!$A$7:$A$782,A99)</f>
        <v>98.8495525776906</v>
      </c>
      <c r="I99" s="11" t="n">
        <f aca="false">SUMIFS(APU_BASE!$Q$7:$Q$782,APU_BASE!$A$7:$A$782,A99,APU_BASE!$O$7:$O$782,"NC")</f>
        <v>32</v>
      </c>
      <c r="J99" s="11" t="n">
        <f aca="false">SUMIFS(APU_BASE!$Q$7:$Q$782,APU_BASE!$A$7:$A$782,A99,APU_BASE!$O$7:$O$782,"C")</f>
        <v>10.0791418355185</v>
      </c>
      <c r="K99" s="11" t="n">
        <f aca="false">H99-I99-J99</f>
        <v>56.7704107421721</v>
      </c>
      <c r="L99" s="14" t="n">
        <f aca="false">IF(F99=0,0,H99/F99-1)</f>
        <v>-0.240028041995152</v>
      </c>
    </row>
    <row r="100" customFormat="false" ht="15" hidden="false" customHeight="false" outlineLevel="0" collapsed="false">
      <c r="A100" s="9" t="s">
        <v>654</v>
      </c>
      <c r="B100" s="9" t="s">
        <v>630</v>
      </c>
      <c r="C100" s="9" t="s">
        <v>385</v>
      </c>
      <c r="D100" s="9" t="s">
        <v>655</v>
      </c>
      <c r="E100" s="9" t="s">
        <v>273</v>
      </c>
      <c r="F100" s="10" t="n">
        <v>36.48</v>
      </c>
      <c r="G100" s="11" t="n">
        <f aca="false">SUMIFS(APU_BASE!$N$7:$N$782,APU_BASE!$A$7:$A$782,A100)</f>
        <v>36.48</v>
      </c>
      <c r="H100" s="11" t="n">
        <f aca="false">SUMIFS(APU_BASE!$Q$7:$Q$782,APU_BASE!$A$7:$A$782,A100)</f>
        <v>27.1740762812872</v>
      </c>
      <c r="I100" s="11" t="n">
        <f aca="false">SUMIFS(APU_BASE!$Q$7:$Q$782,APU_BASE!$A$7:$A$782,A100,APU_BASE!$O$7:$O$782,"NC")</f>
        <v>25</v>
      </c>
      <c r="J100" s="11" t="n">
        <f aca="false">SUMIFS(APU_BASE!$Q$7:$Q$782,APU_BASE!$A$7:$A$782,A100,APU_BASE!$O$7:$O$782,"C")</f>
        <v>1.38259833134684</v>
      </c>
      <c r="K100" s="11" t="n">
        <f aca="false">H100-I100-J100</f>
        <v>0.791477949940404</v>
      </c>
      <c r="L100" s="14" t="n">
        <f aca="false">IF(F100=0,0,H100/F100-1)</f>
        <v>-0.255096593166468</v>
      </c>
    </row>
    <row r="101" customFormat="false" ht="15" hidden="false" customHeight="false" outlineLevel="0" collapsed="false">
      <c r="A101" s="7" t="s">
        <v>656</v>
      </c>
      <c r="B101" s="7" t="s">
        <v>630</v>
      </c>
      <c r="C101" s="7" t="s">
        <v>390</v>
      </c>
      <c r="D101" s="7" t="s">
        <v>657</v>
      </c>
      <c r="E101" s="7" t="s">
        <v>12</v>
      </c>
      <c r="F101" s="11" t="n">
        <v>890.75</v>
      </c>
      <c r="G101" s="11" t="n">
        <f aca="false">SUMIFS(APU_BASE!$N$7:$N$782,APU_BASE!$A$7:$A$782,A101)</f>
        <v>890.75</v>
      </c>
      <c r="H101" s="11" t="n">
        <f aca="false">SUMIFS(APU_BASE!$Q$7:$Q$782,APU_BASE!$A$7:$A$782,A101)</f>
        <v>663.553560786651</v>
      </c>
      <c r="I101" s="11" t="n">
        <f aca="false">SUMIFS(APU_BASE!$Q$7:$Q$782,APU_BASE!$A$7:$A$782,A101,APU_BASE!$O$7:$O$782,"NC")</f>
        <v>625</v>
      </c>
      <c r="J101" s="11" t="n">
        <f aca="false">SUMIFS(APU_BASE!$Q$7:$Q$782,APU_BASE!$A$7:$A$782,A101,APU_BASE!$O$7:$O$782,"C")</f>
        <v>19.226758045292</v>
      </c>
      <c r="K101" s="11" t="n">
        <f aca="false">H101-I101-J101</f>
        <v>19.3268027413588</v>
      </c>
      <c r="L101" s="14" t="n">
        <f aca="false">IF(F101=0,0,H101/F101-1)</f>
        <v>-0.255061958140162</v>
      </c>
    </row>
    <row r="102" customFormat="false" ht="15" hidden="false" customHeight="false" outlineLevel="0" collapsed="false">
      <c r="A102" s="9" t="s">
        <v>658</v>
      </c>
      <c r="B102" s="9" t="s">
        <v>630</v>
      </c>
      <c r="C102" s="9" t="s">
        <v>393</v>
      </c>
      <c r="D102" s="9" t="s">
        <v>659</v>
      </c>
      <c r="E102" s="9" t="s">
        <v>12</v>
      </c>
      <c r="F102" s="10" t="n">
        <v>2279.91</v>
      </c>
      <c r="G102" s="11" t="n">
        <f aca="false">SUMIFS(APU_BASE!$N$7:$N$782,APU_BASE!$A$7:$A$782,A102)</f>
        <v>2279.91</v>
      </c>
      <c r="H102" s="11" t="n">
        <f aca="false">SUMIFS(APU_BASE!$Q$7:$Q$782,APU_BASE!$A$7:$A$782,A102)</f>
        <v>2913.90682161179</v>
      </c>
      <c r="I102" s="11" t="n">
        <f aca="false">SUMIFS(APU_BASE!$Q$7:$Q$782,APU_BASE!$A$7:$A$782,A102,APU_BASE!$O$7:$O$782,"NC")</f>
        <v>25</v>
      </c>
      <c r="J102" s="11" t="n">
        <f aca="false">SUMIFS(APU_BASE!$Q$7:$Q$782,APU_BASE!$A$7:$A$782,A102,APU_BASE!$O$7:$O$782,"C")</f>
        <v>0.769070321811681</v>
      </c>
      <c r="K102" s="11" t="n">
        <f aca="false">H102-I102-J102</f>
        <v>2888.13775128998</v>
      </c>
      <c r="L102" s="14" t="n">
        <f aca="false">IF(F102=0,0,H102/F102-1)</f>
        <v>0.278079758241242</v>
      </c>
    </row>
    <row r="103" customFormat="false" ht="15" hidden="false" customHeight="false" outlineLevel="0" collapsed="false">
      <c r="A103" s="7" t="s">
        <v>666</v>
      </c>
      <c r="B103" s="7" t="s">
        <v>630</v>
      </c>
      <c r="C103" s="7" t="s">
        <v>402</v>
      </c>
      <c r="D103" s="7" t="s">
        <v>667</v>
      </c>
      <c r="E103" s="7" t="s">
        <v>12</v>
      </c>
      <c r="F103" s="11" t="n">
        <v>1109.9</v>
      </c>
      <c r="G103" s="11" t="n">
        <f aca="false">SUMIFS(APU_BASE!$N$7:$N$782,APU_BASE!$A$7:$A$782,A103)</f>
        <v>1109.9</v>
      </c>
      <c r="H103" s="11" t="n">
        <f aca="false">SUMIFS(APU_BASE!$Q$7:$Q$782,APU_BASE!$A$7:$A$782,A103)</f>
        <v>1195.28133974746</v>
      </c>
      <c r="I103" s="11" t="n">
        <f aca="false">SUMIFS(APU_BASE!$Q$7:$Q$782,APU_BASE!$A$7:$A$782,A103,APU_BASE!$O$7:$O$782,"NC")</f>
        <v>11.11125</v>
      </c>
      <c r="J103" s="11" t="n">
        <f aca="false">SUMIFS(APU_BASE!$Q$7:$Q$782,APU_BASE!$A$7:$A$782,A103,APU_BASE!$O$7:$O$782,"C")</f>
        <v>1.70925879022646</v>
      </c>
      <c r="K103" s="11" t="n">
        <f aca="false">H103-I103-J103</f>
        <v>1182.46083095723</v>
      </c>
      <c r="L103" s="14" t="n">
        <f aca="false">IF(F103=0,0,H103/F103-1)</f>
        <v>0.0769270562640383</v>
      </c>
    </row>
    <row r="104" customFormat="false" ht="15" hidden="false" customHeight="false" outlineLevel="0" collapsed="false">
      <c r="A104" s="9" t="s">
        <v>670</v>
      </c>
      <c r="B104" s="9" t="s">
        <v>630</v>
      </c>
      <c r="C104" s="9" t="s">
        <v>671</v>
      </c>
      <c r="D104" s="9" t="s">
        <v>391</v>
      </c>
      <c r="E104" s="9" t="s">
        <v>16</v>
      </c>
      <c r="F104" s="10" t="n">
        <v>1.73</v>
      </c>
      <c r="G104" s="11" t="n">
        <f aca="false">SUMIFS(APU_BASE!$N$7:$N$782,APU_BASE!$A$7:$A$782,A104)</f>
        <v>1.73</v>
      </c>
      <c r="H104" s="11" t="n">
        <f aca="false">SUMIFS(APU_BASE!$Q$7:$Q$782,APU_BASE!$A$7:$A$782,A104)</f>
        <v>1.29241597884386</v>
      </c>
      <c r="I104" s="11" t="n">
        <f aca="false">SUMIFS(APU_BASE!$Q$7:$Q$782,APU_BASE!$A$7:$A$782,A104,APU_BASE!$O$7:$O$782,"NC")</f>
        <v>1.0875</v>
      </c>
      <c r="J104" s="11" t="n">
        <f aca="false">SUMIFS(APU_BASE!$Q$7:$Q$782,APU_BASE!$A$7:$A$782,A104,APU_BASE!$O$7:$O$782,"C")</f>
        <v>0.167272794994041</v>
      </c>
      <c r="K104" s="11" t="n">
        <f aca="false">H104-I104-J104</f>
        <v>0.0376431838498212</v>
      </c>
      <c r="L104" s="14" t="n">
        <f aca="false">IF(F104=0,0,H104/F104-1)</f>
        <v>-0.252938740552681</v>
      </c>
    </row>
    <row r="105" customFormat="false" ht="15" hidden="false" customHeight="false" outlineLevel="0" collapsed="false">
      <c r="A105" s="7" t="s">
        <v>672</v>
      </c>
      <c r="B105" s="7" t="s">
        <v>630</v>
      </c>
      <c r="C105" s="7" t="s">
        <v>673</v>
      </c>
      <c r="D105" s="7" t="s">
        <v>674</v>
      </c>
      <c r="E105" s="7" t="s">
        <v>16</v>
      </c>
      <c r="F105" s="11" t="n">
        <v>1.17</v>
      </c>
      <c r="G105" s="11" t="n">
        <f aca="false">SUMIFS(APU_BASE!$N$7:$N$782,APU_BASE!$A$7:$A$782,A105)</f>
        <v>1.17</v>
      </c>
      <c r="H105" s="11" t="n">
        <f aca="false">SUMIFS(APU_BASE!$Q$7:$Q$782,APU_BASE!$A$7:$A$782,A105)</f>
        <v>0.980073747095067</v>
      </c>
      <c r="I105" s="11" t="n">
        <f aca="false">SUMIFS(APU_BASE!$Q$7:$Q$782,APU_BASE!$A$7:$A$782,A105,APU_BASE!$O$7:$O$782,"NC")</f>
        <v>0.625</v>
      </c>
      <c r="J105" s="11" t="n">
        <f aca="false">SUMIFS(APU_BASE!$Q$7:$Q$782,APU_BASE!$A$7:$A$782,A105,APU_BASE!$O$7:$O$782,"C")</f>
        <v>0.0691299165673421</v>
      </c>
      <c r="K105" s="11" t="n">
        <f aca="false">H105-I105-J105</f>
        <v>0.285943830527725</v>
      </c>
      <c r="L105" s="14" t="n">
        <f aca="false">IF(F105=0,0,H105/F105-1)</f>
        <v>-0.162330130687977</v>
      </c>
    </row>
    <row r="106" customFormat="false" ht="15" hidden="false" customHeight="false" outlineLevel="0" collapsed="false">
      <c r="A106" s="9" t="s">
        <v>675</v>
      </c>
      <c r="B106" s="9" t="s">
        <v>630</v>
      </c>
      <c r="C106" s="9" t="s">
        <v>676</v>
      </c>
      <c r="D106" s="9" t="s">
        <v>403</v>
      </c>
      <c r="E106" s="9" t="s">
        <v>16</v>
      </c>
      <c r="F106" s="10" t="n">
        <v>0.16</v>
      </c>
      <c r="G106" s="11" t="n">
        <f aca="false">SUMIFS(APU_BASE!$N$7:$N$782,APU_BASE!$A$7:$A$782,A106)</f>
        <v>0.16</v>
      </c>
      <c r="H106" s="11" t="n">
        <f aca="false">SUMIFS(APU_BASE!$Q$7:$Q$782,APU_BASE!$A$7:$A$782,A106)</f>
        <v>0.16121842547914</v>
      </c>
      <c r="I106" s="11" t="n">
        <f aca="false">SUMIFS(APU_BASE!$Q$7:$Q$782,APU_BASE!$A$7:$A$782,A106,APU_BASE!$O$7:$O$782,"NC")</f>
        <v>0.03375</v>
      </c>
      <c r="J106" s="11" t="n">
        <f aca="false">SUMIFS(APU_BASE!$Q$7:$Q$782,APU_BASE!$A$7:$A$782,A106,APU_BASE!$O$7:$O$782,"C")</f>
        <v>0.0179737783075089</v>
      </c>
      <c r="K106" s="11" t="n">
        <f aca="false">H106-I106-J106</f>
        <v>0.109494647171631</v>
      </c>
      <c r="L106" s="14" t="n">
        <f aca="false">IF(F106=0,0,H106/F106-1)</f>
        <v>0.00761515924462475</v>
      </c>
    </row>
    <row r="107" customFormat="false" ht="15" hidden="false" customHeight="false" outlineLevel="0" collapsed="false">
      <c r="A107" s="7" t="s">
        <v>677</v>
      </c>
      <c r="B107" s="7" t="s">
        <v>630</v>
      </c>
      <c r="C107" s="7" t="s">
        <v>678</v>
      </c>
      <c r="D107" s="7" t="s">
        <v>408</v>
      </c>
      <c r="E107" s="7" t="s">
        <v>16</v>
      </c>
      <c r="F107" s="11" t="n">
        <v>0.34</v>
      </c>
      <c r="G107" s="11" t="n">
        <f aca="false">SUMIFS(APU_BASE!$N$7:$N$782,APU_BASE!$A$7:$A$782,A107)</f>
        <v>0.3439</v>
      </c>
      <c r="H107" s="11" t="n">
        <f aca="false">SUMIFS(APU_BASE!$Q$7:$Q$782,APU_BASE!$A$7:$A$782,A107)</f>
        <v>0.375495206197838</v>
      </c>
      <c r="I107" s="11" t="n">
        <f aca="false">SUMIFS(APU_BASE!$Q$7:$Q$782,APU_BASE!$A$7:$A$782,A107,APU_BASE!$O$7:$O$782,"NC")</f>
        <v>0.08375</v>
      </c>
      <c r="J107" s="11" t="n">
        <f aca="false">SUMIFS(APU_BASE!$Q$7:$Q$782,APU_BASE!$A$7:$A$782,A107,APU_BASE!$O$7:$O$782,"C")</f>
        <v>0.0134587306317044</v>
      </c>
      <c r="K107" s="11" t="n">
        <f aca="false">H107-I107-J107</f>
        <v>0.278286475566134</v>
      </c>
      <c r="L107" s="14" t="n">
        <f aca="false">IF(F107=0,0,H107/F107-1)</f>
        <v>0.104397665287759</v>
      </c>
    </row>
    <row r="108" customFormat="false" ht="15" hidden="false" customHeight="false" outlineLevel="0" collapsed="false">
      <c r="A108" s="9" t="s">
        <v>679</v>
      </c>
      <c r="B108" s="9" t="s">
        <v>630</v>
      </c>
      <c r="C108" s="9" t="s">
        <v>680</v>
      </c>
      <c r="D108" s="9" t="s">
        <v>414</v>
      </c>
      <c r="E108" s="9" t="s">
        <v>341</v>
      </c>
      <c r="F108" s="10" t="n">
        <v>0.81</v>
      </c>
      <c r="G108" s="11" t="n">
        <f aca="false">SUMIFS(APU_BASE!$N$7:$N$782,APU_BASE!$A$7:$A$782,A108)</f>
        <v>0.81</v>
      </c>
      <c r="H108" s="11" t="n">
        <f aca="false">SUMIFS(APU_BASE!$Q$7:$Q$782,APU_BASE!$A$7:$A$782,A108)</f>
        <v>0.616958125443632</v>
      </c>
      <c r="I108" s="11" t="n">
        <f aca="false">SUMIFS(APU_BASE!$Q$7:$Q$782,APU_BASE!$A$7:$A$782,A108,APU_BASE!$O$7:$O$782,"NC")</f>
        <v>0.5</v>
      </c>
      <c r="J108" s="11" t="n">
        <f aca="false">SUMIFS(APU_BASE!$Q$7:$Q$782,APU_BASE!$A$7:$A$782,A108,APU_BASE!$O$7:$O$782,"C")</f>
        <v>0.0769070321811681</v>
      </c>
      <c r="K108" s="11" t="n">
        <f aca="false">H108-I108-J108</f>
        <v>0.0400510932624636</v>
      </c>
      <c r="L108" s="14" t="n">
        <f aca="false">IF(F108=0,0,H108/F108-1)</f>
        <v>-0.238323301921442</v>
      </c>
    </row>
    <row r="109" customFormat="false" ht="15" hidden="false" customHeight="false" outlineLevel="0" collapsed="false">
      <c r="A109" s="7" t="s">
        <v>681</v>
      </c>
      <c r="B109" s="7" t="s">
        <v>630</v>
      </c>
      <c r="C109" s="7" t="s">
        <v>682</v>
      </c>
      <c r="D109" s="7" t="s">
        <v>419</v>
      </c>
      <c r="E109" s="7" t="s">
        <v>16</v>
      </c>
      <c r="F109" s="11" t="n">
        <v>1.48</v>
      </c>
      <c r="G109" s="11" t="n">
        <f aca="false">SUMIFS(APU_BASE!$N$7:$N$782,APU_BASE!$A$7:$A$782,A109)</f>
        <v>1.48</v>
      </c>
      <c r="H109" s="11" t="n">
        <f aca="false">SUMIFS(APU_BASE!$Q$7:$Q$782,APU_BASE!$A$7:$A$782,A109)</f>
        <v>1.40960514858264</v>
      </c>
      <c r="I109" s="11" t="n">
        <f aca="false">SUMIFS(APU_BASE!$Q$7:$Q$782,APU_BASE!$A$7:$A$782,A109,APU_BASE!$O$7:$O$782,"NC")</f>
        <v>0.625</v>
      </c>
      <c r="J109" s="11" t="n">
        <f aca="false">SUMIFS(APU_BASE!$Q$7:$Q$782,APU_BASE!$A$7:$A$782,A109,APU_BASE!$O$7:$O$782,"C")</f>
        <v>0.019226758045292</v>
      </c>
      <c r="K109" s="11" t="n">
        <f aca="false">H109-I109-J109</f>
        <v>0.76537839053735</v>
      </c>
      <c r="L109" s="14" t="n">
        <f aca="false">IF(F109=0,0,H109/F109-1)</f>
        <v>-0.047564088795512</v>
      </c>
    </row>
    <row r="110" customFormat="false" ht="15" hidden="false" customHeight="false" outlineLevel="0" collapsed="false">
      <c r="A110" s="9" t="s">
        <v>683</v>
      </c>
      <c r="B110" s="9" t="s">
        <v>630</v>
      </c>
      <c r="C110" s="9" t="s">
        <v>684</v>
      </c>
      <c r="D110" s="9" t="s">
        <v>422</v>
      </c>
      <c r="E110" s="9" t="s">
        <v>16</v>
      </c>
      <c r="F110" s="10" t="n">
        <v>1.05</v>
      </c>
      <c r="G110" s="11" t="n">
        <f aca="false">SUMIFS(APU_BASE!$N$7:$N$782,APU_BASE!$A$7:$A$782,A110)</f>
        <v>1.05</v>
      </c>
      <c r="H110" s="11" t="n">
        <f aca="false">SUMIFS(APU_BASE!$Q$7:$Q$782,APU_BASE!$A$7:$A$782,A110)</f>
        <v>0.833670405691728</v>
      </c>
      <c r="I110" s="11" t="n">
        <f aca="false">SUMIFS(APU_BASE!$Q$7:$Q$782,APU_BASE!$A$7:$A$782,A110,APU_BASE!$O$7:$O$782,"NC")</f>
        <v>0.625</v>
      </c>
      <c r="J110" s="11" t="n">
        <f aca="false">SUMIFS(APU_BASE!$Q$7:$Q$782,APU_BASE!$A$7:$A$782,A110,APU_BASE!$O$7:$O$782,"C")</f>
        <v>0.019226758045292</v>
      </c>
      <c r="K110" s="11" t="n">
        <f aca="false">H110-I110-J110</f>
        <v>0.189443647646436</v>
      </c>
      <c r="L110" s="14" t="n">
        <f aca="false">IF(F110=0,0,H110/F110-1)</f>
        <v>-0.206028185055498</v>
      </c>
    </row>
    <row r="111" customFormat="false" ht="15" hidden="false" customHeight="false" outlineLevel="0" collapsed="false">
      <c r="A111" s="7" t="s">
        <v>685</v>
      </c>
      <c r="B111" s="7" t="s">
        <v>686</v>
      </c>
      <c r="C111" s="7" t="s">
        <v>271</v>
      </c>
      <c r="D111" s="7" t="s">
        <v>687</v>
      </c>
      <c r="E111" s="7" t="s">
        <v>277</v>
      </c>
      <c r="F111" s="11" t="n">
        <v>60006.76</v>
      </c>
      <c r="G111" s="11" t="n">
        <f aca="false">SUMIFS(APU_BASE!$N$7:$N$782,APU_BASE!$A$7:$A$782,A111)</f>
        <v>60006.76</v>
      </c>
      <c r="H111" s="11" t="n">
        <f aca="false">SUMIFS(APU_BASE!$Q$7:$Q$782,APU_BASE!$A$7:$A$782,A111)</f>
        <v>77186.4458215396</v>
      </c>
      <c r="I111" s="11" t="n">
        <f aca="false">SUMIFS(APU_BASE!$Q$7:$Q$782,APU_BASE!$A$7:$A$782,A111,APU_BASE!$O$7:$O$782,"NC")</f>
        <v>0</v>
      </c>
      <c r="J111" s="11" t="n">
        <f aca="false">SUMIFS(APU_BASE!$Q$7:$Q$782,APU_BASE!$A$7:$A$782,A111,APU_BASE!$O$7:$O$782,"C")</f>
        <v>0</v>
      </c>
      <c r="K111" s="11" t="n">
        <f aca="false">H111-I111-J111</f>
        <v>77186.4458215396</v>
      </c>
      <c r="L111" s="14" t="n">
        <f aca="false">IF(F111=0,0,H111/F111-1)</f>
        <v>0.286295841027572</v>
      </c>
    </row>
    <row r="112" customFormat="false" ht="15" hidden="false" customHeight="false" outlineLevel="0" collapsed="false">
      <c r="A112" s="9" t="s">
        <v>690</v>
      </c>
      <c r="B112" s="9" t="s">
        <v>686</v>
      </c>
      <c r="C112" s="9" t="s">
        <v>279</v>
      </c>
      <c r="D112" s="9" t="s">
        <v>280</v>
      </c>
      <c r="E112" s="9" t="s">
        <v>18</v>
      </c>
      <c r="F112" s="10" t="n">
        <v>27992.8</v>
      </c>
      <c r="G112" s="11" t="n">
        <f aca="false">SUMIFS(APU_BASE!$N$7:$N$782,APU_BASE!$A$7:$A$782,A112)</f>
        <v>27992.8</v>
      </c>
      <c r="H112" s="11" t="n">
        <f aca="false">SUMIFS(APU_BASE!$Q$7:$Q$782,APU_BASE!$A$7:$A$782,A112)</f>
        <v>33977.6532379937</v>
      </c>
      <c r="I112" s="11" t="n">
        <f aca="false">SUMIFS(APU_BASE!$Q$7:$Q$782,APU_BASE!$A$7:$A$782,A112,APU_BASE!$O$7:$O$782,"NC")</f>
        <v>1600</v>
      </c>
      <c r="J112" s="11" t="n">
        <f aca="false">SUMIFS(APU_BASE!$Q$7:$Q$782,APU_BASE!$A$7:$A$782,A112,APU_BASE!$O$7:$O$782,"C")</f>
        <v>1192.49106078665</v>
      </c>
      <c r="K112" s="11" t="n">
        <f aca="false">H112-I112-J112</f>
        <v>31185.162177207</v>
      </c>
      <c r="L112" s="14" t="n">
        <f aca="false">IF(F112=0,0,H112/F112-1)</f>
        <v>0.213799735574636</v>
      </c>
    </row>
    <row r="113" customFormat="false" ht="15" hidden="false" customHeight="false" outlineLevel="0" collapsed="false">
      <c r="A113" s="7" t="s">
        <v>691</v>
      </c>
      <c r="B113" s="7" t="s">
        <v>686</v>
      </c>
      <c r="C113" s="7" t="s">
        <v>301</v>
      </c>
      <c r="D113" s="7" t="s">
        <v>302</v>
      </c>
      <c r="E113" s="7" t="s">
        <v>18</v>
      </c>
      <c r="F113" s="11" t="n">
        <v>4665.44</v>
      </c>
      <c r="G113" s="11" t="n">
        <f aca="false">SUMIFS(APU_BASE!$N$7:$N$782,APU_BASE!$A$7:$A$782,A113)</f>
        <v>4665.44</v>
      </c>
      <c r="H113" s="11" t="n">
        <f aca="false">SUMIFS(APU_BASE!$Q$7:$Q$782,APU_BASE!$A$7:$A$782,A113)</f>
        <v>5662.92134553955</v>
      </c>
      <c r="I113" s="11" t="n">
        <f aca="false">SUMIFS(APU_BASE!$Q$7:$Q$782,APU_BASE!$A$7:$A$782,A113,APU_BASE!$O$7:$O$782,"NC")</f>
        <v>266.66625</v>
      </c>
      <c r="J113" s="11" t="n">
        <f aca="false">SUMIFS(APU_BASE!$Q$7:$Q$782,APU_BASE!$A$7:$A$782,A113,APU_BASE!$O$7:$O$782,"C")</f>
        <v>198.749611889154</v>
      </c>
      <c r="K113" s="11" t="n">
        <f aca="false">H113-I113-J113</f>
        <v>5197.5054836504</v>
      </c>
      <c r="L113" s="14" t="n">
        <f aca="false">IF(F113=0,0,H113/F113-1)</f>
        <v>0.213802202051586</v>
      </c>
    </row>
    <row r="114" customFormat="false" ht="15" hidden="false" customHeight="false" outlineLevel="0" collapsed="false">
      <c r="A114" s="9" t="s">
        <v>692</v>
      </c>
      <c r="B114" s="9" t="s">
        <v>686</v>
      </c>
      <c r="C114" s="9" t="s">
        <v>304</v>
      </c>
      <c r="D114" s="9" t="s">
        <v>305</v>
      </c>
      <c r="E114" s="9" t="s">
        <v>18</v>
      </c>
      <c r="F114" s="10" t="n">
        <v>583.87</v>
      </c>
      <c r="G114" s="11" t="n">
        <f aca="false">SUMIFS(APU_BASE!$N$7:$N$782,APU_BASE!$A$7:$A$782,A114)</f>
        <v>583.87</v>
      </c>
      <c r="H114" s="11" t="n">
        <f aca="false">SUMIFS(APU_BASE!$Q$7:$Q$782,APU_BASE!$A$7:$A$782,A114)</f>
        <v>493.527488989706</v>
      </c>
      <c r="I114" s="11" t="n">
        <f aca="false">SUMIFS(APU_BASE!$Q$7:$Q$782,APU_BASE!$A$7:$A$782,A114,APU_BASE!$O$7:$O$782,"NC")</f>
        <v>187.5</v>
      </c>
      <c r="J114" s="11" t="n">
        <f aca="false">SUMIFS(APU_BASE!$Q$7:$Q$782,APU_BASE!$A$7:$A$782,A114,APU_BASE!$O$7:$O$782,"C")</f>
        <v>156.510727056019</v>
      </c>
      <c r="K114" s="11" t="n">
        <f aca="false">H114-I114-J114</f>
        <v>149.516761933687</v>
      </c>
      <c r="L114" s="14" t="n">
        <f aca="false">IF(F114=0,0,H114/F114-1)</f>
        <v>-0.154730523935626</v>
      </c>
    </row>
    <row r="115" customFormat="false" ht="15" hidden="false" customHeight="false" outlineLevel="0" collapsed="false">
      <c r="A115" s="7" t="s">
        <v>693</v>
      </c>
      <c r="B115" s="7" t="s">
        <v>686</v>
      </c>
      <c r="C115" s="7" t="s">
        <v>331</v>
      </c>
      <c r="D115" s="7" t="s">
        <v>332</v>
      </c>
      <c r="E115" s="7" t="s">
        <v>12</v>
      </c>
      <c r="F115" s="11" t="n">
        <v>285.04</v>
      </c>
      <c r="G115" s="11" t="n">
        <f aca="false">SUMIFS(APU_BASE!$N$7:$N$782,APU_BASE!$A$7:$A$782,A115)</f>
        <v>285.04</v>
      </c>
      <c r="H115" s="11" t="n">
        <f aca="false">SUMIFS(APU_BASE!$Q$7:$Q$782,APU_BASE!$A$7:$A$782,A115)</f>
        <v>212.337139451728</v>
      </c>
      <c r="I115" s="11" t="n">
        <f aca="false">SUMIFS(APU_BASE!$Q$7:$Q$782,APU_BASE!$A$7:$A$782,A115,APU_BASE!$O$7:$O$782,"NC")</f>
        <v>200</v>
      </c>
      <c r="J115" s="11" t="n">
        <f aca="false">SUMIFS(APU_BASE!$Q$7:$Q$782,APU_BASE!$A$7:$A$782,A115,APU_BASE!$O$7:$O$782,"C")</f>
        <v>6.15256257449344</v>
      </c>
      <c r="K115" s="11" t="n">
        <f aca="false">H115-I115-J115</f>
        <v>6.18457687723482</v>
      </c>
      <c r="L115" s="14" t="n">
        <f aca="false">IF(F115=0,0,H115/F115-1)</f>
        <v>-0.255061958140162</v>
      </c>
    </row>
    <row r="116" customFormat="false" ht="15" hidden="false" customHeight="false" outlineLevel="0" collapsed="false">
      <c r="A116" s="9" t="s">
        <v>694</v>
      </c>
      <c r="B116" s="9" t="s">
        <v>686</v>
      </c>
      <c r="C116" s="9" t="s">
        <v>334</v>
      </c>
      <c r="D116" s="9" t="s">
        <v>695</v>
      </c>
      <c r="E116" s="9" t="s">
        <v>494</v>
      </c>
      <c r="F116" s="10" t="n">
        <v>6000</v>
      </c>
      <c r="G116" s="11" t="n">
        <f aca="false">SUMIFS(APU_BASE!$N$7:$N$782,APU_BASE!$A$7:$A$782,A116)</f>
        <v>6000</v>
      </c>
      <c r="H116" s="11" t="n">
        <f aca="false">SUMIFS(APU_BASE!$Q$7:$Q$782,APU_BASE!$A$7:$A$782,A116)</f>
        <v>7717.77504616543</v>
      </c>
      <c r="I116" s="11" t="n">
        <f aca="false">SUMIFS(APU_BASE!$Q$7:$Q$782,APU_BASE!$A$7:$A$782,A116,APU_BASE!$O$7:$O$782,"NC")</f>
        <v>0</v>
      </c>
      <c r="J116" s="11" t="n">
        <f aca="false">SUMIFS(APU_BASE!$Q$7:$Q$782,APU_BASE!$A$7:$A$782,A116,APU_BASE!$O$7:$O$782,"C")</f>
        <v>7717.77504616543</v>
      </c>
      <c r="K116" s="11" t="n">
        <f aca="false">H116-I116-J116</f>
        <v>0</v>
      </c>
      <c r="L116" s="14" t="n">
        <f aca="false">IF(F116=0,0,H116/F116-1)</f>
        <v>0.286295841027572</v>
      </c>
    </row>
    <row r="117" customFormat="false" ht="15" hidden="false" customHeight="false" outlineLevel="0" collapsed="false">
      <c r="A117" s="7" t="s">
        <v>698</v>
      </c>
      <c r="B117" s="7" t="s">
        <v>686</v>
      </c>
      <c r="C117" s="7" t="s">
        <v>339</v>
      </c>
      <c r="D117" s="7" t="s">
        <v>340</v>
      </c>
      <c r="E117" s="7" t="s">
        <v>341</v>
      </c>
      <c r="F117" s="11" t="n">
        <v>202.06</v>
      </c>
      <c r="G117" s="11" t="n">
        <f aca="false">SUMIFS(APU_BASE!$N$7:$N$782,APU_BASE!$A$7:$A$782,A117)</f>
        <v>202.06</v>
      </c>
      <c r="H117" s="11" t="n">
        <f aca="false">SUMIFS(APU_BASE!$Q$7:$Q$782,APU_BASE!$A$7:$A$782,A117)</f>
        <v>259.908937638031</v>
      </c>
      <c r="I117" s="11" t="n">
        <f aca="false">SUMIFS(APU_BASE!$Q$7:$Q$782,APU_BASE!$A$7:$A$782,A117,APU_BASE!$O$7:$O$782,"NC")</f>
        <v>0</v>
      </c>
      <c r="J117" s="11" t="n">
        <f aca="false">SUMIFS(APU_BASE!$Q$7:$Q$782,APU_BASE!$A$7:$A$782,A117,APU_BASE!$O$7:$O$782,"C")</f>
        <v>0</v>
      </c>
      <c r="K117" s="11" t="n">
        <f aca="false">H117-I117-J117</f>
        <v>259.908937638031</v>
      </c>
      <c r="L117" s="14" t="n">
        <f aca="false">IF(F117=0,0,H117/F117-1)</f>
        <v>0.286295841027572</v>
      </c>
    </row>
    <row r="118" customFormat="false" ht="15" hidden="false" customHeight="false" outlineLevel="0" collapsed="false">
      <c r="A118" s="9" t="s">
        <v>699</v>
      </c>
      <c r="B118" s="9" t="s">
        <v>686</v>
      </c>
      <c r="C118" s="9" t="s">
        <v>357</v>
      </c>
      <c r="D118" s="9" t="s">
        <v>358</v>
      </c>
      <c r="E118" s="9" t="s">
        <v>16</v>
      </c>
      <c r="F118" s="10" t="n">
        <v>4445.55</v>
      </c>
      <c r="G118" s="11" t="n">
        <f aca="false">SUMIFS(APU_BASE!$N$7:$N$782,APU_BASE!$A$7:$A$782,A118)</f>
        <v>4445.55</v>
      </c>
      <c r="H118" s="11" t="n">
        <f aca="false">SUMIFS(APU_BASE!$Q$7:$Q$782,APU_BASE!$A$7:$A$782,A118)</f>
        <v>5255.33284128308</v>
      </c>
      <c r="I118" s="11" t="n">
        <f aca="false">SUMIFS(APU_BASE!$Q$7:$Q$782,APU_BASE!$A$7:$A$782,A118,APU_BASE!$O$7:$O$782,"NC")</f>
        <v>400</v>
      </c>
      <c r="J118" s="11" t="n">
        <f aca="false">SUMIFS(APU_BASE!$Q$7:$Q$782,APU_BASE!$A$7:$A$782,A118,APU_BASE!$O$7:$O$782,"C")</f>
        <v>216.716328963051</v>
      </c>
      <c r="K118" s="11" t="n">
        <f aca="false">H118-I118-J118</f>
        <v>4638.61651232002</v>
      </c>
      <c r="L118" s="14" t="n">
        <f aca="false">IF(F118=0,0,H118/F118-1)</f>
        <v>0.182155828026471</v>
      </c>
    </row>
    <row r="119" customFormat="false" ht="15" hidden="false" customHeight="false" outlineLevel="0" collapsed="false">
      <c r="A119" s="7" t="s">
        <v>700</v>
      </c>
      <c r="B119" s="7" t="s">
        <v>686</v>
      </c>
      <c r="C119" s="7" t="s">
        <v>374</v>
      </c>
      <c r="D119" s="7" t="s">
        <v>701</v>
      </c>
      <c r="E119" s="7" t="s">
        <v>18</v>
      </c>
      <c r="F119" s="11" t="n">
        <v>3393.35</v>
      </c>
      <c r="G119" s="11" t="n">
        <f aca="false">SUMIFS(APU_BASE!$N$7:$N$782,APU_BASE!$A$7:$A$782,A119)</f>
        <v>3393.35</v>
      </c>
      <c r="H119" s="11" t="n">
        <f aca="false">SUMIFS(APU_BASE!$Q$7:$Q$782,APU_BASE!$A$7:$A$782,A119)</f>
        <v>2527.82273981675</v>
      </c>
      <c r="I119" s="11" t="n">
        <f aca="false">SUMIFS(APU_BASE!$Q$7:$Q$782,APU_BASE!$A$7:$A$782,A119,APU_BASE!$O$7:$O$782,"NC")</f>
        <v>2380.9525</v>
      </c>
      <c r="J119" s="11" t="n">
        <f aca="false">SUMIFS(APU_BASE!$Q$7:$Q$782,APU_BASE!$A$7:$A$782,A119,APU_BASE!$O$7:$O$782,"C")</f>
        <v>73.2443347735399</v>
      </c>
      <c r="K119" s="11" t="n">
        <f aca="false">H119-I119-J119</f>
        <v>73.6259050432062</v>
      </c>
      <c r="L119" s="14" t="n">
        <f aca="false">IF(F119=0,0,H119/F119-1)</f>
        <v>-0.255065719770508</v>
      </c>
    </row>
    <row r="120" customFormat="false" ht="15" hidden="false" customHeight="false" outlineLevel="0" collapsed="false">
      <c r="A120" s="9" t="s">
        <v>702</v>
      </c>
      <c r="B120" s="9" t="s">
        <v>686</v>
      </c>
      <c r="C120" s="9" t="s">
        <v>377</v>
      </c>
      <c r="D120" s="9" t="s">
        <v>703</v>
      </c>
      <c r="E120" s="9" t="s">
        <v>341</v>
      </c>
      <c r="F120" s="10" t="n">
        <v>1.42</v>
      </c>
      <c r="G120" s="11" t="n">
        <f aca="false">SUMIFS(APU_BASE!$N$7:$N$782,APU_BASE!$A$7:$A$782,A120)</f>
        <v>1.42</v>
      </c>
      <c r="H120" s="11" t="n">
        <f aca="false">SUMIFS(APU_BASE!$Q$7:$Q$782,APU_BASE!$A$7:$A$782,A120)</f>
        <v>1.05632853098927</v>
      </c>
      <c r="I120" s="11" t="n">
        <f aca="false">SUMIFS(APU_BASE!$Q$7:$Q$782,APU_BASE!$A$7:$A$782,A120,APU_BASE!$O$7:$O$782,"NC")</f>
        <v>0.9525</v>
      </c>
      <c r="J120" s="11" t="n">
        <f aca="false">SUMIFS(APU_BASE!$Q$7:$Q$782,APU_BASE!$A$7:$A$782,A120,APU_BASE!$O$7:$O$782,"C")</f>
        <v>0.0730616805721096</v>
      </c>
      <c r="K120" s="11" t="n">
        <f aca="false">H120-I120-J120</f>
        <v>0.0307668504171633</v>
      </c>
      <c r="L120" s="14" t="n">
        <f aca="false">IF(F120=0,0,H120/F120-1)</f>
        <v>-0.256106668317413</v>
      </c>
    </row>
    <row r="121" customFormat="false" ht="15" hidden="false" customHeight="false" outlineLevel="0" collapsed="false">
      <c r="A121" s="7" t="s">
        <v>704</v>
      </c>
      <c r="B121" s="7" t="s">
        <v>686</v>
      </c>
      <c r="C121" s="7" t="s">
        <v>380</v>
      </c>
      <c r="D121" s="7" t="s">
        <v>705</v>
      </c>
      <c r="E121" s="7" t="s">
        <v>273</v>
      </c>
      <c r="F121" s="11" t="n">
        <v>69.35</v>
      </c>
      <c r="G121" s="11" t="n">
        <f aca="false">SUMIFS(APU_BASE!$N$7:$N$782,APU_BASE!$A$7:$A$782,A121)</f>
        <v>69.35</v>
      </c>
      <c r="H121" s="11" t="n">
        <f aca="false">SUMIFS(APU_BASE!$Q$7:$Q$782,APU_BASE!$A$7:$A$782,A121)</f>
        <v>52.7110054524208</v>
      </c>
      <c r="I121" s="11" t="n">
        <f aca="false">SUMIFS(APU_BASE!$Q$7:$Q$782,APU_BASE!$A$7:$A$782,A121,APU_BASE!$O$7:$O$782,"NC")</f>
        <v>44.445</v>
      </c>
      <c r="J121" s="11" t="n">
        <f aca="false">SUMIFS(APU_BASE!$Q$7:$Q$782,APU_BASE!$A$7:$A$782,A121,APU_BASE!$O$7:$O$782,"C")</f>
        <v>3.41851758045292</v>
      </c>
      <c r="K121" s="11" t="n">
        <f aca="false">H121-I121-J121</f>
        <v>4.84748787196786</v>
      </c>
      <c r="L121" s="14" t="n">
        <f aca="false">IF(F121=0,0,H121/F121-1)</f>
        <v>-0.239927823324863</v>
      </c>
    </row>
    <row r="122" customFormat="false" ht="15" hidden="false" customHeight="false" outlineLevel="0" collapsed="false">
      <c r="A122" s="9" t="s">
        <v>706</v>
      </c>
      <c r="B122" s="9" t="s">
        <v>686</v>
      </c>
      <c r="C122" s="9" t="s">
        <v>385</v>
      </c>
      <c r="D122" s="9" t="s">
        <v>655</v>
      </c>
      <c r="E122" s="9" t="s">
        <v>273</v>
      </c>
      <c r="F122" s="10" t="n">
        <v>36.48</v>
      </c>
      <c r="G122" s="11" t="n">
        <f aca="false">SUMIFS(APU_BASE!$N$7:$N$782,APU_BASE!$A$7:$A$782,A122)</f>
        <v>36.48</v>
      </c>
      <c r="H122" s="11" t="n">
        <f aca="false">SUMIFS(APU_BASE!$Q$7:$Q$782,APU_BASE!$A$7:$A$782,A122)</f>
        <v>27.1740762812872</v>
      </c>
      <c r="I122" s="11" t="n">
        <f aca="false">SUMIFS(APU_BASE!$Q$7:$Q$782,APU_BASE!$A$7:$A$782,A122,APU_BASE!$O$7:$O$782,"NC")</f>
        <v>25</v>
      </c>
      <c r="J122" s="11" t="n">
        <f aca="false">SUMIFS(APU_BASE!$Q$7:$Q$782,APU_BASE!$A$7:$A$782,A122,APU_BASE!$O$7:$O$782,"C")</f>
        <v>1.38259833134684</v>
      </c>
      <c r="K122" s="11" t="n">
        <f aca="false">H122-I122-J122</f>
        <v>0.791477949940404</v>
      </c>
      <c r="L122" s="14" t="n">
        <f aca="false">IF(F122=0,0,H122/F122-1)</f>
        <v>-0.255096593166468</v>
      </c>
    </row>
    <row r="123" customFormat="false" ht="15" hidden="false" customHeight="false" outlineLevel="0" collapsed="false">
      <c r="A123" s="7" t="s">
        <v>707</v>
      </c>
      <c r="B123" s="7" t="s">
        <v>686</v>
      </c>
      <c r="C123" s="7" t="s">
        <v>390</v>
      </c>
      <c r="D123" s="7" t="s">
        <v>657</v>
      </c>
      <c r="E123" s="7" t="s">
        <v>12</v>
      </c>
      <c r="F123" s="11" t="n">
        <v>890.75</v>
      </c>
      <c r="G123" s="11" t="n">
        <f aca="false">SUMIFS(APU_BASE!$N$7:$N$782,APU_BASE!$A$7:$A$782,A123)</f>
        <v>890.75</v>
      </c>
      <c r="H123" s="11" t="n">
        <f aca="false">SUMIFS(APU_BASE!$Q$7:$Q$782,APU_BASE!$A$7:$A$782,A123)</f>
        <v>663.553560786651</v>
      </c>
      <c r="I123" s="11" t="n">
        <f aca="false">SUMIFS(APU_BASE!$Q$7:$Q$782,APU_BASE!$A$7:$A$782,A123,APU_BASE!$O$7:$O$782,"NC")</f>
        <v>625</v>
      </c>
      <c r="J123" s="11" t="n">
        <f aca="false">SUMIFS(APU_BASE!$Q$7:$Q$782,APU_BASE!$A$7:$A$782,A123,APU_BASE!$O$7:$O$782,"C")</f>
        <v>19.226758045292</v>
      </c>
      <c r="K123" s="11" t="n">
        <f aca="false">H123-I123-J123</f>
        <v>19.3268027413588</v>
      </c>
      <c r="L123" s="14" t="n">
        <f aca="false">IF(F123=0,0,H123/F123-1)</f>
        <v>-0.255061958140162</v>
      </c>
    </row>
    <row r="124" customFormat="false" ht="15" hidden="false" customHeight="false" outlineLevel="0" collapsed="false">
      <c r="A124" s="9" t="s">
        <v>708</v>
      </c>
      <c r="B124" s="9" t="s">
        <v>686</v>
      </c>
      <c r="C124" s="9" t="s">
        <v>393</v>
      </c>
      <c r="D124" s="9" t="s">
        <v>659</v>
      </c>
      <c r="E124" s="9" t="s">
        <v>12</v>
      </c>
      <c r="F124" s="10" t="n">
        <v>2279.91</v>
      </c>
      <c r="G124" s="11" t="n">
        <f aca="false">SUMIFS(APU_BASE!$N$7:$N$782,APU_BASE!$A$7:$A$782,A124)</f>
        <v>2279.91</v>
      </c>
      <c r="H124" s="11" t="n">
        <f aca="false">SUMIFS(APU_BASE!$Q$7:$Q$782,APU_BASE!$A$7:$A$782,A124)</f>
        <v>2913.90682161179</v>
      </c>
      <c r="I124" s="11" t="n">
        <f aca="false">SUMIFS(APU_BASE!$Q$7:$Q$782,APU_BASE!$A$7:$A$782,A124,APU_BASE!$O$7:$O$782,"NC")</f>
        <v>25</v>
      </c>
      <c r="J124" s="11" t="n">
        <f aca="false">SUMIFS(APU_BASE!$Q$7:$Q$782,APU_BASE!$A$7:$A$782,A124,APU_BASE!$O$7:$O$782,"C")</f>
        <v>0.769070321811681</v>
      </c>
      <c r="K124" s="11" t="n">
        <f aca="false">H124-I124-J124</f>
        <v>2888.13775128998</v>
      </c>
      <c r="L124" s="14" t="n">
        <f aca="false">IF(F124=0,0,H124/F124-1)</f>
        <v>0.278079758241242</v>
      </c>
    </row>
    <row r="125" customFormat="false" ht="15" hidden="false" customHeight="false" outlineLevel="0" collapsed="false">
      <c r="A125" s="7" t="s">
        <v>709</v>
      </c>
      <c r="B125" s="7" t="s">
        <v>686</v>
      </c>
      <c r="C125" s="7" t="s">
        <v>402</v>
      </c>
      <c r="D125" s="7" t="s">
        <v>667</v>
      </c>
      <c r="E125" s="7" t="s">
        <v>12</v>
      </c>
      <c r="F125" s="11" t="n">
        <v>1109.9</v>
      </c>
      <c r="G125" s="11" t="n">
        <f aca="false">SUMIFS(APU_BASE!$N$7:$N$782,APU_BASE!$A$7:$A$782,A125)</f>
        <v>1109.9</v>
      </c>
      <c r="H125" s="11" t="n">
        <f aca="false">SUMIFS(APU_BASE!$Q$7:$Q$782,APU_BASE!$A$7:$A$782,A125)</f>
        <v>1195.28133974746</v>
      </c>
      <c r="I125" s="11" t="n">
        <f aca="false">SUMIFS(APU_BASE!$Q$7:$Q$782,APU_BASE!$A$7:$A$782,A125,APU_BASE!$O$7:$O$782,"NC")</f>
        <v>11.11125</v>
      </c>
      <c r="J125" s="11" t="n">
        <f aca="false">SUMIFS(APU_BASE!$Q$7:$Q$782,APU_BASE!$A$7:$A$782,A125,APU_BASE!$O$7:$O$782,"C")</f>
        <v>1.70925879022646</v>
      </c>
      <c r="K125" s="11" t="n">
        <f aca="false">H125-I125-J125</f>
        <v>1182.46083095723</v>
      </c>
      <c r="L125" s="14" t="n">
        <f aca="false">IF(F125=0,0,H125/F125-1)</f>
        <v>0.0769270562640383</v>
      </c>
    </row>
    <row r="126" customFormat="false" ht="15" hidden="false" customHeight="false" outlineLevel="0" collapsed="false">
      <c r="A126" s="9" t="s">
        <v>710</v>
      </c>
      <c r="B126" s="9" t="s">
        <v>686</v>
      </c>
      <c r="C126" s="9" t="s">
        <v>671</v>
      </c>
      <c r="D126" s="9" t="s">
        <v>391</v>
      </c>
      <c r="E126" s="9" t="s">
        <v>16</v>
      </c>
      <c r="F126" s="10" t="n">
        <v>1.73</v>
      </c>
      <c r="G126" s="11" t="n">
        <f aca="false">SUMIFS(APU_BASE!$N$7:$N$782,APU_BASE!$A$7:$A$782,A126)</f>
        <v>1.73</v>
      </c>
      <c r="H126" s="11" t="n">
        <f aca="false">SUMIFS(APU_BASE!$Q$7:$Q$782,APU_BASE!$A$7:$A$782,A126)</f>
        <v>1.29241597884386</v>
      </c>
      <c r="I126" s="11" t="n">
        <f aca="false">SUMIFS(APU_BASE!$Q$7:$Q$782,APU_BASE!$A$7:$A$782,A126,APU_BASE!$O$7:$O$782,"NC")</f>
        <v>1.0875</v>
      </c>
      <c r="J126" s="11" t="n">
        <f aca="false">SUMIFS(APU_BASE!$Q$7:$Q$782,APU_BASE!$A$7:$A$782,A126,APU_BASE!$O$7:$O$782,"C")</f>
        <v>0.167272794994041</v>
      </c>
      <c r="K126" s="11" t="n">
        <f aca="false">H126-I126-J126</f>
        <v>0.0376431838498212</v>
      </c>
      <c r="L126" s="14" t="n">
        <f aca="false">IF(F126=0,0,H126/F126-1)</f>
        <v>-0.252938740552681</v>
      </c>
    </row>
    <row r="127" customFormat="false" ht="15" hidden="false" customHeight="false" outlineLevel="0" collapsed="false">
      <c r="A127" s="7" t="s">
        <v>711</v>
      </c>
      <c r="B127" s="7" t="s">
        <v>686</v>
      </c>
      <c r="C127" s="7" t="s">
        <v>673</v>
      </c>
      <c r="D127" s="7" t="s">
        <v>674</v>
      </c>
      <c r="E127" s="7" t="s">
        <v>16</v>
      </c>
      <c r="F127" s="11" t="n">
        <v>1.17</v>
      </c>
      <c r="G127" s="11" t="n">
        <f aca="false">SUMIFS(APU_BASE!$N$7:$N$782,APU_BASE!$A$7:$A$782,A127)</f>
        <v>1.17</v>
      </c>
      <c r="H127" s="11" t="n">
        <f aca="false">SUMIFS(APU_BASE!$Q$7:$Q$782,APU_BASE!$A$7:$A$782,A127)</f>
        <v>0.980073747095067</v>
      </c>
      <c r="I127" s="11" t="n">
        <f aca="false">SUMIFS(APU_BASE!$Q$7:$Q$782,APU_BASE!$A$7:$A$782,A127,APU_BASE!$O$7:$O$782,"NC")</f>
        <v>0.625</v>
      </c>
      <c r="J127" s="11" t="n">
        <f aca="false">SUMIFS(APU_BASE!$Q$7:$Q$782,APU_BASE!$A$7:$A$782,A127,APU_BASE!$O$7:$O$782,"C")</f>
        <v>0.0691299165673421</v>
      </c>
      <c r="K127" s="11" t="n">
        <f aca="false">H127-I127-J127</f>
        <v>0.285943830527725</v>
      </c>
      <c r="L127" s="14" t="n">
        <f aca="false">IF(F127=0,0,H127/F127-1)</f>
        <v>-0.162330130687977</v>
      </c>
    </row>
    <row r="128" customFormat="false" ht="15" hidden="false" customHeight="false" outlineLevel="0" collapsed="false">
      <c r="A128" s="9" t="s">
        <v>712</v>
      </c>
      <c r="B128" s="9" t="s">
        <v>686</v>
      </c>
      <c r="C128" s="9" t="s">
        <v>676</v>
      </c>
      <c r="D128" s="9" t="s">
        <v>403</v>
      </c>
      <c r="E128" s="9" t="s">
        <v>16</v>
      </c>
      <c r="F128" s="10" t="n">
        <v>0.16</v>
      </c>
      <c r="G128" s="11" t="n">
        <f aca="false">SUMIFS(APU_BASE!$N$7:$N$782,APU_BASE!$A$7:$A$782,A128)</f>
        <v>0.16</v>
      </c>
      <c r="H128" s="11" t="n">
        <f aca="false">SUMIFS(APU_BASE!$Q$7:$Q$782,APU_BASE!$A$7:$A$782,A128)</f>
        <v>0.16121842547914</v>
      </c>
      <c r="I128" s="11" t="n">
        <f aca="false">SUMIFS(APU_BASE!$Q$7:$Q$782,APU_BASE!$A$7:$A$782,A128,APU_BASE!$O$7:$O$782,"NC")</f>
        <v>0.03375</v>
      </c>
      <c r="J128" s="11" t="n">
        <f aca="false">SUMIFS(APU_BASE!$Q$7:$Q$782,APU_BASE!$A$7:$A$782,A128,APU_BASE!$O$7:$O$782,"C")</f>
        <v>0.0179737783075089</v>
      </c>
      <c r="K128" s="11" t="n">
        <f aca="false">H128-I128-J128</f>
        <v>0.109494647171631</v>
      </c>
      <c r="L128" s="14" t="n">
        <f aca="false">IF(F128=0,0,H128/F128-1)</f>
        <v>0.00761515924462475</v>
      </c>
    </row>
    <row r="129" customFormat="false" ht="15" hidden="false" customHeight="false" outlineLevel="0" collapsed="false">
      <c r="A129" s="7" t="s">
        <v>713</v>
      </c>
      <c r="B129" s="7" t="s">
        <v>686</v>
      </c>
      <c r="C129" s="7" t="s">
        <v>678</v>
      </c>
      <c r="D129" s="7" t="s">
        <v>408</v>
      </c>
      <c r="E129" s="7" t="s">
        <v>16</v>
      </c>
      <c r="F129" s="11" t="n">
        <v>0.34</v>
      </c>
      <c r="G129" s="11" t="n">
        <f aca="false">SUMIFS(APU_BASE!$N$7:$N$782,APU_BASE!$A$7:$A$782,A129)</f>
        <v>0.3439</v>
      </c>
      <c r="H129" s="11" t="n">
        <f aca="false">SUMIFS(APU_BASE!$Q$7:$Q$782,APU_BASE!$A$7:$A$782,A129)</f>
        <v>0.375495206197838</v>
      </c>
      <c r="I129" s="11" t="n">
        <f aca="false">SUMIFS(APU_BASE!$Q$7:$Q$782,APU_BASE!$A$7:$A$782,A129,APU_BASE!$O$7:$O$782,"NC")</f>
        <v>0.08375</v>
      </c>
      <c r="J129" s="11" t="n">
        <f aca="false">SUMIFS(APU_BASE!$Q$7:$Q$782,APU_BASE!$A$7:$A$782,A129,APU_BASE!$O$7:$O$782,"C")</f>
        <v>0.0134587306317044</v>
      </c>
      <c r="K129" s="11" t="n">
        <f aca="false">H129-I129-J129</f>
        <v>0.278286475566134</v>
      </c>
      <c r="L129" s="14" t="n">
        <f aca="false">IF(F129=0,0,H129/F129-1)</f>
        <v>0.104397665287759</v>
      </c>
    </row>
    <row r="130" customFormat="false" ht="15" hidden="false" customHeight="false" outlineLevel="0" collapsed="false">
      <c r="A130" s="9" t="s">
        <v>714</v>
      </c>
      <c r="B130" s="9" t="s">
        <v>686</v>
      </c>
      <c r="C130" s="9" t="s">
        <v>680</v>
      </c>
      <c r="D130" s="9" t="s">
        <v>414</v>
      </c>
      <c r="E130" s="9" t="s">
        <v>341</v>
      </c>
      <c r="F130" s="10" t="n">
        <v>0.81</v>
      </c>
      <c r="G130" s="11" t="n">
        <f aca="false">SUMIFS(APU_BASE!$N$7:$N$782,APU_BASE!$A$7:$A$782,A130)</f>
        <v>0.81</v>
      </c>
      <c r="H130" s="11" t="n">
        <f aca="false">SUMIFS(APU_BASE!$Q$7:$Q$782,APU_BASE!$A$7:$A$782,A130)</f>
        <v>0.616958125443632</v>
      </c>
      <c r="I130" s="11" t="n">
        <f aca="false">SUMIFS(APU_BASE!$Q$7:$Q$782,APU_BASE!$A$7:$A$782,A130,APU_BASE!$O$7:$O$782,"NC")</f>
        <v>0.5</v>
      </c>
      <c r="J130" s="11" t="n">
        <f aca="false">SUMIFS(APU_BASE!$Q$7:$Q$782,APU_BASE!$A$7:$A$782,A130,APU_BASE!$O$7:$O$782,"C")</f>
        <v>0.0769070321811681</v>
      </c>
      <c r="K130" s="11" t="n">
        <f aca="false">H130-I130-J130</f>
        <v>0.0400510932624636</v>
      </c>
      <c r="L130" s="14" t="n">
        <f aca="false">IF(F130=0,0,H130/F130-1)</f>
        <v>-0.238323301921442</v>
      </c>
    </row>
    <row r="131" customFormat="false" ht="15" hidden="false" customHeight="false" outlineLevel="0" collapsed="false">
      <c r="A131" s="7" t="s">
        <v>715</v>
      </c>
      <c r="B131" s="7" t="s">
        <v>686</v>
      </c>
      <c r="C131" s="7" t="s">
        <v>682</v>
      </c>
      <c r="D131" s="7" t="s">
        <v>419</v>
      </c>
      <c r="E131" s="7" t="s">
        <v>16</v>
      </c>
      <c r="F131" s="11" t="n">
        <v>1.48</v>
      </c>
      <c r="G131" s="11" t="n">
        <f aca="false">SUMIFS(APU_BASE!$N$7:$N$782,APU_BASE!$A$7:$A$782,A131)</f>
        <v>1.48</v>
      </c>
      <c r="H131" s="11" t="n">
        <f aca="false">SUMIFS(APU_BASE!$Q$7:$Q$782,APU_BASE!$A$7:$A$782,A131)</f>
        <v>1.40960514858264</v>
      </c>
      <c r="I131" s="11" t="n">
        <f aca="false">SUMIFS(APU_BASE!$Q$7:$Q$782,APU_BASE!$A$7:$A$782,A131,APU_BASE!$O$7:$O$782,"NC")</f>
        <v>0.625</v>
      </c>
      <c r="J131" s="11" t="n">
        <f aca="false">SUMIFS(APU_BASE!$Q$7:$Q$782,APU_BASE!$A$7:$A$782,A131,APU_BASE!$O$7:$O$782,"C")</f>
        <v>0.019226758045292</v>
      </c>
      <c r="K131" s="11" t="n">
        <f aca="false">H131-I131-J131</f>
        <v>0.76537839053735</v>
      </c>
      <c r="L131" s="14" t="n">
        <f aca="false">IF(F131=0,0,H131/F131-1)</f>
        <v>-0.047564088795512</v>
      </c>
    </row>
    <row r="132" customFormat="false" ht="15" hidden="false" customHeight="false" outlineLevel="0" collapsed="false">
      <c r="A132" s="9" t="s">
        <v>716</v>
      </c>
      <c r="B132" s="9" t="s">
        <v>686</v>
      </c>
      <c r="C132" s="9" t="s">
        <v>684</v>
      </c>
      <c r="D132" s="9" t="s">
        <v>422</v>
      </c>
      <c r="E132" s="9" t="s">
        <v>16</v>
      </c>
      <c r="F132" s="10" t="n">
        <v>1.05</v>
      </c>
      <c r="G132" s="11" t="n">
        <f aca="false">SUMIFS(APU_BASE!$N$7:$N$782,APU_BASE!$A$7:$A$782,A132)</f>
        <v>1.05</v>
      </c>
      <c r="H132" s="11" t="n">
        <f aca="false">SUMIFS(APU_BASE!$Q$7:$Q$782,APU_BASE!$A$7:$A$782,A132)</f>
        <v>0.833670405691728</v>
      </c>
      <c r="I132" s="11" t="n">
        <f aca="false">SUMIFS(APU_BASE!$Q$7:$Q$782,APU_BASE!$A$7:$A$782,A132,APU_BASE!$O$7:$O$782,"NC")</f>
        <v>0.625</v>
      </c>
      <c r="J132" s="11" t="n">
        <f aca="false">SUMIFS(APU_BASE!$Q$7:$Q$782,APU_BASE!$A$7:$A$782,A132,APU_BASE!$O$7:$O$782,"C")</f>
        <v>0.019226758045292</v>
      </c>
      <c r="K132" s="11" t="n">
        <f aca="false">H132-I132-J132</f>
        <v>0.189443647646436</v>
      </c>
      <c r="L132" s="14" t="n">
        <f aca="false">IF(F132=0,0,H132/F132-1)</f>
        <v>-0.206028185055498</v>
      </c>
    </row>
  </sheetData>
  <autoFilter ref="A6:L132"/>
  <mergeCells count="5">
    <mergeCell ref="A1:L1"/>
    <mergeCell ref="A2:L2"/>
    <mergeCell ref="A3:L3"/>
    <mergeCell ref="A4:L4"/>
    <mergeCell ref="A5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true"/>
  </sheetPr>
  <dimension ref="A1:K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62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11" min="9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9.5" hidden="false" customHeight="true" outlineLevel="0" collapsed="false">
      <c r="A4" s="4" t="s">
        <v>827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false" ht="15" hidden="false" customHeight="false" outlineLevel="0" collapsed="false">
      <c r="A5" s="5" t="s">
        <v>828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 customFormat="false" ht="36" hidden="false" customHeight="true" outlineLevel="0" collapsed="false">
      <c r="A6" s="6" t="s">
        <v>829</v>
      </c>
      <c r="B6" s="6" t="s">
        <v>830</v>
      </c>
      <c r="C6" s="6" t="s">
        <v>55</v>
      </c>
      <c r="D6" s="6" t="s">
        <v>831</v>
      </c>
      <c r="E6" s="6" t="s">
        <v>832</v>
      </c>
      <c r="F6" s="6" t="s">
        <v>833</v>
      </c>
      <c r="G6" s="6" t="s">
        <v>818</v>
      </c>
      <c r="H6" s="6" t="s">
        <v>834</v>
      </c>
      <c r="I6" s="6" t="s">
        <v>823</v>
      </c>
      <c r="J6" s="6" t="s">
        <v>824</v>
      </c>
      <c r="K6" s="6" t="s">
        <v>835</v>
      </c>
    </row>
    <row r="7" customFormat="false" ht="15" hidden="false" customHeight="false" outlineLevel="0" collapsed="false">
      <c r="A7" s="7" t="s">
        <v>836</v>
      </c>
      <c r="B7" s="7" t="s">
        <v>502</v>
      </c>
      <c r="C7" s="7" t="s">
        <v>381</v>
      </c>
      <c r="D7" s="21" t="n">
        <v>2500</v>
      </c>
      <c r="E7" s="21" t="n">
        <v>650000</v>
      </c>
      <c r="F7" s="22" t="n">
        <f aca="false">D7/E7</f>
        <v>0.00384615384615385</v>
      </c>
      <c r="G7" s="11" t="n">
        <f aca="false">INDEX(PARTIDAS!$H$7:$H$132,MATCH(B7,PARTIDAS!$A$7:$A$132,0))</f>
        <v>3.04810217340461</v>
      </c>
      <c r="H7" s="22" t="n">
        <f aca="false">F7*G7</f>
        <v>0.01172346989771</v>
      </c>
      <c r="I7" s="22" t="n">
        <f aca="false">F7*INDEX(PARTIDAS!$I$7:$I$132,MATCH(B7,PARTIDAS!$A$7:$A$132,0))</f>
        <v>0.00307692307692308</v>
      </c>
      <c r="J7" s="22" t="n">
        <f aca="false">F7*INDEX(PARTIDAS!$J$7:$J$132,MATCH(B7,PARTIDAS!$A$7:$A$132,0))</f>
        <v>0.00238754928027872</v>
      </c>
      <c r="K7" s="22" t="n">
        <f aca="false">H7-I7-J7</f>
        <v>0.00625899754050824</v>
      </c>
    </row>
    <row r="8" customFormat="false" ht="15" hidden="false" customHeight="false" outlineLevel="0" collapsed="false">
      <c r="A8" s="7" t="s">
        <v>836</v>
      </c>
      <c r="B8" s="7" t="s">
        <v>504</v>
      </c>
      <c r="C8" s="7" t="s">
        <v>506</v>
      </c>
      <c r="D8" s="21" t="n">
        <v>200</v>
      </c>
      <c r="E8" s="21" t="n">
        <v>650000</v>
      </c>
      <c r="F8" s="22" t="n">
        <f aca="false">D8/E8</f>
        <v>0.000307692307692308</v>
      </c>
      <c r="G8" s="11" t="n">
        <f aca="false">INDEX(PARTIDAS!$H$7:$H$132,MATCH(B8,PARTIDAS!$A$7:$A$132,0))</f>
        <v>21.9698026074922</v>
      </c>
      <c r="H8" s="22" t="n">
        <f aca="false">F8*G8</f>
        <v>0.00675993926384376</v>
      </c>
      <c r="I8" s="22" t="n">
        <f aca="false">F8*INDEX(PARTIDAS!$I$7:$I$132,MATCH(B8,PARTIDAS!$A$7:$A$132,0))</f>
        <v>0</v>
      </c>
      <c r="J8" s="22" t="n">
        <f aca="false">F8*INDEX(PARTIDAS!$J$7:$J$132,MATCH(B8,PARTIDAS!$A$7:$A$132,0))</f>
        <v>0</v>
      </c>
      <c r="K8" s="22" t="n">
        <f aca="false">H8-I8-J8</f>
        <v>0.00675993926384376</v>
      </c>
    </row>
    <row r="9" customFormat="false" ht="15" hidden="false" customHeight="false" outlineLevel="0" collapsed="false">
      <c r="A9" s="7" t="s">
        <v>836</v>
      </c>
      <c r="B9" s="7" t="s">
        <v>516</v>
      </c>
      <c r="C9" s="7" t="s">
        <v>518</v>
      </c>
      <c r="D9" s="21" t="n">
        <v>144</v>
      </c>
      <c r="E9" s="21" t="n">
        <v>650000</v>
      </c>
      <c r="F9" s="22" t="n">
        <f aca="false">D9/E9</f>
        <v>0.000221538461538462</v>
      </c>
      <c r="G9" s="11" t="n">
        <f aca="false">INDEX(PARTIDAS!$H$7:$H$132,MATCH(B9,PARTIDAS!$A$7:$A$132,0))</f>
        <v>19.6164422315024</v>
      </c>
      <c r="H9" s="22" t="n">
        <f aca="false">F9*G9</f>
        <v>0.00434579643282514</v>
      </c>
      <c r="I9" s="22" t="n">
        <f aca="false">F9*INDEX(PARTIDAS!$I$7:$I$132,MATCH(B9,PARTIDAS!$A$7:$A$132,0))</f>
        <v>0.00221538461538462</v>
      </c>
      <c r="J9" s="22" t="n">
        <f aca="false">F9*INDEX(PARTIDAS!$J$7:$J$132,MATCH(B9,PARTIDAS!$A$7:$A$132,0))</f>
        <v>0.000122519482900889</v>
      </c>
      <c r="K9" s="22" t="n">
        <f aca="false">H9-I9-J9</f>
        <v>0.00200789233453964</v>
      </c>
    </row>
    <row r="10" customFormat="false" ht="15" hidden="false" customHeight="false" outlineLevel="0" collapsed="false">
      <c r="A10" s="7" t="s">
        <v>836</v>
      </c>
      <c r="B10" s="7" t="s">
        <v>521</v>
      </c>
      <c r="C10" s="7" t="s">
        <v>523</v>
      </c>
      <c r="D10" s="21" t="n">
        <v>2980</v>
      </c>
      <c r="E10" s="21" t="n">
        <v>650000</v>
      </c>
      <c r="F10" s="22" t="n">
        <f aca="false">D10/E10</f>
        <v>0.00458461538461539</v>
      </c>
      <c r="G10" s="11" t="n">
        <f aca="false">INDEX(PARTIDAS!$H$7:$H$132,MATCH(B10,PARTIDAS!$A$7:$A$132,0))</f>
        <v>1.10900059949777</v>
      </c>
      <c r="H10" s="22" t="n">
        <f aca="false">F10*G10</f>
        <v>0.00508434121000515</v>
      </c>
      <c r="I10" s="22" t="n">
        <f aca="false">F10*INDEX(PARTIDAS!$I$7:$I$132,MATCH(B10,PARTIDAS!$A$7:$A$132,0))</f>
        <v>0.0030545</v>
      </c>
      <c r="J10" s="22" t="n">
        <f aca="false">F10*INDEX(PARTIDAS!$J$7:$J$132,MATCH(B10,PARTIDAS!$A$7:$A$132,0))</f>
        <v>0.00017114440267718</v>
      </c>
      <c r="K10" s="22" t="n">
        <f aca="false">H10-I10-J10</f>
        <v>0.00185869680732797</v>
      </c>
    </row>
    <row r="11" customFormat="false" ht="15" hidden="false" customHeight="false" outlineLevel="0" collapsed="false">
      <c r="A11" s="7" t="s">
        <v>836</v>
      </c>
      <c r="B11" s="7" t="s">
        <v>530</v>
      </c>
      <c r="C11" s="7" t="s">
        <v>532</v>
      </c>
      <c r="D11" s="21" t="n">
        <v>1540</v>
      </c>
      <c r="E11" s="21" t="n">
        <v>650000</v>
      </c>
      <c r="F11" s="22" t="n">
        <f aca="false">D11/E11</f>
        <v>0.00236923076923077</v>
      </c>
      <c r="G11" s="11" t="n">
        <f aca="false">INDEX(PARTIDAS!$H$7:$H$132,MATCH(B11,PARTIDAS!$A$7:$A$132,0))</f>
        <v>3.07683125727653</v>
      </c>
      <c r="H11" s="22" t="n">
        <f aca="false">F11*G11</f>
        <v>0.00728972328647055</v>
      </c>
      <c r="I11" s="22" t="n">
        <f aca="false">F11*INDEX(PARTIDAS!$I$7:$I$132,MATCH(B11,PARTIDAS!$A$7:$A$132,0))</f>
        <v>0.00118461538461538</v>
      </c>
      <c r="J11" s="22" t="n">
        <f aca="false">F11*INDEX(PARTIDAS!$J$7:$J$132,MATCH(B11,PARTIDAS!$A$7:$A$132,0))</f>
        <v>0.000131027780324562</v>
      </c>
      <c r="K11" s="22" t="n">
        <f aca="false">H11-I11-J11</f>
        <v>0.0059740801215306</v>
      </c>
    </row>
    <row r="12" customFormat="false" ht="15" hidden="false" customHeight="false" outlineLevel="0" collapsed="false">
      <c r="A12" s="7" t="s">
        <v>836</v>
      </c>
      <c r="B12" s="7" t="s">
        <v>535</v>
      </c>
      <c r="C12" s="7" t="s">
        <v>513</v>
      </c>
      <c r="D12" s="21" t="n">
        <v>220</v>
      </c>
      <c r="E12" s="21" t="n">
        <v>650000</v>
      </c>
      <c r="F12" s="22" t="n">
        <f aca="false">D12/E12</f>
        <v>0.000338461538461538</v>
      </c>
      <c r="G12" s="11" t="n">
        <f aca="false">INDEX(PARTIDAS!$H$7:$H$132,MATCH(B12,PARTIDAS!$A$7:$A$132,0))</f>
        <v>1.50082873810211</v>
      </c>
      <c r="H12" s="22" t="n">
        <f aca="false">F12*G12</f>
        <v>0.00050797280366533</v>
      </c>
      <c r="I12" s="22" t="n">
        <f aca="false">F12*INDEX(PARTIDAS!$I$7:$I$132,MATCH(B12,PARTIDAS!$A$7:$A$132,0))</f>
        <v>0.000338461538461538</v>
      </c>
      <c r="J12" s="22" t="n">
        <f aca="false">F12*INDEX(PARTIDAS!$J$7:$J$132,MATCH(B12,PARTIDAS!$A$7:$A$132,0))</f>
        <v>1.87182543320803E-005</v>
      </c>
      <c r="K12" s="22" t="n">
        <f aca="false">H12-I12-J12</f>
        <v>0.000150793010871711</v>
      </c>
    </row>
    <row r="13" customFormat="false" ht="15" hidden="false" customHeight="false" outlineLevel="0" collapsed="false">
      <c r="A13" s="7" t="s">
        <v>836</v>
      </c>
      <c r="B13" s="7" t="s">
        <v>541</v>
      </c>
      <c r="C13" s="7" t="s">
        <v>543</v>
      </c>
      <c r="D13" s="21" t="n">
        <v>1</v>
      </c>
      <c r="E13" s="21" t="n">
        <v>650000</v>
      </c>
      <c r="F13" s="22" t="n">
        <f aca="false">D13/E13</f>
        <v>1.53846153846154E-006</v>
      </c>
      <c r="G13" s="11" t="n">
        <f aca="false">INDEX(PARTIDAS!$H$7:$H$132,MATCH(B13,PARTIDAS!$A$7:$A$132,0))</f>
        <v>155.440064465159</v>
      </c>
      <c r="H13" s="22" t="n">
        <f aca="false">F13*G13</f>
        <v>0.000239138560715629</v>
      </c>
      <c r="I13" s="22" t="n">
        <f aca="false">F13*INDEX(PARTIDAS!$I$7:$I$132,MATCH(B13,PARTIDAS!$A$7:$A$132,0))</f>
        <v>7.69230769230769E-005</v>
      </c>
      <c r="J13" s="22" t="n">
        <f aca="false">F13*INDEX(PARTIDAS!$J$7:$J$132,MATCH(B13,PARTIDAS!$A$7:$A$132,0))</f>
        <v>4.25414871183644E-005</v>
      </c>
      <c r="K13" s="22" t="n">
        <f aca="false">H13-I13-J13</f>
        <v>0.000119673996674188</v>
      </c>
    </row>
    <row r="14" customFormat="false" ht="15" hidden="false" customHeight="false" outlineLevel="0" collapsed="false">
      <c r="A14" s="7" t="s">
        <v>836</v>
      </c>
      <c r="B14" s="7" t="s">
        <v>546</v>
      </c>
      <c r="C14" s="7" t="s">
        <v>548</v>
      </c>
      <c r="D14" s="21" t="n">
        <v>1687.5</v>
      </c>
      <c r="E14" s="21" t="n">
        <v>650000</v>
      </c>
      <c r="F14" s="22" t="n">
        <f aca="false">D14/E14</f>
        <v>0.00259615384615385</v>
      </c>
      <c r="G14" s="11" t="n">
        <f aca="false">INDEX(PARTIDAS!$H$7:$H$132,MATCH(B14,PARTIDAS!$A$7:$A$132,0))</f>
        <v>21.0089055566438</v>
      </c>
      <c r="H14" s="22" t="n">
        <f aca="false">F14*G14</f>
        <v>0.0545423509643636</v>
      </c>
      <c r="I14" s="22" t="n">
        <f aca="false">F14*INDEX(PARTIDAS!$I$7:$I$132,MATCH(B14,PARTIDAS!$A$7:$A$132,0))</f>
        <v>0.0103846153846154</v>
      </c>
      <c r="J14" s="22" t="n">
        <f aca="false">F14*INDEX(PARTIDAS!$J$7:$J$132,MATCH(B14,PARTIDAS!$A$7:$A$132,0))</f>
        <v>0.00114862015219584</v>
      </c>
      <c r="K14" s="22" t="n">
        <f aca="false">H14-I14-J14</f>
        <v>0.0430091154275524</v>
      </c>
    </row>
    <row r="15" customFormat="false" ht="15" hidden="false" customHeight="false" outlineLevel="0" collapsed="false">
      <c r="A15" s="7" t="s">
        <v>836</v>
      </c>
      <c r="B15" s="7" t="s">
        <v>549</v>
      </c>
      <c r="C15" s="7" t="s">
        <v>551</v>
      </c>
      <c r="D15" s="21" t="n">
        <v>2500</v>
      </c>
      <c r="E15" s="21" t="n">
        <v>650000</v>
      </c>
      <c r="F15" s="22" t="n">
        <f aca="false">D15/E15</f>
        <v>0.00384615384615385</v>
      </c>
      <c r="G15" s="11" t="n">
        <f aca="false">INDEX(PARTIDAS!$H$7:$H$132,MATCH(B15,PARTIDAS!$A$7:$A$132,0))</f>
        <v>14.1492542513033</v>
      </c>
      <c r="H15" s="22" t="n">
        <f aca="false">F15*G15</f>
        <v>0.0544202086588588</v>
      </c>
      <c r="I15" s="22" t="n">
        <f aca="false">F15*INDEX(PARTIDAS!$I$7:$I$132,MATCH(B15,PARTIDAS!$A$7:$A$132,0))</f>
        <v>0</v>
      </c>
      <c r="J15" s="22" t="n">
        <f aca="false">F15*INDEX(PARTIDAS!$J$7:$J$132,MATCH(B15,PARTIDAS!$A$7:$A$132,0))</f>
        <v>0</v>
      </c>
      <c r="K15" s="22" t="n">
        <f aca="false">H15-I15-J15</f>
        <v>0.0544202086588588</v>
      </c>
    </row>
    <row r="16" customFormat="false" ht="15" hidden="false" customHeight="false" outlineLevel="0" collapsed="false">
      <c r="A16" s="7" t="s">
        <v>836</v>
      </c>
      <c r="B16" s="7" t="s">
        <v>554</v>
      </c>
      <c r="C16" s="7" t="s">
        <v>556</v>
      </c>
      <c r="D16" s="21" t="n">
        <v>50</v>
      </c>
      <c r="E16" s="21" t="n">
        <v>650000</v>
      </c>
      <c r="F16" s="22" t="n">
        <f aca="false">D16/E16</f>
        <v>7.69230769230769E-005</v>
      </c>
      <c r="G16" s="11" t="n">
        <f aca="false">INDEX(PARTIDAS!$H$7:$H$132,MATCH(B16,PARTIDAS!$A$7:$A$132,0))</f>
        <v>10.7823093999952</v>
      </c>
      <c r="H16" s="22" t="n">
        <f aca="false">F16*G16</f>
        <v>0.00082940841538425</v>
      </c>
      <c r="I16" s="22" t="n">
        <f aca="false">F16*INDEX(PARTIDAS!$I$7:$I$132,MATCH(B16,PARTIDAS!$A$7:$A$132,0))</f>
        <v>0.000384615384615385</v>
      </c>
      <c r="J16" s="22" t="n">
        <f aca="false">F16*INDEX(PARTIDAS!$J$7:$J$132,MATCH(B16,PARTIDAS!$A$7:$A$132,0))</f>
        <v>0.000135933345557899</v>
      </c>
      <c r="K16" s="22" t="n">
        <f aca="false">H16-I16-J16</f>
        <v>0.000308859685210967</v>
      </c>
    </row>
    <row r="17" customFormat="false" ht="15" hidden="false" customHeight="false" outlineLevel="0" collapsed="false">
      <c r="A17" s="7" t="s">
        <v>836</v>
      </c>
      <c r="B17" s="7" t="s">
        <v>560</v>
      </c>
      <c r="C17" s="7" t="s">
        <v>562</v>
      </c>
      <c r="D17" s="21" t="n">
        <v>360</v>
      </c>
      <c r="E17" s="21" t="n">
        <v>650000</v>
      </c>
      <c r="F17" s="22" t="n">
        <f aca="false">D17/E17</f>
        <v>0.000553846153846154</v>
      </c>
      <c r="G17" s="11" t="n">
        <f aca="false">INDEX(PARTIDAS!$H$7:$H$132,MATCH(B17,PARTIDAS!$A$7:$A$132,0))</f>
        <v>70.9049741964436</v>
      </c>
      <c r="H17" s="22" t="n">
        <f aca="false">F17*G17</f>
        <v>0.039270447247261</v>
      </c>
      <c r="I17" s="22" t="n">
        <f aca="false">F17*INDEX(PARTIDAS!$I$7:$I$132,MATCH(B17,PARTIDAS!$A$7:$A$132,0))</f>
        <v>0.00184638461538462</v>
      </c>
      <c r="J17" s="22" t="n">
        <f aca="false">F17*INDEX(PARTIDAS!$J$7:$J$132,MATCH(B17,PARTIDAS!$A$7:$A$132,0))</f>
        <v>0.00102074044191803</v>
      </c>
      <c r="K17" s="22" t="n">
        <f aca="false">H17-I17-J17</f>
        <v>0.0364033221899584</v>
      </c>
    </row>
    <row r="18" customFormat="false" ht="15" hidden="false" customHeight="false" outlineLevel="0" collapsed="false">
      <c r="A18" s="7" t="s">
        <v>836</v>
      </c>
      <c r="B18" s="7" t="s">
        <v>563</v>
      </c>
      <c r="C18" s="7" t="s">
        <v>565</v>
      </c>
      <c r="D18" s="21" t="n">
        <v>360</v>
      </c>
      <c r="E18" s="21" t="n">
        <v>650000</v>
      </c>
      <c r="F18" s="22" t="n">
        <f aca="false">D18/E18</f>
        <v>0.000553846153846154</v>
      </c>
      <c r="G18" s="11" t="n">
        <f aca="false">INDEX(PARTIDAS!$H$7:$H$132,MATCH(B18,PARTIDAS!$A$7:$A$132,0))</f>
        <v>19.4635540830129</v>
      </c>
      <c r="H18" s="22" t="n">
        <f aca="false">F18*G18</f>
        <v>0.0107798145690533</v>
      </c>
      <c r="I18" s="22" t="n">
        <f aca="false">F18*INDEX(PARTIDAS!$I$7:$I$132,MATCH(B18,PARTIDAS!$A$7:$A$132,0))</f>
        <v>0.00692307692307692</v>
      </c>
      <c r="J18" s="22" t="n">
        <f aca="false">F18*INDEX(PARTIDAS!$J$7:$J$132,MATCH(B18,PARTIDAS!$A$7:$A$132,0))</f>
        <v>0.000765746768130558</v>
      </c>
      <c r="K18" s="22" t="n">
        <f aca="false">H18-I18-J18</f>
        <v>0.00309099087784584</v>
      </c>
    </row>
    <row r="19" customFormat="false" ht="15" hidden="false" customHeight="false" outlineLevel="0" collapsed="false">
      <c r="A19" s="7" t="s">
        <v>836</v>
      </c>
      <c r="B19" s="7" t="s">
        <v>568</v>
      </c>
      <c r="C19" s="7" t="s">
        <v>569</v>
      </c>
      <c r="D19" s="21" t="n">
        <v>1.98</v>
      </c>
      <c r="E19" s="21" t="n">
        <v>650000</v>
      </c>
      <c r="F19" s="22" t="n">
        <f aca="false">D19/E19</f>
        <v>3.04615384615385E-006</v>
      </c>
      <c r="G19" s="11" t="n">
        <f aca="false">INDEX(PARTIDAS!$H$7:$H$132,MATCH(B19,PARTIDAS!$A$7:$A$132,0))</f>
        <v>157.317630995969</v>
      </c>
      <c r="H19" s="22" t="n">
        <f aca="false">F19*G19</f>
        <v>0.000479213706726183</v>
      </c>
      <c r="I19" s="22" t="n">
        <f aca="false">F19*INDEX(PARTIDAS!$I$7:$I$132,MATCH(B19,PARTIDAS!$A$7:$A$132,0))</f>
        <v>5.07679615384615E-005</v>
      </c>
      <c r="J19" s="22" t="n">
        <f aca="false">F19*INDEX(PARTIDAS!$J$7:$J$132,MATCH(B19,PARTIDAS!$A$7:$A$132,0))</f>
        <v>3.90470609012561E-005</v>
      </c>
      <c r="K19" s="22" t="n">
        <f aca="false">H19-I19-J19</f>
        <v>0.000389398684286465</v>
      </c>
    </row>
    <row r="20" customFormat="false" ht="15" hidden="false" customHeight="false" outlineLevel="0" collapsed="false">
      <c r="A20" s="7" t="s">
        <v>836</v>
      </c>
      <c r="B20" s="7" t="s">
        <v>572</v>
      </c>
      <c r="C20" s="7" t="s">
        <v>573</v>
      </c>
      <c r="D20" s="21" t="n">
        <v>39.6</v>
      </c>
      <c r="E20" s="21" t="n">
        <v>650000</v>
      </c>
      <c r="F20" s="22" t="n">
        <f aca="false">D20/E20</f>
        <v>6.09230769230769E-005</v>
      </c>
      <c r="G20" s="11" t="n">
        <f aca="false">INDEX(PARTIDAS!$H$7:$H$132,MATCH(B20,PARTIDAS!$A$7:$A$132,0))</f>
        <v>8.28630501423733</v>
      </c>
      <c r="H20" s="22" t="n">
        <f aca="false">F20*G20</f>
        <v>0.000504827197790459</v>
      </c>
      <c r="I20" s="22" t="n">
        <f aca="false">F20*INDEX(PARTIDAS!$I$7:$I$132,MATCH(B20,PARTIDAS!$A$7:$A$132,0))</f>
        <v>0.000203102307692308</v>
      </c>
      <c r="J20" s="22" t="n">
        <f aca="false">F20*INDEX(PARTIDAS!$J$7:$J$132,MATCH(B20,PARTIDAS!$A$7:$A$132,0))</f>
        <v>0.000156141389474649</v>
      </c>
      <c r="K20" s="22" t="n">
        <f aca="false">H20-I20-J20</f>
        <v>0.000145583500623502</v>
      </c>
    </row>
    <row r="21" customFormat="false" ht="15" hidden="false" customHeight="false" outlineLevel="0" collapsed="false">
      <c r="A21" s="7" t="s">
        <v>836</v>
      </c>
      <c r="B21" s="7" t="s">
        <v>576</v>
      </c>
      <c r="C21" s="7" t="s">
        <v>577</v>
      </c>
      <c r="D21" s="21" t="n">
        <v>33</v>
      </c>
      <c r="E21" s="21" t="n">
        <v>650000</v>
      </c>
      <c r="F21" s="22" t="n">
        <f aca="false">D21/E21</f>
        <v>5.07692307692308E-005</v>
      </c>
      <c r="G21" s="11" t="n">
        <f aca="false">INDEX(PARTIDAS!$H$7:$H$132,MATCH(B21,PARTIDAS!$A$7:$A$132,0))</f>
        <v>4.43685697258641</v>
      </c>
      <c r="H21" s="22" t="n">
        <f aca="false">F21*G21</f>
        <v>0.00022525581553131</v>
      </c>
      <c r="I21" s="22" t="n">
        <f aca="false">F21*INDEX(PARTIDAS!$I$7:$I$132,MATCH(B21,PARTIDAS!$A$7:$A$132,0))</f>
        <v>0.000203076923076923</v>
      </c>
      <c r="J21" s="22" t="n">
        <f aca="false">F21*INDEX(PARTIDAS!$J$7:$J$132,MATCH(B21,PARTIDAS!$A$7:$A$132,0))</f>
        <v>1.56180434583295E-005</v>
      </c>
      <c r="K21" s="22" t="n">
        <f aca="false">H21-I21-J21</f>
        <v>6.56084899605755E-006</v>
      </c>
    </row>
    <row r="22" customFormat="false" ht="15" hidden="false" customHeight="false" outlineLevel="0" collapsed="false">
      <c r="A22" s="7" t="s">
        <v>836</v>
      </c>
      <c r="B22" s="7" t="s">
        <v>578</v>
      </c>
      <c r="C22" s="7" t="s">
        <v>579</v>
      </c>
      <c r="D22" s="21" t="n">
        <v>438.6</v>
      </c>
      <c r="E22" s="21" t="n">
        <v>650000</v>
      </c>
      <c r="F22" s="22" t="n">
        <f aca="false">D22/E22</f>
        <v>0.000674769230769231</v>
      </c>
      <c r="G22" s="11" t="n">
        <f aca="false">INDEX(PARTIDAS!$H$7:$H$132,MATCH(B22,PARTIDAS!$A$7:$A$132,0))</f>
        <v>143.28933151315</v>
      </c>
      <c r="H22" s="22" t="n">
        <f aca="false">F22*G22</f>
        <v>0.0966872320025652</v>
      </c>
      <c r="I22" s="22" t="n">
        <f aca="false">F22*INDEX(PARTIDAS!$I$7:$I$132,MATCH(B22,PARTIDAS!$A$7:$A$132,0))</f>
        <v>0.00134953846153846</v>
      </c>
      <c r="J22" s="22" t="n">
        <f aca="false">F22*INDEX(PARTIDAS!$J$7:$J$132,MATCH(B22,PARTIDAS!$A$7:$A$132,0))</f>
        <v>0.000207577995782525</v>
      </c>
      <c r="K22" s="22" t="n">
        <f aca="false">H22-I22-J22</f>
        <v>0.0951301155452442</v>
      </c>
    </row>
    <row r="23" customFormat="false" ht="15" hidden="false" customHeight="false" outlineLevel="0" collapsed="false">
      <c r="A23" s="7" t="s">
        <v>836</v>
      </c>
      <c r="B23" s="7" t="s">
        <v>582</v>
      </c>
      <c r="C23" s="7" t="s">
        <v>414</v>
      </c>
      <c r="D23" s="21" t="n">
        <v>3947.37</v>
      </c>
      <c r="E23" s="21" t="n">
        <v>650000</v>
      </c>
      <c r="F23" s="22" t="n">
        <f aca="false">D23/E23</f>
        <v>0.00607287692307692</v>
      </c>
      <c r="G23" s="11" t="n">
        <f aca="false">INDEX(PARTIDAS!$H$7:$H$132,MATCH(B23,PARTIDAS!$A$7:$A$132,0))</f>
        <v>0.616958125443632</v>
      </c>
      <c r="H23" s="22" t="n">
        <f aca="false">F23*G23</f>
        <v>0.00374671076251143</v>
      </c>
      <c r="I23" s="22" t="n">
        <f aca="false">F23*INDEX(PARTIDAS!$I$7:$I$132,MATCH(B23,PARTIDAS!$A$7:$A$132,0))</f>
        <v>0.00303643846153846</v>
      </c>
      <c r="J23" s="22" t="n">
        <f aca="false">F23*INDEX(PARTIDAS!$J$7:$J$132,MATCH(B23,PARTIDAS!$A$7:$A$132,0))</f>
        <v>0.00046704694095535</v>
      </c>
      <c r="K23" s="22" t="n">
        <f aca="false">H23-I23-J23</f>
        <v>0.000243225360017617</v>
      </c>
    </row>
    <row r="24" customFormat="false" ht="15" hidden="false" customHeight="false" outlineLevel="0" collapsed="false">
      <c r="A24" s="7" t="s">
        <v>836</v>
      </c>
      <c r="B24" s="7" t="s">
        <v>584</v>
      </c>
      <c r="C24" s="7" t="s">
        <v>585</v>
      </c>
      <c r="D24" s="21" t="n">
        <v>975</v>
      </c>
      <c r="E24" s="21" t="n">
        <v>650000</v>
      </c>
      <c r="F24" s="22" t="n">
        <f aca="false">D24/E24</f>
        <v>0.0015</v>
      </c>
      <c r="G24" s="11" t="n">
        <f aca="false">INDEX(PARTIDAS!$H$7:$H$132,MATCH(B24,PARTIDAS!$A$7:$A$132,0))</f>
        <v>64.3484004814828</v>
      </c>
      <c r="H24" s="22" t="n">
        <f aca="false">F24*G24</f>
        <v>0.0965226007222242</v>
      </c>
      <c r="I24" s="22" t="n">
        <f aca="false">F24*INDEX(PARTIDAS!$I$7:$I$132,MATCH(B24,PARTIDAS!$A$7:$A$132,0))</f>
        <v>0.020000625</v>
      </c>
      <c r="J24" s="22" t="n">
        <f aca="false">F24*INDEX(PARTIDAS!$J$7:$J$132,MATCH(B24,PARTIDAS!$A$7:$A$132,0))</f>
        <v>0.0153804450983313</v>
      </c>
      <c r="K24" s="22" t="n">
        <f aca="false">H24-I24-J24</f>
        <v>0.0611415306238929</v>
      </c>
    </row>
    <row r="25" customFormat="false" ht="15" hidden="false" customHeight="false" outlineLevel="0" collapsed="false">
      <c r="A25" s="7" t="s">
        <v>836</v>
      </c>
      <c r="B25" s="7" t="s">
        <v>586</v>
      </c>
      <c r="C25" s="7" t="s">
        <v>587</v>
      </c>
      <c r="D25" s="21" t="n">
        <v>650000</v>
      </c>
      <c r="E25" s="21" t="n">
        <v>650000</v>
      </c>
      <c r="F25" s="22" t="n">
        <f aca="false">D25/E25</f>
        <v>1</v>
      </c>
      <c r="G25" s="11" t="n">
        <f aca="false">INDEX(PARTIDAS!$H$7:$H$132,MATCH(B25,PARTIDAS!$A$7:$A$132,0))</f>
        <v>0.261296921074025</v>
      </c>
      <c r="H25" s="22" t="n">
        <f aca="false">F25*G25</f>
        <v>0.261296921074025</v>
      </c>
      <c r="I25" s="22" t="n">
        <f aca="false">F25*INDEX(PARTIDAS!$I$7:$I$132,MATCH(B25,PARTIDAS!$A$7:$A$132,0))</f>
        <v>0.16625</v>
      </c>
      <c r="J25" s="22" t="n">
        <f aca="false">F25*INDEX(PARTIDAS!$J$7:$J$132,MATCH(B25,PARTIDAS!$A$7:$A$132,0))</f>
        <v>0.0249947854588796</v>
      </c>
      <c r="K25" s="22" t="n">
        <f aca="false">H25-I25-J25</f>
        <v>0.070052135615145</v>
      </c>
    </row>
    <row r="26" customFormat="false" ht="15" hidden="false" customHeight="false" outlineLevel="0" collapsed="false">
      <c r="A26" s="7" t="s">
        <v>836</v>
      </c>
      <c r="B26" s="7" t="s">
        <v>588</v>
      </c>
      <c r="C26" s="7" t="s">
        <v>589</v>
      </c>
      <c r="D26" s="21" t="n">
        <v>650000</v>
      </c>
      <c r="E26" s="21" t="n">
        <v>650000</v>
      </c>
      <c r="F26" s="22" t="n">
        <f aca="false">D26/E26</f>
        <v>1</v>
      </c>
      <c r="G26" s="11" t="n">
        <f aca="false">INDEX(PARTIDAS!$H$7:$H$132,MATCH(B26,PARTIDAS!$A$7:$A$132,0))</f>
        <v>0.237685697258641</v>
      </c>
      <c r="H26" s="22" t="n">
        <f aca="false">F26*G26</f>
        <v>0.237685697258641</v>
      </c>
      <c r="I26" s="22" t="n">
        <f aca="false">F26*INDEX(PARTIDAS!$I$7:$I$132,MATCH(B26,PARTIDAS!$A$7:$A$132,0))</f>
        <v>0.2</v>
      </c>
      <c r="J26" s="22" t="n">
        <f aca="false">F26*INDEX(PARTIDAS!$J$7:$J$132,MATCH(B26,PARTIDAS!$A$7:$A$132,0))</f>
        <v>0.0307628128724672</v>
      </c>
      <c r="K26" s="22" t="n">
        <f aca="false">H26-I26-J26</f>
        <v>0.00692288438617402</v>
      </c>
    </row>
    <row r="27" customFormat="false" ht="15" hidden="false" customHeight="false" outlineLevel="0" collapsed="false">
      <c r="A27" s="7" t="s">
        <v>836</v>
      </c>
      <c r="B27" s="7" t="s">
        <v>590</v>
      </c>
      <c r="C27" s="7" t="s">
        <v>591</v>
      </c>
      <c r="D27" s="21" t="n">
        <v>650000</v>
      </c>
      <c r="E27" s="21" t="n">
        <v>650000</v>
      </c>
      <c r="F27" s="22" t="n">
        <f aca="false">D27/E27</f>
        <v>1</v>
      </c>
      <c r="G27" s="11" t="n">
        <f aca="false">INDEX(PARTIDAS!$H$7:$H$132,MATCH(B27,PARTIDAS!$A$7:$A$132,0))</f>
        <v>0.182126772943981</v>
      </c>
      <c r="H27" s="22" t="n">
        <f aca="false">F27*G27</f>
        <v>0.182126772943981</v>
      </c>
      <c r="I27" s="22" t="n">
        <f aca="false">F27*INDEX(PARTIDAS!$I$7:$I$132,MATCH(B27,PARTIDAS!$A$7:$A$132,0))</f>
        <v>0.15375</v>
      </c>
      <c r="J27" s="22" t="n">
        <f aca="false">F27*INDEX(PARTIDAS!$J$7:$J$132,MATCH(B27,PARTIDAS!$A$7:$A$132,0))</f>
        <v>0.0230721096543504</v>
      </c>
      <c r="K27" s="22" t="n">
        <f aca="false">H27-I27-J27</f>
        <v>0.00530466328963051</v>
      </c>
    </row>
    <row r="28" customFormat="false" ht="15" hidden="false" customHeight="false" outlineLevel="0" collapsed="false">
      <c r="A28" s="7" t="s">
        <v>836</v>
      </c>
      <c r="B28" s="7" t="s">
        <v>592</v>
      </c>
      <c r="C28" s="7" t="s">
        <v>593</v>
      </c>
      <c r="D28" s="21" t="n">
        <v>650000</v>
      </c>
      <c r="E28" s="21" t="n">
        <v>650000</v>
      </c>
      <c r="F28" s="22" t="n">
        <f aca="false">D28/E28</f>
        <v>1</v>
      </c>
      <c r="G28" s="11" t="n">
        <f aca="false">INDEX(PARTIDAS!$H$7:$H$132,MATCH(B28,PARTIDAS!$A$7:$A$132,0))</f>
        <v>0.248678553337306</v>
      </c>
      <c r="H28" s="22" t="n">
        <f aca="false">F28*G28</f>
        <v>0.248678553337306</v>
      </c>
      <c r="I28" s="22" t="n">
        <f aca="false">F28*INDEX(PARTIDAS!$I$7:$I$132,MATCH(B28,PARTIDAS!$A$7:$A$132,0))</f>
        <v>0.20875</v>
      </c>
      <c r="J28" s="22" t="n">
        <f aca="false">F28*INDEX(PARTIDAS!$J$7:$J$132,MATCH(B28,PARTIDAS!$A$7:$A$132,0))</f>
        <v>0.0326854886769964</v>
      </c>
      <c r="K28" s="22" t="n">
        <f aca="false">H28-I28-J28</f>
        <v>0.00724306466030988</v>
      </c>
    </row>
    <row r="29" customFormat="false" ht="15" hidden="false" customHeight="false" outlineLevel="0" collapsed="false">
      <c r="A29" s="7" t="s">
        <v>836</v>
      </c>
      <c r="B29" s="7" t="s">
        <v>594</v>
      </c>
      <c r="C29" s="7" t="s">
        <v>414</v>
      </c>
      <c r="D29" s="21" t="n">
        <v>10156.25</v>
      </c>
      <c r="E29" s="21" t="n">
        <v>650000</v>
      </c>
      <c r="F29" s="22" t="n">
        <f aca="false">D29/E29</f>
        <v>0.015625</v>
      </c>
      <c r="G29" s="11" t="n">
        <f aca="false">INDEX(PARTIDAS!$H$7:$H$132,MATCH(B29,PARTIDAS!$A$7:$A$132,0))</f>
        <v>0.616958125443632</v>
      </c>
      <c r="H29" s="22" t="n">
        <f aca="false">F29*G29</f>
        <v>0.00963997071005674</v>
      </c>
      <c r="I29" s="22" t="n">
        <f aca="false">F29*INDEX(PARTIDAS!$I$7:$I$132,MATCH(B29,PARTIDAS!$A$7:$A$132,0))</f>
        <v>0.0078125</v>
      </c>
      <c r="J29" s="22" t="n">
        <f aca="false">F29*INDEX(PARTIDAS!$J$7:$J$132,MATCH(B29,PARTIDAS!$A$7:$A$132,0))</f>
        <v>0.00120167237783075</v>
      </c>
      <c r="K29" s="22" t="n">
        <f aca="false">H29-I29-J29</f>
        <v>0.000625798332225993</v>
      </c>
    </row>
    <row r="30" customFormat="false" ht="15" hidden="false" customHeight="false" outlineLevel="0" collapsed="false">
      <c r="A30" s="7" t="s">
        <v>837</v>
      </c>
      <c r="B30" s="7" t="s">
        <v>595</v>
      </c>
      <c r="C30" s="7" t="s">
        <v>596</v>
      </c>
      <c r="D30" s="21" t="n">
        <v>650000</v>
      </c>
      <c r="E30" s="21" t="n">
        <v>650000</v>
      </c>
      <c r="F30" s="22" t="n">
        <f aca="false">D30/E30</f>
        <v>1</v>
      </c>
      <c r="G30" s="11" t="n">
        <f aca="false">INDEX(PARTIDAS!$H$7:$H$132,MATCH(B30,PARTIDAS!$A$7:$A$132,0))</f>
        <v>1.14606605333731</v>
      </c>
      <c r="H30" s="22" t="n">
        <f aca="false">F30*G30</f>
        <v>1.14606605333731</v>
      </c>
      <c r="I30" s="22" t="n">
        <f aca="false">F30*INDEX(PARTIDAS!$I$7:$I$132,MATCH(B30,PARTIDAS!$A$7:$A$132,0))</f>
        <v>1.08</v>
      </c>
      <c r="J30" s="22" t="n">
        <f aca="false">F30*INDEX(PARTIDAS!$J$7:$J$132,MATCH(B30,PARTIDAS!$A$7:$A$132,0))</f>
        <v>0.0326854886769964</v>
      </c>
      <c r="K30" s="22" t="n">
        <f aca="false">H30-I30-J30</f>
        <v>0.0333805646603099</v>
      </c>
    </row>
    <row r="31" customFormat="false" ht="15" hidden="false" customHeight="false" outlineLevel="0" collapsed="false">
      <c r="A31" s="7" t="s">
        <v>837</v>
      </c>
      <c r="B31" s="7" t="s">
        <v>597</v>
      </c>
      <c r="C31" s="7" t="s">
        <v>598</v>
      </c>
      <c r="D31" s="21" t="n">
        <v>650000</v>
      </c>
      <c r="E31" s="21" t="n">
        <v>650000</v>
      </c>
      <c r="F31" s="22" t="n">
        <f aca="false">D31/E31</f>
        <v>1</v>
      </c>
      <c r="G31" s="11" t="n">
        <f aca="false">INDEX(PARTIDAS!$H$7:$H$132,MATCH(B31,PARTIDAS!$A$7:$A$132,0))</f>
        <v>0.368881587459885</v>
      </c>
      <c r="H31" s="22" t="n">
        <f aca="false">F31*G31</f>
        <v>0.368881587459885</v>
      </c>
      <c r="I31" s="22" t="n">
        <f aca="false">F31*INDEX(PARTIDAS!$I$7:$I$132,MATCH(B31,PARTIDAS!$A$7:$A$132,0))</f>
        <v>0.12375</v>
      </c>
      <c r="J31" s="22" t="n">
        <f aca="false">F31*INDEX(PARTIDAS!$J$7:$J$132,MATCH(B31,PARTIDAS!$A$7:$A$132,0))</f>
        <v>0.034564958283671</v>
      </c>
      <c r="K31" s="22" t="n">
        <f aca="false">H31-I31-J31</f>
        <v>0.210566629176213</v>
      </c>
    </row>
    <row r="32" customFormat="false" ht="15" hidden="false" customHeight="false" outlineLevel="0" collapsed="false">
      <c r="A32" s="7" t="s">
        <v>837</v>
      </c>
      <c r="B32" s="7" t="s">
        <v>605</v>
      </c>
      <c r="C32" s="7" t="s">
        <v>606</v>
      </c>
      <c r="D32" s="21" t="n">
        <v>650000</v>
      </c>
      <c r="E32" s="21" t="n">
        <v>650000</v>
      </c>
      <c r="F32" s="22" t="n">
        <f aca="false">D32/E32</f>
        <v>1</v>
      </c>
      <c r="G32" s="11" t="n">
        <f aca="false">INDEX(PARTIDAS!$H$7:$H$132,MATCH(B32,PARTIDAS!$A$7:$A$132,0))</f>
        <v>1.95631589965608</v>
      </c>
      <c r="H32" s="22" t="n">
        <f aca="false">F32*G32</f>
        <v>1.95631589965608</v>
      </c>
      <c r="I32" s="22" t="n">
        <f aca="false">F32*INDEX(PARTIDAS!$I$7:$I$132,MATCH(B32,PARTIDAS!$A$7:$A$132,0))</f>
        <v>0.5</v>
      </c>
      <c r="J32" s="22" t="n">
        <f aca="false">F32*INDEX(PARTIDAS!$J$7:$J$132,MATCH(B32,PARTIDAS!$A$7:$A$132,0))</f>
        <v>0.0153814064362336</v>
      </c>
      <c r="K32" s="22" t="n">
        <f aca="false">H32-I32-J32</f>
        <v>1.44093449321984</v>
      </c>
    </row>
    <row r="33" customFormat="false" ht="15" hidden="false" customHeight="false" outlineLevel="0" collapsed="false">
      <c r="A33" s="7" t="s">
        <v>837</v>
      </c>
      <c r="B33" s="7" t="s">
        <v>613</v>
      </c>
      <c r="C33" s="7" t="s">
        <v>615</v>
      </c>
      <c r="D33" s="21" t="n">
        <v>10500</v>
      </c>
      <c r="E33" s="21" t="n">
        <v>650000</v>
      </c>
      <c r="F33" s="22" t="n">
        <f aca="false">D33/E33</f>
        <v>0.0161538461538462</v>
      </c>
      <c r="G33" s="11" t="n">
        <f aca="false">INDEX(PARTIDAS!$H$7:$H$132,MATCH(B33,PARTIDAS!$A$7:$A$132,0))</f>
        <v>2.61800535407157</v>
      </c>
      <c r="H33" s="22" t="n">
        <f aca="false">F33*G33</f>
        <v>0.0422908557196176</v>
      </c>
      <c r="I33" s="22" t="n">
        <f aca="false">F33*INDEX(PARTIDAS!$I$7:$I$132,MATCH(B33,PARTIDAS!$A$7:$A$132,0))</f>
        <v>0</v>
      </c>
      <c r="J33" s="22" t="n">
        <f aca="false">F33*INDEX(PARTIDAS!$J$7:$J$132,MATCH(B33,PARTIDAS!$A$7:$A$132,0))</f>
        <v>0.00596325295681672</v>
      </c>
      <c r="K33" s="22" t="n">
        <f aca="false">H33-I33-J33</f>
        <v>0.0363276027628009</v>
      </c>
    </row>
    <row r="34" customFormat="false" ht="15" hidden="false" customHeight="false" outlineLevel="0" collapsed="false">
      <c r="A34" s="7" t="s">
        <v>837</v>
      </c>
      <c r="B34" s="7" t="s">
        <v>616</v>
      </c>
      <c r="C34" s="7" t="s">
        <v>617</v>
      </c>
      <c r="D34" s="21" t="n">
        <v>650000</v>
      </c>
      <c r="E34" s="21" t="n">
        <v>650000</v>
      </c>
      <c r="F34" s="22" t="n">
        <f aca="false">D34/E34</f>
        <v>1</v>
      </c>
      <c r="G34" s="11" t="n">
        <f aca="false">INDEX(PARTIDAS!$H$7:$H$132,MATCH(B34,PARTIDAS!$A$7:$A$132,0))</f>
        <v>0.266364882812904</v>
      </c>
      <c r="H34" s="22" t="n">
        <f aca="false">F34*G34</f>
        <v>0.266364882812904</v>
      </c>
      <c r="I34" s="22" t="n">
        <f aca="false">F34*INDEX(PARTIDAS!$I$7:$I$132,MATCH(B34,PARTIDAS!$A$7:$A$132,0))</f>
        <v>0.03875</v>
      </c>
      <c r="J34" s="22" t="n">
        <f aca="false">F34*INDEX(PARTIDAS!$J$7:$J$132,MATCH(B34,PARTIDAS!$A$7:$A$132,0))</f>
        <v>0</v>
      </c>
      <c r="K34" s="22" t="n">
        <f aca="false">H34-I34-J34</f>
        <v>0.227614882812904</v>
      </c>
    </row>
    <row r="35" customFormat="false" ht="15" hidden="false" customHeight="false" outlineLevel="0" collapsed="false">
      <c r="A35" s="7" t="s">
        <v>837</v>
      </c>
      <c r="B35" s="7" t="s">
        <v>628</v>
      </c>
      <c r="C35" s="7" t="s">
        <v>615</v>
      </c>
      <c r="D35" s="21" t="n">
        <v>5300</v>
      </c>
      <c r="E35" s="21" t="n">
        <v>650000</v>
      </c>
      <c r="F35" s="22" t="n">
        <f aca="false">D35/E35</f>
        <v>0.00815384615384615</v>
      </c>
      <c r="G35" s="11" t="n">
        <f aca="false">INDEX(PARTIDAS!$H$7:$H$132,MATCH(B35,PARTIDAS!$A$7:$A$132,0))</f>
        <v>2.61800535407157</v>
      </c>
      <c r="H35" s="22" t="n">
        <f aca="false">F35*G35</f>
        <v>0.0213468128870451</v>
      </c>
      <c r="I35" s="22" t="n">
        <f aca="false">F35*INDEX(PARTIDAS!$I$7:$I$132,MATCH(B35,PARTIDAS!$A$7:$A$132,0))</f>
        <v>0</v>
      </c>
      <c r="J35" s="22" t="n">
        <f aca="false">F35*INDEX(PARTIDAS!$J$7:$J$132,MATCH(B35,PARTIDAS!$A$7:$A$132,0))</f>
        <v>0.00301002292105987</v>
      </c>
      <c r="K35" s="22" t="n">
        <f aca="false">H35-I35-J35</f>
        <v>0.0183367899659852</v>
      </c>
    </row>
    <row r="36" customFormat="false" ht="15" hidden="false" customHeight="false" outlineLevel="0" collapsed="false">
      <c r="A36" s="7" t="s">
        <v>837</v>
      </c>
      <c r="B36" s="7" t="s">
        <v>622</v>
      </c>
      <c r="C36" s="7" t="s">
        <v>422</v>
      </c>
      <c r="D36" s="32" t="n">
        <f aca="false">P_RIEGOS</f>
        <v>3</v>
      </c>
      <c r="E36" s="21" t="n">
        <v>1</v>
      </c>
      <c r="F36" s="22" t="n">
        <f aca="false">D36/E36</f>
        <v>3</v>
      </c>
      <c r="G36" s="11" t="n">
        <f aca="false">INDEX(PARTIDAS!$H$7:$H$132,MATCH(B36,PARTIDAS!$A$7:$A$132,0))</f>
        <v>0.833670405691728</v>
      </c>
      <c r="H36" s="22" t="n">
        <f aca="false">F36*G36</f>
        <v>2.50101121707518</v>
      </c>
      <c r="I36" s="22" t="n">
        <f aca="false">F36*INDEX(PARTIDAS!$I$7:$I$132,MATCH(B36,PARTIDAS!$A$7:$A$132,0))</f>
        <v>1.875</v>
      </c>
      <c r="J36" s="22" t="n">
        <f aca="false">F36*INDEX(PARTIDAS!$J$7:$J$132,MATCH(B36,PARTIDAS!$A$7:$A$132,0))</f>
        <v>0.057680274135876</v>
      </c>
      <c r="K36" s="22" t="n">
        <f aca="false">H36-I36-J36</f>
        <v>0.568330942939307</v>
      </c>
    </row>
    <row r="37" customFormat="false" ht="15" hidden="false" customHeight="false" outlineLevel="0" collapsed="false">
      <c r="A37" s="7" t="s">
        <v>837</v>
      </c>
      <c r="B37" s="7" t="s">
        <v>625</v>
      </c>
      <c r="C37" s="7" t="s">
        <v>626</v>
      </c>
      <c r="D37" s="32" t="n">
        <f aca="false">P_RECALCE</f>
        <v>0.1</v>
      </c>
      <c r="E37" s="21" t="n">
        <v>1</v>
      </c>
      <c r="F37" s="22" t="n">
        <f aca="false">D37/E37</f>
        <v>0.1</v>
      </c>
      <c r="G37" s="11" t="n">
        <f aca="false">INDEX(PARTIDAS!$H$7:$H$132,MATCH(B37,PARTIDAS!$A$7:$A$132,0))</f>
        <v>5.58604724126462</v>
      </c>
      <c r="H37" s="22" t="n">
        <f aca="false">F37*G37</f>
        <v>0.558604724126462</v>
      </c>
      <c r="I37" s="22" t="n">
        <f aca="false">F37*INDEX(PARTIDAS!$I$7:$I$132,MATCH(B37,PARTIDAS!$A$7:$A$132,0))</f>
        <v>0.333375</v>
      </c>
      <c r="J37" s="22" t="n">
        <f aca="false">F37*INDEX(PARTIDAS!$J$7:$J$132,MATCH(B37,PARTIDAS!$A$7:$A$132,0))</f>
        <v>0.0255715882002384</v>
      </c>
      <c r="K37" s="22" t="n">
        <f aca="false">H37-I37-J37</f>
        <v>0.199658135926224</v>
      </c>
    </row>
    <row r="38" customFormat="false" ht="15" hidden="false" customHeight="false" outlineLevel="0" collapsed="false">
      <c r="A38" s="7" t="s">
        <v>838</v>
      </c>
      <c r="B38" s="7" t="s">
        <v>489</v>
      </c>
      <c r="C38" s="7" t="s">
        <v>490</v>
      </c>
      <c r="D38" s="21" t="n">
        <v>1000.05</v>
      </c>
      <c r="E38" s="21" t="n">
        <v>1000.05</v>
      </c>
      <c r="F38" s="22" t="n">
        <f aca="false">D38/E38</f>
        <v>1</v>
      </c>
      <c r="G38" s="11" t="n">
        <f aca="false">INDEX(PARTIDAS!$H$7:$H$132,MATCH(B38,PARTIDAS!$A$7:$A$132,0))</f>
        <v>438.986437011399</v>
      </c>
      <c r="H38" s="22" t="n">
        <f aca="false">F38*G38</f>
        <v>438.986437011399</v>
      </c>
      <c r="I38" s="22" t="n">
        <f aca="false">F38*INDEX(PARTIDAS!$I$7:$I$132,MATCH(B38,PARTIDAS!$A$7:$A$132,0))</f>
        <v>166.66625</v>
      </c>
      <c r="J38" s="22" t="n">
        <f aca="false">F38*INDEX(PARTIDAS!$J$7:$J$132,MATCH(B38,PARTIDAS!$A$7:$A$132,0))</f>
        <v>139.119255065554</v>
      </c>
      <c r="K38" s="22" t="n">
        <f aca="false">H38-I38-J38</f>
        <v>133.200931945845</v>
      </c>
    </row>
    <row r="39" customFormat="false" ht="15" hidden="false" customHeight="false" outlineLevel="0" collapsed="false">
      <c r="A39" s="7" t="s">
        <v>838</v>
      </c>
      <c r="B39" s="7" t="s">
        <v>491</v>
      </c>
      <c r="C39" s="7" t="s">
        <v>332</v>
      </c>
      <c r="D39" s="21" t="n">
        <v>1000.05</v>
      </c>
      <c r="E39" s="21" t="n">
        <v>1000.05</v>
      </c>
      <c r="F39" s="22" t="n">
        <f aca="false">D39/E39</f>
        <v>1</v>
      </c>
      <c r="G39" s="11" t="n">
        <f aca="false">INDEX(PARTIDAS!$H$7:$H$132,MATCH(B39,PARTIDAS!$A$7:$A$132,0))</f>
        <v>212.337139451728</v>
      </c>
      <c r="H39" s="22" t="n">
        <f aca="false">F39*G39</f>
        <v>212.337139451728</v>
      </c>
      <c r="I39" s="22" t="n">
        <f aca="false">F39*INDEX(PARTIDAS!$I$7:$I$132,MATCH(B39,PARTIDAS!$A$7:$A$132,0))</f>
        <v>200</v>
      </c>
      <c r="J39" s="22" t="n">
        <f aca="false">F39*INDEX(PARTIDAS!$J$7:$J$132,MATCH(B39,PARTIDAS!$A$7:$A$132,0))</f>
        <v>6.15256257449344</v>
      </c>
      <c r="K39" s="22" t="n">
        <f aca="false">H39-I39-J39</f>
        <v>6.18457687723482</v>
      </c>
    </row>
    <row r="40" customFormat="false" ht="15" hidden="false" customHeight="false" outlineLevel="0" collapsed="false">
      <c r="A40" s="7" t="s">
        <v>838</v>
      </c>
      <c r="B40" s="7" t="s">
        <v>599</v>
      </c>
      <c r="C40" s="7" t="s">
        <v>600</v>
      </c>
      <c r="D40" s="21" t="n">
        <v>1000</v>
      </c>
      <c r="E40" s="21" t="n">
        <v>1000</v>
      </c>
      <c r="F40" s="22" t="n">
        <f aca="false">D40/E40</f>
        <v>1</v>
      </c>
      <c r="G40" s="11" t="n">
        <f aca="false">INDEX(PARTIDAS!$H$7:$H$132,MATCH(B40,PARTIDAS!$A$7:$A$132,0))</f>
        <v>44.2578156589588</v>
      </c>
      <c r="H40" s="22" t="n">
        <f aca="false">F40*G40</f>
        <v>44.2578156589588</v>
      </c>
      <c r="I40" s="22" t="n">
        <f aca="false">F40*INDEX(PARTIDAS!$I$7:$I$132,MATCH(B40,PARTIDAS!$A$7:$A$132,0))</f>
        <v>25</v>
      </c>
      <c r="J40" s="22" t="n">
        <f aca="false">F40*INDEX(PARTIDAS!$J$7:$J$132,MATCH(B40,PARTIDAS!$A$7:$A$132,0))</f>
        <v>0.769070321811681</v>
      </c>
      <c r="K40" s="22" t="n">
        <f aca="false">H40-I40-J40</f>
        <v>18.4887453371471</v>
      </c>
    </row>
    <row r="41" customFormat="false" ht="15" hidden="false" customHeight="false" outlineLevel="0" collapsed="false">
      <c r="A41" s="7" t="s">
        <v>838</v>
      </c>
      <c r="B41" s="7" t="s">
        <v>623</v>
      </c>
      <c r="C41" s="7" t="s">
        <v>624</v>
      </c>
      <c r="D41" s="32" t="n">
        <f aca="false">P_DESHIERBES</f>
        <v>4</v>
      </c>
      <c r="E41" s="21" t="n">
        <v>1</v>
      </c>
      <c r="F41" s="22" t="n">
        <f aca="false">D41/E41</f>
        <v>4</v>
      </c>
      <c r="G41" s="11" t="n">
        <f aca="false">INDEX(PARTIDAS!$H$7:$H$132,MATCH(B41,PARTIDAS!$A$7:$A$132,0))</f>
        <v>106.168569725864</v>
      </c>
      <c r="H41" s="22" t="n">
        <f aca="false">F41*G41</f>
        <v>424.674278903457</v>
      </c>
      <c r="I41" s="22" t="n">
        <f aca="false">F41*INDEX(PARTIDAS!$I$7:$I$132,MATCH(B41,PARTIDAS!$A$7:$A$132,0))</f>
        <v>400</v>
      </c>
      <c r="J41" s="22" t="n">
        <f aca="false">F41*INDEX(PARTIDAS!$J$7:$J$132,MATCH(B41,PARTIDAS!$A$7:$A$132,0))</f>
        <v>12.3051251489869</v>
      </c>
      <c r="K41" s="22" t="n">
        <f aca="false">H41-I41-J41</f>
        <v>12.3691537544696</v>
      </c>
    </row>
    <row r="42" customFormat="false" ht="15" hidden="false" customHeight="false" outlineLevel="0" collapsed="false">
      <c r="A42" s="7" t="s">
        <v>839</v>
      </c>
      <c r="B42" s="7" t="s">
        <v>504</v>
      </c>
      <c r="C42" s="7" t="s">
        <v>506</v>
      </c>
      <c r="D42" s="21" t="n">
        <v>1</v>
      </c>
      <c r="E42" s="21" t="n">
        <v>1</v>
      </c>
      <c r="F42" s="22" t="n">
        <f aca="false">D42/E42</f>
        <v>1</v>
      </c>
      <c r="G42" s="11" t="n">
        <f aca="false">INDEX(PARTIDAS!$H$7:$H$132,MATCH(B42,PARTIDAS!$A$7:$A$132,0))</f>
        <v>21.9698026074922</v>
      </c>
      <c r="H42" s="22" t="n">
        <f aca="false">F42*G42</f>
        <v>21.9698026074922</v>
      </c>
      <c r="I42" s="22" t="n">
        <f aca="false">F42*INDEX(PARTIDAS!$I$7:$I$132,MATCH(B42,PARTIDAS!$A$7:$A$132,0))</f>
        <v>0</v>
      </c>
      <c r="J42" s="22" t="n">
        <f aca="false">F42*INDEX(PARTIDAS!$J$7:$J$132,MATCH(B42,PARTIDAS!$A$7:$A$132,0))</f>
        <v>0</v>
      </c>
      <c r="K42" s="22" t="n">
        <f aca="false">H42-I42-J42</f>
        <v>21.9698026074922</v>
      </c>
    </row>
    <row r="43" customFormat="false" ht="15" hidden="false" customHeight="false" outlineLevel="0" collapsed="false">
      <c r="A43" s="7" t="s">
        <v>840</v>
      </c>
      <c r="B43" s="7" t="s">
        <v>692</v>
      </c>
      <c r="C43" s="7" t="s">
        <v>305</v>
      </c>
      <c r="D43" s="21" t="n">
        <v>360</v>
      </c>
      <c r="E43" s="21" t="n">
        <v>360</v>
      </c>
      <c r="F43" s="22" t="n">
        <f aca="false">D43/E43</f>
        <v>1</v>
      </c>
      <c r="G43" s="11" t="n">
        <f aca="false">INDEX(PARTIDAS!$H$7:$H$132,MATCH(B43,PARTIDAS!$A$7:$A$132,0))</f>
        <v>493.527488989706</v>
      </c>
      <c r="H43" s="22" t="n">
        <f aca="false">F43*G43</f>
        <v>493.527488989706</v>
      </c>
      <c r="I43" s="22" t="n">
        <f aca="false">F43*INDEX(PARTIDAS!$I$7:$I$132,MATCH(B43,PARTIDAS!$A$7:$A$132,0))</f>
        <v>187.5</v>
      </c>
      <c r="J43" s="22" t="n">
        <f aca="false">F43*INDEX(PARTIDAS!$J$7:$J$132,MATCH(B43,PARTIDAS!$A$7:$A$132,0))</f>
        <v>156.510727056019</v>
      </c>
      <c r="K43" s="22" t="n">
        <f aca="false">H43-I43-J43</f>
        <v>149.516761933687</v>
      </c>
    </row>
    <row r="44" customFormat="false" ht="15" hidden="false" customHeight="false" outlineLevel="0" collapsed="false">
      <c r="A44" s="7" t="s">
        <v>840</v>
      </c>
      <c r="B44" s="7" t="s">
        <v>700</v>
      </c>
      <c r="C44" s="7" t="s">
        <v>701</v>
      </c>
      <c r="D44" s="21" t="n">
        <v>360</v>
      </c>
      <c r="E44" s="21" t="n">
        <v>360</v>
      </c>
      <c r="F44" s="22" t="n">
        <f aca="false">D44/E44</f>
        <v>1</v>
      </c>
      <c r="G44" s="11" t="n">
        <f aca="false">INDEX(PARTIDAS!$H$7:$H$132,MATCH(B44,PARTIDAS!$A$7:$A$132,0))</f>
        <v>2527.82273981675</v>
      </c>
      <c r="H44" s="22" t="n">
        <f aca="false">F44*G44</f>
        <v>2527.82273981675</v>
      </c>
      <c r="I44" s="22" t="n">
        <f aca="false">F44*INDEX(PARTIDAS!$I$7:$I$132,MATCH(B44,PARTIDAS!$A$7:$A$132,0))</f>
        <v>2380.9525</v>
      </c>
      <c r="J44" s="22" t="n">
        <f aca="false">F44*INDEX(PARTIDAS!$J$7:$J$132,MATCH(B44,PARTIDAS!$A$7:$A$132,0))</f>
        <v>73.2443347735399</v>
      </c>
      <c r="K44" s="22" t="n">
        <f aca="false">H44-I44-J44</f>
        <v>73.6259050432062</v>
      </c>
    </row>
    <row r="45" customFormat="false" ht="15" hidden="false" customHeight="false" outlineLevel="0" collapsed="false">
      <c r="A45" s="7" t="s">
        <v>840</v>
      </c>
      <c r="B45" s="7" t="s">
        <v>702</v>
      </c>
      <c r="C45" s="7" t="s">
        <v>703</v>
      </c>
      <c r="D45" s="21" t="n">
        <v>216000</v>
      </c>
      <c r="E45" s="21" t="n">
        <v>360</v>
      </c>
      <c r="F45" s="22" t="n">
        <f aca="false">D45/E45</f>
        <v>600</v>
      </c>
      <c r="G45" s="11" t="n">
        <f aca="false">INDEX(PARTIDAS!$H$7:$H$132,MATCH(B45,PARTIDAS!$A$7:$A$132,0))</f>
        <v>1.05632853098927</v>
      </c>
      <c r="H45" s="22" t="n">
        <f aca="false">F45*G45</f>
        <v>633.797118593564</v>
      </c>
      <c r="I45" s="22" t="n">
        <f aca="false">F45*INDEX(PARTIDAS!$I$7:$I$132,MATCH(B45,PARTIDAS!$A$7:$A$132,0))</f>
        <v>571.5</v>
      </c>
      <c r="J45" s="22" t="n">
        <f aca="false">F45*INDEX(PARTIDAS!$J$7:$J$132,MATCH(B45,PARTIDAS!$A$7:$A$132,0))</f>
        <v>43.8370083432658</v>
      </c>
      <c r="K45" s="22" t="n">
        <f aca="false">H45-I45-J45</f>
        <v>18.4601102502979</v>
      </c>
    </row>
    <row r="46" customFormat="false" ht="15" hidden="false" customHeight="false" outlineLevel="0" collapsed="false">
      <c r="A46" s="7" t="s">
        <v>840</v>
      </c>
      <c r="B46" s="7" t="s">
        <v>704</v>
      </c>
      <c r="C46" s="7" t="s">
        <v>705</v>
      </c>
      <c r="D46" s="21" t="n">
        <v>36000</v>
      </c>
      <c r="E46" s="21" t="n">
        <v>360</v>
      </c>
      <c r="F46" s="22" t="n">
        <f aca="false">D46/E46</f>
        <v>100</v>
      </c>
      <c r="G46" s="11" t="n">
        <f aca="false">INDEX(PARTIDAS!$H$7:$H$132,MATCH(B46,PARTIDAS!$A$7:$A$132,0))</f>
        <v>52.7110054524208</v>
      </c>
      <c r="H46" s="22" t="n">
        <f aca="false">F46*G46</f>
        <v>5271.10054524208</v>
      </c>
      <c r="I46" s="22" t="n">
        <f aca="false">F46*INDEX(PARTIDAS!$I$7:$I$132,MATCH(B46,PARTIDAS!$A$7:$A$132,0))</f>
        <v>4444.5</v>
      </c>
      <c r="J46" s="22" t="n">
        <f aca="false">F46*INDEX(PARTIDAS!$J$7:$J$132,MATCH(B46,PARTIDAS!$A$7:$A$132,0))</f>
        <v>341.851758045292</v>
      </c>
      <c r="K46" s="22" t="n">
        <f aca="false">H46-I46-J46</f>
        <v>484.748787196786</v>
      </c>
    </row>
    <row r="47" customFormat="false" ht="15" hidden="false" customHeight="false" outlineLevel="0" collapsed="false">
      <c r="A47" s="7" t="s">
        <v>840</v>
      </c>
      <c r="B47" s="7" t="s">
        <v>706</v>
      </c>
      <c r="C47" s="7" t="s">
        <v>655</v>
      </c>
      <c r="D47" s="21" t="n">
        <v>9000</v>
      </c>
      <c r="E47" s="21" t="n">
        <v>360</v>
      </c>
      <c r="F47" s="22" t="n">
        <f aca="false">D47/E47</f>
        <v>25</v>
      </c>
      <c r="G47" s="11" t="n">
        <f aca="false">INDEX(PARTIDAS!$H$7:$H$132,MATCH(B47,PARTIDAS!$A$7:$A$132,0))</f>
        <v>27.1740762812872</v>
      </c>
      <c r="H47" s="22" t="n">
        <f aca="false">F47*G47</f>
        <v>679.351907032181</v>
      </c>
      <c r="I47" s="22" t="n">
        <f aca="false">F47*INDEX(PARTIDAS!$I$7:$I$132,MATCH(B47,PARTIDAS!$A$7:$A$132,0))</f>
        <v>625</v>
      </c>
      <c r="J47" s="22" t="n">
        <f aca="false">F47*INDEX(PARTIDAS!$J$7:$J$132,MATCH(B47,PARTIDAS!$A$7:$A$132,0))</f>
        <v>34.564958283671</v>
      </c>
      <c r="K47" s="22" t="n">
        <f aca="false">H47-I47-J47</f>
        <v>19.7869487485101</v>
      </c>
    </row>
    <row r="48" customFormat="false" ht="15" hidden="false" customHeight="false" outlineLevel="0" collapsed="false">
      <c r="A48" s="7" t="s">
        <v>841</v>
      </c>
      <c r="B48" s="7" t="s">
        <v>636</v>
      </c>
      <c r="C48" s="7" t="s">
        <v>305</v>
      </c>
      <c r="D48" s="21" t="n">
        <v>120</v>
      </c>
      <c r="E48" s="21" t="n">
        <v>120</v>
      </c>
      <c r="F48" s="22" t="n">
        <f aca="false">D48/E48</f>
        <v>1</v>
      </c>
      <c r="G48" s="11" t="n">
        <f aca="false">INDEX(PARTIDAS!$H$7:$H$132,MATCH(B48,PARTIDAS!$A$7:$A$132,0))</f>
        <v>493.527488989706</v>
      </c>
      <c r="H48" s="22" t="n">
        <f aca="false">F48*G48</f>
        <v>493.527488989706</v>
      </c>
      <c r="I48" s="22" t="n">
        <f aca="false">F48*INDEX(PARTIDAS!$I$7:$I$132,MATCH(B48,PARTIDAS!$A$7:$A$132,0))</f>
        <v>187.5</v>
      </c>
      <c r="J48" s="22" t="n">
        <f aca="false">F48*INDEX(PARTIDAS!$J$7:$J$132,MATCH(B48,PARTIDAS!$A$7:$A$132,0))</f>
        <v>156.510727056019</v>
      </c>
      <c r="K48" s="22" t="n">
        <f aca="false">H48-I48-J48</f>
        <v>149.516761933687</v>
      </c>
    </row>
    <row r="49" customFormat="false" ht="15" hidden="false" customHeight="false" outlineLevel="0" collapsed="false">
      <c r="A49" s="7" t="s">
        <v>841</v>
      </c>
      <c r="B49" s="7" t="s">
        <v>644</v>
      </c>
      <c r="C49" s="7" t="s">
        <v>645</v>
      </c>
      <c r="D49" s="21" t="n">
        <v>138000</v>
      </c>
      <c r="E49" s="21" t="n">
        <v>120</v>
      </c>
      <c r="F49" s="22" t="n">
        <f aca="false">D49/E49</f>
        <v>1150</v>
      </c>
      <c r="G49" s="11" t="n">
        <f aca="false">INDEX(PARTIDAS!$H$7:$H$132,MATCH(B49,PARTIDAS!$A$7:$A$132,0))</f>
        <v>26.542142431466</v>
      </c>
      <c r="H49" s="22" t="n">
        <f aca="false">F49*G49</f>
        <v>30523.4637961859</v>
      </c>
      <c r="I49" s="22" t="n">
        <f aca="false">F49*INDEX(PARTIDAS!$I$7:$I$132,MATCH(B49,PARTIDAS!$A$7:$A$132,0))</f>
        <v>28750</v>
      </c>
      <c r="J49" s="22" t="n">
        <f aca="false">F49*INDEX(PARTIDAS!$J$7:$J$132,MATCH(B49,PARTIDAS!$A$7:$A$132,0))</f>
        <v>884.430870083433</v>
      </c>
      <c r="K49" s="22" t="n">
        <f aca="false">H49-I49-J49</f>
        <v>889.032926102505</v>
      </c>
    </row>
    <row r="50" customFormat="false" ht="15" hidden="false" customHeight="false" outlineLevel="0" collapsed="false">
      <c r="A50" s="7" t="s">
        <v>841</v>
      </c>
      <c r="B50" s="7" t="s">
        <v>646</v>
      </c>
      <c r="C50" s="7" t="s">
        <v>647</v>
      </c>
      <c r="D50" s="21" t="n">
        <v>132000</v>
      </c>
      <c r="E50" s="21" t="n">
        <v>120</v>
      </c>
      <c r="F50" s="22" t="n">
        <f aca="false">D50/E50</f>
        <v>1100</v>
      </c>
      <c r="G50" s="11" t="n">
        <f aca="false">INDEX(PARTIDAS!$H$7:$H$132,MATCH(B50,PARTIDAS!$A$7:$A$132,0))</f>
        <v>30.6775713510054</v>
      </c>
      <c r="H50" s="22" t="n">
        <f aca="false">F50*G50</f>
        <v>33745.3284861059</v>
      </c>
      <c r="I50" s="22" t="n">
        <f aca="false">F50*INDEX(PARTIDAS!$I$7:$I$132,MATCH(B50,PARTIDAS!$A$7:$A$132,0))</f>
        <v>15714.875</v>
      </c>
      <c r="J50" s="22" t="n">
        <f aca="false">F50*INDEX(PARTIDAS!$J$7:$J$132,MATCH(B50,PARTIDAS!$A$7:$A$132,0))</f>
        <v>4878.87775625745</v>
      </c>
      <c r="K50" s="22" t="n">
        <f aca="false">H50-I50-J50</f>
        <v>13151.5757298485</v>
      </c>
    </row>
    <row r="51" customFormat="false" ht="15" hidden="false" customHeight="false" outlineLevel="0" collapsed="false">
      <c r="A51" s="7" t="s">
        <v>841</v>
      </c>
      <c r="B51" s="7" t="s">
        <v>650</v>
      </c>
      <c r="C51" s="7" t="s">
        <v>651</v>
      </c>
      <c r="D51" s="21" t="n">
        <v>28800</v>
      </c>
      <c r="E51" s="21" t="n">
        <v>120</v>
      </c>
      <c r="F51" s="22" t="n">
        <f aca="false">D51/E51</f>
        <v>240</v>
      </c>
      <c r="G51" s="11" t="n">
        <f aca="false">INDEX(PARTIDAS!$H$7:$H$132,MATCH(B51,PARTIDAS!$A$7:$A$132,0))</f>
        <v>98.8495525776906</v>
      </c>
      <c r="H51" s="22" t="n">
        <f aca="false">F51*G51</f>
        <v>23723.8926186457</v>
      </c>
      <c r="I51" s="22" t="n">
        <f aca="false">F51*INDEX(PARTIDAS!$I$7:$I$132,MATCH(B51,PARTIDAS!$A$7:$A$132,0))</f>
        <v>7680</v>
      </c>
      <c r="J51" s="22" t="n">
        <f aca="false">F51*INDEX(PARTIDAS!$J$7:$J$132,MATCH(B51,PARTIDAS!$A$7:$A$132,0))</f>
        <v>2418.99404052443</v>
      </c>
      <c r="K51" s="22" t="n">
        <f aca="false">H51-I51-J51</f>
        <v>13624.8985781213</v>
      </c>
    </row>
    <row r="52" customFormat="false" ht="15" hidden="false" customHeight="false" outlineLevel="0" collapsed="false">
      <c r="A52" s="7" t="s">
        <v>841</v>
      </c>
      <c r="B52" s="7" t="s">
        <v>654</v>
      </c>
      <c r="C52" s="7" t="s">
        <v>655</v>
      </c>
      <c r="D52" s="21" t="n">
        <v>7500</v>
      </c>
      <c r="E52" s="21" t="n">
        <v>120</v>
      </c>
      <c r="F52" s="22" t="n">
        <f aca="false">D52/E52</f>
        <v>62.5</v>
      </c>
      <c r="G52" s="11" t="n">
        <f aca="false">INDEX(PARTIDAS!$H$7:$H$132,MATCH(B52,PARTIDAS!$A$7:$A$132,0))</f>
        <v>27.1740762812872</v>
      </c>
      <c r="H52" s="22" t="n">
        <f aca="false">F52*G52</f>
        <v>1698.37976758045</v>
      </c>
      <c r="I52" s="22" t="n">
        <f aca="false">F52*INDEX(PARTIDAS!$I$7:$I$132,MATCH(B52,PARTIDAS!$A$7:$A$132,0))</f>
        <v>1562.5</v>
      </c>
      <c r="J52" s="22" t="n">
        <f aca="false">F52*INDEX(PARTIDAS!$J$7:$J$132,MATCH(B52,PARTIDAS!$A$7:$A$132,0))</f>
        <v>86.4123957091776</v>
      </c>
      <c r="K52" s="22" t="n">
        <f aca="false">H52-I52-J52</f>
        <v>49.4673718712753</v>
      </c>
    </row>
    <row r="53" customFormat="false" ht="15" hidden="false" customHeight="false" outlineLevel="0" collapsed="false">
      <c r="A53" s="7" t="s">
        <v>842</v>
      </c>
      <c r="B53" s="7" t="s">
        <v>303</v>
      </c>
      <c r="C53" s="7" t="s">
        <v>305</v>
      </c>
      <c r="D53" s="21" t="n">
        <v>3.24</v>
      </c>
      <c r="E53" s="21" t="n">
        <v>3.24</v>
      </c>
      <c r="F53" s="22" t="n">
        <f aca="false">D53/E53</f>
        <v>1</v>
      </c>
      <c r="G53" s="11" t="n">
        <f aca="false">INDEX(PARTIDAS!$H$7:$H$132,MATCH(B53,PARTIDAS!$A$7:$A$132,0))</f>
        <v>493.527488989706</v>
      </c>
      <c r="H53" s="22" t="n">
        <f aca="false">F53*G53</f>
        <v>493.527488989706</v>
      </c>
      <c r="I53" s="22" t="n">
        <f aca="false">F53*INDEX(PARTIDAS!$I$7:$I$132,MATCH(B53,PARTIDAS!$A$7:$A$132,0))</f>
        <v>187.5</v>
      </c>
      <c r="J53" s="22" t="n">
        <f aca="false">F53*INDEX(PARTIDAS!$J$7:$J$132,MATCH(B53,PARTIDAS!$A$7:$A$132,0))</f>
        <v>156.510727056019</v>
      </c>
      <c r="K53" s="22" t="n">
        <f aca="false">H53-I53-J53</f>
        <v>149.516761933687</v>
      </c>
    </row>
    <row r="54" customFormat="false" ht="15" hidden="false" customHeight="false" outlineLevel="0" collapsed="false">
      <c r="A54" s="7" t="s">
        <v>842</v>
      </c>
      <c r="B54" s="7" t="s">
        <v>373</v>
      </c>
      <c r="C54" s="7" t="s">
        <v>375</v>
      </c>
      <c r="D54" s="21" t="n">
        <v>47900</v>
      </c>
      <c r="E54" s="21" t="n">
        <v>3.24</v>
      </c>
      <c r="F54" s="22" t="n">
        <f aca="false">D54/E54</f>
        <v>14783.950617284</v>
      </c>
      <c r="G54" s="11" t="n">
        <f aca="false">INDEX(PARTIDAS!$H$7:$H$132,MATCH(B54,PARTIDAS!$A$7:$A$132,0))</f>
        <v>5.54607121573302</v>
      </c>
      <c r="H54" s="22" t="n">
        <f aca="false">F54*G54</f>
        <v>81992.8429733369</v>
      </c>
      <c r="I54" s="22" t="n">
        <f aca="false">F54*INDEX(PARTIDAS!$I$7:$I$132,MATCH(B54,PARTIDAS!$A$7:$A$132,0))</f>
        <v>73919.7530864198</v>
      </c>
      <c r="J54" s="22" t="n">
        <f aca="false">F54*INDEX(PARTIDAS!$J$7:$J$132,MATCH(B54,PARTIDAS!$A$7:$A$132,0))</f>
        <v>5684.94882944128</v>
      </c>
      <c r="K54" s="22" t="n">
        <f aca="false">H54-I54-J54</f>
        <v>2388.14105747584</v>
      </c>
    </row>
    <row r="55" customFormat="false" ht="15" hidden="false" customHeight="false" outlineLevel="0" collapsed="false">
      <c r="A55" s="7" t="s">
        <v>842</v>
      </c>
      <c r="B55" s="7" t="s">
        <v>376</v>
      </c>
      <c r="C55" s="7" t="s">
        <v>378</v>
      </c>
      <c r="D55" s="21" t="n">
        <v>543.6</v>
      </c>
      <c r="E55" s="21" t="n">
        <v>3.24</v>
      </c>
      <c r="F55" s="22" t="n">
        <f aca="false">D55/E55</f>
        <v>167.777777777778</v>
      </c>
      <c r="G55" s="11" t="n">
        <f aca="false">INDEX(PARTIDAS!$H$7:$H$132,MATCH(B55,PARTIDAS!$A$7:$A$132,0))</f>
        <v>47.5371394517283</v>
      </c>
      <c r="H55" s="22" t="n">
        <f aca="false">F55*G55</f>
        <v>7975.6756191233</v>
      </c>
      <c r="I55" s="22" t="n">
        <f aca="false">F55*INDEX(PARTIDAS!$I$7:$I$132,MATCH(B55,PARTIDAS!$A$7:$A$132,0))</f>
        <v>6711.11111111111</v>
      </c>
      <c r="J55" s="22" t="n">
        <f aca="false">F55*INDEX(PARTIDAS!$J$7:$J$132,MATCH(B55,PARTIDAS!$A$7:$A$132,0))</f>
        <v>1032.26327638723</v>
      </c>
      <c r="K55" s="22" t="n">
        <f aca="false">H55-I55-J55</f>
        <v>232.301231624951</v>
      </c>
    </row>
    <row r="56" customFormat="false" ht="15" hidden="false" customHeight="false" outlineLevel="0" collapsed="false">
      <c r="A56" s="7" t="s">
        <v>842</v>
      </c>
      <c r="B56" s="7" t="s">
        <v>379</v>
      </c>
      <c r="C56" s="7" t="s">
        <v>381</v>
      </c>
      <c r="D56" s="21" t="n">
        <v>2718</v>
      </c>
      <c r="E56" s="21" t="n">
        <v>3.24</v>
      </c>
      <c r="F56" s="22" t="n">
        <f aca="false">D56/E56</f>
        <v>838.888888888889</v>
      </c>
      <c r="G56" s="11" t="n">
        <f aca="false">INDEX(PARTIDAS!$H$7:$H$132,MATCH(B56,PARTIDAS!$A$7:$A$132,0))</f>
        <v>3.04810217340461</v>
      </c>
      <c r="H56" s="22" t="n">
        <f aca="false">F56*G56</f>
        <v>2557.0190454672</v>
      </c>
      <c r="I56" s="22" t="n">
        <f aca="false">F56*INDEX(PARTIDAS!$I$7:$I$132,MATCH(B56,PARTIDAS!$A$7:$A$132,0))</f>
        <v>671.111111111111</v>
      </c>
      <c r="J56" s="22" t="n">
        <f aca="false">F56*INDEX(PARTIDAS!$J$7:$J$132,MATCH(B56,PARTIDAS!$A$7:$A$132,0))</f>
        <v>520.751026354125</v>
      </c>
      <c r="K56" s="22" t="n">
        <f aca="false">H56-I56-J56</f>
        <v>1365.15690800196</v>
      </c>
    </row>
    <row r="57" customFormat="false" ht="15" hidden="false" customHeight="false" outlineLevel="0" collapsed="false">
      <c r="A57" s="7" t="s">
        <v>842</v>
      </c>
      <c r="B57" s="7" t="s">
        <v>384</v>
      </c>
      <c r="C57" s="7" t="s">
        <v>386</v>
      </c>
      <c r="D57" s="21" t="n">
        <v>15681.6</v>
      </c>
      <c r="E57" s="21" t="n">
        <v>3.24</v>
      </c>
      <c r="F57" s="22" t="n">
        <f aca="false">D57/E57</f>
        <v>4840</v>
      </c>
      <c r="G57" s="11" t="n">
        <f aca="false">INDEX(PARTIDAS!$H$7:$H$132,MATCH(B57,PARTIDAS!$A$7:$A$132,0))</f>
        <v>125.614513841099</v>
      </c>
      <c r="H57" s="22" t="n">
        <f aca="false">F57*G57</f>
        <v>607974.246990921</v>
      </c>
      <c r="I57" s="22" t="n">
        <f aca="false">F57*INDEX(PARTIDAS!$I$7:$I$132,MATCH(B57,PARTIDAS!$A$7:$A$132,0))</f>
        <v>121000</v>
      </c>
      <c r="J57" s="22" t="n">
        <f aca="false">F57*INDEX(PARTIDAS!$J$7:$J$132,MATCH(B57,PARTIDAS!$A$7:$A$132,0))</f>
        <v>42764.6305125149</v>
      </c>
      <c r="K57" s="22" t="n">
        <f aca="false">H57-I57-J57</f>
        <v>444209.616478406</v>
      </c>
    </row>
    <row r="59" customFormat="false" ht="36" hidden="false" customHeight="true" outlineLevel="0" collapsed="false">
      <c r="A59" s="6" t="s">
        <v>843</v>
      </c>
      <c r="B59" s="6" t="s">
        <v>98</v>
      </c>
      <c r="C59" s="6" t="s">
        <v>55</v>
      </c>
      <c r="D59" s="6"/>
      <c r="E59" s="6"/>
      <c r="F59" s="6"/>
      <c r="G59" s="6"/>
      <c r="H59" s="6" t="s">
        <v>844</v>
      </c>
      <c r="I59" s="6" t="s">
        <v>823</v>
      </c>
      <c r="J59" s="6" t="s">
        <v>824</v>
      </c>
      <c r="K59" s="6" t="s">
        <v>835</v>
      </c>
    </row>
    <row r="60" customFormat="false" ht="27.75" hidden="false" customHeight="true" outlineLevel="0" collapsed="false">
      <c r="A60" s="13" t="s">
        <v>836</v>
      </c>
      <c r="B60" s="23" t="s">
        <v>845</v>
      </c>
      <c r="C60" s="15" t="s">
        <v>846</v>
      </c>
      <c r="H60" s="33" t="n">
        <f aca="false">SUM(H7:H29)</f>
        <v>1.33338636684152</v>
      </c>
      <c r="I60" s="33" t="n">
        <f aca="false">SUM(I7:I29)</f>
        <v>0.790891549115385</v>
      </c>
      <c r="J60" s="33" t="n">
        <f aca="false">SUM(J7:J29)</f>
        <v>0.134927286964862</v>
      </c>
      <c r="K60" s="33" t="n">
        <f aca="false">SUM(K7:K29)</f>
        <v>0.407567530761269</v>
      </c>
    </row>
    <row r="61" customFormat="false" ht="27.75" hidden="false" customHeight="true" outlineLevel="0" collapsed="false">
      <c r="A61" s="13" t="s">
        <v>837</v>
      </c>
      <c r="B61" s="23" t="s">
        <v>847</v>
      </c>
      <c r="C61" s="15" t="s">
        <v>848</v>
      </c>
      <c r="H61" s="33" t="n">
        <f aca="false">SUM(H30:H37)</f>
        <v>6.86088203307448</v>
      </c>
      <c r="I61" s="33" t="n">
        <f aca="false">SUM(I30:I37)</f>
        <v>3.950875</v>
      </c>
      <c r="J61" s="33" t="n">
        <f aca="false">SUM(J30:J37)</f>
        <v>0.174856991610892</v>
      </c>
      <c r="K61" s="33" t="n">
        <f aca="false">SUM(K30:K37)</f>
        <v>2.73515004146359</v>
      </c>
    </row>
    <row r="62" customFormat="false" ht="27.75" hidden="false" customHeight="true" outlineLevel="0" collapsed="false">
      <c r="A62" s="13" t="s">
        <v>838</v>
      </c>
      <c r="B62" s="23" t="s">
        <v>849</v>
      </c>
      <c r="C62" s="15" t="s">
        <v>850</v>
      </c>
      <c r="H62" s="33" t="n">
        <f aca="false">SUM(H38:H41)</f>
        <v>1120.25567102554</v>
      </c>
      <c r="I62" s="33" t="n">
        <f aca="false">SUM(I38:I41)</f>
        <v>791.66625</v>
      </c>
      <c r="J62" s="33" t="n">
        <f aca="false">SUM(J38:J41)</f>
        <v>158.346013110846</v>
      </c>
      <c r="K62" s="33" t="n">
        <f aca="false">SUM(K38:K41)</f>
        <v>170.243407914696</v>
      </c>
    </row>
    <row r="63" customFormat="false" ht="27.75" hidden="false" customHeight="true" outlineLevel="0" collapsed="false">
      <c r="A63" s="13" t="s">
        <v>839</v>
      </c>
      <c r="B63" s="23" t="s">
        <v>851</v>
      </c>
      <c r="C63" s="15" t="s">
        <v>852</v>
      </c>
      <c r="H63" s="33" t="n">
        <f aca="false">SUM(H42:H42)</f>
        <v>21.9698026074922</v>
      </c>
      <c r="I63" s="33" t="n">
        <f aca="false">SUM(I42:I42)</f>
        <v>0</v>
      </c>
      <c r="J63" s="33" t="n">
        <f aca="false">SUM(J42:J42)</f>
        <v>0</v>
      </c>
      <c r="K63" s="33" t="n">
        <f aca="false">SUM(K42:K42)</f>
        <v>21.9698026074922</v>
      </c>
    </row>
    <row r="64" customFormat="false" ht="27.75" hidden="false" customHeight="true" outlineLevel="0" collapsed="false">
      <c r="A64" s="13" t="s">
        <v>840</v>
      </c>
      <c r="B64" s="23" t="s">
        <v>853</v>
      </c>
      <c r="C64" s="15" t="s">
        <v>854</v>
      </c>
      <c r="H64" s="33" t="n">
        <f aca="false">SUM(H43:H47)</f>
        <v>9605.59979967428</v>
      </c>
      <c r="I64" s="33" t="n">
        <f aca="false">SUM(I43:I47)</f>
        <v>8209.4525</v>
      </c>
      <c r="J64" s="33" t="n">
        <f aca="false">SUM(J43:J47)</f>
        <v>650.008786501788</v>
      </c>
      <c r="K64" s="33" t="n">
        <f aca="false">SUM(K43:K47)</f>
        <v>746.138513172487</v>
      </c>
    </row>
    <row r="65" customFormat="false" ht="27.75" hidden="false" customHeight="true" outlineLevel="0" collapsed="false">
      <c r="A65" s="13" t="s">
        <v>841</v>
      </c>
      <c r="B65" s="23" t="s">
        <v>855</v>
      </c>
      <c r="C65" s="15" t="s">
        <v>856</v>
      </c>
      <c r="H65" s="33" t="n">
        <f aca="false">SUM(H48:H52)</f>
        <v>90184.5921575077</v>
      </c>
      <c r="I65" s="33" t="n">
        <f aca="false">SUM(I48:I52)</f>
        <v>53894.875</v>
      </c>
      <c r="J65" s="33" t="n">
        <f aca="false">SUM(J48:J52)</f>
        <v>8425.22578963051</v>
      </c>
      <c r="K65" s="33" t="n">
        <f aca="false">SUM(K48:K52)</f>
        <v>27864.4913678772</v>
      </c>
    </row>
    <row r="66" customFormat="false" ht="27.75" hidden="false" customHeight="true" outlineLevel="0" collapsed="false">
      <c r="A66" s="13" t="s">
        <v>842</v>
      </c>
      <c r="B66" s="23" t="s">
        <v>857</v>
      </c>
      <c r="C66" s="15" t="s">
        <v>858</v>
      </c>
      <c r="H66" s="33" t="n">
        <f aca="false">SUM(H53:H57)</f>
        <v>700993.312117838</v>
      </c>
      <c r="I66" s="33" t="n">
        <f aca="false">SUM(I53:I57)</f>
        <v>202489.475308642</v>
      </c>
      <c r="J66" s="33" t="n">
        <f aca="false">SUM(J53:J57)</f>
        <v>50159.1043717536</v>
      </c>
      <c r="K66" s="33" t="n">
        <f aca="false">SUM(K53:K57)</f>
        <v>448344.732437443</v>
      </c>
    </row>
    <row r="68" customFormat="false" ht="15" hidden="false" customHeight="false" outlineLevel="0" collapsed="false">
      <c r="A68" s="23" t="s">
        <v>859</v>
      </c>
    </row>
  </sheetData>
  <mergeCells count="5">
    <mergeCell ref="A1:K1"/>
    <mergeCell ref="A2:K2"/>
    <mergeCell ref="A3:K3"/>
    <mergeCell ref="A4:K4"/>
    <mergeCell ref="A5:K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8" min="6" style="0" width="14"/>
    <col collapsed="false" customWidth="true" hidden="false" outlineLevel="0" max="9" min="9" style="0" width="12"/>
    <col collapsed="false" customWidth="true" hidden="false" outlineLevel="0" max="11" min="10" style="0" width="10"/>
    <col collapsed="false" customWidth="true" hidden="false" outlineLevel="0" max="12" min="12" style="0" width="7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9.5" hidden="false" customHeight="true" outlineLevel="0" collapsed="false">
      <c r="A4" s="4" t="s">
        <v>860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5" t="s">
        <v>861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36" hidden="false" customHeight="true" outlineLevel="0" collapsed="false">
      <c r="A6" s="6" t="s">
        <v>41</v>
      </c>
      <c r="B6" s="6" t="s">
        <v>251</v>
      </c>
      <c r="C6" s="6" t="s">
        <v>862</v>
      </c>
      <c r="D6" s="6" t="s">
        <v>863</v>
      </c>
      <c r="E6" s="6" t="s">
        <v>864</v>
      </c>
      <c r="F6" s="6" t="s">
        <v>865</v>
      </c>
      <c r="G6" s="6" t="s">
        <v>866</v>
      </c>
      <c r="H6" s="6" t="s">
        <v>867</v>
      </c>
      <c r="I6" s="6" t="s">
        <v>868</v>
      </c>
      <c r="J6" s="6" t="s">
        <v>869</v>
      </c>
      <c r="K6" s="6" t="s">
        <v>870</v>
      </c>
      <c r="L6" s="6" t="s">
        <v>871</v>
      </c>
    </row>
    <row r="7" customFormat="false" ht="39.75" hidden="false" customHeight="true" outlineLevel="0" collapsed="false">
      <c r="A7" s="13" t="s">
        <v>57</v>
      </c>
      <c r="B7" s="7" t="s">
        <v>872</v>
      </c>
      <c r="C7" s="15" t="s">
        <v>873</v>
      </c>
      <c r="D7" s="7" t="s">
        <v>874</v>
      </c>
      <c r="E7" s="28" t="n">
        <v>650</v>
      </c>
      <c r="F7" s="28" t="n">
        <v>325</v>
      </c>
      <c r="G7" s="24" t="n">
        <v>2.7778</v>
      </c>
      <c r="H7" s="24" t="n">
        <v>0</v>
      </c>
      <c r="I7" s="26" t="n">
        <v>1</v>
      </c>
      <c r="J7" s="8" t="n">
        <f aca="false">IF(G7&gt;0,10000/G7,0)</f>
        <v>3599.9712002304</v>
      </c>
      <c r="K7" s="8" t="n">
        <f aca="false">IF(H7&gt;0,10000/H7,0)</f>
        <v>0</v>
      </c>
      <c r="L7" s="25" t="s">
        <v>875</v>
      </c>
    </row>
    <row r="8" customFormat="false" ht="39.75" hidden="false" customHeight="true" outlineLevel="0" collapsed="false">
      <c r="A8" s="13" t="s">
        <v>58</v>
      </c>
      <c r="B8" s="7" t="s">
        <v>876</v>
      </c>
      <c r="C8" s="15" t="s">
        <v>873</v>
      </c>
      <c r="D8" s="7" t="s">
        <v>877</v>
      </c>
      <c r="E8" s="28" t="n">
        <v>650</v>
      </c>
      <c r="F8" s="28" t="n">
        <v>325</v>
      </c>
      <c r="G8" s="24" t="n">
        <v>2.7778</v>
      </c>
      <c r="H8" s="24" t="n">
        <v>0</v>
      </c>
      <c r="I8" s="26" t="n">
        <v>1</v>
      </c>
      <c r="J8" s="8" t="n">
        <f aca="false">IF(G8&gt;0,10000/G8,0)</f>
        <v>3599.9712002304</v>
      </c>
      <c r="K8" s="8" t="n">
        <f aca="false">IF(H8&gt;0,10000/H8,0)</f>
        <v>0</v>
      </c>
      <c r="L8" s="25" t="s">
        <v>875</v>
      </c>
    </row>
    <row r="9" customFormat="false" ht="39.75" hidden="false" customHeight="true" outlineLevel="0" collapsed="false">
      <c r="A9" s="13" t="s">
        <v>59</v>
      </c>
      <c r="B9" s="7" t="s">
        <v>878</v>
      </c>
      <c r="C9" s="15" t="s">
        <v>879</v>
      </c>
      <c r="D9" s="7" t="s">
        <v>874</v>
      </c>
      <c r="E9" s="28" t="n">
        <v>722</v>
      </c>
      <c r="F9" s="28" t="n">
        <v>361</v>
      </c>
      <c r="G9" s="24" t="n">
        <v>2.7778</v>
      </c>
      <c r="H9" s="24" t="n">
        <v>0</v>
      </c>
      <c r="I9" s="26" t="n">
        <v>1</v>
      </c>
      <c r="J9" s="8" t="n">
        <f aca="false">IF(G9&gt;0,10000/G9,0)</f>
        <v>3599.9712002304</v>
      </c>
      <c r="K9" s="8" t="n">
        <f aca="false">IF(H9&gt;0,10000/H9,0)</f>
        <v>0</v>
      </c>
      <c r="L9" s="25" t="s">
        <v>880</v>
      </c>
    </row>
    <row r="10" customFormat="false" ht="39.75" hidden="false" customHeight="true" outlineLevel="0" collapsed="false">
      <c r="A10" s="13" t="s">
        <v>60</v>
      </c>
      <c r="B10" s="7" t="s">
        <v>881</v>
      </c>
      <c r="C10" s="15" t="s">
        <v>879</v>
      </c>
      <c r="D10" s="7" t="s">
        <v>877</v>
      </c>
      <c r="E10" s="28" t="n">
        <v>722</v>
      </c>
      <c r="F10" s="28" t="n">
        <v>361</v>
      </c>
      <c r="G10" s="24" t="n">
        <v>2.7778</v>
      </c>
      <c r="H10" s="24" t="n">
        <v>0</v>
      </c>
      <c r="I10" s="26" t="n">
        <v>1</v>
      </c>
      <c r="J10" s="8" t="n">
        <f aca="false">IF(G10&gt;0,10000/G10,0)</f>
        <v>3599.9712002304</v>
      </c>
      <c r="K10" s="8" t="n">
        <f aca="false">IF(H10&gt;0,10000/H10,0)</f>
        <v>0</v>
      </c>
      <c r="L10" s="25" t="s">
        <v>880</v>
      </c>
    </row>
    <row r="11" customFormat="false" ht="39.75" hidden="false" customHeight="true" outlineLevel="0" collapsed="false">
      <c r="A11" s="13" t="s">
        <v>61</v>
      </c>
      <c r="B11" s="7" t="s">
        <v>882</v>
      </c>
      <c r="C11" s="15" t="s">
        <v>883</v>
      </c>
      <c r="D11" s="7" t="s">
        <v>874</v>
      </c>
      <c r="E11" s="28" t="n">
        <v>650</v>
      </c>
      <c r="F11" s="28" t="n">
        <v>325</v>
      </c>
      <c r="G11" s="24" t="n">
        <v>0</v>
      </c>
      <c r="H11" s="24" t="n">
        <v>8.3333</v>
      </c>
      <c r="I11" s="26" t="n">
        <v>1</v>
      </c>
      <c r="J11" s="8" t="n">
        <f aca="false">IF(G11&gt;0,10000/G11,0)</f>
        <v>0</v>
      </c>
      <c r="K11" s="8" t="n">
        <f aca="false">IF(H11&gt;0,10000/H11,0)</f>
        <v>1200.0048000192</v>
      </c>
      <c r="L11" s="25" t="s">
        <v>884</v>
      </c>
    </row>
    <row r="12" customFormat="false" ht="39.75" hidden="false" customHeight="true" outlineLevel="0" collapsed="false">
      <c r="A12" s="13" t="s">
        <v>62</v>
      </c>
      <c r="B12" s="7" t="s">
        <v>885</v>
      </c>
      <c r="C12" s="15" t="s">
        <v>883</v>
      </c>
      <c r="D12" s="7" t="s">
        <v>877</v>
      </c>
      <c r="E12" s="28" t="n">
        <v>650</v>
      </c>
      <c r="F12" s="28" t="n">
        <v>325</v>
      </c>
      <c r="G12" s="24" t="n">
        <v>0</v>
      </c>
      <c r="H12" s="24" t="n">
        <v>8.3333</v>
      </c>
      <c r="I12" s="26" t="n">
        <v>1</v>
      </c>
      <c r="J12" s="8" t="n">
        <f aca="false">IF(G12&gt;0,10000/G12,0)</f>
        <v>0</v>
      </c>
      <c r="K12" s="8" t="n">
        <f aca="false">IF(H12&gt;0,10000/H12,0)</f>
        <v>1200.0048000192</v>
      </c>
      <c r="L12" s="25" t="s">
        <v>884</v>
      </c>
    </row>
    <row r="14" customFormat="false" ht="15" hidden="false" customHeight="false" outlineLevel="0" collapsed="false">
      <c r="A14" s="23" t="s">
        <v>886</v>
      </c>
    </row>
  </sheetData>
  <mergeCells count="5">
    <mergeCell ref="A1:L1"/>
    <mergeCell ref="A2:L2"/>
    <mergeCell ref="A3:L3"/>
    <mergeCell ref="A4:L4"/>
    <mergeCell ref="A5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AM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26" min="8" style="0" width="9"/>
    <col collapsed="false" customWidth="true" hidden="false" outlineLevel="0" max="28" min="27" style="0" width="10"/>
    <col collapsed="false" customWidth="true" hidden="false" outlineLevel="0" max="29" min="29" style="0" width="11"/>
    <col collapsed="false" customWidth="true" hidden="false" outlineLevel="0" max="30" min="30" style="0" width="12"/>
    <col collapsed="false" customWidth="true" hidden="false" outlineLevel="0" max="31" min="31" style="0" width="7"/>
    <col collapsed="false" customWidth="true" hidden="false" outlineLevel="0" max="32" min="32" style="0" width="9"/>
    <col collapsed="false" customWidth="true" hidden="false" outlineLevel="0" max="33" min="33" style="0" width="11"/>
    <col collapsed="false" customWidth="true" hidden="false" outlineLevel="0" max="34" min="34" style="0" width="10"/>
    <col collapsed="false" customWidth="true" hidden="false" outlineLevel="0" max="36" min="35" style="0" width="8"/>
    <col collapsed="false" customWidth="true" hidden="false" outlineLevel="0" max="37" min="37" style="0" width="9"/>
    <col collapsed="false" customWidth="true" hidden="false" outlineLevel="0" max="38" min="38" style="0" width="11"/>
    <col collapsed="false" customWidth="true" hidden="false" outlineLevel="0" max="39" min="39" style="0" width="6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customFormat="false" ht="19.5" hidden="false" customHeight="true" outlineLevel="0" collapsed="false">
      <c r="A4" s="4" t="s">
        <v>887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customFormat="false" ht="15" hidden="false" customHeight="false" outlineLevel="0" collapsed="false">
      <c r="A5" s="5" t="s">
        <v>888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customFormat="false" ht="36" hidden="false" customHeight="true" outlineLevel="0" collapsed="false">
      <c r="A6" s="6" t="s">
        <v>889</v>
      </c>
      <c r="B6" s="6" t="s">
        <v>890</v>
      </c>
      <c r="C6" s="6" t="s">
        <v>891</v>
      </c>
      <c r="D6" s="6" t="s">
        <v>892</v>
      </c>
      <c r="E6" s="6" t="s">
        <v>42</v>
      </c>
      <c r="F6" s="6" t="s">
        <v>893</v>
      </c>
      <c r="G6" s="6" t="s">
        <v>894</v>
      </c>
      <c r="H6" s="6" t="s">
        <v>895</v>
      </c>
      <c r="I6" s="6" t="s">
        <v>896</v>
      </c>
      <c r="J6" s="6" t="s">
        <v>897</v>
      </c>
      <c r="K6" s="6" t="s">
        <v>898</v>
      </c>
      <c r="L6" s="6" t="s">
        <v>899</v>
      </c>
      <c r="M6" s="6" t="s">
        <v>900</v>
      </c>
      <c r="N6" s="6" t="s">
        <v>901</v>
      </c>
      <c r="O6" s="6" t="s">
        <v>902</v>
      </c>
      <c r="P6" s="6" t="s">
        <v>903</v>
      </c>
      <c r="Q6" s="6" t="s">
        <v>904</v>
      </c>
      <c r="R6" s="6" t="s">
        <v>905</v>
      </c>
      <c r="S6" s="6" t="s">
        <v>906</v>
      </c>
      <c r="T6" s="6" t="s">
        <v>907</v>
      </c>
      <c r="U6" s="6" t="s">
        <v>908</v>
      </c>
      <c r="V6" s="6" t="s">
        <v>909</v>
      </c>
      <c r="W6" s="6" t="s">
        <v>910</v>
      </c>
      <c r="X6" s="6" t="s">
        <v>911</v>
      </c>
      <c r="Y6" s="6" t="s">
        <v>912</v>
      </c>
      <c r="Z6" s="6" t="s">
        <v>913</v>
      </c>
      <c r="AA6" s="6" t="s">
        <v>914</v>
      </c>
      <c r="AB6" s="6" t="s">
        <v>915</v>
      </c>
      <c r="AC6" s="6" t="s">
        <v>916</v>
      </c>
      <c r="AD6" s="6" t="s">
        <v>917</v>
      </c>
      <c r="AE6" s="6" t="s">
        <v>918</v>
      </c>
      <c r="AF6" s="6" t="s">
        <v>919</v>
      </c>
      <c r="AG6" s="6" t="s">
        <v>920</v>
      </c>
      <c r="AH6" s="6" t="s">
        <v>863</v>
      </c>
      <c r="AI6" s="6" t="s">
        <v>41</v>
      </c>
      <c r="AJ6" s="6" t="s">
        <v>921</v>
      </c>
      <c r="AK6" s="6" t="s">
        <v>922</v>
      </c>
      <c r="AL6" s="6" t="s">
        <v>923</v>
      </c>
      <c r="AM6" s="6" t="s">
        <v>924</v>
      </c>
    </row>
    <row r="7" customFormat="false" ht="15" hidden="false" customHeight="false" outlineLevel="0" collapsed="false">
      <c r="A7" s="7" t="s">
        <v>925</v>
      </c>
      <c r="B7" s="7" t="s">
        <v>926</v>
      </c>
      <c r="C7" s="7" t="s">
        <v>927</v>
      </c>
      <c r="D7" s="7" t="s">
        <v>928</v>
      </c>
      <c r="E7" s="34" t="n">
        <v>459.295</v>
      </c>
      <c r="F7" s="34" t="n">
        <v>11633.7</v>
      </c>
      <c r="G7" s="22" t="n">
        <v>0.567707</v>
      </c>
      <c r="H7" s="34" t="n">
        <v>25.097</v>
      </c>
      <c r="I7" s="34" t="n">
        <v>0</v>
      </c>
      <c r="J7" s="34" t="n">
        <v>434.197</v>
      </c>
      <c r="K7" s="34" t="n">
        <v>0.002</v>
      </c>
      <c r="L7" s="34" t="n">
        <v>5.641</v>
      </c>
      <c r="M7" s="34" t="n">
        <v>127.959</v>
      </c>
      <c r="N7" s="34" t="n">
        <v>175.098</v>
      </c>
      <c r="O7" s="34" t="n">
        <v>150.975</v>
      </c>
      <c r="P7" s="34" t="n">
        <v>0.119</v>
      </c>
      <c r="Q7" s="34" t="n">
        <v>2.747</v>
      </c>
      <c r="R7" s="34" t="n">
        <v>15.564</v>
      </c>
      <c r="S7" s="34" t="n">
        <v>111.384</v>
      </c>
      <c r="T7" s="34" t="n">
        <v>329.48</v>
      </c>
      <c r="U7" s="34" t="n">
        <v>5.243</v>
      </c>
      <c r="V7" s="34" t="n">
        <v>0.38</v>
      </c>
      <c r="W7" s="34" t="n">
        <v>121.406</v>
      </c>
      <c r="X7" s="34" t="n">
        <v>6.452</v>
      </c>
      <c r="Y7" s="34" t="n">
        <v>314.215</v>
      </c>
      <c r="Z7" s="34" t="n">
        <v>11.598</v>
      </c>
      <c r="AA7" s="8" t="n">
        <v>5</v>
      </c>
      <c r="AB7" s="8" t="n">
        <v>621</v>
      </c>
      <c r="AC7" s="7" t="s">
        <v>929</v>
      </c>
      <c r="AD7" s="35"/>
      <c r="AE7" s="7" t="s">
        <v>930</v>
      </c>
      <c r="AF7" s="14" t="n">
        <f aca="false">IF(E7=0,0,(K7+L7+M7)/(K7+L7+M7+N7+O7))</f>
        <v>0.290644477076195</v>
      </c>
      <c r="AG7" s="7" t="str">
        <f aca="false">IF(J7&gt;=MAX(H7,I7),"MOSAICO",IF(H7&gt;=I7,"BES","ANDINO"))</f>
        <v>MOSAICO</v>
      </c>
      <c r="AH7" s="7" t="str">
        <f aca="false">IF(AF7&gt;=P_CORTE,"Alta","Moderada")</f>
        <v>Moderada</v>
      </c>
      <c r="AI7" s="13" t="str">
        <f aca="false">INDEX(PAQ_T,MATCH(AG7&amp;"|"&amp;AH7,PAQ_KEY,0))</f>
        <v>T6</v>
      </c>
      <c r="AJ7" s="8" t="n">
        <v>1</v>
      </c>
      <c r="AK7" s="7" t="s">
        <v>931</v>
      </c>
      <c r="AL7" s="34"/>
      <c r="AM7" s="23"/>
    </row>
    <row r="8" customFormat="false" ht="15" hidden="false" customHeight="false" outlineLevel="0" collapsed="false">
      <c r="A8" s="9" t="s">
        <v>932</v>
      </c>
      <c r="B8" s="9" t="s">
        <v>926</v>
      </c>
      <c r="C8" s="9" t="s">
        <v>927</v>
      </c>
      <c r="D8" s="9" t="s">
        <v>933</v>
      </c>
      <c r="E8" s="36" t="n">
        <v>168.411</v>
      </c>
      <c r="F8" s="36" t="n">
        <v>8376.1</v>
      </c>
      <c r="G8" s="31" t="n">
        <v>0.538144</v>
      </c>
      <c r="H8" s="36" t="n">
        <v>4.175</v>
      </c>
      <c r="I8" s="36" t="n">
        <v>0</v>
      </c>
      <c r="J8" s="36" t="n">
        <v>164.236</v>
      </c>
      <c r="K8" s="36" t="n">
        <v>0.065</v>
      </c>
      <c r="L8" s="36" t="n">
        <v>4.226</v>
      </c>
      <c r="M8" s="36" t="n">
        <v>55.399</v>
      </c>
      <c r="N8" s="36" t="n">
        <v>77.184</v>
      </c>
      <c r="O8" s="36" t="n">
        <v>31.686</v>
      </c>
      <c r="P8" s="36" t="n">
        <v>0.047</v>
      </c>
      <c r="Q8" s="36" t="n">
        <v>1.389</v>
      </c>
      <c r="R8" s="36" t="n">
        <v>3.54</v>
      </c>
      <c r="S8" s="36" t="n">
        <v>20.164</v>
      </c>
      <c r="T8" s="36" t="n">
        <v>143.271</v>
      </c>
      <c r="U8" s="36" t="n">
        <v>3.819</v>
      </c>
      <c r="V8" s="36" t="n">
        <v>0.462</v>
      </c>
      <c r="W8" s="36" t="n">
        <v>52.451</v>
      </c>
      <c r="X8" s="36" t="n">
        <v>2.902</v>
      </c>
      <c r="Y8" s="36" t="n">
        <v>107.164</v>
      </c>
      <c r="Z8" s="36" t="n">
        <v>1.612</v>
      </c>
      <c r="AA8" s="12" t="n">
        <v>0</v>
      </c>
      <c r="AB8" s="12" t="n">
        <v>433</v>
      </c>
      <c r="AC8" s="9" t="s">
        <v>929</v>
      </c>
      <c r="AD8" s="35"/>
      <c r="AE8" s="9" t="s">
        <v>930</v>
      </c>
      <c r="AF8" s="14" t="n">
        <f aca="false">IF(E8=0,0,(K8+L8+M8)/(K8+L8+M8+N8+O8))</f>
        <v>0.354117228286664</v>
      </c>
      <c r="AG8" s="7" t="str">
        <f aca="false">IF(J8&gt;=MAX(H8,I8),"MOSAICO",IF(H8&gt;=I8,"BES","ANDINO"))</f>
        <v>MOSAICO</v>
      </c>
      <c r="AH8" s="7" t="str">
        <f aca="false">IF(AF8&gt;=P_CORTE,"Alta","Moderada")</f>
        <v>Moderada</v>
      </c>
      <c r="AI8" s="13" t="str">
        <f aca="false">INDEX(PAQ_T,MATCH(AG8&amp;"|"&amp;AH8,PAQ_KEY,0))</f>
        <v>T6</v>
      </c>
      <c r="AJ8" s="8" t="n">
        <v>2</v>
      </c>
      <c r="AK8" s="7" t="s">
        <v>931</v>
      </c>
      <c r="AL8" s="34"/>
      <c r="AM8" s="23"/>
    </row>
    <row r="9" customFormat="false" ht="15" hidden="false" customHeight="false" outlineLevel="0" collapsed="false">
      <c r="A9" s="7" t="s">
        <v>934</v>
      </c>
      <c r="B9" s="7" t="s">
        <v>926</v>
      </c>
      <c r="C9" s="7" t="s">
        <v>927</v>
      </c>
      <c r="D9" s="7" t="s">
        <v>933</v>
      </c>
      <c r="E9" s="34" t="n">
        <v>24.843</v>
      </c>
      <c r="F9" s="34" t="n">
        <v>2675.4</v>
      </c>
      <c r="G9" s="22" t="n">
        <v>0.539458</v>
      </c>
      <c r="H9" s="34" t="n">
        <v>0</v>
      </c>
      <c r="I9" s="34" t="n">
        <v>0</v>
      </c>
      <c r="J9" s="34" t="n">
        <v>24.843</v>
      </c>
      <c r="K9" s="34" t="n">
        <v>0</v>
      </c>
      <c r="L9" s="34" t="n">
        <v>0.349</v>
      </c>
      <c r="M9" s="34" t="n">
        <v>8.512</v>
      </c>
      <c r="N9" s="34" t="n">
        <v>11.302</v>
      </c>
      <c r="O9" s="34" t="n">
        <v>4.702</v>
      </c>
      <c r="P9" s="34" t="n">
        <v>0</v>
      </c>
      <c r="Q9" s="34" t="n">
        <v>0</v>
      </c>
      <c r="R9" s="34" t="n">
        <v>0.194</v>
      </c>
      <c r="S9" s="34" t="n">
        <v>4.739</v>
      </c>
      <c r="T9" s="34" t="n">
        <v>19.911</v>
      </c>
      <c r="U9" s="34" t="n">
        <v>0.347</v>
      </c>
      <c r="V9" s="34" t="n">
        <v>0</v>
      </c>
      <c r="W9" s="34" t="n">
        <v>8.505</v>
      </c>
      <c r="X9" s="34" t="n">
        <v>0</v>
      </c>
      <c r="Y9" s="34" t="n">
        <v>15.797</v>
      </c>
      <c r="Z9" s="34" t="n">
        <v>0.194</v>
      </c>
      <c r="AA9" s="8" t="n">
        <v>14</v>
      </c>
      <c r="AB9" s="8" t="n">
        <v>168</v>
      </c>
      <c r="AC9" s="7" t="s">
        <v>929</v>
      </c>
      <c r="AD9" s="35"/>
      <c r="AE9" s="7" t="s">
        <v>930</v>
      </c>
      <c r="AF9" s="14" t="n">
        <f aca="false">IF(E9=0,0,(K9+L9+M9)/(K9+L9+M9+N9+O9))</f>
        <v>0.356364367584959</v>
      </c>
      <c r="AG9" s="7" t="str">
        <f aca="false">IF(J9&gt;=MAX(H9,I9),"MOSAICO",IF(H9&gt;=I9,"BES","ANDINO"))</f>
        <v>MOSAICO</v>
      </c>
      <c r="AH9" s="7" t="str">
        <f aca="false">IF(AF9&gt;=P_CORTE,"Alta","Moderada")</f>
        <v>Moderada</v>
      </c>
      <c r="AI9" s="13" t="str">
        <f aca="false">INDEX(PAQ_T,MATCH(AG9&amp;"|"&amp;AH9,PAQ_KEY,0))</f>
        <v>T6</v>
      </c>
      <c r="AJ9" s="8" t="n">
        <v>3</v>
      </c>
      <c r="AK9" s="7" t="s">
        <v>931</v>
      </c>
      <c r="AL9" s="34"/>
      <c r="AM9" s="23"/>
    </row>
    <row r="10" customFormat="false" ht="15" hidden="false" customHeight="false" outlineLevel="0" collapsed="false">
      <c r="A10" s="9" t="s">
        <v>935</v>
      </c>
      <c r="B10" s="9" t="s">
        <v>926</v>
      </c>
      <c r="C10" s="9" t="s">
        <v>927</v>
      </c>
      <c r="D10" s="9" t="s">
        <v>936</v>
      </c>
      <c r="E10" s="36" t="n">
        <v>78.154</v>
      </c>
      <c r="F10" s="36" t="n">
        <v>4228.3</v>
      </c>
      <c r="G10" s="31" t="n">
        <v>0.53228</v>
      </c>
      <c r="H10" s="36" t="n">
        <v>0</v>
      </c>
      <c r="I10" s="36" t="n">
        <v>0</v>
      </c>
      <c r="J10" s="36" t="n">
        <v>78.154</v>
      </c>
      <c r="K10" s="36" t="n">
        <v>0</v>
      </c>
      <c r="L10" s="36" t="n">
        <v>0.807</v>
      </c>
      <c r="M10" s="36" t="n">
        <v>28.525</v>
      </c>
      <c r="N10" s="36" t="n">
        <v>36.504</v>
      </c>
      <c r="O10" s="36" t="n">
        <v>12.379</v>
      </c>
      <c r="P10" s="36" t="n">
        <v>0.045</v>
      </c>
      <c r="Q10" s="36" t="n">
        <v>1.059</v>
      </c>
      <c r="R10" s="36" t="n">
        <v>4.095</v>
      </c>
      <c r="S10" s="36" t="n">
        <v>16.225</v>
      </c>
      <c r="T10" s="36" t="n">
        <v>56.731</v>
      </c>
      <c r="U10" s="36" t="n">
        <v>0.765</v>
      </c>
      <c r="V10" s="36" t="n">
        <v>0.039</v>
      </c>
      <c r="W10" s="36" t="n">
        <v>25.511</v>
      </c>
      <c r="X10" s="36" t="n">
        <v>2.991</v>
      </c>
      <c r="Y10" s="36" t="n">
        <v>46.68</v>
      </c>
      <c r="Z10" s="36" t="n">
        <v>2.168</v>
      </c>
      <c r="AA10" s="12" t="n">
        <v>251</v>
      </c>
      <c r="AB10" s="12" t="n">
        <v>801</v>
      </c>
      <c r="AC10" s="9" t="s">
        <v>929</v>
      </c>
      <c r="AD10" s="35"/>
      <c r="AE10" s="9" t="s">
        <v>930</v>
      </c>
      <c r="AF10" s="14" t="n">
        <f aca="false">IF(E10=0,0,(K10+L10+M10)/(K10+L10+M10+N10+O10))</f>
        <v>0.37501757974813</v>
      </c>
      <c r="AG10" s="7" t="str">
        <f aca="false">IF(J10&gt;=MAX(H10,I10),"MOSAICO",IF(H10&gt;=I10,"BES","ANDINO"))</f>
        <v>MOSAICO</v>
      </c>
      <c r="AH10" s="7" t="str">
        <f aca="false">IF(AF10&gt;=P_CORTE,"Alta","Moderada")</f>
        <v>Moderada</v>
      </c>
      <c r="AI10" s="13" t="str">
        <f aca="false">INDEX(PAQ_T,MATCH(AG10&amp;"|"&amp;AH10,PAQ_KEY,0))</f>
        <v>T6</v>
      </c>
      <c r="AJ10" s="8" t="n">
        <v>4</v>
      </c>
      <c r="AK10" s="7" t="s">
        <v>931</v>
      </c>
      <c r="AL10" s="34"/>
      <c r="AM10" s="23"/>
    </row>
    <row r="11" customFormat="false" ht="15" hidden="false" customHeight="false" outlineLevel="0" collapsed="false">
      <c r="A11" s="7" t="s">
        <v>937</v>
      </c>
      <c r="B11" s="7" t="s">
        <v>926</v>
      </c>
      <c r="C11" s="7" t="s">
        <v>927</v>
      </c>
      <c r="D11" s="7" t="s">
        <v>936</v>
      </c>
      <c r="E11" s="34" t="n">
        <v>75.363</v>
      </c>
      <c r="F11" s="34" t="n">
        <v>3644.3</v>
      </c>
      <c r="G11" s="22" t="n">
        <v>0.472466</v>
      </c>
      <c r="H11" s="34" t="n">
        <v>32.046</v>
      </c>
      <c r="I11" s="34" t="n">
        <v>0</v>
      </c>
      <c r="J11" s="34" t="n">
        <v>43.318</v>
      </c>
      <c r="K11" s="34" t="n">
        <v>0</v>
      </c>
      <c r="L11" s="34" t="n">
        <v>2.351</v>
      </c>
      <c r="M11" s="34" t="n">
        <v>52.948</v>
      </c>
      <c r="N11" s="34" t="n">
        <v>15.593</v>
      </c>
      <c r="O11" s="34" t="n">
        <v>4.524</v>
      </c>
      <c r="P11" s="34" t="n">
        <v>0</v>
      </c>
      <c r="Q11" s="34" t="n">
        <v>0.286</v>
      </c>
      <c r="R11" s="34" t="n">
        <v>2.343</v>
      </c>
      <c r="S11" s="34" t="n">
        <v>27.809</v>
      </c>
      <c r="T11" s="34" t="n">
        <v>44.925</v>
      </c>
      <c r="U11" s="34" t="n">
        <v>2.169</v>
      </c>
      <c r="V11" s="34" t="n">
        <v>0.177</v>
      </c>
      <c r="W11" s="34" t="n">
        <v>50.882</v>
      </c>
      <c r="X11" s="34" t="n">
        <v>2.037</v>
      </c>
      <c r="Y11" s="34" t="n">
        <v>19.684</v>
      </c>
      <c r="Z11" s="34" t="n">
        <v>0.415</v>
      </c>
      <c r="AA11" s="8" t="n">
        <v>352</v>
      </c>
      <c r="AB11" s="8" t="n">
        <v>785</v>
      </c>
      <c r="AC11" s="7" t="s">
        <v>938</v>
      </c>
      <c r="AD11" s="35"/>
      <c r="AE11" s="7" t="s">
        <v>930</v>
      </c>
      <c r="AF11" s="14" t="n">
        <f aca="false">IF(E11=0,0,(K11+L11+M11)/(K11+L11+M11+N11+O11))</f>
        <v>0.733252890633287</v>
      </c>
      <c r="AG11" s="7" t="str">
        <f aca="false">IF(J11&gt;=MAX(H11,I11),"MOSAICO",IF(H11&gt;=I11,"BES","ANDINO"))</f>
        <v>MOSAICO</v>
      </c>
      <c r="AH11" s="7" t="str">
        <f aca="false">IF(AF11&gt;=P_CORTE,"Alta","Moderada")</f>
        <v>Alta</v>
      </c>
      <c r="AI11" s="13" t="str">
        <f aca="false">INDEX(PAQ_T,MATCH(AG11&amp;"|"&amp;AH11,PAQ_KEY,0))</f>
        <v>T5</v>
      </c>
      <c r="AJ11" s="8" t="n">
        <v>5</v>
      </c>
      <c r="AK11" s="7" t="s">
        <v>931</v>
      </c>
      <c r="AL11" s="34"/>
      <c r="AM11" s="23"/>
    </row>
    <row r="12" customFormat="false" ht="15" hidden="false" customHeight="false" outlineLevel="0" collapsed="false">
      <c r="A12" s="9" t="s">
        <v>939</v>
      </c>
      <c r="B12" s="9" t="s">
        <v>926</v>
      </c>
      <c r="C12" s="9" t="s">
        <v>927</v>
      </c>
      <c r="D12" s="9" t="s">
        <v>936</v>
      </c>
      <c r="E12" s="36" t="n">
        <v>74.028</v>
      </c>
      <c r="F12" s="36" t="n">
        <v>4276.5</v>
      </c>
      <c r="G12" s="31" t="n">
        <v>0.54817</v>
      </c>
      <c r="H12" s="36" t="n">
        <v>52.459</v>
      </c>
      <c r="I12" s="36" t="n">
        <v>0</v>
      </c>
      <c r="J12" s="36" t="n">
        <v>21.569</v>
      </c>
      <c r="K12" s="36" t="n">
        <v>0</v>
      </c>
      <c r="L12" s="36" t="n">
        <v>0.437</v>
      </c>
      <c r="M12" s="36" t="n">
        <v>21.009</v>
      </c>
      <c r="N12" s="36" t="n">
        <v>36.814</v>
      </c>
      <c r="O12" s="36" t="n">
        <v>15.837</v>
      </c>
      <c r="P12" s="36" t="n">
        <v>0.017</v>
      </c>
      <c r="Q12" s="36" t="n">
        <v>0.592</v>
      </c>
      <c r="R12" s="36" t="n">
        <v>3.426</v>
      </c>
      <c r="S12" s="36" t="n">
        <v>21.578</v>
      </c>
      <c r="T12" s="36" t="n">
        <v>48.415</v>
      </c>
      <c r="U12" s="36" t="n">
        <v>0.435</v>
      </c>
      <c r="V12" s="36" t="n">
        <v>0</v>
      </c>
      <c r="W12" s="36" t="n">
        <v>19.808</v>
      </c>
      <c r="X12" s="36" t="n">
        <v>1.182</v>
      </c>
      <c r="Y12" s="36" t="n">
        <v>49.749</v>
      </c>
      <c r="Z12" s="36" t="n">
        <v>2.853</v>
      </c>
      <c r="AA12" s="12" t="n">
        <v>1093</v>
      </c>
      <c r="AB12" s="12" t="n">
        <v>1697</v>
      </c>
      <c r="AC12" s="9" t="s">
        <v>938</v>
      </c>
      <c r="AD12" s="35"/>
      <c r="AE12" s="9" t="s">
        <v>930</v>
      </c>
      <c r="AF12" s="14" t="n">
        <f aca="false">IF(E12=0,0,(K12+L12+M12)/(K12+L12+M12+N12+O12))</f>
        <v>0.289431420975208</v>
      </c>
      <c r="AG12" s="7" t="str">
        <f aca="false">IF(J12&gt;=MAX(H12,I12),"MOSAICO",IF(H12&gt;=I12,"BES","ANDINO"))</f>
        <v>BES</v>
      </c>
      <c r="AH12" s="7" t="str">
        <f aca="false">IF(AF12&gt;=P_CORTE,"Alta","Moderada")</f>
        <v>Moderada</v>
      </c>
      <c r="AI12" s="13" t="str">
        <f aca="false">INDEX(PAQ_T,MATCH(AG12&amp;"|"&amp;AH12,PAQ_KEY,0))</f>
        <v>T2</v>
      </c>
      <c r="AJ12" s="8" t="n">
        <v>6</v>
      </c>
      <c r="AK12" s="7" t="s">
        <v>931</v>
      </c>
      <c r="AL12" s="34"/>
      <c r="AM12" s="23"/>
    </row>
    <row r="13" customFormat="false" ht="15" hidden="false" customHeight="false" outlineLevel="0" collapsed="false">
      <c r="A13" s="7" t="s">
        <v>940</v>
      </c>
      <c r="B13" s="7" t="s">
        <v>926</v>
      </c>
      <c r="C13" s="7" t="s">
        <v>927</v>
      </c>
      <c r="D13" s="7" t="s">
        <v>936</v>
      </c>
      <c r="E13" s="34" t="n">
        <v>106.538</v>
      </c>
      <c r="F13" s="34" t="n">
        <v>6508.8</v>
      </c>
      <c r="G13" s="22" t="n">
        <v>0.446441</v>
      </c>
      <c r="H13" s="34" t="n">
        <v>106.538</v>
      </c>
      <c r="I13" s="34" t="n">
        <v>0</v>
      </c>
      <c r="J13" s="34" t="n">
        <v>0</v>
      </c>
      <c r="K13" s="34" t="n">
        <v>0.019</v>
      </c>
      <c r="L13" s="34" t="n">
        <v>13.367</v>
      </c>
      <c r="M13" s="34" t="n">
        <v>73.848</v>
      </c>
      <c r="N13" s="34" t="n">
        <v>17.7</v>
      </c>
      <c r="O13" s="34" t="n">
        <v>1.696</v>
      </c>
      <c r="P13" s="34" t="n">
        <v>0.125</v>
      </c>
      <c r="Q13" s="34" t="n">
        <v>2.619</v>
      </c>
      <c r="R13" s="34" t="n">
        <v>8.661</v>
      </c>
      <c r="S13" s="34" t="n">
        <v>45.707</v>
      </c>
      <c r="T13" s="34" t="n">
        <v>49.426</v>
      </c>
      <c r="U13" s="34" t="n">
        <v>10.209</v>
      </c>
      <c r="V13" s="34" t="n">
        <v>3.153</v>
      </c>
      <c r="W13" s="34" t="n">
        <v>66.437</v>
      </c>
      <c r="X13" s="34" t="n">
        <v>7.37</v>
      </c>
      <c r="Y13" s="34" t="n">
        <v>18.488</v>
      </c>
      <c r="Z13" s="34" t="n">
        <v>0.882</v>
      </c>
      <c r="AA13" s="8" t="n">
        <v>7</v>
      </c>
      <c r="AB13" s="8" t="n">
        <v>531</v>
      </c>
      <c r="AC13" s="7" t="s">
        <v>938</v>
      </c>
      <c r="AD13" s="35"/>
      <c r="AE13" s="7" t="s">
        <v>930</v>
      </c>
      <c r="AF13" s="14" t="n">
        <f aca="false">IF(E13=0,0,(K13+L13+M13)/(K13+L13+M13+N13+O13))</f>
        <v>0.818099971865329</v>
      </c>
      <c r="AG13" s="7" t="str">
        <f aca="false">IF(J13&gt;=MAX(H13,I13),"MOSAICO",IF(H13&gt;=I13,"BES","ANDINO"))</f>
        <v>BES</v>
      </c>
      <c r="AH13" s="7" t="str">
        <f aca="false">IF(AF13&gt;=P_CORTE,"Alta","Moderada")</f>
        <v>Alta</v>
      </c>
      <c r="AI13" s="13" t="str">
        <f aca="false">INDEX(PAQ_T,MATCH(AG13&amp;"|"&amp;AH13,PAQ_KEY,0))</f>
        <v>T1</v>
      </c>
      <c r="AJ13" s="8" t="n">
        <v>7</v>
      </c>
      <c r="AK13" s="7" t="s">
        <v>931</v>
      </c>
      <c r="AL13" s="34"/>
      <c r="AM13" s="23"/>
    </row>
    <row r="14" customFormat="false" ht="15" hidden="false" customHeight="false" outlineLevel="0" collapsed="false">
      <c r="A14" s="9" t="s">
        <v>941</v>
      </c>
      <c r="B14" s="9" t="s">
        <v>926</v>
      </c>
      <c r="C14" s="9" t="s">
        <v>927</v>
      </c>
      <c r="D14" s="9" t="s">
        <v>936</v>
      </c>
      <c r="E14" s="36" t="n">
        <v>258.837</v>
      </c>
      <c r="F14" s="36" t="n">
        <v>12968.1</v>
      </c>
      <c r="G14" s="31" t="n">
        <v>0.508715</v>
      </c>
      <c r="H14" s="36" t="n">
        <v>114.158</v>
      </c>
      <c r="I14" s="36" t="n">
        <v>0</v>
      </c>
      <c r="J14" s="36" t="n">
        <v>144.679</v>
      </c>
      <c r="K14" s="36" t="n">
        <v>0.004</v>
      </c>
      <c r="L14" s="36" t="n">
        <v>15.085</v>
      </c>
      <c r="M14" s="36" t="n">
        <v>110.281</v>
      </c>
      <c r="N14" s="36" t="n">
        <v>98.067</v>
      </c>
      <c r="O14" s="36" t="n">
        <v>35.622</v>
      </c>
      <c r="P14" s="36" t="n">
        <v>0.031</v>
      </c>
      <c r="Q14" s="36" t="n">
        <v>0.218</v>
      </c>
      <c r="R14" s="36" t="n">
        <v>2.62</v>
      </c>
      <c r="S14" s="36" t="n">
        <v>45.08</v>
      </c>
      <c r="T14" s="36" t="n">
        <v>210.887</v>
      </c>
      <c r="U14" s="36" t="n">
        <v>14.863</v>
      </c>
      <c r="V14" s="36" t="n">
        <v>0.199</v>
      </c>
      <c r="W14" s="36" t="n">
        <v>108.521</v>
      </c>
      <c r="X14" s="36" t="n">
        <v>1.683</v>
      </c>
      <c r="Y14" s="36" t="n">
        <v>132.584</v>
      </c>
      <c r="Z14" s="36" t="n">
        <v>0.988</v>
      </c>
      <c r="AA14" s="12" t="n">
        <v>0</v>
      </c>
      <c r="AB14" s="12" t="n">
        <v>484</v>
      </c>
      <c r="AC14" s="9" t="s">
        <v>938</v>
      </c>
      <c r="AD14" s="35"/>
      <c r="AE14" s="9" t="s">
        <v>930</v>
      </c>
      <c r="AF14" s="14" t="n">
        <f aca="false">IF(E14=0,0,(K14+L14+M14)/(K14+L14+M14+N14+O14))</f>
        <v>0.483943812027376</v>
      </c>
      <c r="AG14" s="7" t="str">
        <f aca="false">IF(J14&gt;=MAX(H14,I14),"MOSAICO",IF(H14&gt;=I14,"BES","ANDINO"))</f>
        <v>MOSAICO</v>
      </c>
      <c r="AH14" s="7" t="str">
        <f aca="false">IF(AF14&gt;=P_CORTE,"Alta","Moderada")</f>
        <v>Moderada</v>
      </c>
      <c r="AI14" s="13" t="str">
        <f aca="false">INDEX(PAQ_T,MATCH(AG14&amp;"|"&amp;AH14,PAQ_KEY,0))</f>
        <v>T6</v>
      </c>
      <c r="AJ14" s="8" t="n">
        <v>8</v>
      </c>
      <c r="AK14" s="7" t="s">
        <v>931</v>
      </c>
      <c r="AL14" s="34"/>
      <c r="AM14" s="23"/>
    </row>
    <row r="15" customFormat="false" ht="15" hidden="false" customHeight="false" outlineLevel="0" collapsed="false">
      <c r="A15" s="7" t="s">
        <v>942</v>
      </c>
      <c r="B15" s="7" t="s">
        <v>926</v>
      </c>
      <c r="C15" s="7" t="s">
        <v>927</v>
      </c>
      <c r="D15" s="7" t="s">
        <v>943</v>
      </c>
      <c r="E15" s="34" t="n">
        <v>68.569</v>
      </c>
      <c r="F15" s="34" t="n">
        <v>3605.6</v>
      </c>
      <c r="G15" s="22" t="n">
        <v>0.701601</v>
      </c>
      <c r="H15" s="34" t="n">
        <v>0</v>
      </c>
      <c r="I15" s="34" t="n">
        <v>68.569</v>
      </c>
      <c r="J15" s="34" t="n">
        <v>0</v>
      </c>
      <c r="K15" s="34" t="n">
        <v>0</v>
      </c>
      <c r="L15" s="34" t="n">
        <v>0</v>
      </c>
      <c r="M15" s="34" t="n">
        <v>2.641</v>
      </c>
      <c r="N15" s="34" t="n">
        <v>9.533</v>
      </c>
      <c r="O15" s="34" t="n">
        <v>56.446</v>
      </c>
      <c r="P15" s="34" t="n">
        <v>0</v>
      </c>
      <c r="Q15" s="34" t="n">
        <v>0.009</v>
      </c>
      <c r="R15" s="34" t="n">
        <v>3.398</v>
      </c>
      <c r="S15" s="34" t="n">
        <v>39.07</v>
      </c>
      <c r="T15" s="34" t="n">
        <v>26.092</v>
      </c>
      <c r="U15" s="34" t="n">
        <v>0</v>
      </c>
      <c r="V15" s="34" t="n">
        <v>0</v>
      </c>
      <c r="W15" s="34" t="n">
        <v>2.521</v>
      </c>
      <c r="X15" s="34" t="n">
        <v>0.114</v>
      </c>
      <c r="Y15" s="34" t="n">
        <v>62.641</v>
      </c>
      <c r="Z15" s="34" t="n">
        <v>3.293</v>
      </c>
      <c r="AA15" s="8" t="n">
        <v>237</v>
      </c>
      <c r="AB15" s="8" t="n">
        <v>600</v>
      </c>
      <c r="AC15" s="7" t="s">
        <v>929</v>
      </c>
      <c r="AD15" s="35"/>
      <c r="AE15" s="7" t="s">
        <v>930</v>
      </c>
      <c r="AF15" s="14" t="n">
        <f aca="false">IF(E15=0,0,(K15+L15+M15)/(K15+L15+M15+N15+O15))</f>
        <v>0.0384873214806179</v>
      </c>
      <c r="AG15" s="7" t="str">
        <f aca="false">IF(J15&gt;=MAX(H15,I15),"MOSAICO",IF(H15&gt;=I15,"BES","ANDINO"))</f>
        <v>ANDINO</v>
      </c>
      <c r="AH15" s="7" t="str">
        <f aca="false">IF(AF15&gt;=P_CORTE,"Alta","Moderada")</f>
        <v>Moderada</v>
      </c>
      <c r="AI15" s="13" t="str">
        <f aca="false">INDEX(PAQ_T,MATCH(AG15&amp;"|"&amp;AH15,PAQ_KEY,0))</f>
        <v>T4</v>
      </c>
      <c r="AJ15" s="8" t="n">
        <v>9</v>
      </c>
      <c r="AK15" s="7" t="s">
        <v>931</v>
      </c>
      <c r="AL15" s="34"/>
      <c r="AM15" s="23" t="s">
        <v>944</v>
      </c>
    </row>
    <row r="16" customFormat="false" ht="15" hidden="false" customHeight="false" outlineLevel="0" collapsed="false">
      <c r="A16" s="9" t="s">
        <v>945</v>
      </c>
      <c r="B16" s="9" t="s">
        <v>926</v>
      </c>
      <c r="C16" s="9" t="s">
        <v>927</v>
      </c>
      <c r="D16" s="9" t="s">
        <v>943</v>
      </c>
      <c r="E16" s="36" t="n">
        <v>77.666</v>
      </c>
      <c r="F16" s="36" t="n">
        <v>3472.6</v>
      </c>
      <c r="G16" s="31" t="n">
        <v>0.677658</v>
      </c>
      <c r="H16" s="36" t="n">
        <v>0</v>
      </c>
      <c r="I16" s="36" t="n">
        <v>41.849</v>
      </c>
      <c r="J16" s="36" t="n">
        <v>35.817</v>
      </c>
      <c r="K16" s="36" t="n">
        <v>0</v>
      </c>
      <c r="L16" s="36" t="n">
        <v>0.02</v>
      </c>
      <c r="M16" s="36" t="n">
        <v>2.154</v>
      </c>
      <c r="N16" s="36" t="n">
        <v>14.19</v>
      </c>
      <c r="O16" s="36" t="n">
        <v>61.344</v>
      </c>
      <c r="P16" s="36" t="n">
        <v>0</v>
      </c>
      <c r="Q16" s="36" t="n">
        <v>0.078</v>
      </c>
      <c r="R16" s="36" t="n">
        <v>0.805</v>
      </c>
      <c r="S16" s="36" t="n">
        <v>19.938</v>
      </c>
      <c r="T16" s="36" t="n">
        <v>56.844</v>
      </c>
      <c r="U16" s="36" t="n">
        <v>0.02</v>
      </c>
      <c r="V16" s="36" t="n">
        <v>0</v>
      </c>
      <c r="W16" s="36" t="n">
        <v>2.13</v>
      </c>
      <c r="X16" s="36" t="n">
        <v>0.021</v>
      </c>
      <c r="Y16" s="36" t="n">
        <v>74.632</v>
      </c>
      <c r="Z16" s="36" t="n">
        <v>0.863</v>
      </c>
      <c r="AA16" s="12" t="n">
        <v>1054</v>
      </c>
      <c r="AB16" s="12" t="n">
        <v>1462</v>
      </c>
      <c r="AC16" s="9" t="s">
        <v>929</v>
      </c>
      <c r="AD16" s="35"/>
      <c r="AE16" s="9" t="s">
        <v>930</v>
      </c>
      <c r="AF16" s="14" t="n">
        <f aca="false">IF(E16=0,0,(K16+L16+M16)/(K16+L16+M16+N16+O16))</f>
        <v>0.0279765275132548</v>
      </c>
      <c r="AG16" s="7" t="str">
        <f aca="false">IF(J16&gt;=MAX(H16,I16),"MOSAICO",IF(H16&gt;=I16,"BES","ANDINO"))</f>
        <v>ANDINO</v>
      </c>
      <c r="AH16" s="7" t="str">
        <f aca="false">IF(AF16&gt;=P_CORTE,"Alta","Moderada")</f>
        <v>Moderada</v>
      </c>
      <c r="AI16" s="13" t="str">
        <f aca="false">INDEX(PAQ_T,MATCH(AG16&amp;"|"&amp;AH16,PAQ_KEY,0))</f>
        <v>T4</v>
      </c>
      <c r="AJ16" s="8" t="n">
        <v>10</v>
      </c>
      <c r="AK16" s="7" t="s">
        <v>931</v>
      </c>
      <c r="AL16" s="34"/>
      <c r="AM16" s="23" t="s">
        <v>944</v>
      </c>
    </row>
    <row r="17" customFormat="false" ht="15" hidden="false" customHeight="false" outlineLevel="0" collapsed="false">
      <c r="A17" s="7" t="s">
        <v>946</v>
      </c>
      <c r="B17" s="7" t="s">
        <v>947</v>
      </c>
      <c r="C17" s="7" t="s">
        <v>948</v>
      </c>
      <c r="D17" s="7" t="s">
        <v>949</v>
      </c>
      <c r="E17" s="34" t="n">
        <v>8.929</v>
      </c>
      <c r="F17" s="34" t="n">
        <v>1243.6</v>
      </c>
      <c r="G17" s="22" t="n">
        <v>0.274714</v>
      </c>
      <c r="H17" s="34" t="n">
        <v>8.929</v>
      </c>
      <c r="I17" s="34" t="n">
        <v>0</v>
      </c>
      <c r="J17" s="34" t="n">
        <v>0</v>
      </c>
      <c r="K17" s="34" t="n">
        <v>3.961</v>
      </c>
      <c r="L17" s="34" t="n">
        <v>4.84</v>
      </c>
      <c r="M17" s="34" t="n">
        <v>0.137</v>
      </c>
      <c r="N17" s="34" t="n">
        <v>0</v>
      </c>
      <c r="O17" s="34" t="n">
        <v>0</v>
      </c>
      <c r="P17" s="34" t="n">
        <v>0.005</v>
      </c>
      <c r="Q17" s="34" t="n">
        <v>0.951</v>
      </c>
      <c r="R17" s="34" t="n">
        <v>3.184</v>
      </c>
      <c r="S17" s="34" t="n">
        <v>3.7</v>
      </c>
      <c r="T17" s="34" t="n">
        <v>1.089</v>
      </c>
      <c r="U17" s="34" t="n">
        <v>4.678</v>
      </c>
      <c r="V17" s="34" t="n">
        <v>4.114</v>
      </c>
      <c r="W17" s="34" t="n">
        <v>0.111</v>
      </c>
      <c r="X17" s="34" t="n">
        <v>0.026</v>
      </c>
      <c r="Y17" s="34" t="n">
        <v>0</v>
      </c>
      <c r="Z17" s="34" t="n">
        <v>0</v>
      </c>
      <c r="AA17" s="8" t="n">
        <v>133</v>
      </c>
      <c r="AB17" s="8" t="n">
        <v>292</v>
      </c>
      <c r="AC17" s="7" t="s">
        <v>929</v>
      </c>
      <c r="AD17" s="35"/>
      <c r="AE17" s="7" t="s">
        <v>930</v>
      </c>
      <c r="AF17" s="14" t="n">
        <f aca="false">IF(E17=0,0,(K17+L17+M17)/(K17+L17+M17+N17+O17))</f>
        <v>1</v>
      </c>
      <c r="AG17" s="7" t="str">
        <f aca="false">IF(J17&gt;=MAX(H17,I17),"MOSAICO",IF(H17&gt;=I17,"BES","ANDINO"))</f>
        <v>BES</v>
      </c>
      <c r="AH17" s="7" t="str">
        <f aca="false">IF(AF17&gt;=P_CORTE,"Alta","Moderada")</f>
        <v>Alta</v>
      </c>
      <c r="AI17" s="13" t="str">
        <f aca="false">INDEX(PAQ_T,MATCH(AG17&amp;"|"&amp;AH17,PAQ_KEY,0))</f>
        <v>T1</v>
      </c>
      <c r="AJ17" s="8" t="n">
        <v>11</v>
      </c>
      <c r="AK17" s="7" t="s">
        <v>950</v>
      </c>
      <c r="AL17" s="34"/>
      <c r="AM17" s="23"/>
    </row>
    <row r="18" customFormat="false" ht="15" hidden="false" customHeight="false" outlineLevel="0" collapsed="false">
      <c r="A18" s="9" t="s">
        <v>951</v>
      </c>
      <c r="B18" s="9" t="s">
        <v>947</v>
      </c>
      <c r="C18" s="9" t="s">
        <v>948</v>
      </c>
      <c r="D18" s="9" t="s">
        <v>952</v>
      </c>
      <c r="E18" s="36" t="n">
        <v>94.812</v>
      </c>
      <c r="F18" s="36" t="n">
        <v>5495.2</v>
      </c>
      <c r="G18" s="31" t="n">
        <v>0.547879</v>
      </c>
      <c r="H18" s="36" t="n">
        <v>94.812</v>
      </c>
      <c r="I18" s="36" t="n">
        <v>0</v>
      </c>
      <c r="J18" s="36" t="n">
        <v>0</v>
      </c>
      <c r="K18" s="36" t="n">
        <v>0</v>
      </c>
      <c r="L18" s="36" t="n">
        <v>0.327</v>
      </c>
      <c r="M18" s="36" t="n">
        <v>27.84</v>
      </c>
      <c r="N18" s="36" t="n">
        <v>44.939</v>
      </c>
      <c r="O18" s="36" t="n">
        <v>21.748</v>
      </c>
      <c r="P18" s="36" t="n">
        <v>0.11</v>
      </c>
      <c r="Q18" s="36" t="n">
        <v>9.022</v>
      </c>
      <c r="R18" s="36" t="n">
        <v>30.308</v>
      </c>
      <c r="S18" s="36" t="n">
        <v>34.228</v>
      </c>
      <c r="T18" s="36" t="n">
        <v>21.143</v>
      </c>
      <c r="U18" s="36" t="n">
        <v>0.084</v>
      </c>
      <c r="V18" s="36" t="n">
        <v>0.24</v>
      </c>
      <c r="W18" s="36" t="n">
        <v>9.907</v>
      </c>
      <c r="X18" s="36" t="n">
        <v>17.921</v>
      </c>
      <c r="Y18" s="36" t="n">
        <v>45.381</v>
      </c>
      <c r="Z18" s="36" t="n">
        <v>21.279</v>
      </c>
      <c r="AA18" s="12" t="n">
        <v>93</v>
      </c>
      <c r="AB18" s="12" t="n">
        <v>902</v>
      </c>
      <c r="AC18" s="9" t="s">
        <v>929</v>
      </c>
      <c r="AD18" s="35"/>
      <c r="AE18" s="9" t="s">
        <v>930</v>
      </c>
      <c r="AF18" s="14" t="n">
        <f aca="false">IF(E18=0,0,(K18+L18+M18)/(K18+L18+M18+N18+O18))</f>
        <v>0.296951103801632</v>
      </c>
      <c r="AG18" s="7" t="str">
        <f aca="false">IF(J18&gt;=MAX(H18,I18),"MOSAICO",IF(H18&gt;=I18,"BES","ANDINO"))</f>
        <v>BES</v>
      </c>
      <c r="AH18" s="7" t="str">
        <f aca="false">IF(AF18&gt;=P_CORTE,"Alta","Moderada")</f>
        <v>Moderada</v>
      </c>
      <c r="AI18" s="13" t="str">
        <f aca="false">INDEX(PAQ_T,MATCH(AG18&amp;"|"&amp;AH18,PAQ_KEY,0))</f>
        <v>T2</v>
      </c>
      <c r="AJ18" s="8" t="n">
        <v>12</v>
      </c>
      <c r="AK18" s="7" t="s">
        <v>950</v>
      </c>
      <c r="AL18" s="34"/>
      <c r="AM18" s="23" t="s">
        <v>944</v>
      </c>
    </row>
    <row r="19" customFormat="false" ht="15" hidden="false" customHeight="false" outlineLevel="0" collapsed="false">
      <c r="A19" s="7" t="s">
        <v>953</v>
      </c>
      <c r="B19" s="7" t="s">
        <v>947</v>
      </c>
      <c r="C19" s="7" t="s">
        <v>948</v>
      </c>
      <c r="D19" s="7" t="s">
        <v>954</v>
      </c>
      <c r="E19" s="34" t="n">
        <v>90.159</v>
      </c>
      <c r="F19" s="34" t="n">
        <v>3954.3</v>
      </c>
      <c r="G19" s="22" t="n">
        <v>0.674839</v>
      </c>
      <c r="H19" s="34" t="n">
        <v>13.972</v>
      </c>
      <c r="I19" s="34" t="n">
        <v>16.613</v>
      </c>
      <c r="J19" s="34" t="n">
        <v>59.575</v>
      </c>
      <c r="K19" s="34" t="n">
        <v>0</v>
      </c>
      <c r="L19" s="34" t="n">
        <v>0</v>
      </c>
      <c r="M19" s="34" t="n">
        <v>2.067</v>
      </c>
      <c r="N19" s="34" t="n">
        <v>20.024</v>
      </c>
      <c r="O19" s="34" t="n">
        <v>68.101</v>
      </c>
      <c r="P19" s="34" t="n">
        <v>0</v>
      </c>
      <c r="Q19" s="34" t="n">
        <v>0.297</v>
      </c>
      <c r="R19" s="34" t="n">
        <v>0.853</v>
      </c>
      <c r="S19" s="34" t="n">
        <v>12.859</v>
      </c>
      <c r="T19" s="34" t="n">
        <v>76.15</v>
      </c>
      <c r="U19" s="34" t="n">
        <v>0</v>
      </c>
      <c r="V19" s="34" t="n">
        <v>0</v>
      </c>
      <c r="W19" s="34" t="n">
        <v>2.061</v>
      </c>
      <c r="X19" s="34" t="n">
        <v>0</v>
      </c>
      <c r="Y19" s="34" t="n">
        <v>86.949</v>
      </c>
      <c r="Z19" s="34" t="n">
        <v>1.15</v>
      </c>
      <c r="AA19" s="8" t="n">
        <v>566</v>
      </c>
      <c r="AB19" s="8" t="n">
        <v>1051</v>
      </c>
      <c r="AC19" s="7" t="s">
        <v>929</v>
      </c>
      <c r="AD19" s="35"/>
      <c r="AE19" s="7" t="s">
        <v>930</v>
      </c>
      <c r="AF19" s="14" t="n">
        <f aca="false">IF(E19=0,0,(K19+L19+M19)/(K19+L19+M19+N19+O19))</f>
        <v>0.0229177754124534</v>
      </c>
      <c r="AG19" s="7" t="str">
        <f aca="false">IF(J19&gt;=MAX(H19,I19),"MOSAICO",IF(H19&gt;=I19,"BES","ANDINO"))</f>
        <v>MOSAICO</v>
      </c>
      <c r="AH19" s="7" t="str">
        <f aca="false">IF(AF19&gt;=P_CORTE,"Alta","Moderada")</f>
        <v>Moderada</v>
      </c>
      <c r="AI19" s="13" t="str">
        <f aca="false">INDEX(PAQ_T,MATCH(AG19&amp;"|"&amp;AH19,PAQ_KEY,0))</f>
        <v>T6</v>
      </c>
      <c r="AJ19" s="8" t="n">
        <v>13</v>
      </c>
      <c r="AK19" s="7" t="s">
        <v>950</v>
      </c>
      <c r="AL19" s="34"/>
      <c r="AM19" s="23"/>
    </row>
    <row r="20" customFormat="false" ht="15" hidden="false" customHeight="false" outlineLevel="0" collapsed="false">
      <c r="A20" s="9" t="s">
        <v>955</v>
      </c>
      <c r="B20" s="9" t="s">
        <v>947</v>
      </c>
      <c r="C20" s="9" t="s">
        <v>948</v>
      </c>
      <c r="D20" s="9" t="s">
        <v>954</v>
      </c>
      <c r="E20" s="36" t="n">
        <v>50.459</v>
      </c>
      <c r="F20" s="36" t="n">
        <v>3007.5</v>
      </c>
      <c r="G20" s="31" t="n">
        <v>0.603582</v>
      </c>
      <c r="H20" s="36" t="n">
        <v>0</v>
      </c>
      <c r="I20" s="36" t="n">
        <v>50.459</v>
      </c>
      <c r="J20" s="36" t="n">
        <v>0</v>
      </c>
      <c r="K20" s="36" t="n">
        <v>0</v>
      </c>
      <c r="L20" s="36" t="n">
        <v>0</v>
      </c>
      <c r="M20" s="36" t="n">
        <v>1.488</v>
      </c>
      <c r="N20" s="36" t="n">
        <v>30.623</v>
      </c>
      <c r="O20" s="36" t="n">
        <v>18.36</v>
      </c>
      <c r="P20" s="36" t="n">
        <v>0</v>
      </c>
      <c r="Q20" s="36" t="n">
        <v>0.015</v>
      </c>
      <c r="R20" s="36" t="n">
        <v>0.031</v>
      </c>
      <c r="S20" s="36" t="n">
        <v>1.644</v>
      </c>
      <c r="T20" s="36" t="n">
        <v>48.768</v>
      </c>
      <c r="U20" s="36" t="n">
        <v>0</v>
      </c>
      <c r="V20" s="36" t="n">
        <v>0</v>
      </c>
      <c r="W20" s="36" t="n">
        <v>1.482</v>
      </c>
      <c r="X20" s="36" t="n">
        <v>0.005</v>
      </c>
      <c r="Y20" s="36" t="n">
        <v>48.931</v>
      </c>
      <c r="Z20" s="36" t="n">
        <v>0.04</v>
      </c>
      <c r="AA20" s="12" t="n">
        <v>1558</v>
      </c>
      <c r="AB20" s="12" t="n">
        <v>1932</v>
      </c>
      <c r="AC20" s="9" t="s">
        <v>929</v>
      </c>
      <c r="AD20" s="35"/>
      <c r="AE20" s="9" t="s">
        <v>930</v>
      </c>
      <c r="AF20" s="14" t="n">
        <f aca="false">IF(E20=0,0,(K20+L20+M20)/(K20+L20+M20+N20+O20))</f>
        <v>0.0294822769511204</v>
      </c>
      <c r="AG20" s="7" t="str">
        <f aca="false">IF(J20&gt;=MAX(H20,I20),"MOSAICO",IF(H20&gt;=I20,"BES","ANDINO"))</f>
        <v>ANDINO</v>
      </c>
      <c r="AH20" s="7" t="str">
        <f aca="false">IF(AF20&gt;=P_CORTE,"Alta","Moderada")</f>
        <v>Moderada</v>
      </c>
      <c r="AI20" s="13" t="str">
        <f aca="false">INDEX(PAQ_T,MATCH(AG20&amp;"|"&amp;AH20,PAQ_KEY,0))</f>
        <v>T4</v>
      </c>
      <c r="AJ20" s="8" t="n">
        <v>14</v>
      </c>
      <c r="AK20" s="7" t="s">
        <v>950</v>
      </c>
      <c r="AL20" s="34"/>
      <c r="AM20" s="23"/>
    </row>
    <row r="21" customFormat="false" ht="15" hidden="false" customHeight="false" outlineLevel="0" collapsed="false">
      <c r="A21" s="7" t="s">
        <v>50</v>
      </c>
      <c r="B21" s="7" t="s">
        <v>947</v>
      </c>
      <c r="C21" s="7" t="s">
        <v>948</v>
      </c>
      <c r="D21" s="7" t="s">
        <v>956</v>
      </c>
      <c r="E21" s="34" t="n">
        <v>84.227</v>
      </c>
      <c r="F21" s="34" t="n">
        <v>3530.8</v>
      </c>
      <c r="G21" s="22" t="n">
        <v>0.620078</v>
      </c>
      <c r="H21" s="34" t="n">
        <v>0</v>
      </c>
      <c r="I21" s="34" t="n">
        <v>37.002</v>
      </c>
      <c r="J21" s="34" t="n">
        <v>47.225</v>
      </c>
      <c r="K21" s="34" t="n">
        <v>0</v>
      </c>
      <c r="L21" s="34" t="n">
        <v>0.01</v>
      </c>
      <c r="M21" s="34" t="n">
        <v>4.349</v>
      </c>
      <c r="N21" s="34" t="n">
        <v>38.697</v>
      </c>
      <c r="O21" s="34" t="n">
        <v>41.193</v>
      </c>
      <c r="P21" s="34" t="n">
        <v>0.031</v>
      </c>
      <c r="Q21" s="34" t="n">
        <v>0.133</v>
      </c>
      <c r="R21" s="34" t="n">
        <v>1.282</v>
      </c>
      <c r="S21" s="34" t="n">
        <v>19.46</v>
      </c>
      <c r="T21" s="34" t="n">
        <v>63.32</v>
      </c>
      <c r="U21" s="34" t="n">
        <v>0.01</v>
      </c>
      <c r="V21" s="34" t="n">
        <v>0</v>
      </c>
      <c r="W21" s="34" t="n">
        <v>4.304</v>
      </c>
      <c r="X21" s="34" t="n">
        <v>0.043</v>
      </c>
      <c r="Y21" s="34" t="n">
        <v>78.466</v>
      </c>
      <c r="Z21" s="34" t="n">
        <v>1.403</v>
      </c>
      <c r="AA21" s="8" t="n">
        <v>41</v>
      </c>
      <c r="AB21" s="8" t="n">
        <v>579</v>
      </c>
      <c r="AC21" s="7" t="s">
        <v>929</v>
      </c>
      <c r="AD21" s="35"/>
      <c r="AE21" s="37" t="s">
        <v>957</v>
      </c>
      <c r="AF21" s="14" t="n">
        <f aca="false">IF(E21=0,0,(K21+L21+M21)/(K21+L21+M21+N21+O21))</f>
        <v>0.0517394865220952</v>
      </c>
      <c r="AG21" s="7" t="str">
        <f aca="false">IF(J21&gt;=MAX(H21,I21),"MOSAICO",IF(H21&gt;=I21,"BES","ANDINO"))</f>
        <v>MOSAICO</v>
      </c>
      <c r="AH21" s="7" t="str">
        <f aca="false">IF(AF21&gt;=P_CORTE,"Alta","Moderada")</f>
        <v>Moderada</v>
      </c>
      <c r="AI21" s="13" t="str">
        <f aca="false">INDEX(PAQ_T,MATCH(AG21&amp;"|"&amp;AH21,PAQ_KEY,0))</f>
        <v>T6</v>
      </c>
      <c r="AJ21" s="8" t="n">
        <v>15</v>
      </c>
      <c r="AK21" s="7" t="s">
        <v>950</v>
      </c>
      <c r="AL21" s="34"/>
      <c r="AM21" s="23"/>
    </row>
    <row r="22" customFormat="false" ht="15" hidden="false" customHeight="false" outlineLevel="0" collapsed="false">
      <c r="A22" s="9" t="s">
        <v>958</v>
      </c>
      <c r="B22" s="9" t="s">
        <v>947</v>
      </c>
      <c r="C22" s="9" t="s">
        <v>948</v>
      </c>
      <c r="D22" s="9" t="s">
        <v>956</v>
      </c>
      <c r="E22" s="36" t="n">
        <v>52.966</v>
      </c>
      <c r="F22" s="36" t="n">
        <v>3639.4</v>
      </c>
      <c r="G22" s="31" t="n">
        <v>0.639425</v>
      </c>
      <c r="H22" s="36" t="n">
        <v>0</v>
      </c>
      <c r="I22" s="36" t="n">
        <v>21.015</v>
      </c>
      <c r="J22" s="36" t="n">
        <v>31.95</v>
      </c>
      <c r="K22" s="36" t="n">
        <v>0</v>
      </c>
      <c r="L22" s="36" t="n">
        <v>0</v>
      </c>
      <c r="M22" s="36" t="n">
        <v>0.496</v>
      </c>
      <c r="N22" s="36" t="n">
        <v>19.203</v>
      </c>
      <c r="O22" s="36" t="n">
        <v>33.288</v>
      </c>
      <c r="P22" s="36" t="n">
        <v>0</v>
      </c>
      <c r="Q22" s="36" t="n">
        <v>0.038</v>
      </c>
      <c r="R22" s="36" t="n">
        <v>0.882</v>
      </c>
      <c r="S22" s="36" t="n">
        <v>11.742</v>
      </c>
      <c r="T22" s="36" t="n">
        <v>40.304</v>
      </c>
      <c r="U22" s="36" t="n">
        <v>0</v>
      </c>
      <c r="V22" s="36" t="n">
        <v>0</v>
      </c>
      <c r="W22" s="36" t="n">
        <v>0.483</v>
      </c>
      <c r="X22" s="36" t="n">
        <v>0.012</v>
      </c>
      <c r="Y22" s="36" t="n">
        <v>51.563</v>
      </c>
      <c r="Z22" s="36" t="n">
        <v>0.908</v>
      </c>
      <c r="AA22" s="12" t="n">
        <v>6</v>
      </c>
      <c r="AB22" s="12" t="n">
        <v>273</v>
      </c>
      <c r="AC22" s="9" t="s">
        <v>929</v>
      </c>
      <c r="AD22" s="35"/>
      <c r="AE22" s="9" t="s">
        <v>930</v>
      </c>
      <c r="AF22" s="14" t="n">
        <f aca="false">IF(E22=0,0,(K22+L22+M22)/(K22+L22+M22+N22+O22))</f>
        <v>0.00936078660803593</v>
      </c>
      <c r="AG22" s="7" t="str">
        <f aca="false">IF(J22&gt;=MAX(H22,I22),"MOSAICO",IF(H22&gt;=I22,"BES","ANDINO"))</f>
        <v>MOSAICO</v>
      </c>
      <c r="AH22" s="7" t="str">
        <f aca="false">IF(AF22&gt;=P_CORTE,"Alta","Moderada")</f>
        <v>Moderada</v>
      </c>
      <c r="AI22" s="13" t="str">
        <f aca="false">INDEX(PAQ_T,MATCH(AG22&amp;"|"&amp;AH22,PAQ_KEY,0))</f>
        <v>T6</v>
      </c>
      <c r="AJ22" s="8" t="n">
        <v>16</v>
      </c>
      <c r="AK22" s="7" t="s">
        <v>950</v>
      </c>
      <c r="AL22" s="34"/>
      <c r="AM22" s="23"/>
    </row>
    <row r="23" customFormat="false" ht="15" hidden="false" customHeight="false" outlineLevel="0" collapsed="false">
      <c r="A23" s="7" t="s">
        <v>959</v>
      </c>
      <c r="B23" s="7" t="s">
        <v>947</v>
      </c>
      <c r="C23" s="7" t="s">
        <v>948</v>
      </c>
      <c r="D23" s="7" t="s">
        <v>956</v>
      </c>
      <c r="E23" s="34" t="n">
        <v>34.874</v>
      </c>
      <c r="F23" s="34" t="n">
        <v>2492.5</v>
      </c>
      <c r="G23" s="22" t="n">
        <v>0.663804</v>
      </c>
      <c r="H23" s="34" t="n">
        <v>0</v>
      </c>
      <c r="I23" s="34" t="n">
        <v>7.869</v>
      </c>
      <c r="J23" s="34" t="n">
        <v>27.004</v>
      </c>
      <c r="K23" s="34" t="n">
        <v>0</v>
      </c>
      <c r="L23" s="34" t="n">
        <v>0</v>
      </c>
      <c r="M23" s="34" t="n">
        <v>0.46</v>
      </c>
      <c r="N23" s="34" t="n">
        <v>9.619</v>
      </c>
      <c r="O23" s="34" t="n">
        <v>24.808</v>
      </c>
      <c r="P23" s="34" t="n">
        <v>0</v>
      </c>
      <c r="Q23" s="34" t="n">
        <v>0.047</v>
      </c>
      <c r="R23" s="34" t="n">
        <v>0.784</v>
      </c>
      <c r="S23" s="34" t="n">
        <v>9.267</v>
      </c>
      <c r="T23" s="34" t="n">
        <v>24.776</v>
      </c>
      <c r="U23" s="34" t="n">
        <v>0</v>
      </c>
      <c r="V23" s="34" t="n">
        <v>0</v>
      </c>
      <c r="W23" s="34" t="n">
        <v>0.456</v>
      </c>
      <c r="X23" s="34" t="n">
        <v>0</v>
      </c>
      <c r="Y23" s="34" t="n">
        <v>33.588</v>
      </c>
      <c r="Z23" s="34" t="n">
        <v>0.83</v>
      </c>
      <c r="AA23" s="8" t="n">
        <v>508</v>
      </c>
      <c r="AB23" s="8" t="n">
        <v>903</v>
      </c>
      <c r="AC23" s="7" t="s">
        <v>929</v>
      </c>
      <c r="AD23" s="35"/>
      <c r="AE23" s="7" t="s">
        <v>930</v>
      </c>
      <c r="AF23" s="14" t="n">
        <f aca="false">IF(E23=0,0,(K23+L23+M23)/(K23+L23+M23+N23+O23))</f>
        <v>0.0131854272365064</v>
      </c>
      <c r="AG23" s="7" t="str">
        <f aca="false">IF(J23&gt;=MAX(H23,I23),"MOSAICO",IF(H23&gt;=I23,"BES","ANDINO"))</f>
        <v>MOSAICO</v>
      </c>
      <c r="AH23" s="7" t="str">
        <f aca="false">IF(AF23&gt;=P_CORTE,"Alta","Moderada")</f>
        <v>Moderada</v>
      </c>
      <c r="AI23" s="13" t="str">
        <f aca="false">INDEX(PAQ_T,MATCH(AG23&amp;"|"&amp;AH23,PAQ_KEY,0))</f>
        <v>T6</v>
      </c>
      <c r="AJ23" s="8" t="n">
        <v>17</v>
      </c>
      <c r="AK23" s="7" t="s">
        <v>950</v>
      </c>
      <c r="AL23" s="34"/>
      <c r="AM23" s="23"/>
    </row>
    <row r="24" customFormat="false" ht="15" hidden="false" customHeight="false" outlineLevel="0" collapsed="false">
      <c r="A24" s="9" t="s">
        <v>960</v>
      </c>
      <c r="B24" s="9" t="s">
        <v>947</v>
      </c>
      <c r="C24" s="9" t="s">
        <v>948</v>
      </c>
      <c r="D24" s="9" t="s">
        <v>956</v>
      </c>
      <c r="E24" s="36" t="n">
        <v>28.523</v>
      </c>
      <c r="F24" s="36" t="n">
        <v>2169.9</v>
      </c>
      <c r="G24" s="31" t="n">
        <v>0.640099</v>
      </c>
      <c r="H24" s="36" t="n">
        <v>0</v>
      </c>
      <c r="I24" s="36" t="n">
        <v>11.54</v>
      </c>
      <c r="J24" s="36" t="n">
        <v>16.984</v>
      </c>
      <c r="K24" s="36" t="n">
        <v>0</v>
      </c>
      <c r="L24" s="36" t="n">
        <v>0</v>
      </c>
      <c r="M24" s="36" t="n">
        <v>0.83</v>
      </c>
      <c r="N24" s="36" t="n">
        <v>9.413</v>
      </c>
      <c r="O24" s="36" t="n">
        <v>18.29</v>
      </c>
      <c r="P24" s="36" t="n">
        <v>0</v>
      </c>
      <c r="Q24" s="36" t="n">
        <v>0.062</v>
      </c>
      <c r="R24" s="36" t="n">
        <v>0.125</v>
      </c>
      <c r="S24" s="36" t="n">
        <v>3.53</v>
      </c>
      <c r="T24" s="36" t="n">
        <v>24.806</v>
      </c>
      <c r="U24" s="36" t="n">
        <v>0</v>
      </c>
      <c r="V24" s="36" t="n">
        <v>0</v>
      </c>
      <c r="W24" s="36" t="n">
        <v>0.826</v>
      </c>
      <c r="X24" s="36" t="n">
        <v>0.001</v>
      </c>
      <c r="Y24" s="36" t="n">
        <v>27.51</v>
      </c>
      <c r="Z24" s="36" t="n">
        <v>0.186</v>
      </c>
      <c r="AA24" s="12" t="n">
        <v>959</v>
      </c>
      <c r="AB24" s="12" t="n">
        <v>1215</v>
      </c>
      <c r="AC24" s="9" t="s">
        <v>929</v>
      </c>
      <c r="AD24" s="35"/>
      <c r="AE24" s="9" t="s">
        <v>930</v>
      </c>
      <c r="AF24" s="14" t="n">
        <f aca="false">IF(E24=0,0,(K24+L24+M24)/(K24+L24+M24+N24+O24))</f>
        <v>0.0290891248729541</v>
      </c>
      <c r="AG24" s="7" t="str">
        <f aca="false">IF(J24&gt;=MAX(H24,I24),"MOSAICO",IF(H24&gt;=I24,"BES","ANDINO"))</f>
        <v>MOSAICO</v>
      </c>
      <c r="AH24" s="7" t="str">
        <f aca="false">IF(AF24&gt;=P_CORTE,"Alta","Moderada")</f>
        <v>Moderada</v>
      </c>
      <c r="AI24" s="13" t="str">
        <f aca="false">INDEX(PAQ_T,MATCH(AG24&amp;"|"&amp;AH24,PAQ_KEY,0))</f>
        <v>T6</v>
      </c>
      <c r="AJ24" s="8" t="n">
        <v>18</v>
      </c>
      <c r="AK24" s="7" t="s">
        <v>950</v>
      </c>
      <c r="AL24" s="34"/>
      <c r="AM24" s="23"/>
    </row>
    <row r="25" customFormat="false" ht="15" hidden="false" customHeight="false" outlineLevel="0" collapsed="false">
      <c r="A25" s="7" t="s">
        <v>961</v>
      </c>
      <c r="B25" s="7" t="s">
        <v>947</v>
      </c>
      <c r="C25" s="7" t="s">
        <v>948</v>
      </c>
      <c r="D25" s="7" t="s">
        <v>956</v>
      </c>
      <c r="E25" s="34" t="n">
        <v>40.132</v>
      </c>
      <c r="F25" s="34" t="n">
        <v>3160.2</v>
      </c>
      <c r="G25" s="22" t="n">
        <v>0.67447</v>
      </c>
      <c r="H25" s="34" t="n">
        <v>0</v>
      </c>
      <c r="I25" s="34" t="n">
        <v>23.721</v>
      </c>
      <c r="J25" s="34" t="n">
        <v>16.41</v>
      </c>
      <c r="K25" s="34" t="n">
        <v>0</v>
      </c>
      <c r="L25" s="34" t="n">
        <v>0</v>
      </c>
      <c r="M25" s="34" t="n">
        <v>0.245</v>
      </c>
      <c r="N25" s="34" t="n">
        <v>5.987</v>
      </c>
      <c r="O25" s="34" t="n">
        <v>33.909</v>
      </c>
      <c r="P25" s="34" t="n">
        <v>0</v>
      </c>
      <c r="Q25" s="34" t="n">
        <v>0.045</v>
      </c>
      <c r="R25" s="34" t="n">
        <v>0.285</v>
      </c>
      <c r="S25" s="34" t="n">
        <v>3.935</v>
      </c>
      <c r="T25" s="34" t="n">
        <v>35.867</v>
      </c>
      <c r="U25" s="34" t="n">
        <v>0</v>
      </c>
      <c r="V25" s="34" t="n">
        <v>0</v>
      </c>
      <c r="W25" s="34" t="n">
        <v>0.245</v>
      </c>
      <c r="X25" s="34" t="n">
        <v>0</v>
      </c>
      <c r="Y25" s="34" t="n">
        <v>39.557</v>
      </c>
      <c r="Z25" s="34" t="n">
        <v>0.33</v>
      </c>
      <c r="AA25" s="8" t="n">
        <v>19</v>
      </c>
      <c r="AB25" s="8" t="n">
        <v>206</v>
      </c>
      <c r="AC25" s="7" t="s">
        <v>929</v>
      </c>
      <c r="AD25" s="35"/>
      <c r="AE25" s="7" t="s">
        <v>930</v>
      </c>
      <c r="AF25" s="14" t="n">
        <f aca="false">IF(E25=0,0,(K25+L25+M25)/(K25+L25+M25+N25+O25))</f>
        <v>0.00610348521461847</v>
      </c>
      <c r="AG25" s="7" t="str">
        <f aca="false">IF(J25&gt;=MAX(H25,I25),"MOSAICO",IF(H25&gt;=I25,"BES","ANDINO"))</f>
        <v>ANDINO</v>
      </c>
      <c r="AH25" s="7" t="str">
        <f aca="false">IF(AF25&gt;=P_CORTE,"Alta","Moderada")</f>
        <v>Moderada</v>
      </c>
      <c r="AI25" s="13" t="str">
        <f aca="false">INDEX(PAQ_T,MATCH(AG25&amp;"|"&amp;AH25,PAQ_KEY,0))</f>
        <v>T4</v>
      </c>
      <c r="AJ25" s="8" t="n">
        <v>19</v>
      </c>
      <c r="AK25" s="7" t="s">
        <v>950</v>
      </c>
      <c r="AL25" s="34"/>
      <c r="AM25" s="23"/>
    </row>
    <row r="26" customFormat="false" ht="15" hidden="false" customHeight="false" outlineLevel="0" collapsed="false">
      <c r="A26" s="9" t="s">
        <v>51</v>
      </c>
      <c r="B26" s="9" t="s">
        <v>947</v>
      </c>
      <c r="C26" s="9" t="s">
        <v>948</v>
      </c>
      <c r="D26" s="9" t="s">
        <v>956</v>
      </c>
      <c r="E26" s="36" t="n">
        <v>102.335</v>
      </c>
      <c r="F26" s="36" t="n">
        <v>4967.8</v>
      </c>
      <c r="G26" s="31" t="n">
        <v>0.640254</v>
      </c>
      <c r="H26" s="36" t="n">
        <v>19.246</v>
      </c>
      <c r="I26" s="36" t="n">
        <v>6.039</v>
      </c>
      <c r="J26" s="36" t="n">
        <v>77.05</v>
      </c>
      <c r="K26" s="36" t="n">
        <v>0.02</v>
      </c>
      <c r="L26" s="36" t="n">
        <v>0.531</v>
      </c>
      <c r="M26" s="36" t="n">
        <v>8.503</v>
      </c>
      <c r="N26" s="36" t="n">
        <v>32.268</v>
      </c>
      <c r="O26" s="36" t="n">
        <v>61.055</v>
      </c>
      <c r="P26" s="36" t="n">
        <v>0.031</v>
      </c>
      <c r="Q26" s="36" t="n">
        <v>0.565</v>
      </c>
      <c r="R26" s="36" t="n">
        <v>4.158</v>
      </c>
      <c r="S26" s="36" t="n">
        <v>24.336</v>
      </c>
      <c r="T26" s="36" t="n">
        <v>73.246</v>
      </c>
      <c r="U26" s="36" t="n">
        <v>0.547</v>
      </c>
      <c r="V26" s="36" t="n">
        <v>0.003</v>
      </c>
      <c r="W26" s="36" t="n">
        <v>8.419</v>
      </c>
      <c r="X26" s="36" t="n">
        <v>0.078</v>
      </c>
      <c r="Y26" s="36" t="n">
        <v>88.615</v>
      </c>
      <c r="Z26" s="36" t="n">
        <v>4.672</v>
      </c>
      <c r="AA26" s="12" t="n">
        <v>38</v>
      </c>
      <c r="AB26" s="12" t="n">
        <v>663</v>
      </c>
      <c r="AC26" s="9" t="s">
        <v>929</v>
      </c>
      <c r="AD26" s="35"/>
      <c r="AE26" s="38" t="s">
        <v>957</v>
      </c>
      <c r="AF26" s="14" t="n">
        <f aca="false">IF(E26=0,0,(K26+L26+M26)/(K26+L26+M26+N26+O26))</f>
        <v>0.0884378327163328</v>
      </c>
      <c r="AG26" s="7" t="str">
        <f aca="false">IF(J26&gt;=MAX(H26,I26),"MOSAICO",IF(H26&gt;=I26,"BES","ANDINO"))</f>
        <v>MOSAICO</v>
      </c>
      <c r="AH26" s="7" t="str">
        <f aca="false">IF(AF26&gt;=P_CORTE,"Alta","Moderada")</f>
        <v>Moderada</v>
      </c>
      <c r="AI26" s="13" t="str">
        <f aca="false">INDEX(PAQ_T,MATCH(AG26&amp;"|"&amp;AH26,PAQ_KEY,0))</f>
        <v>T6</v>
      </c>
      <c r="AJ26" s="8" t="n">
        <v>20</v>
      </c>
      <c r="AK26" s="7" t="s">
        <v>950</v>
      </c>
      <c r="AL26" s="34"/>
      <c r="AM26" s="23"/>
    </row>
    <row r="27" customFormat="false" ht="15" hidden="false" customHeight="false" outlineLevel="0" collapsed="false">
      <c r="A27" s="7" t="s">
        <v>962</v>
      </c>
      <c r="B27" s="7" t="s">
        <v>947</v>
      </c>
      <c r="C27" s="7" t="s">
        <v>947</v>
      </c>
      <c r="D27" s="7" t="s">
        <v>956</v>
      </c>
      <c r="E27" s="34" t="n">
        <v>35.774</v>
      </c>
      <c r="F27" s="34" t="n">
        <v>2645.8</v>
      </c>
      <c r="G27" s="22" t="n">
        <v>0.525448</v>
      </c>
      <c r="H27" s="34" t="n">
        <v>0</v>
      </c>
      <c r="I27" s="34" t="n">
        <v>0</v>
      </c>
      <c r="J27" s="34" t="n">
        <v>35.774</v>
      </c>
      <c r="K27" s="34" t="n">
        <v>0</v>
      </c>
      <c r="L27" s="34" t="n">
        <v>2.715</v>
      </c>
      <c r="M27" s="34" t="n">
        <v>12.131</v>
      </c>
      <c r="N27" s="34" t="n">
        <v>12.801</v>
      </c>
      <c r="O27" s="34" t="n">
        <v>8.145</v>
      </c>
      <c r="P27" s="34" t="n">
        <v>0.016</v>
      </c>
      <c r="Q27" s="34" t="n">
        <v>0.357</v>
      </c>
      <c r="R27" s="34" t="n">
        <v>1.256</v>
      </c>
      <c r="S27" s="34" t="n">
        <v>8.981</v>
      </c>
      <c r="T27" s="34" t="n">
        <v>25.164</v>
      </c>
      <c r="U27" s="34" t="n">
        <v>2.407</v>
      </c>
      <c r="V27" s="34" t="n">
        <v>0.308</v>
      </c>
      <c r="W27" s="34" t="n">
        <v>11.415</v>
      </c>
      <c r="X27" s="34" t="n">
        <v>0.711</v>
      </c>
      <c r="Y27" s="34" t="n">
        <v>20.323</v>
      </c>
      <c r="Z27" s="34" t="n">
        <v>0.61</v>
      </c>
      <c r="AA27" s="8" t="n">
        <v>196</v>
      </c>
      <c r="AB27" s="8" t="n">
        <v>502</v>
      </c>
      <c r="AC27" s="7" t="s">
        <v>963</v>
      </c>
      <c r="AD27" s="35"/>
      <c r="AE27" s="7" t="s">
        <v>930</v>
      </c>
      <c r="AF27" s="14" t="n">
        <f aca="false">IF(E27=0,0,(K27+L27+M27)/(K27+L27+M27+N27+O27))</f>
        <v>0.414785426911042</v>
      </c>
      <c r="AG27" s="7" t="str">
        <f aca="false">IF(J27&gt;=MAX(H27,I27),"MOSAICO",IF(H27&gt;=I27,"BES","ANDINO"))</f>
        <v>MOSAICO</v>
      </c>
      <c r="AH27" s="7" t="str">
        <f aca="false">IF(AF27&gt;=P_CORTE,"Alta","Moderada")</f>
        <v>Moderada</v>
      </c>
      <c r="AI27" s="13" t="str">
        <f aca="false">INDEX(PAQ_T,MATCH(AG27&amp;"|"&amp;AH27,PAQ_KEY,0))</f>
        <v>T6</v>
      </c>
      <c r="AJ27" s="8" t="n">
        <v>21</v>
      </c>
      <c r="AK27" s="7" t="s">
        <v>964</v>
      </c>
      <c r="AL27" s="34"/>
      <c r="AM27" s="23"/>
    </row>
    <row r="28" customFormat="false" ht="15" hidden="false" customHeight="false" outlineLevel="0" collapsed="false">
      <c r="A28" s="9" t="s">
        <v>965</v>
      </c>
      <c r="B28" s="9" t="s">
        <v>947</v>
      </c>
      <c r="C28" s="9" t="s">
        <v>947</v>
      </c>
      <c r="D28" s="9" t="s">
        <v>956</v>
      </c>
      <c r="E28" s="36" t="n">
        <v>90.903</v>
      </c>
      <c r="F28" s="36" t="n">
        <v>5622.2</v>
      </c>
      <c r="G28" s="31" t="n">
        <v>0.5564</v>
      </c>
      <c r="H28" s="36" t="n">
        <v>0</v>
      </c>
      <c r="I28" s="36" t="n">
        <v>16.267</v>
      </c>
      <c r="J28" s="36" t="n">
        <v>74.636</v>
      </c>
      <c r="K28" s="36" t="n">
        <v>0</v>
      </c>
      <c r="L28" s="36" t="n">
        <v>0.652</v>
      </c>
      <c r="M28" s="36" t="n">
        <v>29.389</v>
      </c>
      <c r="N28" s="36" t="n">
        <v>35.043</v>
      </c>
      <c r="O28" s="36" t="n">
        <v>25.858</v>
      </c>
      <c r="P28" s="36" t="n">
        <v>0.103</v>
      </c>
      <c r="Q28" s="36" t="n">
        <v>3.215</v>
      </c>
      <c r="R28" s="36" t="n">
        <v>10.735</v>
      </c>
      <c r="S28" s="36" t="n">
        <v>46.685</v>
      </c>
      <c r="T28" s="36" t="n">
        <v>30.166</v>
      </c>
      <c r="U28" s="36" t="n">
        <v>0.41</v>
      </c>
      <c r="V28" s="36" t="n">
        <v>0.24</v>
      </c>
      <c r="W28" s="36" t="n">
        <v>25.176</v>
      </c>
      <c r="X28" s="36" t="n">
        <v>4.202</v>
      </c>
      <c r="Y28" s="36" t="n">
        <v>51.265</v>
      </c>
      <c r="Z28" s="36" t="n">
        <v>9.612</v>
      </c>
      <c r="AA28" s="12" t="n">
        <v>0</v>
      </c>
      <c r="AB28" s="12" t="n">
        <v>313</v>
      </c>
      <c r="AC28" s="9" t="s">
        <v>929</v>
      </c>
      <c r="AD28" s="35"/>
      <c r="AE28" s="9" t="s">
        <v>930</v>
      </c>
      <c r="AF28" s="14" t="n">
        <f aca="false">IF(E28=0,0,(K28+L28+M28)/(K28+L28+M28+N28+O28))</f>
        <v>0.330331420025951</v>
      </c>
      <c r="AG28" s="7" t="str">
        <f aca="false">IF(J28&gt;=MAX(H28,I28),"MOSAICO",IF(H28&gt;=I28,"BES","ANDINO"))</f>
        <v>MOSAICO</v>
      </c>
      <c r="AH28" s="7" t="str">
        <f aca="false">IF(AF28&gt;=P_CORTE,"Alta","Moderada")</f>
        <v>Moderada</v>
      </c>
      <c r="AI28" s="13" t="str">
        <f aca="false">INDEX(PAQ_T,MATCH(AG28&amp;"|"&amp;AH28,PAQ_KEY,0))</f>
        <v>T6</v>
      </c>
      <c r="AJ28" s="8" t="n">
        <v>22</v>
      </c>
      <c r="AK28" s="7" t="s">
        <v>964</v>
      </c>
      <c r="AL28" s="34"/>
      <c r="AM28" s="23"/>
    </row>
    <row r="29" customFormat="false" ht="15" hidden="false" customHeight="false" outlineLevel="0" collapsed="false">
      <c r="A29" s="7" t="s">
        <v>966</v>
      </c>
      <c r="B29" s="7" t="s">
        <v>947</v>
      </c>
      <c r="C29" s="7" t="s">
        <v>967</v>
      </c>
      <c r="D29" s="7" t="s">
        <v>968</v>
      </c>
      <c r="E29" s="34" t="n">
        <v>230.098</v>
      </c>
      <c r="F29" s="34" t="n">
        <v>7181.6</v>
      </c>
      <c r="G29" s="22" t="n">
        <v>0.660111</v>
      </c>
      <c r="H29" s="34" t="n">
        <v>0</v>
      </c>
      <c r="I29" s="34" t="n">
        <v>0</v>
      </c>
      <c r="J29" s="34" t="n">
        <v>230.098</v>
      </c>
      <c r="K29" s="34" t="n">
        <v>0.693</v>
      </c>
      <c r="L29" s="34" t="n">
        <v>2.259</v>
      </c>
      <c r="M29" s="34" t="n">
        <v>18.289</v>
      </c>
      <c r="N29" s="34" t="n">
        <v>43.804</v>
      </c>
      <c r="O29" s="34" t="n">
        <v>165.129</v>
      </c>
      <c r="P29" s="34" t="n">
        <v>0.031</v>
      </c>
      <c r="Q29" s="34" t="n">
        <v>0.408</v>
      </c>
      <c r="R29" s="34" t="n">
        <v>2.15</v>
      </c>
      <c r="S29" s="34" t="n">
        <v>28.469</v>
      </c>
      <c r="T29" s="34" t="n">
        <v>199.04</v>
      </c>
      <c r="U29" s="34" t="n">
        <v>2.444</v>
      </c>
      <c r="V29" s="34" t="n">
        <v>0.507</v>
      </c>
      <c r="W29" s="34" t="n">
        <v>18.224</v>
      </c>
      <c r="X29" s="34" t="n">
        <v>0.054</v>
      </c>
      <c r="Y29" s="34" t="n">
        <v>206.842</v>
      </c>
      <c r="Z29" s="34" t="n">
        <v>2.028</v>
      </c>
      <c r="AA29" s="8" t="n">
        <v>29</v>
      </c>
      <c r="AB29" s="8" t="n">
        <v>804</v>
      </c>
      <c r="AC29" s="7" t="s">
        <v>929</v>
      </c>
      <c r="AD29" s="35"/>
      <c r="AE29" s="7" t="s">
        <v>930</v>
      </c>
      <c r="AF29" s="14" t="n">
        <f aca="false">IF(E29=0,0,(K29+L29+M29)/(K29+L29+M29+N29+O29))</f>
        <v>0.0922823603013373</v>
      </c>
      <c r="AG29" s="7" t="str">
        <f aca="false">IF(J29&gt;=MAX(H29,I29),"MOSAICO",IF(H29&gt;=I29,"BES","ANDINO"))</f>
        <v>MOSAICO</v>
      </c>
      <c r="AH29" s="7" t="str">
        <f aca="false">IF(AF29&gt;=P_CORTE,"Alta","Moderada")</f>
        <v>Moderada</v>
      </c>
      <c r="AI29" s="13" t="str">
        <f aca="false">INDEX(PAQ_T,MATCH(AG29&amp;"|"&amp;AH29,PAQ_KEY,0))</f>
        <v>T6</v>
      </c>
      <c r="AJ29" s="8" t="n">
        <v>23</v>
      </c>
      <c r="AK29" s="7" t="s">
        <v>969</v>
      </c>
      <c r="AL29" s="34"/>
      <c r="AM29" s="23"/>
    </row>
    <row r="30" customFormat="false" ht="15" hidden="false" customHeight="false" outlineLevel="0" collapsed="false">
      <c r="A30" s="9" t="s">
        <v>970</v>
      </c>
      <c r="B30" s="9" t="s">
        <v>947</v>
      </c>
      <c r="C30" s="9" t="s">
        <v>967</v>
      </c>
      <c r="D30" s="9" t="s">
        <v>968</v>
      </c>
      <c r="E30" s="36" t="n">
        <v>268.393</v>
      </c>
      <c r="F30" s="36" t="n">
        <v>8005.8</v>
      </c>
      <c r="G30" s="31" t="n">
        <v>0.34753</v>
      </c>
      <c r="H30" s="36" t="n">
        <v>268.347</v>
      </c>
      <c r="I30" s="36" t="n">
        <v>0</v>
      </c>
      <c r="J30" s="36" t="n">
        <v>0.046</v>
      </c>
      <c r="K30" s="36" t="n">
        <v>42.174</v>
      </c>
      <c r="L30" s="36" t="n">
        <v>139.279</v>
      </c>
      <c r="M30" s="36" t="n">
        <v>77.998</v>
      </c>
      <c r="N30" s="36" t="n">
        <v>8.979</v>
      </c>
      <c r="O30" s="36" t="n">
        <v>0.119</v>
      </c>
      <c r="P30" s="36" t="n">
        <v>2.677</v>
      </c>
      <c r="Q30" s="36" t="n">
        <v>14.146</v>
      </c>
      <c r="R30" s="36" t="n">
        <v>54.914</v>
      </c>
      <c r="S30" s="36" t="n">
        <v>149.893</v>
      </c>
      <c r="T30" s="36" t="n">
        <v>46.763</v>
      </c>
      <c r="U30" s="36" t="n">
        <v>118.586</v>
      </c>
      <c r="V30" s="36" t="n">
        <v>62.763</v>
      </c>
      <c r="W30" s="36" t="n">
        <v>69.61</v>
      </c>
      <c r="X30" s="36" t="n">
        <v>8.349</v>
      </c>
      <c r="Y30" s="36" t="n">
        <v>8.459</v>
      </c>
      <c r="Z30" s="36" t="n">
        <v>0.625</v>
      </c>
      <c r="AA30" s="12" t="n">
        <v>26</v>
      </c>
      <c r="AB30" s="12" t="n">
        <v>676</v>
      </c>
      <c r="AC30" s="9" t="s">
        <v>929</v>
      </c>
      <c r="AD30" s="35"/>
      <c r="AE30" s="9" t="s">
        <v>930</v>
      </c>
      <c r="AF30" s="14" t="n">
        <f aca="false">IF(E30=0,0,(K30+L30+M30)/(K30+L30+M30+N30+O30))</f>
        <v>0.966121638881545</v>
      </c>
      <c r="AG30" s="7" t="str">
        <f aca="false">IF(J30&gt;=MAX(H30,I30),"MOSAICO",IF(H30&gt;=I30,"BES","ANDINO"))</f>
        <v>BES</v>
      </c>
      <c r="AH30" s="7" t="str">
        <f aca="false">IF(AF30&gt;=P_CORTE,"Alta","Moderada")</f>
        <v>Alta</v>
      </c>
      <c r="AI30" s="13" t="str">
        <f aca="false">INDEX(PAQ_T,MATCH(AG30&amp;"|"&amp;AH30,PAQ_KEY,0))</f>
        <v>T1</v>
      </c>
      <c r="AJ30" s="8" t="n">
        <v>24</v>
      </c>
      <c r="AK30" s="7" t="s">
        <v>969</v>
      </c>
      <c r="AL30" s="34"/>
      <c r="AM30" s="23"/>
    </row>
    <row r="31" customFormat="false" ht="15" hidden="false" customHeight="false" outlineLevel="0" collapsed="false">
      <c r="A31" s="7" t="s">
        <v>971</v>
      </c>
      <c r="B31" s="7" t="s">
        <v>947</v>
      </c>
      <c r="C31" s="7" t="s">
        <v>967</v>
      </c>
      <c r="D31" s="7" t="s">
        <v>972</v>
      </c>
      <c r="E31" s="34" t="n">
        <v>234.069</v>
      </c>
      <c r="F31" s="34" t="n">
        <v>7427.7</v>
      </c>
      <c r="G31" s="22" t="n">
        <v>0.322153</v>
      </c>
      <c r="H31" s="34" t="n">
        <v>234.069</v>
      </c>
      <c r="I31" s="34" t="n">
        <v>0</v>
      </c>
      <c r="J31" s="34" t="n">
        <v>0</v>
      </c>
      <c r="K31" s="34" t="n">
        <v>51.901</v>
      </c>
      <c r="L31" s="34" t="n">
        <v>138.524</v>
      </c>
      <c r="M31" s="34" t="n">
        <v>40.476</v>
      </c>
      <c r="N31" s="34" t="n">
        <v>3.275</v>
      </c>
      <c r="O31" s="34" t="n">
        <v>0.03</v>
      </c>
      <c r="P31" s="34" t="n">
        <v>0.844</v>
      </c>
      <c r="Q31" s="34" t="n">
        <v>11.38</v>
      </c>
      <c r="R31" s="34" t="n">
        <v>50.819</v>
      </c>
      <c r="S31" s="34" t="n">
        <v>148.462</v>
      </c>
      <c r="T31" s="34" t="n">
        <v>22.564</v>
      </c>
      <c r="U31" s="34" t="n">
        <v>133.613</v>
      </c>
      <c r="V31" s="34" t="n">
        <v>56.713</v>
      </c>
      <c r="W31" s="34" t="n">
        <v>34.709</v>
      </c>
      <c r="X31" s="34" t="n">
        <v>5.739</v>
      </c>
      <c r="Y31" s="34" t="n">
        <v>2.704</v>
      </c>
      <c r="Z31" s="34" t="n">
        <v>0.591</v>
      </c>
      <c r="AA31" s="8" t="n">
        <v>134</v>
      </c>
      <c r="AB31" s="8" t="n">
        <v>828</v>
      </c>
      <c r="AC31" s="7" t="s">
        <v>929</v>
      </c>
      <c r="AD31" s="35"/>
      <c r="AE31" s="7" t="s">
        <v>930</v>
      </c>
      <c r="AF31" s="14" t="n">
        <f aca="false">IF(E31=0,0,(K31+L31+M31)/(K31+L31+M31+N31+O31))</f>
        <v>0.985888491328147</v>
      </c>
      <c r="AG31" s="7" t="str">
        <f aca="false">IF(J31&gt;=MAX(H31,I31),"MOSAICO",IF(H31&gt;=I31,"BES","ANDINO"))</f>
        <v>BES</v>
      </c>
      <c r="AH31" s="7" t="str">
        <f aca="false">IF(AF31&gt;=P_CORTE,"Alta","Moderada")</f>
        <v>Alta</v>
      </c>
      <c r="AI31" s="13" t="str">
        <f aca="false">INDEX(PAQ_T,MATCH(AG31&amp;"|"&amp;AH31,PAQ_KEY,0))</f>
        <v>T1</v>
      </c>
      <c r="AJ31" s="8" t="n">
        <v>25</v>
      </c>
      <c r="AK31" s="7" t="s">
        <v>969</v>
      </c>
      <c r="AL31" s="34"/>
      <c r="AM31" s="23"/>
    </row>
    <row r="32" customFormat="false" ht="15" hidden="false" customHeight="false" outlineLevel="0" collapsed="false">
      <c r="A32" s="9" t="s">
        <v>973</v>
      </c>
      <c r="B32" s="9" t="s">
        <v>947</v>
      </c>
      <c r="C32" s="9" t="s">
        <v>967</v>
      </c>
      <c r="D32" s="9" t="s">
        <v>972</v>
      </c>
      <c r="E32" s="36" t="n">
        <v>289.914</v>
      </c>
      <c r="F32" s="36" t="n">
        <v>9333.8</v>
      </c>
      <c r="G32" s="31" t="n">
        <v>0.319788</v>
      </c>
      <c r="H32" s="36" t="n">
        <v>289.914</v>
      </c>
      <c r="I32" s="36" t="n">
        <v>0</v>
      </c>
      <c r="J32" s="36" t="n">
        <v>0</v>
      </c>
      <c r="K32" s="36" t="n">
        <v>60.464</v>
      </c>
      <c r="L32" s="36" t="n">
        <v>182.678</v>
      </c>
      <c r="M32" s="36" t="n">
        <v>44.711</v>
      </c>
      <c r="N32" s="36" t="n">
        <v>2.212</v>
      </c>
      <c r="O32" s="36" t="n">
        <v>0.01</v>
      </c>
      <c r="P32" s="36" t="n">
        <v>0.445</v>
      </c>
      <c r="Q32" s="36" t="n">
        <v>17.534</v>
      </c>
      <c r="R32" s="36" t="n">
        <v>81.049</v>
      </c>
      <c r="S32" s="36" t="n">
        <v>172.371</v>
      </c>
      <c r="T32" s="36" t="n">
        <v>18.515</v>
      </c>
      <c r="U32" s="36" t="n">
        <v>149.3</v>
      </c>
      <c r="V32" s="36" t="n">
        <v>93.719</v>
      </c>
      <c r="W32" s="36" t="n">
        <v>39.611</v>
      </c>
      <c r="X32" s="36" t="n">
        <v>5.066</v>
      </c>
      <c r="Y32" s="36" t="n">
        <v>1.975</v>
      </c>
      <c r="Z32" s="36" t="n">
        <v>0.244</v>
      </c>
      <c r="AA32" s="12" t="n">
        <v>0</v>
      </c>
      <c r="AB32" s="12" t="n">
        <v>525</v>
      </c>
      <c r="AC32" s="9" t="s">
        <v>929</v>
      </c>
      <c r="AD32" s="35"/>
      <c r="AE32" s="9" t="s">
        <v>930</v>
      </c>
      <c r="AF32" s="14" t="n">
        <f aca="false">IF(E32=0,0,(K32+L32+M32)/(K32+L32+M32+N32+O32))</f>
        <v>0.992339912091701</v>
      </c>
      <c r="AG32" s="7" t="str">
        <f aca="false">IF(J32&gt;=MAX(H32,I32),"MOSAICO",IF(H32&gt;=I32,"BES","ANDINO"))</f>
        <v>BES</v>
      </c>
      <c r="AH32" s="7" t="str">
        <f aca="false">IF(AF32&gt;=P_CORTE,"Alta","Moderada")</f>
        <v>Alta</v>
      </c>
      <c r="AI32" s="13" t="str">
        <f aca="false">INDEX(PAQ_T,MATCH(AG32&amp;"|"&amp;AH32,PAQ_KEY,0))</f>
        <v>T1</v>
      </c>
      <c r="AJ32" s="8" t="n">
        <v>26</v>
      </c>
      <c r="AK32" s="7" t="s">
        <v>969</v>
      </c>
      <c r="AL32" s="34"/>
      <c r="AM32" s="23"/>
    </row>
    <row r="33" customFormat="false" ht="15" hidden="false" customHeight="false" outlineLevel="0" collapsed="false">
      <c r="A33" s="7" t="s">
        <v>974</v>
      </c>
      <c r="B33" s="7" t="s">
        <v>947</v>
      </c>
      <c r="C33" s="7" t="s">
        <v>967</v>
      </c>
      <c r="D33" s="7" t="s">
        <v>975</v>
      </c>
      <c r="E33" s="34" t="n">
        <v>103.617</v>
      </c>
      <c r="F33" s="34" t="n">
        <v>5009.1</v>
      </c>
      <c r="G33" s="22" t="n">
        <v>0.640219</v>
      </c>
      <c r="H33" s="34" t="n">
        <v>94.298</v>
      </c>
      <c r="I33" s="34" t="n">
        <v>0</v>
      </c>
      <c r="J33" s="34" t="n">
        <v>9.319</v>
      </c>
      <c r="K33" s="34" t="n">
        <v>0</v>
      </c>
      <c r="L33" s="34" t="n">
        <v>0</v>
      </c>
      <c r="M33" s="34" t="n">
        <v>3.114</v>
      </c>
      <c r="N33" s="34" t="n">
        <v>31.503</v>
      </c>
      <c r="O33" s="34" t="n">
        <v>69.033</v>
      </c>
      <c r="P33" s="34" t="n">
        <v>0.016</v>
      </c>
      <c r="Q33" s="34" t="n">
        <v>0.211</v>
      </c>
      <c r="R33" s="34" t="n">
        <v>1.234</v>
      </c>
      <c r="S33" s="34" t="n">
        <v>22.999</v>
      </c>
      <c r="T33" s="34" t="n">
        <v>79.158</v>
      </c>
      <c r="U33" s="34" t="n">
        <v>0</v>
      </c>
      <c r="V33" s="34" t="n">
        <v>0</v>
      </c>
      <c r="W33" s="34" t="n">
        <v>3.028</v>
      </c>
      <c r="X33" s="34" t="n">
        <v>0.083</v>
      </c>
      <c r="Y33" s="34" t="n">
        <v>99.128</v>
      </c>
      <c r="Z33" s="34" t="n">
        <v>1.378</v>
      </c>
      <c r="AA33" s="8" t="n">
        <v>0</v>
      </c>
      <c r="AB33" s="8" t="n">
        <v>626</v>
      </c>
      <c r="AC33" s="7" t="s">
        <v>929</v>
      </c>
      <c r="AD33" s="35"/>
      <c r="AE33" s="7" t="s">
        <v>930</v>
      </c>
      <c r="AF33" s="14" t="n">
        <f aca="false">IF(E33=0,0,(K33+L33+M33)/(K33+L33+M33+N33+O33))</f>
        <v>0.0300434153400868</v>
      </c>
      <c r="AG33" s="7" t="str">
        <f aca="false">IF(J33&gt;=MAX(H33,I33),"MOSAICO",IF(H33&gt;=I33,"BES","ANDINO"))</f>
        <v>BES</v>
      </c>
      <c r="AH33" s="7" t="str">
        <f aca="false">IF(AF33&gt;=P_CORTE,"Alta","Moderada")</f>
        <v>Moderada</v>
      </c>
      <c r="AI33" s="13" t="str">
        <f aca="false">INDEX(PAQ_T,MATCH(AG33&amp;"|"&amp;AH33,PAQ_KEY,0))</f>
        <v>T2</v>
      </c>
      <c r="AJ33" s="8" t="n">
        <v>27</v>
      </c>
      <c r="AK33" s="7" t="s">
        <v>969</v>
      </c>
      <c r="AL33" s="34"/>
      <c r="AM33" s="23" t="s">
        <v>944</v>
      </c>
    </row>
    <row r="34" customFormat="false" ht="15" hidden="false" customHeight="false" outlineLevel="0" collapsed="false">
      <c r="A34" s="9" t="s">
        <v>976</v>
      </c>
      <c r="B34" s="9" t="s">
        <v>947</v>
      </c>
      <c r="C34" s="9" t="s">
        <v>967</v>
      </c>
      <c r="D34" s="9" t="s">
        <v>975</v>
      </c>
      <c r="E34" s="36" t="n">
        <v>82.088</v>
      </c>
      <c r="F34" s="36" t="n">
        <v>4507.3</v>
      </c>
      <c r="G34" s="31" t="n">
        <v>0.537184</v>
      </c>
      <c r="H34" s="36" t="n">
        <v>0</v>
      </c>
      <c r="I34" s="36" t="n">
        <v>42.246</v>
      </c>
      <c r="J34" s="36" t="n">
        <v>39.842</v>
      </c>
      <c r="K34" s="36" t="n">
        <v>0.006</v>
      </c>
      <c r="L34" s="36" t="n">
        <v>2.884</v>
      </c>
      <c r="M34" s="36" t="n">
        <v>32.117</v>
      </c>
      <c r="N34" s="36" t="n">
        <v>25.095</v>
      </c>
      <c r="O34" s="36" t="n">
        <v>22.008</v>
      </c>
      <c r="P34" s="36" t="n">
        <v>0.016</v>
      </c>
      <c r="Q34" s="36" t="n">
        <v>0.203</v>
      </c>
      <c r="R34" s="36" t="n">
        <v>1.343</v>
      </c>
      <c r="S34" s="36" t="n">
        <v>14.948</v>
      </c>
      <c r="T34" s="36" t="n">
        <v>65.578</v>
      </c>
      <c r="U34" s="36" t="n">
        <v>2.886</v>
      </c>
      <c r="V34" s="36" t="n">
        <v>0.002</v>
      </c>
      <c r="W34" s="36" t="n">
        <v>31.705</v>
      </c>
      <c r="X34" s="36" t="n">
        <v>0.404</v>
      </c>
      <c r="Y34" s="36" t="n">
        <v>45.935</v>
      </c>
      <c r="Z34" s="36" t="n">
        <v>1.156</v>
      </c>
      <c r="AA34" s="12" t="n">
        <v>1161</v>
      </c>
      <c r="AB34" s="12" t="n">
        <v>1578</v>
      </c>
      <c r="AC34" s="9" t="s">
        <v>929</v>
      </c>
      <c r="AD34" s="35"/>
      <c r="AE34" s="9" t="s">
        <v>930</v>
      </c>
      <c r="AF34" s="14" t="n">
        <f aca="false">IF(E34=0,0,(K34+L34+M34)/(K34+L34+M34+N34+O34))</f>
        <v>0.426342710997442</v>
      </c>
      <c r="AG34" s="7" t="str">
        <f aca="false">IF(J34&gt;=MAX(H34,I34),"MOSAICO",IF(H34&gt;=I34,"BES","ANDINO"))</f>
        <v>ANDINO</v>
      </c>
      <c r="AH34" s="7" t="str">
        <f aca="false">IF(AF34&gt;=P_CORTE,"Alta","Moderada")</f>
        <v>Moderada</v>
      </c>
      <c r="AI34" s="13" t="str">
        <f aca="false">INDEX(PAQ_T,MATCH(AG34&amp;"|"&amp;AH34,PAQ_KEY,0))</f>
        <v>T4</v>
      </c>
      <c r="AJ34" s="8" t="n">
        <v>28</v>
      </c>
      <c r="AK34" s="7" t="s">
        <v>969</v>
      </c>
      <c r="AL34" s="34"/>
      <c r="AM34" s="23" t="s">
        <v>944</v>
      </c>
    </row>
    <row r="35" customFormat="false" ht="15" hidden="false" customHeight="false" outlineLevel="0" collapsed="false">
      <c r="A35" s="7" t="s">
        <v>53</v>
      </c>
      <c r="B35" s="7" t="s">
        <v>947</v>
      </c>
      <c r="C35" s="7" t="s">
        <v>967</v>
      </c>
      <c r="D35" s="7" t="s">
        <v>975</v>
      </c>
      <c r="E35" s="34" t="n">
        <v>47.581</v>
      </c>
      <c r="F35" s="34" t="n">
        <v>5706.2</v>
      </c>
      <c r="G35" s="22" t="n">
        <v>0.435805</v>
      </c>
      <c r="H35" s="34" t="n">
        <v>0</v>
      </c>
      <c r="I35" s="34" t="n">
        <v>47.581</v>
      </c>
      <c r="J35" s="34" t="n">
        <v>0</v>
      </c>
      <c r="K35" s="34" t="n">
        <v>0.579</v>
      </c>
      <c r="L35" s="34" t="n">
        <v>11.052</v>
      </c>
      <c r="M35" s="34" t="n">
        <v>25.696</v>
      </c>
      <c r="N35" s="34" t="n">
        <v>7.473</v>
      </c>
      <c r="O35" s="34" t="n">
        <v>2.803</v>
      </c>
      <c r="P35" s="34" t="n">
        <v>0.031</v>
      </c>
      <c r="Q35" s="34" t="n">
        <v>0.39</v>
      </c>
      <c r="R35" s="34" t="n">
        <v>1.24</v>
      </c>
      <c r="S35" s="34" t="n">
        <v>14.909</v>
      </c>
      <c r="T35" s="34" t="n">
        <v>31.011</v>
      </c>
      <c r="U35" s="34" t="n">
        <v>11</v>
      </c>
      <c r="V35" s="34" t="n">
        <v>0.624</v>
      </c>
      <c r="W35" s="34" t="n">
        <v>24.986</v>
      </c>
      <c r="X35" s="34" t="n">
        <v>0.701</v>
      </c>
      <c r="Y35" s="34" t="n">
        <v>9.934</v>
      </c>
      <c r="Z35" s="34" t="n">
        <v>0.336</v>
      </c>
      <c r="AA35" s="8" t="n">
        <v>0</v>
      </c>
      <c r="AB35" s="8" t="n">
        <v>774</v>
      </c>
      <c r="AC35" s="7" t="s">
        <v>929</v>
      </c>
      <c r="AD35" s="35"/>
      <c r="AE35" s="37" t="s">
        <v>957</v>
      </c>
      <c r="AF35" s="14" t="n">
        <f aca="false">IF(E35=0,0,(K35+L35+M35)/(K35+L35+M35+N35+O35))</f>
        <v>0.784131252232002</v>
      </c>
      <c r="AG35" s="7" t="str">
        <f aca="false">IF(J35&gt;=MAX(H35,I35),"MOSAICO",IF(H35&gt;=I35,"BES","ANDINO"))</f>
        <v>ANDINO</v>
      </c>
      <c r="AH35" s="7" t="str">
        <f aca="false">IF(AF35&gt;=P_CORTE,"Alta","Moderada")</f>
        <v>Alta</v>
      </c>
      <c r="AI35" s="13" t="str">
        <f aca="false">INDEX(PAQ_T,MATCH(AG35&amp;"|"&amp;AH35,PAQ_KEY,0))</f>
        <v>T3</v>
      </c>
      <c r="AJ35" s="8" t="n">
        <v>29</v>
      </c>
      <c r="AK35" s="7" t="s">
        <v>969</v>
      </c>
      <c r="AL35" s="34"/>
      <c r="AM35" s="23" t="s">
        <v>944</v>
      </c>
    </row>
    <row r="36" customFormat="false" ht="15" hidden="false" customHeight="false" outlineLevel="0" collapsed="false">
      <c r="A36" s="9" t="s">
        <v>977</v>
      </c>
      <c r="B36" s="9" t="s">
        <v>947</v>
      </c>
      <c r="C36" s="9" t="s">
        <v>967</v>
      </c>
      <c r="D36" s="9" t="s">
        <v>975</v>
      </c>
      <c r="E36" s="36" t="n">
        <v>64.923</v>
      </c>
      <c r="F36" s="36" t="n">
        <v>4653.2</v>
      </c>
      <c r="G36" s="31" t="n">
        <v>0.592669</v>
      </c>
      <c r="H36" s="36" t="n">
        <v>0</v>
      </c>
      <c r="I36" s="36" t="n">
        <v>0</v>
      </c>
      <c r="J36" s="36" t="n">
        <v>64.923</v>
      </c>
      <c r="K36" s="36" t="n">
        <v>0</v>
      </c>
      <c r="L36" s="36" t="n">
        <v>0.244</v>
      </c>
      <c r="M36" s="36" t="n">
        <v>7.719</v>
      </c>
      <c r="N36" s="36" t="n">
        <v>29.546</v>
      </c>
      <c r="O36" s="36" t="n">
        <v>27.428</v>
      </c>
      <c r="P36" s="36" t="n">
        <v>0</v>
      </c>
      <c r="Q36" s="36" t="n">
        <v>0.047</v>
      </c>
      <c r="R36" s="36" t="n">
        <v>1.561</v>
      </c>
      <c r="S36" s="36" t="n">
        <v>25.096</v>
      </c>
      <c r="T36" s="36" t="n">
        <v>38.219</v>
      </c>
      <c r="U36" s="36" t="n">
        <v>0.24</v>
      </c>
      <c r="V36" s="36" t="n">
        <v>0.003</v>
      </c>
      <c r="W36" s="36" t="n">
        <v>7.569</v>
      </c>
      <c r="X36" s="36" t="n">
        <v>0.15</v>
      </c>
      <c r="Y36" s="36" t="n">
        <v>55.507</v>
      </c>
      <c r="Z36" s="36" t="n">
        <v>1.455</v>
      </c>
      <c r="AA36" s="12" t="n">
        <v>853</v>
      </c>
      <c r="AB36" s="12" t="n">
        <v>1235</v>
      </c>
      <c r="AC36" s="9" t="s">
        <v>929</v>
      </c>
      <c r="AD36" s="35"/>
      <c r="AE36" s="9" t="s">
        <v>930</v>
      </c>
      <c r="AF36" s="14" t="n">
        <f aca="false">IF(E36=0,0,(K36+L36+M36)/(K36+L36+M36+N36+O36))</f>
        <v>0.122626545728937</v>
      </c>
      <c r="AG36" s="7" t="str">
        <f aca="false">IF(J36&gt;=MAX(H36,I36),"MOSAICO",IF(H36&gt;=I36,"BES","ANDINO"))</f>
        <v>MOSAICO</v>
      </c>
      <c r="AH36" s="7" t="str">
        <f aca="false">IF(AF36&gt;=P_CORTE,"Alta","Moderada")</f>
        <v>Moderada</v>
      </c>
      <c r="AI36" s="13" t="str">
        <f aca="false">INDEX(PAQ_T,MATCH(AG36&amp;"|"&amp;AH36,PAQ_KEY,0))</f>
        <v>T6</v>
      </c>
      <c r="AJ36" s="8" t="n">
        <v>30</v>
      </c>
      <c r="AK36" s="7" t="s">
        <v>969</v>
      </c>
      <c r="AL36" s="34"/>
      <c r="AM36" s="23" t="s">
        <v>944</v>
      </c>
    </row>
    <row r="37" customFormat="false" ht="15" hidden="false" customHeight="false" outlineLevel="0" collapsed="false">
      <c r="A37" s="7" t="s">
        <v>978</v>
      </c>
      <c r="B37" s="7" t="s">
        <v>947</v>
      </c>
      <c r="C37" s="7" t="s">
        <v>967</v>
      </c>
      <c r="D37" s="7" t="s">
        <v>975</v>
      </c>
      <c r="E37" s="34" t="n">
        <v>13.065</v>
      </c>
      <c r="F37" s="34" t="n">
        <v>2208.6</v>
      </c>
      <c r="G37" s="22" t="n">
        <v>0.596277</v>
      </c>
      <c r="H37" s="34" t="n">
        <v>0</v>
      </c>
      <c r="I37" s="34" t="n">
        <v>13.065</v>
      </c>
      <c r="J37" s="34" t="n">
        <v>0</v>
      </c>
      <c r="K37" s="34" t="n">
        <v>0</v>
      </c>
      <c r="L37" s="34" t="n">
        <v>0.099</v>
      </c>
      <c r="M37" s="34" t="n">
        <v>1.529</v>
      </c>
      <c r="N37" s="34" t="n">
        <v>5.865</v>
      </c>
      <c r="O37" s="34" t="n">
        <v>5.577</v>
      </c>
      <c r="P37" s="34" t="n">
        <v>0.016</v>
      </c>
      <c r="Q37" s="34" t="n">
        <v>0.196</v>
      </c>
      <c r="R37" s="34" t="n">
        <v>0.641</v>
      </c>
      <c r="S37" s="34" t="n">
        <v>3.667</v>
      </c>
      <c r="T37" s="34" t="n">
        <v>8.545</v>
      </c>
      <c r="U37" s="34" t="n">
        <v>0.099</v>
      </c>
      <c r="V37" s="34" t="n">
        <v>0</v>
      </c>
      <c r="W37" s="34" t="n">
        <v>1.4</v>
      </c>
      <c r="X37" s="34" t="n">
        <v>0.127</v>
      </c>
      <c r="Y37" s="34" t="n">
        <v>10.713</v>
      </c>
      <c r="Z37" s="34" t="n">
        <v>0.726</v>
      </c>
      <c r="AA37" s="8" t="n">
        <v>214</v>
      </c>
      <c r="AB37" s="8" t="n">
        <v>384</v>
      </c>
      <c r="AC37" s="7" t="s">
        <v>929</v>
      </c>
      <c r="AD37" s="35"/>
      <c r="AE37" s="7" t="s">
        <v>930</v>
      </c>
      <c r="AF37" s="14" t="n">
        <f aca="false">IF(E37=0,0,(K37+L37+M37)/(K37+L37+M37+N37+O37))</f>
        <v>0.124560061208875</v>
      </c>
      <c r="AG37" s="7" t="str">
        <f aca="false">IF(J37&gt;=MAX(H37,I37),"MOSAICO",IF(H37&gt;=I37,"BES","ANDINO"))</f>
        <v>ANDINO</v>
      </c>
      <c r="AH37" s="7" t="str">
        <f aca="false">IF(AF37&gt;=P_CORTE,"Alta","Moderada")</f>
        <v>Moderada</v>
      </c>
      <c r="AI37" s="13" t="str">
        <f aca="false">INDEX(PAQ_T,MATCH(AG37&amp;"|"&amp;AH37,PAQ_KEY,0))</f>
        <v>T4</v>
      </c>
      <c r="AJ37" s="8" t="n">
        <v>31</v>
      </c>
      <c r="AK37" s="7" t="s">
        <v>969</v>
      </c>
      <c r="AL37" s="34"/>
      <c r="AM37" s="23" t="s">
        <v>944</v>
      </c>
    </row>
    <row r="38" customFormat="false" ht="15" hidden="false" customHeight="false" outlineLevel="0" collapsed="false">
      <c r="A38" s="9" t="s">
        <v>979</v>
      </c>
      <c r="B38" s="9" t="s">
        <v>947</v>
      </c>
      <c r="C38" s="9" t="s">
        <v>967</v>
      </c>
      <c r="D38" s="9" t="s">
        <v>975</v>
      </c>
      <c r="E38" s="36" t="n">
        <v>19.425</v>
      </c>
      <c r="F38" s="36" t="n">
        <v>2260.3</v>
      </c>
      <c r="G38" s="31" t="n">
        <v>0.448926</v>
      </c>
      <c r="H38" s="36" t="n">
        <v>0</v>
      </c>
      <c r="I38" s="36" t="n">
        <v>19.03</v>
      </c>
      <c r="J38" s="36" t="n">
        <v>0.395</v>
      </c>
      <c r="K38" s="36" t="n">
        <v>0</v>
      </c>
      <c r="L38" s="36" t="n">
        <v>2.481</v>
      </c>
      <c r="M38" s="36" t="n">
        <v>13.313</v>
      </c>
      <c r="N38" s="36" t="n">
        <v>1.973</v>
      </c>
      <c r="O38" s="36" t="n">
        <v>1.667</v>
      </c>
      <c r="P38" s="36" t="n">
        <v>0</v>
      </c>
      <c r="Q38" s="36" t="n">
        <v>0.187</v>
      </c>
      <c r="R38" s="36" t="n">
        <v>0.232</v>
      </c>
      <c r="S38" s="36" t="n">
        <v>4.074</v>
      </c>
      <c r="T38" s="36" t="n">
        <v>14.933</v>
      </c>
      <c r="U38" s="36" t="n">
        <v>2.476</v>
      </c>
      <c r="V38" s="36" t="n">
        <v>0</v>
      </c>
      <c r="W38" s="36" t="n">
        <v>12.907</v>
      </c>
      <c r="X38" s="36" t="n">
        <v>0.404</v>
      </c>
      <c r="Y38" s="36" t="n">
        <v>3.623</v>
      </c>
      <c r="Z38" s="36" t="n">
        <v>0.015</v>
      </c>
      <c r="AA38" s="12" t="n">
        <v>402</v>
      </c>
      <c r="AB38" s="12" t="n">
        <v>867</v>
      </c>
      <c r="AC38" s="9" t="s">
        <v>929</v>
      </c>
      <c r="AD38" s="35"/>
      <c r="AE38" s="9" t="s">
        <v>930</v>
      </c>
      <c r="AF38" s="14" t="n">
        <f aca="false">IF(E38=0,0,(K38+L38+M38)/(K38+L38+M38+N38+O38))</f>
        <v>0.812699392816713</v>
      </c>
      <c r="AG38" s="7" t="str">
        <f aca="false">IF(J38&gt;=MAX(H38,I38),"MOSAICO",IF(H38&gt;=I38,"BES","ANDINO"))</f>
        <v>ANDINO</v>
      </c>
      <c r="AH38" s="7" t="str">
        <f aca="false">IF(AF38&gt;=P_CORTE,"Alta","Moderada")</f>
        <v>Alta</v>
      </c>
      <c r="AI38" s="13" t="str">
        <f aca="false">INDEX(PAQ_T,MATCH(AG38&amp;"|"&amp;AH38,PAQ_KEY,0))</f>
        <v>T3</v>
      </c>
      <c r="AJ38" s="8" t="n">
        <v>32</v>
      </c>
      <c r="AK38" s="7" t="s">
        <v>969</v>
      </c>
      <c r="AL38" s="34"/>
      <c r="AM38" s="23" t="s">
        <v>944</v>
      </c>
    </row>
    <row r="39" customFormat="false" ht="15" hidden="false" customHeight="false" outlineLevel="0" collapsed="false">
      <c r="A39" s="7" t="s">
        <v>980</v>
      </c>
      <c r="B39" s="7" t="s">
        <v>947</v>
      </c>
      <c r="C39" s="7" t="s">
        <v>967</v>
      </c>
      <c r="D39" s="7" t="s">
        <v>975</v>
      </c>
      <c r="E39" s="34" t="n">
        <v>22.388</v>
      </c>
      <c r="F39" s="34" t="n">
        <v>2128.2</v>
      </c>
      <c r="G39" s="22" t="n">
        <v>0.622295</v>
      </c>
      <c r="H39" s="34" t="n">
        <v>0</v>
      </c>
      <c r="I39" s="34" t="n">
        <v>22.127</v>
      </c>
      <c r="J39" s="34" t="n">
        <v>0.261</v>
      </c>
      <c r="K39" s="34" t="n">
        <v>0</v>
      </c>
      <c r="L39" s="34" t="n">
        <v>0</v>
      </c>
      <c r="M39" s="34" t="n">
        <v>1.091</v>
      </c>
      <c r="N39" s="34" t="n">
        <v>8.435</v>
      </c>
      <c r="O39" s="34" t="n">
        <v>12.868</v>
      </c>
      <c r="P39" s="34" t="n">
        <v>0</v>
      </c>
      <c r="Q39" s="34" t="n">
        <v>0.375</v>
      </c>
      <c r="R39" s="34" t="n">
        <v>2.48</v>
      </c>
      <c r="S39" s="34" t="n">
        <v>7.894</v>
      </c>
      <c r="T39" s="34" t="n">
        <v>11.639</v>
      </c>
      <c r="U39" s="34" t="n">
        <v>0</v>
      </c>
      <c r="V39" s="34" t="n">
        <v>0</v>
      </c>
      <c r="W39" s="34" t="n">
        <v>0.528</v>
      </c>
      <c r="X39" s="34" t="n">
        <v>0.562</v>
      </c>
      <c r="Y39" s="34" t="n">
        <v>19.006</v>
      </c>
      <c r="Z39" s="34" t="n">
        <v>2.292</v>
      </c>
      <c r="AA39" s="8" t="n">
        <v>2</v>
      </c>
      <c r="AB39" s="8" t="n">
        <v>202</v>
      </c>
      <c r="AC39" s="7" t="s">
        <v>929</v>
      </c>
      <c r="AD39" s="35"/>
      <c r="AE39" s="7" t="s">
        <v>930</v>
      </c>
      <c r="AF39" s="14" t="n">
        <f aca="false">IF(E39=0,0,(K39+L39+M39)/(K39+L39+M39+N39+O39))</f>
        <v>0.0487184067160847</v>
      </c>
      <c r="AG39" s="7" t="str">
        <f aca="false">IF(J39&gt;=MAX(H39,I39),"MOSAICO",IF(H39&gt;=I39,"BES","ANDINO"))</f>
        <v>ANDINO</v>
      </c>
      <c r="AH39" s="7" t="str">
        <f aca="false">IF(AF39&gt;=P_CORTE,"Alta","Moderada")</f>
        <v>Moderada</v>
      </c>
      <c r="AI39" s="13" t="str">
        <f aca="false">INDEX(PAQ_T,MATCH(AG39&amp;"|"&amp;AH39,PAQ_KEY,0))</f>
        <v>T4</v>
      </c>
      <c r="AJ39" s="8" t="n">
        <v>33</v>
      </c>
      <c r="AK39" s="7" t="s">
        <v>969</v>
      </c>
      <c r="AL39" s="34"/>
      <c r="AM39" s="23" t="s">
        <v>944</v>
      </c>
    </row>
    <row r="40" customFormat="false" ht="15" hidden="false" customHeight="false" outlineLevel="0" collapsed="false">
      <c r="A40" s="9" t="s">
        <v>981</v>
      </c>
      <c r="B40" s="9" t="s">
        <v>947</v>
      </c>
      <c r="C40" s="9" t="s">
        <v>967</v>
      </c>
      <c r="D40" s="9" t="s">
        <v>975</v>
      </c>
      <c r="E40" s="36" t="n">
        <v>12.398</v>
      </c>
      <c r="F40" s="36" t="n">
        <v>1390</v>
      </c>
      <c r="G40" s="31" t="n">
        <v>0.518477</v>
      </c>
      <c r="H40" s="36" t="n">
        <v>0</v>
      </c>
      <c r="I40" s="36" t="n">
        <v>0</v>
      </c>
      <c r="J40" s="36" t="n">
        <v>12.398</v>
      </c>
      <c r="K40" s="36" t="n">
        <v>0</v>
      </c>
      <c r="L40" s="36" t="n">
        <v>0.081</v>
      </c>
      <c r="M40" s="36" t="n">
        <v>5.047</v>
      </c>
      <c r="N40" s="36" t="n">
        <v>6.077</v>
      </c>
      <c r="O40" s="36" t="n">
        <v>1.195</v>
      </c>
      <c r="P40" s="36" t="n">
        <v>0</v>
      </c>
      <c r="Q40" s="36" t="n">
        <v>0</v>
      </c>
      <c r="R40" s="36" t="n">
        <v>0</v>
      </c>
      <c r="S40" s="36" t="n">
        <v>2.904</v>
      </c>
      <c r="T40" s="36" t="n">
        <v>9.494</v>
      </c>
      <c r="U40" s="36" t="n">
        <v>0.081</v>
      </c>
      <c r="V40" s="36" t="n">
        <v>0</v>
      </c>
      <c r="W40" s="36" t="n">
        <v>5.046</v>
      </c>
      <c r="X40" s="36" t="n">
        <v>0</v>
      </c>
      <c r="Y40" s="36" t="n">
        <v>7.271</v>
      </c>
      <c r="Z40" s="36" t="n">
        <v>0</v>
      </c>
      <c r="AA40" s="12" t="n">
        <v>770</v>
      </c>
      <c r="AB40" s="12" t="n">
        <v>942</v>
      </c>
      <c r="AC40" s="9" t="s">
        <v>929</v>
      </c>
      <c r="AD40" s="35"/>
      <c r="AE40" s="9" t="s">
        <v>930</v>
      </c>
      <c r="AF40" s="14" t="n">
        <f aca="false">IF(E40=0,0,(K40+L40+M40)/(K40+L40+M40+N40+O40))</f>
        <v>0.413548387096774</v>
      </c>
      <c r="AG40" s="7" t="str">
        <f aca="false">IF(J40&gt;=MAX(H40,I40),"MOSAICO",IF(H40&gt;=I40,"BES","ANDINO"))</f>
        <v>MOSAICO</v>
      </c>
      <c r="AH40" s="7" t="str">
        <f aca="false">IF(AF40&gt;=P_CORTE,"Alta","Moderada")</f>
        <v>Moderada</v>
      </c>
      <c r="AI40" s="13" t="str">
        <f aca="false">INDEX(PAQ_T,MATCH(AG40&amp;"|"&amp;AH40,PAQ_KEY,0))</f>
        <v>T6</v>
      </c>
      <c r="AJ40" s="8" t="n">
        <v>34</v>
      </c>
      <c r="AK40" s="7" t="s">
        <v>969</v>
      </c>
      <c r="AL40" s="34"/>
      <c r="AM40" s="23" t="s">
        <v>944</v>
      </c>
    </row>
    <row r="41" customFormat="false" ht="15" hidden="false" customHeight="false" outlineLevel="0" collapsed="false">
      <c r="A41" s="7" t="s">
        <v>52</v>
      </c>
      <c r="B41" s="7" t="s">
        <v>947</v>
      </c>
      <c r="C41" s="7" t="s">
        <v>967</v>
      </c>
      <c r="D41" s="7" t="s">
        <v>975</v>
      </c>
      <c r="E41" s="34" t="n">
        <v>54.29</v>
      </c>
      <c r="F41" s="34" t="n">
        <v>3135.9</v>
      </c>
      <c r="G41" s="22" t="n">
        <v>0.554974</v>
      </c>
      <c r="H41" s="34" t="n">
        <v>0</v>
      </c>
      <c r="I41" s="34" t="n">
        <v>0</v>
      </c>
      <c r="J41" s="34" t="n">
        <v>54.29</v>
      </c>
      <c r="K41" s="34" t="n">
        <v>0</v>
      </c>
      <c r="L41" s="34" t="n">
        <v>0.962</v>
      </c>
      <c r="M41" s="34" t="n">
        <v>9.321</v>
      </c>
      <c r="N41" s="34" t="n">
        <v>32.849</v>
      </c>
      <c r="O41" s="34" t="n">
        <v>11.174</v>
      </c>
      <c r="P41" s="34" t="n">
        <v>0</v>
      </c>
      <c r="Q41" s="34" t="n">
        <v>0</v>
      </c>
      <c r="R41" s="34" t="n">
        <v>0.047</v>
      </c>
      <c r="S41" s="34" t="n">
        <v>2.32</v>
      </c>
      <c r="T41" s="34" t="n">
        <v>51.924</v>
      </c>
      <c r="U41" s="34" t="n">
        <v>0.962</v>
      </c>
      <c r="V41" s="34" t="n">
        <v>0</v>
      </c>
      <c r="W41" s="34" t="n">
        <v>9.318</v>
      </c>
      <c r="X41" s="34" t="n">
        <v>0</v>
      </c>
      <c r="Y41" s="34" t="n">
        <v>43.963</v>
      </c>
      <c r="Z41" s="34" t="n">
        <v>0.047</v>
      </c>
      <c r="AA41" s="8" t="n">
        <v>111</v>
      </c>
      <c r="AB41" s="8" t="n">
        <v>598</v>
      </c>
      <c r="AC41" s="7" t="s">
        <v>929</v>
      </c>
      <c r="AD41" s="35"/>
      <c r="AE41" s="37" t="s">
        <v>957</v>
      </c>
      <c r="AF41" s="14" t="n">
        <f aca="false">IF(E41=0,0,(K41+L41+M41)/(K41+L41+M41+N41+O41))</f>
        <v>0.189352926011859</v>
      </c>
      <c r="AG41" s="7" t="str">
        <f aca="false">IF(J41&gt;=MAX(H41,I41),"MOSAICO",IF(H41&gt;=I41,"BES","ANDINO"))</f>
        <v>MOSAICO</v>
      </c>
      <c r="AH41" s="7" t="str">
        <f aca="false">IF(AF41&gt;=P_CORTE,"Alta","Moderada")</f>
        <v>Moderada</v>
      </c>
      <c r="AI41" s="13" t="str">
        <f aca="false">INDEX(PAQ_T,MATCH(AG41&amp;"|"&amp;AH41,PAQ_KEY,0))</f>
        <v>T6</v>
      </c>
      <c r="AJ41" s="8" t="n">
        <v>35</v>
      </c>
      <c r="AK41" s="7" t="s">
        <v>969</v>
      </c>
      <c r="AL41" s="34"/>
      <c r="AM41" s="23" t="s">
        <v>944</v>
      </c>
    </row>
    <row r="42" customFormat="false" ht="15" hidden="false" customHeight="false" outlineLevel="0" collapsed="false">
      <c r="A42" s="9" t="s">
        <v>982</v>
      </c>
      <c r="B42" s="9" t="s">
        <v>947</v>
      </c>
      <c r="C42" s="9" t="s">
        <v>967</v>
      </c>
      <c r="D42" s="9" t="s">
        <v>983</v>
      </c>
      <c r="E42" s="36" t="n">
        <v>126.952</v>
      </c>
      <c r="F42" s="36" t="n">
        <v>5559</v>
      </c>
      <c r="G42" s="31" t="n">
        <v>0.554802</v>
      </c>
      <c r="H42" s="36" t="n">
        <v>0</v>
      </c>
      <c r="I42" s="36" t="n">
        <v>121.817</v>
      </c>
      <c r="J42" s="36" t="n">
        <v>5.135</v>
      </c>
      <c r="K42" s="36" t="n">
        <v>0.053</v>
      </c>
      <c r="L42" s="36" t="n">
        <v>4.367</v>
      </c>
      <c r="M42" s="36" t="n">
        <v>31.657</v>
      </c>
      <c r="N42" s="36" t="n">
        <v>54.04</v>
      </c>
      <c r="O42" s="36" t="n">
        <v>36.889</v>
      </c>
      <c r="P42" s="36" t="n">
        <v>0.078</v>
      </c>
      <c r="Q42" s="36" t="n">
        <v>1.225</v>
      </c>
      <c r="R42" s="36" t="n">
        <v>3.476</v>
      </c>
      <c r="S42" s="36" t="n">
        <v>28.351</v>
      </c>
      <c r="T42" s="36" t="n">
        <v>93.822</v>
      </c>
      <c r="U42" s="36" t="n">
        <v>3.841</v>
      </c>
      <c r="V42" s="36" t="n">
        <v>0.572</v>
      </c>
      <c r="W42" s="36" t="n">
        <v>29.963</v>
      </c>
      <c r="X42" s="36" t="n">
        <v>1.682</v>
      </c>
      <c r="Y42" s="36" t="n">
        <v>88.368</v>
      </c>
      <c r="Z42" s="36" t="n">
        <v>2.525</v>
      </c>
      <c r="AA42" s="12" t="n">
        <v>5</v>
      </c>
      <c r="AB42" s="12" t="n">
        <v>296</v>
      </c>
      <c r="AC42" s="9" t="s">
        <v>929</v>
      </c>
      <c r="AD42" s="35"/>
      <c r="AE42" s="9" t="s">
        <v>930</v>
      </c>
      <c r="AF42" s="14" t="n">
        <f aca="false">IF(E42=0,0,(K42+L42+M42)/(K42+L42+M42+N42+O42))</f>
        <v>0.284057446104908</v>
      </c>
      <c r="AG42" s="7" t="str">
        <f aca="false">IF(J42&gt;=MAX(H42,I42),"MOSAICO",IF(H42&gt;=I42,"BES","ANDINO"))</f>
        <v>ANDINO</v>
      </c>
      <c r="AH42" s="7" t="str">
        <f aca="false">IF(AF42&gt;=P_CORTE,"Alta","Moderada")</f>
        <v>Moderada</v>
      </c>
      <c r="AI42" s="13" t="str">
        <f aca="false">INDEX(PAQ_T,MATCH(AG42&amp;"|"&amp;AH42,PAQ_KEY,0))</f>
        <v>T4</v>
      </c>
      <c r="AJ42" s="8" t="n">
        <v>36</v>
      </c>
      <c r="AK42" s="7" t="s">
        <v>969</v>
      </c>
      <c r="AL42" s="34" t="n">
        <v>94.685</v>
      </c>
      <c r="AM42" s="23" t="s">
        <v>984</v>
      </c>
    </row>
    <row r="43" customFormat="false" ht="15" hidden="false" customHeight="false" outlineLevel="0" collapsed="false">
      <c r="A43" s="7" t="s">
        <v>985</v>
      </c>
      <c r="B43" s="7" t="s">
        <v>947</v>
      </c>
      <c r="C43" s="7" t="s">
        <v>967</v>
      </c>
      <c r="D43" s="7" t="s">
        <v>983</v>
      </c>
      <c r="E43" s="34" t="n">
        <v>150.214</v>
      </c>
      <c r="F43" s="34" t="n">
        <v>6238.1</v>
      </c>
      <c r="G43" s="22" t="n">
        <v>0.546492</v>
      </c>
      <c r="H43" s="34" t="n">
        <v>129.386</v>
      </c>
      <c r="I43" s="34" t="n">
        <v>0</v>
      </c>
      <c r="J43" s="34" t="n">
        <v>20.828</v>
      </c>
      <c r="K43" s="34" t="n">
        <v>1.634</v>
      </c>
      <c r="L43" s="34" t="n">
        <v>5.454</v>
      </c>
      <c r="M43" s="34" t="n">
        <v>35.773</v>
      </c>
      <c r="N43" s="34" t="n">
        <v>70.696</v>
      </c>
      <c r="O43" s="34" t="n">
        <v>36.748</v>
      </c>
      <c r="P43" s="34" t="n">
        <v>0.094</v>
      </c>
      <c r="Q43" s="34" t="n">
        <v>2.517</v>
      </c>
      <c r="R43" s="34" t="n">
        <v>7.294</v>
      </c>
      <c r="S43" s="34" t="n">
        <v>42.673</v>
      </c>
      <c r="T43" s="34" t="n">
        <v>97.637</v>
      </c>
      <c r="U43" s="34" t="n">
        <v>5.766</v>
      </c>
      <c r="V43" s="34" t="n">
        <v>1.312</v>
      </c>
      <c r="W43" s="34" t="n">
        <v>33.334</v>
      </c>
      <c r="X43" s="34" t="n">
        <v>2.417</v>
      </c>
      <c r="Y43" s="34" t="n">
        <v>101.21</v>
      </c>
      <c r="Z43" s="34" t="n">
        <v>6.175</v>
      </c>
      <c r="AA43" s="8" t="n">
        <v>0</v>
      </c>
      <c r="AB43" s="8" t="n">
        <v>352</v>
      </c>
      <c r="AC43" s="7" t="s">
        <v>929</v>
      </c>
      <c r="AD43" s="35"/>
      <c r="AE43" s="7" t="s">
        <v>930</v>
      </c>
      <c r="AF43" s="14" t="n">
        <f aca="false">IF(E43=0,0,(K43+L43+M43)/(K43+L43+M43+N43+O43))</f>
        <v>0.285160174312232</v>
      </c>
      <c r="AG43" s="7" t="str">
        <f aca="false">IF(J43&gt;=MAX(H43,I43),"MOSAICO",IF(H43&gt;=I43,"BES","ANDINO"))</f>
        <v>BES</v>
      </c>
      <c r="AH43" s="7" t="str">
        <f aca="false">IF(AF43&gt;=P_CORTE,"Alta","Moderada")</f>
        <v>Moderada</v>
      </c>
      <c r="AI43" s="13" t="str">
        <f aca="false">INDEX(PAQ_T,MATCH(AG43&amp;"|"&amp;AH43,PAQ_KEY,0))</f>
        <v>T2</v>
      </c>
      <c r="AJ43" s="8" t="n">
        <v>37</v>
      </c>
      <c r="AK43" s="7" t="s">
        <v>969</v>
      </c>
      <c r="AL43" s="34"/>
      <c r="AM43" s="23" t="s">
        <v>944</v>
      </c>
    </row>
    <row r="44" customFormat="false" ht="15" hidden="false" customHeight="false" outlineLevel="0" collapsed="false">
      <c r="A44" s="9" t="s">
        <v>986</v>
      </c>
      <c r="B44" s="9" t="s">
        <v>947</v>
      </c>
      <c r="C44" s="9" t="s">
        <v>967</v>
      </c>
      <c r="D44" s="9" t="s">
        <v>983</v>
      </c>
      <c r="E44" s="36" t="n">
        <v>83.327</v>
      </c>
      <c r="F44" s="36" t="n">
        <v>4957.4</v>
      </c>
      <c r="G44" s="31" t="n">
        <v>0.628423</v>
      </c>
      <c r="H44" s="36" t="n">
        <v>37.687</v>
      </c>
      <c r="I44" s="36" t="n">
        <v>0</v>
      </c>
      <c r="J44" s="36" t="n">
        <v>45.641</v>
      </c>
      <c r="K44" s="36" t="n">
        <v>0</v>
      </c>
      <c r="L44" s="36" t="n">
        <v>0.195</v>
      </c>
      <c r="M44" s="36" t="n">
        <v>5.889</v>
      </c>
      <c r="N44" s="36" t="n">
        <v>29.377</v>
      </c>
      <c r="O44" s="36" t="n">
        <v>47.897</v>
      </c>
      <c r="P44" s="36" t="n">
        <v>0.219</v>
      </c>
      <c r="Q44" s="36" t="n">
        <v>1.821</v>
      </c>
      <c r="R44" s="36" t="n">
        <v>10.962</v>
      </c>
      <c r="S44" s="36" t="n">
        <v>35.544</v>
      </c>
      <c r="T44" s="36" t="n">
        <v>34.783</v>
      </c>
      <c r="U44" s="36" t="n">
        <v>0.143</v>
      </c>
      <c r="V44" s="36" t="n">
        <v>0.051</v>
      </c>
      <c r="W44" s="36" t="n">
        <v>4.823</v>
      </c>
      <c r="X44" s="36" t="n">
        <v>1.064</v>
      </c>
      <c r="Y44" s="36" t="n">
        <v>65.36</v>
      </c>
      <c r="Z44" s="36" t="n">
        <v>11.886</v>
      </c>
      <c r="AA44" s="12" t="n">
        <v>13</v>
      </c>
      <c r="AB44" s="12" t="n">
        <v>235</v>
      </c>
      <c r="AC44" s="9" t="s">
        <v>929</v>
      </c>
      <c r="AD44" s="35"/>
      <c r="AE44" s="9" t="s">
        <v>930</v>
      </c>
      <c r="AF44" s="14" t="n">
        <f aca="false">IF(E44=0,0,(K44+L44+M44)/(K44+L44+M44+N44+O44))</f>
        <v>0.0729863960267761</v>
      </c>
      <c r="AG44" s="7" t="str">
        <f aca="false">IF(J44&gt;=MAX(H44,I44),"MOSAICO",IF(H44&gt;=I44,"BES","ANDINO"))</f>
        <v>MOSAICO</v>
      </c>
      <c r="AH44" s="7" t="str">
        <f aca="false">IF(AF44&gt;=P_CORTE,"Alta","Moderada")</f>
        <v>Moderada</v>
      </c>
      <c r="AI44" s="13" t="str">
        <f aca="false">INDEX(PAQ_T,MATCH(AG44&amp;"|"&amp;AH44,PAQ_KEY,0))</f>
        <v>T6</v>
      </c>
      <c r="AJ44" s="8" t="n">
        <v>38</v>
      </c>
      <c r="AK44" s="7" t="s">
        <v>969</v>
      </c>
      <c r="AL44" s="34"/>
      <c r="AM44" s="23" t="s">
        <v>944</v>
      </c>
    </row>
    <row r="45" customFormat="false" ht="15" hidden="false" customHeight="false" outlineLevel="0" collapsed="false">
      <c r="A45" s="7" t="s">
        <v>987</v>
      </c>
      <c r="B45" s="7" t="s">
        <v>947</v>
      </c>
      <c r="C45" s="7" t="s">
        <v>967</v>
      </c>
      <c r="D45" s="7" t="s">
        <v>983</v>
      </c>
      <c r="E45" s="34" t="n">
        <v>81.334</v>
      </c>
      <c r="F45" s="34" t="n">
        <v>3732.4</v>
      </c>
      <c r="G45" s="22" t="n">
        <v>0.48513</v>
      </c>
      <c r="H45" s="34" t="n">
        <v>42.284</v>
      </c>
      <c r="I45" s="34" t="n">
        <v>39.05</v>
      </c>
      <c r="J45" s="34" t="n">
        <v>0</v>
      </c>
      <c r="K45" s="34" t="n">
        <v>0</v>
      </c>
      <c r="L45" s="34" t="n">
        <v>5.625</v>
      </c>
      <c r="M45" s="34" t="n">
        <v>42.577</v>
      </c>
      <c r="N45" s="34" t="n">
        <v>28.216</v>
      </c>
      <c r="O45" s="34" t="n">
        <v>4.974</v>
      </c>
      <c r="P45" s="34" t="n">
        <v>0</v>
      </c>
      <c r="Q45" s="34" t="n">
        <v>0.335</v>
      </c>
      <c r="R45" s="34" t="n">
        <v>2.529</v>
      </c>
      <c r="S45" s="34" t="n">
        <v>36.164</v>
      </c>
      <c r="T45" s="34" t="n">
        <v>42.306</v>
      </c>
      <c r="U45" s="34" t="n">
        <v>5.55</v>
      </c>
      <c r="V45" s="34" t="n">
        <v>0.063</v>
      </c>
      <c r="W45" s="34" t="n">
        <v>41.206</v>
      </c>
      <c r="X45" s="34" t="n">
        <v>1.352</v>
      </c>
      <c r="Y45" s="34" t="n">
        <v>31.713</v>
      </c>
      <c r="Z45" s="34" t="n">
        <v>1.449</v>
      </c>
      <c r="AA45" s="8" t="n">
        <v>457</v>
      </c>
      <c r="AB45" s="8" t="n">
        <v>1018</v>
      </c>
      <c r="AC45" s="7" t="s">
        <v>929</v>
      </c>
      <c r="AD45" s="35"/>
      <c r="AE45" s="7" t="s">
        <v>930</v>
      </c>
      <c r="AF45" s="14" t="n">
        <f aca="false">IF(E45=0,0,(K45+L45+M45)/(K45+L45+M45+N45+O45))</f>
        <v>0.592220365637901</v>
      </c>
      <c r="AG45" s="7" t="str">
        <f aca="false">IF(J45&gt;=MAX(H45,I45),"MOSAICO",IF(H45&gt;=I45,"BES","ANDINO"))</f>
        <v>BES</v>
      </c>
      <c r="AH45" s="7" t="str">
        <f aca="false">IF(AF45&gt;=P_CORTE,"Alta","Moderada")</f>
        <v>Alta</v>
      </c>
      <c r="AI45" s="13" t="str">
        <f aca="false">INDEX(PAQ_T,MATCH(AG45&amp;"|"&amp;AH45,PAQ_KEY,0))</f>
        <v>T1</v>
      </c>
      <c r="AJ45" s="8" t="n">
        <v>39</v>
      </c>
      <c r="AK45" s="7" t="s">
        <v>969</v>
      </c>
      <c r="AL45" s="34"/>
      <c r="AM45" s="23" t="s">
        <v>944</v>
      </c>
    </row>
    <row r="46" customFormat="false" ht="15" hidden="false" customHeight="false" outlineLevel="0" collapsed="false">
      <c r="A46" s="9" t="s">
        <v>988</v>
      </c>
      <c r="B46" s="9" t="s">
        <v>947</v>
      </c>
      <c r="C46" s="9" t="s">
        <v>967</v>
      </c>
      <c r="D46" s="9" t="s">
        <v>983</v>
      </c>
      <c r="E46" s="36" t="n">
        <v>22.927</v>
      </c>
      <c r="F46" s="36" t="n">
        <v>2582.9</v>
      </c>
      <c r="G46" s="31" t="n">
        <v>0.523788</v>
      </c>
      <c r="H46" s="36" t="n">
        <v>0</v>
      </c>
      <c r="I46" s="36" t="n">
        <v>2.696</v>
      </c>
      <c r="J46" s="36" t="n">
        <v>20.231</v>
      </c>
      <c r="K46" s="36" t="n">
        <v>0</v>
      </c>
      <c r="L46" s="36" t="n">
        <v>1.567</v>
      </c>
      <c r="M46" s="36" t="n">
        <v>6.379</v>
      </c>
      <c r="N46" s="36" t="n">
        <v>11.478</v>
      </c>
      <c r="O46" s="36" t="n">
        <v>3.52</v>
      </c>
      <c r="P46" s="36" t="n">
        <v>0</v>
      </c>
      <c r="Q46" s="36" t="n">
        <v>0.061</v>
      </c>
      <c r="R46" s="36" t="n">
        <v>0.306</v>
      </c>
      <c r="S46" s="36" t="n">
        <v>4.42</v>
      </c>
      <c r="T46" s="36" t="n">
        <v>18.141</v>
      </c>
      <c r="U46" s="36" t="n">
        <v>1.564</v>
      </c>
      <c r="V46" s="36" t="n">
        <v>0.002</v>
      </c>
      <c r="W46" s="36" t="n">
        <v>6.317</v>
      </c>
      <c r="X46" s="36" t="n">
        <v>0.056</v>
      </c>
      <c r="Y46" s="36" t="n">
        <v>14.679</v>
      </c>
      <c r="Z46" s="36" t="n">
        <v>0.308</v>
      </c>
      <c r="AA46" s="12" t="n">
        <v>4</v>
      </c>
      <c r="AB46" s="12" t="n">
        <v>185</v>
      </c>
      <c r="AC46" s="9" t="s">
        <v>929</v>
      </c>
      <c r="AD46" s="35"/>
      <c r="AE46" s="9" t="s">
        <v>930</v>
      </c>
      <c r="AF46" s="14" t="n">
        <f aca="false">IF(E46=0,0,(K46+L46+M46)/(K46+L46+M46+N46+O46))</f>
        <v>0.346321478382148</v>
      </c>
      <c r="AG46" s="7" t="str">
        <f aca="false">IF(J46&gt;=MAX(H46,I46),"MOSAICO",IF(H46&gt;=I46,"BES","ANDINO"))</f>
        <v>MOSAICO</v>
      </c>
      <c r="AH46" s="7" t="str">
        <f aca="false">IF(AF46&gt;=P_CORTE,"Alta","Moderada")</f>
        <v>Moderada</v>
      </c>
      <c r="AI46" s="13" t="str">
        <f aca="false">INDEX(PAQ_T,MATCH(AG46&amp;"|"&amp;AH46,PAQ_KEY,0))</f>
        <v>T6</v>
      </c>
      <c r="AJ46" s="8" t="n">
        <v>40</v>
      </c>
      <c r="AK46" s="7" t="s">
        <v>969</v>
      </c>
      <c r="AL46" s="34"/>
      <c r="AM46" s="23" t="s">
        <v>944</v>
      </c>
    </row>
    <row r="47" customFormat="false" ht="15" hidden="false" customHeight="false" outlineLevel="0" collapsed="false">
      <c r="A47" s="7" t="s">
        <v>989</v>
      </c>
      <c r="B47" s="7" t="s">
        <v>947</v>
      </c>
      <c r="C47" s="7" t="s">
        <v>967</v>
      </c>
      <c r="D47" s="7" t="s">
        <v>983</v>
      </c>
      <c r="E47" s="34" t="n">
        <v>10.673</v>
      </c>
      <c r="F47" s="34" t="n">
        <v>1816.8</v>
      </c>
      <c r="G47" s="22" t="n">
        <v>0.557066</v>
      </c>
      <c r="H47" s="34" t="n">
        <v>0</v>
      </c>
      <c r="I47" s="34" t="n">
        <v>10.673</v>
      </c>
      <c r="J47" s="34" t="n">
        <v>0</v>
      </c>
      <c r="K47" s="34" t="n">
        <v>0</v>
      </c>
      <c r="L47" s="34" t="n">
        <v>0.081</v>
      </c>
      <c r="M47" s="34" t="n">
        <v>2.69</v>
      </c>
      <c r="N47" s="34" t="n">
        <v>5.117</v>
      </c>
      <c r="O47" s="34" t="n">
        <v>2.791</v>
      </c>
      <c r="P47" s="34" t="n">
        <v>0</v>
      </c>
      <c r="Q47" s="34" t="n">
        <v>0.007</v>
      </c>
      <c r="R47" s="34" t="n">
        <v>0.135</v>
      </c>
      <c r="S47" s="34" t="n">
        <v>2.794</v>
      </c>
      <c r="T47" s="34" t="n">
        <v>7.737</v>
      </c>
      <c r="U47" s="34" t="n">
        <v>0.08</v>
      </c>
      <c r="V47" s="34" t="n">
        <v>0</v>
      </c>
      <c r="W47" s="34" t="n">
        <v>2.679</v>
      </c>
      <c r="X47" s="34" t="n">
        <v>0.01</v>
      </c>
      <c r="Y47" s="34" t="n">
        <v>7.773</v>
      </c>
      <c r="Z47" s="34" t="n">
        <v>0.132</v>
      </c>
      <c r="AA47" s="8" t="n">
        <v>23</v>
      </c>
      <c r="AB47" s="8" t="n">
        <v>89</v>
      </c>
      <c r="AC47" s="7" t="s">
        <v>929</v>
      </c>
      <c r="AD47" s="35"/>
      <c r="AE47" s="7" t="s">
        <v>930</v>
      </c>
      <c r="AF47" s="14" t="n">
        <f aca="false">IF(E47=0,0,(K47+L47+M47)/(K47+L47+M47+N47+O47))</f>
        <v>0.259481224833786</v>
      </c>
      <c r="AG47" s="7" t="str">
        <f aca="false">IF(J47&gt;=MAX(H47,I47),"MOSAICO",IF(H47&gt;=I47,"BES","ANDINO"))</f>
        <v>ANDINO</v>
      </c>
      <c r="AH47" s="7" t="str">
        <f aca="false">IF(AF47&gt;=P_CORTE,"Alta","Moderada")</f>
        <v>Moderada</v>
      </c>
      <c r="AI47" s="13" t="str">
        <f aca="false">INDEX(PAQ_T,MATCH(AG47&amp;"|"&amp;AH47,PAQ_KEY,0))</f>
        <v>T4</v>
      </c>
      <c r="AJ47" s="8" t="n">
        <v>41</v>
      </c>
      <c r="AK47" s="7" t="s">
        <v>969</v>
      </c>
      <c r="AL47" s="34" t="n">
        <v>4.266</v>
      </c>
      <c r="AM47" s="23" t="s">
        <v>990</v>
      </c>
    </row>
    <row r="48" customFormat="false" ht="15" hidden="false" customHeight="false" outlineLevel="0" collapsed="false">
      <c r="A48" s="9" t="s">
        <v>991</v>
      </c>
      <c r="B48" s="9" t="s">
        <v>947</v>
      </c>
      <c r="C48" s="9" t="s">
        <v>967</v>
      </c>
      <c r="D48" s="9" t="s">
        <v>983</v>
      </c>
      <c r="E48" s="36" t="n">
        <v>19.615</v>
      </c>
      <c r="F48" s="36" t="n">
        <v>2083.6</v>
      </c>
      <c r="G48" s="31" t="n">
        <v>0.492462</v>
      </c>
      <c r="H48" s="36" t="n">
        <v>0</v>
      </c>
      <c r="I48" s="36" t="n">
        <v>0</v>
      </c>
      <c r="J48" s="36" t="n">
        <v>19.615</v>
      </c>
      <c r="K48" s="36" t="n">
        <v>0</v>
      </c>
      <c r="L48" s="36" t="n">
        <v>1.614</v>
      </c>
      <c r="M48" s="36" t="n">
        <v>9.008</v>
      </c>
      <c r="N48" s="36" t="n">
        <v>7.143</v>
      </c>
      <c r="O48" s="36" t="n">
        <v>1.855</v>
      </c>
      <c r="P48" s="36" t="n">
        <v>0</v>
      </c>
      <c r="Q48" s="36" t="n">
        <v>0.075</v>
      </c>
      <c r="R48" s="36" t="n">
        <v>0.799</v>
      </c>
      <c r="S48" s="36" t="n">
        <v>7.24</v>
      </c>
      <c r="T48" s="36" t="n">
        <v>11.501</v>
      </c>
      <c r="U48" s="36" t="n">
        <v>1.449</v>
      </c>
      <c r="V48" s="36" t="n">
        <v>0.165</v>
      </c>
      <c r="W48" s="36" t="n">
        <v>8.327</v>
      </c>
      <c r="X48" s="36" t="n">
        <v>0.678</v>
      </c>
      <c r="Y48" s="36" t="n">
        <v>8.966</v>
      </c>
      <c r="Z48" s="36" t="n">
        <v>0.03</v>
      </c>
      <c r="AA48" s="12" t="n">
        <v>1348</v>
      </c>
      <c r="AB48" s="12" t="n">
        <v>1543</v>
      </c>
      <c r="AC48" s="9" t="s">
        <v>929</v>
      </c>
      <c r="AD48" s="35"/>
      <c r="AE48" s="9" t="s">
        <v>930</v>
      </c>
      <c r="AF48" s="14" t="n">
        <f aca="false">IF(E48=0,0,(K48+L48+M48)/(K48+L48+M48+N48+O48))</f>
        <v>0.541386340468909</v>
      </c>
      <c r="AG48" s="7" t="str">
        <f aca="false">IF(J48&gt;=MAX(H48,I48),"MOSAICO",IF(H48&gt;=I48,"BES","ANDINO"))</f>
        <v>MOSAICO</v>
      </c>
      <c r="AH48" s="7" t="str">
        <f aca="false">IF(AF48&gt;=P_CORTE,"Alta","Moderada")</f>
        <v>Alta</v>
      </c>
      <c r="AI48" s="13" t="str">
        <f aca="false">INDEX(PAQ_T,MATCH(AG48&amp;"|"&amp;AH48,PAQ_KEY,0))</f>
        <v>T5</v>
      </c>
      <c r="AJ48" s="8" t="n">
        <v>42</v>
      </c>
      <c r="AK48" s="7" t="s">
        <v>969</v>
      </c>
      <c r="AL48" s="34"/>
      <c r="AM48" s="23" t="s">
        <v>944</v>
      </c>
    </row>
    <row r="49" customFormat="false" ht="15" hidden="false" customHeight="false" outlineLevel="0" collapsed="false">
      <c r="A49" s="7" t="s">
        <v>992</v>
      </c>
      <c r="B49" s="7" t="s">
        <v>947</v>
      </c>
      <c r="C49" s="7" t="s">
        <v>967</v>
      </c>
      <c r="D49" s="7" t="s">
        <v>983</v>
      </c>
      <c r="E49" s="34" t="n">
        <v>28.83</v>
      </c>
      <c r="F49" s="34" t="n">
        <v>2861.3</v>
      </c>
      <c r="G49" s="22" t="n">
        <v>0.593069</v>
      </c>
      <c r="H49" s="34" t="n">
        <v>0</v>
      </c>
      <c r="I49" s="34" t="n">
        <v>0</v>
      </c>
      <c r="J49" s="34" t="n">
        <v>28.83</v>
      </c>
      <c r="K49" s="34" t="n">
        <v>0.06</v>
      </c>
      <c r="L49" s="34" t="n">
        <v>0.869</v>
      </c>
      <c r="M49" s="34" t="n">
        <v>3.944</v>
      </c>
      <c r="N49" s="34" t="n">
        <v>9.67</v>
      </c>
      <c r="O49" s="34" t="n">
        <v>14.3</v>
      </c>
      <c r="P49" s="34" t="n">
        <v>0</v>
      </c>
      <c r="Q49" s="34" t="n">
        <v>0.003</v>
      </c>
      <c r="R49" s="34" t="n">
        <v>0.12</v>
      </c>
      <c r="S49" s="34" t="n">
        <v>2.92</v>
      </c>
      <c r="T49" s="34" t="n">
        <v>25.787</v>
      </c>
      <c r="U49" s="34" t="n">
        <v>0.928</v>
      </c>
      <c r="V49" s="34" t="n">
        <v>0</v>
      </c>
      <c r="W49" s="34" t="n">
        <v>3.937</v>
      </c>
      <c r="X49" s="34" t="n">
        <v>0.003</v>
      </c>
      <c r="Y49" s="34" t="n">
        <v>23.842</v>
      </c>
      <c r="Z49" s="34" t="n">
        <v>0.121</v>
      </c>
      <c r="AA49" s="8" t="n">
        <v>18</v>
      </c>
      <c r="AB49" s="8" t="n">
        <v>190</v>
      </c>
      <c r="AC49" s="7" t="s">
        <v>929</v>
      </c>
      <c r="AD49" s="35"/>
      <c r="AE49" s="7" t="s">
        <v>930</v>
      </c>
      <c r="AF49" s="14" t="n">
        <f aca="false">IF(E49=0,0,(K49+L49+M49)/(K49+L49+M49+N49+O49))</f>
        <v>0.168949138439136</v>
      </c>
      <c r="AG49" s="7" t="str">
        <f aca="false">IF(J49&gt;=MAX(H49,I49),"MOSAICO",IF(H49&gt;=I49,"BES","ANDINO"))</f>
        <v>MOSAICO</v>
      </c>
      <c r="AH49" s="7" t="str">
        <f aca="false">IF(AF49&gt;=P_CORTE,"Alta","Moderada")</f>
        <v>Moderada</v>
      </c>
      <c r="AI49" s="13" t="str">
        <f aca="false">INDEX(PAQ_T,MATCH(AG49&amp;"|"&amp;AH49,PAQ_KEY,0))</f>
        <v>T6</v>
      </c>
      <c r="AJ49" s="8" t="n">
        <v>43</v>
      </c>
      <c r="AK49" s="7" t="s">
        <v>969</v>
      </c>
      <c r="AL49" s="34"/>
      <c r="AM49" s="23" t="s">
        <v>944</v>
      </c>
    </row>
    <row r="50" customFormat="false" ht="15" hidden="false" customHeight="false" outlineLevel="0" collapsed="false">
      <c r="A50" s="9" t="s">
        <v>993</v>
      </c>
      <c r="B50" s="9" t="s">
        <v>947</v>
      </c>
      <c r="C50" s="9" t="s">
        <v>994</v>
      </c>
      <c r="D50" s="9" t="s">
        <v>995</v>
      </c>
      <c r="E50" s="36" t="n">
        <v>28.45</v>
      </c>
      <c r="F50" s="36" t="n">
        <v>2570</v>
      </c>
      <c r="G50" s="31" t="n">
        <v>0.648975</v>
      </c>
      <c r="H50" s="36" t="n">
        <v>0</v>
      </c>
      <c r="I50" s="36" t="n">
        <v>1.517</v>
      </c>
      <c r="J50" s="36" t="n">
        <v>26.933</v>
      </c>
      <c r="K50" s="36" t="n">
        <v>0</v>
      </c>
      <c r="L50" s="36" t="n">
        <v>0</v>
      </c>
      <c r="M50" s="36" t="n">
        <v>0.05</v>
      </c>
      <c r="N50" s="36" t="n">
        <v>10.448</v>
      </c>
      <c r="O50" s="36" t="n">
        <v>17.966</v>
      </c>
      <c r="P50" s="36" t="n">
        <v>0</v>
      </c>
      <c r="Q50" s="36" t="n">
        <v>0.007</v>
      </c>
      <c r="R50" s="36" t="n">
        <v>0.857</v>
      </c>
      <c r="S50" s="36" t="n">
        <v>7.753</v>
      </c>
      <c r="T50" s="36" t="n">
        <v>19.833</v>
      </c>
      <c r="U50" s="36" t="n">
        <v>0</v>
      </c>
      <c r="V50" s="36" t="n">
        <v>0</v>
      </c>
      <c r="W50" s="36" t="n">
        <v>0.049</v>
      </c>
      <c r="X50" s="36" t="n">
        <v>0</v>
      </c>
      <c r="Y50" s="36" t="n">
        <v>27.536</v>
      </c>
      <c r="Z50" s="36" t="n">
        <v>0.865</v>
      </c>
      <c r="AA50" s="12" t="n">
        <v>0</v>
      </c>
      <c r="AB50" s="12" t="n">
        <v>187</v>
      </c>
      <c r="AC50" s="9" t="s">
        <v>929</v>
      </c>
      <c r="AD50" s="35"/>
      <c r="AE50" s="9" t="s">
        <v>930</v>
      </c>
      <c r="AF50" s="14" t="n">
        <f aca="false">IF(E50=0,0,(K50+L50+M50)/(K50+L50+M50+N50+O50))</f>
        <v>0.0017566048341765</v>
      </c>
      <c r="AG50" s="7" t="str">
        <f aca="false">IF(J50&gt;=MAX(H50,I50),"MOSAICO",IF(H50&gt;=I50,"BES","ANDINO"))</f>
        <v>MOSAICO</v>
      </c>
      <c r="AH50" s="7" t="str">
        <f aca="false">IF(AF50&gt;=P_CORTE,"Alta","Moderada")</f>
        <v>Moderada</v>
      </c>
      <c r="AI50" s="13" t="str">
        <f aca="false">INDEX(PAQ_T,MATCH(AG50&amp;"|"&amp;AH50,PAQ_KEY,0))</f>
        <v>T6</v>
      </c>
      <c r="AJ50" s="8" t="n">
        <v>44</v>
      </c>
      <c r="AK50" s="7" t="s">
        <v>996</v>
      </c>
      <c r="AL50" s="34"/>
      <c r="AM50" s="23" t="s">
        <v>944</v>
      </c>
    </row>
    <row r="51" customFormat="false" ht="15" hidden="false" customHeight="false" outlineLevel="0" collapsed="false">
      <c r="A51" s="7" t="s">
        <v>997</v>
      </c>
      <c r="B51" s="7" t="s">
        <v>947</v>
      </c>
      <c r="C51" s="7" t="s">
        <v>994</v>
      </c>
      <c r="D51" s="7" t="s">
        <v>995</v>
      </c>
      <c r="E51" s="34" t="n">
        <v>44.201</v>
      </c>
      <c r="F51" s="34" t="n">
        <v>3297.4</v>
      </c>
      <c r="G51" s="22" t="n">
        <v>0.672487</v>
      </c>
      <c r="H51" s="34" t="n">
        <v>3.885</v>
      </c>
      <c r="I51" s="34" t="n">
        <v>0.622</v>
      </c>
      <c r="J51" s="34" t="n">
        <v>39.693</v>
      </c>
      <c r="K51" s="34" t="n">
        <v>0</v>
      </c>
      <c r="L51" s="34" t="n">
        <v>0</v>
      </c>
      <c r="M51" s="34" t="n">
        <v>0.181</v>
      </c>
      <c r="N51" s="34" t="n">
        <v>11.551</v>
      </c>
      <c r="O51" s="34" t="n">
        <v>32.486</v>
      </c>
      <c r="P51" s="34" t="n">
        <v>0</v>
      </c>
      <c r="Q51" s="34" t="n">
        <v>0.003</v>
      </c>
      <c r="R51" s="34" t="n">
        <v>1.229</v>
      </c>
      <c r="S51" s="34" t="n">
        <v>21.519</v>
      </c>
      <c r="T51" s="34" t="n">
        <v>21.449</v>
      </c>
      <c r="U51" s="34" t="n">
        <v>0</v>
      </c>
      <c r="V51" s="34" t="n">
        <v>0</v>
      </c>
      <c r="W51" s="34" t="n">
        <v>0.166</v>
      </c>
      <c r="X51" s="34" t="n">
        <v>0.015</v>
      </c>
      <c r="Y51" s="34" t="n">
        <v>42.803</v>
      </c>
      <c r="Z51" s="34" t="n">
        <v>1.217</v>
      </c>
      <c r="AA51" s="8" t="n">
        <v>13</v>
      </c>
      <c r="AB51" s="8" t="n">
        <v>166</v>
      </c>
      <c r="AC51" s="7" t="s">
        <v>929</v>
      </c>
      <c r="AD51" s="35"/>
      <c r="AE51" s="7" t="s">
        <v>930</v>
      </c>
      <c r="AF51" s="14" t="n">
        <f aca="false">IF(E51=0,0,(K51+L51+M51)/(K51+L51+M51+N51+O51))</f>
        <v>0.00409335564702158</v>
      </c>
      <c r="AG51" s="7" t="str">
        <f aca="false">IF(J51&gt;=MAX(H51,I51),"MOSAICO",IF(H51&gt;=I51,"BES","ANDINO"))</f>
        <v>MOSAICO</v>
      </c>
      <c r="AH51" s="7" t="str">
        <f aca="false">IF(AF51&gt;=P_CORTE,"Alta","Moderada")</f>
        <v>Moderada</v>
      </c>
      <c r="AI51" s="13" t="str">
        <f aca="false">INDEX(PAQ_T,MATCH(AG51&amp;"|"&amp;AH51,PAQ_KEY,0))</f>
        <v>T6</v>
      </c>
      <c r="AJ51" s="8" t="n">
        <v>45</v>
      </c>
      <c r="AK51" s="7" t="s">
        <v>996</v>
      </c>
      <c r="AL51" s="34"/>
      <c r="AM51" s="23" t="s">
        <v>944</v>
      </c>
    </row>
    <row r="52" customFormat="false" ht="15" hidden="false" customHeight="false" outlineLevel="0" collapsed="false">
      <c r="A52" s="9" t="s">
        <v>998</v>
      </c>
      <c r="B52" s="9" t="s">
        <v>947</v>
      </c>
      <c r="C52" s="9" t="s">
        <v>994</v>
      </c>
      <c r="D52" s="9" t="s">
        <v>995</v>
      </c>
      <c r="E52" s="36" t="n">
        <v>19.266</v>
      </c>
      <c r="F52" s="36" t="n">
        <v>1917.2</v>
      </c>
      <c r="G52" s="31" t="n">
        <v>0.68307</v>
      </c>
      <c r="H52" s="36" t="n">
        <v>0</v>
      </c>
      <c r="I52" s="36" t="n">
        <v>18.45</v>
      </c>
      <c r="J52" s="36" t="n">
        <v>0.817</v>
      </c>
      <c r="K52" s="36" t="n">
        <v>0</v>
      </c>
      <c r="L52" s="36" t="n">
        <v>0</v>
      </c>
      <c r="M52" s="36" t="n">
        <v>0.069</v>
      </c>
      <c r="N52" s="36" t="n">
        <v>3.557</v>
      </c>
      <c r="O52" s="36" t="n">
        <v>15.647</v>
      </c>
      <c r="P52" s="36" t="n">
        <v>0.016</v>
      </c>
      <c r="Q52" s="36" t="n">
        <v>0.091</v>
      </c>
      <c r="R52" s="36" t="n">
        <v>0.445</v>
      </c>
      <c r="S52" s="36" t="n">
        <v>3.254</v>
      </c>
      <c r="T52" s="36" t="n">
        <v>15.461</v>
      </c>
      <c r="U52" s="36" t="n">
        <v>0</v>
      </c>
      <c r="V52" s="36" t="n">
        <v>0</v>
      </c>
      <c r="W52" s="36" t="n">
        <v>0.069</v>
      </c>
      <c r="X52" s="36" t="n">
        <v>0</v>
      </c>
      <c r="Y52" s="36" t="n">
        <v>18.646</v>
      </c>
      <c r="Z52" s="36" t="n">
        <v>0.552</v>
      </c>
      <c r="AA52" s="12" t="n">
        <v>0</v>
      </c>
      <c r="AB52" s="12" t="n">
        <v>129</v>
      </c>
      <c r="AC52" s="9" t="s">
        <v>929</v>
      </c>
      <c r="AD52" s="35"/>
      <c r="AE52" s="9" t="s">
        <v>930</v>
      </c>
      <c r="AF52" s="14" t="n">
        <f aca="false">IF(E52=0,0,(K52+L52+M52)/(K52+L52+M52+N52+O52))</f>
        <v>0.00358013801691486</v>
      </c>
      <c r="AG52" s="7" t="str">
        <f aca="false">IF(J52&gt;=MAX(H52,I52),"MOSAICO",IF(H52&gt;=I52,"BES","ANDINO"))</f>
        <v>ANDINO</v>
      </c>
      <c r="AH52" s="7" t="str">
        <f aca="false">IF(AF52&gt;=P_CORTE,"Alta","Moderada")</f>
        <v>Moderada</v>
      </c>
      <c r="AI52" s="13" t="str">
        <f aca="false">INDEX(PAQ_T,MATCH(AG52&amp;"|"&amp;AH52,PAQ_KEY,0))</f>
        <v>T4</v>
      </c>
      <c r="AJ52" s="8" t="n">
        <v>46</v>
      </c>
      <c r="AK52" s="7" t="s">
        <v>996</v>
      </c>
      <c r="AL52" s="34"/>
      <c r="AM52" s="23" t="s">
        <v>944</v>
      </c>
    </row>
    <row r="53" customFormat="false" ht="15" hidden="false" customHeight="false" outlineLevel="0" collapsed="false">
      <c r="A53" s="7" t="s">
        <v>999</v>
      </c>
      <c r="B53" s="7" t="s">
        <v>947</v>
      </c>
      <c r="C53" s="7" t="s">
        <v>994</v>
      </c>
      <c r="D53" s="7" t="s">
        <v>995</v>
      </c>
      <c r="E53" s="34" t="n">
        <v>26.826</v>
      </c>
      <c r="F53" s="34" t="n">
        <v>1957.6</v>
      </c>
      <c r="G53" s="22" t="n">
        <v>0.611186</v>
      </c>
      <c r="H53" s="34" t="n">
        <v>0</v>
      </c>
      <c r="I53" s="34" t="n">
        <v>12.838</v>
      </c>
      <c r="J53" s="34" t="n">
        <v>13.988</v>
      </c>
      <c r="K53" s="34" t="n">
        <v>0</v>
      </c>
      <c r="L53" s="34" t="n">
        <v>0.219</v>
      </c>
      <c r="M53" s="34" t="n">
        <v>5.443</v>
      </c>
      <c r="N53" s="34" t="n">
        <v>8.822</v>
      </c>
      <c r="O53" s="34" t="n">
        <v>12.352</v>
      </c>
      <c r="P53" s="34" t="n">
        <v>0.028</v>
      </c>
      <c r="Q53" s="34" t="n">
        <v>0.087</v>
      </c>
      <c r="R53" s="34" t="n">
        <v>1.298</v>
      </c>
      <c r="S53" s="34" t="n">
        <v>14.728</v>
      </c>
      <c r="T53" s="34" t="n">
        <v>10.685</v>
      </c>
      <c r="U53" s="34" t="n">
        <v>0.218</v>
      </c>
      <c r="V53" s="34" t="n">
        <v>0</v>
      </c>
      <c r="W53" s="34" t="n">
        <v>5.309</v>
      </c>
      <c r="X53" s="34" t="n">
        <v>0.133</v>
      </c>
      <c r="Y53" s="34" t="n">
        <v>19.886</v>
      </c>
      <c r="Z53" s="34" t="n">
        <v>1.28</v>
      </c>
      <c r="AA53" s="8" t="n">
        <v>0</v>
      </c>
      <c r="AB53" s="8" t="n">
        <v>154</v>
      </c>
      <c r="AC53" s="7" t="s">
        <v>938</v>
      </c>
      <c r="AD53" s="35"/>
      <c r="AE53" s="7" t="s">
        <v>930</v>
      </c>
      <c r="AF53" s="14" t="n">
        <f aca="false">IF(E53=0,0,(K53+L53+M53)/(K53+L53+M53+N53+O53))</f>
        <v>0.210985243702489</v>
      </c>
      <c r="AG53" s="7" t="str">
        <f aca="false">IF(J53&gt;=MAX(H53,I53),"MOSAICO",IF(H53&gt;=I53,"BES","ANDINO"))</f>
        <v>MOSAICO</v>
      </c>
      <c r="AH53" s="7" t="str">
        <f aca="false">IF(AF53&gt;=P_CORTE,"Alta","Moderada")</f>
        <v>Moderada</v>
      </c>
      <c r="AI53" s="13" t="str">
        <f aca="false">INDEX(PAQ_T,MATCH(AG53&amp;"|"&amp;AH53,PAQ_KEY,0))</f>
        <v>T6</v>
      </c>
      <c r="AJ53" s="8" t="n">
        <v>47</v>
      </c>
      <c r="AK53" s="7" t="s">
        <v>996</v>
      </c>
      <c r="AL53" s="34"/>
      <c r="AM53" s="23" t="s">
        <v>944</v>
      </c>
    </row>
    <row r="54" customFormat="false" ht="15" hidden="false" customHeight="false" outlineLevel="0" collapsed="false">
      <c r="A54" s="9" t="s">
        <v>1000</v>
      </c>
      <c r="B54" s="9" t="s">
        <v>947</v>
      </c>
      <c r="C54" s="9" t="s">
        <v>994</v>
      </c>
      <c r="D54" s="9" t="s">
        <v>956</v>
      </c>
      <c r="E54" s="36" t="n">
        <v>46.962</v>
      </c>
      <c r="F54" s="36" t="n">
        <v>3375.3</v>
      </c>
      <c r="G54" s="31" t="n">
        <v>0.673303</v>
      </c>
      <c r="H54" s="36" t="n">
        <v>0</v>
      </c>
      <c r="I54" s="36" t="n">
        <v>0</v>
      </c>
      <c r="J54" s="36" t="n">
        <v>46.962</v>
      </c>
      <c r="K54" s="36" t="n">
        <v>0</v>
      </c>
      <c r="L54" s="36" t="n">
        <v>0</v>
      </c>
      <c r="M54" s="36" t="n">
        <v>1.107</v>
      </c>
      <c r="N54" s="36" t="n">
        <v>9.75</v>
      </c>
      <c r="O54" s="36" t="n">
        <v>36.125</v>
      </c>
      <c r="P54" s="36" t="n">
        <v>0.016</v>
      </c>
      <c r="Q54" s="36" t="n">
        <v>0</v>
      </c>
      <c r="R54" s="36" t="n">
        <v>0.197</v>
      </c>
      <c r="S54" s="36" t="n">
        <v>6.697</v>
      </c>
      <c r="T54" s="36" t="n">
        <v>40.052</v>
      </c>
      <c r="U54" s="36" t="n">
        <v>0</v>
      </c>
      <c r="V54" s="36" t="n">
        <v>0</v>
      </c>
      <c r="W54" s="36" t="n">
        <v>1.102</v>
      </c>
      <c r="X54" s="36" t="n">
        <v>0</v>
      </c>
      <c r="Y54" s="36" t="n">
        <v>45.647</v>
      </c>
      <c r="Z54" s="36" t="n">
        <v>0.212</v>
      </c>
      <c r="AA54" s="12" t="n">
        <v>25</v>
      </c>
      <c r="AB54" s="12" t="n">
        <v>389</v>
      </c>
      <c r="AC54" s="9" t="s">
        <v>963</v>
      </c>
      <c r="AD54" s="35"/>
      <c r="AE54" s="9" t="s">
        <v>930</v>
      </c>
      <c r="AF54" s="14" t="n">
        <f aca="false">IF(E54=0,0,(K54+L54+M54)/(K54+L54+M54+N54+O54))</f>
        <v>0.0235622153165042</v>
      </c>
      <c r="AG54" s="7" t="str">
        <f aca="false">IF(J54&gt;=MAX(H54,I54),"MOSAICO",IF(H54&gt;=I54,"BES","ANDINO"))</f>
        <v>MOSAICO</v>
      </c>
      <c r="AH54" s="7" t="str">
        <f aca="false">IF(AF54&gt;=P_CORTE,"Alta","Moderada")</f>
        <v>Moderada</v>
      </c>
      <c r="AI54" s="13" t="str">
        <f aca="false">INDEX(PAQ_T,MATCH(AG54&amp;"|"&amp;AH54,PAQ_KEY,0))</f>
        <v>T6</v>
      </c>
      <c r="AJ54" s="8" t="n">
        <v>48</v>
      </c>
      <c r="AK54" s="7" t="s">
        <v>996</v>
      </c>
      <c r="AL54" s="34"/>
      <c r="AM54" s="23"/>
    </row>
    <row r="55" customFormat="false" ht="15" hidden="false" customHeight="false" outlineLevel="0" collapsed="false">
      <c r="A55" s="7" t="s">
        <v>1001</v>
      </c>
      <c r="B55" s="7" t="s">
        <v>947</v>
      </c>
      <c r="C55" s="7" t="s">
        <v>994</v>
      </c>
      <c r="D55" s="7" t="s">
        <v>956</v>
      </c>
      <c r="E55" s="34" t="n">
        <v>35.491</v>
      </c>
      <c r="F55" s="34" t="n">
        <v>2357.2</v>
      </c>
      <c r="G55" s="22" t="n">
        <v>0.658846</v>
      </c>
      <c r="H55" s="34" t="n">
        <v>0</v>
      </c>
      <c r="I55" s="34" t="n">
        <v>21.286</v>
      </c>
      <c r="J55" s="34" t="n">
        <v>14.205</v>
      </c>
      <c r="K55" s="34" t="n">
        <v>0</v>
      </c>
      <c r="L55" s="34" t="n">
        <v>0</v>
      </c>
      <c r="M55" s="34" t="n">
        <v>0.682</v>
      </c>
      <c r="N55" s="34" t="n">
        <v>8.054</v>
      </c>
      <c r="O55" s="34" t="n">
        <v>26.772</v>
      </c>
      <c r="P55" s="34" t="n">
        <v>0</v>
      </c>
      <c r="Q55" s="34" t="n">
        <v>0.07</v>
      </c>
      <c r="R55" s="34" t="n">
        <v>2.061</v>
      </c>
      <c r="S55" s="34" t="n">
        <v>17.296</v>
      </c>
      <c r="T55" s="34" t="n">
        <v>16.064</v>
      </c>
      <c r="U55" s="34" t="n">
        <v>0</v>
      </c>
      <c r="V55" s="34" t="n">
        <v>0</v>
      </c>
      <c r="W55" s="34" t="n">
        <v>0.68</v>
      </c>
      <c r="X55" s="34" t="n">
        <v>0</v>
      </c>
      <c r="Y55" s="34" t="n">
        <v>32.679</v>
      </c>
      <c r="Z55" s="34" t="n">
        <v>2.131</v>
      </c>
      <c r="AA55" s="8" t="n">
        <v>27</v>
      </c>
      <c r="AB55" s="8" t="n">
        <v>311</v>
      </c>
      <c r="AC55" s="7" t="s">
        <v>963</v>
      </c>
      <c r="AD55" s="35"/>
      <c r="AE55" s="7" t="s">
        <v>930</v>
      </c>
      <c r="AF55" s="14" t="n">
        <f aca="false">IF(E55=0,0,(K55+L55+M55)/(K55+L55+M55+N55+O55))</f>
        <v>0.0192069392812887</v>
      </c>
      <c r="AG55" s="7" t="str">
        <f aca="false">IF(J55&gt;=MAX(H55,I55),"MOSAICO",IF(H55&gt;=I55,"BES","ANDINO"))</f>
        <v>ANDINO</v>
      </c>
      <c r="AH55" s="7" t="str">
        <f aca="false">IF(AF55&gt;=P_CORTE,"Alta","Moderada")</f>
        <v>Moderada</v>
      </c>
      <c r="AI55" s="13" t="str">
        <f aca="false">INDEX(PAQ_T,MATCH(AG55&amp;"|"&amp;AH55,PAQ_KEY,0))</f>
        <v>T4</v>
      </c>
      <c r="AJ55" s="8" t="n">
        <v>49</v>
      </c>
      <c r="AK55" s="7" t="s">
        <v>996</v>
      </c>
      <c r="AL55" s="34"/>
      <c r="AM55" s="23"/>
    </row>
    <row r="56" customFormat="false" ht="15" hidden="false" customHeight="false" outlineLevel="0" collapsed="false">
      <c r="A56" s="9" t="s">
        <v>1002</v>
      </c>
      <c r="B56" s="9" t="s">
        <v>947</v>
      </c>
      <c r="C56" s="9" t="s">
        <v>1003</v>
      </c>
      <c r="D56" s="9" t="s">
        <v>1004</v>
      </c>
      <c r="E56" s="36" t="n">
        <v>116.099</v>
      </c>
      <c r="F56" s="36" t="n">
        <v>4620.1</v>
      </c>
      <c r="G56" s="31" t="n">
        <v>0.375171</v>
      </c>
      <c r="H56" s="36" t="n">
        <v>116.099</v>
      </c>
      <c r="I56" s="36" t="n">
        <v>0</v>
      </c>
      <c r="J56" s="36" t="n">
        <v>0</v>
      </c>
      <c r="K56" s="36" t="n">
        <v>8.748</v>
      </c>
      <c r="L56" s="36" t="n">
        <v>54.47</v>
      </c>
      <c r="M56" s="36" t="n">
        <v>44.02</v>
      </c>
      <c r="N56" s="36" t="n">
        <v>8.917</v>
      </c>
      <c r="O56" s="36" t="n">
        <v>0.02</v>
      </c>
      <c r="P56" s="36" t="n">
        <v>5.016</v>
      </c>
      <c r="Q56" s="36" t="n">
        <v>24.966</v>
      </c>
      <c r="R56" s="36" t="n">
        <v>11.082</v>
      </c>
      <c r="S56" s="36" t="n">
        <v>30.248</v>
      </c>
      <c r="T56" s="36" t="n">
        <v>44.786</v>
      </c>
      <c r="U56" s="36" t="n">
        <v>24.744</v>
      </c>
      <c r="V56" s="36" t="n">
        <v>38.43</v>
      </c>
      <c r="W56" s="36" t="n">
        <v>41.545</v>
      </c>
      <c r="X56" s="36" t="n">
        <v>2.454</v>
      </c>
      <c r="Y56" s="36" t="n">
        <v>8.745</v>
      </c>
      <c r="Z56" s="36" t="n">
        <v>0.181</v>
      </c>
      <c r="AA56" s="12" t="n">
        <v>1006</v>
      </c>
      <c r="AB56" s="12" t="n">
        <v>1783</v>
      </c>
      <c r="AC56" s="9" t="s">
        <v>929</v>
      </c>
      <c r="AD56" s="35"/>
      <c r="AE56" s="9" t="s">
        <v>930</v>
      </c>
      <c r="AF56" s="14" t="n">
        <f aca="false">IF(E56=0,0,(K56+L56+M56)/(K56+L56+M56+N56+O56))</f>
        <v>0.92307295029051</v>
      </c>
      <c r="AG56" s="7" t="str">
        <f aca="false">IF(J56&gt;=MAX(H56,I56),"MOSAICO",IF(H56&gt;=I56,"BES","ANDINO"))</f>
        <v>BES</v>
      </c>
      <c r="AH56" s="7" t="str">
        <f aca="false">IF(AF56&gt;=P_CORTE,"Alta","Moderada")</f>
        <v>Alta</v>
      </c>
      <c r="AI56" s="13" t="str">
        <f aca="false">INDEX(PAQ_T,MATCH(AG56&amp;"|"&amp;AH56,PAQ_KEY,0))</f>
        <v>T1</v>
      </c>
      <c r="AJ56" s="8" t="n">
        <v>50</v>
      </c>
      <c r="AK56" s="7" t="s">
        <v>1005</v>
      </c>
      <c r="AL56" s="34"/>
      <c r="AM56" s="23"/>
    </row>
    <row r="57" customFormat="false" ht="15" hidden="false" customHeight="false" outlineLevel="0" collapsed="false">
      <c r="A57" s="7" t="s">
        <v>1006</v>
      </c>
      <c r="B57" s="7" t="s">
        <v>947</v>
      </c>
      <c r="C57" s="7" t="s">
        <v>1003</v>
      </c>
      <c r="D57" s="7" t="s">
        <v>949</v>
      </c>
      <c r="E57" s="34" t="n">
        <v>279.68</v>
      </c>
      <c r="F57" s="34" t="n">
        <v>11210.1</v>
      </c>
      <c r="G57" s="22" t="n">
        <v>0.355329</v>
      </c>
      <c r="H57" s="34" t="n">
        <v>277.098</v>
      </c>
      <c r="I57" s="34" t="n">
        <v>0</v>
      </c>
      <c r="J57" s="34" t="n">
        <v>2.582</v>
      </c>
      <c r="K57" s="34" t="n">
        <v>15.58</v>
      </c>
      <c r="L57" s="34" t="n">
        <v>174.778</v>
      </c>
      <c r="M57" s="34" t="n">
        <v>81.598</v>
      </c>
      <c r="N57" s="34" t="n">
        <v>7.619</v>
      </c>
      <c r="O57" s="34" t="n">
        <v>0.269</v>
      </c>
      <c r="P57" s="34" t="n">
        <v>9.824</v>
      </c>
      <c r="Q57" s="34" t="n">
        <v>56.265</v>
      </c>
      <c r="R57" s="34" t="n">
        <v>63.958</v>
      </c>
      <c r="S57" s="34" t="n">
        <v>102.974</v>
      </c>
      <c r="T57" s="34" t="n">
        <v>46.659</v>
      </c>
      <c r="U57" s="34" t="n">
        <v>79.494</v>
      </c>
      <c r="V57" s="34" t="n">
        <v>110.762</v>
      </c>
      <c r="W57" s="34" t="n">
        <v>64.404</v>
      </c>
      <c r="X57" s="34" t="n">
        <v>17.144</v>
      </c>
      <c r="Y57" s="34" t="n">
        <v>5.734</v>
      </c>
      <c r="Z57" s="34" t="n">
        <v>2.142</v>
      </c>
      <c r="AA57" s="8" t="n">
        <v>1316</v>
      </c>
      <c r="AB57" s="8" t="n">
        <v>1966</v>
      </c>
      <c r="AC57" s="7" t="s">
        <v>929</v>
      </c>
      <c r="AD57" s="35"/>
      <c r="AE57" s="7" t="s">
        <v>930</v>
      </c>
      <c r="AF57" s="14" t="n">
        <f aca="false">IF(E57=0,0,(K57+L57+M57)/(K57+L57+M57+N57+O57))</f>
        <v>0.971812867168851</v>
      </c>
      <c r="AG57" s="7" t="str">
        <f aca="false">IF(J57&gt;=MAX(H57,I57),"MOSAICO",IF(H57&gt;=I57,"BES","ANDINO"))</f>
        <v>BES</v>
      </c>
      <c r="AH57" s="7" t="str">
        <f aca="false">IF(AF57&gt;=P_CORTE,"Alta","Moderada")</f>
        <v>Alta</v>
      </c>
      <c r="AI57" s="13" t="str">
        <f aca="false">INDEX(PAQ_T,MATCH(AG57&amp;"|"&amp;AH57,PAQ_KEY,0))</f>
        <v>T1</v>
      </c>
      <c r="AJ57" s="8" t="n">
        <v>51</v>
      </c>
      <c r="AK57" s="7" t="s">
        <v>1005</v>
      </c>
      <c r="AL57" s="34"/>
      <c r="AM57" s="23"/>
    </row>
    <row r="58" customFormat="false" ht="15" hidden="false" customHeight="false" outlineLevel="0" collapsed="false">
      <c r="A58" s="9" t="s">
        <v>1007</v>
      </c>
      <c r="B58" s="9" t="s">
        <v>947</v>
      </c>
      <c r="C58" s="9" t="s">
        <v>1003</v>
      </c>
      <c r="D58" s="9" t="s">
        <v>1008</v>
      </c>
      <c r="E58" s="36" t="n">
        <v>109.861</v>
      </c>
      <c r="F58" s="36" t="n">
        <v>4834.7</v>
      </c>
      <c r="G58" s="31" t="n">
        <v>0.574527</v>
      </c>
      <c r="H58" s="36" t="n">
        <v>0</v>
      </c>
      <c r="I58" s="36" t="n">
        <v>0</v>
      </c>
      <c r="J58" s="36" t="n">
        <v>109.861</v>
      </c>
      <c r="K58" s="36" t="n">
        <v>0</v>
      </c>
      <c r="L58" s="36" t="n">
        <v>0.418</v>
      </c>
      <c r="M58" s="36" t="n">
        <v>12.43</v>
      </c>
      <c r="N58" s="36" t="n">
        <v>67.203</v>
      </c>
      <c r="O58" s="36" t="n">
        <v>29.853</v>
      </c>
      <c r="P58" s="36" t="n">
        <v>0</v>
      </c>
      <c r="Q58" s="36" t="n">
        <v>0.016</v>
      </c>
      <c r="R58" s="36" t="n">
        <v>0.764</v>
      </c>
      <c r="S58" s="36" t="n">
        <v>9.277</v>
      </c>
      <c r="T58" s="36" t="n">
        <v>99.804</v>
      </c>
      <c r="U58" s="36" t="n">
        <v>0.415</v>
      </c>
      <c r="V58" s="36" t="n">
        <v>0</v>
      </c>
      <c r="W58" s="36" t="n">
        <v>12.344</v>
      </c>
      <c r="X58" s="36" t="n">
        <v>0.077</v>
      </c>
      <c r="Y58" s="36" t="n">
        <v>96.323</v>
      </c>
      <c r="Z58" s="36" t="n">
        <v>0.703</v>
      </c>
      <c r="AA58" s="12" t="n">
        <v>831</v>
      </c>
      <c r="AB58" s="12" t="n">
        <v>1410</v>
      </c>
      <c r="AC58" s="9" t="s">
        <v>929</v>
      </c>
      <c r="AD58" s="35"/>
      <c r="AE58" s="9" t="s">
        <v>930</v>
      </c>
      <c r="AF58" s="14" t="n">
        <f aca="false">IF(E58=0,0,(K58+L58+M58)/(K58+L58+M58+N58+O58))</f>
        <v>0.116902023584219</v>
      </c>
      <c r="AG58" s="7" t="str">
        <f aca="false">IF(J58&gt;=MAX(H58,I58),"MOSAICO",IF(H58&gt;=I58,"BES","ANDINO"))</f>
        <v>MOSAICO</v>
      </c>
      <c r="AH58" s="7" t="str">
        <f aca="false">IF(AF58&gt;=P_CORTE,"Alta","Moderada")</f>
        <v>Moderada</v>
      </c>
      <c r="AI58" s="13" t="str">
        <f aca="false">INDEX(PAQ_T,MATCH(AG58&amp;"|"&amp;AH58,PAQ_KEY,0))</f>
        <v>T6</v>
      </c>
      <c r="AJ58" s="8" t="n">
        <v>52</v>
      </c>
      <c r="AK58" s="7" t="s">
        <v>1005</v>
      </c>
      <c r="AL58" s="34"/>
      <c r="AM58" s="23"/>
    </row>
    <row r="59" customFormat="false" ht="15" hidden="false" customHeight="false" outlineLevel="0" collapsed="false">
      <c r="A59" s="7" t="s">
        <v>1009</v>
      </c>
      <c r="B59" s="7" t="s">
        <v>947</v>
      </c>
      <c r="C59" s="7" t="s">
        <v>1003</v>
      </c>
      <c r="D59" s="7" t="s">
        <v>1008</v>
      </c>
      <c r="E59" s="34" t="n">
        <v>30.804</v>
      </c>
      <c r="F59" s="34" t="n">
        <v>2903.6</v>
      </c>
      <c r="G59" s="22" t="n">
        <v>0.624477</v>
      </c>
      <c r="H59" s="34" t="n">
        <v>0</v>
      </c>
      <c r="I59" s="34" t="n">
        <v>0</v>
      </c>
      <c r="J59" s="34" t="n">
        <v>30.804</v>
      </c>
      <c r="K59" s="34" t="n">
        <v>0</v>
      </c>
      <c r="L59" s="34" t="n">
        <v>0.008</v>
      </c>
      <c r="M59" s="34" t="n">
        <v>0.358</v>
      </c>
      <c r="N59" s="34" t="n">
        <v>12.588</v>
      </c>
      <c r="O59" s="34" t="n">
        <v>17.859</v>
      </c>
      <c r="P59" s="34" t="n">
        <v>0</v>
      </c>
      <c r="Q59" s="34" t="n">
        <v>0.062</v>
      </c>
      <c r="R59" s="34" t="n">
        <v>0.25</v>
      </c>
      <c r="S59" s="34" t="n">
        <v>2.266</v>
      </c>
      <c r="T59" s="34" t="n">
        <v>28.226</v>
      </c>
      <c r="U59" s="34" t="n">
        <v>0.007</v>
      </c>
      <c r="V59" s="34" t="n">
        <v>0</v>
      </c>
      <c r="W59" s="34" t="n">
        <v>0.353</v>
      </c>
      <c r="X59" s="34" t="n">
        <v>0.006</v>
      </c>
      <c r="Y59" s="34" t="n">
        <v>30.132</v>
      </c>
      <c r="Z59" s="34" t="n">
        <v>0.306</v>
      </c>
      <c r="AA59" s="8" t="n">
        <v>472</v>
      </c>
      <c r="AB59" s="8" t="n">
        <v>850</v>
      </c>
      <c r="AC59" s="7" t="s">
        <v>929</v>
      </c>
      <c r="AD59" s="35"/>
      <c r="AE59" s="7" t="s">
        <v>930</v>
      </c>
      <c r="AF59" s="14" t="n">
        <f aca="false">IF(E59=0,0,(K59+L59+M59)/(K59+L59+M59+N59+O59))</f>
        <v>0.0118781033979165</v>
      </c>
      <c r="AG59" s="7" t="str">
        <f aca="false">IF(J59&gt;=MAX(H59,I59),"MOSAICO",IF(H59&gt;=I59,"BES","ANDINO"))</f>
        <v>MOSAICO</v>
      </c>
      <c r="AH59" s="7" t="str">
        <f aca="false">IF(AF59&gt;=P_CORTE,"Alta","Moderada")</f>
        <v>Moderada</v>
      </c>
      <c r="AI59" s="13" t="str">
        <f aca="false">INDEX(PAQ_T,MATCH(AG59&amp;"|"&amp;AH59,PAQ_KEY,0))</f>
        <v>T6</v>
      </c>
      <c r="AJ59" s="8" t="n">
        <v>53</v>
      </c>
      <c r="AK59" s="7" t="s">
        <v>1005</v>
      </c>
      <c r="AL59" s="34"/>
      <c r="AM59" s="23"/>
    </row>
    <row r="60" customFormat="false" ht="15" hidden="false" customHeight="false" outlineLevel="0" collapsed="false">
      <c r="A60" s="9" t="s">
        <v>1010</v>
      </c>
      <c r="B60" s="9" t="s">
        <v>947</v>
      </c>
      <c r="C60" s="9" t="s">
        <v>1003</v>
      </c>
      <c r="D60" s="9" t="s">
        <v>1008</v>
      </c>
      <c r="E60" s="36" t="n">
        <v>23.171</v>
      </c>
      <c r="F60" s="36" t="n">
        <v>2284.3</v>
      </c>
      <c r="G60" s="31" t="n">
        <v>0.551525</v>
      </c>
      <c r="H60" s="36" t="n">
        <v>0</v>
      </c>
      <c r="I60" s="36" t="n">
        <v>0</v>
      </c>
      <c r="J60" s="36" t="n">
        <v>23.171</v>
      </c>
      <c r="K60" s="36" t="n">
        <v>0.139</v>
      </c>
      <c r="L60" s="36" t="n">
        <v>0.753</v>
      </c>
      <c r="M60" s="36" t="n">
        <v>4.047</v>
      </c>
      <c r="N60" s="36" t="n">
        <v>13.434</v>
      </c>
      <c r="O60" s="36" t="n">
        <v>4.817</v>
      </c>
      <c r="P60" s="36" t="n">
        <v>0</v>
      </c>
      <c r="Q60" s="36" t="n">
        <v>0.325</v>
      </c>
      <c r="R60" s="36" t="n">
        <v>0.42</v>
      </c>
      <c r="S60" s="36" t="n">
        <v>2.39</v>
      </c>
      <c r="T60" s="36" t="n">
        <v>20.037</v>
      </c>
      <c r="U60" s="36" t="n">
        <v>0.891</v>
      </c>
      <c r="V60" s="36" t="n">
        <v>0</v>
      </c>
      <c r="W60" s="36" t="n">
        <v>3.75</v>
      </c>
      <c r="X60" s="36" t="n">
        <v>0.29</v>
      </c>
      <c r="Y60" s="36" t="n">
        <v>17.785</v>
      </c>
      <c r="Z60" s="36" t="n">
        <v>0.455</v>
      </c>
      <c r="AA60" s="12" t="n">
        <v>0</v>
      </c>
      <c r="AB60" s="12" t="n">
        <v>46</v>
      </c>
      <c r="AC60" s="9" t="s">
        <v>929</v>
      </c>
      <c r="AD60" s="35"/>
      <c r="AE60" s="9" t="s">
        <v>930</v>
      </c>
      <c r="AF60" s="14" t="n">
        <f aca="false">IF(E60=0,0,(K60+L60+M60)/(K60+L60+M60+N60+O60))</f>
        <v>0.212979732643381</v>
      </c>
      <c r="AG60" s="7" t="str">
        <f aca="false">IF(J60&gt;=MAX(H60,I60),"MOSAICO",IF(H60&gt;=I60,"BES","ANDINO"))</f>
        <v>MOSAICO</v>
      </c>
      <c r="AH60" s="7" t="str">
        <f aca="false">IF(AF60&gt;=P_CORTE,"Alta","Moderada")</f>
        <v>Moderada</v>
      </c>
      <c r="AI60" s="13" t="str">
        <f aca="false">INDEX(PAQ_T,MATCH(AG60&amp;"|"&amp;AH60,PAQ_KEY,0))</f>
        <v>T6</v>
      </c>
      <c r="AJ60" s="8" t="n">
        <v>54</v>
      </c>
      <c r="AK60" s="7" t="s">
        <v>1005</v>
      </c>
      <c r="AL60" s="34"/>
      <c r="AM60" s="23"/>
    </row>
    <row r="61" customFormat="false" ht="15" hidden="false" customHeight="false" outlineLevel="0" collapsed="false">
      <c r="A61" s="7" t="s">
        <v>1011</v>
      </c>
      <c r="B61" s="7" t="s">
        <v>947</v>
      </c>
      <c r="C61" s="7" t="s">
        <v>1003</v>
      </c>
      <c r="D61" s="7" t="s">
        <v>1008</v>
      </c>
      <c r="E61" s="34" t="n">
        <v>28.234</v>
      </c>
      <c r="F61" s="34" t="n">
        <v>2377.1</v>
      </c>
      <c r="G61" s="22" t="n">
        <v>0.511324</v>
      </c>
      <c r="H61" s="34" t="n">
        <v>0</v>
      </c>
      <c r="I61" s="34" t="n">
        <v>28.234</v>
      </c>
      <c r="J61" s="34" t="n">
        <v>0</v>
      </c>
      <c r="K61" s="34" t="n">
        <v>0</v>
      </c>
      <c r="L61" s="34" t="n">
        <v>0</v>
      </c>
      <c r="M61" s="34" t="n">
        <v>14.704</v>
      </c>
      <c r="N61" s="34" t="n">
        <v>11.392</v>
      </c>
      <c r="O61" s="34" t="n">
        <v>2.147</v>
      </c>
      <c r="P61" s="34" t="n">
        <v>0.03</v>
      </c>
      <c r="Q61" s="34" t="n">
        <v>0.872</v>
      </c>
      <c r="R61" s="34" t="n">
        <v>2.868</v>
      </c>
      <c r="S61" s="34" t="n">
        <v>12.798</v>
      </c>
      <c r="T61" s="34" t="n">
        <v>11.666</v>
      </c>
      <c r="U61" s="34" t="n">
        <v>0</v>
      </c>
      <c r="V61" s="34" t="n">
        <v>0</v>
      </c>
      <c r="W61" s="34" t="n">
        <v>12.658</v>
      </c>
      <c r="X61" s="34" t="n">
        <v>2.041</v>
      </c>
      <c r="Y61" s="34" t="n">
        <v>11.806</v>
      </c>
      <c r="Z61" s="34" t="n">
        <v>1.729</v>
      </c>
      <c r="AA61" s="8" t="n">
        <v>0</v>
      </c>
      <c r="AB61" s="8" t="n">
        <v>113</v>
      </c>
      <c r="AC61" s="7" t="s">
        <v>929</v>
      </c>
      <c r="AD61" s="35"/>
      <c r="AE61" s="7" t="s">
        <v>930</v>
      </c>
      <c r="AF61" s="14" t="n">
        <f aca="false">IF(E61=0,0,(K61+L61+M61)/(K61+L61+M61+N61+O61))</f>
        <v>0.520624579541833</v>
      </c>
      <c r="AG61" s="7" t="str">
        <f aca="false">IF(J61&gt;=MAX(H61,I61),"MOSAICO",IF(H61&gt;=I61,"BES","ANDINO"))</f>
        <v>ANDINO</v>
      </c>
      <c r="AH61" s="7" t="str">
        <f aca="false">IF(AF61&gt;=P_CORTE,"Alta","Moderada")</f>
        <v>Alta</v>
      </c>
      <c r="AI61" s="13" t="str">
        <f aca="false">INDEX(PAQ_T,MATCH(AG61&amp;"|"&amp;AH61,PAQ_KEY,0))</f>
        <v>T3</v>
      </c>
      <c r="AJ61" s="8" t="n">
        <v>55</v>
      </c>
      <c r="AK61" s="7" t="s">
        <v>1005</v>
      </c>
      <c r="AL61" s="34"/>
      <c r="AM61" s="23"/>
    </row>
    <row r="62" customFormat="false" ht="15" hidden="false" customHeight="false" outlineLevel="0" collapsed="false">
      <c r="A62" s="9" t="s">
        <v>1012</v>
      </c>
      <c r="B62" s="9" t="s">
        <v>947</v>
      </c>
      <c r="C62" s="9" t="s">
        <v>1003</v>
      </c>
      <c r="D62" s="9" t="s">
        <v>1008</v>
      </c>
      <c r="E62" s="36" t="n">
        <v>13.551</v>
      </c>
      <c r="F62" s="36" t="n">
        <v>1783.1</v>
      </c>
      <c r="G62" s="31" t="n">
        <v>0.593628</v>
      </c>
      <c r="H62" s="36" t="n">
        <v>0</v>
      </c>
      <c r="I62" s="36" t="n">
        <v>7.326</v>
      </c>
      <c r="J62" s="36" t="n">
        <v>6.225</v>
      </c>
      <c r="K62" s="36" t="n">
        <v>0</v>
      </c>
      <c r="L62" s="36" t="n">
        <v>0</v>
      </c>
      <c r="M62" s="36" t="n">
        <v>1.336</v>
      </c>
      <c r="N62" s="36" t="n">
        <v>6.629</v>
      </c>
      <c r="O62" s="36" t="n">
        <v>5.591</v>
      </c>
      <c r="P62" s="36" t="n">
        <v>0</v>
      </c>
      <c r="Q62" s="36" t="n">
        <v>0.094</v>
      </c>
      <c r="R62" s="36" t="n">
        <v>0.219</v>
      </c>
      <c r="S62" s="36" t="n">
        <v>2.218</v>
      </c>
      <c r="T62" s="36" t="n">
        <v>11.02</v>
      </c>
      <c r="U62" s="36" t="n">
        <v>0</v>
      </c>
      <c r="V62" s="36" t="n">
        <v>0</v>
      </c>
      <c r="W62" s="36" t="n">
        <v>1.277</v>
      </c>
      <c r="X62" s="36" t="n">
        <v>0.057</v>
      </c>
      <c r="Y62" s="36" t="n">
        <v>11.961</v>
      </c>
      <c r="Z62" s="36" t="n">
        <v>0.257</v>
      </c>
      <c r="AA62" s="12" t="n">
        <v>348</v>
      </c>
      <c r="AB62" s="12" t="n">
        <v>580</v>
      </c>
      <c r="AC62" s="9" t="s">
        <v>963</v>
      </c>
      <c r="AD62" s="35"/>
      <c r="AE62" s="9" t="s">
        <v>930</v>
      </c>
      <c r="AF62" s="14" t="n">
        <f aca="false">IF(E62=0,0,(K62+L62+M62)/(K62+L62+M62+N62+O62))</f>
        <v>0.0985541457657126</v>
      </c>
      <c r="AG62" s="7" t="str">
        <f aca="false">IF(J62&gt;=MAX(H62,I62),"MOSAICO",IF(H62&gt;=I62,"BES","ANDINO"))</f>
        <v>ANDINO</v>
      </c>
      <c r="AH62" s="7" t="str">
        <f aca="false">IF(AF62&gt;=P_CORTE,"Alta","Moderada")</f>
        <v>Moderada</v>
      </c>
      <c r="AI62" s="13" t="str">
        <f aca="false">INDEX(PAQ_T,MATCH(AG62&amp;"|"&amp;AH62,PAQ_KEY,0))</f>
        <v>T4</v>
      </c>
      <c r="AJ62" s="8" t="n">
        <v>56</v>
      </c>
      <c r="AK62" s="7" t="s">
        <v>1005</v>
      </c>
      <c r="AL62" s="34"/>
      <c r="AM62" s="23"/>
    </row>
    <row r="63" customFormat="false" ht="15" hidden="false" customHeight="false" outlineLevel="0" collapsed="false">
      <c r="A63" s="7" t="s">
        <v>1013</v>
      </c>
      <c r="B63" s="7" t="s">
        <v>947</v>
      </c>
      <c r="C63" s="7" t="s">
        <v>1003</v>
      </c>
      <c r="D63" s="7" t="s">
        <v>1008</v>
      </c>
      <c r="E63" s="34" t="n">
        <v>13.184</v>
      </c>
      <c r="F63" s="34" t="n">
        <v>1713.1</v>
      </c>
      <c r="G63" s="22" t="n">
        <v>0.605293</v>
      </c>
      <c r="H63" s="34" t="n">
        <v>0.919</v>
      </c>
      <c r="I63" s="34" t="n">
        <v>0</v>
      </c>
      <c r="J63" s="34" t="n">
        <v>12.265</v>
      </c>
      <c r="K63" s="34" t="n">
        <v>0</v>
      </c>
      <c r="L63" s="34" t="n">
        <v>0</v>
      </c>
      <c r="M63" s="34" t="n">
        <v>0.281</v>
      </c>
      <c r="N63" s="34" t="n">
        <v>6.398</v>
      </c>
      <c r="O63" s="34" t="n">
        <v>6.509</v>
      </c>
      <c r="P63" s="34" t="n">
        <v>0</v>
      </c>
      <c r="Q63" s="34" t="n">
        <v>0.005</v>
      </c>
      <c r="R63" s="34" t="n">
        <v>0.096</v>
      </c>
      <c r="S63" s="34" t="n">
        <v>1.725</v>
      </c>
      <c r="T63" s="34" t="n">
        <v>11.358</v>
      </c>
      <c r="U63" s="34" t="n">
        <v>0</v>
      </c>
      <c r="V63" s="34" t="n">
        <v>0</v>
      </c>
      <c r="W63" s="34" t="n">
        <v>0.279</v>
      </c>
      <c r="X63" s="34" t="n">
        <v>0</v>
      </c>
      <c r="Y63" s="34" t="n">
        <v>12.804</v>
      </c>
      <c r="Z63" s="34" t="n">
        <v>0.101</v>
      </c>
      <c r="AA63" s="8" t="n">
        <v>137</v>
      </c>
      <c r="AB63" s="8" t="n">
        <v>505</v>
      </c>
      <c r="AC63" s="7" t="s">
        <v>929</v>
      </c>
      <c r="AD63" s="35"/>
      <c r="AE63" s="7" t="s">
        <v>930</v>
      </c>
      <c r="AF63" s="14" t="n">
        <f aca="false">IF(E63=0,0,(K63+L63+M63)/(K63+L63+M63+N63+O63))</f>
        <v>0.0213072490142554</v>
      </c>
      <c r="AG63" s="7" t="str">
        <f aca="false">IF(J63&gt;=MAX(H63,I63),"MOSAICO",IF(H63&gt;=I63,"BES","ANDINO"))</f>
        <v>MOSAICO</v>
      </c>
      <c r="AH63" s="7" t="str">
        <f aca="false">IF(AF63&gt;=P_CORTE,"Alta","Moderada")</f>
        <v>Moderada</v>
      </c>
      <c r="AI63" s="13" t="str">
        <f aca="false">INDEX(PAQ_T,MATCH(AG63&amp;"|"&amp;AH63,PAQ_KEY,0))</f>
        <v>T6</v>
      </c>
      <c r="AJ63" s="8" t="n">
        <v>57</v>
      </c>
      <c r="AK63" s="7" t="s">
        <v>1005</v>
      </c>
      <c r="AL63" s="34"/>
      <c r="AM63" s="23"/>
    </row>
    <row r="64" customFormat="false" ht="15" hidden="false" customHeight="false" outlineLevel="0" collapsed="false">
      <c r="A64" s="9" t="s">
        <v>1014</v>
      </c>
      <c r="B64" s="9" t="s">
        <v>947</v>
      </c>
      <c r="C64" s="9" t="s">
        <v>1003</v>
      </c>
      <c r="D64" s="9" t="s">
        <v>1008</v>
      </c>
      <c r="E64" s="36" t="n">
        <v>55.17</v>
      </c>
      <c r="F64" s="36" t="n">
        <v>3481.5</v>
      </c>
      <c r="G64" s="31" t="n">
        <v>0.594025</v>
      </c>
      <c r="H64" s="36" t="n">
        <v>0</v>
      </c>
      <c r="I64" s="36" t="n">
        <v>55.17</v>
      </c>
      <c r="J64" s="36" t="n">
        <v>0</v>
      </c>
      <c r="K64" s="36" t="n">
        <v>0</v>
      </c>
      <c r="L64" s="36" t="n">
        <v>0</v>
      </c>
      <c r="M64" s="36" t="n">
        <v>2.269</v>
      </c>
      <c r="N64" s="36" t="n">
        <v>34.503</v>
      </c>
      <c r="O64" s="36" t="n">
        <v>18.414</v>
      </c>
      <c r="P64" s="36" t="n">
        <v>0.045</v>
      </c>
      <c r="Q64" s="36" t="n">
        <v>2.188</v>
      </c>
      <c r="R64" s="36" t="n">
        <v>8.868</v>
      </c>
      <c r="S64" s="36" t="n">
        <v>29.086</v>
      </c>
      <c r="T64" s="36" t="n">
        <v>14.982</v>
      </c>
      <c r="U64" s="36" t="n">
        <v>0</v>
      </c>
      <c r="V64" s="36" t="n">
        <v>0</v>
      </c>
      <c r="W64" s="36" t="n">
        <v>1.272</v>
      </c>
      <c r="X64" s="36" t="n">
        <v>0.992</v>
      </c>
      <c r="Y64" s="36" t="n">
        <v>42.796</v>
      </c>
      <c r="Z64" s="36" t="n">
        <v>10.109</v>
      </c>
      <c r="AA64" s="12" t="n">
        <v>28</v>
      </c>
      <c r="AB64" s="12" t="n">
        <v>360</v>
      </c>
      <c r="AC64" s="9" t="s">
        <v>963</v>
      </c>
      <c r="AD64" s="35"/>
      <c r="AE64" s="9" t="s">
        <v>930</v>
      </c>
      <c r="AF64" s="14" t="n">
        <f aca="false">IF(E64=0,0,(K64+L64+M64)/(K64+L64+M64+N64+O64))</f>
        <v>0.0411155003080492</v>
      </c>
      <c r="AG64" s="7" t="str">
        <f aca="false">IF(J64&gt;=MAX(H64,I64),"MOSAICO",IF(H64&gt;=I64,"BES","ANDINO"))</f>
        <v>ANDINO</v>
      </c>
      <c r="AH64" s="7" t="str">
        <f aca="false">IF(AF64&gt;=P_CORTE,"Alta","Moderada")</f>
        <v>Moderada</v>
      </c>
      <c r="AI64" s="13" t="str">
        <f aca="false">INDEX(PAQ_T,MATCH(AG64&amp;"|"&amp;AH64,PAQ_KEY,0))</f>
        <v>T4</v>
      </c>
      <c r="AJ64" s="8" t="n">
        <v>58</v>
      </c>
      <c r="AK64" s="7" t="s">
        <v>1005</v>
      </c>
      <c r="AL64" s="34"/>
      <c r="AM64" s="23"/>
    </row>
    <row r="65" customFormat="false" ht="15" hidden="false" customHeight="false" outlineLevel="0" collapsed="false">
      <c r="A65" s="7" t="s">
        <v>1015</v>
      </c>
      <c r="B65" s="7" t="s">
        <v>1016</v>
      </c>
      <c r="C65" s="7" t="s">
        <v>1017</v>
      </c>
      <c r="D65" s="7" t="s">
        <v>1018</v>
      </c>
      <c r="E65" s="34" t="n">
        <v>295.726</v>
      </c>
      <c r="F65" s="34" t="n">
        <v>8425</v>
      </c>
      <c r="G65" s="22" t="n">
        <v>0.3394</v>
      </c>
      <c r="H65" s="34" t="n">
        <v>295.726</v>
      </c>
      <c r="I65" s="34" t="n">
        <v>0</v>
      </c>
      <c r="J65" s="34" t="n">
        <v>0</v>
      </c>
      <c r="K65" s="34" t="n">
        <v>33.518</v>
      </c>
      <c r="L65" s="34" t="n">
        <v>187.064</v>
      </c>
      <c r="M65" s="34" t="n">
        <v>74.931</v>
      </c>
      <c r="N65" s="34" t="n">
        <v>0.447</v>
      </c>
      <c r="O65" s="34" t="n">
        <v>0</v>
      </c>
      <c r="P65" s="34" t="n">
        <v>8.336</v>
      </c>
      <c r="Q65" s="34" t="n">
        <v>27.519</v>
      </c>
      <c r="R65" s="34" t="n">
        <v>38.983</v>
      </c>
      <c r="S65" s="34" t="n">
        <v>151.273</v>
      </c>
      <c r="T65" s="34" t="n">
        <v>69.615</v>
      </c>
      <c r="U65" s="34" t="n">
        <v>151.941</v>
      </c>
      <c r="V65" s="34" t="n">
        <v>68.484</v>
      </c>
      <c r="W65" s="34" t="n">
        <v>68.502</v>
      </c>
      <c r="X65" s="34" t="n">
        <v>6.353</v>
      </c>
      <c r="Y65" s="34" t="n">
        <v>0.445</v>
      </c>
      <c r="Z65" s="34" t="n">
        <v>0</v>
      </c>
      <c r="AA65" s="8" t="n">
        <v>3690</v>
      </c>
      <c r="AB65" s="8" t="n">
        <v>5228</v>
      </c>
      <c r="AC65" s="7" t="s">
        <v>963</v>
      </c>
      <c r="AD65" s="35"/>
      <c r="AE65" s="7" t="s">
        <v>930</v>
      </c>
      <c r="AF65" s="14" t="n">
        <f aca="false">IF(E65=0,0,(K65+L65+M65)/(K65+L65+M65+N65+O65))</f>
        <v>0.998489660764968</v>
      </c>
      <c r="AG65" s="7" t="str">
        <f aca="false">IF(J65&gt;=MAX(H65,I65),"MOSAICO",IF(H65&gt;=I65,"BES","ANDINO"))</f>
        <v>BES</v>
      </c>
      <c r="AH65" s="7" t="str">
        <f aca="false">IF(AF65&gt;=P_CORTE,"Alta","Moderada")</f>
        <v>Alta</v>
      </c>
      <c r="AI65" s="13" t="str">
        <f aca="false">INDEX(PAQ_T,MATCH(AG65&amp;"|"&amp;AH65,PAQ_KEY,0))</f>
        <v>T1</v>
      </c>
      <c r="AJ65" s="8" t="n">
        <v>59</v>
      </c>
      <c r="AK65" s="7" t="s">
        <v>1019</v>
      </c>
      <c r="AL65" s="34" t="n">
        <v>10.986</v>
      </c>
      <c r="AM65" s="23" t="s">
        <v>1020</v>
      </c>
    </row>
    <row r="66" customFormat="false" ht="15" hidden="false" customHeight="false" outlineLevel="0" collapsed="false">
      <c r="A66" s="9" t="s">
        <v>54</v>
      </c>
      <c r="B66" s="9" t="s">
        <v>1016</v>
      </c>
      <c r="C66" s="9" t="s">
        <v>1017</v>
      </c>
      <c r="D66" s="9" t="s">
        <v>1018</v>
      </c>
      <c r="E66" s="36" t="n">
        <v>249.89</v>
      </c>
      <c r="F66" s="36" t="n">
        <v>8894.1</v>
      </c>
      <c r="G66" s="31" t="n">
        <v>0.30989</v>
      </c>
      <c r="H66" s="36" t="n">
        <v>249.89</v>
      </c>
      <c r="I66" s="36" t="n">
        <v>0</v>
      </c>
      <c r="J66" s="36" t="n">
        <v>0</v>
      </c>
      <c r="K66" s="36" t="n">
        <v>75.879</v>
      </c>
      <c r="L66" s="36" t="n">
        <v>127.27</v>
      </c>
      <c r="M66" s="36" t="n">
        <v>46.495</v>
      </c>
      <c r="N66" s="36" t="n">
        <v>0.439</v>
      </c>
      <c r="O66" s="36" t="n">
        <v>0</v>
      </c>
      <c r="P66" s="36" t="n">
        <v>0.25</v>
      </c>
      <c r="Q66" s="36" t="n">
        <v>9.527</v>
      </c>
      <c r="R66" s="36" t="n">
        <v>33.576</v>
      </c>
      <c r="S66" s="36" t="n">
        <v>132.301</v>
      </c>
      <c r="T66" s="36" t="n">
        <v>74.237</v>
      </c>
      <c r="U66" s="36" t="n">
        <v>162.308</v>
      </c>
      <c r="V66" s="36" t="n">
        <v>40.697</v>
      </c>
      <c r="W66" s="36" t="n">
        <v>43.793</v>
      </c>
      <c r="X66" s="36" t="n">
        <v>2.655</v>
      </c>
      <c r="Y66" s="36" t="n">
        <v>0.436</v>
      </c>
      <c r="Z66" s="36" t="n">
        <v>0</v>
      </c>
      <c r="AA66" s="12" t="n">
        <v>210</v>
      </c>
      <c r="AB66" s="12" t="n">
        <v>1200</v>
      </c>
      <c r="AC66" s="9" t="s">
        <v>963</v>
      </c>
      <c r="AD66" s="35"/>
      <c r="AE66" s="38" t="s">
        <v>957</v>
      </c>
      <c r="AF66" s="14" t="n">
        <f aca="false">IF(E66=0,0,(K66+L66+M66)/(K66+L66+M66+N66+O66))</f>
        <v>0.998244582798511</v>
      </c>
      <c r="AG66" s="7" t="str">
        <f aca="false">IF(J66&gt;=MAX(H66,I66),"MOSAICO",IF(H66&gt;=I66,"BES","ANDINO"))</f>
        <v>BES</v>
      </c>
      <c r="AH66" s="7" t="str">
        <f aca="false">IF(AF66&gt;=P_CORTE,"Alta","Moderada")</f>
        <v>Alta</v>
      </c>
      <c r="AI66" s="13" t="str">
        <f aca="false">INDEX(PAQ_T,MATCH(AG66&amp;"|"&amp;AH66,PAQ_KEY,0))</f>
        <v>T1</v>
      </c>
      <c r="AJ66" s="8" t="n">
        <v>60</v>
      </c>
      <c r="AK66" s="7" t="s">
        <v>1019</v>
      </c>
      <c r="AL66" s="34"/>
      <c r="AM66" s="23"/>
    </row>
    <row r="67" customFormat="false" ht="15" hidden="false" customHeight="false" outlineLevel="0" collapsed="false">
      <c r="A67" s="7" t="s">
        <v>1021</v>
      </c>
      <c r="B67" s="7" t="s">
        <v>1016</v>
      </c>
      <c r="C67" s="7" t="s">
        <v>1017</v>
      </c>
      <c r="D67" s="7" t="s">
        <v>1018</v>
      </c>
      <c r="E67" s="34" t="n">
        <v>514.359</v>
      </c>
      <c r="F67" s="34" t="n">
        <v>14413.3</v>
      </c>
      <c r="G67" s="22" t="n">
        <v>0.3381</v>
      </c>
      <c r="H67" s="34" t="n">
        <v>514.359</v>
      </c>
      <c r="I67" s="34" t="n">
        <v>0</v>
      </c>
      <c r="J67" s="34" t="n">
        <v>0</v>
      </c>
      <c r="K67" s="34" t="n">
        <v>63.507</v>
      </c>
      <c r="L67" s="34" t="n">
        <v>328.894</v>
      </c>
      <c r="M67" s="34" t="n">
        <v>117.108</v>
      </c>
      <c r="N67" s="34" t="n">
        <v>5.073</v>
      </c>
      <c r="O67" s="34" t="n">
        <v>0.149</v>
      </c>
      <c r="P67" s="34" t="n">
        <v>3.174</v>
      </c>
      <c r="Q67" s="34" t="n">
        <v>38.186</v>
      </c>
      <c r="R67" s="34" t="n">
        <v>126.599</v>
      </c>
      <c r="S67" s="34" t="n">
        <v>290.179</v>
      </c>
      <c r="T67" s="34" t="n">
        <v>56.22</v>
      </c>
      <c r="U67" s="34" t="n">
        <v>239.025</v>
      </c>
      <c r="V67" s="34" t="n">
        <v>153.115</v>
      </c>
      <c r="W67" s="34" t="n">
        <v>103.151</v>
      </c>
      <c r="X67" s="34" t="n">
        <v>13.856</v>
      </c>
      <c r="Y67" s="34" t="n">
        <v>4.223</v>
      </c>
      <c r="Z67" s="34" t="n">
        <v>0.988</v>
      </c>
      <c r="AA67" s="8" t="n">
        <v>3138</v>
      </c>
      <c r="AB67" s="8" t="n">
        <v>4875</v>
      </c>
      <c r="AC67" s="7" t="s">
        <v>963</v>
      </c>
      <c r="AD67" s="35"/>
      <c r="AE67" s="7" t="s">
        <v>930</v>
      </c>
      <c r="AF67" s="14" t="n">
        <f aca="false">IF(E67=0,0,(K67+L67+M67)/(K67+L67+M67+N67+O67))</f>
        <v>0.98985489508112</v>
      </c>
      <c r="AG67" s="7" t="str">
        <f aca="false">IF(J67&gt;=MAX(H67,I67),"MOSAICO",IF(H67&gt;=I67,"BES","ANDINO"))</f>
        <v>BES</v>
      </c>
      <c r="AH67" s="7" t="str">
        <f aca="false">IF(AF67&gt;=P_CORTE,"Alta","Moderada")</f>
        <v>Alta</v>
      </c>
      <c r="AI67" s="13" t="str">
        <f aca="false">INDEX(PAQ_T,MATCH(AG67&amp;"|"&amp;AH67,PAQ_KEY,0))</f>
        <v>T1</v>
      </c>
      <c r="AJ67" s="8" t="n">
        <v>61</v>
      </c>
      <c r="AK67" s="7" t="s">
        <v>1019</v>
      </c>
      <c r="AL67" s="34"/>
      <c r="AM67" s="23"/>
    </row>
    <row r="68" customFormat="false" ht="15" hidden="false" customHeight="false" outlineLevel="0" collapsed="false">
      <c r="A68" s="9" t="s">
        <v>1022</v>
      </c>
      <c r="B68" s="9" t="s">
        <v>1016</v>
      </c>
      <c r="C68" s="9" t="s">
        <v>1017</v>
      </c>
      <c r="D68" s="9" t="s">
        <v>1018</v>
      </c>
      <c r="E68" s="36" t="n">
        <v>333.011</v>
      </c>
      <c r="F68" s="36" t="n">
        <v>9253.1</v>
      </c>
      <c r="G68" s="31" t="n">
        <v>0.302636</v>
      </c>
      <c r="H68" s="36" t="n">
        <v>333.011</v>
      </c>
      <c r="I68" s="36" t="n">
        <v>0</v>
      </c>
      <c r="J68" s="36" t="n">
        <v>0</v>
      </c>
      <c r="K68" s="36" t="n">
        <v>90.339</v>
      </c>
      <c r="L68" s="36" t="n">
        <v>214.57</v>
      </c>
      <c r="M68" s="36" t="n">
        <v>25.061</v>
      </c>
      <c r="N68" s="36" t="n">
        <v>2.583</v>
      </c>
      <c r="O68" s="36" t="n">
        <v>0.742</v>
      </c>
      <c r="P68" s="36" t="n">
        <v>3.374</v>
      </c>
      <c r="Q68" s="36" t="n">
        <v>48.038</v>
      </c>
      <c r="R68" s="36" t="n">
        <v>111.432</v>
      </c>
      <c r="S68" s="36" t="n">
        <v>153.273</v>
      </c>
      <c r="T68" s="36" t="n">
        <v>16.894</v>
      </c>
      <c r="U68" s="36" t="n">
        <v>150.324</v>
      </c>
      <c r="V68" s="36" t="n">
        <v>154.348</v>
      </c>
      <c r="W68" s="36" t="n">
        <v>19.206</v>
      </c>
      <c r="X68" s="36" t="n">
        <v>5.812</v>
      </c>
      <c r="Y68" s="36" t="n">
        <v>0.637</v>
      </c>
      <c r="Z68" s="36" t="n">
        <v>2.684</v>
      </c>
      <c r="AA68" s="12" t="n">
        <v>2694</v>
      </c>
      <c r="AB68" s="12" t="n">
        <v>3606</v>
      </c>
      <c r="AC68" s="9" t="s">
        <v>929</v>
      </c>
      <c r="AD68" s="35"/>
      <c r="AE68" s="9" t="s">
        <v>930</v>
      </c>
      <c r="AF68" s="14" t="n">
        <f aca="false">IF(E68=0,0,(K68+L68+M68)/(K68+L68+M68+N68+O68))</f>
        <v>0.990023852743065</v>
      </c>
      <c r="AG68" s="7" t="str">
        <f aca="false">IF(J68&gt;=MAX(H68,I68),"MOSAICO",IF(H68&gt;=I68,"BES","ANDINO"))</f>
        <v>BES</v>
      </c>
      <c r="AH68" s="7" t="str">
        <f aca="false">IF(AF68&gt;=P_CORTE,"Alta","Moderada")</f>
        <v>Alta</v>
      </c>
      <c r="AI68" s="13" t="str">
        <f aca="false">INDEX(PAQ_T,MATCH(AG68&amp;"|"&amp;AH68,PAQ_KEY,0))</f>
        <v>T1</v>
      </c>
      <c r="AJ68" s="8" t="n">
        <v>62</v>
      </c>
      <c r="AK68" s="7" t="s">
        <v>1019</v>
      </c>
      <c r="AL68" s="34"/>
      <c r="AM68" s="23"/>
    </row>
    <row r="69" customFormat="false" ht="15" hidden="false" customHeight="false" outlineLevel="0" collapsed="false">
      <c r="A69" s="7" t="s">
        <v>1023</v>
      </c>
      <c r="B69" s="7" t="s">
        <v>1016</v>
      </c>
      <c r="C69" s="7" t="s">
        <v>1017</v>
      </c>
      <c r="D69" s="7" t="s">
        <v>1018</v>
      </c>
      <c r="E69" s="34" t="n">
        <v>160.978</v>
      </c>
      <c r="F69" s="34" t="n">
        <v>5607.9</v>
      </c>
      <c r="G69" s="22" t="n">
        <v>0.406259</v>
      </c>
      <c r="H69" s="34" t="n">
        <v>160.978</v>
      </c>
      <c r="I69" s="34" t="n">
        <v>0</v>
      </c>
      <c r="J69" s="34" t="n">
        <v>0</v>
      </c>
      <c r="K69" s="34" t="n">
        <v>4.691</v>
      </c>
      <c r="L69" s="34" t="n">
        <v>53.891</v>
      </c>
      <c r="M69" s="34" t="n">
        <v>87.193</v>
      </c>
      <c r="N69" s="34" t="n">
        <v>14.944</v>
      </c>
      <c r="O69" s="34" t="n">
        <v>0.377</v>
      </c>
      <c r="P69" s="34" t="n">
        <v>0.437</v>
      </c>
      <c r="Q69" s="34" t="n">
        <v>6.33</v>
      </c>
      <c r="R69" s="34" t="n">
        <v>24.992</v>
      </c>
      <c r="S69" s="34" t="n">
        <v>91.374</v>
      </c>
      <c r="T69" s="34" t="n">
        <v>37.899</v>
      </c>
      <c r="U69" s="34" t="n">
        <v>37.219</v>
      </c>
      <c r="V69" s="34" t="n">
        <v>21.355</v>
      </c>
      <c r="W69" s="34" t="n">
        <v>77.862</v>
      </c>
      <c r="X69" s="34" t="n">
        <v>9.293</v>
      </c>
      <c r="Y69" s="34" t="n">
        <v>14.193</v>
      </c>
      <c r="Z69" s="34" t="n">
        <v>1.111</v>
      </c>
      <c r="AA69" s="8" t="n">
        <v>992</v>
      </c>
      <c r="AB69" s="8" t="n">
        <v>1703</v>
      </c>
      <c r="AC69" s="7" t="s">
        <v>929</v>
      </c>
      <c r="AD69" s="35"/>
      <c r="AE69" s="7" t="s">
        <v>930</v>
      </c>
      <c r="AF69" s="14" t="n">
        <f aca="false">IF(E69=0,0,(K69+L69+M69)/(K69+L69+M69+N69+O69))</f>
        <v>0.904895217758355</v>
      </c>
      <c r="AG69" s="7" t="str">
        <f aca="false">IF(J69&gt;=MAX(H69,I69),"MOSAICO",IF(H69&gt;=I69,"BES","ANDINO"))</f>
        <v>BES</v>
      </c>
      <c r="AH69" s="7" t="str">
        <f aca="false">IF(AF69&gt;=P_CORTE,"Alta","Moderada")</f>
        <v>Alta</v>
      </c>
      <c r="AI69" s="13" t="str">
        <f aca="false">INDEX(PAQ_T,MATCH(AG69&amp;"|"&amp;AH69,PAQ_KEY,0))</f>
        <v>T1</v>
      </c>
      <c r="AJ69" s="8" t="n">
        <v>63</v>
      </c>
      <c r="AK69" s="7" t="s">
        <v>1019</v>
      </c>
      <c r="AL69" s="34"/>
      <c r="AM69" s="23"/>
    </row>
    <row r="70" customFormat="false" ht="15" hidden="false" customHeight="false" outlineLevel="0" collapsed="false">
      <c r="A70" s="9" t="s">
        <v>1024</v>
      </c>
      <c r="B70" s="9" t="s">
        <v>1016</v>
      </c>
      <c r="C70" s="9" t="s">
        <v>1017</v>
      </c>
      <c r="D70" s="9" t="s">
        <v>1025</v>
      </c>
      <c r="E70" s="36" t="n">
        <v>160.36</v>
      </c>
      <c r="F70" s="36" t="n">
        <v>5765.2</v>
      </c>
      <c r="G70" s="31" t="n">
        <v>0.334299</v>
      </c>
      <c r="H70" s="36" t="n">
        <v>159.141</v>
      </c>
      <c r="I70" s="36" t="n">
        <v>0</v>
      </c>
      <c r="J70" s="36" t="n">
        <v>1.219</v>
      </c>
      <c r="K70" s="36" t="n">
        <v>25.962</v>
      </c>
      <c r="L70" s="36" t="n">
        <v>95.804</v>
      </c>
      <c r="M70" s="36" t="n">
        <v>38.181</v>
      </c>
      <c r="N70" s="36" t="n">
        <v>0.525</v>
      </c>
      <c r="O70" s="36" t="n">
        <v>0</v>
      </c>
      <c r="P70" s="36" t="n">
        <v>0.441</v>
      </c>
      <c r="Q70" s="36" t="n">
        <v>6.632</v>
      </c>
      <c r="R70" s="36" t="n">
        <v>18.798</v>
      </c>
      <c r="S70" s="36" t="n">
        <v>91.766</v>
      </c>
      <c r="T70" s="36" t="n">
        <v>42.723</v>
      </c>
      <c r="U70" s="36" t="n">
        <v>99.639</v>
      </c>
      <c r="V70" s="36" t="n">
        <v>22.046</v>
      </c>
      <c r="W70" s="36" t="n">
        <v>34.328</v>
      </c>
      <c r="X70" s="36" t="n">
        <v>3.822</v>
      </c>
      <c r="Y70" s="36" t="n">
        <v>0.522</v>
      </c>
      <c r="Z70" s="36" t="n">
        <v>0.002</v>
      </c>
      <c r="AA70" s="12" t="n">
        <v>4753</v>
      </c>
      <c r="AB70" s="12" t="n">
        <v>5673</v>
      </c>
      <c r="AC70" s="9" t="s">
        <v>929</v>
      </c>
      <c r="AD70" s="35"/>
      <c r="AE70" s="9" t="s">
        <v>930</v>
      </c>
      <c r="AF70" s="14" t="n">
        <f aca="false">IF(E70=0,0,(K70+L70+M70)/(K70+L70+M70+N70+O70))</f>
        <v>0.996728401216412</v>
      </c>
      <c r="AG70" s="7" t="str">
        <f aca="false">IF(J70&gt;=MAX(H70,I70),"MOSAICO",IF(H70&gt;=I70,"BES","ANDINO"))</f>
        <v>BES</v>
      </c>
      <c r="AH70" s="7" t="str">
        <f aca="false">IF(AF70&gt;=P_CORTE,"Alta","Moderada")</f>
        <v>Alta</v>
      </c>
      <c r="AI70" s="13" t="str">
        <f aca="false">INDEX(PAQ_T,MATCH(AG70&amp;"|"&amp;AH70,PAQ_KEY,0))</f>
        <v>T1</v>
      </c>
      <c r="AJ70" s="8" t="n">
        <v>64</v>
      </c>
      <c r="AK70" s="7" t="s">
        <v>1019</v>
      </c>
      <c r="AL70" s="34"/>
      <c r="AM70" s="23"/>
    </row>
    <row r="71" customFormat="false" ht="15" hidden="false" customHeight="false" outlineLevel="0" collapsed="false">
      <c r="A71" s="7" t="s">
        <v>1026</v>
      </c>
      <c r="B71" s="7" t="s">
        <v>1016</v>
      </c>
      <c r="C71" s="7" t="s">
        <v>1017</v>
      </c>
      <c r="D71" s="7" t="s">
        <v>1027</v>
      </c>
      <c r="E71" s="34" t="n">
        <v>188.797</v>
      </c>
      <c r="F71" s="34" t="n">
        <v>7209.7</v>
      </c>
      <c r="G71" s="22" t="n">
        <v>0.319305</v>
      </c>
      <c r="H71" s="34" t="n">
        <v>188.797</v>
      </c>
      <c r="I71" s="34" t="n">
        <v>0</v>
      </c>
      <c r="J71" s="34" t="n">
        <v>0</v>
      </c>
      <c r="K71" s="34" t="n">
        <v>38.939</v>
      </c>
      <c r="L71" s="34" t="n">
        <v>124.834</v>
      </c>
      <c r="M71" s="34" t="n">
        <v>24.003</v>
      </c>
      <c r="N71" s="34" t="n">
        <v>1.053</v>
      </c>
      <c r="O71" s="34" t="n">
        <v>0.119</v>
      </c>
      <c r="P71" s="34" t="n">
        <v>0.361</v>
      </c>
      <c r="Q71" s="34" t="n">
        <v>7.099</v>
      </c>
      <c r="R71" s="34" t="n">
        <v>34.496</v>
      </c>
      <c r="S71" s="34" t="n">
        <v>114.064</v>
      </c>
      <c r="T71" s="34" t="n">
        <v>32.777</v>
      </c>
      <c r="U71" s="34" t="n">
        <v>123.581</v>
      </c>
      <c r="V71" s="34" t="n">
        <v>40.076</v>
      </c>
      <c r="W71" s="34" t="n">
        <v>22.243</v>
      </c>
      <c r="X71" s="34" t="n">
        <v>1.727</v>
      </c>
      <c r="Y71" s="34" t="n">
        <v>1.017</v>
      </c>
      <c r="Z71" s="34" t="n">
        <v>0.153</v>
      </c>
      <c r="AA71" s="8" t="n">
        <v>6562</v>
      </c>
      <c r="AB71" s="8" t="n">
        <v>7777</v>
      </c>
      <c r="AC71" s="7" t="s">
        <v>963</v>
      </c>
      <c r="AD71" s="35"/>
      <c r="AE71" s="7" t="s">
        <v>930</v>
      </c>
      <c r="AF71" s="14" t="n">
        <f aca="false">IF(E71=0,0,(K71+L71+M71)/(K71+L71+M71+N71+O71))</f>
        <v>0.993797235218155</v>
      </c>
      <c r="AG71" s="7" t="str">
        <f aca="false">IF(J71&gt;=MAX(H71,I71),"MOSAICO",IF(H71&gt;=I71,"BES","ANDINO"))</f>
        <v>BES</v>
      </c>
      <c r="AH71" s="7" t="str">
        <f aca="false">IF(AF71&gt;=P_CORTE,"Alta","Moderada")</f>
        <v>Alta</v>
      </c>
      <c r="AI71" s="13" t="str">
        <f aca="false">INDEX(PAQ_T,MATCH(AG71&amp;"|"&amp;AH71,PAQ_KEY,0))</f>
        <v>T1</v>
      </c>
      <c r="AJ71" s="8" t="n">
        <v>65</v>
      </c>
      <c r="AK71" s="7" t="s">
        <v>1019</v>
      </c>
      <c r="AL71" s="34"/>
      <c r="AM71" s="23"/>
    </row>
    <row r="72" customFormat="false" ht="15" hidden="false" customHeight="false" outlineLevel="0" collapsed="false">
      <c r="A72" s="9" t="s">
        <v>1028</v>
      </c>
      <c r="B72" s="9" t="s">
        <v>1016</v>
      </c>
      <c r="C72" s="9" t="s">
        <v>1029</v>
      </c>
      <c r="D72" s="9" t="s">
        <v>1030</v>
      </c>
      <c r="E72" s="36" t="n">
        <v>13.554</v>
      </c>
      <c r="F72" s="36" t="n">
        <v>1664.2</v>
      </c>
      <c r="G72" s="31" t="n">
        <v>0.614739</v>
      </c>
      <c r="H72" s="36" t="n">
        <v>0</v>
      </c>
      <c r="I72" s="36" t="n">
        <v>8.127</v>
      </c>
      <c r="J72" s="36" t="n">
        <v>5.427</v>
      </c>
      <c r="K72" s="36" t="n">
        <v>0.248</v>
      </c>
      <c r="L72" s="36" t="n">
        <v>0.487</v>
      </c>
      <c r="M72" s="36" t="n">
        <v>1.131</v>
      </c>
      <c r="N72" s="36" t="n">
        <v>3.997</v>
      </c>
      <c r="O72" s="36" t="n">
        <v>7.707</v>
      </c>
      <c r="P72" s="36" t="n">
        <v>0</v>
      </c>
      <c r="Q72" s="36" t="n">
        <v>0.001</v>
      </c>
      <c r="R72" s="36" t="n">
        <v>0.012</v>
      </c>
      <c r="S72" s="36" t="n">
        <v>1.782</v>
      </c>
      <c r="T72" s="36" t="n">
        <v>11.76</v>
      </c>
      <c r="U72" s="36" t="n">
        <v>0.732</v>
      </c>
      <c r="V72" s="36" t="n">
        <v>0</v>
      </c>
      <c r="W72" s="36" t="n">
        <v>1.127</v>
      </c>
      <c r="X72" s="36" t="n">
        <v>0</v>
      </c>
      <c r="Y72" s="36" t="n">
        <v>11.682</v>
      </c>
      <c r="Z72" s="36" t="n">
        <v>0.012</v>
      </c>
      <c r="AA72" s="12" t="n">
        <v>1117</v>
      </c>
      <c r="AB72" s="12" t="n">
        <v>1321</v>
      </c>
      <c r="AC72" s="9" t="s">
        <v>929</v>
      </c>
      <c r="AD72" s="35"/>
      <c r="AE72" s="9" t="s">
        <v>930</v>
      </c>
      <c r="AF72" s="14" t="n">
        <f aca="false">IF(E72=0,0,(K72+L72+M72)/(K72+L72+M72+N72+O72))</f>
        <v>0.137509211495947</v>
      </c>
      <c r="AG72" s="7" t="str">
        <f aca="false">IF(J72&gt;=MAX(H72,I72),"MOSAICO",IF(H72&gt;=I72,"BES","ANDINO"))</f>
        <v>ANDINO</v>
      </c>
      <c r="AH72" s="7" t="str">
        <f aca="false">IF(AF72&gt;=P_CORTE,"Alta","Moderada")</f>
        <v>Moderada</v>
      </c>
      <c r="AI72" s="13" t="str">
        <f aca="false">INDEX(PAQ_T,MATCH(AG72&amp;"|"&amp;AH72,PAQ_KEY,0))</f>
        <v>T4</v>
      </c>
      <c r="AJ72" s="8" t="n">
        <v>66</v>
      </c>
      <c r="AK72" s="7" t="s">
        <v>1031</v>
      </c>
      <c r="AL72" s="34"/>
      <c r="AM72" s="23"/>
    </row>
    <row r="73" customFormat="false" ht="15" hidden="false" customHeight="false" outlineLevel="0" collapsed="false">
      <c r="A73" s="7" t="s">
        <v>1032</v>
      </c>
      <c r="B73" s="7" t="s">
        <v>1016</v>
      </c>
      <c r="C73" s="7" t="s">
        <v>1029</v>
      </c>
      <c r="D73" s="7" t="s">
        <v>1033</v>
      </c>
      <c r="E73" s="34" t="n">
        <v>25.668</v>
      </c>
      <c r="F73" s="34" t="n">
        <v>2382.2</v>
      </c>
      <c r="G73" s="22" t="n">
        <v>0.603055</v>
      </c>
      <c r="H73" s="34" t="n">
        <v>0</v>
      </c>
      <c r="I73" s="34" t="n">
        <v>21.261</v>
      </c>
      <c r="J73" s="34" t="n">
        <v>4.407</v>
      </c>
      <c r="K73" s="34" t="n">
        <v>0</v>
      </c>
      <c r="L73" s="34" t="n">
        <v>0</v>
      </c>
      <c r="M73" s="34" t="n">
        <v>1.18</v>
      </c>
      <c r="N73" s="34" t="n">
        <v>14.35</v>
      </c>
      <c r="O73" s="34" t="n">
        <v>10.156</v>
      </c>
      <c r="P73" s="34" t="n">
        <v>0</v>
      </c>
      <c r="Q73" s="34" t="n">
        <v>0.027</v>
      </c>
      <c r="R73" s="34" t="n">
        <v>0.272</v>
      </c>
      <c r="S73" s="34" t="n">
        <v>4.545</v>
      </c>
      <c r="T73" s="34" t="n">
        <v>20.823</v>
      </c>
      <c r="U73" s="34" t="n">
        <v>0</v>
      </c>
      <c r="V73" s="34" t="n">
        <v>0</v>
      </c>
      <c r="W73" s="34" t="n">
        <v>1.065</v>
      </c>
      <c r="X73" s="34" t="n">
        <v>0.111</v>
      </c>
      <c r="Y73" s="34" t="n">
        <v>24.303</v>
      </c>
      <c r="Z73" s="34" t="n">
        <v>0.189</v>
      </c>
      <c r="AA73" s="8" t="n">
        <v>1054</v>
      </c>
      <c r="AB73" s="8" t="n">
        <v>1260</v>
      </c>
      <c r="AC73" s="7" t="s">
        <v>929</v>
      </c>
      <c r="AD73" s="35"/>
      <c r="AE73" s="7" t="s">
        <v>930</v>
      </c>
      <c r="AF73" s="14" t="n">
        <f aca="false">IF(E73=0,0,(K73+L73+M73)/(K73+L73+M73+N73+O73))</f>
        <v>0.0459394222533676</v>
      </c>
      <c r="AG73" s="7" t="str">
        <f aca="false">IF(J73&gt;=MAX(H73,I73),"MOSAICO",IF(H73&gt;=I73,"BES","ANDINO"))</f>
        <v>ANDINO</v>
      </c>
      <c r="AH73" s="7" t="str">
        <f aca="false">IF(AF73&gt;=P_CORTE,"Alta","Moderada")</f>
        <v>Moderada</v>
      </c>
      <c r="AI73" s="13" t="str">
        <f aca="false">INDEX(PAQ_T,MATCH(AG73&amp;"|"&amp;AH73,PAQ_KEY,0))</f>
        <v>T4</v>
      </c>
      <c r="AJ73" s="8" t="n">
        <v>67</v>
      </c>
      <c r="AK73" s="7" t="s">
        <v>1031</v>
      </c>
      <c r="AL73" s="34"/>
      <c r="AM73" s="23"/>
    </row>
    <row r="74" customFormat="false" ht="15" hidden="false" customHeight="false" outlineLevel="0" collapsed="false">
      <c r="A74" s="9" t="s">
        <v>1034</v>
      </c>
      <c r="B74" s="9" t="s">
        <v>1016</v>
      </c>
      <c r="C74" s="9" t="s">
        <v>1035</v>
      </c>
      <c r="D74" s="9" t="s">
        <v>928</v>
      </c>
      <c r="E74" s="36" t="n">
        <v>355.364</v>
      </c>
      <c r="F74" s="36" t="n">
        <v>8287.3</v>
      </c>
      <c r="G74" s="31" t="n">
        <v>0.314312</v>
      </c>
      <c r="H74" s="36" t="n">
        <v>355.364</v>
      </c>
      <c r="I74" s="36" t="n">
        <v>0</v>
      </c>
      <c r="J74" s="36" t="n">
        <v>0</v>
      </c>
      <c r="K74" s="36" t="n">
        <v>77.826</v>
      </c>
      <c r="L74" s="36" t="n">
        <v>232.802</v>
      </c>
      <c r="M74" s="36" t="n">
        <v>42.661</v>
      </c>
      <c r="N74" s="36" t="n">
        <v>2.15</v>
      </c>
      <c r="O74" s="36" t="n">
        <v>0.233</v>
      </c>
      <c r="P74" s="36" t="n">
        <v>33.633</v>
      </c>
      <c r="Q74" s="36" t="n">
        <v>133.214</v>
      </c>
      <c r="R74" s="36" t="n">
        <v>99.008</v>
      </c>
      <c r="S74" s="36" t="n">
        <v>77.853</v>
      </c>
      <c r="T74" s="36" t="n">
        <v>11.655</v>
      </c>
      <c r="U74" s="36" t="n">
        <v>65.933</v>
      </c>
      <c r="V74" s="36" t="n">
        <v>244.448</v>
      </c>
      <c r="W74" s="36" t="n">
        <v>22.524</v>
      </c>
      <c r="X74" s="36" t="n">
        <v>20.076</v>
      </c>
      <c r="Y74" s="36" t="n">
        <v>1.05</v>
      </c>
      <c r="Z74" s="36" t="n">
        <v>1.331</v>
      </c>
      <c r="AA74" s="12" t="n">
        <v>141</v>
      </c>
      <c r="AB74" s="12" t="n">
        <v>1352</v>
      </c>
      <c r="AC74" s="9" t="s">
        <v>938</v>
      </c>
      <c r="AD74" s="35"/>
      <c r="AE74" s="9" t="s">
        <v>930</v>
      </c>
      <c r="AF74" s="14" t="n">
        <f aca="false">IF(E74=0,0,(K74+L74+M74)/(K74+L74+M74+N74+O74))</f>
        <v>0.99330000674779</v>
      </c>
      <c r="AG74" s="7" t="str">
        <f aca="false">IF(J74&gt;=MAX(H74,I74),"MOSAICO",IF(H74&gt;=I74,"BES","ANDINO"))</f>
        <v>BES</v>
      </c>
      <c r="AH74" s="7" t="str">
        <f aca="false">IF(AF74&gt;=P_CORTE,"Alta","Moderada")</f>
        <v>Alta</v>
      </c>
      <c r="AI74" s="13" t="str">
        <f aca="false">INDEX(PAQ_T,MATCH(AG74&amp;"|"&amp;AH74,PAQ_KEY,0))</f>
        <v>T1</v>
      </c>
      <c r="AJ74" s="8" t="n">
        <v>68</v>
      </c>
      <c r="AK74" s="7" t="s">
        <v>1036</v>
      </c>
      <c r="AL74" s="34"/>
      <c r="AM74" s="23"/>
    </row>
    <row r="75" customFormat="false" ht="15" hidden="false" customHeight="false" outlineLevel="0" collapsed="false">
      <c r="A75" s="7" t="s">
        <v>1037</v>
      </c>
      <c r="B75" s="7" t="s">
        <v>1016</v>
      </c>
      <c r="C75" s="7" t="s">
        <v>1035</v>
      </c>
      <c r="D75" s="7" t="s">
        <v>933</v>
      </c>
      <c r="E75" s="34" t="n">
        <v>68.887</v>
      </c>
      <c r="F75" s="34" t="n">
        <v>4844.1</v>
      </c>
      <c r="G75" s="22" t="n">
        <v>0.313301</v>
      </c>
      <c r="H75" s="34" t="n">
        <v>68.887</v>
      </c>
      <c r="I75" s="34" t="n">
        <v>0</v>
      </c>
      <c r="J75" s="34" t="n">
        <v>0</v>
      </c>
      <c r="K75" s="34" t="n">
        <v>11.562</v>
      </c>
      <c r="L75" s="34" t="n">
        <v>51.495</v>
      </c>
      <c r="M75" s="34" t="n">
        <v>5.759</v>
      </c>
      <c r="N75" s="34" t="n">
        <v>0.129</v>
      </c>
      <c r="O75" s="34" t="n">
        <v>0</v>
      </c>
      <c r="P75" s="34" t="n">
        <v>0.913</v>
      </c>
      <c r="Q75" s="34" t="n">
        <v>11.383</v>
      </c>
      <c r="R75" s="34" t="n">
        <v>26.777</v>
      </c>
      <c r="S75" s="34" t="n">
        <v>25.863</v>
      </c>
      <c r="T75" s="34" t="n">
        <v>3.95</v>
      </c>
      <c r="U75" s="34" t="n">
        <v>26.58</v>
      </c>
      <c r="V75" s="34" t="n">
        <v>36.431</v>
      </c>
      <c r="W75" s="34" t="n">
        <v>3.11</v>
      </c>
      <c r="X75" s="34" t="n">
        <v>2.637</v>
      </c>
      <c r="Y75" s="34" t="n">
        <v>0.123</v>
      </c>
      <c r="Z75" s="34" t="n">
        <v>0.005</v>
      </c>
      <c r="AA75" s="8" t="n">
        <v>290</v>
      </c>
      <c r="AB75" s="8" t="n">
        <v>859</v>
      </c>
      <c r="AC75" s="7" t="s">
        <v>963</v>
      </c>
      <c r="AD75" s="35"/>
      <c r="AE75" s="7" t="s">
        <v>930</v>
      </c>
      <c r="AF75" s="14" t="n">
        <f aca="false">IF(E75=0,0,(K75+L75+M75)/(K75+L75+M75+N75+O75))</f>
        <v>0.99812894336065</v>
      </c>
      <c r="AG75" s="7" t="str">
        <f aca="false">IF(J75&gt;=MAX(H75,I75),"MOSAICO",IF(H75&gt;=I75,"BES","ANDINO"))</f>
        <v>BES</v>
      </c>
      <c r="AH75" s="7" t="str">
        <f aca="false">IF(AF75&gt;=P_CORTE,"Alta","Moderada")</f>
        <v>Alta</v>
      </c>
      <c r="AI75" s="13" t="str">
        <f aca="false">INDEX(PAQ_T,MATCH(AG75&amp;"|"&amp;AH75,PAQ_KEY,0))</f>
        <v>T1</v>
      </c>
      <c r="AJ75" s="8" t="n">
        <v>69</v>
      </c>
      <c r="AK75" s="7" t="s">
        <v>1036</v>
      </c>
      <c r="AL75" s="34"/>
      <c r="AM75" s="23"/>
    </row>
    <row r="76" customFormat="false" ht="15" hidden="false" customHeight="false" outlineLevel="0" collapsed="false">
      <c r="A76" s="9" t="s">
        <v>1038</v>
      </c>
      <c r="B76" s="9" t="s">
        <v>1016</v>
      </c>
      <c r="C76" s="9" t="s">
        <v>1035</v>
      </c>
      <c r="D76" s="9" t="s">
        <v>936</v>
      </c>
      <c r="E76" s="36" t="n">
        <v>79.33</v>
      </c>
      <c r="F76" s="36" t="n">
        <v>3972.6</v>
      </c>
      <c r="G76" s="31" t="n">
        <v>0.42317</v>
      </c>
      <c r="H76" s="36" t="n">
        <v>79.33</v>
      </c>
      <c r="I76" s="36" t="n">
        <v>0</v>
      </c>
      <c r="J76" s="36" t="n">
        <v>0</v>
      </c>
      <c r="K76" s="36" t="n">
        <v>0</v>
      </c>
      <c r="L76" s="36" t="n">
        <v>15.694</v>
      </c>
      <c r="M76" s="36" t="n">
        <v>58.365</v>
      </c>
      <c r="N76" s="36" t="n">
        <v>5.236</v>
      </c>
      <c r="O76" s="36" t="n">
        <v>0.099</v>
      </c>
      <c r="P76" s="36" t="n">
        <v>0.141</v>
      </c>
      <c r="Q76" s="36" t="n">
        <v>2.938</v>
      </c>
      <c r="R76" s="36" t="n">
        <v>10.342</v>
      </c>
      <c r="S76" s="36" t="n">
        <v>32.042</v>
      </c>
      <c r="T76" s="36" t="n">
        <v>33.868</v>
      </c>
      <c r="U76" s="36" t="n">
        <v>11.207</v>
      </c>
      <c r="V76" s="36" t="n">
        <v>4.471</v>
      </c>
      <c r="W76" s="36" t="n">
        <v>49.9</v>
      </c>
      <c r="X76" s="36" t="n">
        <v>8.43</v>
      </c>
      <c r="Y76" s="36" t="n">
        <v>4.802</v>
      </c>
      <c r="Z76" s="36" t="n">
        <v>0.52</v>
      </c>
      <c r="AA76" s="12" t="n">
        <v>111</v>
      </c>
      <c r="AB76" s="12" t="n">
        <v>747</v>
      </c>
      <c r="AC76" s="9" t="s">
        <v>963</v>
      </c>
      <c r="AD76" s="35"/>
      <c r="AE76" s="9" t="s">
        <v>930</v>
      </c>
      <c r="AF76" s="14" t="n">
        <f aca="false">IF(E76=0,0,(K76+L76+M76)/(K76+L76+M76+N76+O76))</f>
        <v>0.932803486409552</v>
      </c>
      <c r="AG76" s="7" t="str">
        <f aca="false">IF(J76&gt;=MAX(H76,I76),"MOSAICO",IF(H76&gt;=I76,"BES","ANDINO"))</f>
        <v>BES</v>
      </c>
      <c r="AH76" s="7" t="str">
        <f aca="false">IF(AF76&gt;=P_CORTE,"Alta","Moderada")</f>
        <v>Alta</v>
      </c>
      <c r="AI76" s="13" t="str">
        <f aca="false">INDEX(PAQ_T,MATCH(AG76&amp;"|"&amp;AH76,PAQ_KEY,0))</f>
        <v>T1</v>
      </c>
      <c r="AJ76" s="8" t="n">
        <v>70</v>
      </c>
      <c r="AK76" s="7" t="s">
        <v>1036</v>
      </c>
      <c r="AL76" s="34" t="n">
        <v>2.756</v>
      </c>
      <c r="AM76" s="23" t="s">
        <v>1039</v>
      </c>
    </row>
    <row r="77" customFormat="false" ht="15" hidden="false" customHeight="false" outlineLevel="0" collapsed="false">
      <c r="A77" s="7" t="s">
        <v>1040</v>
      </c>
      <c r="B77" s="7" t="s">
        <v>1016</v>
      </c>
      <c r="C77" s="7" t="s">
        <v>1035</v>
      </c>
      <c r="D77" s="7" t="s">
        <v>936</v>
      </c>
      <c r="E77" s="34" t="n">
        <v>42.449</v>
      </c>
      <c r="F77" s="34" t="n">
        <v>3721</v>
      </c>
      <c r="G77" s="22" t="n">
        <v>0.332263</v>
      </c>
      <c r="H77" s="34" t="n">
        <v>42.449</v>
      </c>
      <c r="I77" s="34" t="n">
        <v>0</v>
      </c>
      <c r="J77" s="34" t="n">
        <v>0</v>
      </c>
      <c r="K77" s="34" t="n">
        <v>4</v>
      </c>
      <c r="L77" s="34" t="n">
        <v>30.76</v>
      </c>
      <c r="M77" s="34" t="n">
        <v>7.656</v>
      </c>
      <c r="N77" s="34" t="n">
        <v>0.07</v>
      </c>
      <c r="O77" s="34" t="n">
        <v>0</v>
      </c>
      <c r="P77" s="34" t="n">
        <v>0.25</v>
      </c>
      <c r="Q77" s="34" t="n">
        <v>4.536</v>
      </c>
      <c r="R77" s="34" t="n">
        <v>14.994</v>
      </c>
      <c r="S77" s="34" t="n">
        <v>21.172</v>
      </c>
      <c r="T77" s="34" t="n">
        <v>1.497</v>
      </c>
      <c r="U77" s="34" t="n">
        <v>17.214</v>
      </c>
      <c r="V77" s="34" t="n">
        <v>17.519</v>
      </c>
      <c r="W77" s="34" t="n">
        <v>5.398</v>
      </c>
      <c r="X77" s="34" t="n">
        <v>2.249</v>
      </c>
      <c r="Y77" s="34" t="n">
        <v>0.057</v>
      </c>
      <c r="Z77" s="34" t="n">
        <v>0.012</v>
      </c>
      <c r="AA77" s="8" t="n">
        <v>8</v>
      </c>
      <c r="AB77" s="8" t="n">
        <v>189</v>
      </c>
      <c r="AC77" s="7" t="s">
        <v>963</v>
      </c>
      <c r="AD77" s="35"/>
      <c r="AE77" s="7" t="s">
        <v>930</v>
      </c>
      <c r="AF77" s="14" t="n">
        <f aca="false">IF(E77=0,0,(K77+L77+M77)/(K77+L77+M77+N77+O77))</f>
        <v>0.998352398437132</v>
      </c>
      <c r="AG77" s="7" t="str">
        <f aca="false">IF(J77&gt;=MAX(H77,I77),"MOSAICO",IF(H77&gt;=I77,"BES","ANDINO"))</f>
        <v>BES</v>
      </c>
      <c r="AH77" s="7" t="str">
        <f aca="false">IF(AF77&gt;=P_CORTE,"Alta","Moderada")</f>
        <v>Alta</v>
      </c>
      <c r="AI77" s="13" t="str">
        <f aca="false">INDEX(PAQ_T,MATCH(AG77&amp;"|"&amp;AH77,PAQ_KEY,0))</f>
        <v>T1</v>
      </c>
      <c r="AJ77" s="8" t="n">
        <v>71</v>
      </c>
      <c r="AK77" s="7" t="s">
        <v>1036</v>
      </c>
      <c r="AL77" s="34" t="n">
        <v>0.072</v>
      </c>
      <c r="AM77" s="23" t="s">
        <v>1041</v>
      </c>
    </row>
    <row r="78" customFormat="false" ht="15" hidden="false" customHeight="false" outlineLevel="0" collapsed="false">
      <c r="A78" s="9" t="s">
        <v>1042</v>
      </c>
      <c r="B78" s="9" t="s">
        <v>1016</v>
      </c>
      <c r="C78" s="9" t="s">
        <v>1035</v>
      </c>
      <c r="D78" s="9" t="s">
        <v>936</v>
      </c>
      <c r="E78" s="36" t="n">
        <v>124.709</v>
      </c>
      <c r="F78" s="36" t="n">
        <v>8583.3</v>
      </c>
      <c r="G78" s="31" t="n">
        <v>0.423543</v>
      </c>
      <c r="H78" s="36" t="n">
        <v>124.709</v>
      </c>
      <c r="I78" s="36" t="n">
        <v>0</v>
      </c>
      <c r="J78" s="36" t="n">
        <v>0</v>
      </c>
      <c r="K78" s="36" t="n">
        <v>0.01</v>
      </c>
      <c r="L78" s="36" t="n">
        <v>28.925</v>
      </c>
      <c r="M78" s="36" t="n">
        <v>85.809</v>
      </c>
      <c r="N78" s="36" t="n">
        <v>8.264</v>
      </c>
      <c r="O78" s="36" t="n">
        <v>1.808</v>
      </c>
      <c r="P78" s="36" t="n">
        <v>0.172</v>
      </c>
      <c r="Q78" s="36" t="n">
        <v>6.833</v>
      </c>
      <c r="R78" s="36" t="n">
        <v>26.235</v>
      </c>
      <c r="S78" s="36" t="n">
        <v>65.212</v>
      </c>
      <c r="T78" s="36" t="n">
        <v>26.257</v>
      </c>
      <c r="U78" s="36" t="n">
        <v>17.14</v>
      </c>
      <c r="V78" s="36" t="n">
        <v>11.763</v>
      </c>
      <c r="W78" s="36" t="n">
        <v>66.838</v>
      </c>
      <c r="X78" s="36" t="n">
        <v>18.917</v>
      </c>
      <c r="Y78" s="36" t="n">
        <v>7.492</v>
      </c>
      <c r="Z78" s="36" t="n">
        <v>2.559</v>
      </c>
      <c r="AA78" s="12" t="n">
        <v>34</v>
      </c>
      <c r="AB78" s="12" t="n">
        <v>387</v>
      </c>
      <c r="AC78" s="9" t="s">
        <v>938</v>
      </c>
      <c r="AD78" s="35"/>
      <c r="AE78" s="9" t="s">
        <v>930</v>
      </c>
      <c r="AF78" s="14" t="n">
        <f aca="false">IF(E78=0,0,(K78+L78+M78)/(K78+L78+M78+N78+O78))</f>
        <v>0.919305217279836</v>
      </c>
      <c r="AG78" s="7" t="str">
        <f aca="false">IF(J78&gt;=MAX(H78,I78),"MOSAICO",IF(H78&gt;=I78,"BES","ANDINO"))</f>
        <v>BES</v>
      </c>
      <c r="AH78" s="7" t="str">
        <f aca="false">IF(AF78&gt;=P_CORTE,"Alta","Moderada")</f>
        <v>Alta</v>
      </c>
      <c r="AI78" s="13" t="str">
        <f aca="false">INDEX(PAQ_T,MATCH(AG78&amp;"|"&amp;AH78,PAQ_KEY,0))</f>
        <v>T1</v>
      </c>
      <c r="AJ78" s="8" t="n">
        <v>72</v>
      </c>
      <c r="AK78" s="7" t="s">
        <v>1036</v>
      </c>
      <c r="AL78" s="34"/>
      <c r="AM78" s="23"/>
    </row>
    <row r="79" customFormat="false" ht="15" hidden="false" customHeight="false" outlineLevel="0" collapsed="false">
      <c r="A79" s="7" t="s">
        <v>1043</v>
      </c>
      <c r="B79" s="7" t="s">
        <v>1016</v>
      </c>
      <c r="C79" s="7" t="s">
        <v>1035</v>
      </c>
      <c r="D79" s="7" t="s">
        <v>1044</v>
      </c>
      <c r="E79" s="34" t="n">
        <v>448.804</v>
      </c>
      <c r="F79" s="34" t="n">
        <v>11357.6</v>
      </c>
      <c r="G79" s="22" t="n">
        <v>0.363228</v>
      </c>
      <c r="H79" s="34" t="n">
        <v>443.83</v>
      </c>
      <c r="I79" s="34" t="n">
        <v>0</v>
      </c>
      <c r="J79" s="34" t="n">
        <v>4.974</v>
      </c>
      <c r="K79" s="34" t="n">
        <v>39.032</v>
      </c>
      <c r="L79" s="34" t="n">
        <v>224.828</v>
      </c>
      <c r="M79" s="34" t="n">
        <v>171.589</v>
      </c>
      <c r="N79" s="34" t="n">
        <v>13.689</v>
      </c>
      <c r="O79" s="34" t="n">
        <v>0.04</v>
      </c>
      <c r="P79" s="34" t="n">
        <v>3.734</v>
      </c>
      <c r="Q79" s="34" t="n">
        <v>48.429</v>
      </c>
      <c r="R79" s="34" t="n">
        <v>97.606</v>
      </c>
      <c r="S79" s="34" t="n">
        <v>203.461</v>
      </c>
      <c r="T79" s="34" t="n">
        <v>95.575</v>
      </c>
      <c r="U79" s="34" t="n">
        <v>150.77</v>
      </c>
      <c r="V79" s="34" t="n">
        <v>112.871</v>
      </c>
      <c r="W79" s="34" t="n">
        <v>137.027</v>
      </c>
      <c r="X79" s="34" t="n">
        <v>34.437</v>
      </c>
      <c r="Y79" s="34" t="n">
        <v>11.238</v>
      </c>
      <c r="Z79" s="34" t="n">
        <v>2.46</v>
      </c>
      <c r="AA79" s="8" t="n">
        <v>34</v>
      </c>
      <c r="AB79" s="8" t="n">
        <v>913</v>
      </c>
      <c r="AC79" s="7" t="s">
        <v>929</v>
      </c>
      <c r="AD79" s="35"/>
      <c r="AE79" s="7" t="s">
        <v>930</v>
      </c>
      <c r="AF79" s="14" t="n">
        <f aca="false">IF(E79=0,0,(K79+L79+M79)/(K79+L79+M79+N79+O79))</f>
        <v>0.969435279555098</v>
      </c>
      <c r="AG79" s="7" t="str">
        <f aca="false">IF(J79&gt;=MAX(H79,I79),"MOSAICO",IF(H79&gt;=I79,"BES","ANDINO"))</f>
        <v>BES</v>
      </c>
      <c r="AH79" s="7" t="str">
        <f aca="false">IF(AF79&gt;=P_CORTE,"Alta","Moderada")</f>
        <v>Alta</v>
      </c>
      <c r="AI79" s="13" t="str">
        <f aca="false">INDEX(PAQ_T,MATCH(AG79&amp;"|"&amp;AH79,PAQ_KEY,0))</f>
        <v>T1</v>
      </c>
      <c r="AJ79" s="8" t="n">
        <v>73</v>
      </c>
      <c r="AK79" s="7" t="s">
        <v>1036</v>
      </c>
      <c r="AL79" s="34"/>
      <c r="AM79" s="23"/>
    </row>
    <row r="80" customFormat="false" ht="15" hidden="false" customHeight="false" outlineLevel="0" collapsed="false">
      <c r="A80" s="9" t="s">
        <v>1045</v>
      </c>
      <c r="B80" s="9" t="s">
        <v>1016</v>
      </c>
      <c r="C80" s="9" t="s">
        <v>1035</v>
      </c>
      <c r="D80" s="9" t="s">
        <v>1046</v>
      </c>
      <c r="E80" s="36" t="n">
        <v>330.599</v>
      </c>
      <c r="F80" s="36" t="n">
        <v>7611.1</v>
      </c>
      <c r="G80" s="31" t="n">
        <v>0.358601</v>
      </c>
      <c r="H80" s="36" t="n">
        <v>330.599</v>
      </c>
      <c r="I80" s="36" t="n">
        <v>0</v>
      </c>
      <c r="J80" s="36" t="n">
        <v>0</v>
      </c>
      <c r="K80" s="36" t="n">
        <v>9.851</v>
      </c>
      <c r="L80" s="36" t="n">
        <v>213.579</v>
      </c>
      <c r="M80" s="36" t="n">
        <v>104.721</v>
      </c>
      <c r="N80" s="36" t="n">
        <v>2.665</v>
      </c>
      <c r="O80" s="36" t="n">
        <v>0.0579999999999999</v>
      </c>
      <c r="P80" s="36" t="n">
        <v>9.555</v>
      </c>
      <c r="Q80" s="36" t="n">
        <v>82.076</v>
      </c>
      <c r="R80" s="36" t="n">
        <v>104.083</v>
      </c>
      <c r="S80" s="36" t="n">
        <v>108.61</v>
      </c>
      <c r="T80" s="36" t="n">
        <v>26.275</v>
      </c>
      <c r="U80" s="36" t="n">
        <v>73.796</v>
      </c>
      <c r="V80" s="36" t="n">
        <v>149.469</v>
      </c>
      <c r="W80" s="36" t="n">
        <v>60.23</v>
      </c>
      <c r="X80" s="36" t="n">
        <v>44.393</v>
      </c>
      <c r="Y80" s="36" t="n">
        <v>0.859</v>
      </c>
      <c r="Z80" s="36" t="n">
        <v>1.852</v>
      </c>
      <c r="AA80" s="12" t="n">
        <v>60</v>
      </c>
      <c r="AB80" s="12" t="n">
        <v>1261</v>
      </c>
      <c r="AC80" s="9" t="s">
        <v>929</v>
      </c>
      <c r="AD80" s="35"/>
      <c r="AE80" s="9" t="s">
        <v>930</v>
      </c>
      <c r="AF80" s="14" t="n">
        <f aca="false">IF(E80=0,0,(K80+L80+M80)/(K80+L80+M80+N80+O80))</f>
        <v>0.991770281134208</v>
      </c>
      <c r="AG80" s="7" t="str">
        <f aca="false">IF(J80&gt;=MAX(H80,I80),"MOSAICO",IF(H80&gt;=I80,"BES","ANDINO"))</f>
        <v>BES</v>
      </c>
      <c r="AH80" s="7" t="str">
        <f aca="false">IF(AF80&gt;=P_CORTE,"Alta","Moderada")</f>
        <v>Alta</v>
      </c>
      <c r="AI80" s="13" t="str">
        <f aca="false">INDEX(PAQ_T,MATCH(AG80&amp;"|"&amp;AH80,PAQ_KEY,0))</f>
        <v>T1</v>
      </c>
      <c r="AJ80" s="8" t="n">
        <v>74</v>
      </c>
      <c r="AK80" s="7" t="s">
        <v>1036</v>
      </c>
      <c r="AL80" s="34"/>
      <c r="AM80" s="23"/>
    </row>
    <row r="81" customFormat="false" ht="15" hidden="false" customHeight="false" outlineLevel="0" collapsed="false">
      <c r="A81" s="7" t="s">
        <v>1047</v>
      </c>
      <c r="B81" s="7" t="s">
        <v>1016</v>
      </c>
      <c r="C81" s="7" t="s">
        <v>1016</v>
      </c>
      <c r="D81" s="7" t="s">
        <v>1048</v>
      </c>
      <c r="E81" s="34" t="n">
        <v>50.972</v>
      </c>
      <c r="F81" s="34" t="n">
        <v>3197</v>
      </c>
      <c r="G81" s="22" t="n">
        <v>0.385213</v>
      </c>
      <c r="H81" s="34" t="n">
        <v>50.972</v>
      </c>
      <c r="I81" s="34" t="n">
        <v>0</v>
      </c>
      <c r="J81" s="34" t="n">
        <v>0</v>
      </c>
      <c r="K81" s="34" t="n">
        <v>1.17</v>
      </c>
      <c r="L81" s="34" t="n">
        <v>23.33</v>
      </c>
      <c r="M81" s="34" t="n">
        <v>23.392</v>
      </c>
      <c r="N81" s="34" t="n">
        <v>3.128</v>
      </c>
      <c r="O81" s="34" t="n">
        <v>0</v>
      </c>
      <c r="P81" s="34" t="n">
        <v>0</v>
      </c>
      <c r="Q81" s="34" t="n">
        <v>2.886</v>
      </c>
      <c r="R81" s="34" t="n">
        <v>12.608</v>
      </c>
      <c r="S81" s="34" t="n">
        <v>22.54</v>
      </c>
      <c r="T81" s="34" t="n">
        <v>12.938</v>
      </c>
      <c r="U81" s="34" t="n">
        <v>11.914</v>
      </c>
      <c r="V81" s="34" t="n">
        <v>12.563</v>
      </c>
      <c r="W81" s="34" t="n">
        <v>20.756</v>
      </c>
      <c r="X81" s="34" t="n">
        <v>2.618</v>
      </c>
      <c r="Y81" s="34" t="n">
        <v>2.808</v>
      </c>
      <c r="Z81" s="34" t="n">
        <v>0.313</v>
      </c>
      <c r="AA81" s="8" t="n">
        <v>0</v>
      </c>
      <c r="AB81" s="8" t="n">
        <v>357</v>
      </c>
      <c r="AC81" s="7" t="s">
        <v>963</v>
      </c>
      <c r="AD81" s="35"/>
      <c r="AE81" s="7" t="s">
        <v>930</v>
      </c>
      <c r="AF81" s="14" t="n">
        <f aca="false">IF(E81=0,0,(K81+L81+M81)/(K81+L81+M81+N81+O81))</f>
        <v>0.938690709525676</v>
      </c>
      <c r="AG81" s="7" t="str">
        <f aca="false">IF(J81&gt;=MAX(H81,I81),"MOSAICO",IF(H81&gt;=I81,"BES","ANDINO"))</f>
        <v>BES</v>
      </c>
      <c r="AH81" s="7" t="str">
        <f aca="false">IF(AF81&gt;=P_CORTE,"Alta","Moderada")</f>
        <v>Alta</v>
      </c>
      <c r="AI81" s="13" t="str">
        <f aca="false">INDEX(PAQ_T,MATCH(AG81&amp;"|"&amp;AH81,PAQ_KEY,0))</f>
        <v>T1</v>
      </c>
      <c r="AJ81" s="8" t="n">
        <v>75</v>
      </c>
      <c r="AK81" s="7" t="s">
        <v>1049</v>
      </c>
      <c r="AL81" s="34"/>
      <c r="AM81" s="23"/>
    </row>
    <row r="82" customFormat="false" ht="15" hidden="false" customHeight="false" outlineLevel="0" collapsed="false">
      <c r="A82" s="9" t="s">
        <v>1050</v>
      </c>
      <c r="B82" s="9" t="s">
        <v>1016</v>
      </c>
      <c r="C82" s="9" t="s">
        <v>1016</v>
      </c>
      <c r="D82" s="9" t="s">
        <v>1030</v>
      </c>
      <c r="E82" s="36" t="n">
        <v>74.372</v>
      </c>
      <c r="F82" s="36" t="n">
        <v>3960.4</v>
      </c>
      <c r="G82" s="31" t="n">
        <v>0.401185</v>
      </c>
      <c r="H82" s="36" t="n">
        <v>74.372</v>
      </c>
      <c r="I82" s="36" t="n">
        <v>0</v>
      </c>
      <c r="J82" s="36" t="n">
        <v>0</v>
      </c>
      <c r="K82" s="36" t="n">
        <v>0.333</v>
      </c>
      <c r="L82" s="36" t="n">
        <v>23.42</v>
      </c>
      <c r="M82" s="36" t="n">
        <v>47.879</v>
      </c>
      <c r="N82" s="36" t="n">
        <v>2.804</v>
      </c>
      <c r="O82" s="36" t="n">
        <v>0</v>
      </c>
      <c r="P82" s="36" t="n">
        <v>0.141</v>
      </c>
      <c r="Q82" s="36" t="n">
        <v>3.172</v>
      </c>
      <c r="R82" s="36" t="n">
        <v>12.022</v>
      </c>
      <c r="S82" s="36" t="n">
        <v>30.474</v>
      </c>
      <c r="T82" s="36" t="n">
        <v>28.565</v>
      </c>
      <c r="U82" s="36" t="n">
        <v>15.161</v>
      </c>
      <c r="V82" s="36" t="n">
        <v>8.563</v>
      </c>
      <c r="W82" s="36" t="n">
        <v>41.467</v>
      </c>
      <c r="X82" s="36" t="n">
        <v>6.383</v>
      </c>
      <c r="Y82" s="36" t="n">
        <v>2.411</v>
      </c>
      <c r="Z82" s="36" t="n">
        <v>0.388</v>
      </c>
      <c r="AA82" s="12" t="n">
        <v>0</v>
      </c>
      <c r="AB82" s="12" t="n">
        <v>371</v>
      </c>
      <c r="AC82" s="9" t="s">
        <v>963</v>
      </c>
      <c r="AD82" s="35"/>
      <c r="AE82" s="9" t="s">
        <v>930</v>
      </c>
      <c r="AF82" s="14" t="n">
        <f aca="false">IF(E82=0,0,(K82+L82+M82)/(K82+L82+M82+N82+O82))</f>
        <v>0.962330055349562</v>
      </c>
      <c r="AG82" s="7" t="str">
        <f aca="false">IF(J82&gt;=MAX(H82,I82),"MOSAICO",IF(H82&gt;=I82,"BES","ANDINO"))</f>
        <v>BES</v>
      </c>
      <c r="AH82" s="7" t="str">
        <f aca="false">IF(AF82&gt;=P_CORTE,"Alta","Moderada")</f>
        <v>Alta</v>
      </c>
      <c r="AI82" s="13" t="str">
        <f aca="false">INDEX(PAQ_T,MATCH(AG82&amp;"|"&amp;AH82,PAQ_KEY,0))</f>
        <v>T1</v>
      </c>
      <c r="AJ82" s="8" t="n">
        <v>76</v>
      </c>
      <c r="AK82" s="7" t="s">
        <v>1049</v>
      </c>
      <c r="AL82" s="34"/>
      <c r="AM82" s="23"/>
    </row>
    <row r="83" customFormat="false" ht="15" hidden="false" customHeight="false" outlineLevel="0" collapsed="false">
      <c r="A83" s="7" t="s">
        <v>1051</v>
      </c>
      <c r="B83" s="7" t="s">
        <v>1016</v>
      </c>
      <c r="C83" s="7" t="s">
        <v>1052</v>
      </c>
      <c r="D83" s="7" t="s">
        <v>1053</v>
      </c>
      <c r="E83" s="34" t="n">
        <v>130.425</v>
      </c>
      <c r="F83" s="34" t="n">
        <v>11770</v>
      </c>
      <c r="G83" s="22" t="n">
        <v>0.313647</v>
      </c>
      <c r="H83" s="34" t="n">
        <v>130.425</v>
      </c>
      <c r="I83" s="34" t="n">
        <v>0</v>
      </c>
      <c r="J83" s="34" t="n">
        <v>0</v>
      </c>
      <c r="K83" s="34" t="n">
        <v>21.076</v>
      </c>
      <c r="L83" s="34" t="n">
        <v>98.021</v>
      </c>
      <c r="M83" s="34" t="n">
        <v>11.118</v>
      </c>
      <c r="N83" s="34" t="n">
        <v>0.295</v>
      </c>
      <c r="O83" s="34" t="n">
        <v>0</v>
      </c>
      <c r="P83" s="34" t="n">
        <v>6.773</v>
      </c>
      <c r="Q83" s="34" t="n">
        <v>8.327</v>
      </c>
      <c r="R83" s="34" t="n">
        <v>17.097</v>
      </c>
      <c r="S83" s="34" t="n">
        <v>79.654</v>
      </c>
      <c r="T83" s="34" t="n">
        <v>18.575</v>
      </c>
      <c r="U83" s="34" t="n">
        <v>91.877</v>
      </c>
      <c r="V83" s="34" t="n">
        <v>27.154</v>
      </c>
      <c r="W83" s="34" t="n">
        <v>6.343</v>
      </c>
      <c r="X83" s="34" t="n">
        <v>4.759</v>
      </c>
      <c r="Y83" s="34" t="n">
        <v>0.01</v>
      </c>
      <c r="Z83" s="34" t="n">
        <v>0.283</v>
      </c>
      <c r="AA83" s="8" t="n">
        <v>57</v>
      </c>
      <c r="AB83" s="8" t="n">
        <v>1537</v>
      </c>
      <c r="AC83" s="7" t="s">
        <v>963</v>
      </c>
      <c r="AD83" s="35"/>
      <c r="AE83" s="7" t="s">
        <v>930</v>
      </c>
      <c r="AF83" s="14" t="n">
        <f aca="false">IF(E83=0,0,(K83+L83+M83)/(K83+L83+M83+N83+O83))</f>
        <v>0.99773963680944</v>
      </c>
      <c r="AG83" s="7" t="str">
        <f aca="false">IF(J83&gt;=MAX(H83,I83),"MOSAICO",IF(H83&gt;=I83,"BES","ANDINO"))</f>
        <v>BES</v>
      </c>
      <c r="AH83" s="7" t="str">
        <f aca="false">IF(AF83&gt;=P_CORTE,"Alta","Moderada")</f>
        <v>Alta</v>
      </c>
      <c r="AI83" s="13" t="str">
        <f aca="false">INDEX(PAQ_T,MATCH(AG83&amp;"|"&amp;AH83,PAQ_KEY,0))</f>
        <v>T1</v>
      </c>
      <c r="AJ83" s="8" t="n">
        <v>77</v>
      </c>
      <c r="AK83" s="7" t="s">
        <v>1054</v>
      </c>
      <c r="AL83" s="34"/>
      <c r="AM83" s="23"/>
    </row>
    <row r="84" customFormat="false" ht="15" hidden="false" customHeight="false" outlineLevel="0" collapsed="false">
      <c r="A84" s="9" t="s">
        <v>1055</v>
      </c>
      <c r="B84" s="9" t="s">
        <v>1016</v>
      </c>
      <c r="C84" s="9" t="s">
        <v>1052</v>
      </c>
      <c r="D84" s="9" t="s">
        <v>1053</v>
      </c>
      <c r="E84" s="36" t="n">
        <v>115.379</v>
      </c>
      <c r="F84" s="36" t="n">
        <v>9401.6</v>
      </c>
      <c r="G84" s="31" t="n">
        <v>0.287689</v>
      </c>
      <c r="H84" s="36" t="n">
        <v>114.41</v>
      </c>
      <c r="I84" s="36" t="n">
        <v>0</v>
      </c>
      <c r="J84" s="36" t="n">
        <v>0.969</v>
      </c>
      <c r="K84" s="36" t="n">
        <v>34.555</v>
      </c>
      <c r="L84" s="36" t="n">
        <v>78.234</v>
      </c>
      <c r="M84" s="36" t="n">
        <v>2.185</v>
      </c>
      <c r="N84" s="36" t="n">
        <v>0.481</v>
      </c>
      <c r="O84" s="36" t="n">
        <v>0</v>
      </c>
      <c r="P84" s="36" t="n">
        <v>6.096</v>
      </c>
      <c r="Q84" s="36" t="n">
        <v>20.231</v>
      </c>
      <c r="R84" s="36" t="n">
        <v>30.123</v>
      </c>
      <c r="S84" s="36" t="n">
        <v>50.615</v>
      </c>
      <c r="T84" s="36" t="n">
        <v>8.315</v>
      </c>
      <c r="U84" s="36" t="n">
        <v>57.388</v>
      </c>
      <c r="V84" s="36" t="n">
        <v>55.332</v>
      </c>
      <c r="W84" s="36" t="n">
        <v>1.513</v>
      </c>
      <c r="X84" s="36" t="n">
        <v>0.667</v>
      </c>
      <c r="Y84" s="36" t="n">
        <v>0.029</v>
      </c>
      <c r="Z84" s="36" t="n">
        <v>0.451</v>
      </c>
      <c r="AA84" s="12" t="n">
        <v>4272</v>
      </c>
      <c r="AB84" s="12" t="n">
        <v>5063</v>
      </c>
      <c r="AC84" s="9" t="s">
        <v>963</v>
      </c>
      <c r="AD84" s="35"/>
      <c r="AE84" s="9" t="s">
        <v>930</v>
      </c>
      <c r="AF84" s="14" t="n">
        <f aca="false">IF(E84=0,0,(K84+L84+M84)/(K84+L84+M84+N84+O84))</f>
        <v>0.995833874669785</v>
      </c>
      <c r="AG84" s="7" t="str">
        <f aca="false">IF(J84&gt;=MAX(H84,I84),"MOSAICO",IF(H84&gt;=I84,"BES","ANDINO"))</f>
        <v>BES</v>
      </c>
      <c r="AH84" s="7" t="str">
        <f aca="false">IF(AF84&gt;=P_CORTE,"Alta","Moderada")</f>
        <v>Alta</v>
      </c>
      <c r="AI84" s="13" t="str">
        <f aca="false">INDEX(PAQ_T,MATCH(AG84&amp;"|"&amp;AH84,PAQ_KEY,0))</f>
        <v>T1</v>
      </c>
      <c r="AJ84" s="8" t="n">
        <v>78</v>
      </c>
      <c r="AK84" s="7" t="s">
        <v>1054</v>
      </c>
      <c r="AL84" s="34"/>
      <c r="AM84" s="23"/>
    </row>
    <row r="85" customFormat="false" ht="15" hidden="false" customHeight="false" outlineLevel="0" collapsed="false">
      <c r="A85" s="7" t="s">
        <v>1056</v>
      </c>
      <c r="B85" s="7" t="s">
        <v>1016</v>
      </c>
      <c r="C85" s="7" t="s">
        <v>1052</v>
      </c>
      <c r="D85" s="7" t="s">
        <v>1053</v>
      </c>
      <c r="E85" s="34" t="n">
        <v>65.745</v>
      </c>
      <c r="F85" s="34" t="n">
        <v>7236.4</v>
      </c>
      <c r="G85" s="22" t="n">
        <v>0.298017</v>
      </c>
      <c r="H85" s="34" t="n">
        <v>65.476</v>
      </c>
      <c r="I85" s="34" t="n">
        <v>0</v>
      </c>
      <c r="J85" s="34" t="n">
        <v>0.269</v>
      </c>
      <c r="K85" s="34" t="n">
        <v>14.521</v>
      </c>
      <c r="L85" s="34" t="n">
        <v>47.908</v>
      </c>
      <c r="M85" s="34" t="n">
        <v>3.264</v>
      </c>
      <c r="N85" s="34" t="n">
        <v>0.1</v>
      </c>
      <c r="O85" s="34" t="n">
        <v>0</v>
      </c>
      <c r="P85" s="34" t="n">
        <v>0.388</v>
      </c>
      <c r="Q85" s="34" t="n">
        <v>2.719</v>
      </c>
      <c r="R85" s="34" t="n">
        <v>9.892</v>
      </c>
      <c r="S85" s="34" t="n">
        <v>36.994</v>
      </c>
      <c r="T85" s="34" t="n">
        <v>15.751</v>
      </c>
      <c r="U85" s="34" t="n">
        <v>49.836</v>
      </c>
      <c r="V85" s="34" t="n">
        <v>12.549</v>
      </c>
      <c r="W85" s="34" t="n">
        <v>2.829</v>
      </c>
      <c r="X85" s="34" t="n">
        <v>0.43</v>
      </c>
      <c r="Y85" s="34" t="n">
        <v>0.08</v>
      </c>
      <c r="Z85" s="34" t="n">
        <v>0.02</v>
      </c>
      <c r="AA85" s="8" t="n">
        <v>1759</v>
      </c>
      <c r="AB85" s="8" t="n">
        <v>2911</v>
      </c>
      <c r="AC85" s="7" t="s">
        <v>929</v>
      </c>
      <c r="AD85" s="35"/>
      <c r="AE85" s="7" t="s">
        <v>930</v>
      </c>
      <c r="AF85" s="14" t="n">
        <f aca="false">IF(E85=0,0,(K85+L85+M85)/(K85+L85+M85+N85+O85))</f>
        <v>0.998480081467634</v>
      </c>
      <c r="AG85" s="7" t="str">
        <f aca="false">IF(J85&gt;=MAX(H85,I85),"MOSAICO",IF(H85&gt;=I85,"BES","ANDINO"))</f>
        <v>BES</v>
      </c>
      <c r="AH85" s="7" t="str">
        <f aca="false">IF(AF85&gt;=P_CORTE,"Alta","Moderada")</f>
        <v>Alta</v>
      </c>
      <c r="AI85" s="13" t="str">
        <f aca="false">INDEX(PAQ_T,MATCH(AG85&amp;"|"&amp;AH85,PAQ_KEY,0))</f>
        <v>T1</v>
      </c>
      <c r="AJ85" s="8" t="n">
        <v>79</v>
      </c>
      <c r="AK85" s="7" t="s">
        <v>1054</v>
      </c>
      <c r="AL85" s="34"/>
      <c r="AM85" s="23"/>
    </row>
    <row r="86" customFormat="false" ht="15" hidden="false" customHeight="false" outlineLevel="0" collapsed="false">
      <c r="A86" s="9" t="s">
        <v>1057</v>
      </c>
      <c r="B86" s="9" t="s">
        <v>1016</v>
      </c>
      <c r="C86" s="9" t="s">
        <v>1052</v>
      </c>
      <c r="D86" s="9" t="s">
        <v>1053</v>
      </c>
      <c r="E86" s="36" t="n">
        <v>91.285</v>
      </c>
      <c r="F86" s="36" t="n">
        <v>5675.2</v>
      </c>
      <c r="G86" s="31" t="n">
        <v>0.287833</v>
      </c>
      <c r="H86" s="36" t="n">
        <v>91.285</v>
      </c>
      <c r="I86" s="36" t="n">
        <v>0</v>
      </c>
      <c r="J86" s="36" t="n">
        <v>0</v>
      </c>
      <c r="K86" s="36" t="n">
        <v>34.374</v>
      </c>
      <c r="L86" s="36" t="n">
        <v>52.271</v>
      </c>
      <c r="M86" s="36" t="n">
        <v>4.663</v>
      </c>
      <c r="N86" s="36" t="n">
        <v>0.033</v>
      </c>
      <c r="O86" s="36" t="n">
        <v>0</v>
      </c>
      <c r="P86" s="36" t="n">
        <v>0.152</v>
      </c>
      <c r="Q86" s="36" t="n">
        <v>7.443</v>
      </c>
      <c r="R86" s="36" t="n">
        <v>24.455</v>
      </c>
      <c r="S86" s="36" t="n">
        <v>48.261</v>
      </c>
      <c r="T86" s="36" t="n">
        <v>10.974</v>
      </c>
      <c r="U86" s="36" t="n">
        <v>54.565</v>
      </c>
      <c r="V86" s="36" t="n">
        <v>32.032</v>
      </c>
      <c r="W86" s="36" t="n">
        <v>4.638</v>
      </c>
      <c r="X86" s="36" t="n">
        <v>0.018</v>
      </c>
      <c r="Y86" s="36" t="n">
        <v>0.032</v>
      </c>
      <c r="Z86" s="36" t="n">
        <v>0</v>
      </c>
      <c r="AA86" s="12" t="n">
        <v>0</v>
      </c>
      <c r="AB86" s="12" t="n">
        <v>640</v>
      </c>
      <c r="AC86" s="9" t="s">
        <v>929</v>
      </c>
      <c r="AD86" s="35"/>
      <c r="AE86" s="9" t="s">
        <v>930</v>
      </c>
      <c r="AF86" s="14" t="n">
        <f aca="false">IF(E86=0,0,(K86+L86+M86)/(K86+L86+M86+N86+O86))</f>
        <v>0.999638716458108</v>
      </c>
      <c r="AG86" s="7" t="str">
        <f aca="false">IF(J86&gt;=MAX(H86,I86),"MOSAICO",IF(H86&gt;=I86,"BES","ANDINO"))</f>
        <v>BES</v>
      </c>
      <c r="AH86" s="7" t="str">
        <f aca="false">IF(AF86&gt;=P_CORTE,"Alta","Moderada")</f>
        <v>Alta</v>
      </c>
      <c r="AI86" s="13" t="str">
        <f aca="false">INDEX(PAQ_T,MATCH(AG86&amp;"|"&amp;AH86,PAQ_KEY,0))</f>
        <v>T1</v>
      </c>
      <c r="AJ86" s="8" t="n">
        <v>80</v>
      </c>
      <c r="AK86" s="7" t="s">
        <v>1054</v>
      </c>
      <c r="AL86" s="34"/>
      <c r="AM86" s="23"/>
    </row>
    <row r="87" customFormat="false" ht="15" hidden="false" customHeight="false" outlineLevel="0" collapsed="false">
      <c r="A87" s="7" t="s">
        <v>1058</v>
      </c>
      <c r="B87" s="7" t="s">
        <v>1016</v>
      </c>
      <c r="C87" s="7" t="s">
        <v>1052</v>
      </c>
      <c r="D87" s="7" t="s">
        <v>1004</v>
      </c>
      <c r="E87" s="34" t="n">
        <v>81.795</v>
      </c>
      <c r="F87" s="34" t="n">
        <v>5202.3</v>
      </c>
      <c r="G87" s="22" t="n">
        <v>0.29836</v>
      </c>
      <c r="H87" s="34" t="n">
        <v>81.795</v>
      </c>
      <c r="I87" s="34" t="n">
        <v>0</v>
      </c>
      <c r="J87" s="34" t="n">
        <v>0</v>
      </c>
      <c r="K87" s="34" t="n">
        <v>22.229</v>
      </c>
      <c r="L87" s="34" t="n">
        <v>56.147</v>
      </c>
      <c r="M87" s="34" t="n">
        <v>3.473</v>
      </c>
      <c r="N87" s="34" t="n">
        <v>0</v>
      </c>
      <c r="O87" s="34" t="n">
        <v>0</v>
      </c>
      <c r="P87" s="34" t="n">
        <v>1.055</v>
      </c>
      <c r="Q87" s="34" t="n">
        <v>6.025</v>
      </c>
      <c r="R87" s="34" t="n">
        <v>15.539</v>
      </c>
      <c r="S87" s="34" t="n">
        <v>48.187</v>
      </c>
      <c r="T87" s="34" t="n">
        <v>10.988</v>
      </c>
      <c r="U87" s="34" t="n">
        <v>56.076</v>
      </c>
      <c r="V87" s="34" t="n">
        <v>22.255</v>
      </c>
      <c r="W87" s="34" t="n">
        <v>3.099</v>
      </c>
      <c r="X87" s="34" t="n">
        <v>0.365</v>
      </c>
      <c r="Y87" s="34" t="n">
        <v>0</v>
      </c>
      <c r="Z87" s="34" t="n">
        <v>0</v>
      </c>
      <c r="AA87" s="8" t="n">
        <v>52</v>
      </c>
      <c r="AB87" s="8" t="n">
        <v>597</v>
      </c>
      <c r="AC87" s="7" t="s">
        <v>929</v>
      </c>
      <c r="AD87" s="35"/>
      <c r="AE87" s="7" t="s">
        <v>930</v>
      </c>
      <c r="AF87" s="14" t="n">
        <f aca="false">IF(E87=0,0,(K87+L87+M87)/(K87+L87+M87+N87+O87))</f>
        <v>1</v>
      </c>
      <c r="AG87" s="7" t="str">
        <f aca="false">IF(J87&gt;=MAX(H87,I87),"MOSAICO",IF(H87&gt;=I87,"BES","ANDINO"))</f>
        <v>BES</v>
      </c>
      <c r="AH87" s="7" t="str">
        <f aca="false">IF(AF87&gt;=P_CORTE,"Alta","Moderada")</f>
        <v>Alta</v>
      </c>
      <c r="AI87" s="13" t="str">
        <f aca="false">INDEX(PAQ_T,MATCH(AG87&amp;"|"&amp;AH87,PAQ_KEY,0))</f>
        <v>T1</v>
      </c>
      <c r="AJ87" s="8" t="n">
        <v>81</v>
      </c>
      <c r="AK87" s="7" t="s">
        <v>1054</v>
      </c>
      <c r="AL87" s="34"/>
      <c r="AM87" s="23"/>
    </row>
    <row r="88" customFormat="false" ht="15" hidden="false" customHeight="false" outlineLevel="0" collapsed="false">
      <c r="A88" s="9" t="s">
        <v>1059</v>
      </c>
      <c r="B88" s="9" t="s">
        <v>1016</v>
      </c>
      <c r="C88" s="9" t="s">
        <v>1052</v>
      </c>
      <c r="D88" s="9" t="s">
        <v>1004</v>
      </c>
      <c r="E88" s="36" t="n">
        <v>30.909</v>
      </c>
      <c r="F88" s="36" t="n">
        <v>3944.2</v>
      </c>
      <c r="G88" s="31" t="n">
        <v>0.304733</v>
      </c>
      <c r="H88" s="36" t="n">
        <v>30.37</v>
      </c>
      <c r="I88" s="36" t="n">
        <v>0</v>
      </c>
      <c r="J88" s="36" t="n">
        <v>0.538</v>
      </c>
      <c r="K88" s="36" t="n">
        <v>9.087</v>
      </c>
      <c r="L88" s="36" t="n">
        <v>18.32</v>
      </c>
      <c r="M88" s="36" t="n">
        <v>3.22</v>
      </c>
      <c r="N88" s="36" t="n">
        <v>0.301</v>
      </c>
      <c r="O88" s="36" t="n">
        <v>0</v>
      </c>
      <c r="P88" s="36" t="n">
        <v>1.503</v>
      </c>
      <c r="Q88" s="36" t="n">
        <v>15.358</v>
      </c>
      <c r="R88" s="36" t="n">
        <v>11.879</v>
      </c>
      <c r="S88" s="36" t="n">
        <v>2.168</v>
      </c>
      <c r="T88" s="36" t="n">
        <v>0</v>
      </c>
      <c r="U88" s="36" t="n">
        <v>2.085</v>
      </c>
      <c r="V88" s="36" t="n">
        <v>25.307</v>
      </c>
      <c r="W88" s="36" t="n">
        <v>0.08</v>
      </c>
      <c r="X88" s="36" t="n">
        <v>3.138</v>
      </c>
      <c r="Y88" s="36" t="n">
        <v>0.003</v>
      </c>
      <c r="Z88" s="36" t="n">
        <v>0.296</v>
      </c>
      <c r="AA88" s="12" t="n">
        <v>3</v>
      </c>
      <c r="AB88" s="12" t="n">
        <v>187</v>
      </c>
      <c r="AC88" s="9" t="s">
        <v>929</v>
      </c>
      <c r="AD88" s="35"/>
      <c r="AE88" s="9" t="s">
        <v>930</v>
      </c>
      <c r="AF88" s="14" t="n">
        <f aca="false">IF(E88=0,0,(K88+L88+M88)/(K88+L88+M88+N88+O88))</f>
        <v>0.990267718572168</v>
      </c>
      <c r="AG88" s="7" t="str">
        <f aca="false">IF(J88&gt;=MAX(H88,I88),"MOSAICO",IF(H88&gt;=I88,"BES","ANDINO"))</f>
        <v>BES</v>
      </c>
      <c r="AH88" s="7" t="str">
        <f aca="false">IF(AF88&gt;=P_CORTE,"Alta","Moderada")</f>
        <v>Alta</v>
      </c>
      <c r="AI88" s="13" t="str">
        <f aca="false">INDEX(PAQ_T,MATCH(AG88&amp;"|"&amp;AH88,PAQ_KEY,0))</f>
        <v>T1</v>
      </c>
      <c r="AJ88" s="8" t="n">
        <v>82</v>
      </c>
      <c r="AK88" s="7" t="s">
        <v>1054</v>
      </c>
      <c r="AL88" s="34"/>
      <c r="AM88" s="23"/>
    </row>
    <row r="89" customFormat="false" ht="15" hidden="false" customHeight="false" outlineLevel="0" collapsed="false">
      <c r="A89" s="7" t="s">
        <v>1060</v>
      </c>
      <c r="B89" s="7" t="s">
        <v>1016</v>
      </c>
      <c r="C89" s="7" t="s">
        <v>1052</v>
      </c>
      <c r="D89" s="7" t="s">
        <v>1025</v>
      </c>
      <c r="E89" s="34" t="n">
        <v>373.807</v>
      </c>
      <c r="F89" s="34" t="n">
        <v>14555.6</v>
      </c>
      <c r="G89" s="22" t="n">
        <v>0.369424</v>
      </c>
      <c r="H89" s="34" t="n">
        <v>373.699</v>
      </c>
      <c r="I89" s="34" t="n">
        <v>0</v>
      </c>
      <c r="J89" s="34" t="n">
        <v>0.108</v>
      </c>
      <c r="K89" s="34" t="n">
        <v>18.019</v>
      </c>
      <c r="L89" s="34" t="n">
        <v>193.442</v>
      </c>
      <c r="M89" s="34" t="n">
        <v>156.546</v>
      </c>
      <c r="N89" s="34" t="n">
        <v>5.982</v>
      </c>
      <c r="O89" s="34" t="n">
        <v>0.107</v>
      </c>
      <c r="P89" s="34" t="n">
        <v>2.359</v>
      </c>
      <c r="Q89" s="34" t="n">
        <v>23.635</v>
      </c>
      <c r="R89" s="34" t="n">
        <v>47.959</v>
      </c>
      <c r="S89" s="34" t="n">
        <v>156.032</v>
      </c>
      <c r="T89" s="34" t="n">
        <v>143.821</v>
      </c>
      <c r="U89" s="34" t="n">
        <v>147.005</v>
      </c>
      <c r="V89" s="34" t="n">
        <v>64.299</v>
      </c>
      <c r="W89" s="34" t="n">
        <v>147.481</v>
      </c>
      <c r="X89" s="34" t="n">
        <v>8.954</v>
      </c>
      <c r="Y89" s="34" t="n">
        <v>5.367</v>
      </c>
      <c r="Z89" s="34" t="n">
        <v>0.701</v>
      </c>
      <c r="AA89" s="8" t="n">
        <v>302</v>
      </c>
      <c r="AB89" s="8" t="n">
        <v>1905</v>
      </c>
      <c r="AC89" s="7" t="s">
        <v>929</v>
      </c>
      <c r="AD89" s="35"/>
      <c r="AE89" s="7" t="s">
        <v>930</v>
      </c>
      <c r="AF89" s="14" t="n">
        <f aca="false">IF(E89=0,0,(K89+L89+M89)/(K89+L89+M89+N89+O89))</f>
        <v>0.983723429280185</v>
      </c>
      <c r="AG89" s="7" t="str">
        <f aca="false">IF(J89&gt;=MAX(H89,I89),"MOSAICO",IF(H89&gt;=I89,"BES","ANDINO"))</f>
        <v>BES</v>
      </c>
      <c r="AH89" s="7" t="str">
        <f aca="false">IF(AF89&gt;=P_CORTE,"Alta","Moderada")</f>
        <v>Alta</v>
      </c>
      <c r="AI89" s="13" t="str">
        <f aca="false">INDEX(PAQ_T,MATCH(AG89&amp;"|"&amp;AH89,PAQ_KEY,0))</f>
        <v>T1</v>
      </c>
      <c r="AJ89" s="8" t="n">
        <v>83</v>
      </c>
      <c r="AK89" s="7" t="s">
        <v>1054</v>
      </c>
      <c r="AL89" s="34"/>
      <c r="AM89" s="23"/>
    </row>
    <row r="90" customFormat="false" ht="15" hidden="false" customHeight="false" outlineLevel="0" collapsed="false">
      <c r="A90" s="9" t="s">
        <v>1061</v>
      </c>
      <c r="B90" s="9" t="s">
        <v>1016</v>
      </c>
      <c r="C90" s="9" t="s">
        <v>1052</v>
      </c>
      <c r="D90" s="9" t="s">
        <v>1062</v>
      </c>
      <c r="E90" s="36" t="n">
        <v>80.983</v>
      </c>
      <c r="F90" s="36" t="n">
        <v>5446.9</v>
      </c>
      <c r="G90" s="31" t="n">
        <v>0.323882</v>
      </c>
      <c r="H90" s="36" t="n">
        <v>80.969</v>
      </c>
      <c r="I90" s="36" t="n">
        <v>0</v>
      </c>
      <c r="J90" s="36" t="n">
        <v>0.014</v>
      </c>
      <c r="K90" s="36" t="n">
        <v>13.89</v>
      </c>
      <c r="L90" s="36" t="n">
        <v>53.822</v>
      </c>
      <c r="M90" s="36" t="n">
        <v>13.189</v>
      </c>
      <c r="N90" s="36" t="n">
        <v>0.141</v>
      </c>
      <c r="O90" s="36" t="n">
        <v>0</v>
      </c>
      <c r="P90" s="36" t="n">
        <v>0.002</v>
      </c>
      <c r="Q90" s="36" t="n">
        <v>2.258</v>
      </c>
      <c r="R90" s="36" t="n">
        <v>11.52</v>
      </c>
      <c r="S90" s="36" t="n">
        <v>51.304</v>
      </c>
      <c r="T90" s="36" t="n">
        <v>15.898</v>
      </c>
      <c r="U90" s="36" t="n">
        <v>54.301</v>
      </c>
      <c r="V90" s="36" t="n">
        <v>13.369</v>
      </c>
      <c r="W90" s="36" t="n">
        <v>12.762</v>
      </c>
      <c r="X90" s="36" t="n">
        <v>0.412</v>
      </c>
      <c r="Y90" s="36" t="n">
        <v>0.14</v>
      </c>
      <c r="Z90" s="36" t="n">
        <v>0</v>
      </c>
      <c r="AA90" s="12" t="n">
        <v>0</v>
      </c>
      <c r="AB90" s="12" t="n">
        <v>238</v>
      </c>
      <c r="AC90" s="9" t="s">
        <v>963</v>
      </c>
      <c r="AD90" s="35"/>
      <c r="AE90" s="9" t="s">
        <v>930</v>
      </c>
      <c r="AF90" s="14" t="n">
        <f aca="false">IF(E90=0,0,(K90+L90+M90)/(K90+L90+M90+N90+O90))</f>
        <v>0.998260161397794</v>
      </c>
      <c r="AG90" s="7" t="str">
        <f aca="false">IF(J90&gt;=MAX(H90,I90),"MOSAICO",IF(H90&gt;=I90,"BES","ANDINO"))</f>
        <v>BES</v>
      </c>
      <c r="AH90" s="7" t="str">
        <f aca="false">IF(AF90&gt;=P_CORTE,"Alta","Moderada")</f>
        <v>Alta</v>
      </c>
      <c r="AI90" s="13" t="str">
        <f aca="false">INDEX(PAQ_T,MATCH(AG90&amp;"|"&amp;AH90,PAQ_KEY,0))</f>
        <v>T1</v>
      </c>
      <c r="AJ90" s="8" t="n">
        <v>84</v>
      </c>
      <c r="AK90" s="7" t="s">
        <v>1054</v>
      </c>
      <c r="AL90" s="34"/>
      <c r="AM90" s="23"/>
    </row>
    <row r="91" customFormat="false" ht="15" hidden="false" customHeight="false" outlineLevel="0" collapsed="false">
      <c r="A91" s="7" t="s">
        <v>1063</v>
      </c>
      <c r="B91" s="7" t="s">
        <v>1016</v>
      </c>
      <c r="C91" s="7" t="s">
        <v>1052</v>
      </c>
      <c r="D91" s="7" t="s">
        <v>1062</v>
      </c>
      <c r="E91" s="34" t="n">
        <v>294.204</v>
      </c>
      <c r="F91" s="34" t="n">
        <v>10258.8</v>
      </c>
      <c r="G91" s="22" t="n">
        <v>0.321386</v>
      </c>
      <c r="H91" s="34" t="n">
        <v>294.101</v>
      </c>
      <c r="I91" s="34" t="n">
        <v>0</v>
      </c>
      <c r="J91" s="34" t="n">
        <v>0.103</v>
      </c>
      <c r="K91" s="34" t="n">
        <v>63.711</v>
      </c>
      <c r="L91" s="34" t="n">
        <v>177.89</v>
      </c>
      <c r="M91" s="34" t="n">
        <v>51.062</v>
      </c>
      <c r="N91" s="34" t="n">
        <v>1.697</v>
      </c>
      <c r="O91" s="34" t="n">
        <v>0.089</v>
      </c>
      <c r="P91" s="34" t="n">
        <v>1.604</v>
      </c>
      <c r="Q91" s="34" t="n">
        <v>18.262</v>
      </c>
      <c r="R91" s="34" t="n">
        <v>55.266</v>
      </c>
      <c r="S91" s="34" t="n">
        <v>182.709</v>
      </c>
      <c r="T91" s="34" t="n">
        <v>36.362</v>
      </c>
      <c r="U91" s="34" t="n">
        <v>173.751</v>
      </c>
      <c r="V91" s="34" t="n">
        <v>67.694</v>
      </c>
      <c r="W91" s="34" t="n">
        <v>44.304</v>
      </c>
      <c r="X91" s="34" t="n">
        <v>6.678</v>
      </c>
      <c r="Y91" s="34" t="n">
        <v>1.016</v>
      </c>
      <c r="Z91" s="34" t="n">
        <v>0.761</v>
      </c>
      <c r="AA91" s="8" t="n">
        <v>8</v>
      </c>
      <c r="AB91" s="8" t="n">
        <v>902</v>
      </c>
      <c r="AC91" s="7" t="s">
        <v>929</v>
      </c>
      <c r="AD91" s="35"/>
      <c r="AE91" s="7" t="s">
        <v>930</v>
      </c>
      <c r="AF91" s="14" t="n">
        <f aca="false">IF(E91=0,0,(K91+L91+M91)/(K91+L91+M91+N91+O91))</f>
        <v>0.993934433467256</v>
      </c>
      <c r="AG91" s="7" t="str">
        <f aca="false">IF(J91&gt;=MAX(H91,I91),"MOSAICO",IF(H91&gt;=I91,"BES","ANDINO"))</f>
        <v>BES</v>
      </c>
      <c r="AH91" s="7" t="str">
        <f aca="false">IF(AF91&gt;=P_CORTE,"Alta","Moderada")</f>
        <v>Alta</v>
      </c>
      <c r="AI91" s="13" t="str">
        <f aca="false">INDEX(PAQ_T,MATCH(AG91&amp;"|"&amp;AH91,PAQ_KEY,0))</f>
        <v>T1</v>
      </c>
      <c r="AJ91" s="8" t="n">
        <v>85</v>
      </c>
      <c r="AK91" s="7" t="s">
        <v>1054</v>
      </c>
      <c r="AL91" s="34"/>
      <c r="AM91" s="23"/>
    </row>
    <row r="92" customFormat="false" ht="15" hidden="false" customHeight="false" outlineLevel="0" collapsed="false">
      <c r="A92" s="9" t="s">
        <v>1064</v>
      </c>
      <c r="B92" s="9" t="s">
        <v>1016</v>
      </c>
      <c r="C92" s="9" t="s">
        <v>1065</v>
      </c>
      <c r="D92" s="9" t="s">
        <v>1062</v>
      </c>
      <c r="E92" s="36" t="n">
        <v>84.825</v>
      </c>
      <c r="F92" s="36" t="n">
        <v>7386.6</v>
      </c>
      <c r="G92" s="31" t="n">
        <v>0.298483</v>
      </c>
      <c r="H92" s="36" t="n">
        <v>84.825</v>
      </c>
      <c r="I92" s="36" t="n">
        <v>0</v>
      </c>
      <c r="J92" s="36" t="n">
        <v>0</v>
      </c>
      <c r="K92" s="36" t="n">
        <v>23.091</v>
      </c>
      <c r="L92" s="36" t="n">
        <v>56.797</v>
      </c>
      <c r="M92" s="36" t="n">
        <v>4.903</v>
      </c>
      <c r="N92" s="36" t="n">
        <v>0.089</v>
      </c>
      <c r="O92" s="36" t="n">
        <v>0</v>
      </c>
      <c r="P92" s="36" t="n">
        <v>0.094</v>
      </c>
      <c r="Q92" s="36" t="n">
        <v>3.036</v>
      </c>
      <c r="R92" s="36" t="n">
        <v>16.12</v>
      </c>
      <c r="S92" s="36" t="n">
        <v>48.077</v>
      </c>
      <c r="T92" s="36" t="n">
        <v>17.498</v>
      </c>
      <c r="U92" s="36" t="n">
        <v>60.787</v>
      </c>
      <c r="V92" s="36" t="n">
        <v>19.051</v>
      </c>
      <c r="W92" s="36" t="n">
        <v>4.699</v>
      </c>
      <c r="X92" s="36" t="n">
        <v>0.199</v>
      </c>
      <c r="Y92" s="36" t="n">
        <v>0.089</v>
      </c>
      <c r="Z92" s="36" t="n">
        <v>0</v>
      </c>
      <c r="AA92" s="12" t="n">
        <v>0</v>
      </c>
      <c r="AB92" s="12" t="n">
        <v>240</v>
      </c>
      <c r="AC92" s="9" t="s">
        <v>963</v>
      </c>
      <c r="AD92" s="35"/>
      <c r="AE92" s="9" t="s">
        <v>930</v>
      </c>
      <c r="AF92" s="14" t="n">
        <f aca="false">IF(E92=0,0,(K92+L92+M92)/(K92+L92+M92+N92+O92))</f>
        <v>0.998951460885957</v>
      </c>
      <c r="AG92" s="7" t="str">
        <f aca="false">IF(J92&gt;=MAX(H92,I92),"MOSAICO",IF(H92&gt;=I92,"BES","ANDINO"))</f>
        <v>BES</v>
      </c>
      <c r="AH92" s="7" t="str">
        <f aca="false">IF(AF92&gt;=P_CORTE,"Alta","Moderada")</f>
        <v>Alta</v>
      </c>
      <c r="AI92" s="13" t="str">
        <f aca="false">INDEX(PAQ_T,MATCH(AG92&amp;"|"&amp;AH92,PAQ_KEY,0))</f>
        <v>T1</v>
      </c>
      <c r="AJ92" s="8" t="n">
        <v>86</v>
      </c>
      <c r="AK92" s="7" t="s">
        <v>1066</v>
      </c>
      <c r="AL92" s="34"/>
      <c r="AM92" s="23"/>
    </row>
    <row r="93" customFormat="false" ht="15" hidden="false" customHeight="false" outlineLevel="0" collapsed="false">
      <c r="A93" s="7" t="s">
        <v>1067</v>
      </c>
      <c r="B93" s="7" t="s">
        <v>1016</v>
      </c>
      <c r="C93" s="7" t="s">
        <v>1065</v>
      </c>
      <c r="D93" s="7" t="s">
        <v>1062</v>
      </c>
      <c r="E93" s="34" t="n">
        <v>52.743</v>
      </c>
      <c r="F93" s="34" t="n">
        <v>3575.9</v>
      </c>
      <c r="G93" s="22" t="n">
        <v>0.283016</v>
      </c>
      <c r="H93" s="34" t="n">
        <v>52.743</v>
      </c>
      <c r="I93" s="34" t="n">
        <v>0</v>
      </c>
      <c r="J93" s="34" t="n">
        <v>0</v>
      </c>
      <c r="K93" s="34" t="n">
        <v>21.575</v>
      </c>
      <c r="L93" s="34" t="n">
        <v>28.954</v>
      </c>
      <c r="M93" s="34" t="n">
        <v>2.194</v>
      </c>
      <c r="N93" s="34" t="n">
        <v>0.06</v>
      </c>
      <c r="O93" s="34" t="n">
        <v>0</v>
      </c>
      <c r="P93" s="34" t="n">
        <v>0.052</v>
      </c>
      <c r="Q93" s="34" t="n">
        <v>2.514</v>
      </c>
      <c r="R93" s="34" t="n">
        <v>9.452</v>
      </c>
      <c r="S93" s="34" t="n">
        <v>30.606</v>
      </c>
      <c r="T93" s="34" t="n">
        <v>10.119</v>
      </c>
      <c r="U93" s="34" t="n">
        <v>38.764</v>
      </c>
      <c r="V93" s="34" t="n">
        <v>11.731</v>
      </c>
      <c r="W93" s="34" t="n">
        <v>1.901</v>
      </c>
      <c r="X93" s="34" t="n">
        <v>0.288</v>
      </c>
      <c r="Y93" s="34" t="n">
        <v>0.059</v>
      </c>
      <c r="Z93" s="34" t="n">
        <v>0</v>
      </c>
      <c r="AA93" s="8" t="n">
        <v>31</v>
      </c>
      <c r="AB93" s="8" t="n">
        <v>274</v>
      </c>
      <c r="AC93" s="7" t="s">
        <v>963</v>
      </c>
      <c r="AD93" s="35"/>
      <c r="AE93" s="7" t="s">
        <v>930</v>
      </c>
      <c r="AF93" s="14" t="n">
        <f aca="false">IF(E93=0,0,(K93+L93+M93)/(K93+L93+M93+N93+O93))</f>
        <v>0.998863270371142</v>
      </c>
      <c r="AG93" s="7" t="str">
        <f aca="false">IF(J93&gt;=MAX(H93,I93),"MOSAICO",IF(H93&gt;=I93,"BES","ANDINO"))</f>
        <v>BES</v>
      </c>
      <c r="AH93" s="7" t="str">
        <f aca="false">IF(AF93&gt;=P_CORTE,"Alta","Moderada")</f>
        <v>Alta</v>
      </c>
      <c r="AI93" s="13" t="str">
        <f aca="false">INDEX(PAQ_T,MATCH(AG93&amp;"|"&amp;AH93,PAQ_KEY,0))</f>
        <v>T1</v>
      </c>
      <c r="AJ93" s="8" t="n">
        <v>87</v>
      </c>
      <c r="AK93" s="7" t="s">
        <v>1066</v>
      </c>
      <c r="AL93" s="34"/>
      <c r="AM93" s="23"/>
    </row>
    <row r="94" customFormat="false" ht="15" hidden="false" customHeight="false" outlineLevel="0" collapsed="false">
      <c r="A94" s="9" t="s">
        <v>1068</v>
      </c>
      <c r="B94" s="9" t="s">
        <v>1016</v>
      </c>
      <c r="C94" s="9" t="s">
        <v>1065</v>
      </c>
      <c r="D94" s="9" t="s">
        <v>1062</v>
      </c>
      <c r="E94" s="36" t="n">
        <v>60.352</v>
      </c>
      <c r="F94" s="36" t="n">
        <v>5104.6</v>
      </c>
      <c r="G94" s="31" t="n">
        <v>0.342535</v>
      </c>
      <c r="H94" s="36" t="n">
        <v>60.352</v>
      </c>
      <c r="I94" s="36" t="n">
        <v>0</v>
      </c>
      <c r="J94" s="36" t="n">
        <v>0</v>
      </c>
      <c r="K94" s="36" t="n">
        <v>6.323</v>
      </c>
      <c r="L94" s="36" t="n">
        <v>36.521</v>
      </c>
      <c r="M94" s="36" t="n">
        <v>17.39</v>
      </c>
      <c r="N94" s="36" t="n">
        <v>0.155</v>
      </c>
      <c r="O94" s="36" t="n">
        <v>0</v>
      </c>
      <c r="P94" s="36" t="n">
        <v>0.183</v>
      </c>
      <c r="Q94" s="36" t="n">
        <v>1.258</v>
      </c>
      <c r="R94" s="36" t="n">
        <v>5.761</v>
      </c>
      <c r="S94" s="36" t="n">
        <v>25.889</v>
      </c>
      <c r="T94" s="36" t="n">
        <v>27.261</v>
      </c>
      <c r="U94" s="36" t="n">
        <v>35.673</v>
      </c>
      <c r="V94" s="36" t="n">
        <v>7.147</v>
      </c>
      <c r="W94" s="36" t="n">
        <v>17.322</v>
      </c>
      <c r="X94" s="36" t="n">
        <v>0.055</v>
      </c>
      <c r="Y94" s="36" t="n">
        <v>0.155</v>
      </c>
      <c r="Z94" s="36" t="n">
        <v>0</v>
      </c>
      <c r="AA94" s="12" t="n">
        <v>19</v>
      </c>
      <c r="AB94" s="12" t="n">
        <v>230</v>
      </c>
      <c r="AC94" s="9" t="s">
        <v>963</v>
      </c>
      <c r="AD94" s="35"/>
      <c r="AE94" s="9" t="s">
        <v>930</v>
      </c>
      <c r="AF94" s="14" t="n">
        <f aca="false">IF(E94=0,0,(K94+L94+M94)/(K94+L94+M94+N94+O94))</f>
        <v>0.997433307390419</v>
      </c>
      <c r="AG94" s="7" t="str">
        <f aca="false">IF(J94&gt;=MAX(H94,I94),"MOSAICO",IF(H94&gt;=I94,"BES","ANDINO"))</f>
        <v>BES</v>
      </c>
      <c r="AH94" s="7" t="str">
        <f aca="false">IF(AF94&gt;=P_CORTE,"Alta","Moderada")</f>
        <v>Alta</v>
      </c>
      <c r="AI94" s="13" t="str">
        <f aca="false">INDEX(PAQ_T,MATCH(AG94&amp;"|"&amp;AH94,PAQ_KEY,0))</f>
        <v>T1</v>
      </c>
      <c r="AJ94" s="8" t="n">
        <v>88</v>
      </c>
      <c r="AK94" s="7" t="s">
        <v>1066</v>
      </c>
      <c r="AL94" s="34"/>
      <c r="AM94" s="23"/>
    </row>
    <row r="95" customFormat="false" ht="15" hidden="false" customHeight="false" outlineLevel="0" collapsed="false">
      <c r="A95" s="7" t="s">
        <v>1069</v>
      </c>
      <c r="B95" s="7" t="s">
        <v>1016</v>
      </c>
      <c r="C95" s="7" t="s">
        <v>1065</v>
      </c>
      <c r="D95" s="7" t="s">
        <v>1062</v>
      </c>
      <c r="E95" s="34" t="n">
        <v>122.946</v>
      </c>
      <c r="F95" s="34" t="n">
        <v>8708.4</v>
      </c>
      <c r="G95" s="22" t="n">
        <v>0.370678</v>
      </c>
      <c r="H95" s="34" t="n">
        <v>122.88</v>
      </c>
      <c r="I95" s="34" t="n">
        <v>0</v>
      </c>
      <c r="J95" s="34" t="n">
        <v>0.066</v>
      </c>
      <c r="K95" s="34" t="n">
        <v>2.53</v>
      </c>
      <c r="L95" s="34" t="n">
        <v>73.338</v>
      </c>
      <c r="M95" s="34" t="n">
        <v>42.145</v>
      </c>
      <c r="N95" s="34" t="n">
        <v>5.007</v>
      </c>
      <c r="O95" s="34" t="n">
        <v>0.01</v>
      </c>
      <c r="P95" s="34" t="n">
        <v>0.183</v>
      </c>
      <c r="Q95" s="34" t="n">
        <v>6.985</v>
      </c>
      <c r="R95" s="34" t="n">
        <v>27.074</v>
      </c>
      <c r="S95" s="34" t="n">
        <v>66.29</v>
      </c>
      <c r="T95" s="34" t="n">
        <v>22.413</v>
      </c>
      <c r="U95" s="34" t="n">
        <v>53.422</v>
      </c>
      <c r="V95" s="34" t="n">
        <v>22.402</v>
      </c>
      <c r="W95" s="34" t="n">
        <v>31.638</v>
      </c>
      <c r="X95" s="34" t="n">
        <v>10.48</v>
      </c>
      <c r="Y95" s="34" t="n">
        <v>3.644</v>
      </c>
      <c r="Z95" s="34" t="n">
        <v>1.36</v>
      </c>
      <c r="AA95" s="8" t="n">
        <v>46</v>
      </c>
      <c r="AB95" s="8" t="n">
        <v>686</v>
      </c>
      <c r="AC95" s="7" t="s">
        <v>929</v>
      </c>
      <c r="AD95" s="35"/>
      <c r="AE95" s="7" t="s">
        <v>930</v>
      </c>
      <c r="AF95" s="14" t="n">
        <f aca="false">IF(E95=0,0,(K95+L95+M95)/(K95+L95+M95+N95+O95))</f>
        <v>0.95922132813135</v>
      </c>
      <c r="AG95" s="7" t="str">
        <f aca="false">IF(J95&gt;=MAX(H95,I95),"MOSAICO",IF(H95&gt;=I95,"BES","ANDINO"))</f>
        <v>BES</v>
      </c>
      <c r="AH95" s="7" t="str">
        <f aca="false">IF(AF95&gt;=P_CORTE,"Alta","Moderada")</f>
        <v>Alta</v>
      </c>
      <c r="AI95" s="13" t="str">
        <f aca="false">INDEX(PAQ_T,MATCH(AG95&amp;"|"&amp;AH95,PAQ_KEY,0))</f>
        <v>T1</v>
      </c>
      <c r="AJ95" s="8" t="n">
        <v>89</v>
      </c>
      <c r="AK95" s="7" t="s">
        <v>1066</v>
      </c>
      <c r="AL95" s="34"/>
      <c r="AM95" s="23"/>
    </row>
    <row r="96" customFormat="false" ht="15" hidden="false" customHeight="false" outlineLevel="0" collapsed="false">
      <c r="A96" s="9" t="s">
        <v>1070</v>
      </c>
      <c r="B96" s="9" t="s">
        <v>1016</v>
      </c>
      <c r="C96" s="9" t="s">
        <v>1065</v>
      </c>
      <c r="D96" s="9" t="s">
        <v>1062</v>
      </c>
      <c r="E96" s="36" t="n">
        <v>565.584</v>
      </c>
      <c r="F96" s="36" t="n">
        <v>17504.4</v>
      </c>
      <c r="G96" s="31" t="n">
        <v>0.293351</v>
      </c>
      <c r="H96" s="36" t="n">
        <v>565.48</v>
      </c>
      <c r="I96" s="36" t="n">
        <v>0</v>
      </c>
      <c r="J96" s="36" t="n">
        <v>0.104</v>
      </c>
      <c r="K96" s="36" t="n">
        <v>198.451</v>
      </c>
      <c r="L96" s="36" t="n">
        <v>307.95</v>
      </c>
      <c r="M96" s="36" t="n">
        <v>56.214</v>
      </c>
      <c r="N96" s="36" t="n">
        <v>3.408</v>
      </c>
      <c r="O96" s="36" t="n">
        <v>0</v>
      </c>
      <c r="P96" s="36" t="n">
        <v>52.477</v>
      </c>
      <c r="Q96" s="36" t="n">
        <v>123.343</v>
      </c>
      <c r="R96" s="36" t="n">
        <v>98.112</v>
      </c>
      <c r="S96" s="36" t="n">
        <v>246.133</v>
      </c>
      <c r="T96" s="36" t="n">
        <v>45.519</v>
      </c>
      <c r="U96" s="36" t="n">
        <v>248.642</v>
      </c>
      <c r="V96" s="36" t="n">
        <v>257.411</v>
      </c>
      <c r="W96" s="36" t="n">
        <v>40.372</v>
      </c>
      <c r="X96" s="36" t="n">
        <v>15.76</v>
      </c>
      <c r="Y96" s="36" t="n">
        <v>2.637</v>
      </c>
      <c r="Z96" s="36" t="n">
        <v>0.761</v>
      </c>
      <c r="AA96" s="12" t="n">
        <v>12</v>
      </c>
      <c r="AB96" s="12" t="n">
        <v>2299</v>
      </c>
      <c r="AC96" s="9" t="s">
        <v>929</v>
      </c>
      <c r="AD96" s="35"/>
      <c r="AE96" s="9" t="s">
        <v>930</v>
      </c>
      <c r="AF96" s="14" t="n">
        <f aca="false">IF(E96=0,0,(K96+L96+M96)/(K96+L96+M96+N96+O96))</f>
        <v>0.993979043254426</v>
      </c>
      <c r="AG96" s="7" t="str">
        <f aca="false">IF(J96&gt;=MAX(H96,I96),"MOSAICO",IF(H96&gt;=I96,"BES","ANDINO"))</f>
        <v>BES</v>
      </c>
      <c r="AH96" s="7" t="str">
        <f aca="false">IF(AF96&gt;=P_CORTE,"Alta","Moderada")</f>
        <v>Alta</v>
      </c>
      <c r="AI96" s="13" t="str">
        <f aca="false">INDEX(PAQ_T,MATCH(AG96&amp;"|"&amp;AH96,PAQ_KEY,0))</f>
        <v>T1</v>
      </c>
      <c r="AJ96" s="8" t="n">
        <v>90</v>
      </c>
      <c r="AK96" s="7" t="s">
        <v>1066</v>
      </c>
      <c r="AL96" s="34"/>
      <c r="AM96" s="23"/>
    </row>
    <row r="97" customFormat="false" ht="15" hidden="false" customHeight="false" outlineLevel="0" collapsed="false">
      <c r="A97" s="7" t="s">
        <v>1071</v>
      </c>
      <c r="B97" s="7" t="s">
        <v>1016</v>
      </c>
      <c r="C97" s="7" t="s">
        <v>1065</v>
      </c>
      <c r="D97" s="7" t="s">
        <v>954</v>
      </c>
      <c r="E97" s="34" t="n">
        <v>17.821</v>
      </c>
      <c r="F97" s="34" t="n">
        <v>1807.3</v>
      </c>
      <c r="G97" s="22" t="n">
        <v>0.272488</v>
      </c>
      <c r="H97" s="34" t="n">
        <v>17.821</v>
      </c>
      <c r="I97" s="34" t="n">
        <v>0</v>
      </c>
      <c r="J97" s="34" t="n">
        <v>0</v>
      </c>
      <c r="K97" s="34" t="n">
        <v>8.709</v>
      </c>
      <c r="L97" s="34" t="n">
        <v>8.448</v>
      </c>
      <c r="M97" s="34" t="n">
        <v>0.636</v>
      </c>
      <c r="N97" s="34" t="n">
        <v>0.04</v>
      </c>
      <c r="O97" s="34" t="n">
        <v>0</v>
      </c>
      <c r="P97" s="34" t="n">
        <v>0.109</v>
      </c>
      <c r="Q97" s="34" t="n">
        <v>3.316</v>
      </c>
      <c r="R97" s="34" t="n">
        <v>6.594</v>
      </c>
      <c r="S97" s="34" t="n">
        <v>6.777</v>
      </c>
      <c r="T97" s="34" t="n">
        <v>1.024</v>
      </c>
      <c r="U97" s="34" t="n">
        <v>7.492</v>
      </c>
      <c r="V97" s="34" t="n">
        <v>9.657</v>
      </c>
      <c r="W97" s="34" t="n">
        <v>0.31</v>
      </c>
      <c r="X97" s="34" t="n">
        <v>0.323</v>
      </c>
      <c r="Y97" s="34" t="n">
        <v>0</v>
      </c>
      <c r="Z97" s="34" t="n">
        <v>0.04</v>
      </c>
      <c r="AA97" s="8" t="n">
        <v>0</v>
      </c>
      <c r="AB97" s="8" t="n">
        <v>129</v>
      </c>
      <c r="AC97" s="7" t="s">
        <v>963</v>
      </c>
      <c r="AD97" s="35"/>
      <c r="AE97" s="7" t="s">
        <v>930</v>
      </c>
      <c r="AF97" s="14" t="n">
        <f aca="false">IF(E97=0,0,(K97+L97+M97)/(K97+L97+M97+N97+O97))</f>
        <v>0.997756967419952</v>
      </c>
      <c r="AG97" s="7" t="str">
        <f aca="false">IF(J97&gt;=MAX(H97,I97),"MOSAICO",IF(H97&gt;=I97,"BES","ANDINO"))</f>
        <v>BES</v>
      </c>
      <c r="AH97" s="7" t="str">
        <f aca="false">IF(AF97&gt;=P_CORTE,"Alta","Moderada")</f>
        <v>Alta</v>
      </c>
      <c r="AI97" s="13" t="str">
        <f aca="false">INDEX(PAQ_T,MATCH(AG97&amp;"|"&amp;AH97,PAQ_KEY,0))</f>
        <v>T1</v>
      </c>
      <c r="AJ97" s="8" t="n">
        <v>91</v>
      </c>
      <c r="AK97" s="7" t="s">
        <v>1066</v>
      </c>
      <c r="AL97" s="34"/>
      <c r="AM97" s="23"/>
    </row>
    <row r="98" customFormat="false" ht="15" hidden="false" customHeight="false" outlineLevel="0" collapsed="false">
      <c r="A98" s="9" t="s">
        <v>1072</v>
      </c>
      <c r="B98" s="9" t="s">
        <v>1016</v>
      </c>
      <c r="C98" s="9" t="s">
        <v>1065</v>
      </c>
      <c r="D98" s="9" t="s">
        <v>954</v>
      </c>
      <c r="E98" s="36" t="n">
        <v>24.344</v>
      </c>
      <c r="F98" s="36" t="n">
        <v>2932.6</v>
      </c>
      <c r="G98" s="31" t="n">
        <v>0.305456</v>
      </c>
      <c r="H98" s="36" t="n">
        <v>24.344</v>
      </c>
      <c r="I98" s="36" t="n">
        <v>0</v>
      </c>
      <c r="J98" s="36" t="n">
        <v>0</v>
      </c>
      <c r="K98" s="36" t="n">
        <v>7.208</v>
      </c>
      <c r="L98" s="36" t="n">
        <v>13.654</v>
      </c>
      <c r="M98" s="36" t="n">
        <v>3.35</v>
      </c>
      <c r="N98" s="36" t="n">
        <v>0.149</v>
      </c>
      <c r="O98" s="36" t="n">
        <v>0</v>
      </c>
      <c r="P98" s="36" t="n">
        <v>1.05</v>
      </c>
      <c r="Q98" s="36" t="n">
        <v>7.83</v>
      </c>
      <c r="R98" s="36" t="n">
        <v>8.153</v>
      </c>
      <c r="S98" s="36" t="n">
        <v>6.069</v>
      </c>
      <c r="T98" s="36" t="n">
        <v>1.242</v>
      </c>
      <c r="U98" s="36" t="n">
        <v>4.497</v>
      </c>
      <c r="V98" s="36" t="n">
        <v>16.352</v>
      </c>
      <c r="W98" s="36" t="n">
        <v>2.666</v>
      </c>
      <c r="X98" s="36" t="n">
        <v>0.68</v>
      </c>
      <c r="Y98" s="36" t="n">
        <v>0.148</v>
      </c>
      <c r="Z98" s="36" t="n">
        <v>0</v>
      </c>
      <c r="AA98" s="12" t="n">
        <v>0</v>
      </c>
      <c r="AB98" s="12" t="n">
        <v>193</v>
      </c>
      <c r="AC98" s="9" t="s">
        <v>963</v>
      </c>
      <c r="AD98" s="35"/>
      <c r="AE98" s="9" t="s">
        <v>930</v>
      </c>
      <c r="AF98" s="14" t="n">
        <f aca="false">IF(E98=0,0,(K98+L98+M98)/(K98+L98+M98+N98+O98))</f>
        <v>0.993883666516153</v>
      </c>
      <c r="AG98" s="7" t="str">
        <f aca="false">IF(J98&gt;=MAX(H98,I98),"MOSAICO",IF(H98&gt;=I98,"BES","ANDINO"))</f>
        <v>BES</v>
      </c>
      <c r="AH98" s="7" t="str">
        <f aca="false">IF(AF98&gt;=P_CORTE,"Alta","Moderada")</f>
        <v>Alta</v>
      </c>
      <c r="AI98" s="13" t="str">
        <f aca="false">INDEX(PAQ_T,MATCH(AG98&amp;"|"&amp;AH98,PAQ_KEY,0))</f>
        <v>T1</v>
      </c>
      <c r="AJ98" s="8" t="n">
        <v>92</v>
      </c>
      <c r="AK98" s="7" t="s">
        <v>1066</v>
      </c>
      <c r="AL98" s="34"/>
      <c r="AM98" s="23"/>
    </row>
    <row r="99" customFormat="false" ht="15" hidden="false" customHeight="false" outlineLevel="0" collapsed="false">
      <c r="A99" s="7" t="s">
        <v>1073</v>
      </c>
      <c r="B99" s="7" t="s">
        <v>1016</v>
      </c>
      <c r="C99" s="7" t="s">
        <v>1065</v>
      </c>
      <c r="D99" s="7" t="s">
        <v>954</v>
      </c>
      <c r="E99" s="34" t="n">
        <v>5.097</v>
      </c>
      <c r="F99" s="34" t="n">
        <v>1456.3</v>
      </c>
      <c r="G99" s="22" t="n">
        <v>0.251596</v>
      </c>
      <c r="H99" s="34" t="n">
        <v>5.041</v>
      </c>
      <c r="I99" s="34" t="n">
        <v>0</v>
      </c>
      <c r="J99" s="34" t="n">
        <v>0.056</v>
      </c>
      <c r="K99" s="34" t="n">
        <v>3.33</v>
      </c>
      <c r="L99" s="34" t="n">
        <v>1.751</v>
      </c>
      <c r="M99" s="34" t="n">
        <v>0.018</v>
      </c>
      <c r="N99" s="34" t="n">
        <v>0</v>
      </c>
      <c r="O99" s="34" t="n">
        <v>0</v>
      </c>
      <c r="P99" s="34" t="n">
        <v>0</v>
      </c>
      <c r="Q99" s="34" t="n">
        <v>0.931</v>
      </c>
      <c r="R99" s="34" t="n">
        <v>2.704</v>
      </c>
      <c r="S99" s="34" t="n">
        <v>1.462</v>
      </c>
      <c r="T99" s="34" t="n">
        <v>0</v>
      </c>
      <c r="U99" s="34" t="n">
        <v>1.454</v>
      </c>
      <c r="V99" s="34" t="n">
        <v>3.625</v>
      </c>
      <c r="W99" s="34" t="n">
        <v>0.008</v>
      </c>
      <c r="X99" s="34" t="n">
        <v>0.01</v>
      </c>
      <c r="Y99" s="34" t="n">
        <v>0</v>
      </c>
      <c r="Z99" s="34" t="n">
        <v>0</v>
      </c>
      <c r="AA99" s="8" t="n">
        <v>7</v>
      </c>
      <c r="AB99" s="8" t="n">
        <v>121</v>
      </c>
      <c r="AC99" s="7" t="s">
        <v>963</v>
      </c>
      <c r="AD99" s="35"/>
      <c r="AE99" s="7" t="s">
        <v>930</v>
      </c>
      <c r="AF99" s="14" t="n">
        <f aca="false">IF(E99=0,0,(K99+L99+M99)/(K99+L99+M99+N99+O99))</f>
        <v>1</v>
      </c>
      <c r="AG99" s="7" t="str">
        <f aca="false">IF(J99&gt;=MAX(H99,I99),"MOSAICO",IF(H99&gt;=I99,"BES","ANDINO"))</f>
        <v>BES</v>
      </c>
      <c r="AH99" s="7" t="str">
        <f aca="false">IF(AF99&gt;=P_CORTE,"Alta","Moderada")</f>
        <v>Alta</v>
      </c>
      <c r="AI99" s="13" t="str">
        <f aca="false">INDEX(PAQ_T,MATCH(AG99&amp;"|"&amp;AH99,PAQ_KEY,0))</f>
        <v>T1</v>
      </c>
      <c r="AJ99" s="8" t="n">
        <v>93</v>
      </c>
      <c r="AK99" s="7" t="s">
        <v>1066</v>
      </c>
      <c r="AL99" s="34"/>
      <c r="AM99" s="23"/>
    </row>
    <row r="100" customFormat="false" ht="15" hidden="false" customHeight="false" outlineLevel="0" collapsed="false">
      <c r="A100" s="9" t="s">
        <v>1074</v>
      </c>
      <c r="B100" s="9" t="s">
        <v>1016</v>
      </c>
      <c r="C100" s="9" t="s">
        <v>1065</v>
      </c>
      <c r="D100" s="9" t="s">
        <v>954</v>
      </c>
      <c r="E100" s="36" t="n">
        <v>11.906</v>
      </c>
      <c r="F100" s="36" t="n">
        <v>2081.7</v>
      </c>
      <c r="G100" s="31" t="n">
        <v>0.228928</v>
      </c>
      <c r="H100" s="36" t="n">
        <v>0.072</v>
      </c>
      <c r="I100" s="36" t="n">
        <v>0</v>
      </c>
      <c r="J100" s="36" t="n">
        <v>11.834</v>
      </c>
      <c r="K100" s="36" t="n">
        <v>10.026</v>
      </c>
      <c r="L100" s="36" t="n">
        <v>1.849</v>
      </c>
      <c r="M100" s="36" t="n">
        <v>0.038</v>
      </c>
      <c r="N100" s="36" t="n">
        <v>0</v>
      </c>
      <c r="O100" s="36" t="n">
        <v>0</v>
      </c>
      <c r="P100" s="36" t="n">
        <v>0.141</v>
      </c>
      <c r="Q100" s="36" t="n">
        <v>1.851</v>
      </c>
      <c r="R100" s="36" t="n">
        <v>5.421</v>
      </c>
      <c r="S100" s="36" t="n">
        <v>4.415</v>
      </c>
      <c r="T100" s="36" t="n">
        <v>0.078</v>
      </c>
      <c r="U100" s="36" t="n">
        <v>4.46</v>
      </c>
      <c r="V100" s="36" t="n">
        <v>7.408</v>
      </c>
      <c r="W100" s="36" t="n">
        <v>0.033</v>
      </c>
      <c r="X100" s="36" t="n">
        <v>0.005</v>
      </c>
      <c r="Y100" s="36" t="n">
        <v>0</v>
      </c>
      <c r="Z100" s="36" t="n">
        <v>0</v>
      </c>
      <c r="AA100" s="12" t="n">
        <v>1</v>
      </c>
      <c r="AB100" s="12" t="n">
        <v>186</v>
      </c>
      <c r="AC100" s="9" t="s">
        <v>963</v>
      </c>
      <c r="AD100" s="35"/>
      <c r="AE100" s="9" t="s">
        <v>930</v>
      </c>
      <c r="AF100" s="14" t="n">
        <f aca="false">IF(E100=0,0,(K100+L100+M100)/(K100+L100+M100+N100+O100))</f>
        <v>1</v>
      </c>
      <c r="AG100" s="7" t="str">
        <f aca="false">IF(J100&gt;=MAX(H100,I100),"MOSAICO",IF(H100&gt;=I100,"BES","ANDINO"))</f>
        <v>MOSAICO</v>
      </c>
      <c r="AH100" s="7" t="str">
        <f aca="false">IF(AF100&gt;=P_CORTE,"Alta","Moderada")</f>
        <v>Alta</v>
      </c>
      <c r="AI100" s="13" t="str">
        <f aca="false">INDEX(PAQ_T,MATCH(AG100&amp;"|"&amp;AH100,PAQ_KEY,0))</f>
        <v>T5</v>
      </c>
      <c r="AJ100" s="8" t="n">
        <v>94</v>
      </c>
      <c r="AK100" s="7" t="s">
        <v>1066</v>
      </c>
      <c r="AL100" s="34"/>
      <c r="AM100" s="23"/>
    </row>
    <row r="101" customFormat="false" ht="15" hidden="false" customHeight="false" outlineLevel="0" collapsed="false">
      <c r="A101" s="7" t="s">
        <v>1075</v>
      </c>
      <c r="B101" s="7" t="s">
        <v>1016</v>
      </c>
      <c r="C101" s="7" t="s">
        <v>1065</v>
      </c>
      <c r="D101" s="7" t="s">
        <v>954</v>
      </c>
      <c r="E101" s="34" t="n">
        <v>30.001</v>
      </c>
      <c r="F101" s="34" t="n">
        <v>3044.7</v>
      </c>
      <c r="G101" s="22" t="n">
        <v>0.273472</v>
      </c>
      <c r="H101" s="34" t="n">
        <v>30.001</v>
      </c>
      <c r="I101" s="34" t="n">
        <v>0</v>
      </c>
      <c r="J101" s="34" t="n">
        <v>0</v>
      </c>
      <c r="K101" s="34" t="n">
        <v>15.01</v>
      </c>
      <c r="L101" s="34" t="n">
        <v>13.431</v>
      </c>
      <c r="M101" s="34" t="n">
        <v>1.467</v>
      </c>
      <c r="N101" s="34" t="n">
        <v>0.114</v>
      </c>
      <c r="O101" s="34" t="n">
        <v>0</v>
      </c>
      <c r="P101" s="34" t="n">
        <v>1.226</v>
      </c>
      <c r="Q101" s="34" t="n">
        <v>5.623</v>
      </c>
      <c r="R101" s="34" t="n">
        <v>8.846</v>
      </c>
      <c r="S101" s="34" t="n">
        <v>12.118</v>
      </c>
      <c r="T101" s="34" t="n">
        <v>2.187</v>
      </c>
      <c r="U101" s="34" t="n">
        <v>12.826</v>
      </c>
      <c r="V101" s="34" t="n">
        <v>15.595</v>
      </c>
      <c r="W101" s="34" t="n">
        <v>1.366</v>
      </c>
      <c r="X101" s="34" t="n">
        <v>0.1</v>
      </c>
      <c r="Y101" s="34" t="n">
        <v>0.113</v>
      </c>
      <c r="Z101" s="34" t="n">
        <v>0.001</v>
      </c>
      <c r="AA101" s="8" t="n">
        <v>112</v>
      </c>
      <c r="AB101" s="8" t="n">
        <v>403</v>
      </c>
      <c r="AC101" s="7" t="s">
        <v>929</v>
      </c>
      <c r="AD101" s="35"/>
      <c r="AE101" s="7" t="s">
        <v>930</v>
      </c>
      <c r="AF101" s="14" t="n">
        <f aca="false">IF(E101=0,0,(K101+L101+M101)/(K101+L101+M101+N101+O101))</f>
        <v>0.996202784624609</v>
      </c>
      <c r="AG101" s="7" t="str">
        <f aca="false">IF(J101&gt;=MAX(H101,I101),"MOSAICO",IF(H101&gt;=I101,"BES","ANDINO"))</f>
        <v>BES</v>
      </c>
      <c r="AH101" s="7" t="str">
        <f aca="false">IF(AF101&gt;=P_CORTE,"Alta","Moderada")</f>
        <v>Alta</v>
      </c>
      <c r="AI101" s="13" t="str">
        <f aca="false">INDEX(PAQ_T,MATCH(AG101&amp;"|"&amp;AH101,PAQ_KEY,0))</f>
        <v>T1</v>
      </c>
      <c r="AJ101" s="8" t="n">
        <v>95</v>
      </c>
      <c r="AK101" s="7" t="s">
        <v>1066</v>
      </c>
      <c r="AL101" s="34"/>
      <c r="AM101" s="23"/>
    </row>
    <row r="102" customFormat="false" ht="15" hidden="false" customHeight="false" outlineLevel="0" collapsed="false">
      <c r="A102" s="9" t="s">
        <v>1076</v>
      </c>
      <c r="B102" s="9" t="s">
        <v>1016</v>
      </c>
      <c r="C102" s="9" t="s">
        <v>1065</v>
      </c>
      <c r="D102" s="9" t="s">
        <v>954</v>
      </c>
      <c r="E102" s="36" t="n">
        <v>62.219</v>
      </c>
      <c r="F102" s="36" t="n">
        <v>4543</v>
      </c>
      <c r="G102" s="31" t="n">
        <v>0.248718</v>
      </c>
      <c r="H102" s="36" t="n">
        <v>62.006</v>
      </c>
      <c r="I102" s="36" t="n">
        <v>0</v>
      </c>
      <c r="J102" s="36" t="n">
        <v>0.213</v>
      </c>
      <c r="K102" s="36" t="n">
        <v>50.886</v>
      </c>
      <c r="L102" s="36" t="n">
        <v>10.404</v>
      </c>
      <c r="M102" s="36" t="n">
        <v>0.808</v>
      </c>
      <c r="N102" s="36" t="n">
        <v>0.175</v>
      </c>
      <c r="O102" s="36" t="n">
        <v>0</v>
      </c>
      <c r="P102" s="36" t="n">
        <v>1.043</v>
      </c>
      <c r="Q102" s="36" t="n">
        <v>29.098</v>
      </c>
      <c r="R102" s="36" t="n">
        <v>29.471</v>
      </c>
      <c r="S102" s="36" t="n">
        <v>2.606</v>
      </c>
      <c r="T102" s="36" t="n">
        <v>0</v>
      </c>
      <c r="U102" s="36" t="n">
        <v>2.605</v>
      </c>
      <c r="V102" s="36" t="n">
        <v>58.633</v>
      </c>
      <c r="W102" s="36" t="n">
        <v>0.001</v>
      </c>
      <c r="X102" s="36" t="n">
        <v>0.806</v>
      </c>
      <c r="Y102" s="36" t="n">
        <v>0</v>
      </c>
      <c r="Z102" s="36" t="n">
        <v>0.174</v>
      </c>
      <c r="AA102" s="12" t="n">
        <v>3</v>
      </c>
      <c r="AB102" s="12" t="n">
        <v>354</v>
      </c>
      <c r="AC102" s="9" t="s">
        <v>963</v>
      </c>
      <c r="AD102" s="35"/>
      <c r="AE102" s="9" t="s">
        <v>930</v>
      </c>
      <c r="AF102" s="14" t="n">
        <f aca="false">IF(E102=0,0,(K102+L102+M102)/(K102+L102+M102+N102+O102))</f>
        <v>0.997189793329372</v>
      </c>
      <c r="AG102" s="7" t="str">
        <f aca="false">IF(J102&gt;=MAX(H102,I102),"MOSAICO",IF(H102&gt;=I102,"BES","ANDINO"))</f>
        <v>BES</v>
      </c>
      <c r="AH102" s="7" t="str">
        <f aca="false">IF(AF102&gt;=P_CORTE,"Alta","Moderada")</f>
        <v>Alta</v>
      </c>
      <c r="AI102" s="13" t="str">
        <f aca="false">INDEX(PAQ_T,MATCH(AG102&amp;"|"&amp;AH102,PAQ_KEY,0))</f>
        <v>T1</v>
      </c>
      <c r="AJ102" s="8" t="n">
        <v>96</v>
      </c>
      <c r="AK102" s="7" t="s">
        <v>1066</v>
      </c>
      <c r="AL102" s="34"/>
      <c r="AM102" s="23"/>
    </row>
    <row r="103" customFormat="false" ht="15" hidden="false" customHeight="false" outlineLevel="0" collapsed="false">
      <c r="A103" s="7" t="s">
        <v>1077</v>
      </c>
      <c r="B103" s="7" t="s">
        <v>1016</v>
      </c>
      <c r="C103" s="7" t="s">
        <v>1065</v>
      </c>
      <c r="D103" s="7" t="s">
        <v>954</v>
      </c>
      <c r="E103" s="34" t="n">
        <v>106.027</v>
      </c>
      <c r="F103" s="34" t="n">
        <v>5215.6</v>
      </c>
      <c r="G103" s="22" t="n">
        <v>0.395609</v>
      </c>
      <c r="H103" s="34" t="n">
        <v>105.972</v>
      </c>
      <c r="I103" s="34" t="n">
        <v>0</v>
      </c>
      <c r="J103" s="34" t="n">
        <v>0.055</v>
      </c>
      <c r="K103" s="34" t="n">
        <v>3.968</v>
      </c>
      <c r="L103" s="34" t="n">
        <v>43.162</v>
      </c>
      <c r="M103" s="34" t="n">
        <v>47.144</v>
      </c>
      <c r="N103" s="34" t="n">
        <v>11.643</v>
      </c>
      <c r="O103" s="34" t="n">
        <v>0.167</v>
      </c>
      <c r="P103" s="34" t="n">
        <v>0.078</v>
      </c>
      <c r="Q103" s="34" t="n">
        <v>5.612</v>
      </c>
      <c r="R103" s="34" t="n">
        <v>22.613</v>
      </c>
      <c r="S103" s="34" t="n">
        <v>59.745</v>
      </c>
      <c r="T103" s="34" t="n">
        <v>17.979</v>
      </c>
      <c r="U103" s="34" t="n">
        <v>29.507</v>
      </c>
      <c r="V103" s="34" t="n">
        <v>17.599</v>
      </c>
      <c r="W103" s="34" t="n">
        <v>37.904</v>
      </c>
      <c r="X103" s="34" t="n">
        <v>9.219</v>
      </c>
      <c r="Y103" s="34" t="n">
        <v>10.313</v>
      </c>
      <c r="Z103" s="34" t="n">
        <v>1.485</v>
      </c>
      <c r="AA103" s="8" t="n">
        <v>167</v>
      </c>
      <c r="AB103" s="8" t="n">
        <v>743</v>
      </c>
      <c r="AC103" s="7" t="s">
        <v>963</v>
      </c>
      <c r="AD103" s="35"/>
      <c r="AE103" s="7" t="s">
        <v>930</v>
      </c>
      <c r="AF103" s="14" t="n">
        <f aca="false">IF(E103=0,0,(K103+L103+M103)/(K103+L103+M103+N103+O103))</f>
        <v>0.888673126955997</v>
      </c>
      <c r="AG103" s="7" t="str">
        <f aca="false">IF(J103&gt;=MAX(H103,I103),"MOSAICO",IF(H103&gt;=I103,"BES","ANDINO"))</f>
        <v>BES</v>
      </c>
      <c r="AH103" s="7" t="str">
        <f aca="false">IF(AF103&gt;=P_CORTE,"Alta","Moderada")</f>
        <v>Alta</v>
      </c>
      <c r="AI103" s="13" t="str">
        <f aca="false">INDEX(PAQ_T,MATCH(AG103&amp;"|"&amp;AH103,PAQ_KEY,0))</f>
        <v>T1</v>
      </c>
      <c r="AJ103" s="8" t="n">
        <v>97</v>
      </c>
      <c r="AK103" s="7" t="s">
        <v>1066</v>
      </c>
      <c r="AL103" s="34"/>
      <c r="AM103" s="23"/>
    </row>
    <row r="104" customFormat="false" ht="15" hidden="false" customHeight="false" outlineLevel="0" collapsed="false">
      <c r="A104" s="9" t="s">
        <v>1078</v>
      </c>
      <c r="B104" s="9" t="s">
        <v>1016</v>
      </c>
      <c r="C104" s="9" t="s">
        <v>1079</v>
      </c>
      <c r="D104" s="9" t="s">
        <v>1048</v>
      </c>
      <c r="E104" s="36" t="n">
        <v>11.475</v>
      </c>
      <c r="F104" s="36" t="n">
        <v>1540.2</v>
      </c>
      <c r="G104" s="31" t="n">
        <v>0.420325</v>
      </c>
      <c r="H104" s="36" t="n">
        <v>11.475</v>
      </c>
      <c r="I104" s="36" t="n">
        <v>0</v>
      </c>
      <c r="J104" s="36" t="n">
        <v>0</v>
      </c>
      <c r="K104" s="36" t="n">
        <v>0</v>
      </c>
      <c r="L104" s="36" t="n">
        <v>1.901</v>
      </c>
      <c r="M104" s="36" t="n">
        <v>9.291</v>
      </c>
      <c r="N104" s="36" t="n">
        <v>0.295</v>
      </c>
      <c r="O104" s="36" t="n">
        <v>0</v>
      </c>
      <c r="P104" s="36" t="n">
        <v>0</v>
      </c>
      <c r="Q104" s="36" t="n">
        <v>0.033</v>
      </c>
      <c r="R104" s="36" t="n">
        <v>3.623</v>
      </c>
      <c r="S104" s="36" t="n">
        <v>7.438</v>
      </c>
      <c r="T104" s="36" t="n">
        <v>0.381</v>
      </c>
      <c r="U104" s="36" t="n">
        <v>1.281</v>
      </c>
      <c r="V104" s="36" t="n">
        <v>0.616</v>
      </c>
      <c r="W104" s="36" t="n">
        <v>6.325</v>
      </c>
      <c r="X104" s="36" t="n">
        <v>2.96</v>
      </c>
      <c r="Y104" s="36" t="n">
        <v>0.213</v>
      </c>
      <c r="Z104" s="36" t="n">
        <v>0.08</v>
      </c>
      <c r="AA104" s="12" t="n">
        <v>98</v>
      </c>
      <c r="AB104" s="12" t="n">
        <v>256</v>
      </c>
      <c r="AC104" s="9" t="s">
        <v>963</v>
      </c>
      <c r="AD104" s="35"/>
      <c r="AE104" s="9" t="s">
        <v>930</v>
      </c>
      <c r="AF104" s="14" t="n">
        <f aca="false">IF(E104=0,0,(K104+L104+M104)/(K104+L104+M104+N104+O104))</f>
        <v>0.974318795159746</v>
      </c>
      <c r="AG104" s="7" t="str">
        <f aca="false">IF(J104&gt;=MAX(H104,I104),"MOSAICO",IF(H104&gt;=I104,"BES","ANDINO"))</f>
        <v>BES</v>
      </c>
      <c r="AH104" s="7" t="str">
        <f aca="false">IF(AF104&gt;=P_CORTE,"Alta","Moderada")</f>
        <v>Alta</v>
      </c>
      <c r="AI104" s="13" t="str">
        <f aca="false">INDEX(PAQ_T,MATCH(AG104&amp;"|"&amp;AH104,PAQ_KEY,0))</f>
        <v>T1</v>
      </c>
      <c r="AJ104" s="8" t="n">
        <v>98</v>
      </c>
      <c r="AK104" s="7" t="s">
        <v>1080</v>
      </c>
      <c r="AL104" s="34"/>
      <c r="AM104" s="23"/>
    </row>
    <row r="105" customFormat="false" ht="15" hidden="false" customHeight="false" outlineLevel="0" collapsed="false">
      <c r="A105" s="7" t="s">
        <v>1081</v>
      </c>
      <c r="B105" s="7" t="s">
        <v>1016</v>
      </c>
      <c r="C105" s="7" t="s">
        <v>1079</v>
      </c>
      <c r="D105" s="7" t="s">
        <v>1030</v>
      </c>
      <c r="E105" s="34" t="n">
        <v>92.905</v>
      </c>
      <c r="F105" s="34" t="n">
        <v>4715.4</v>
      </c>
      <c r="G105" s="22" t="n">
        <v>0.51974</v>
      </c>
      <c r="H105" s="34" t="n">
        <v>0</v>
      </c>
      <c r="I105" s="34" t="n">
        <v>69.658</v>
      </c>
      <c r="J105" s="34" t="n">
        <v>23.247</v>
      </c>
      <c r="K105" s="34" t="n">
        <v>0</v>
      </c>
      <c r="L105" s="34" t="n">
        <v>4.808</v>
      </c>
      <c r="M105" s="34" t="n">
        <v>31.473</v>
      </c>
      <c r="N105" s="34" t="n">
        <v>43.859</v>
      </c>
      <c r="O105" s="34" t="n">
        <v>12.828</v>
      </c>
      <c r="P105" s="34" t="n">
        <v>0.078</v>
      </c>
      <c r="Q105" s="34" t="n">
        <v>0.613</v>
      </c>
      <c r="R105" s="34" t="n">
        <v>3.242</v>
      </c>
      <c r="S105" s="34" t="n">
        <v>47.156</v>
      </c>
      <c r="T105" s="34" t="n">
        <v>41.816</v>
      </c>
      <c r="U105" s="34" t="n">
        <v>4.427</v>
      </c>
      <c r="V105" s="34" t="n">
        <v>0.375</v>
      </c>
      <c r="W105" s="34" t="n">
        <v>29.647</v>
      </c>
      <c r="X105" s="34" t="n">
        <v>1.804</v>
      </c>
      <c r="Y105" s="34" t="n">
        <v>54.898</v>
      </c>
      <c r="Z105" s="34" t="n">
        <v>1.755</v>
      </c>
      <c r="AA105" s="8" t="n">
        <v>808</v>
      </c>
      <c r="AB105" s="8" t="n">
        <v>1504</v>
      </c>
      <c r="AC105" s="7" t="s">
        <v>963</v>
      </c>
      <c r="AD105" s="35"/>
      <c r="AE105" s="7" t="s">
        <v>930</v>
      </c>
      <c r="AF105" s="14" t="n">
        <f aca="false">IF(E105=0,0,(K105+L105+M105)/(K105+L105+M105+N105+O105))</f>
        <v>0.390252560020652</v>
      </c>
      <c r="AG105" s="7" t="str">
        <f aca="false">IF(J105&gt;=MAX(H105,I105),"MOSAICO",IF(H105&gt;=I105,"BES","ANDINO"))</f>
        <v>ANDINO</v>
      </c>
      <c r="AH105" s="7" t="str">
        <f aca="false">IF(AF105&gt;=P_CORTE,"Alta","Moderada")</f>
        <v>Moderada</v>
      </c>
      <c r="AI105" s="13" t="str">
        <f aca="false">INDEX(PAQ_T,MATCH(AG105&amp;"|"&amp;AH105,PAQ_KEY,0))</f>
        <v>T4</v>
      </c>
      <c r="AJ105" s="8" t="n">
        <v>99</v>
      </c>
      <c r="AK105" s="7" t="s">
        <v>1080</v>
      </c>
      <c r="AL105" s="34"/>
      <c r="AM105" s="23"/>
    </row>
    <row r="106" customFormat="false" ht="15" hidden="false" customHeight="false" outlineLevel="0" collapsed="false">
      <c r="A106" s="9" t="s">
        <v>1082</v>
      </c>
      <c r="B106" s="9" t="s">
        <v>1016</v>
      </c>
      <c r="C106" s="9" t="s">
        <v>1079</v>
      </c>
      <c r="D106" s="9" t="s">
        <v>1030</v>
      </c>
      <c r="E106" s="36" t="n">
        <v>80.616</v>
      </c>
      <c r="F106" s="36" t="n">
        <v>4150.6</v>
      </c>
      <c r="G106" s="31" t="n">
        <v>0.634841</v>
      </c>
      <c r="H106" s="36" t="n">
        <v>51.833</v>
      </c>
      <c r="I106" s="36" t="n">
        <v>0</v>
      </c>
      <c r="J106" s="36" t="n">
        <v>28.783</v>
      </c>
      <c r="K106" s="36" t="n">
        <v>0</v>
      </c>
      <c r="L106" s="36" t="n">
        <v>0.02</v>
      </c>
      <c r="M106" s="36" t="n">
        <v>4.526</v>
      </c>
      <c r="N106" s="36" t="n">
        <v>22.986</v>
      </c>
      <c r="O106" s="36" t="n">
        <v>53.124</v>
      </c>
      <c r="P106" s="36" t="n">
        <v>0.047</v>
      </c>
      <c r="Q106" s="36" t="n">
        <v>0.903</v>
      </c>
      <c r="R106" s="36" t="n">
        <v>3.386</v>
      </c>
      <c r="S106" s="36" t="n">
        <v>22.896</v>
      </c>
      <c r="T106" s="36" t="n">
        <v>53.384</v>
      </c>
      <c r="U106" s="36" t="n">
        <v>0.02</v>
      </c>
      <c r="V106" s="36" t="n">
        <v>0</v>
      </c>
      <c r="W106" s="36" t="n">
        <v>4.403</v>
      </c>
      <c r="X106" s="36" t="n">
        <v>0.12</v>
      </c>
      <c r="Y106" s="36" t="n">
        <v>71.857</v>
      </c>
      <c r="Z106" s="36" t="n">
        <v>4.216</v>
      </c>
      <c r="AA106" s="12" t="n">
        <v>0</v>
      </c>
      <c r="AB106" s="12" t="n">
        <v>339</v>
      </c>
      <c r="AC106" s="9" t="s">
        <v>963</v>
      </c>
      <c r="AD106" s="35"/>
      <c r="AE106" s="9" t="s">
        <v>930</v>
      </c>
      <c r="AF106" s="14" t="n">
        <f aca="false">IF(E106=0,0,(K106+L106+M106)/(K106+L106+M106+N106+O106))</f>
        <v>0.056362824836342</v>
      </c>
      <c r="AG106" s="7" t="str">
        <f aca="false">IF(J106&gt;=MAX(H106,I106),"MOSAICO",IF(H106&gt;=I106,"BES","ANDINO"))</f>
        <v>BES</v>
      </c>
      <c r="AH106" s="7" t="str">
        <f aca="false">IF(AF106&gt;=P_CORTE,"Alta","Moderada")</f>
        <v>Moderada</v>
      </c>
      <c r="AI106" s="13" t="str">
        <f aca="false">INDEX(PAQ_T,MATCH(AG106&amp;"|"&amp;AH106,PAQ_KEY,0))</f>
        <v>T2</v>
      </c>
      <c r="AJ106" s="8" t="n">
        <v>100</v>
      </c>
      <c r="AK106" s="7" t="s">
        <v>1080</v>
      </c>
      <c r="AL106" s="34"/>
      <c r="AM106" s="23"/>
    </row>
    <row r="107" customFormat="false" ht="15" hidden="false" customHeight="false" outlineLevel="0" collapsed="false">
      <c r="A107" s="7" t="s">
        <v>1083</v>
      </c>
      <c r="B107" s="7" t="s">
        <v>1016</v>
      </c>
      <c r="C107" s="7" t="s">
        <v>1079</v>
      </c>
      <c r="D107" s="7" t="s">
        <v>1033</v>
      </c>
      <c r="E107" s="34" t="n">
        <v>28.19</v>
      </c>
      <c r="F107" s="34" t="n">
        <v>3156.4</v>
      </c>
      <c r="G107" s="22" t="n">
        <v>0.597433</v>
      </c>
      <c r="H107" s="34" t="n">
        <v>0</v>
      </c>
      <c r="I107" s="34" t="n">
        <v>0</v>
      </c>
      <c r="J107" s="34" t="n">
        <v>28.19</v>
      </c>
      <c r="K107" s="34" t="n">
        <v>0</v>
      </c>
      <c r="L107" s="34" t="n">
        <v>0.188</v>
      </c>
      <c r="M107" s="34" t="n">
        <v>1.217</v>
      </c>
      <c r="N107" s="34" t="n">
        <v>15.952</v>
      </c>
      <c r="O107" s="34" t="n">
        <v>10.854</v>
      </c>
      <c r="P107" s="34" t="n">
        <v>0</v>
      </c>
      <c r="Q107" s="34" t="n">
        <v>0.143</v>
      </c>
      <c r="R107" s="34" t="n">
        <v>1.143</v>
      </c>
      <c r="S107" s="34" t="n">
        <v>6.037</v>
      </c>
      <c r="T107" s="34" t="n">
        <v>20.867</v>
      </c>
      <c r="U107" s="34" t="n">
        <v>0.169</v>
      </c>
      <c r="V107" s="34" t="n">
        <v>0.019</v>
      </c>
      <c r="W107" s="34" t="n">
        <v>0.976</v>
      </c>
      <c r="X107" s="34" t="n">
        <v>0.238</v>
      </c>
      <c r="Y107" s="34" t="n">
        <v>25.759</v>
      </c>
      <c r="Z107" s="34" t="n">
        <v>1.03</v>
      </c>
      <c r="AA107" s="8" t="n">
        <v>0</v>
      </c>
      <c r="AB107" s="8" t="n">
        <v>269</v>
      </c>
      <c r="AC107" s="7" t="s">
        <v>963</v>
      </c>
      <c r="AD107" s="35"/>
      <c r="AE107" s="7" t="s">
        <v>930</v>
      </c>
      <c r="AF107" s="14" t="n">
        <f aca="false">IF(E107=0,0,(K107+L107+M107)/(K107+L107+M107+N107+O107))</f>
        <v>0.0498032682287051</v>
      </c>
      <c r="AG107" s="7" t="str">
        <f aca="false">IF(J107&gt;=MAX(H107,I107),"MOSAICO",IF(H107&gt;=I107,"BES","ANDINO"))</f>
        <v>MOSAICO</v>
      </c>
      <c r="AH107" s="7" t="str">
        <f aca="false">IF(AF107&gt;=P_CORTE,"Alta","Moderada")</f>
        <v>Moderada</v>
      </c>
      <c r="AI107" s="13" t="str">
        <f aca="false">INDEX(PAQ_T,MATCH(AG107&amp;"|"&amp;AH107,PAQ_KEY,0))</f>
        <v>T6</v>
      </c>
      <c r="AJ107" s="8" t="n">
        <v>101</v>
      </c>
      <c r="AK107" s="7" t="s">
        <v>1080</v>
      </c>
      <c r="AL107" s="34"/>
      <c r="AM107" s="23"/>
    </row>
    <row r="108" customFormat="false" ht="15" hidden="false" customHeight="false" outlineLevel="0" collapsed="false">
      <c r="A108" s="9" t="s">
        <v>1084</v>
      </c>
      <c r="B108" s="9" t="s">
        <v>1016</v>
      </c>
      <c r="C108" s="9" t="s">
        <v>1085</v>
      </c>
      <c r="D108" s="9" t="s">
        <v>1030</v>
      </c>
      <c r="E108" s="36" t="n">
        <v>103.948</v>
      </c>
      <c r="F108" s="36" t="n">
        <v>4194.8</v>
      </c>
      <c r="G108" s="31" t="n">
        <v>0.604743</v>
      </c>
      <c r="H108" s="36" t="n">
        <v>0</v>
      </c>
      <c r="I108" s="36" t="n">
        <v>23.912</v>
      </c>
      <c r="J108" s="36" t="n">
        <v>80.035</v>
      </c>
      <c r="K108" s="36" t="n">
        <v>0</v>
      </c>
      <c r="L108" s="36" t="n">
        <v>0.065</v>
      </c>
      <c r="M108" s="36" t="n">
        <v>11.737</v>
      </c>
      <c r="N108" s="36" t="n">
        <v>46.262</v>
      </c>
      <c r="O108" s="36" t="n">
        <v>45.959</v>
      </c>
      <c r="P108" s="36" t="n">
        <v>0.047</v>
      </c>
      <c r="Q108" s="36" t="n">
        <v>0.46</v>
      </c>
      <c r="R108" s="36" t="n">
        <v>1.907</v>
      </c>
      <c r="S108" s="36" t="n">
        <v>18.009</v>
      </c>
      <c r="T108" s="36" t="n">
        <v>83.525</v>
      </c>
      <c r="U108" s="36" t="n">
        <v>0.065</v>
      </c>
      <c r="V108" s="36" t="n">
        <v>0</v>
      </c>
      <c r="W108" s="36" t="n">
        <v>11.469</v>
      </c>
      <c r="X108" s="36" t="n">
        <v>0.255</v>
      </c>
      <c r="Y108" s="36" t="n">
        <v>90</v>
      </c>
      <c r="Z108" s="36" t="n">
        <v>2.158</v>
      </c>
      <c r="AA108" s="12" t="n">
        <v>0</v>
      </c>
      <c r="AB108" s="12" t="n">
        <v>347</v>
      </c>
      <c r="AC108" s="9" t="s">
        <v>929</v>
      </c>
      <c r="AD108" s="35"/>
      <c r="AE108" s="9" t="s">
        <v>930</v>
      </c>
      <c r="AF108" s="14" t="n">
        <f aca="false">IF(E108=0,0,(K108+L108+M108)/(K108+L108+M108+N108+O108))</f>
        <v>0.113455678071196</v>
      </c>
      <c r="AG108" s="7" t="str">
        <f aca="false">IF(J108&gt;=MAX(H108,I108),"MOSAICO",IF(H108&gt;=I108,"BES","ANDINO"))</f>
        <v>MOSAICO</v>
      </c>
      <c r="AH108" s="7" t="str">
        <f aca="false">IF(AF108&gt;=P_CORTE,"Alta","Moderada")</f>
        <v>Moderada</v>
      </c>
      <c r="AI108" s="13" t="str">
        <f aca="false">INDEX(PAQ_T,MATCH(AG108&amp;"|"&amp;AH108,PAQ_KEY,0))</f>
        <v>T6</v>
      </c>
      <c r="AJ108" s="8" t="n">
        <v>102</v>
      </c>
      <c r="AK108" s="7" t="s">
        <v>1086</v>
      </c>
      <c r="AL108" s="34"/>
      <c r="AM108" s="23"/>
    </row>
    <row r="109" customFormat="false" ht="15" hidden="false" customHeight="false" outlineLevel="0" collapsed="false">
      <c r="A109" s="7" t="s">
        <v>1087</v>
      </c>
      <c r="B109" s="7" t="s">
        <v>1016</v>
      </c>
      <c r="C109" s="7" t="s">
        <v>1085</v>
      </c>
      <c r="D109" s="7" t="s">
        <v>1030</v>
      </c>
      <c r="E109" s="34" t="n">
        <v>119.538</v>
      </c>
      <c r="F109" s="34" t="n">
        <v>4396.2</v>
      </c>
      <c r="G109" s="22" t="n">
        <v>0.706689</v>
      </c>
      <c r="H109" s="34" t="n">
        <v>0</v>
      </c>
      <c r="I109" s="34" t="n">
        <v>24.633</v>
      </c>
      <c r="J109" s="34" t="n">
        <v>94.905</v>
      </c>
      <c r="K109" s="34" t="n">
        <v>0</v>
      </c>
      <c r="L109" s="34" t="n">
        <v>0</v>
      </c>
      <c r="M109" s="34" t="n">
        <v>0.08</v>
      </c>
      <c r="N109" s="34" t="n">
        <v>12.48</v>
      </c>
      <c r="O109" s="34" t="n">
        <v>107.039</v>
      </c>
      <c r="P109" s="34" t="n">
        <v>0</v>
      </c>
      <c r="Q109" s="34" t="n">
        <v>0.031</v>
      </c>
      <c r="R109" s="34" t="n">
        <v>1.751</v>
      </c>
      <c r="S109" s="34" t="n">
        <v>36.007</v>
      </c>
      <c r="T109" s="34" t="n">
        <v>81.748</v>
      </c>
      <c r="U109" s="34" t="n">
        <v>0</v>
      </c>
      <c r="V109" s="34" t="n">
        <v>0</v>
      </c>
      <c r="W109" s="34" t="n">
        <v>0.079</v>
      </c>
      <c r="X109" s="34" t="n">
        <v>0</v>
      </c>
      <c r="Y109" s="34" t="n">
        <v>117.676</v>
      </c>
      <c r="Z109" s="34" t="n">
        <v>1.783</v>
      </c>
      <c r="AA109" s="8" t="n">
        <v>0</v>
      </c>
      <c r="AB109" s="8" t="n">
        <v>439</v>
      </c>
      <c r="AC109" s="7" t="s">
        <v>929</v>
      </c>
      <c r="AD109" s="35"/>
      <c r="AE109" s="7" t="s">
        <v>930</v>
      </c>
      <c r="AF109" s="14" t="n">
        <f aca="false">IF(E109=0,0,(K109+L109+M109)/(K109+L109+M109+N109+O109))</f>
        <v>0.000668901913895601</v>
      </c>
      <c r="AG109" s="7" t="str">
        <f aca="false">IF(J109&gt;=MAX(H109,I109),"MOSAICO",IF(H109&gt;=I109,"BES","ANDINO"))</f>
        <v>MOSAICO</v>
      </c>
      <c r="AH109" s="7" t="str">
        <f aca="false">IF(AF109&gt;=P_CORTE,"Alta","Moderada")</f>
        <v>Moderada</v>
      </c>
      <c r="AI109" s="13" t="str">
        <f aca="false">INDEX(PAQ_T,MATCH(AG109&amp;"|"&amp;AH109,PAQ_KEY,0))</f>
        <v>T6</v>
      </c>
      <c r="AJ109" s="8" t="n">
        <v>103</v>
      </c>
      <c r="AK109" s="7" t="s">
        <v>1086</v>
      </c>
      <c r="AL109" s="34"/>
      <c r="AM109" s="23"/>
    </row>
    <row r="110" customFormat="false" ht="15" hidden="false" customHeight="false" outlineLevel="0" collapsed="false">
      <c r="A110" s="9" t="s">
        <v>1088</v>
      </c>
      <c r="B110" s="9" t="s">
        <v>1016</v>
      </c>
      <c r="C110" s="9" t="s">
        <v>1085</v>
      </c>
      <c r="D110" s="9" t="s">
        <v>1030</v>
      </c>
      <c r="E110" s="36" t="n">
        <v>86.147</v>
      </c>
      <c r="F110" s="36" t="n">
        <v>4480.1</v>
      </c>
      <c r="G110" s="31" t="n">
        <v>0.560518</v>
      </c>
      <c r="H110" s="36" t="n">
        <v>0</v>
      </c>
      <c r="I110" s="36" t="n">
        <v>3.684</v>
      </c>
      <c r="J110" s="36" t="n">
        <v>82.463</v>
      </c>
      <c r="K110" s="36" t="n">
        <v>0</v>
      </c>
      <c r="L110" s="36" t="n">
        <v>0.37</v>
      </c>
      <c r="M110" s="36" t="n">
        <v>19.011</v>
      </c>
      <c r="N110" s="36" t="n">
        <v>44.152</v>
      </c>
      <c r="O110" s="36" t="n">
        <v>22.671</v>
      </c>
      <c r="P110" s="36" t="n">
        <v>0.016</v>
      </c>
      <c r="Q110" s="36" t="n">
        <v>0.526</v>
      </c>
      <c r="R110" s="36" t="n">
        <v>4.037</v>
      </c>
      <c r="S110" s="36" t="n">
        <v>36.328</v>
      </c>
      <c r="T110" s="36" t="n">
        <v>45.241</v>
      </c>
      <c r="U110" s="36" t="n">
        <v>0.369</v>
      </c>
      <c r="V110" s="36" t="n">
        <v>0</v>
      </c>
      <c r="W110" s="36" t="n">
        <v>18.083</v>
      </c>
      <c r="X110" s="36" t="n">
        <v>0.916</v>
      </c>
      <c r="Y110" s="36" t="n">
        <v>63.117</v>
      </c>
      <c r="Z110" s="36" t="n">
        <v>3.663</v>
      </c>
      <c r="AA110" s="12" t="n">
        <v>453</v>
      </c>
      <c r="AB110" s="12" t="n">
        <v>1148</v>
      </c>
      <c r="AC110" s="9" t="s">
        <v>929</v>
      </c>
      <c r="AD110" s="35"/>
      <c r="AE110" s="9" t="s">
        <v>930</v>
      </c>
      <c r="AF110" s="14" t="n">
        <f aca="false">IF(E110=0,0,(K110+L110+M110)/(K110+L110+M110+N110+O110))</f>
        <v>0.224827154192381</v>
      </c>
      <c r="AG110" s="7" t="str">
        <f aca="false">IF(J110&gt;=MAX(H110,I110),"MOSAICO",IF(H110&gt;=I110,"BES","ANDINO"))</f>
        <v>MOSAICO</v>
      </c>
      <c r="AH110" s="7" t="str">
        <f aca="false">IF(AF110&gt;=P_CORTE,"Alta","Moderada")</f>
        <v>Moderada</v>
      </c>
      <c r="AI110" s="13" t="str">
        <f aca="false">INDEX(PAQ_T,MATCH(AG110&amp;"|"&amp;AH110,PAQ_KEY,0))</f>
        <v>T6</v>
      </c>
      <c r="AJ110" s="8" t="n">
        <v>104</v>
      </c>
      <c r="AK110" s="7" t="s">
        <v>1086</v>
      </c>
      <c r="AL110" s="34"/>
      <c r="AM110" s="23"/>
    </row>
    <row r="111" customFormat="false" ht="15" hidden="false" customHeight="false" outlineLevel="0" collapsed="false">
      <c r="A111" s="7" t="s">
        <v>1089</v>
      </c>
      <c r="B111" s="7" t="s">
        <v>1016</v>
      </c>
      <c r="C111" s="7" t="s">
        <v>1085</v>
      </c>
      <c r="D111" s="7" t="s">
        <v>1030</v>
      </c>
      <c r="E111" s="34" t="n">
        <v>96.079</v>
      </c>
      <c r="F111" s="34" t="n">
        <v>4664.8</v>
      </c>
      <c r="G111" s="22" t="n">
        <v>0.647895</v>
      </c>
      <c r="H111" s="34" t="n">
        <v>0</v>
      </c>
      <c r="I111" s="34" t="n">
        <v>2.344</v>
      </c>
      <c r="J111" s="34" t="n">
        <v>93.736</v>
      </c>
      <c r="K111" s="34" t="n">
        <v>0</v>
      </c>
      <c r="L111" s="34" t="n">
        <v>0</v>
      </c>
      <c r="M111" s="34" t="n">
        <v>2.015</v>
      </c>
      <c r="N111" s="34" t="n">
        <v>27.738</v>
      </c>
      <c r="O111" s="34" t="n">
        <v>66.383</v>
      </c>
      <c r="P111" s="34" t="n">
        <v>0</v>
      </c>
      <c r="Q111" s="34" t="n">
        <v>0.231</v>
      </c>
      <c r="R111" s="34" t="n">
        <v>2.031</v>
      </c>
      <c r="S111" s="34" t="n">
        <v>16.474</v>
      </c>
      <c r="T111" s="34" t="n">
        <v>77.344</v>
      </c>
      <c r="U111" s="34" t="n">
        <v>0</v>
      </c>
      <c r="V111" s="34" t="n">
        <v>0</v>
      </c>
      <c r="W111" s="34" t="n">
        <v>1.994</v>
      </c>
      <c r="X111" s="34" t="n">
        <v>0.013</v>
      </c>
      <c r="Y111" s="34" t="n">
        <v>91.823</v>
      </c>
      <c r="Z111" s="34" t="n">
        <v>2.249</v>
      </c>
      <c r="AA111" s="8" t="n">
        <v>0</v>
      </c>
      <c r="AB111" s="8" t="n">
        <v>437</v>
      </c>
      <c r="AC111" s="7" t="s">
        <v>929</v>
      </c>
      <c r="AD111" s="35"/>
      <c r="AE111" s="7" t="s">
        <v>930</v>
      </c>
      <c r="AF111" s="14" t="n">
        <f aca="false">IF(E111=0,0,(K111+L111+M111)/(K111+L111+M111+N111+O111))</f>
        <v>0.0209598901556129</v>
      </c>
      <c r="AG111" s="7" t="str">
        <f aca="false">IF(J111&gt;=MAX(H111,I111),"MOSAICO",IF(H111&gt;=I111,"BES","ANDINO"))</f>
        <v>MOSAICO</v>
      </c>
      <c r="AH111" s="7" t="str">
        <f aca="false">IF(AF111&gt;=P_CORTE,"Alta","Moderada")</f>
        <v>Moderada</v>
      </c>
      <c r="AI111" s="13" t="str">
        <f aca="false">INDEX(PAQ_T,MATCH(AG111&amp;"|"&amp;AH111,PAQ_KEY,0))</f>
        <v>T6</v>
      </c>
      <c r="AJ111" s="8" t="n">
        <v>105</v>
      </c>
      <c r="AK111" s="7" t="s">
        <v>1086</v>
      </c>
      <c r="AL111" s="34"/>
      <c r="AM111" s="23"/>
    </row>
    <row r="112" customFormat="false" ht="15" hidden="false" customHeight="false" outlineLevel="0" collapsed="false">
      <c r="A112" s="9" t="s">
        <v>1090</v>
      </c>
      <c r="B112" s="9" t="s">
        <v>1016</v>
      </c>
      <c r="C112" s="9" t="s">
        <v>1085</v>
      </c>
      <c r="D112" s="9" t="s">
        <v>1030</v>
      </c>
      <c r="E112" s="36" t="n">
        <v>81.776</v>
      </c>
      <c r="F112" s="36" t="n">
        <v>5481.7</v>
      </c>
      <c r="G112" s="31" t="n">
        <v>0.573141</v>
      </c>
      <c r="H112" s="36" t="n">
        <v>0</v>
      </c>
      <c r="I112" s="36" t="n">
        <v>52.353</v>
      </c>
      <c r="J112" s="36" t="n">
        <v>29.422</v>
      </c>
      <c r="K112" s="36" t="n">
        <v>0</v>
      </c>
      <c r="L112" s="36" t="n">
        <v>0.54</v>
      </c>
      <c r="M112" s="36" t="n">
        <v>14.808</v>
      </c>
      <c r="N112" s="36" t="n">
        <v>40.325</v>
      </c>
      <c r="O112" s="36" t="n">
        <v>26.158</v>
      </c>
      <c r="P112" s="36" t="n">
        <v>0.016</v>
      </c>
      <c r="Q112" s="36" t="n">
        <v>0.202</v>
      </c>
      <c r="R112" s="36" t="n">
        <v>0.592</v>
      </c>
      <c r="S112" s="36" t="n">
        <v>4.693</v>
      </c>
      <c r="T112" s="36" t="n">
        <v>76.273</v>
      </c>
      <c r="U112" s="36" t="n">
        <v>0.518</v>
      </c>
      <c r="V112" s="36" t="n">
        <v>0.021</v>
      </c>
      <c r="W112" s="36" t="n">
        <v>14.628</v>
      </c>
      <c r="X112" s="36" t="n">
        <v>0.164</v>
      </c>
      <c r="Y112" s="36" t="n">
        <v>65.82</v>
      </c>
      <c r="Z112" s="36" t="n">
        <v>0.625</v>
      </c>
      <c r="AA112" s="12" t="n">
        <v>0</v>
      </c>
      <c r="AB112" s="12" t="n">
        <v>389</v>
      </c>
      <c r="AC112" s="9" t="s">
        <v>929</v>
      </c>
      <c r="AD112" s="35"/>
      <c r="AE112" s="9" t="s">
        <v>930</v>
      </c>
      <c r="AF112" s="14" t="n">
        <f aca="false">IF(E112=0,0,(K112+L112+M112)/(K112+L112+M112+N112+O112))</f>
        <v>0.187557282692378</v>
      </c>
      <c r="AG112" s="7" t="str">
        <f aca="false">IF(J112&gt;=MAX(H112,I112),"MOSAICO",IF(H112&gt;=I112,"BES","ANDINO"))</f>
        <v>ANDINO</v>
      </c>
      <c r="AH112" s="7" t="str">
        <f aca="false">IF(AF112&gt;=P_CORTE,"Alta","Moderada")</f>
        <v>Moderada</v>
      </c>
      <c r="AI112" s="13" t="str">
        <f aca="false">INDEX(PAQ_T,MATCH(AG112&amp;"|"&amp;AH112,PAQ_KEY,0))</f>
        <v>T4</v>
      </c>
      <c r="AJ112" s="8" t="n">
        <v>106</v>
      </c>
      <c r="AK112" s="7" t="s">
        <v>1086</v>
      </c>
      <c r="AL112" s="34"/>
      <c r="AM112" s="23"/>
    </row>
    <row r="113" customFormat="false" ht="15" hidden="false" customHeight="false" outlineLevel="0" collapsed="false">
      <c r="A113" s="7" t="s">
        <v>1091</v>
      </c>
      <c r="B113" s="7" t="s">
        <v>1016</v>
      </c>
      <c r="C113" s="7" t="s">
        <v>1085</v>
      </c>
      <c r="D113" s="7" t="s">
        <v>1030</v>
      </c>
      <c r="E113" s="34" t="n">
        <v>35.1</v>
      </c>
      <c r="F113" s="34" t="n">
        <v>2560.8</v>
      </c>
      <c r="G113" s="22" t="n">
        <v>0.707402</v>
      </c>
      <c r="H113" s="34" t="n">
        <v>0</v>
      </c>
      <c r="I113" s="34" t="n">
        <v>26.989</v>
      </c>
      <c r="J113" s="34" t="n">
        <v>8.111</v>
      </c>
      <c r="K113" s="34" t="n">
        <v>0</v>
      </c>
      <c r="L113" s="34" t="n">
        <v>0.02</v>
      </c>
      <c r="M113" s="34" t="n">
        <v>0.6</v>
      </c>
      <c r="N113" s="34" t="n">
        <v>4.848</v>
      </c>
      <c r="O113" s="34" t="n">
        <v>29.649</v>
      </c>
      <c r="P113" s="34" t="n">
        <v>0</v>
      </c>
      <c r="Q113" s="34" t="n">
        <v>0.047</v>
      </c>
      <c r="R113" s="34" t="n">
        <v>0.247</v>
      </c>
      <c r="S113" s="34" t="n">
        <v>3.694</v>
      </c>
      <c r="T113" s="34" t="n">
        <v>31.112</v>
      </c>
      <c r="U113" s="34" t="n">
        <v>0.02</v>
      </c>
      <c r="V113" s="34" t="n">
        <v>0</v>
      </c>
      <c r="W113" s="34" t="n">
        <v>0.469</v>
      </c>
      <c r="X113" s="34" t="n">
        <v>0.131</v>
      </c>
      <c r="Y113" s="34" t="n">
        <v>34.317</v>
      </c>
      <c r="Z113" s="34" t="n">
        <v>0.163</v>
      </c>
      <c r="AA113" s="8" t="n">
        <v>323</v>
      </c>
      <c r="AB113" s="8" t="n">
        <v>700</v>
      </c>
      <c r="AC113" s="7" t="s">
        <v>929</v>
      </c>
      <c r="AD113" s="35"/>
      <c r="AE113" s="7" t="s">
        <v>930</v>
      </c>
      <c r="AF113" s="14" t="n">
        <f aca="false">IF(E113=0,0,(K113+L113+M113)/(K113+L113+M113+N113+O113))</f>
        <v>0.0176552666799556</v>
      </c>
      <c r="AG113" s="7" t="str">
        <f aca="false">IF(J113&gt;=MAX(H113,I113),"MOSAICO",IF(H113&gt;=I113,"BES","ANDINO"))</f>
        <v>ANDINO</v>
      </c>
      <c r="AH113" s="7" t="str">
        <f aca="false">IF(AF113&gt;=P_CORTE,"Alta","Moderada")</f>
        <v>Moderada</v>
      </c>
      <c r="AI113" s="13" t="str">
        <f aca="false">INDEX(PAQ_T,MATCH(AG113&amp;"|"&amp;AH113,PAQ_KEY,0))</f>
        <v>T4</v>
      </c>
      <c r="AJ113" s="8" t="n">
        <v>107</v>
      </c>
      <c r="AK113" s="7" t="s">
        <v>1086</v>
      </c>
      <c r="AL113" s="34"/>
      <c r="AM113" s="23"/>
    </row>
    <row r="114" customFormat="false" ht="15" hidden="false" customHeight="false" outlineLevel="0" collapsed="false">
      <c r="A114" s="9" t="s">
        <v>1092</v>
      </c>
      <c r="B114" s="9" t="s">
        <v>1016</v>
      </c>
      <c r="C114" s="9" t="s">
        <v>1085</v>
      </c>
      <c r="D114" s="9" t="s">
        <v>1030</v>
      </c>
      <c r="E114" s="36" t="n">
        <v>35.661</v>
      </c>
      <c r="F114" s="36" t="n">
        <v>2778.3</v>
      </c>
      <c r="G114" s="31" t="n">
        <v>0.62835</v>
      </c>
      <c r="H114" s="36" t="n">
        <v>0</v>
      </c>
      <c r="I114" s="36" t="n">
        <v>28.289</v>
      </c>
      <c r="J114" s="36" t="n">
        <v>7.372</v>
      </c>
      <c r="K114" s="36" t="n">
        <v>0</v>
      </c>
      <c r="L114" s="36" t="n">
        <v>0</v>
      </c>
      <c r="M114" s="36" t="n">
        <v>4.525</v>
      </c>
      <c r="N114" s="36" t="n">
        <v>14.117</v>
      </c>
      <c r="O114" s="36" t="n">
        <v>17.043</v>
      </c>
      <c r="P114" s="36" t="n">
        <v>0.143</v>
      </c>
      <c r="Q114" s="36" t="n">
        <v>0.762</v>
      </c>
      <c r="R114" s="36" t="n">
        <v>1.813</v>
      </c>
      <c r="S114" s="36" t="n">
        <v>16.188</v>
      </c>
      <c r="T114" s="36" t="n">
        <v>16.755</v>
      </c>
      <c r="U114" s="36" t="n">
        <v>0</v>
      </c>
      <c r="V114" s="36" t="n">
        <v>0</v>
      </c>
      <c r="W114" s="36" t="n">
        <v>4.446</v>
      </c>
      <c r="X114" s="36" t="n">
        <v>0.074</v>
      </c>
      <c r="Y114" s="36" t="n">
        <v>28.497</v>
      </c>
      <c r="Z114" s="36" t="n">
        <v>2.644</v>
      </c>
      <c r="AA114" s="12" t="n">
        <v>0</v>
      </c>
      <c r="AB114" s="12" t="n">
        <v>110</v>
      </c>
      <c r="AC114" s="9" t="s">
        <v>929</v>
      </c>
      <c r="AD114" s="35"/>
      <c r="AE114" s="9" t="s">
        <v>930</v>
      </c>
      <c r="AF114" s="14" t="n">
        <f aca="false">IF(E114=0,0,(K114+L114+M114)/(K114+L114+M114+N114+O114))</f>
        <v>0.126803979262996</v>
      </c>
      <c r="AG114" s="7" t="str">
        <f aca="false">IF(J114&gt;=MAX(H114,I114),"MOSAICO",IF(H114&gt;=I114,"BES","ANDINO"))</f>
        <v>ANDINO</v>
      </c>
      <c r="AH114" s="7" t="str">
        <f aca="false">IF(AF114&gt;=P_CORTE,"Alta","Moderada")</f>
        <v>Moderada</v>
      </c>
      <c r="AI114" s="13" t="str">
        <f aca="false">INDEX(PAQ_T,MATCH(AG114&amp;"|"&amp;AH114,PAQ_KEY,0))</f>
        <v>T4</v>
      </c>
      <c r="AJ114" s="8" t="n">
        <v>108</v>
      </c>
      <c r="AK114" s="7" t="s">
        <v>1086</v>
      </c>
      <c r="AL114" s="34"/>
      <c r="AM114" s="23"/>
    </row>
    <row r="115" customFormat="false" ht="15" hidden="false" customHeight="false" outlineLevel="0" collapsed="false">
      <c r="A115" s="7" t="s">
        <v>1093</v>
      </c>
      <c r="B115" s="7" t="s">
        <v>1016</v>
      </c>
      <c r="C115" s="7" t="s">
        <v>1085</v>
      </c>
      <c r="D115" s="7" t="s">
        <v>1030</v>
      </c>
      <c r="E115" s="34" t="n">
        <v>34.171</v>
      </c>
      <c r="F115" s="34" t="n">
        <v>2564.7</v>
      </c>
      <c r="G115" s="22" t="n">
        <v>0.591921</v>
      </c>
      <c r="H115" s="34" t="n">
        <v>4.194</v>
      </c>
      <c r="I115" s="34" t="n">
        <v>0</v>
      </c>
      <c r="J115" s="34" t="n">
        <v>29.977</v>
      </c>
      <c r="K115" s="34" t="n">
        <v>0</v>
      </c>
      <c r="L115" s="34" t="n">
        <v>0</v>
      </c>
      <c r="M115" s="34" t="n">
        <v>2.001</v>
      </c>
      <c r="N115" s="34" t="n">
        <v>20.287</v>
      </c>
      <c r="O115" s="34" t="n">
        <v>11.904</v>
      </c>
      <c r="P115" s="34" t="n">
        <v>0.016</v>
      </c>
      <c r="Q115" s="34" t="n">
        <v>0.217</v>
      </c>
      <c r="R115" s="34" t="n">
        <v>0.602</v>
      </c>
      <c r="S115" s="34" t="n">
        <v>7.509</v>
      </c>
      <c r="T115" s="34" t="n">
        <v>25.828</v>
      </c>
      <c r="U115" s="34" t="n">
        <v>0</v>
      </c>
      <c r="V115" s="34" t="n">
        <v>0</v>
      </c>
      <c r="W115" s="34" t="n">
        <v>1.998</v>
      </c>
      <c r="X115" s="34" t="n">
        <v>0</v>
      </c>
      <c r="Y115" s="34" t="n">
        <v>31.338</v>
      </c>
      <c r="Z115" s="34" t="n">
        <v>0.835</v>
      </c>
      <c r="AA115" s="8" t="n">
        <v>1665</v>
      </c>
      <c r="AB115" s="8" t="n">
        <v>2175</v>
      </c>
      <c r="AC115" s="7" t="s">
        <v>929</v>
      </c>
      <c r="AD115" s="35"/>
      <c r="AE115" s="7" t="s">
        <v>930</v>
      </c>
      <c r="AF115" s="14" t="n">
        <f aca="false">IF(E115=0,0,(K115+L115+M115)/(K115+L115+M115+N115+O115))</f>
        <v>0.0585224613944782</v>
      </c>
      <c r="AG115" s="7" t="str">
        <f aca="false">IF(J115&gt;=MAX(H115,I115),"MOSAICO",IF(H115&gt;=I115,"BES","ANDINO"))</f>
        <v>MOSAICO</v>
      </c>
      <c r="AH115" s="7" t="str">
        <f aca="false">IF(AF115&gt;=P_CORTE,"Alta","Moderada")</f>
        <v>Moderada</v>
      </c>
      <c r="AI115" s="13" t="str">
        <f aca="false">INDEX(PAQ_T,MATCH(AG115&amp;"|"&amp;AH115,PAQ_KEY,0))</f>
        <v>T6</v>
      </c>
      <c r="AJ115" s="8" t="n">
        <v>109</v>
      </c>
      <c r="AK115" s="7" t="s">
        <v>1086</v>
      </c>
      <c r="AL115" s="34"/>
      <c r="AM115" s="23"/>
    </row>
    <row r="116" customFormat="false" ht="15" hidden="false" customHeight="false" outlineLevel="0" collapsed="false">
      <c r="A116" s="9" t="s">
        <v>1094</v>
      </c>
      <c r="B116" s="9" t="s">
        <v>1016</v>
      </c>
      <c r="C116" s="9" t="s">
        <v>1085</v>
      </c>
      <c r="D116" s="9" t="s">
        <v>1046</v>
      </c>
      <c r="E116" s="36" t="n">
        <v>35.347</v>
      </c>
      <c r="F116" s="36" t="n">
        <v>3466.1</v>
      </c>
      <c r="G116" s="31" t="n">
        <v>0.530453</v>
      </c>
      <c r="H116" s="36" t="n">
        <v>20.424</v>
      </c>
      <c r="I116" s="36" t="n">
        <v>0</v>
      </c>
      <c r="J116" s="36" t="n">
        <v>14.923</v>
      </c>
      <c r="K116" s="36" t="n">
        <v>0.03</v>
      </c>
      <c r="L116" s="36" t="n">
        <v>1.647</v>
      </c>
      <c r="M116" s="36" t="n">
        <v>9.373</v>
      </c>
      <c r="N116" s="36" t="n">
        <v>19.102</v>
      </c>
      <c r="O116" s="36" t="n">
        <v>5.226</v>
      </c>
      <c r="P116" s="36" t="n">
        <v>0</v>
      </c>
      <c r="Q116" s="36" t="n">
        <v>0.141</v>
      </c>
      <c r="R116" s="36" t="n">
        <v>1.531</v>
      </c>
      <c r="S116" s="36" t="n">
        <v>13.819</v>
      </c>
      <c r="T116" s="36" t="n">
        <v>19.857</v>
      </c>
      <c r="U116" s="36" t="n">
        <v>1.611</v>
      </c>
      <c r="V116" s="36" t="n">
        <v>0.062</v>
      </c>
      <c r="W116" s="36" t="n">
        <v>8.874</v>
      </c>
      <c r="X116" s="36" t="n">
        <v>0.489</v>
      </c>
      <c r="Y116" s="36" t="n">
        <v>23.19</v>
      </c>
      <c r="Z116" s="36" t="n">
        <v>1.12</v>
      </c>
      <c r="AA116" s="12" t="n">
        <v>268</v>
      </c>
      <c r="AB116" s="12" t="n">
        <v>537</v>
      </c>
      <c r="AC116" s="9" t="s">
        <v>929</v>
      </c>
      <c r="AD116" s="35"/>
      <c r="AE116" s="9" t="s">
        <v>930</v>
      </c>
      <c r="AF116" s="14" t="n">
        <f aca="false">IF(E116=0,0,(K116+L116+M116)/(K116+L116+M116+N116+O116))</f>
        <v>0.312341002883148</v>
      </c>
      <c r="AG116" s="7" t="str">
        <f aca="false">IF(J116&gt;=MAX(H116,I116),"MOSAICO",IF(H116&gt;=I116,"BES","ANDINO"))</f>
        <v>BES</v>
      </c>
      <c r="AH116" s="7" t="str">
        <f aca="false">IF(AF116&gt;=P_CORTE,"Alta","Moderada")</f>
        <v>Moderada</v>
      </c>
      <c r="AI116" s="13" t="str">
        <f aca="false">INDEX(PAQ_T,MATCH(AG116&amp;"|"&amp;AH116,PAQ_KEY,0))</f>
        <v>T2</v>
      </c>
      <c r="AJ116" s="8" t="n">
        <v>110</v>
      </c>
      <c r="AK116" s="7" t="s">
        <v>1086</v>
      </c>
      <c r="AL116" s="34"/>
      <c r="AM116" s="23"/>
    </row>
    <row r="117" customFormat="false" ht="15" hidden="false" customHeight="false" outlineLevel="0" collapsed="false">
      <c r="A117" s="7" t="s">
        <v>1095</v>
      </c>
      <c r="B117" s="7" t="s">
        <v>1016</v>
      </c>
      <c r="C117" s="7" t="s">
        <v>1085</v>
      </c>
      <c r="D117" s="7" t="s">
        <v>943</v>
      </c>
      <c r="E117" s="34" t="n">
        <v>100.514</v>
      </c>
      <c r="F117" s="34" t="n">
        <v>3901.1</v>
      </c>
      <c r="G117" s="22" t="n">
        <v>0.671094</v>
      </c>
      <c r="H117" s="34" t="n">
        <v>0</v>
      </c>
      <c r="I117" s="34" t="n">
        <v>86.575</v>
      </c>
      <c r="J117" s="34" t="n">
        <v>13.939</v>
      </c>
      <c r="K117" s="34" t="n">
        <v>0</v>
      </c>
      <c r="L117" s="34" t="n">
        <v>0</v>
      </c>
      <c r="M117" s="34" t="n">
        <v>5.246</v>
      </c>
      <c r="N117" s="34" t="n">
        <v>24.038</v>
      </c>
      <c r="O117" s="34" t="n">
        <v>71.291</v>
      </c>
      <c r="P117" s="34" t="n">
        <v>0.312</v>
      </c>
      <c r="Q117" s="34" t="n">
        <v>1.104</v>
      </c>
      <c r="R117" s="34" t="n">
        <v>4.5</v>
      </c>
      <c r="S117" s="34" t="n">
        <v>27.147</v>
      </c>
      <c r="T117" s="34" t="n">
        <v>67.45</v>
      </c>
      <c r="U117" s="34" t="n">
        <v>0</v>
      </c>
      <c r="V117" s="34" t="n">
        <v>0</v>
      </c>
      <c r="W117" s="34" t="n">
        <v>5.155</v>
      </c>
      <c r="X117" s="34" t="n">
        <v>0.084</v>
      </c>
      <c r="Y117" s="34" t="n">
        <v>89.442</v>
      </c>
      <c r="Z117" s="34" t="n">
        <v>5.832</v>
      </c>
      <c r="AA117" s="8" t="n">
        <v>265</v>
      </c>
      <c r="AB117" s="8" t="n">
        <v>974</v>
      </c>
      <c r="AC117" s="7" t="s">
        <v>929</v>
      </c>
      <c r="AD117" s="35"/>
      <c r="AE117" s="7" t="s">
        <v>930</v>
      </c>
      <c r="AF117" s="14" t="n">
        <f aca="false">IF(E117=0,0,(K117+L117+M117)/(K117+L117+M117+N117+O117))</f>
        <v>0.0521600795426299</v>
      </c>
      <c r="AG117" s="7" t="str">
        <f aca="false">IF(J117&gt;=MAX(H117,I117),"MOSAICO",IF(H117&gt;=I117,"BES","ANDINO"))</f>
        <v>ANDINO</v>
      </c>
      <c r="AH117" s="7" t="str">
        <f aca="false">IF(AF117&gt;=P_CORTE,"Alta","Moderada")</f>
        <v>Moderada</v>
      </c>
      <c r="AI117" s="13" t="str">
        <f aca="false">INDEX(PAQ_T,MATCH(AG117&amp;"|"&amp;AH117,PAQ_KEY,0))</f>
        <v>T4</v>
      </c>
      <c r="AJ117" s="8" t="n">
        <v>111</v>
      </c>
      <c r="AK117" s="7" t="s">
        <v>1086</v>
      </c>
      <c r="AL117" s="34"/>
      <c r="AM117" s="23" t="s">
        <v>944</v>
      </c>
    </row>
    <row r="118" customFormat="false" ht="15" hidden="false" customHeight="false" outlineLevel="0" collapsed="false">
      <c r="A118" s="9" t="s">
        <v>1096</v>
      </c>
      <c r="B118" s="9" t="s">
        <v>1016</v>
      </c>
      <c r="C118" s="9" t="s">
        <v>1097</v>
      </c>
      <c r="D118" s="9" t="s">
        <v>1098</v>
      </c>
      <c r="E118" s="36" t="n">
        <v>15.839</v>
      </c>
      <c r="F118" s="36" t="n">
        <v>1559.2</v>
      </c>
      <c r="G118" s="31" t="n">
        <v>0.686036</v>
      </c>
      <c r="H118" s="36" t="n">
        <v>0</v>
      </c>
      <c r="I118" s="36" t="n">
        <v>4.804</v>
      </c>
      <c r="J118" s="36" t="n">
        <v>11.035</v>
      </c>
      <c r="K118" s="36" t="n">
        <v>0</v>
      </c>
      <c r="L118" s="36" t="n">
        <v>0</v>
      </c>
      <c r="M118" s="36" t="n">
        <v>0.578</v>
      </c>
      <c r="N118" s="36" t="n">
        <v>2.806</v>
      </c>
      <c r="O118" s="36" t="n">
        <v>12.465</v>
      </c>
      <c r="P118" s="36" t="n">
        <v>0.005</v>
      </c>
      <c r="Q118" s="36" t="n">
        <v>0.016</v>
      </c>
      <c r="R118" s="36" t="n">
        <v>0.29</v>
      </c>
      <c r="S118" s="36" t="n">
        <v>5.486</v>
      </c>
      <c r="T118" s="36" t="n">
        <v>10.043</v>
      </c>
      <c r="U118" s="36" t="n">
        <v>0</v>
      </c>
      <c r="V118" s="36" t="n">
        <v>0</v>
      </c>
      <c r="W118" s="36" t="n">
        <v>0.526</v>
      </c>
      <c r="X118" s="36" t="n">
        <v>0.051</v>
      </c>
      <c r="Y118" s="36" t="n">
        <v>15.003</v>
      </c>
      <c r="Z118" s="36" t="n">
        <v>0.259</v>
      </c>
      <c r="AA118" s="12" t="n">
        <v>548</v>
      </c>
      <c r="AB118" s="12" t="n">
        <v>814</v>
      </c>
      <c r="AC118" s="9" t="s">
        <v>963</v>
      </c>
      <c r="AD118" s="35"/>
      <c r="AE118" s="9" t="s">
        <v>930</v>
      </c>
      <c r="AF118" s="14" t="n">
        <f aca="false">IF(E118=0,0,(K118+L118+M118)/(K118+L118+M118+N118+O118))</f>
        <v>0.0364691778661114</v>
      </c>
      <c r="AG118" s="7" t="str">
        <f aca="false">IF(J118&gt;=MAX(H118,I118),"MOSAICO",IF(H118&gt;=I118,"BES","ANDINO"))</f>
        <v>MOSAICO</v>
      </c>
      <c r="AH118" s="7" t="str">
        <f aca="false">IF(AF118&gt;=P_CORTE,"Alta","Moderada")</f>
        <v>Moderada</v>
      </c>
      <c r="AI118" s="13" t="str">
        <f aca="false">INDEX(PAQ_T,MATCH(AG118&amp;"|"&amp;AH118,PAQ_KEY,0))</f>
        <v>T6</v>
      </c>
      <c r="AJ118" s="8" t="n">
        <v>112</v>
      </c>
      <c r="AK118" s="7" t="s">
        <v>1099</v>
      </c>
      <c r="AL118" s="34"/>
      <c r="AM118" s="23"/>
    </row>
    <row r="119" customFormat="false" ht="15" hidden="false" customHeight="false" outlineLevel="0" collapsed="false">
      <c r="A119" s="7" t="s">
        <v>1100</v>
      </c>
      <c r="B119" s="7" t="s">
        <v>1016</v>
      </c>
      <c r="C119" s="7" t="s">
        <v>1097</v>
      </c>
      <c r="D119" s="7" t="s">
        <v>1098</v>
      </c>
      <c r="E119" s="34" t="n">
        <v>11.059</v>
      </c>
      <c r="F119" s="34" t="n">
        <v>1599.3</v>
      </c>
      <c r="G119" s="22" t="n">
        <v>0.66855</v>
      </c>
      <c r="H119" s="34" t="n">
        <v>0</v>
      </c>
      <c r="I119" s="34" t="n">
        <v>4.33</v>
      </c>
      <c r="J119" s="34" t="n">
        <v>6.73</v>
      </c>
      <c r="K119" s="34" t="n">
        <v>0</v>
      </c>
      <c r="L119" s="34" t="n">
        <v>0</v>
      </c>
      <c r="M119" s="34" t="n">
        <v>0.421</v>
      </c>
      <c r="N119" s="34" t="n">
        <v>2.915</v>
      </c>
      <c r="O119" s="34" t="n">
        <v>7.732</v>
      </c>
      <c r="P119" s="34" t="n">
        <v>0</v>
      </c>
      <c r="Q119" s="34" t="n">
        <v>0.01</v>
      </c>
      <c r="R119" s="34" t="n">
        <v>0.119</v>
      </c>
      <c r="S119" s="34" t="n">
        <v>3.375</v>
      </c>
      <c r="T119" s="34" t="n">
        <v>7.555</v>
      </c>
      <c r="U119" s="34" t="n">
        <v>0</v>
      </c>
      <c r="V119" s="34" t="n">
        <v>0</v>
      </c>
      <c r="W119" s="34" t="n">
        <v>0.419</v>
      </c>
      <c r="X119" s="34" t="n">
        <v>0.001</v>
      </c>
      <c r="Y119" s="34" t="n">
        <v>10.511</v>
      </c>
      <c r="Z119" s="34" t="n">
        <v>0.128</v>
      </c>
      <c r="AA119" s="8" t="n">
        <v>1247</v>
      </c>
      <c r="AB119" s="8" t="n">
        <v>1532</v>
      </c>
      <c r="AC119" s="7" t="s">
        <v>963</v>
      </c>
      <c r="AD119" s="35"/>
      <c r="AE119" s="7" t="s">
        <v>930</v>
      </c>
      <c r="AF119" s="14" t="n">
        <f aca="false">IF(E119=0,0,(K119+L119+M119)/(K119+L119+M119+N119+O119))</f>
        <v>0.0380375858330322</v>
      </c>
      <c r="AG119" s="7" t="str">
        <f aca="false">IF(J119&gt;=MAX(H119,I119),"MOSAICO",IF(H119&gt;=I119,"BES","ANDINO"))</f>
        <v>MOSAICO</v>
      </c>
      <c r="AH119" s="7" t="str">
        <f aca="false">IF(AF119&gt;=P_CORTE,"Alta","Moderada")</f>
        <v>Moderada</v>
      </c>
      <c r="AI119" s="13" t="str">
        <f aca="false">INDEX(PAQ_T,MATCH(AG119&amp;"|"&amp;AH119,PAQ_KEY,0))</f>
        <v>T6</v>
      </c>
      <c r="AJ119" s="8" t="n">
        <v>113</v>
      </c>
      <c r="AK119" s="7" t="s">
        <v>1099</v>
      </c>
      <c r="AL119" s="34"/>
      <c r="AM119" s="23"/>
    </row>
    <row r="120" customFormat="false" ht="15" hidden="false" customHeight="false" outlineLevel="0" collapsed="false">
      <c r="A120" s="9" t="s">
        <v>1101</v>
      </c>
      <c r="B120" s="9" t="s">
        <v>1016</v>
      </c>
      <c r="C120" s="9" t="s">
        <v>1097</v>
      </c>
      <c r="D120" s="9" t="s">
        <v>1098</v>
      </c>
      <c r="E120" s="36" t="n">
        <v>0.859</v>
      </c>
      <c r="F120" s="36" t="n">
        <v>404.7</v>
      </c>
      <c r="G120" s="31" t="n">
        <v>0.630032</v>
      </c>
      <c r="H120" s="36" t="n">
        <v>0</v>
      </c>
      <c r="I120" s="36" t="n">
        <v>0</v>
      </c>
      <c r="J120" s="36" t="n">
        <v>0.859</v>
      </c>
      <c r="K120" s="36" t="n">
        <v>0</v>
      </c>
      <c r="L120" s="36" t="n">
        <v>0</v>
      </c>
      <c r="M120" s="36" t="n">
        <v>0.015</v>
      </c>
      <c r="N120" s="36" t="n">
        <v>0.367</v>
      </c>
      <c r="O120" s="36" t="n">
        <v>0.477</v>
      </c>
      <c r="P120" s="36" t="n">
        <v>0</v>
      </c>
      <c r="Q120" s="36" t="n">
        <v>0</v>
      </c>
      <c r="R120" s="36" t="n">
        <v>0</v>
      </c>
      <c r="S120" s="36" t="n">
        <v>0.039</v>
      </c>
      <c r="T120" s="36" t="n">
        <v>0.82</v>
      </c>
      <c r="U120" s="36" t="n">
        <v>0</v>
      </c>
      <c r="V120" s="36" t="n">
        <v>0</v>
      </c>
      <c r="W120" s="36" t="n">
        <v>0.015</v>
      </c>
      <c r="X120" s="36" t="n">
        <v>0</v>
      </c>
      <c r="Y120" s="36" t="n">
        <v>0.844</v>
      </c>
      <c r="Z120" s="36" t="n">
        <v>0</v>
      </c>
      <c r="AA120" s="12" t="n">
        <v>469</v>
      </c>
      <c r="AB120" s="12" t="n">
        <v>531</v>
      </c>
      <c r="AC120" s="9" t="s">
        <v>963</v>
      </c>
      <c r="AD120" s="35"/>
      <c r="AE120" s="9" t="s">
        <v>930</v>
      </c>
      <c r="AF120" s="14" t="n">
        <f aca="false">IF(E120=0,0,(K120+L120+M120)/(K120+L120+M120+N120+O120))</f>
        <v>0.0174621653084983</v>
      </c>
      <c r="AG120" s="7" t="str">
        <f aca="false">IF(J120&gt;=MAX(H120,I120),"MOSAICO",IF(H120&gt;=I120,"BES","ANDINO"))</f>
        <v>MOSAICO</v>
      </c>
      <c r="AH120" s="7" t="str">
        <f aca="false">IF(AF120&gt;=P_CORTE,"Alta","Moderada")</f>
        <v>Moderada</v>
      </c>
      <c r="AI120" s="13" t="str">
        <f aca="false">INDEX(PAQ_T,MATCH(AG120&amp;"|"&amp;AH120,PAQ_KEY,0))</f>
        <v>T6</v>
      </c>
      <c r="AJ120" s="8" t="n">
        <v>114</v>
      </c>
      <c r="AK120" s="7" t="s">
        <v>1099</v>
      </c>
      <c r="AL120" s="34"/>
      <c r="AM120" s="23"/>
    </row>
    <row r="121" customFormat="false" ht="15" hidden="false" customHeight="false" outlineLevel="0" collapsed="false">
      <c r="A121" s="7" t="s">
        <v>1102</v>
      </c>
      <c r="B121" s="7" t="s">
        <v>1016</v>
      </c>
      <c r="C121" s="7" t="s">
        <v>1097</v>
      </c>
      <c r="D121" s="7" t="s">
        <v>1098</v>
      </c>
      <c r="E121" s="34" t="n">
        <v>90.197</v>
      </c>
      <c r="F121" s="34" t="n">
        <v>7122.5</v>
      </c>
      <c r="G121" s="22" t="n">
        <v>0.475342</v>
      </c>
      <c r="H121" s="34" t="n">
        <v>89.433</v>
      </c>
      <c r="I121" s="34" t="n">
        <v>0</v>
      </c>
      <c r="J121" s="34" t="n">
        <v>0.764</v>
      </c>
      <c r="K121" s="34" t="n">
        <v>1.29</v>
      </c>
      <c r="L121" s="34" t="n">
        <v>7.944</v>
      </c>
      <c r="M121" s="34" t="n">
        <v>46.91</v>
      </c>
      <c r="N121" s="34" t="n">
        <v>30.443</v>
      </c>
      <c r="O121" s="34" t="n">
        <v>3.691</v>
      </c>
      <c r="P121" s="34" t="n">
        <v>0.326</v>
      </c>
      <c r="Q121" s="34" t="n">
        <v>3.497</v>
      </c>
      <c r="R121" s="34" t="n">
        <v>11.609</v>
      </c>
      <c r="S121" s="34" t="n">
        <v>46.833</v>
      </c>
      <c r="T121" s="34" t="n">
        <v>27.932</v>
      </c>
      <c r="U121" s="34" t="n">
        <v>5.405</v>
      </c>
      <c r="V121" s="34" t="n">
        <v>3.812</v>
      </c>
      <c r="W121" s="34" t="n">
        <v>39.775</v>
      </c>
      <c r="X121" s="34" t="n">
        <v>7.102</v>
      </c>
      <c r="Y121" s="34" t="n">
        <v>29.584</v>
      </c>
      <c r="Z121" s="34" t="n">
        <v>4.518</v>
      </c>
      <c r="AA121" s="8" t="n">
        <v>0</v>
      </c>
      <c r="AB121" s="8" t="n">
        <v>167</v>
      </c>
      <c r="AC121" s="7" t="s">
        <v>963</v>
      </c>
      <c r="AD121" s="35"/>
      <c r="AE121" s="7" t="s">
        <v>930</v>
      </c>
      <c r="AF121" s="14" t="n">
        <f aca="false">IF(E121=0,0,(K121+L121+M121)/(K121+L121+M121+N121+O121))</f>
        <v>0.621901238396952</v>
      </c>
      <c r="AG121" s="7" t="str">
        <f aca="false">IF(J121&gt;=MAX(H121,I121),"MOSAICO",IF(H121&gt;=I121,"BES","ANDINO"))</f>
        <v>BES</v>
      </c>
      <c r="AH121" s="7" t="str">
        <f aca="false">IF(AF121&gt;=P_CORTE,"Alta","Moderada")</f>
        <v>Alta</v>
      </c>
      <c r="AI121" s="13" t="str">
        <f aca="false">INDEX(PAQ_T,MATCH(AG121&amp;"|"&amp;AH121,PAQ_KEY,0))</f>
        <v>T1</v>
      </c>
      <c r="AJ121" s="8" t="n">
        <v>115</v>
      </c>
      <c r="AK121" s="7" t="s">
        <v>1099</v>
      </c>
      <c r="AL121" s="34"/>
      <c r="AM121" s="23"/>
    </row>
    <row r="122" customFormat="false" ht="15" hidden="false" customHeight="false" outlineLevel="0" collapsed="false">
      <c r="A122" s="9" t="s">
        <v>1103</v>
      </c>
      <c r="B122" s="9" t="s">
        <v>1016</v>
      </c>
      <c r="C122" s="9" t="s">
        <v>1097</v>
      </c>
      <c r="D122" s="9" t="s">
        <v>1098</v>
      </c>
      <c r="E122" s="36" t="n">
        <v>58.292</v>
      </c>
      <c r="F122" s="36" t="n">
        <v>4146.1</v>
      </c>
      <c r="G122" s="31" t="n">
        <v>0.507529</v>
      </c>
      <c r="H122" s="36" t="n">
        <v>54.721</v>
      </c>
      <c r="I122" s="36" t="n">
        <v>0</v>
      </c>
      <c r="J122" s="36" t="n">
        <v>3.571</v>
      </c>
      <c r="K122" s="36" t="n">
        <v>0.088</v>
      </c>
      <c r="L122" s="36" t="n">
        <v>6.041</v>
      </c>
      <c r="M122" s="36" t="n">
        <v>22.839</v>
      </c>
      <c r="N122" s="36" t="n">
        <v>20.39</v>
      </c>
      <c r="O122" s="36" t="n">
        <v>8.974</v>
      </c>
      <c r="P122" s="36" t="n">
        <v>0</v>
      </c>
      <c r="Q122" s="36" t="n">
        <v>0.868</v>
      </c>
      <c r="R122" s="36" t="n">
        <v>4.706</v>
      </c>
      <c r="S122" s="36" t="n">
        <v>31.443</v>
      </c>
      <c r="T122" s="36" t="n">
        <v>21.275</v>
      </c>
      <c r="U122" s="36" t="n">
        <v>5.459</v>
      </c>
      <c r="V122" s="36" t="n">
        <v>0.665</v>
      </c>
      <c r="W122" s="36" t="n">
        <v>21.516</v>
      </c>
      <c r="X122" s="36" t="n">
        <v>1.312</v>
      </c>
      <c r="Y122" s="36" t="n">
        <v>25.742</v>
      </c>
      <c r="Z122" s="36" t="n">
        <v>3.597</v>
      </c>
      <c r="AA122" s="12" t="n">
        <v>7</v>
      </c>
      <c r="AB122" s="12" t="n">
        <v>244</v>
      </c>
      <c r="AC122" s="9" t="s">
        <v>963</v>
      </c>
      <c r="AD122" s="35"/>
      <c r="AE122" s="9" t="s">
        <v>930</v>
      </c>
      <c r="AF122" s="14" t="n">
        <f aca="false">IF(E122=0,0,(K122+L122+M122)/(K122+L122+M122+N122+O122))</f>
        <v>0.496605636700267</v>
      </c>
      <c r="AG122" s="7" t="str">
        <f aca="false">IF(J122&gt;=MAX(H122,I122),"MOSAICO",IF(H122&gt;=I122,"BES","ANDINO"))</f>
        <v>BES</v>
      </c>
      <c r="AH122" s="7" t="str">
        <f aca="false">IF(AF122&gt;=P_CORTE,"Alta","Moderada")</f>
        <v>Moderada</v>
      </c>
      <c r="AI122" s="13" t="str">
        <f aca="false">INDEX(PAQ_T,MATCH(AG122&amp;"|"&amp;AH122,PAQ_KEY,0))</f>
        <v>T2</v>
      </c>
      <c r="AJ122" s="8" t="n">
        <v>116</v>
      </c>
      <c r="AK122" s="7" t="s">
        <v>1099</v>
      </c>
      <c r="AL122" s="34"/>
      <c r="AM122" s="23"/>
    </row>
    <row r="123" customFormat="false" ht="15" hidden="false" customHeight="false" outlineLevel="0" collapsed="false">
      <c r="A123" s="7" t="s">
        <v>1104</v>
      </c>
      <c r="B123" s="7" t="s">
        <v>1016</v>
      </c>
      <c r="C123" s="7" t="s">
        <v>1097</v>
      </c>
      <c r="D123" s="7" t="s">
        <v>1098</v>
      </c>
      <c r="E123" s="34" t="n">
        <v>283.428</v>
      </c>
      <c r="F123" s="34" t="n">
        <v>8181.3</v>
      </c>
      <c r="G123" s="22" t="n">
        <v>0.42751</v>
      </c>
      <c r="H123" s="34" t="n">
        <v>283.428</v>
      </c>
      <c r="I123" s="34" t="n">
        <v>0</v>
      </c>
      <c r="J123" s="34" t="n">
        <v>0</v>
      </c>
      <c r="K123" s="34" t="n">
        <v>0.44</v>
      </c>
      <c r="L123" s="34" t="n">
        <v>104.053</v>
      </c>
      <c r="M123" s="34" t="n">
        <v>107.681</v>
      </c>
      <c r="N123" s="34" t="n">
        <v>69.294</v>
      </c>
      <c r="O123" s="34" t="n">
        <v>2.172</v>
      </c>
      <c r="P123" s="34" t="n">
        <v>1.078</v>
      </c>
      <c r="Q123" s="34" t="n">
        <v>71.385</v>
      </c>
      <c r="R123" s="34" t="n">
        <v>105.904</v>
      </c>
      <c r="S123" s="34" t="n">
        <v>71.71</v>
      </c>
      <c r="T123" s="34" t="n">
        <v>33.351</v>
      </c>
      <c r="U123" s="34" t="n">
        <v>9.649</v>
      </c>
      <c r="V123" s="34" t="n">
        <v>94.777</v>
      </c>
      <c r="W123" s="34" t="n">
        <v>48.681</v>
      </c>
      <c r="X123" s="34" t="n">
        <v>58.917</v>
      </c>
      <c r="Y123" s="34" t="n">
        <v>46.731</v>
      </c>
      <c r="Z123" s="34" t="n">
        <v>24.674</v>
      </c>
      <c r="AA123" s="8" t="n">
        <v>43</v>
      </c>
      <c r="AB123" s="8" t="n">
        <v>776</v>
      </c>
      <c r="AC123" s="7" t="s">
        <v>929</v>
      </c>
      <c r="AD123" s="35"/>
      <c r="AE123" s="7" t="s">
        <v>930</v>
      </c>
      <c r="AF123" s="14" t="n">
        <f aca="false">IF(E123=0,0,(K123+L123+M123)/(K123+L123+M123+N123+O123))</f>
        <v>0.748039768720914</v>
      </c>
      <c r="AG123" s="7" t="str">
        <f aca="false">IF(J123&gt;=MAX(H123,I123),"MOSAICO",IF(H123&gt;=I123,"BES","ANDINO"))</f>
        <v>BES</v>
      </c>
      <c r="AH123" s="7" t="str">
        <f aca="false">IF(AF123&gt;=P_CORTE,"Alta","Moderada")</f>
        <v>Alta</v>
      </c>
      <c r="AI123" s="13" t="str">
        <f aca="false">INDEX(PAQ_T,MATCH(AG123&amp;"|"&amp;AH123,PAQ_KEY,0))</f>
        <v>T1</v>
      </c>
      <c r="AJ123" s="8" t="n">
        <v>117</v>
      </c>
      <c r="AK123" s="7" t="s">
        <v>1099</v>
      </c>
      <c r="AL123" s="34"/>
      <c r="AM123" s="23"/>
    </row>
    <row r="124" customFormat="false" ht="15" hidden="false" customHeight="false" outlineLevel="0" collapsed="false">
      <c r="A124" s="13" t="s">
        <v>1105</v>
      </c>
      <c r="E124" s="39" t="n">
        <f aca="false">SUM(E7:E123)</f>
        <v>12270.235</v>
      </c>
      <c r="F124" s="40" t="n">
        <f aca="false">SUM(F7:F123)</f>
        <v>577845.6</v>
      </c>
      <c r="H124" s="39" t="n">
        <f aca="false">SUM(H7:H123)</f>
        <v>8347.407</v>
      </c>
      <c r="I124" s="39" t="n">
        <f aca="false">SUM(I7:I123)</f>
        <v>1121.63</v>
      </c>
      <c r="J124" s="39" t="n">
        <f aca="false">SUM(J7:J123)</f>
        <v>2801.197</v>
      </c>
      <c r="K124" s="39" t="n">
        <f aca="false">SUM(K7:K123)</f>
        <v>1247.386</v>
      </c>
      <c r="L124" s="39" t="n">
        <f aca="false">SUM(L7:L123)</f>
        <v>4259.877</v>
      </c>
      <c r="M124" s="39" t="n">
        <f aca="false">SUM(M7:M123)</f>
        <v>2840.612</v>
      </c>
      <c r="N124" s="39" t="n">
        <f aca="false">SUM(N7:N123)</f>
        <v>1968.362</v>
      </c>
      <c r="O124" s="39" t="n">
        <f aca="false">SUM(O7:O123)</f>
        <v>1962.309</v>
      </c>
      <c r="P124" s="39" t="n">
        <f aca="false">SUM(P7:P123)</f>
        <v>163.686</v>
      </c>
      <c r="Q124" s="39" t="n">
        <f aca="false">SUM(Q7:Q123)</f>
        <v>975.586</v>
      </c>
      <c r="R124" s="39" t="n">
        <f aca="false">SUM(R7:R123)</f>
        <v>1826.391</v>
      </c>
      <c r="S124" s="39" t="n">
        <f aca="false">SUM(S7:S123)</f>
        <v>4760.578</v>
      </c>
      <c r="T124" s="39" t="n">
        <f aca="false">SUM(T7:T123)</f>
        <v>4544.049</v>
      </c>
      <c r="U124" s="39" t="n">
        <f aca="false">SUM(U7:U123)</f>
        <v>3163.273</v>
      </c>
      <c r="V124" s="39" t="n">
        <f aca="false">SUM(V7:V123)</f>
        <v>2340.171</v>
      </c>
      <c r="W124" s="39" t="n">
        <f aca="false">SUM(W7:W123)</f>
        <v>2416.815</v>
      </c>
      <c r="X124" s="39" t="n">
        <f aca="false">SUM(X7:X123)</f>
        <v>421.607</v>
      </c>
      <c r="Y124" s="39" t="n">
        <f aca="false">SUM(Y7:Y123)</f>
        <v>3724.531</v>
      </c>
      <c r="Z124" s="39" t="n">
        <f aca="false">SUM(Z7:Z123)</f>
        <v>203.886</v>
      </c>
      <c r="AL124" s="41" t="n">
        <f aca="false">SUM(AL7:AL123)</f>
        <v>112.765</v>
      </c>
    </row>
  </sheetData>
  <autoFilter ref="A6:AM123"/>
  <mergeCells count="5">
    <mergeCell ref="A1:AI1"/>
    <mergeCell ref="A2:AI2"/>
    <mergeCell ref="A3:AI3"/>
    <mergeCell ref="A4:AI4"/>
    <mergeCell ref="A5:AI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true"/>
  </sheetPr>
  <dimension ref="A1:AH1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6" min="5" style="0" width="8"/>
    <col collapsed="false" customWidth="true" hidden="false" outlineLevel="0" max="7" min="7" style="0" width="9"/>
    <col collapsed="false" customWidth="true" hidden="false" outlineLevel="0" max="9" min="8" style="0" width="10"/>
    <col collapsed="false" customWidth="true" hidden="false" outlineLevel="0" max="10" min="10" style="0" width="11"/>
    <col collapsed="false" customWidth="true" hidden="false" outlineLevel="0" max="12" min="11" style="0" width="9"/>
    <col collapsed="false" customWidth="true" hidden="false" outlineLevel="0" max="13" min="13" style="0" width="10"/>
    <col collapsed="false" customWidth="true" hidden="false" outlineLevel="0" max="14" min="14" style="0" width="8"/>
    <col collapsed="false" customWidth="true" hidden="false" outlineLevel="0" max="15" min="15" style="0" width="9"/>
    <col collapsed="false" customWidth="true" hidden="false" outlineLevel="0" max="34" min="16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customFormat="false" ht="19.5" hidden="false" customHeight="true" outlineLevel="0" collapsed="false">
      <c r="A4" s="4" t="s">
        <v>1106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 customFormat="false" ht="15" hidden="false" customHeight="false" outlineLevel="0" collapsed="false">
      <c r="A5" s="5" t="s">
        <v>1107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customFormat="false" ht="36" hidden="false" customHeight="true" outlineLevel="0" collapsed="false">
      <c r="A6" s="6" t="s">
        <v>889</v>
      </c>
      <c r="B6" s="6" t="s">
        <v>41</v>
      </c>
      <c r="C6" s="6" t="s">
        <v>918</v>
      </c>
      <c r="D6" s="6" t="s">
        <v>42</v>
      </c>
      <c r="E6" s="6" t="s">
        <v>1108</v>
      </c>
      <c r="F6" s="6" t="s">
        <v>1109</v>
      </c>
      <c r="G6" s="6" t="s">
        <v>1110</v>
      </c>
      <c r="H6" s="6" t="s">
        <v>1111</v>
      </c>
      <c r="I6" s="6" t="s">
        <v>1112</v>
      </c>
      <c r="J6" s="6" t="s">
        <v>1113</v>
      </c>
      <c r="K6" s="6" t="s">
        <v>1114</v>
      </c>
      <c r="L6" s="6" t="s">
        <v>1115</v>
      </c>
      <c r="M6" s="6" t="s">
        <v>1116</v>
      </c>
      <c r="N6" s="6" t="s">
        <v>1117</v>
      </c>
      <c r="O6" s="6" t="s">
        <v>1118</v>
      </c>
      <c r="P6" s="6" t="s">
        <v>1119</v>
      </c>
      <c r="Q6" s="6" t="s">
        <v>1120</v>
      </c>
      <c r="R6" s="6" t="s">
        <v>1121</v>
      </c>
      <c r="S6" s="6" t="s">
        <v>1122</v>
      </c>
      <c r="T6" s="6" t="s">
        <v>1123</v>
      </c>
      <c r="U6" s="6" t="s">
        <v>1124</v>
      </c>
      <c r="V6" s="6" t="s">
        <v>1125</v>
      </c>
      <c r="W6" s="6" t="s">
        <v>1126</v>
      </c>
      <c r="X6" s="6" t="s">
        <v>1127</v>
      </c>
      <c r="Y6" s="6" t="s">
        <v>1128</v>
      </c>
      <c r="Z6" s="6" t="s">
        <v>1129</v>
      </c>
      <c r="AA6" s="6" t="s">
        <v>1130</v>
      </c>
      <c r="AB6" s="6" t="s">
        <v>1131</v>
      </c>
      <c r="AC6" s="6" t="s">
        <v>1132</v>
      </c>
      <c r="AD6" s="6" t="s">
        <v>1133</v>
      </c>
      <c r="AE6" s="6" t="s">
        <v>1134</v>
      </c>
      <c r="AF6" s="6" t="s">
        <v>1135</v>
      </c>
      <c r="AG6" s="6" t="s">
        <v>1136</v>
      </c>
      <c r="AH6" s="6" t="s">
        <v>1137</v>
      </c>
    </row>
    <row r="7" customFormat="false" ht="15" hidden="false" customHeight="false" outlineLevel="0" collapsed="false">
      <c r="A7" s="7" t="str">
        <f aca="false">BLOQUES!A7</f>
        <v>3</v>
      </c>
      <c r="B7" s="7" t="str">
        <f aca="false">BLOQUES!AI7</f>
        <v>T6</v>
      </c>
      <c r="C7" s="7" t="str">
        <f aca="false">BLOQUES!AE7</f>
        <v>No</v>
      </c>
      <c r="D7" s="11" t="n">
        <f aca="false">BLOQUES!E7</f>
        <v>459.295</v>
      </c>
      <c r="E7" s="11" t="n">
        <f aca="false">BLOQUES!U7+BLOQUES!V7</f>
        <v>5.623</v>
      </c>
      <c r="F7" s="11" t="n">
        <f aca="false">BLOQUES!W7+BLOQUES!X7</f>
        <v>127.858</v>
      </c>
      <c r="G7" s="11" t="n">
        <f aca="false">BLOQUES!Y7+BLOQUES!Z7</f>
        <v>325.813</v>
      </c>
      <c r="H7" s="8" t="n">
        <f aca="false">E7*INDEX(PAQ_R1,MATCH(B7,PAQ_T,0))</f>
        <v>3654.95</v>
      </c>
      <c r="I7" s="8" t="n">
        <f aca="false">F7*INDEX(PAQ_R2,MATCH(B7,PAQ_T,0))</f>
        <v>41553.85</v>
      </c>
      <c r="J7" s="8" t="n">
        <f aca="false">H7+I7</f>
        <v>45208.8</v>
      </c>
      <c r="K7" s="11" t="n">
        <f aca="false">(BLOQUES!U7+BLOQUES!W7)*INDEX(PAQ_MZ,MATCH(B7,PAQ_T,0))/1000</f>
        <v>0</v>
      </c>
      <c r="L7" s="11" t="n">
        <f aca="false">(BLOQUES!U7+BLOQUES!W7)*INDEX(PAQ_MT,MATCH(B7,PAQ_T,0))/1000</f>
        <v>151.979407917632</v>
      </c>
      <c r="M7" s="8" t="n">
        <f aca="false">BLOQUES!F7*INDEX(PAQ_CERCO,MATCH(B7,PAQ_T,0))</f>
        <v>11633.7</v>
      </c>
      <c r="N7" s="11" t="n">
        <f aca="false">IF(ISNUMBER(BLOQUES!AD7),BLOQUES!AD7/1000,0)</f>
        <v>0</v>
      </c>
      <c r="O7" s="22" t="n">
        <f aca="false">P_JORNAL/(P_CARGA*(P_HORAS*P_EFIC/((BLOQUES!AB7/1000*P_SINUOS)/P_VIDA+(BLOQUES!AB7/1000*P_SINUOS)/P_VVUELTA+P_TCD/60)))</f>
        <v>0.110249451754386</v>
      </c>
      <c r="P7" s="8" t="n">
        <f aca="false">J7*(1+P_RECALCE)*CU_PLANTON</f>
        <v>66308.8773393912</v>
      </c>
      <c r="Q7" s="8" t="n">
        <f aca="false">J7*CU_PLANTA</f>
        <v>310172.243656857</v>
      </c>
      <c r="R7" s="8" t="n">
        <f aca="false">(E7+F7)*CU_HA</f>
        <v>149532.84722416</v>
      </c>
      <c r="S7" s="8" t="n">
        <f aca="false">J7*(1+P_RECALCE)*(P_PESO_PLANTON+P_PESO_INS)*O7</f>
        <v>9156.05882638816</v>
      </c>
      <c r="T7" s="8" t="n">
        <f aca="false">J7*(1+P_RECALCE)*P_PESO_INS*P_FT_KG</f>
        <v>1812.40061585624</v>
      </c>
      <c r="U7" s="8" t="n">
        <f aca="false">K7*CU_ZANJA</f>
        <v>0</v>
      </c>
      <c r="V7" s="8" t="n">
        <f aca="false">L7*CU_TERRAZA</f>
        <v>13706200.9193911</v>
      </c>
      <c r="W7" s="8" t="n">
        <f aca="false">M7*CU_CERCO</f>
        <v>255590.092594782</v>
      </c>
      <c r="X7" s="8" t="n">
        <f aca="false">N7*CU_CARCAVA</f>
        <v>0</v>
      </c>
      <c r="Y7" s="40" t="n">
        <f aca="false">SUM(P7:X7)</f>
        <v>14498773.4396486</v>
      </c>
      <c r="Z7" s="8" t="n">
        <f aca="false">Y7*(P_GG+P_SUP+P_ET)</f>
        <v>2186030.96321963</v>
      </c>
      <c r="AA7" s="40" t="n">
        <f aca="false">Y7+Z7</f>
        <v>16684804.4028682</v>
      </c>
      <c r="AB7" s="8" t="n">
        <f aca="false">IF(D7=0,0,AA7/D7)</f>
        <v>36326.9889784739</v>
      </c>
      <c r="AC7" s="8" t="n">
        <f aca="false">J7*(1+P_RECALCE)*CU_PLANTON_NC+J7*CU_PLANTA_NC+(E7+F7)*CU_HA_NC+S7+K7*CU_ZANJA_NC+L7*CU_TERRAZA_NC+M7*CU_CERCO_NC+N7*CU_CARCAVA_NC</f>
        <v>8523684.75518962</v>
      </c>
      <c r="AD7" s="8" t="n">
        <f aca="false">J7*(1+P_RECALCE)*CU_PLANTON_C+J7*CU_PLANTA_C+(E7+F7)*CU_HA_C+K7*CU_ZANJA_C+L7*CU_TERRAZA_C+M7*CU_CERCO_C+N7*CU_CARCAVA_C</f>
        <v>1316211.97682282</v>
      </c>
      <c r="AE7" s="8" t="n">
        <f aca="false">Y7-AC7-AD7</f>
        <v>4658876.70763611</v>
      </c>
      <c r="AF7" s="8" t="n">
        <f aca="false">AC7*P_FC_MONC+AD7*P_FC_MOC+(AE7+Z7)*P_FC_BIEN</f>
        <v>10420524.2714593</v>
      </c>
      <c r="AG7" s="8" t="n">
        <f aca="false">(SUM(P7:T7)+W7)*(1+P_GG+P_SUP+P_ET)</f>
        <v>912071.461122448</v>
      </c>
      <c r="AH7" s="8" t="n">
        <f aca="false">(U7+V7+X7)*(1+P_GG+P_SUP+P_ET)</f>
        <v>15772732.9417457</v>
      </c>
    </row>
    <row r="8" customFormat="false" ht="15" hidden="false" customHeight="false" outlineLevel="0" collapsed="false">
      <c r="A8" s="9" t="str">
        <f aca="false">BLOQUES!A8</f>
        <v>6</v>
      </c>
      <c r="B8" s="9" t="str">
        <f aca="false">BLOQUES!AI8</f>
        <v>T6</v>
      </c>
      <c r="C8" s="9" t="str">
        <f aca="false">BLOQUES!AE8</f>
        <v>No</v>
      </c>
      <c r="D8" s="10" t="n">
        <f aca="false">BLOQUES!E8</f>
        <v>168.411</v>
      </c>
      <c r="E8" s="10" t="n">
        <f aca="false">BLOQUES!U8+BLOQUES!V8</f>
        <v>4.281</v>
      </c>
      <c r="F8" s="10" t="n">
        <f aca="false">BLOQUES!W8+BLOQUES!X8</f>
        <v>55.353</v>
      </c>
      <c r="G8" s="10" t="n">
        <f aca="false">BLOQUES!Y8+BLOQUES!Z8</f>
        <v>108.776</v>
      </c>
      <c r="H8" s="12" t="n">
        <f aca="false">E8*INDEX(PAQ_R1,MATCH(B8,PAQ_T,0))</f>
        <v>2782.65</v>
      </c>
      <c r="I8" s="12" t="n">
        <f aca="false">F8*INDEX(PAQ_R2,MATCH(B8,PAQ_T,0))</f>
        <v>17989.725</v>
      </c>
      <c r="J8" s="12" t="n">
        <f aca="false">H8+I8</f>
        <v>20772.375</v>
      </c>
      <c r="K8" s="10" t="n">
        <f aca="false">(BLOQUES!U8+BLOQUES!W8)*INDEX(PAQ_MZ,MATCH(B8,PAQ_T,0))/1000</f>
        <v>0</v>
      </c>
      <c r="L8" s="10" t="n">
        <f aca="false">(BLOQUES!U8+BLOQUES!W8)*INDEX(PAQ_MT,MATCH(B8,PAQ_T,0))/1000</f>
        <v>67.5242700970804</v>
      </c>
      <c r="M8" s="12" t="n">
        <f aca="false">BLOQUES!F8*INDEX(PAQ_CERCO,MATCH(B8,PAQ_T,0))</f>
        <v>8376.1</v>
      </c>
      <c r="N8" s="10" t="n">
        <f aca="false">IF(ISNUMBER(BLOQUES!AD8),BLOQUES!AD8/1000,0)</f>
        <v>0</v>
      </c>
      <c r="O8" s="31" t="n">
        <f aca="false">P_JORNAL/(P_CARGA*(P_HORAS*P_EFIC/((BLOQUES!AB8/1000*P_SINUOS)/P_VIDA+(BLOQUES!AB8/1000*P_SINUOS)/P_VVUELTA+P_TCD/60)))</f>
        <v>0.0901507675438596</v>
      </c>
      <c r="P8" s="12" t="n">
        <f aca="false">J8*(1+P_RECALCE)*CU_PLANTON</f>
        <v>30467.3617951115</v>
      </c>
      <c r="Q8" s="12" t="n">
        <f aca="false">J8*CU_PLANTA</f>
        <v>142516.814421785</v>
      </c>
      <c r="R8" s="12" t="n">
        <f aca="false">(E8+F8)*CU_HA</f>
        <v>66805.3266859372</v>
      </c>
      <c r="S8" s="12" t="n">
        <f aca="false">J8*(1+P_RECALCE)*(P_PESO_PLANTON+P_PESO_INS)*O8</f>
        <v>3440.04987527447</v>
      </c>
      <c r="T8" s="12" t="n">
        <f aca="false">J8*(1+P_RECALCE)*P_PESO_INS*P_FT_KG</f>
        <v>832.755243288846</v>
      </c>
      <c r="U8" s="12" t="n">
        <f aca="false">K8*CU_ZANJA</f>
        <v>0</v>
      </c>
      <c r="V8" s="12" t="n">
        <f aca="false">L8*CU_TERRAZA</f>
        <v>6089648.75943859</v>
      </c>
      <c r="W8" s="12" t="n">
        <f aca="false">M8*CU_CERCO</f>
        <v>184021.263620616</v>
      </c>
      <c r="X8" s="12" t="n">
        <f aca="false">N8*CU_CARCAVA</f>
        <v>0</v>
      </c>
      <c r="Y8" s="42" t="n">
        <f aca="false">SUM(P8:X8)</f>
        <v>6517732.3310806</v>
      </c>
      <c r="Z8" s="12" t="n">
        <f aca="false">Y8*(P_GG+P_SUP+P_ET)</f>
        <v>982701.381260096</v>
      </c>
      <c r="AA8" s="42" t="n">
        <f aca="false">Y8+Z8</f>
        <v>7500433.7123407</v>
      </c>
      <c r="AB8" s="12" t="n">
        <f aca="false">IF(D8=0,0,AA8/D8)</f>
        <v>44536.4834383781</v>
      </c>
      <c r="AC8" s="12" t="n">
        <f aca="false">J8*(1+P_RECALCE)*CU_PLANTON_NC+J8*CU_PLANTA_NC+(E8+F8)*CU_HA_NC+S8+K8*CU_ZANJA_NC+L8*CU_TERRAZA_NC+M8*CU_CERCO_NC+N8*CU_CARCAVA_NC</f>
        <v>3790002.9938811</v>
      </c>
      <c r="AD8" s="12" t="n">
        <f aca="false">J8*(1+P_RECALCE)*CU_PLANTON_C+J8*CU_PLANTA_C+(E8+F8)*CU_HA_C+K8*CU_ZANJA_C+L8*CU_TERRAZA_C+M8*CU_CERCO_C+N8*CU_CARCAVA_C</f>
        <v>585065.259217687</v>
      </c>
      <c r="AE8" s="12" t="n">
        <f aca="false">Y8-AC8-AD8</f>
        <v>2142664.07798182</v>
      </c>
      <c r="AF8" s="12" t="n">
        <f aca="false">AC8*P_FC_MONC+AD8*P_FC_MOC+(AE8+Z8)*P_FC_BIEN</f>
        <v>4702617.60817976</v>
      </c>
      <c r="AG8" s="12" t="n">
        <f aca="false">(SUM(P8:T8)+W8)*(1+P_GG+P_SUP+P_ET)</f>
        <v>492627.234342199</v>
      </c>
      <c r="AH8" s="12" t="n">
        <f aca="false">(U8+V8+X8)*(1+P_GG+P_SUP+P_ET)</f>
        <v>7007806.4779985</v>
      </c>
    </row>
    <row r="9" customFormat="false" ht="15" hidden="false" customHeight="false" outlineLevel="0" collapsed="false">
      <c r="A9" s="7" t="str">
        <f aca="false">BLOQUES!A9</f>
        <v>36</v>
      </c>
      <c r="B9" s="7" t="str">
        <f aca="false">BLOQUES!AI9</f>
        <v>T6</v>
      </c>
      <c r="C9" s="7" t="str">
        <f aca="false">BLOQUES!AE9</f>
        <v>No</v>
      </c>
      <c r="D9" s="11" t="n">
        <f aca="false">BLOQUES!E9</f>
        <v>24.843</v>
      </c>
      <c r="E9" s="11" t="n">
        <f aca="false">BLOQUES!U9+BLOQUES!V9</f>
        <v>0.347</v>
      </c>
      <c r="F9" s="11" t="n">
        <f aca="false">BLOQUES!W9+BLOQUES!X9</f>
        <v>8.505</v>
      </c>
      <c r="G9" s="11" t="n">
        <f aca="false">BLOQUES!Y9+BLOQUES!Z9</f>
        <v>15.991</v>
      </c>
      <c r="H9" s="8" t="n">
        <f aca="false">E9*INDEX(PAQ_R1,MATCH(B9,PAQ_T,0))</f>
        <v>225.55</v>
      </c>
      <c r="I9" s="8" t="n">
        <f aca="false">F9*INDEX(PAQ_R2,MATCH(B9,PAQ_T,0))</f>
        <v>2764.125</v>
      </c>
      <c r="J9" s="8" t="n">
        <f aca="false">H9+I9</f>
        <v>2989.675</v>
      </c>
      <c r="K9" s="11" t="n">
        <f aca="false">(BLOQUES!U9+BLOQUES!W9)*INDEX(PAQ_MZ,MATCH(B9,PAQ_T,0))/1000</f>
        <v>0</v>
      </c>
      <c r="L9" s="11" t="n">
        <f aca="false">(BLOQUES!U9+BLOQUES!W9)*INDEX(PAQ_MT,MATCH(B9,PAQ_T,0))/1000</f>
        <v>10.62244248977</v>
      </c>
      <c r="M9" s="8" t="n">
        <f aca="false">BLOQUES!F9*INDEX(PAQ_CERCO,MATCH(B9,PAQ_T,0))</f>
        <v>2675.4</v>
      </c>
      <c r="N9" s="11" t="n">
        <f aca="false">IF(ISNUMBER(BLOQUES!AD9),BLOQUES!AD9/1000,0)</f>
        <v>0</v>
      </c>
      <c r="O9" s="22" t="n">
        <f aca="false">P_JORNAL/(P_CARGA*(P_HORAS*P_EFIC/((BLOQUES!AB9/1000*P_SINUOS)/P_VIDA+(BLOQUES!AB9/1000*P_SINUOS)/P_VVUELTA+P_TCD/60)))</f>
        <v>0.0618201754385965</v>
      </c>
      <c r="P9" s="8" t="n">
        <f aca="false">J9*(1+P_RECALCE)*CU_PLANTON</f>
        <v>4385.0310749156</v>
      </c>
      <c r="Q9" s="8" t="n">
        <f aca="false">J9*CU_PLANTA</f>
        <v>20511.8074922319</v>
      </c>
      <c r="R9" s="8" t="n">
        <f aca="false">(E9+F9)*CU_HA</f>
        <v>9916.5031999181</v>
      </c>
      <c r="S9" s="8" t="n">
        <f aca="false">J9*(1+P_RECALCE)*(P_PESO_PLANTON+P_PESO_INS)*O9</f>
        <v>339.518442029057</v>
      </c>
      <c r="T9" s="8" t="n">
        <f aca="false">J9*(1+P_RECALCE)*P_PESO_INS*P_FT_KG</f>
        <v>119.854736494001</v>
      </c>
      <c r="U9" s="8" t="n">
        <f aca="false">K9*CU_ZANJA</f>
        <v>0</v>
      </c>
      <c r="V9" s="8" t="n">
        <f aca="false">L9*CU_TERRAZA</f>
        <v>957980.643656485</v>
      </c>
      <c r="W9" s="8" t="n">
        <f aca="false">M9*CU_CERCO</f>
        <v>58778.0098960847</v>
      </c>
      <c r="X9" s="8" t="n">
        <f aca="false">N9*CU_CARCAVA</f>
        <v>0</v>
      </c>
      <c r="Y9" s="40" t="n">
        <f aca="false">SUM(P9:X9)</f>
        <v>1052031.36849816</v>
      </c>
      <c r="Z9" s="8" t="n">
        <f aca="false">Y9*(P_GG+P_SUP+P_ET)</f>
        <v>158618.462133238</v>
      </c>
      <c r="AA9" s="40" t="n">
        <f aca="false">Y9+Z9</f>
        <v>1210649.8306314</v>
      </c>
      <c r="AB9" s="8" t="n">
        <f aca="false">IF(D9=0,0,AA9/D9)</f>
        <v>48732.0303760172</v>
      </c>
      <c r="AC9" s="8" t="n">
        <f aca="false">J9*(1+P_RECALCE)*CU_PLANTON_NC+J9*CU_PLANTA_NC+(E9+F9)*CU_HA_NC+S9+K9*CU_ZANJA_NC+L9*CU_TERRAZA_NC+M9*CU_CERCO_NC+N9*CU_CARCAVA_NC</f>
        <v>594255.350044807</v>
      </c>
      <c r="AD9" s="8" t="n">
        <f aca="false">J9*(1+P_RECALCE)*CU_PLANTON_C+J9*CU_PLANTA_C+(E9+F9)*CU_HA_C+K9*CU_ZANJA_C+L9*CU_TERRAZA_C+M9*CU_CERCO_C+N9*CU_CARCAVA_C</f>
        <v>91864.6485084506</v>
      </c>
      <c r="AE9" s="8" t="n">
        <f aca="false">Y9-AC9-AD9</f>
        <v>365911.369944901</v>
      </c>
      <c r="AF9" s="8" t="n">
        <f aca="false">AC9*P_FC_MONC+AD9*P_FC_MOC+(AE9+Z9)*P_FC_BIEN</f>
        <v>766677.126186375</v>
      </c>
      <c r="AG9" s="8" t="n">
        <f aca="false">(SUM(P9:T9)+W9)*(1+P_GG+P_SUP+P_ET)</f>
        <v>108231.082750772</v>
      </c>
      <c r="AH9" s="8" t="n">
        <f aca="false">(U9+V9+X9)*(1+P_GG+P_SUP+P_ET)</f>
        <v>1102418.74788062</v>
      </c>
    </row>
    <row r="10" customFormat="false" ht="15" hidden="false" customHeight="false" outlineLevel="0" collapsed="false">
      <c r="A10" s="9" t="str">
        <f aca="false">BLOQUES!A10</f>
        <v>27</v>
      </c>
      <c r="B10" s="9" t="str">
        <f aca="false">BLOQUES!AI10</f>
        <v>T6</v>
      </c>
      <c r="C10" s="9" t="str">
        <f aca="false">BLOQUES!AE10</f>
        <v>No</v>
      </c>
      <c r="D10" s="10" t="n">
        <f aca="false">BLOQUES!E10</f>
        <v>78.154</v>
      </c>
      <c r="E10" s="10" t="n">
        <f aca="false">BLOQUES!U10+BLOQUES!V10</f>
        <v>0.804</v>
      </c>
      <c r="F10" s="10" t="n">
        <f aca="false">BLOQUES!W10+BLOQUES!X10</f>
        <v>28.502</v>
      </c>
      <c r="G10" s="10" t="n">
        <f aca="false">BLOQUES!Y10+BLOQUES!Z10</f>
        <v>48.848</v>
      </c>
      <c r="H10" s="12" t="n">
        <f aca="false">E10*INDEX(PAQ_R1,MATCH(B10,PAQ_T,0))</f>
        <v>522.6</v>
      </c>
      <c r="I10" s="12" t="n">
        <f aca="false">F10*INDEX(PAQ_R2,MATCH(B10,PAQ_T,0))</f>
        <v>9263.15</v>
      </c>
      <c r="J10" s="12" t="n">
        <f aca="false">H10+I10</f>
        <v>9785.75</v>
      </c>
      <c r="K10" s="10" t="n">
        <f aca="false">(BLOQUES!U10+BLOQUES!W10)*INDEX(PAQ_MZ,MATCH(B10,PAQ_T,0))/1000</f>
        <v>0</v>
      </c>
      <c r="L10" s="10" t="n">
        <f aca="false">(BLOQUES!U10+BLOQUES!W10)*INDEX(PAQ_MT,MATCH(B10,PAQ_T,0))/1000</f>
        <v>31.5313261253045</v>
      </c>
      <c r="M10" s="12" t="n">
        <f aca="false">BLOQUES!F10*INDEX(PAQ_CERCO,MATCH(B10,PAQ_T,0))</f>
        <v>4228.3</v>
      </c>
      <c r="N10" s="10" t="n">
        <f aca="false">IF(ISNUMBER(BLOQUES!AD10),BLOQUES!AD10/1000,0)</f>
        <v>0</v>
      </c>
      <c r="O10" s="31" t="n">
        <f aca="false">P_JORNAL/(P_CARGA*(P_HORAS*P_EFIC/((BLOQUES!AB10/1000*P_SINUOS)/P_VIDA+(BLOQUES!AB10/1000*P_SINUOS)/P_VVUELTA+P_TCD/60)))</f>
        <v>0.129492872807018</v>
      </c>
      <c r="P10" s="12" t="n">
        <f aca="false">J10*(1+P_RECALCE)*CU_PLANTON</f>
        <v>14353.0042032513</v>
      </c>
      <c r="Q10" s="12" t="n">
        <f aca="false">J10*CU_PLANTA</f>
        <v>67138.8763551586</v>
      </c>
      <c r="R10" s="12" t="n">
        <f aca="false">(E10+F10)*CU_HA</f>
        <v>32830.2126950746</v>
      </c>
      <c r="S10" s="12" t="n">
        <f aca="false">J10*(1+P_RECALCE)*(P_PESO_PLANTON+P_PESO_INS)*O10</f>
        <v>2327.81862469093</v>
      </c>
      <c r="T10" s="12" t="n">
        <f aca="false">J10*(1+P_RECALCE)*P_PESO_INS*P_FT_KG</f>
        <v>392.306350237458</v>
      </c>
      <c r="U10" s="12" t="n">
        <f aca="false">K10*CU_ZANJA</f>
        <v>0</v>
      </c>
      <c r="V10" s="12" t="n">
        <f aca="false">L10*CU_TERRAZA</f>
        <v>2843639.78679596</v>
      </c>
      <c r="W10" s="12" t="n">
        <f aca="false">M10*CU_CERCO</f>
        <v>92894.9163652594</v>
      </c>
      <c r="X10" s="12" t="n">
        <f aca="false">N10*CU_CARCAVA</f>
        <v>0</v>
      </c>
      <c r="Y10" s="42" t="n">
        <f aca="false">SUM(P10:X10)</f>
        <v>3053576.92138963</v>
      </c>
      <c r="Z10" s="12" t="n">
        <f aca="false">Y10*(P_GG+P_SUP+P_ET)</f>
        <v>460398.510709634</v>
      </c>
      <c r="AA10" s="42" t="n">
        <f aca="false">Y10+Z10</f>
        <v>3513975.43209926</v>
      </c>
      <c r="AB10" s="12" t="n">
        <f aca="false">IF(D10=0,0,AA10/D10)</f>
        <v>44962.1955638772</v>
      </c>
      <c r="AC10" s="12" t="n">
        <f aca="false">J10*(1+P_RECALCE)*CU_PLANTON_NC+J10*CU_PLANTA_NC+(E10+F10)*CU_HA_NC+S10+K10*CU_ZANJA_NC+L10*CU_TERRAZA_NC+M10*CU_CERCO_NC+N10*CU_CARCAVA_NC</f>
        <v>1772080.95856039</v>
      </c>
      <c r="AD10" s="12" t="n">
        <f aca="false">J10*(1+P_RECALCE)*CU_PLANTON_C+J10*CU_PLANTA_C+(E10+F10)*CU_HA_C+K10*CU_ZANJA_C+L10*CU_TERRAZA_C+M10*CU_CERCO_C+N10*CU_CARCAVA_C</f>
        <v>273462.538286307</v>
      </c>
      <c r="AE10" s="12" t="n">
        <f aca="false">Y10-AC10-AD10</f>
        <v>1008033.42454293</v>
      </c>
      <c r="AF10" s="12" t="n">
        <f aca="false">AC10*P_FC_MONC+AD10*P_FC_MOC+(AE10+Z10)*P_FC_BIEN</f>
        <v>2204743.25127592</v>
      </c>
      <c r="AG10" s="12" t="n">
        <f aca="false">(SUM(P10:T10)+W10)*(1+P_GG+P_SUP+P_ET)</f>
        <v>241590.093270603</v>
      </c>
      <c r="AH10" s="12" t="n">
        <f aca="false">(U10+V10+X10)*(1+P_GG+P_SUP+P_ET)</f>
        <v>3272385.33882866</v>
      </c>
    </row>
    <row r="11" customFormat="false" ht="15" hidden="false" customHeight="false" outlineLevel="0" collapsed="false">
      <c r="A11" s="7" t="str">
        <f aca="false">BLOQUES!A11</f>
        <v>M17B10</v>
      </c>
      <c r="B11" s="7" t="str">
        <f aca="false">BLOQUES!AI11</f>
        <v>T5</v>
      </c>
      <c r="C11" s="7" t="str">
        <f aca="false">BLOQUES!AE11</f>
        <v>No</v>
      </c>
      <c r="D11" s="11" t="n">
        <f aca="false">BLOQUES!E11</f>
        <v>75.363</v>
      </c>
      <c r="E11" s="11" t="n">
        <f aca="false">BLOQUES!U11+BLOQUES!V11</f>
        <v>2.346</v>
      </c>
      <c r="F11" s="11" t="n">
        <f aca="false">BLOQUES!W11+BLOQUES!X11</f>
        <v>52.919</v>
      </c>
      <c r="G11" s="11" t="n">
        <f aca="false">BLOQUES!Y11+BLOQUES!Z11</f>
        <v>20.099</v>
      </c>
      <c r="H11" s="8" t="n">
        <f aca="false">E11*INDEX(PAQ_R1,MATCH(B11,PAQ_T,0))</f>
        <v>1524.9</v>
      </c>
      <c r="I11" s="8" t="n">
        <f aca="false">F11*INDEX(PAQ_R2,MATCH(B11,PAQ_T,0))</f>
        <v>17198.675</v>
      </c>
      <c r="J11" s="8" t="n">
        <f aca="false">H11+I11</f>
        <v>18723.575</v>
      </c>
      <c r="K11" s="11" t="n">
        <f aca="false">(BLOQUES!U11+BLOQUES!W11)*INDEX(PAQ_MZ,MATCH(B11,PAQ_T,0))/1000</f>
        <v>0</v>
      </c>
      <c r="L11" s="11" t="n">
        <f aca="false">(BLOQUES!U11+BLOQUES!W11)*INDEX(PAQ_MT,MATCH(B11,PAQ_T,0))/1000</f>
        <v>63.6614546458186</v>
      </c>
      <c r="M11" s="8" t="n">
        <f aca="false">BLOQUES!F11*INDEX(PAQ_CERCO,MATCH(B11,PAQ_T,0))</f>
        <v>3644.3</v>
      </c>
      <c r="N11" s="11" t="n">
        <f aca="false">IF(ISNUMBER(BLOQUES!AD11),BLOQUES!AD11/1000,0)</f>
        <v>0</v>
      </c>
      <c r="O11" s="22" t="n">
        <f aca="false">P_JORNAL/(P_CARGA*(P_HORAS*P_EFIC/((BLOQUES!AB11/1000*P_SINUOS)/P_VIDA+(BLOQUES!AB11/1000*P_SINUOS)/P_VVUELTA+P_TCD/60)))</f>
        <v>0.127782346491228</v>
      </c>
      <c r="P11" s="8" t="n">
        <f aca="false">J11*(1+P_RECALCE)*CU_PLANTON</f>
        <v>27462.3356078881</v>
      </c>
      <c r="Q11" s="8" t="n">
        <f aca="false">J11*CU_PLANTA</f>
        <v>128460.239312422</v>
      </c>
      <c r="R11" s="8" t="n">
        <f aca="false">(E11+F11)*CU_HA</f>
        <v>61910.9296592266</v>
      </c>
      <c r="S11" s="8" t="n">
        <f aca="false">J11*(1+P_RECALCE)*(P_PESO_PLANTON+P_PESO_INS)*O11</f>
        <v>4395.10029365166</v>
      </c>
      <c r="T11" s="8" t="n">
        <f aca="false">J11*(1+P_RECALCE)*P_PESO_INS*P_FT_KG</f>
        <v>750.619765643647</v>
      </c>
      <c r="U11" s="8" t="n">
        <f aca="false">K11*CU_ZANJA</f>
        <v>0</v>
      </c>
      <c r="V11" s="8" t="n">
        <f aca="false">L11*CU_TERRAZA</f>
        <v>5741282.32338682</v>
      </c>
      <c r="W11" s="8" t="n">
        <f aca="false">M11*CU_CERCO</f>
        <v>80064.5516424839</v>
      </c>
      <c r="X11" s="8" t="n">
        <f aca="false">N11*CU_CARCAVA</f>
        <v>0</v>
      </c>
      <c r="Y11" s="40" t="n">
        <f aca="false">SUM(P11:X11)</f>
        <v>6044326.09966814</v>
      </c>
      <c r="Z11" s="8" t="n">
        <f aca="false">Y11*(P_GG+P_SUP+P_ET)</f>
        <v>911324.262060567</v>
      </c>
      <c r="AA11" s="40" t="n">
        <f aca="false">Y11+Z11</f>
        <v>6955650.36172871</v>
      </c>
      <c r="AB11" s="8" t="n">
        <f aca="false">IF(D11=0,0,AA11/D11)</f>
        <v>92295.2955923823</v>
      </c>
      <c r="AC11" s="8" t="n">
        <f aca="false">J11*(1+P_RECALCE)*CU_PLANTON_NC+J11*CU_PLANTA_NC+(E11+F11)*CU_HA_NC+S11+K11*CU_ZANJA_NC+L11*CU_TERRAZA_NC+M11*CU_CERCO_NC+N11*CU_CARCAVA_NC</f>
        <v>3569436.32939299</v>
      </c>
      <c r="AD11" s="8" t="n">
        <f aca="false">J11*(1+P_RECALCE)*CU_PLANTON_C+J11*CU_PLANTA_C+(E11+F11)*CU_HA_C+K11*CU_ZANJA_C+L11*CU_TERRAZA_C+M11*CU_CERCO_C+N11*CU_CARCAVA_C</f>
        <v>551166.023193352</v>
      </c>
      <c r="AE11" s="8" t="n">
        <f aca="false">Y11-AC11-AD11</f>
        <v>1923723.7470818</v>
      </c>
      <c r="AF11" s="8" t="n">
        <f aca="false">AC11*P_FC_MONC+AD11*P_FC_MOC+(AE11+Z11)*P_FC_BIEN</f>
        <v>4337167.47526303</v>
      </c>
      <c r="AG11" s="8" t="n">
        <f aca="false">(SUM(P11:T11)+W11)*(1+P_GG+P_SUP+P_ET)</f>
        <v>348734.750136414</v>
      </c>
      <c r="AH11" s="8" t="n">
        <f aca="false">(U11+V11+X11)*(1+P_GG+P_SUP+P_ET)</f>
        <v>6606915.6115923</v>
      </c>
    </row>
    <row r="12" customFormat="false" ht="15" hidden="false" customHeight="false" outlineLevel="0" collapsed="false">
      <c r="A12" s="9" t="str">
        <f aca="false">BLOQUES!A12</f>
        <v>M17B5</v>
      </c>
      <c r="B12" s="9" t="str">
        <f aca="false">BLOQUES!AI12</f>
        <v>T2</v>
      </c>
      <c r="C12" s="9" t="str">
        <f aca="false">BLOQUES!AE12</f>
        <v>No</v>
      </c>
      <c r="D12" s="10" t="n">
        <f aca="false">BLOQUES!E12</f>
        <v>74.028</v>
      </c>
      <c r="E12" s="10" t="n">
        <f aca="false">BLOQUES!U12+BLOQUES!V12</f>
        <v>0.435</v>
      </c>
      <c r="F12" s="10" t="n">
        <f aca="false">BLOQUES!W12+BLOQUES!X12</f>
        <v>20.99</v>
      </c>
      <c r="G12" s="10" t="n">
        <f aca="false">BLOQUES!Y12+BLOQUES!Z12</f>
        <v>52.602</v>
      </c>
      <c r="H12" s="12" t="n">
        <f aca="false">E12*INDEX(PAQ_R1,MATCH(B12,PAQ_T,0))</f>
        <v>282.75</v>
      </c>
      <c r="I12" s="12" t="n">
        <f aca="false">F12*INDEX(PAQ_R2,MATCH(B12,PAQ_T,0))</f>
        <v>6821.75</v>
      </c>
      <c r="J12" s="12" t="n">
        <f aca="false">H12+I12</f>
        <v>7104.5</v>
      </c>
      <c r="K12" s="10" t="n">
        <f aca="false">(BLOQUES!U12+BLOQUES!W12)*INDEX(PAQ_MZ,MATCH(B12,PAQ_T,0))/1000</f>
        <v>72.874217006264</v>
      </c>
      <c r="L12" s="10" t="n">
        <f aca="false">(BLOQUES!U12+BLOQUES!W12)*INDEX(PAQ_MT,MATCH(B12,PAQ_T,0))/1000</f>
        <v>0</v>
      </c>
      <c r="M12" s="12" t="n">
        <f aca="false">BLOQUES!F12*INDEX(PAQ_CERCO,MATCH(B12,PAQ_T,0))</f>
        <v>4276.5</v>
      </c>
      <c r="N12" s="10" t="n">
        <f aca="false">IF(ISNUMBER(BLOQUES!AD12),BLOQUES!AD12/1000,0)</f>
        <v>0</v>
      </c>
      <c r="O12" s="31" t="n">
        <f aca="false">P_JORNAL/(P_CARGA*(P_HORAS*P_EFIC/((BLOQUES!AB12/1000*P_SINUOS)/P_VIDA+(BLOQUES!AB12/1000*P_SINUOS)/P_VVUELTA+P_TCD/60)))</f>
        <v>0.225282346491228</v>
      </c>
      <c r="P12" s="12" t="n">
        <f aca="false">J12*(1+P_RECALCE)*CU_PLANTON</f>
        <v>10420.3477875481</v>
      </c>
      <c r="Q12" s="12" t="n">
        <f aca="false">J12*CU_PLANTA</f>
        <v>48743.1364039776</v>
      </c>
      <c r="R12" s="12" t="n">
        <f aca="false">(E12+F12)*CU_HA</f>
        <v>24001.4777517222</v>
      </c>
      <c r="S12" s="12" t="n">
        <f aca="false">J12*(1+P_RECALCE)*(P_PESO_PLANTON+P_PESO_INS)*O12</f>
        <v>2940.15235709841</v>
      </c>
      <c r="T12" s="12" t="n">
        <f aca="false">J12*(1+P_RECALCE)*P_PESO_INS*P_FT_KG</f>
        <v>284.816234347089</v>
      </c>
      <c r="U12" s="12" t="n">
        <f aca="false">K12*CU_ZANJA</f>
        <v>700000.564276789</v>
      </c>
      <c r="V12" s="12" t="n">
        <f aca="false">L12*CU_TERRAZA</f>
        <v>0</v>
      </c>
      <c r="W12" s="12" t="n">
        <f aca="false">M12*CU_CERCO</f>
        <v>93953.8608509405</v>
      </c>
      <c r="X12" s="12" t="n">
        <f aca="false">N12*CU_CARCAVA</f>
        <v>0</v>
      </c>
      <c r="Y12" s="42" t="n">
        <f aca="false">SUM(P12:X12)</f>
        <v>880344.355662423</v>
      </c>
      <c r="Z12" s="12" t="n">
        <f aca="false">Y12*(P_GG+P_SUP+P_ET)</f>
        <v>132732.608574394</v>
      </c>
      <c r="AA12" s="42" t="n">
        <f aca="false">Y12+Z12</f>
        <v>1013076.96423682</v>
      </c>
      <c r="AB12" s="12" t="n">
        <f aca="false">IF(D12=0,0,AA12/D12)</f>
        <v>13685.051118993</v>
      </c>
      <c r="AC12" s="12" t="n">
        <f aca="false">J12*(1+P_RECALCE)*CU_PLANTON_NC+J12*CU_PLANTA_NC+(E12+F12)*CU_HA_NC+S12+K12*CU_ZANJA_NC+L12*CU_TERRAZA_NC+M12*CU_CERCO_NC+N12*CU_CARCAVA_NC</f>
        <v>652408.794100224</v>
      </c>
      <c r="AD12" s="12" t="n">
        <f aca="false">J12*(1+P_RECALCE)*CU_PLANTON_C+J12*CU_PLANTA_C+(E12+F12)*CU_HA_C+K12*CU_ZANJA_C+L12*CU_TERRAZA_C+M12*CU_CERCO_C+N12*CU_CARCAVA_C</f>
        <v>53058.1661925751</v>
      </c>
      <c r="AE12" s="12" t="n">
        <f aca="false">Y12-AC12-AD12</f>
        <v>174877.395369624</v>
      </c>
      <c r="AF12" s="12" t="n">
        <f aca="false">AC12*P_FC_MONC+AD12*P_FC_MOC+(AE12+Z12)*P_FC_BIEN</f>
        <v>576614.088834582</v>
      </c>
      <c r="AG12" s="12" t="n">
        <f aca="false">(SUM(P12:T12)+W12)*(1+P_GG+P_SUP+P_ET)</f>
        <v>207534.857832354</v>
      </c>
      <c r="AH12" s="12" t="n">
        <f aca="false">(U12+V12+X12)*(1+P_GG+P_SUP+P_ET)</f>
        <v>805542.106404463</v>
      </c>
    </row>
    <row r="13" customFormat="false" ht="15" hidden="false" customHeight="false" outlineLevel="0" collapsed="false">
      <c r="A13" s="7" t="str">
        <f aca="false">BLOQUES!A13</f>
        <v>M17B6</v>
      </c>
      <c r="B13" s="7" t="str">
        <f aca="false">BLOQUES!AI13</f>
        <v>T1</v>
      </c>
      <c r="C13" s="7" t="str">
        <f aca="false">BLOQUES!AE13</f>
        <v>No</v>
      </c>
      <c r="D13" s="11" t="n">
        <f aca="false">BLOQUES!E13</f>
        <v>106.538</v>
      </c>
      <c r="E13" s="11" t="n">
        <f aca="false">BLOQUES!U13+BLOQUES!V13</f>
        <v>13.362</v>
      </c>
      <c r="F13" s="11" t="n">
        <f aca="false">BLOQUES!W13+BLOQUES!X13</f>
        <v>73.807</v>
      </c>
      <c r="G13" s="11" t="n">
        <f aca="false">BLOQUES!Y13+BLOQUES!Z13</f>
        <v>19.37</v>
      </c>
      <c r="H13" s="8" t="n">
        <f aca="false">E13*INDEX(PAQ_R1,MATCH(B13,PAQ_T,0))</f>
        <v>8685.3</v>
      </c>
      <c r="I13" s="8" t="n">
        <f aca="false">F13*INDEX(PAQ_R2,MATCH(B13,PAQ_T,0))</f>
        <v>23987.275</v>
      </c>
      <c r="J13" s="8" t="n">
        <f aca="false">H13+I13</f>
        <v>32672.575</v>
      </c>
      <c r="K13" s="11" t="n">
        <f aca="false">(BLOQUES!U13+BLOQUES!W13)*INDEX(PAQ_MZ,MATCH(B13,PAQ_T,0))/1000</f>
        <v>275.923392612859</v>
      </c>
      <c r="L13" s="11" t="n">
        <f aca="false">(BLOQUES!U13+BLOQUES!W13)*INDEX(PAQ_MT,MATCH(B13,PAQ_T,0))/1000</f>
        <v>0</v>
      </c>
      <c r="M13" s="8" t="n">
        <f aca="false">BLOQUES!F13*INDEX(PAQ_CERCO,MATCH(B13,PAQ_T,0))</f>
        <v>6508.8</v>
      </c>
      <c r="N13" s="11" t="n">
        <f aca="false">IF(ISNUMBER(BLOQUES!AD13),BLOQUES!AD13/1000,0)</f>
        <v>0</v>
      </c>
      <c r="O13" s="22" t="n">
        <f aca="false">P_JORNAL/(P_CARGA*(P_HORAS*P_EFIC/((BLOQUES!AB13/1000*P_SINUOS)/P_VIDA+(BLOQUES!AB13/1000*P_SINUOS)/P_VVUELTA+P_TCD/60)))</f>
        <v>0.10062774122807</v>
      </c>
      <c r="P13" s="8" t="n">
        <f aca="false">J13*(1+P_RECALCE)*CU_PLANTON</f>
        <v>47921.6826820676</v>
      </c>
      <c r="Q13" s="8" t="n">
        <f aca="false">J13*CU_PLANTA</f>
        <v>224162.682791778</v>
      </c>
      <c r="R13" s="8" t="n">
        <f aca="false">(E13+F13)*CU_HA</f>
        <v>97651.5665876255</v>
      </c>
      <c r="S13" s="8" t="n">
        <f aca="false">J13*(1+P_RECALCE)*(P_PESO_PLANTON+P_PESO_INS)*O13</f>
        <v>6039.62875486561</v>
      </c>
      <c r="T13" s="8" t="n">
        <f aca="false">J13*(1+P_RECALCE)*P_PESO_INS*P_FT_KG</f>
        <v>1309.8289503727</v>
      </c>
      <c r="U13" s="8" t="n">
        <f aca="false">K13*CU_ZANJA</f>
        <v>2650409.68480753</v>
      </c>
      <c r="V13" s="8" t="n">
        <f aca="false">L13*CU_TERRAZA</f>
        <v>0</v>
      </c>
      <c r="W13" s="8" t="n">
        <f aca="false">M13*CU_CERCO</f>
        <v>142997.051211645</v>
      </c>
      <c r="X13" s="8" t="n">
        <f aca="false">N13*CU_CARCAVA</f>
        <v>0</v>
      </c>
      <c r="Y13" s="40" t="n">
        <f aca="false">SUM(P13:X13)</f>
        <v>3170492.12578588</v>
      </c>
      <c r="Z13" s="8" t="n">
        <f aca="false">Y13*(P_GG+P_SUP+P_ET)</f>
        <v>478026.226457122</v>
      </c>
      <c r="AA13" s="40" t="n">
        <f aca="false">Y13+Z13</f>
        <v>3648518.352243</v>
      </c>
      <c r="AB13" s="8" t="n">
        <f aca="false">IF(D13=0,0,AA13/D13)</f>
        <v>34246.1689936267</v>
      </c>
      <c r="AC13" s="8" t="n">
        <f aca="false">J13*(1+P_RECALCE)*CU_PLANTON_NC+J13*CU_PLANTA_NC+(E13+F13)*CU_HA_NC+S13+K13*CU_ZANJA_NC+L13*CU_TERRAZA_NC+M13*CU_CERCO_NC+N13*CU_CARCAVA_NC</f>
        <v>2497738.13894923</v>
      </c>
      <c r="AD13" s="8" t="n">
        <f aca="false">J13*(1+P_RECALCE)*CU_PLANTON_C+J13*CU_PLANTA_C+(E13+F13)*CU_HA_C+K13*CU_ZANJA_C+L13*CU_TERRAZA_C+M13*CU_CERCO_C+N13*CU_CARCAVA_C</f>
        <v>203717.785482478</v>
      </c>
      <c r="AE13" s="8" t="n">
        <f aca="false">Y13-AC13-AD13</f>
        <v>469036.201354172</v>
      </c>
      <c r="AF13" s="8" t="n">
        <f aca="false">AC13*P_FC_MONC+AD13*P_FC_MOC+(AE13+Z13)*P_FC_BIEN</f>
        <v>2012582.34669602</v>
      </c>
      <c r="AG13" s="8" t="n">
        <f aca="false">(SUM(P13:T13)+W13)*(1+P_GG+P_SUP+P_ET)</f>
        <v>598497.096130942</v>
      </c>
      <c r="AH13" s="8" t="n">
        <f aca="false">(U13+V13+X13)*(1+P_GG+P_SUP+P_ET)</f>
        <v>3050021.25611206</v>
      </c>
    </row>
    <row r="14" customFormat="false" ht="15" hidden="false" customHeight="false" outlineLevel="0" collapsed="false">
      <c r="A14" s="9" t="str">
        <f aca="false">BLOQUES!A14</f>
        <v>M17B7</v>
      </c>
      <c r="B14" s="9" t="str">
        <f aca="false">BLOQUES!AI14</f>
        <v>T6</v>
      </c>
      <c r="C14" s="9" t="str">
        <f aca="false">BLOQUES!AE14</f>
        <v>No</v>
      </c>
      <c r="D14" s="10" t="n">
        <f aca="false">BLOQUES!E14</f>
        <v>258.837</v>
      </c>
      <c r="E14" s="10" t="n">
        <f aca="false">BLOQUES!U14+BLOQUES!V14</f>
        <v>15.062</v>
      </c>
      <c r="F14" s="10" t="n">
        <f aca="false">BLOQUES!W14+BLOQUES!X14</f>
        <v>110.204</v>
      </c>
      <c r="G14" s="10" t="n">
        <f aca="false">BLOQUES!Y14+BLOQUES!Z14</f>
        <v>133.572</v>
      </c>
      <c r="H14" s="12" t="n">
        <f aca="false">E14*INDEX(PAQ_R1,MATCH(B14,PAQ_T,0))</f>
        <v>9790.3</v>
      </c>
      <c r="I14" s="12" t="n">
        <f aca="false">F14*INDEX(PAQ_R2,MATCH(B14,PAQ_T,0))</f>
        <v>35816.3</v>
      </c>
      <c r="J14" s="12" t="n">
        <f aca="false">H14+I14</f>
        <v>45606.6</v>
      </c>
      <c r="K14" s="10" t="n">
        <f aca="false">(BLOQUES!U14+BLOQUES!W14)*INDEX(PAQ_MZ,MATCH(B14,PAQ_T,0))/1000</f>
        <v>0</v>
      </c>
      <c r="L14" s="10" t="n">
        <f aca="false">(BLOQUES!U14+BLOQUES!W14)*INDEX(PAQ_MT,MATCH(B14,PAQ_T,0))/1000</f>
        <v>148.061392245569</v>
      </c>
      <c r="M14" s="12" t="n">
        <f aca="false">BLOQUES!F14*INDEX(PAQ_CERCO,MATCH(B14,PAQ_T,0))</f>
        <v>12968.1</v>
      </c>
      <c r="N14" s="10" t="n">
        <f aca="false">IF(ISNUMBER(BLOQUES!AD14),BLOQUES!AD14/1000,0)</f>
        <v>0</v>
      </c>
      <c r="O14" s="31" t="n">
        <f aca="false">P_JORNAL/(P_CARGA*(P_HORAS*P_EFIC/((BLOQUES!AB14/1000*P_SINUOS)/P_VIDA+(BLOQUES!AB14/1000*P_SINUOS)/P_VVUELTA+P_TCD/60)))</f>
        <v>0.0956030701754386</v>
      </c>
      <c r="P14" s="12" t="n">
        <f aca="false">J14*(1+P_RECALCE)*CU_PLANTON</f>
        <v>66892.3405457937</v>
      </c>
      <c r="Q14" s="12" t="n">
        <f aca="false">J14*CU_PLANTA</f>
        <v>312901.502529615</v>
      </c>
      <c r="R14" s="12" t="n">
        <f aca="false">(E14+F14)*CU_HA</f>
        <v>140329.946886686</v>
      </c>
      <c r="S14" s="12" t="n">
        <f aca="false">J14*(1+P_RECALCE)*(P_PESO_PLANTON+P_PESO_INS)*O14</f>
        <v>8009.56061074342</v>
      </c>
      <c r="T14" s="12" t="n">
        <f aca="false">J14*(1+P_RECALCE)*P_PESO_INS*P_FT_KG</f>
        <v>1828.34824032288</v>
      </c>
      <c r="U14" s="12" t="n">
        <f aca="false">K14*CU_ZANJA</f>
        <v>0</v>
      </c>
      <c r="V14" s="12" t="n">
        <f aca="false">L14*CU_TERRAZA</f>
        <v>13352856.2739394</v>
      </c>
      <c r="W14" s="12" t="n">
        <f aca="false">M14*CU_CERCO</f>
        <v>284906.59719422</v>
      </c>
      <c r="X14" s="12" t="n">
        <f aca="false">N14*CU_CARCAVA</f>
        <v>0</v>
      </c>
      <c r="Y14" s="42" t="n">
        <f aca="false">SUM(P14:X14)</f>
        <v>14167724.5699468</v>
      </c>
      <c r="Z14" s="12" t="n">
        <f aca="false">Y14*(P_GG+P_SUP+P_ET)</f>
        <v>2136117.56312966</v>
      </c>
      <c r="AA14" s="42" t="n">
        <f aca="false">Y14+Z14</f>
        <v>16303842.1330765</v>
      </c>
      <c r="AB14" s="12" t="n">
        <f aca="false">IF(D14=0,0,AA14/D14)</f>
        <v>62988.8390495813</v>
      </c>
      <c r="AC14" s="12" t="n">
        <f aca="false">J14*(1+P_RECALCE)*CU_PLANTON_NC+J14*CU_PLANTA_NC+(E14+F14)*CU_HA_NC+S14+K14*CU_ZANJA_NC+L14*CU_TERRAZA_NC+M14*CU_CERCO_NC+N14*CU_CARCAVA_NC</f>
        <v>8306791.49023543</v>
      </c>
      <c r="AD14" s="12" t="n">
        <f aca="false">J14*(1+P_RECALCE)*CU_PLANTON_C+J14*CU_PLANTA_C+(E14+F14)*CU_HA_C+K14*CU_ZANJA_C+L14*CU_TERRAZA_C+M14*CU_CERCO_C+N14*CU_CARCAVA_C</f>
        <v>1282029.59723417</v>
      </c>
      <c r="AE14" s="12" t="n">
        <f aca="false">Y14-AC14-AD14</f>
        <v>4578903.4824772</v>
      </c>
      <c r="AF14" s="12" t="n">
        <f aca="false">AC14*P_FC_MONC+AD14*P_FC_MOC+(AE14+Z14)*P_FC_BIEN</f>
        <v>10192351.6090756</v>
      </c>
      <c r="AG14" s="12" t="n">
        <f aca="false">(SUM(P14:T14)+W14)*(1+P_GG+P_SUP+P_ET)</f>
        <v>937728.849241967</v>
      </c>
      <c r="AH14" s="12" t="n">
        <f aca="false">(U14+V14+X14)*(1+P_GG+P_SUP+P_ET)</f>
        <v>15366113.2838345</v>
      </c>
    </row>
    <row r="15" customFormat="false" ht="15" hidden="false" customHeight="false" outlineLevel="0" collapsed="false">
      <c r="A15" s="7" t="str">
        <f aca="false">BLOQUES!A15</f>
        <v>39</v>
      </c>
      <c r="B15" s="7" t="str">
        <f aca="false">BLOQUES!AI15</f>
        <v>T4</v>
      </c>
      <c r="C15" s="7" t="str">
        <f aca="false">BLOQUES!AE15</f>
        <v>No</v>
      </c>
      <c r="D15" s="11" t="n">
        <f aca="false">BLOQUES!E15</f>
        <v>68.569</v>
      </c>
      <c r="E15" s="11" t="n">
        <f aca="false">BLOQUES!U15+BLOQUES!V15</f>
        <v>0</v>
      </c>
      <c r="F15" s="11" t="n">
        <f aca="false">BLOQUES!W15+BLOQUES!X15</f>
        <v>2.635</v>
      </c>
      <c r="G15" s="11" t="n">
        <f aca="false">BLOQUES!Y15+BLOQUES!Z15</f>
        <v>65.934</v>
      </c>
      <c r="H15" s="8" t="n">
        <f aca="false">E15*INDEX(PAQ_R1,MATCH(B15,PAQ_T,0))</f>
        <v>0</v>
      </c>
      <c r="I15" s="8" t="n">
        <f aca="false">F15*INDEX(PAQ_R2,MATCH(B15,PAQ_T,0))</f>
        <v>951.235</v>
      </c>
      <c r="J15" s="8" t="n">
        <f aca="false">H15+I15</f>
        <v>951.235</v>
      </c>
      <c r="K15" s="11" t="n">
        <f aca="false">(BLOQUES!U15+BLOQUES!W15)*INDEX(PAQ_MZ,MATCH(B15,PAQ_T,0))/1000</f>
        <v>9.07552739578083</v>
      </c>
      <c r="L15" s="11" t="n">
        <f aca="false">(BLOQUES!U15+BLOQUES!W15)*INDEX(PAQ_MT,MATCH(B15,PAQ_T,0))/1000</f>
        <v>0</v>
      </c>
      <c r="M15" s="8" t="n">
        <f aca="false">BLOQUES!F15*INDEX(PAQ_CERCO,MATCH(B15,PAQ_T,0))</f>
        <v>3605.6</v>
      </c>
      <c r="N15" s="11" t="n">
        <f aca="false">IF(ISNUMBER(BLOQUES!AD15),BLOQUES!AD15/1000,0)</f>
        <v>0</v>
      </c>
      <c r="O15" s="22" t="n">
        <f aca="false">P_JORNAL/(P_CARGA*(P_HORAS*P_EFIC/((BLOQUES!AB15/1000*P_SINUOS)/P_VIDA+(BLOQUES!AB15/1000*P_SINUOS)/P_VVUELTA+P_TCD/60)))</f>
        <v>0.108004385964912</v>
      </c>
      <c r="P15" s="8" t="n">
        <f aca="false">J15*(1+P_RECALCE)*CU_PLANTON</f>
        <v>1395.20015872874</v>
      </c>
      <c r="Q15" s="8" t="n">
        <f aca="false">J15*CU_PLANTA</f>
        <v>6526.3111207316</v>
      </c>
      <c r="R15" s="8" t="n">
        <f aca="false">(E15+F15)*CU_HA</f>
        <v>2951.8736931523</v>
      </c>
      <c r="S15" s="8" t="n">
        <f aca="false">J15*(1+P_RECALCE)*(P_PESO_PLANTON+P_PESO_INS)*O15</f>
        <v>188.728883177083</v>
      </c>
      <c r="T15" s="8" t="n">
        <f aca="false">J15*(1+P_RECALCE)*P_PESO_INS*P_FT_KG</f>
        <v>38.134586625259</v>
      </c>
      <c r="U15" s="8" t="n">
        <f aca="false">K15*CU_ZANJA</f>
        <v>87175.8841348508</v>
      </c>
      <c r="V15" s="8" t="n">
        <f aca="false">L15*CU_TERRAZA</f>
        <v>0</v>
      </c>
      <c r="W15" s="8" t="n">
        <f aca="false">M15*CU_CERCO</f>
        <v>79214.320281574</v>
      </c>
      <c r="X15" s="8" t="n">
        <f aca="false">N15*CU_CARCAVA</f>
        <v>0</v>
      </c>
      <c r="Y15" s="40" t="n">
        <f aca="false">SUM(P15:X15)</f>
        <v>177490.45285884</v>
      </c>
      <c r="Z15" s="8" t="n">
        <f aca="false">Y15*(P_GG+P_SUP+P_ET)</f>
        <v>26760.8585816141</v>
      </c>
      <c r="AA15" s="40" t="n">
        <f aca="false">Y15+Z15</f>
        <v>204251.311440454</v>
      </c>
      <c r="AB15" s="8" t="n">
        <f aca="false">IF(D15=0,0,AA15/D15)</f>
        <v>2978.77045662696</v>
      </c>
      <c r="AC15" s="8" t="n">
        <f aca="false">J15*(1+P_RECALCE)*CU_PLANTON_NC+J15*CU_PLANTA_NC+(E15+F15)*CU_HA_NC+S15+K15*CU_ZANJA_NC+L15*CU_TERRAZA_NC+M15*CU_CERCO_NC+N15*CU_CARCAVA_NC</f>
        <v>81365.6471956586</v>
      </c>
      <c r="AD15" s="8" t="n">
        <f aca="false">J15*(1+P_RECALCE)*CU_PLANTON_C+J15*CU_PLANTA_C+(E15+F15)*CU_HA_C+K15*CU_ZANJA_C+L15*CU_TERRAZA_C+M15*CU_CERCO_C+N15*CU_CARCAVA_C</f>
        <v>6623.92669795492</v>
      </c>
      <c r="AE15" s="8" t="n">
        <f aca="false">Y15-AC15-AD15</f>
        <v>89500.8789652262</v>
      </c>
      <c r="AF15" s="8" t="n">
        <f aca="false">AC15*P_FC_MONC+AD15*P_FC_MOC+(AE15+Z15)*P_FC_BIEN</f>
        <v>137933.370139697</v>
      </c>
      <c r="AG15" s="8" t="n">
        <f aca="false">(SUM(P15:T15)+W15)*(1+P_GG+P_SUP+P_ET)</f>
        <v>103931.613261051</v>
      </c>
      <c r="AH15" s="8" t="n">
        <f aca="false">(U15+V15+X15)*(1+P_GG+P_SUP+P_ET)</f>
        <v>100319.698179403</v>
      </c>
    </row>
    <row r="16" customFormat="false" ht="15" hidden="false" customHeight="false" outlineLevel="0" collapsed="false">
      <c r="A16" s="9" t="str">
        <f aca="false">BLOQUES!A16</f>
        <v>56</v>
      </c>
      <c r="B16" s="9" t="str">
        <f aca="false">BLOQUES!AI16</f>
        <v>T4</v>
      </c>
      <c r="C16" s="9" t="str">
        <f aca="false">BLOQUES!AE16</f>
        <v>No</v>
      </c>
      <c r="D16" s="10" t="n">
        <f aca="false">BLOQUES!E16</f>
        <v>77.666</v>
      </c>
      <c r="E16" s="10" t="n">
        <f aca="false">BLOQUES!U16+BLOQUES!V16</f>
        <v>0.02</v>
      </c>
      <c r="F16" s="10" t="n">
        <f aca="false">BLOQUES!W16+BLOQUES!X16</f>
        <v>2.151</v>
      </c>
      <c r="G16" s="10" t="n">
        <f aca="false">BLOQUES!Y16+BLOQUES!Z16</f>
        <v>75.495</v>
      </c>
      <c r="H16" s="12" t="n">
        <f aca="false">E16*INDEX(PAQ_R1,MATCH(B16,PAQ_T,0))</f>
        <v>14.44</v>
      </c>
      <c r="I16" s="12" t="n">
        <f aca="false">F16*INDEX(PAQ_R2,MATCH(B16,PAQ_T,0))</f>
        <v>776.511</v>
      </c>
      <c r="J16" s="12" t="n">
        <f aca="false">H16+I16</f>
        <v>790.951</v>
      </c>
      <c r="K16" s="10" t="n">
        <f aca="false">(BLOQUES!U16+BLOQUES!W16)*INDEX(PAQ_MZ,MATCH(B16,PAQ_T,0))/1000</f>
        <v>7.73993808049536</v>
      </c>
      <c r="L16" s="10" t="n">
        <f aca="false">(BLOQUES!U16+BLOQUES!W16)*INDEX(PAQ_MT,MATCH(B16,PAQ_T,0))/1000</f>
        <v>0</v>
      </c>
      <c r="M16" s="12" t="n">
        <f aca="false">BLOQUES!F16*INDEX(PAQ_CERCO,MATCH(B16,PAQ_T,0))</f>
        <v>3472.6</v>
      </c>
      <c r="N16" s="10" t="n">
        <f aca="false">IF(ISNUMBER(BLOQUES!AD16),BLOQUES!AD16/1000,0)</f>
        <v>0</v>
      </c>
      <c r="O16" s="31" t="n">
        <f aca="false">P_JORNAL/(P_CARGA*(P_HORAS*P_EFIC/((BLOQUES!AB16/1000*P_SINUOS)/P_VIDA+(BLOQUES!AB16/1000*P_SINUOS)/P_VVUELTA+P_TCD/60)))</f>
        <v>0.20015899122807</v>
      </c>
      <c r="P16" s="12" t="n">
        <f aca="false">J16*(1+P_RECALCE)*CU_PLANTON</f>
        <v>1160.10760826363</v>
      </c>
      <c r="Q16" s="12" t="n">
        <f aca="false">J16*CU_PLANTA</f>
        <v>5426.62150494229</v>
      </c>
      <c r="R16" s="12" t="n">
        <f aca="false">(E16+F16)*CU_HA</f>
        <v>2432.07506179645</v>
      </c>
      <c r="S16" s="12" t="n">
        <f aca="false">J16*(1+P_RECALCE)*(P_PESO_PLANTON+P_PESO_INS)*O16</f>
        <v>290.826407995521</v>
      </c>
      <c r="T16" s="12" t="n">
        <f aca="false">J16*(1+P_RECALCE)*P_PESO_INS*P_FT_KG</f>
        <v>31.7088725980807</v>
      </c>
      <c r="U16" s="12" t="n">
        <f aca="false">K16*CU_ZANJA</f>
        <v>74346.7476754975</v>
      </c>
      <c r="V16" s="12" t="n">
        <f aca="false">L16*CU_TERRAZA</f>
        <v>0</v>
      </c>
      <c r="W16" s="12" t="n">
        <f aca="false">M16*CU_CERCO</f>
        <v>76292.3365347775</v>
      </c>
      <c r="X16" s="12" t="n">
        <f aca="false">N16*CU_CARCAVA</f>
        <v>0</v>
      </c>
      <c r="Y16" s="42" t="n">
        <f aca="false">SUM(P16:X16)</f>
        <v>159980.423665871</v>
      </c>
      <c r="Z16" s="12" t="n">
        <f aca="false">Y16*(P_GG+P_SUP+P_ET)</f>
        <v>24120.8100187449</v>
      </c>
      <c r="AA16" s="42" t="n">
        <f aca="false">Y16+Z16</f>
        <v>184101.233684616</v>
      </c>
      <c r="AB16" s="12" t="n">
        <f aca="false">IF(D16=0,0,AA16/D16)</f>
        <v>2370.42249741993</v>
      </c>
      <c r="AC16" s="12" t="n">
        <f aca="false">J16*(1+P_RECALCE)*CU_PLANTON_NC+J16*CU_PLANTA_NC+(E16+F16)*CU_HA_NC+S16+K16*CU_ZANJA_NC+L16*CU_TERRAZA_NC+M16*CU_CERCO_NC+N16*CU_CARCAVA_NC</f>
        <v>69363.2485014691</v>
      </c>
      <c r="AD16" s="12" t="n">
        <f aca="false">J16*(1+P_RECALCE)*CU_PLANTON_C+J16*CU_PLANTA_C+(E16+F16)*CU_HA_C+K16*CU_ZANJA_C+L16*CU_TERRAZA_C+M16*CU_CERCO_C+N16*CU_CARCAVA_C</f>
        <v>5630.4932259444</v>
      </c>
      <c r="AE16" s="12" t="n">
        <f aca="false">Y16-AC16-AD16</f>
        <v>84986.6819384575</v>
      </c>
      <c r="AF16" s="12" t="n">
        <f aca="false">AC16*P_FC_MONC+AD16*P_FC_MOC+(AE16+Z16)*P_FC_BIEN</f>
        <v>126044.63025403</v>
      </c>
      <c r="AG16" s="12" t="n">
        <f aca="false">(SUM(P16:T16)+W16)*(1+P_GG+P_SUP+P_ET)</f>
        <v>98544.9658997226</v>
      </c>
      <c r="AH16" s="12" t="n">
        <f aca="false">(U16+V16+X16)*(1+P_GG+P_SUP+P_ET)</f>
        <v>85556.2677848933</v>
      </c>
    </row>
    <row r="17" customFormat="false" ht="15" hidden="false" customHeight="false" outlineLevel="0" collapsed="false">
      <c r="A17" s="7" t="str">
        <f aca="false">BLOQUES!A17</f>
        <v>81</v>
      </c>
      <c r="B17" s="7" t="str">
        <f aca="false">BLOQUES!AI17</f>
        <v>T1</v>
      </c>
      <c r="C17" s="7" t="str">
        <f aca="false">BLOQUES!AE17</f>
        <v>No</v>
      </c>
      <c r="D17" s="11" t="n">
        <f aca="false">BLOQUES!E17</f>
        <v>8.929</v>
      </c>
      <c r="E17" s="11" t="n">
        <f aca="false">BLOQUES!U17+BLOQUES!V17</f>
        <v>8.792</v>
      </c>
      <c r="F17" s="11" t="n">
        <f aca="false">BLOQUES!W17+BLOQUES!X17</f>
        <v>0.137</v>
      </c>
      <c r="G17" s="11" t="n">
        <f aca="false">BLOQUES!Y17+BLOQUES!Z17</f>
        <v>0</v>
      </c>
      <c r="H17" s="8" t="n">
        <f aca="false">E17*INDEX(PAQ_R1,MATCH(B17,PAQ_T,0))</f>
        <v>5714.8</v>
      </c>
      <c r="I17" s="8" t="n">
        <f aca="false">F17*INDEX(PAQ_R2,MATCH(B17,PAQ_T,0))</f>
        <v>44.525</v>
      </c>
      <c r="J17" s="8" t="n">
        <f aca="false">H17+I17</f>
        <v>5759.325</v>
      </c>
      <c r="K17" s="11" t="n">
        <f aca="false">(BLOQUES!U17+BLOQUES!W17)*INDEX(PAQ_MZ,MATCH(B17,PAQ_T,0))/1000</f>
        <v>17.2402620779034</v>
      </c>
      <c r="L17" s="11" t="n">
        <f aca="false">(BLOQUES!U17+BLOQUES!W17)*INDEX(PAQ_MT,MATCH(B17,PAQ_T,0))/1000</f>
        <v>0</v>
      </c>
      <c r="M17" s="8" t="n">
        <f aca="false">BLOQUES!F17*INDEX(PAQ_CERCO,MATCH(B17,PAQ_T,0))</f>
        <v>1243.6</v>
      </c>
      <c r="N17" s="11" t="n">
        <f aca="false">IF(ISNUMBER(BLOQUES!AD17),BLOQUES!AD17/1000,0)</f>
        <v>0</v>
      </c>
      <c r="O17" s="22" t="n">
        <f aca="false">P_JORNAL/(P_CARGA*(P_HORAS*P_EFIC/((BLOQUES!AB17/1000*P_SINUOS)/P_VIDA+(BLOQUES!AB17/1000*P_SINUOS)/P_VVUELTA+P_TCD/60)))</f>
        <v>0.0750767543859649</v>
      </c>
      <c r="P17" s="8" t="n">
        <f aca="false">J17*(1+P_RECALCE)*CU_PLANTON</f>
        <v>8447.34598093046</v>
      </c>
      <c r="Q17" s="8" t="n">
        <f aca="false">J17*CU_PLANTA</f>
        <v>39514.0494151367</v>
      </c>
      <c r="R17" s="8" t="n">
        <f aca="false">(E17+F17)*CU_HA</f>
        <v>10002.7628865871</v>
      </c>
      <c r="S17" s="8" t="n">
        <f aca="false">J17*(1+P_RECALCE)*(P_PESO_PLANTON+P_PESO_INS)*O17</f>
        <v>794.303054069901</v>
      </c>
      <c r="T17" s="8" t="n">
        <f aca="false">J17*(1+P_RECALCE)*P_PESO_INS*P_FT_KG</f>
        <v>230.888768932514</v>
      </c>
      <c r="U17" s="8" t="n">
        <f aca="false">K17*CU_ZANJA</f>
        <v>165603.057961841</v>
      </c>
      <c r="V17" s="8" t="n">
        <f aca="false">L17*CU_TERRAZA</f>
        <v>0</v>
      </c>
      <c r="W17" s="8" t="n">
        <f aca="false">M17*CU_CERCO</f>
        <v>27321.6465226773</v>
      </c>
      <c r="X17" s="8" t="n">
        <f aca="false">N17*CU_CARCAVA</f>
        <v>0</v>
      </c>
      <c r="Y17" s="40" t="n">
        <f aca="false">SUM(P17:X17)</f>
        <v>251914.054590175</v>
      </c>
      <c r="Z17" s="8" t="n">
        <f aca="false">Y17*(P_GG+P_SUP+P_ET)</f>
        <v>37981.9662467717</v>
      </c>
      <c r="AA17" s="40" t="n">
        <f aca="false">Y17+Z17</f>
        <v>289896.020836946</v>
      </c>
      <c r="AB17" s="8" t="n">
        <f aca="false">IF(D17=0,0,AA17/D17)</f>
        <v>32466.7959275335</v>
      </c>
      <c r="AC17" s="8" t="n">
        <f aca="false">J17*(1+P_RECALCE)*CU_PLANTON_NC+J17*CU_PLANTA_NC+(E17+F17)*CU_HA_NC+S17+K17*CU_ZANJA_NC+L17*CU_TERRAZA_NC+M17*CU_CERCO_NC+N17*CU_CARCAVA_NC</f>
        <v>177161.078394014</v>
      </c>
      <c r="AD17" s="8" t="n">
        <f aca="false">J17*(1+P_RECALCE)*CU_PLANTON_C+J17*CU_PLANTA_C+(E17+F17)*CU_HA_C+K17*CU_ZANJA_C+L17*CU_TERRAZA_C+M17*CU_CERCO_C+N17*CU_CARCAVA_C</f>
        <v>14482.0507332057</v>
      </c>
      <c r="AE17" s="8" t="n">
        <f aca="false">Y17-AC17-AD17</f>
        <v>60270.9254629551</v>
      </c>
      <c r="AF17" s="8" t="n">
        <f aca="false">AC17*P_FC_MONC+AD17*P_FC_MOC+(AE17+Z17)*P_FC_BIEN</f>
        <v>169113.635470588</v>
      </c>
      <c r="AG17" s="8" t="n">
        <f aca="false">(SUM(P17:T17)+W17)*(1+P_GG+P_SUP+P_ET)</f>
        <v>99324.4085477119</v>
      </c>
      <c r="AH17" s="8" t="n">
        <f aca="false">(U17+V17+X17)*(1+P_GG+P_SUP+P_ET)</f>
        <v>190571.612289234</v>
      </c>
    </row>
    <row r="18" customFormat="false" ht="15" hidden="false" customHeight="false" outlineLevel="0" collapsed="false">
      <c r="A18" s="9" t="str">
        <f aca="false">BLOQUES!A18</f>
        <v>79</v>
      </c>
      <c r="B18" s="9" t="str">
        <f aca="false">BLOQUES!AI18</f>
        <v>T2</v>
      </c>
      <c r="C18" s="9" t="str">
        <f aca="false">BLOQUES!AE18</f>
        <v>No</v>
      </c>
      <c r="D18" s="10" t="n">
        <f aca="false">BLOQUES!E18</f>
        <v>94.812</v>
      </c>
      <c r="E18" s="10" t="n">
        <f aca="false">BLOQUES!U18+BLOQUES!V18</f>
        <v>0.324</v>
      </c>
      <c r="F18" s="10" t="n">
        <f aca="false">BLOQUES!W18+BLOQUES!X18</f>
        <v>27.828</v>
      </c>
      <c r="G18" s="10" t="n">
        <f aca="false">BLOQUES!Y18+BLOQUES!Z18</f>
        <v>66.66</v>
      </c>
      <c r="H18" s="12" t="n">
        <f aca="false">E18*INDEX(PAQ_R1,MATCH(B18,PAQ_T,0))</f>
        <v>210.6</v>
      </c>
      <c r="I18" s="12" t="n">
        <f aca="false">F18*INDEX(PAQ_R2,MATCH(B18,PAQ_T,0))</f>
        <v>9044.1</v>
      </c>
      <c r="J18" s="12" t="n">
        <f aca="false">H18+I18</f>
        <v>9254.7</v>
      </c>
      <c r="K18" s="10" t="n">
        <f aca="false">(BLOQUES!U18+BLOQUES!W18)*INDEX(PAQ_MZ,MATCH(B18,PAQ_T,0))/1000</f>
        <v>35.9673122615019</v>
      </c>
      <c r="L18" s="10" t="n">
        <f aca="false">(BLOQUES!U18+BLOQUES!W18)*INDEX(PAQ_MT,MATCH(B18,PAQ_T,0))/1000</f>
        <v>0</v>
      </c>
      <c r="M18" s="12" t="n">
        <f aca="false">BLOQUES!F18*INDEX(PAQ_CERCO,MATCH(B18,PAQ_T,0))</f>
        <v>5495.2</v>
      </c>
      <c r="N18" s="10" t="n">
        <f aca="false">IF(ISNUMBER(BLOQUES!AD18),BLOQUES!AD18/1000,0)</f>
        <v>0</v>
      </c>
      <c r="O18" s="31" t="n">
        <f aca="false">P_JORNAL/(P_CARGA*(P_HORAS*P_EFIC/((BLOQUES!AB18/1000*P_SINUOS)/P_VIDA+(BLOQUES!AB18/1000*P_SINUOS)/P_VVUELTA+P_TCD/60)))</f>
        <v>0.140290570175439</v>
      </c>
      <c r="P18" s="12" t="n">
        <f aca="false">J18*(1+P_RECALCE)*CU_PLANTON</f>
        <v>13574.099890129</v>
      </c>
      <c r="Q18" s="12" t="n">
        <f aca="false">J18*CU_PLANTA</f>
        <v>63495.4049514944</v>
      </c>
      <c r="R18" s="12" t="n">
        <f aca="false">(E18+F18)*CU_HA</f>
        <v>31537.4376507111</v>
      </c>
      <c r="S18" s="12" t="n">
        <f aca="false">J18*(1+P_RECALCE)*(P_PESO_PLANTON+P_PESO_INS)*O18</f>
        <v>2385.06369581743</v>
      </c>
      <c r="T18" s="12" t="n">
        <f aca="false">J18*(1+P_RECALCE)*P_PESO_INS*P_FT_KG</f>
        <v>371.016792738687</v>
      </c>
      <c r="U18" s="12" t="n">
        <f aca="false">K18*CU_ZANJA</f>
        <v>345487.607453905</v>
      </c>
      <c r="V18" s="12" t="n">
        <f aca="false">L18*CU_TERRAZA</f>
        <v>0</v>
      </c>
      <c r="W18" s="12" t="n">
        <f aca="false">M18*CU_CERCO</f>
        <v>120728.459288691</v>
      </c>
      <c r="X18" s="12" t="n">
        <f aca="false">N18*CU_CARCAVA</f>
        <v>0</v>
      </c>
      <c r="Y18" s="42" t="n">
        <f aca="false">SUM(P18:X18)</f>
        <v>577579.089723487</v>
      </c>
      <c r="Z18" s="12" t="n">
        <f aca="false">Y18*(P_GG+P_SUP+P_ET)</f>
        <v>87083.6267012083</v>
      </c>
      <c r="AA18" s="42" t="n">
        <f aca="false">Y18+Z18</f>
        <v>664662.716424695</v>
      </c>
      <c r="AB18" s="12" t="n">
        <f aca="false">IF(D18=0,0,AA18/D18)</f>
        <v>7010.32270624705</v>
      </c>
      <c r="AC18" s="12" t="n">
        <f aca="false">J18*(1+P_RECALCE)*CU_PLANTON_NC+J18*CU_PLANTA_NC+(E18+F18)*CU_HA_NC+S18+K18*CU_ZANJA_NC+L18*CU_TERRAZA_NC+M18*CU_CERCO_NC+N18*CU_CARCAVA_NC</f>
        <v>364559.566813343</v>
      </c>
      <c r="AD18" s="12" t="n">
        <f aca="false">J18*(1+P_RECALCE)*CU_PLANTON_C+J18*CU_PLANTA_C+(E18+F18)*CU_HA_C+K18*CU_ZANJA_C+L18*CU_TERRAZA_C+M18*CU_CERCO_C+N18*CU_CARCAVA_C</f>
        <v>30828.6576771287</v>
      </c>
      <c r="AE18" s="12" t="n">
        <f aca="false">Y18-AC18-AD18</f>
        <v>182190.865233015</v>
      </c>
      <c r="AF18" s="12" t="n">
        <f aca="false">AC18*P_FC_MONC+AD18*P_FC_MOC+(AE18+Z18)*P_FC_BIEN</f>
        <v>405668.379604691</v>
      </c>
      <c r="AG18" s="12" t="n">
        <f aca="false">(SUM(P18:T18)+W18)*(1+P_GG+P_SUP+P_ET)</f>
        <v>267084.729708942</v>
      </c>
      <c r="AH18" s="12" t="n">
        <f aca="false">(U18+V18+X18)*(1+P_GG+P_SUP+P_ET)</f>
        <v>397577.986715753</v>
      </c>
    </row>
    <row r="19" customFormat="false" ht="15" hidden="false" customHeight="false" outlineLevel="0" collapsed="false">
      <c r="A19" s="7" t="str">
        <f aca="false">BLOQUES!A19</f>
        <v>24</v>
      </c>
      <c r="B19" s="7" t="str">
        <f aca="false">BLOQUES!AI19</f>
        <v>T6</v>
      </c>
      <c r="C19" s="7" t="str">
        <f aca="false">BLOQUES!AE19</f>
        <v>No</v>
      </c>
      <c r="D19" s="11" t="n">
        <f aca="false">BLOQUES!E19</f>
        <v>90.159</v>
      </c>
      <c r="E19" s="11" t="n">
        <f aca="false">BLOQUES!U19+BLOQUES!V19</f>
        <v>0</v>
      </c>
      <c r="F19" s="11" t="n">
        <f aca="false">BLOQUES!W19+BLOQUES!X19</f>
        <v>2.061</v>
      </c>
      <c r="G19" s="11" t="n">
        <f aca="false">BLOQUES!Y19+BLOQUES!Z19</f>
        <v>88.099</v>
      </c>
      <c r="H19" s="8" t="n">
        <f aca="false">E19*INDEX(PAQ_R1,MATCH(B19,PAQ_T,0))</f>
        <v>0</v>
      </c>
      <c r="I19" s="8" t="n">
        <f aca="false">F19*INDEX(PAQ_R2,MATCH(B19,PAQ_T,0))</f>
        <v>669.825</v>
      </c>
      <c r="J19" s="8" t="n">
        <f aca="false">H19+I19</f>
        <v>669.825</v>
      </c>
      <c r="K19" s="11" t="n">
        <f aca="false">(BLOQUES!U19+BLOQUES!W19)*INDEX(PAQ_MZ,MATCH(B19,PAQ_T,0))/1000</f>
        <v>0</v>
      </c>
      <c r="L19" s="11" t="n">
        <f aca="false">(BLOQUES!U19+BLOQUES!W19)*INDEX(PAQ_MT,MATCH(B19,PAQ_T,0))/1000</f>
        <v>2.47320989283957</v>
      </c>
      <c r="M19" s="8" t="n">
        <f aca="false">BLOQUES!F19*INDEX(PAQ_CERCO,MATCH(B19,PAQ_T,0))</f>
        <v>3954.3</v>
      </c>
      <c r="N19" s="11" t="n">
        <f aca="false">IF(ISNUMBER(BLOQUES!AD19),BLOQUES!AD19/1000,0)</f>
        <v>0</v>
      </c>
      <c r="O19" s="22" t="n">
        <f aca="false">P_JORNAL/(P_CARGA*(P_HORAS*P_EFIC/((BLOQUES!AB19/1000*P_SINUOS)/P_VIDA+(BLOQUES!AB19/1000*P_SINUOS)/P_VVUELTA+P_TCD/60)))</f>
        <v>0.156219846491228</v>
      </c>
      <c r="P19" s="8" t="n">
        <f aca="false">J19*(1+P_RECALCE)*CU_PLANTON</f>
        <v>982.44907548658</v>
      </c>
      <c r="Q19" s="8" t="n">
        <f aca="false">J19*CU_PLANTA</f>
        <v>4595.59030780411</v>
      </c>
      <c r="R19" s="8" t="n">
        <f aca="false">(E19+F19)*CU_HA</f>
        <v>2308.84693798364</v>
      </c>
      <c r="S19" s="8" t="n">
        <f aca="false">J19*(1+P_RECALCE)*(P_PESO_PLANTON+P_PESO_INS)*O19</f>
        <v>192.223604087788</v>
      </c>
      <c r="T19" s="8" t="n">
        <f aca="false">J19*(1+P_RECALCE)*P_PESO_INS*P_FT_KG</f>
        <v>26.8529853151578</v>
      </c>
      <c r="U19" s="8" t="n">
        <f aca="false">K19*CU_ZANJA</f>
        <v>0</v>
      </c>
      <c r="V19" s="8" t="n">
        <f aca="false">L19*CU_TERRAZA</f>
        <v>223045.42550565</v>
      </c>
      <c r="W19" s="8" t="n">
        <f aca="false">M19*CU_CERCO</f>
        <v>86875.1904508065</v>
      </c>
      <c r="X19" s="8" t="n">
        <f aca="false">N19*CU_CARCAVA</f>
        <v>0</v>
      </c>
      <c r="Y19" s="40" t="n">
        <f aca="false">SUM(P19:X19)</f>
        <v>318026.578867134</v>
      </c>
      <c r="Z19" s="8" t="n">
        <f aca="false">Y19*(P_GG+P_SUP+P_ET)</f>
        <v>47949.9835916613</v>
      </c>
      <c r="AA19" s="40" t="n">
        <f aca="false">Y19+Z19</f>
        <v>365976.562458795</v>
      </c>
      <c r="AB19" s="8" t="n">
        <f aca="false">IF(D19=0,0,AA19/D19)</f>
        <v>4059.23493449124</v>
      </c>
      <c r="AC19" s="8" t="n">
        <f aca="false">J19*(1+P_RECALCE)*CU_PLANTON_NC+J19*CU_PLANTA_NC+(E19+F19)*CU_HA_NC+S19+K19*CU_ZANJA_NC+L19*CU_TERRAZA_NC+M19*CU_CERCO_NC+N19*CU_CARCAVA_NC</f>
        <v>138346.31544064</v>
      </c>
      <c r="AD19" s="8" t="n">
        <f aca="false">J19*(1+P_RECALCE)*CU_PLANTON_C+J19*CU_PLANTA_C+(E19+F19)*CU_HA_C+K19*CU_ZANJA_C+L19*CU_TERRAZA_C+M19*CU_CERCO_C+N19*CU_CARCAVA_C</f>
        <v>21380.2419267389</v>
      </c>
      <c r="AE19" s="8" t="n">
        <f aca="false">Y19-AC19-AD19</f>
        <v>158300.021499755</v>
      </c>
      <c r="AF19" s="8" t="n">
        <f aca="false">AC19*P_FC_MONC+AD19*P_FC_MOC+(AE19+Z19)*P_FC_BIEN</f>
        <v>249783.983515173</v>
      </c>
      <c r="AG19" s="8" t="n">
        <f aca="false">(SUM(P19:T19)+W19)*(1+P_GG+P_SUP+P_ET)</f>
        <v>109301.795244384</v>
      </c>
      <c r="AH19" s="8" t="n">
        <f aca="false">(U19+V19+X19)*(1+P_GG+P_SUP+P_ET)</f>
        <v>256674.767214411</v>
      </c>
    </row>
    <row r="20" customFormat="false" ht="15" hidden="false" customHeight="false" outlineLevel="0" collapsed="false">
      <c r="A20" s="9" t="str">
        <f aca="false">BLOQUES!A20</f>
        <v>63</v>
      </c>
      <c r="B20" s="9" t="str">
        <f aca="false">BLOQUES!AI20</f>
        <v>T4</v>
      </c>
      <c r="C20" s="9" t="str">
        <f aca="false">BLOQUES!AE20</f>
        <v>No</v>
      </c>
      <c r="D20" s="10" t="n">
        <f aca="false">BLOQUES!E20</f>
        <v>50.459</v>
      </c>
      <c r="E20" s="10" t="n">
        <f aca="false">BLOQUES!U20+BLOQUES!V20</f>
        <v>0</v>
      </c>
      <c r="F20" s="10" t="n">
        <f aca="false">BLOQUES!W20+BLOQUES!X20</f>
        <v>1.487</v>
      </c>
      <c r="G20" s="10" t="n">
        <f aca="false">BLOQUES!Y20+BLOQUES!Z20</f>
        <v>48.971</v>
      </c>
      <c r="H20" s="12" t="n">
        <f aca="false">E20*INDEX(PAQ_R1,MATCH(B20,PAQ_T,0))</f>
        <v>0</v>
      </c>
      <c r="I20" s="12" t="n">
        <f aca="false">F20*INDEX(PAQ_R2,MATCH(B20,PAQ_T,0))</f>
        <v>536.807</v>
      </c>
      <c r="J20" s="12" t="n">
        <f aca="false">H20+I20</f>
        <v>536.807</v>
      </c>
      <c r="K20" s="10" t="n">
        <f aca="false">(BLOQUES!U20+BLOQUES!W20)*INDEX(PAQ_MZ,MATCH(B20,PAQ_T,0))/1000</f>
        <v>5.33515731874145</v>
      </c>
      <c r="L20" s="10" t="n">
        <f aca="false">(BLOQUES!U20+BLOQUES!W20)*INDEX(PAQ_MT,MATCH(B20,PAQ_T,0))/1000</f>
        <v>0</v>
      </c>
      <c r="M20" s="12" t="n">
        <f aca="false">BLOQUES!F20*INDEX(PAQ_CERCO,MATCH(B20,PAQ_T,0))</f>
        <v>3007.5</v>
      </c>
      <c r="N20" s="10" t="n">
        <f aca="false">IF(ISNUMBER(BLOQUES!AD20),BLOQUES!AD20/1000,0)</f>
        <v>0</v>
      </c>
      <c r="O20" s="31" t="n">
        <f aca="false">P_JORNAL/(P_CARGA*(P_HORAS*P_EFIC/((BLOQUES!AB20/1000*P_SINUOS)/P_VIDA+(BLOQUES!AB20/1000*P_SINUOS)/P_VVUELTA+P_TCD/60)))</f>
        <v>0.250405701754386</v>
      </c>
      <c r="P20" s="12" t="n">
        <f aca="false">J20*(1+P_RECALCE)*CU_PLANTON</f>
        <v>787.348248967602</v>
      </c>
      <c r="Q20" s="12" t="n">
        <f aca="false">J20*CU_PLANTA</f>
        <v>3682.96950152861</v>
      </c>
      <c r="R20" s="12" t="n">
        <f aca="false">(E20+F20)*CU_HA</f>
        <v>1665.82018281498</v>
      </c>
      <c r="S20" s="12" t="n">
        <f aca="false">J20*(1+P_RECALCE)*(P_PESO_PLANTON+P_PESO_INS)*O20</f>
        <v>246.928683116042</v>
      </c>
      <c r="T20" s="12" t="n">
        <f aca="false">J20*(1+P_RECALCE)*P_PESO_INS*P_FT_KG</f>
        <v>21.5203530594915</v>
      </c>
      <c r="U20" s="12" t="n">
        <f aca="false">K20*CU_ZANJA</f>
        <v>51247.3860721336</v>
      </c>
      <c r="V20" s="12" t="n">
        <f aca="false">L20*CU_TERRAZA</f>
        <v>0</v>
      </c>
      <c r="W20" s="12" t="n">
        <f aca="false">M20*CU_CERCO</f>
        <v>66074.1813420329</v>
      </c>
      <c r="X20" s="12" t="n">
        <f aca="false">N20*CU_CARCAVA</f>
        <v>0</v>
      </c>
      <c r="Y20" s="42" t="n">
        <f aca="false">SUM(P20:X20)</f>
        <v>123726.154383653</v>
      </c>
      <c r="Z20" s="12" t="n">
        <f aca="false">Y20*(P_GG+P_SUP+P_ET)</f>
        <v>18654.6265840067</v>
      </c>
      <c r="AA20" s="42" t="n">
        <f aca="false">Y20+Z20</f>
        <v>142380.78096766</v>
      </c>
      <c r="AB20" s="12" t="n">
        <f aca="false">IF(D20=0,0,AA20/D20)</f>
        <v>2821.7123004352</v>
      </c>
      <c r="AC20" s="12" t="n">
        <f aca="false">J20*(1+P_RECALCE)*CU_PLANTON_NC+J20*CU_PLANTA_NC+(E20+F20)*CU_HA_NC+S20+K20*CU_ZANJA_NC+L20*CU_TERRAZA_NC+M20*CU_CERCO_NC+N20*CU_CARCAVA_NC</f>
        <v>47810.7260730129</v>
      </c>
      <c r="AD20" s="12" t="n">
        <f aca="false">J20*(1+P_RECALCE)*CU_PLANTON_C+J20*CU_PLANTA_C+(E20+F20)*CU_HA_C+K20*CU_ZANJA_C+L20*CU_TERRAZA_C+M20*CU_CERCO_C+N20*CU_CARCAVA_C</f>
        <v>3876.89701648988</v>
      </c>
      <c r="AE20" s="12" t="n">
        <f aca="false">Y20-AC20-AD20</f>
        <v>72038.5312941504</v>
      </c>
      <c r="AF20" s="12" t="n">
        <f aca="false">AC20*P_FC_MONC+AD20*P_FC_MOC+(AE20+Z20)*P_FC_BIEN</f>
        <v>100001.861965012</v>
      </c>
      <c r="AG20" s="12" t="n">
        <f aca="false">(SUM(P20:T20)+W20)*(1+P_GG+P_SUP+P_ET)</f>
        <v>83406.6466154683</v>
      </c>
      <c r="AH20" s="12" t="n">
        <f aca="false">(U20+V20+X20)*(1+P_GG+P_SUP+P_ET)</f>
        <v>58974.1343521916</v>
      </c>
    </row>
    <row r="21" customFormat="false" ht="15" hidden="false" customHeight="false" outlineLevel="0" collapsed="false">
      <c r="A21" s="7" t="str">
        <f aca="false">BLOQUES!A21</f>
        <v>21</v>
      </c>
      <c r="B21" s="7" t="str">
        <f aca="false">BLOQUES!AI21</f>
        <v>T6</v>
      </c>
      <c r="C21" s="7" t="str">
        <f aca="false">BLOQUES!AE21</f>
        <v>Sí</v>
      </c>
      <c r="D21" s="11" t="n">
        <f aca="false">BLOQUES!E21</f>
        <v>84.227</v>
      </c>
      <c r="E21" s="11" t="n">
        <f aca="false">BLOQUES!U21+BLOQUES!V21</f>
        <v>0.01</v>
      </c>
      <c r="F21" s="11" t="n">
        <f aca="false">BLOQUES!W21+BLOQUES!X21</f>
        <v>4.347</v>
      </c>
      <c r="G21" s="11" t="n">
        <f aca="false">BLOQUES!Y21+BLOQUES!Z21</f>
        <v>79.869</v>
      </c>
      <c r="H21" s="8" t="n">
        <f aca="false">E21*INDEX(PAQ_R1,MATCH(B21,PAQ_T,0))</f>
        <v>6.5</v>
      </c>
      <c r="I21" s="8" t="n">
        <f aca="false">F21*INDEX(PAQ_R2,MATCH(B21,PAQ_T,0))</f>
        <v>1412.775</v>
      </c>
      <c r="J21" s="8" t="n">
        <f aca="false">H21+I21</f>
        <v>1419.275</v>
      </c>
      <c r="K21" s="11" t="n">
        <f aca="false">(BLOQUES!U21+BLOQUES!W21)*INDEX(PAQ_MZ,MATCH(B21,PAQ_T,0))/1000</f>
        <v>0</v>
      </c>
      <c r="L21" s="11" t="n">
        <f aca="false">(BLOQUES!U21+BLOQUES!W21)*INDEX(PAQ_MT,MATCH(B21,PAQ_T,0))/1000</f>
        <v>5.17682070728283</v>
      </c>
      <c r="M21" s="8" t="n">
        <f aca="false">BLOQUES!F21*INDEX(PAQ_CERCO,MATCH(B21,PAQ_T,0))</f>
        <v>3530.8</v>
      </c>
      <c r="N21" s="11" t="n">
        <f aca="false">IF(ISNUMBER(BLOQUES!AD21),BLOQUES!AD21/1000,0)</f>
        <v>0</v>
      </c>
      <c r="O21" s="22" t="n">
        <f aca="false">P_JORNAL/(P_CARGA*(P_HORAS*P_EFIC/((BLOQUES!AB21/1000*P_SINUOS)/P_VIDA+(BLOQUES!AB21/1000*P_SINUOS)/P_VVUELTA+P_TCD/60)))</f>
        <v>0.105759320175439</v>
      </c>
      <c r="P21" s="8" t="n">
        <f aca="false">J21*(1+P_RECALCE)*CU_PLANTON</f>
        <v>2081.68612937889</v>
      </c>
      <c r="Q21" s="8" t="n">
        <f aca="false">J21*CU_PLANTA</f>
        <v>9737.47834749178</v>
      </c>
      <c r="R21" s="8" t="n">
        <f aca="false">(E21+F21)*CU_HA</f>
        <v>4880.95395865829</v>
      </c>
      <c r="S21" s="8" t="n">
        <f aca="false">J21*(1+P_RECALCE)*(P_PESO_PLANTON+P_PESO_INS)*O21</f>
        <v>275.736564143846</v>
      </c>
      <c r="T21" s="8" t="n">
        <f aca="false">J21*(1+P_RECALCE)*P_PESO_INS*P_FT_KG</f>
        <v>56.8981013446357</v>
      </c>
      <c r="U21" s="8" t="n">
        <f aca="false">K21*CU_ZANJA</f>
        <v>0</v>
      </c>
      <c r="V21" s="8" t="n">
        <f aca="false">L21*CU_TERRAZA</f>
        <v>466869.464158843</v>
      </c>
      <c r="W21" s="8" t="n">
        <f aca="false">M21*CU_CERCO</f>
        <v>77570.9790465336</v>
      </c>
      <c r="X21" s="8" t="n">
        <f aca="false">N21*CU_CARCAVA</f>
        <v>0</v>
      </c>
      <c r="Y21" s="40" t="n">
        <f aca="false">SUM(P21:X21)</f>
        <v>561473.196306394</v>
      </c>
      <c r="Z21" s="8" t="n">
        <f aca="false">Y21*(P_GG+P_SUP+P_ET)</f>
        <v>84655.2846178842</v>
      </c>
      <c r="AA21" s="40" t="n">
        <f aca="false">Y21+Z21</f>
        <v>646128.480924278</v>
      </c>
      <c r="AB21" s="8" t="n">
        <f aca="false">IF(D21=0,0,AA21/D21)</f>
        <v>7671.27501780044</v>
      </c>
      <c r="AC21" s="8" t="n">
        <f aca="false">J21*(1+P_RECALCE)*CU_PLANTON_NC+J21*CU_PLANTA_NC+(E21+F21)*CU_HA_NC+S21+K21*CU_ZANJA_NC+L21*CU_TERRAZA_NC+M21*CU_CERCO_NC+N21*CU_CARCAVA_NC</f>
        <v>289571.251311146</v>
      </c>
      <c r="AD21" s="8" t="n">
        <f aca="false">J21*(1+P_RECALCE)*CU_PLANTON_C+J21*CU_PLANTA_C+(E21+F21)*CU_HA_C+K21*CU_ZANJA_C+L21*CU_TERRAZA_C+M21*CU_CERCO_C+N21*CU_CARCAVA_C</f>
        <v>44764.6158849128</v>
      </c>
      <c r="AE21" s="8" t="n">
        <f aca="false">Y21-AC21-AD21</f>
        <v>227137.329110335</v>
      </c>
      <c r="AF21" s="8" t="n">
        <f aca="false">AC21*P_FC_MONC+AD21*P_FC_MOC+(AE21+Z21)*P_FC_BIEN</f>
        <v>421215.000682999</v>
      </c>
      <c r="AG21" s="8" t="n">
        <f aca="false">(SUM(P21:T21)+W21)*(1+P_GG+P_SUP+P_ET)</f>
        <v>108867.468909252</v>
      </c>
      <c r="AH21" s="8" t="n">
        <f aca="false">(U21+V21+X21)*(1+P_GG+P_SUP+P_ET)</f>
        <v>537261.012015026</v>
      </c>
    </row>
    <row r="22" customFormat="false" ht="15" hidden="false" customHeight="false" outlineLevel="0" collapsed="false">
      <c r="A22" s="9" t="str">
        <f aca="false">BLOQUES!A22</f>
        <v>28</v>
      </c>
      <c r="B22" s="9" t="str">
        <f aca="false">BLOQUES!AI22</f>
        <v>T6</v>
      </c>
      <c r="C22" s="9" t="str">
        <f aca="false">BLOQUES!AE22</f>
        <v>No</v>
      </c>
      <c r="D22" s="10" t="n">
        <f aca="false">BLOQUES!E22</f>
        <v>52.966</v>
      </c>
      <c r="E22" s="10" t="n">
        <f aca="false">BLOQUES!U22+BLOQUES!V22</f>
        <v>0</v>
      </c>
      <c r="F22" s="10" t="n">
        <f aca="false">BLOQUES!W22+BLOQUES!X22</f>
        <v>0.495</v>
      </c>
      <c r="G22" s="10" t="n">
        <f aca="false">BLOQUES!Y22+BLOQUES!Z22</f>
        <v>52.471</v>
      </c>
      <c r="H22" s="12" t="n">
        <f aca="false">E22*INDEX(PAQ_R1,MATCH(B22,PAQ_T,0))</f>
        <v>0</v>
      </c>
      <c r="I22" s="12" t="n">
        <f aca="false">F22*INDEX(PAQ_R2,MATCH(B22,PAQ_T,0))</f>
        <v>160.875</v>
      </c>
      <c r="J22" s="12" t="n">
        <f aca="false">H22+I22</f>
        <v>160.875</v>
      </c>
      <c r="K22" s="10" t="n">
        <f aca="false">(BLOQUES!U22+BLOQUES!W22)*INDEX(PAQ_MZ,MATCH(B22,PAQ_T,0))/1000</f>
        <v>0</v>
      </c>
      <c r="L22" s="10" t="n">
        <f aca="false">(BLOQUES!U22+BLOQUES!W22)*INDEX(PAQ_MT,MATCH(B22,PAQ_T,0))/1000</f>
        <v>0.579602318409274</v>
      </c>
      <c r="M22" s="12" t="n">
        <f aca="false">BLOQUES!F22*INDEX(PAQ_CERCO,MATCH(B22,PAQ_T,0))</f>
        <v>3639.4</v>
      </c>
      <c r="N22" s="10" t="n">
        <f aca="false">IF(ISNUMBER(BLOQUES!AD22),BLOQUES!AD22/1000,0)</f>
        <v>0</v>
      </c>
      <c r="O22" s="31" t="n">
        <f aca="false">P_JORNAL/(P_CARGA*(P_HORAS*P_EFIC/((BLOQUES!AB22/1000*P_SINUOS)/P_VIDA+(BLOQUES!AB22/1000*P_SINUOS)/P_VVUELTA+P_TCD/60)))</f>
        <v>0.0730455043859649</v>
      </c>
      <c r="P22" s="12" t="n">
        <f aca="false">J22*(1+P_RECALCE)*CU_PLANTON</f>
        <v>235.959384942192</v>
      </c>
      <c r="Q22" s="12" t="n">
        <f aca="false">J22*CU_PLANTA</f>
        <v>1103.74439707086</v>
      </c>
      <c r="R22" s="12" t="n">
        <f aca="false">(E22+F22)*CU_HA</f>
        <v>554.526557157644</v>
      </c>
      <c r="S22" s="12" t="n">
        <f aca="false">J22*(1+P_RECALCE)*(P_PESO_PLANTON+P_PESO_INS)*O22</f>
        <v>21.5869461667352</v>
      </c>
      <c r="T22" s="12" t="n">
        <f aca="false">J22*(1+P_RECALCE)*P_PESO_INS*P_FT_KG</f>
        <v>6.44940695342218</v>
      </c>
      <c r="U22" s="12" t="n">
        <f aca="false">K22*CU_ZANJA</f>
        <v>0</v>
      </c>
      <c r="V22" s="12" t="n">
        <f aca="false">L22*CU_TERRAZA</f>
        <v>52271.1986992863</v>
      </c>
      <c r="W22" s="12" t="n">
        <f aca="false">M22*CU_CERCO</f>
        <v>79956.8996097072</v>
      </c>
      <c r="X22" s="12" t="n">
        <f aca="false">N22*CU_CARCAVA</f>
        <v>0</v>
      </c>
      <c r="Y22" s="42" t="n">
        <f aca="false">SUM(P22:X22)</f>
        <v>134150.365001284</v>
      </c>
      <c r="Z22" s="12" t="n">
        <f aca="false">Y22*(P_GG+P_SUP+P_ET)</f>
        <v>20226.321408546</v>
      </c>
      <c r="AA22" s="42" t="n">
        <f aca="false">Y22+Z22</f>
        <v>154376.68640983</v>
      </c>
      <c r="AB22" s="12" t="n">
        <f aca="false">IF(D22=0,0,AA22/D22)</f>
        <v>2914.63743552147</v>
      </c>
      <c r="AC22" s="12" t="n">
        <f aca="false">J22*(1+P_RECALCE)*CU_PLANTON_NC+J22*CU_PLANTA_NC+(E22+F22)*CU_HA_NC+S22+K22*CU_ZANJA_NC+L22*CU_TERRAZA_NC+M22*CU_CERCO_NC+N22*CU_CARCAVA_NC</f>
        <v>32426.6114016801</v>
      </c>
      <c r="AD22" s="12" t="n">
        <f aca="false">J22*(1+P_RECALCE)*CU_PLANTON_C+J22*CU_PLANTA_C+(E22+F22)*CU_HA_C+K22*CU_ZANJA_C+L22*CU_TERRAZA_C+M22*CU_CERCO_C+N22*CU_CARCAVA_C</f>
        <v>5013.66886582624</v>
      </c>
      <c r="AE22" s="12" t="n">
        <f aca="false">Y22-AC22-AD22</f>
        <v>96710.084733778</v>
      </c>
      <c r="AF22" s="12" t="n">
        <f aca="false">AC22*P_FC_MONC+AD22*P_FC_MOC+(AE22+Z22)*P_FC_BIEN</f>
        <v>116678.624465864</v>
      </c>
      <c r="AG22" s="12" t="n">
        <f aca="false">(SUM(P22:T22)+W22)*(1+P_GG+P_SUP+P_ET)</f>
        <v>94224.3756070354</v>
      </c>
      <c r="AH22" s="12" t="n">
        <f aca="false">(U22+V22+X22)*(1+P_GG+P_SUP+P_ET)</f>
        <v>60152.310802795</v>
      </c>
    </row>
    <row r="23" customFormat="false" ht="15" hidden="false" customHeight="false" outlineLevel="0" collapsed="false">
      <c r="A23" s="7" t="str">
        <f aca="false">BLOQUES!A23</f>
        <v>30</v>
      </c>
      <c r="B23" s="7" t="str">
        <f aca="false">BLOQUES!AI23</f>
        <v>T6</v>
      </c>
      <c r="C23" s="7" t="str">
        <f aca="false">BLOQUES!AE23</f>
        <v>No</v>
      </c>
      <c r="D23" s="11" t="n">
        <f aca="false">BLOQUES!E23</f>
        <v>34.874</v>
      </c>
      <c r="E23" s="11" t="n">
        <f aca="false">BLOQUES!U23+BLOQUES!V23</f>
        <v>0</v>
      </c>
      <c r="F23" s="11" t="n">
        <f aca="false">BLOQUES!W23+BLOQUES!X23</f>
        <v>0.456</v>
      </c>
      <c r="G23" s="11" t="n">
        <f aca="false">BLOQUES!Y23+BLOQUES!Z23</f>
        <v>34.418</v>
      </c>
      <c r="H23" s="8" t="n">
        <f aca="false">E23*INDEX(PAQ_R1,MATCH(B23,PAQ_T,0))</f>
        <v>0</v>
      </c>
      <c r="I23" s="8" t="n">
        <f aca="false">F23*INDEX(PAQ_R2,MATCH(B23,PAQ_T,0))</f>
        <v>148.2</v>
      </c>
      <c r="J23" s="8" t="n">
        <f aca="false">H23+I23</f>
        <v>148.2</v>
      </c>
      <c r="K23" s="11" t="n">
        <f aca="false">(BLOQUES!U23+BLOQUES!W23)*INDEX(PAQ_MZ,MATCH(B23,PAQ_T,0))/1000</f>
        <v>0</v>
      </c>
      <c r="L23" s="11" t="n">
        <f aca="false">(BLOQUES!U23+BLOQUES!W23)*INDEX(PAQ_MT,MATCH(B23,PAQ_T,0))/1000</f>
        <v>0.547202188808755</v>
      </c>
      <c r="M23" s="8" t="n">
        <f aca="false">BLOQUES!F23*INDEX(PAQ_CERCO,MATCH(B23,PAQ_T,0))</f>
        <v>2492.5</v>
      </c>
      <c r="N23" s="11" t="n">
        <f aca="false">IF(ISNUMBER(BLOQUES!AD23),BLOQUES!AD23/1000,0)</f>
        <v>0</v>
      </c>
      <c r="O23" s="22" t="n">
        <f aca="false">P_JORNAL/(P_CARGA*(P_HORAS*P_EFIC/((BLOQUES!AB23/1000*P_SINUOS)/P_VIDA+(BLOQUES!AB23/1000*P_SINUOS)/P_VVUELTA+P_TCD/60)))</f>
        <v>0.140397478070175</v>
      </c>
      <c r="P23" s="8" t="n">
        <f aca="false">J23*(1+P_RECALCE)*CU_PLANTON</f>
        <v>217.368645522504</v>
      </c>
      <c r="Q23" s="8" t="n">
        <f aca="false">J23*CU_PLANTA</f>
        <v>1016.78271730164</v>
      </c>
      <c r="R23" s="8" t="n">
        <f aca="false">(E23+F23)*CU_HA</f>
        <v>510.836585987647</v>
      </c>
      <c r="S23" s="8" t="n">
        <f aca="false">J23*(1+P_RECALCE)*(P_PESO_PLANTON+P_PESO_INS)*O23</f>
        <v>38.22228678125</v>
      </c>
      <c r="T23" s="8" t="n">
        <f aca="false">J23*(1+P_RECALCE)*P_PESO_INS*P_FT_KG</f>
        <v>5.94127186012225</v>
      </c>
      <c r="U23" s="8" t="n">
        <f aca="false">K23*CU_ZANJA</f>
        <v>0</v>
      </c>
      <c r="V23" s="8" t="n">
        <f aca="false">L23*CU_TERRAZA</f>
        <v>49349.2062254131</v>
      </c>
      <c r="W23" s="8" t="n">
        <f aca="false">M23*CU_CERCO</f>
        <v>54759.7329991744</v>
      </c>
      <c r="X23" s="8" t="n">
        <f aca="false">N23*CU_CARCAVA</f>
        <v>0</v>
      </c>
      <c r="Y23" s="40" t="n">
        <f aca="false">SUM(P23:X23)</f>
        <v>105898.090732041</v>
      </c>
      <c r="Z23" s="8" t="n">
        <f aca="false">Y23*(P_GG+P_SUP+P_ET)</f>
        <v>15966.6268494843</v>
      </c>
      <c r="AA23" s="40" t="n">
        <f aca="false">Y23+Z23</f>
        <v>121864.717581525</v>
      </c>
      <c r="AB23" s="8" t="n">
        <f aca="false">IF(D23=0,0,AA23/D23)</f>
        <v>3494.42901822346</v>
      </c>
      <c r="AC23" s="8" t="n">
        <f aca="false">J23*(1+P_RECALCE)*CU_PLANTON_NC+J23*CU_PLANTA_NC+(E23+F23)*CU_HA_NC+S23+K23*CU_ZANJA_NC+L23*CU_TERRAZA_NC+M23*CU_CERCO_NC+N23*CU_CARCAVA_NC</f>
        <v>30605.0664776923</v>
      </c>
      <c r="AD23" s="8" t="n">
        <f aca="false">J23*(1+P_RECALCE)*CU_PLANTON_C+J23*CU_PLANTA_C+(E23+F23)*CU_HA_C+K23*CU_ZANJA_C+L23*CU_TERRAZA_C+M23*CU_CERCO_C+N23*CU_CARCAVA_C</f>
        <v>4730.41742775008</v>
      </c>
      <c r="AE23" s="8" t="n">
        <f aca="false">Y23-AC23-AD23</f>
        <v>70562.6068265983</v>
      </c>
      <c r="AF23" s="8" t="n">
        <f aca="false">AC23*P_FC_MONC+AD23*P_FC_MOC+(AE23+Z23)*P_FC_BIEN</f>
        <v>89921.0167360809</v>
      </c>
      <c r="AG23" s="8" t="n">
        <f aca="false">(SUM(P23:T23)+W23)*(1+P_GG+P_SUP+P_ET)</f>
        <v>65074.9583142899</v>
      </c>
      <c r="AH23" s="8" t="n">
        <f aca="false">(U23+V23+X23)*(1+P_GG+P_SUP+P_ET)</f>
        <v>56789.7592672351</v>
      </c>
    </row>
    <row r="24" customFormat="false" ht="15" hidden="false" customHeight="false" outlineLevel="0" collapsed="false">
      <c r="A24" s="9" t="str">
        <f aca="false">BLOQUES!A24</f>
        <v>40</v>
      </c>
      <c r="B24" s="9" t="str">
        <f aca="false">BLOQUES!AI24</f>
        <v>T6</v>
      </c>
      <c r="C24" s="9" t="str">
        <f aca="false">BLOQUES!AE24</f>
        <v>No</v>
      </c>
      <c r="D24" s="10" t="n">
        <f aca="false">BLOQUES!E24</f>
        <v>28.523</v>
      </c>
      <c r="E24" s="10" t="n">
        <f aca="false">BLOQUES!U24+BLOQUES!V24</f>
        <v>0</v>
      </c>
      <c r="F24" s="10" t="n">
        <f aca="false">BLOQUES!W24+BLOQUES!X24</f>
        <v>0.827</v>
      </c>
      <c r="G24" s="10" t="n">
        <f aca="false">BLOQUES!Y24+BLOQUES!Z24</f>
        <v>27.696</v>
      </c>
      <c r="H24" s="12" t="n">
        <f aca="false">E24*INDEX(PAQ_R1,MATCH(B24,PAQ_T,0))</f>
        <v>0</v>
      </c>
      <c r="I24" s="12" t="n">
        <f aca="false">F24*INDEX(PAQ_R2,MATCH(B24,PAQ_T,0))</f>
        <v>268.775</v>
      </c>
      <c r="J24" s="12" t="n">
        <f aca="false">H24+I24</f>
        <v>268.775</v>
      </c>
      <c r="K24" s="10" t="n">
        <f aca="false">(BLOQUES!U24+BLOQUES!W24)*INDEX(PAQ_MZ,MATCH(B24,PAQ_T,0))/1000</f>
        <v>0</v>
      </c>
      <c r="L24" s="10" t="n">
        <f aca="false">(BLOQUES!U24+BLOQUES!W24)*INDEX(PAQ_MT,MATCH(B24,PAQ_T,0))/1000</f>
        <v>0.991203964815859</v>
      </c>
      <c r="M24" s="12" t="n">
        <f aca="false">BLOQUES!F24*INDEX(PAQ_CERCO,MATCH(B24,PAQ_T,0))</f>
        <v>2169.9</v>
      </c>
      <c r="N24" s="10" t="n">
        <f aca="false">IF(ISNUMBER(BLOQUES!AD24),BLOQUES!AD24/1000,0)</f>
        <v>0</v>
      </c>
      <c r="O24" s="31" t="n">
        <f aca="false">P_JORNAL/(P_CARGA*(P_HORAS*P_EFIC/((BLOQUES!AB24/1000*P_SINUOS)/P_VIDA+(BLOQUES!AB24/1000*P_SINUOS)/P_VVUELTA+P_TCD/60)))</f>
        <v>0.17375274122807</v>
      </c>
      <c r="P24" s="12" t="n">
        <f aca="false">J24*(1+P_RECALCE)*CU_PLANTON</f>
        <v>394.219012822611</v>
      </c>
      <c r="Q24" s="12" t="n">
        <f aca="false">J24*CU_PLANTA</f>
        <v>1844.03356843959</v>
      </c>
      <c r="R24" s="12" t="n">
        <f aca="false">(E24+F24)*CU_HA</f>
        <v>926.451439938124</v>
      </c>
      <c r="S24" s="12" t="n">
        <f aca="false">J24*(1+P_RECALCE)*(P_PESO_PLANTON+P_PESO_INS)*O24</f>
        <v>85.7886219843065</v>
      </c>
      <c r="T24" s="12" t="n">
        <f aca="false">J24*(1+P_RECALCE)*P_PESO_INS*P_FT_KG</f>
        <v>10.7750697989498</v>
      </c>
      <c r="U24" s="12" t="n">
        <f aca="false">K24*CU_ZANJA</f>
        <v>0</v>
      </c>
      <c r="V24" s="12" t="n">
        <f aca="false">L24*CU_TERRAZA</f>
        <v>89391.3253118229</v>
      </c>
      <c r="W24" s="12" t="n">
        <f aca="false">M24*CU_CERCO</f>
        <v>47672.2746779974</v>
      </c>
      <c r="X24" s="12" t="n">
        <f aca="false">N24*CU_CARCAVA</f>
        <v>0</v>
      </c>
      <c r="Y24" s="42" t="n">
        <f aca="false">SUM(P24:X24)</f>
        <v>140324.867702804</v>
      </c>
      <c r="Z24" s="12" t="n">
        <f aca="false">Y24*(P_GG+P_SUP+P_ET)</f>
        <v>21157.2728537968</v>
      </c>
      <c r="AA24" s="42" t="n">
        <f aca="false">Y24+Z24</f>
        <v>161482.140556601</v>
      </c>
      <c r="AB24" s="12" t="n">
        <f aca="false">IF(D24=0,0,AA24/D24)</f>
        <v>5661.47111301759</v>
      </c>
      <c r="AC24" s="12" t="n">
        <f aca="false">J24*(1+P_RECALCE)*CU_PLANTON_NC+J24*CU_PLANTA_NC+(E24+F24)*CU_HA_NC+S24+K24*CU_ZANJA_NC+L24*CU_TERRAZA_NC+M24*CU_CERCO_NC+N24*CU_CARCAVA_NC</f>
        <v>55457.0358858393</v>
      </c>
      <c r="AD24" s="12" t="n">
        <f aca="false">J24*(1+P_RECALCE)*CU_PLANTON_C+J24*CU_PLANTA_C+(E24+F24)*CU_HA_C+K24*CU_ZANJA_C+L24*CU_TERRAZA_C+M24*CU_CERCO_C+N24*CU_CARCAVA_C</f>
        <v>8568.95813762286</v>
      </c>
      <c r="AE24" s="12" t="n">
        <f aca="false">Y24-AC24-AD24</f>
        <v>76298.8736793417</v>
      </c>
      <c r="AF24" s="12" t="n">
        <f aca="false">AC24*P_FC_MONC+AD24*P_FC_MOC+(AE24+Z24)*P_FC_BIEN</f>
        <v>112651.386689875</v>
      </c>
      <c r="AG24" s="12" t="n">
        <f aca="false">(SUM(P24:T24)+W24)*(1+P_GG+P_SUP+P_ET)</f>
        <v>58612.9713576179</v>
      </c>
      <c r="AH24" s="12" t="n">
        <f aca="false">(U24+V24+X24)*(1+P_GG+P_SUP+P_ET)</f>
        <v>102869.169198983</v>
      </c>
    </row>
    <row r="25" customFormat="false" ht="15" hidden="false" customHeight="false" outlineLevel="0" collapsed="false">
      <c r="A25" s="7" t="str">
        <f aca="false">BLOQUES!A25</f>
        <v>60</v>
      </c>
      <c r="B25" s="7" t="str">
        <f aca="false">BLOQUES!AI25</f>
        <v>T4</v>
      </c>
      <c r="C25" s="7" t="str">
        <f aca="false">BLOQUES!AE25</f>
        <v>No</v>
      </c>
      <c r="D25" s="11" t="n">
        <f aca="false">BLOQUES!E25</f>
        <v>40.132</v>
      </c>
      <c r="E25" s="11" t="n">
        <f aca="false">BLOQUES!U25+BLOQUES!V25</f>
        <v>0</v>
      </c>
      <c r="F25" s="11" t="n">
        <f aca="false">BLOQUES!W25+BLOQUES!X25</f>
        <v>0.245</v>
      </c>
      <c r="G25" s="11" t="n">
        <f aca="false">BLOQUES!Y25+BLOQUES!Z25</f>
        <v>39.887</v>
      </c>
      <c r="H25" s="8" t="n">
        <f aca="false">E25*INDEX(PAQ_R1,MATCH(B25,PAQ_T,0))</f>
        <v>0</v>
      </c>
      <c r="I25" s="8" t="n">
        <f aca="false">F25*INDEX(PAQ_R2,MATCH(B25,PAQ_T,0))</f>
        <v>88.445</v>
      </c>
      <c r="J25" s="8" t="n">
        <f aca="false">H25+I25</f>
        <v>88.445</v>
      </c>
      <c r="K25" s="11" t="n">
        <f aca="false">(BLOQUES!U25+BLOQUES!W25)*INDEX(PAQ_MZ,MATCH(B25,PAQ_T,0))/1000</f>
        <v>0.881992944056448</v>
      </c>
      <c r="L25" s="11" t="n">
        <f aca="false">(BLOQUES!U25+BLOQUES!W25)*INDEX(PAQ_MT,MATCH(B25,PAQ_T,0))/1000</f>
        <v>0</v>
      </c>
      <c r="M25" s="8" t="n">
        <f aca="false">BLOQUES!F25*INDEX(PAQ_CERCO,MATCH(B25,PAQ_T,0))</f>
        <v>3160.2</v>
      </c>
      <c r="N25" s="11" t="n">
        <f aca="false">IF(ISNUMBER(BLOQUES!AD25),BLOQUES!AD25/1000,0)</f>
        <v>0</v>
      </c>
      <c r="O25" s="22" t="n">
        <f aca="false">P_JORNAL/(P_CARGA*(P_HORAS*P_EFIC/((BLOQUES!AB25/1000*P_SINUOS)/P_VIDA+(BLOQUES!AB25/1000*P_SINUOS)/P_VVUELTA+P_TCD/60)))</f>
        <v>0.0658826754385965</v>
      </c>
      <c r="P25" s="8" t="n">
        <f aca="false">J25*(1+P_RECALCE)*CU_PLANTON</f>
        <v>129.724492936828</v>
      </c>
      <c r="Q25" s="8" t="n">
        <f aca="false">J25*CU_PLANTA</f>
        <v>606.810711415272</v>
      </c>
      <c r="R25" s="8" t="n">
        <f aca="false">(E25+F25)*CU_HA</f>
        <v>274.462639401258</v>
      </c>
      <c r="S25" s="8" t="n">
        <f aca="false">J25*(1+P_RECALCE)*(P_PESO_PLANTON+P_PESO_INS)*O25</f>
        <v>10.7041865619792</v>
      </c>
      <c r="T25" s="8" t="n">
        <f aca="false">J25*(1+P_RECALCE)*P_PESO_INS*P_FT_KG</f>
        <v>3.54572057806014</v>
      </c>
      <c r="U25" s="8" t="n">
        <f aca="false">K25*CU_ZANJA</f>
        <v>8472.07124674274</v>
      </c>
      <c r="V25" s="8" t="n">
        <f aca="false">L25*CU_TERRAZA</f>
        <v>0</v>
      </c>
      <c r="W25" s="8" t="n">
        <f aca="false">M25*CU_CERCO</f>
        <v>69428.9702001969</v>
      </c>
      <c r="X25" s="8" t="n">
        <f aca="false">N25*CU_CARCAVA</f>
        <v>0</v>
      </c>
      <c r="Y25" s="40" t="n">
        <f aca="false">SUM(P25:X25)</f>
        <v>78926.2891978331</v>
      </c>
      <c r="Z25" s="8" t="n">
        <f aca="false">Y25*(P_GG+P_SUP+P_ET)</f>
        <v>11899.9936592341</v>
      </c>
      <c r="AA25" s="40" t="n">
        <f aca="false">Y25+Z25</f>
        <v>90826.2828570672</v>
      </c>
      <c r="AB25" s="8" t="n">
        <f aca="false">IF(D25=0,0,AA25/D25)</f>
        <v>2263.18854921427</v>
      </c>
      <c r="AC25" s="8" t="n">
        <f aca="false">J25*(1+P_RECALCE)*CU_PLANTON_NC+J25*CU_PLANTA_NC+(E25+F25)*CU_HA_NC+S25+K25*CU_ZANJA_NC+L25*CU_TERRAZA_NC+M25*CU_CERCO_NC+N25*CU_CARCAVA_NC</f>
        <v>7871.7221801212</v>
      </c>
      <c r="AD25" s="8" t="n">
        <f aca="false">J25*(1+P_RECALCE)*CU_PLANTON_C+J25*CU_PLANTA_C+(E25+F25)*CU_HA_C+K25*CU_ZANJA_C+L25*CU_TERRAZA_C+M25*CU_CERCO_C+N25*CU_CARCAVA_C</f>
        <v>640.690171389621</v>
      </c>
      <c r="AE25" s="8" t="n">
        <f aca="false">Y25-AC25-AD25</f>
        <v>70413.8768463222</v>
      </c>
      <c r="AF25" s="8" t="n">
        <f aca="false">AC25*P_FC_MONC+AD25*P_FC_MOC+(AE25+Z25)*P_FC_BIEN</f>
        <v>73569.7859286388</v>
      </c>
      <c r="AG25" s="8" t="n">
        <f aca="false">(SUM(P25:T25)+W25)*(1+P_GG+P_SUP+P_ET)</f>
        <v>81076.8476908817</v>
      </c>
      <c r="AH25" s="8" t="n">
        <f aca="false">(U25+V25+X25)*(1+P_GG+P_SUP+P_ET)</f>
        <v>9749.43516618551</v>
      </c>
    </row>
    <row r="26" customFormat="false" ht="15" hidden="false" customHeight="false" outlineLevel="0" collapsed="false">
      <c r="A26" s="9" t="str">
        <f aca="false">BLOQUES!A26</f>
        <v>66</v>
      </c>
      <c r="B26" s="9" t="str">
        <f aca="false">BLOQUES!AI26</f>
        <v>T6</v>
      </c>
      <c r="C26" s="9" t="str">
        <f aca="false">BLOQUES!AE26</f>
        <v>Sí</v>
      </c>
      <c r="D26" s="10" t="n">
        <f aca="false">BLOQUES!E26</f>
        <v>102.335</v>
      </c>
      <c r="E26" s="10" t="n">
        <f aca="false">BLOQUES!U26+BLOQUES!V26</f>
        <v>0.55</v>
      </c>
      <c r="F26" s="10" t="n">
        <f aca="false">BLOQUES!W26+BLOQUES!X26</f>
        <v>8.497</v>
      </c>
      <c r="G26" s="10" t="n">
        <f aca="false">BLOQUES!Y26+BLOQUES!Z26</f>
        <v>93.287</v>
      </c>
      <c r="H26" s="12" t="n">
        <f aca="false">E26*INDEX(PAQ_R1,MATCH(B26,PAQ_T,0))</f>
        <v>357.5</v>
      </c>
      <c r="I26" s="12" t="n">
        <f aca="false">F26*INDEX(PAQ_R2,MATCH(B26,PAQ_T,0))</f>
        <v>2761.525</v>
      </c>
      <c r="J26" s="12" t="n">
        <f aca="false">H26+I26</f>
        <v>3119.025</v>
      </c>
      <c r="K26" s="10" t="n">
        <f aca="false">(BLOQUES!U26+BLOQUES!W26)*INDEX(PAQ_MZ,MATCH(B26,PAQ_T,0))/1000</f>
        <v>0</v>
      </c>
      <c r="L26" s="10" t="n">
        <f aca="false">(BLOQUES!U26+BLOQUES!W26)*INDEX(PAQ_MT,MATCH(B26,PAQ_T,0))/1000</f>
        <v>10.7592430369722</v>
      </c>
      <c r="M26" s="12" t="n">
        <f aca="false">BLOQUES!F26*INDEX(PAQ_CERCO,MATCH(B26,PAQ_T,0))</f>
        <v>4967.8</v>
      </c>
      <c r="N26" s="10" t="n">
        <f aca="false">IF(ISNUMBER(BLOQUES!AD26),BLOQUES!AD26/1000,0)</f>
        <v>0</v>
      </c>
      <c r="O26" s="31" t="n">
        <f aca="false">P_JORNAL/(P_CARGA*(P_HORAS*P_EFIC/((BLOQUES!AB26/1000*P_SINUOS)/P_VIDA+(BLOQUES!AB26/1000*P_SINUOS)/P_VVUELTA+P_TCD/60)))</f>
        <v>0.114739583333333</v>
      </c>
      <c r="P26" s="12" t="n">
        <f aca="false">J26*(1+P_RECALCE)*CU_PLANTON</f>
        <v>4574.75195412164</v>
      </c>
      <c r="Q26" s="12" t="n">
        <f aca="false">J26*CU_PLANTA</f>
        <v>21399.2625832101</v>
      </c>
      <c r="R26" s="12" t="n">
        <f aca="false">(E26+F26)*CU_HA</f>
        <v>10134.9530557681</v>
      </c>
      <c r="S26" s="12" t="n">
        <f aca="false">J26*(1+P_RECALCE)*(P_PESO_PLANTON+P_PESO_INS)*O26</f>
        <v>657.417530300781</v>
      </c>
      <c r="T26" s="12" t="n">
        <f aca="false">J26*(1+P_RECALCE)*P_PESO_INS*P_FT_KG</f>
        <v>125.040320266652</v>
      </c>
      <c r="U26" s="12" t="n">
        <f aca="false">K26*CU_ZANJA</f>
        <v>0</v>
      </c>
      <c r="V26" s="12" t="n">
        <f aca="false">L26*CU_TERRAZA</f>
        <v>970317.945212838</v>
      </c>
      <c r="W26" s="12" t="n">
        <f aca="false">M26*CU_CERCO</f>
        <v>109141.5853935</v>
      </c>
      <c r="X26" s="12" t="n">
        <f aca="false">N26*CU_CARCAVA</f>
        <v>0</v>
      </c>
      <c r="Y26" s="42" t="n">
        <f aca="false">SUM(P26:X26)</f>
        <v>1116350.95605001</v>
      </c>
      <c r="Z26" s="12" t="n">
        <f aca="false">Y26*(P_GG+P_SUP+P_ET)</f>
        <v>168316.152114747</v>
      </c>
      <c r="AA26" s="42" t="n">
        <f aca="false">Y26+Z26</f>
        <v>1284667.10816475</v>
      </c>
      <c r="AB26" s="12" t="n">
        <f aca="false">IF(D26=0,0,AA26/D26)</f>
        <v>12553.5457875092</v>
      </c>
      <c r="AC26" s="12" t="n">
        <f aca="false">J26*(1+P_RECALCE)*CU_PLANTON_NC+J26*CU_PLANTA_NC+(E26+F26)*CU_HA_NC+S26+K26*CU_ZANJA_NC+L26*CU_TERRAZA_NC+M26*CU_CERCO_NC+N26*CU_CARCAVA_NC</f>
        <v>602724.050128538</v>
      </c>
      <c r="AD26" s="12" t="n">
        <f aca="false">J26*(1+P_RECALCE)*CU_PLANTON_C+J26*CU_PLANTA_C+(E26+F26)*CU_HA_C+K26*CU_ZANJA_C+L26*CU_TERRAZA_C+M26*CU_CERCO_C+N26*CU_CARCAVA_C</f>
        <v>93089.9173602214</v>
      </c>
      <c r="AE26" s="12" t="n">
        <f aca="false">Y26-AC26-AD26</f>
        <v>420536.988561246</v>
      </c>
      <c r="AF26" s="12" t="n">
        <f aca="false">AC26*P_FC_MONC+AD26*P_FC_MOC+(AE26+Z26)*P_FC_BIEN</f>
        <v>825713.2210872</v>
      </c>
      <c r="AG26" s="12" t="n">
        <f aca="false">(SUM(P26:T26)+W26)*(1+P_GG+P_SUP+P_ET)</f>
        <v>168050.92046732</v>
      </c>
      <c r="AH26" s="12" t="n">
        <f aca="false">(U26+V26+X26)*(1+P_GG+P_SUP+P_ET)</f>
        <v>1116616.18769743</v>
      </c>
    </row>
    <row r="27" customFormat="false" ht="15" hidden="false" customHeight="false" outlineLevel="0" collapsed="false">
      <c r="A27" s="7" t="str">
        <f aca="false">BLOQUES!A27</f>
        <v>64</v>
      </c>
      <c r="B27" s="7" t="str">
        <f aca="false">BLOQUES!AI27</f>
        <v>T6</v>
      </c>
      <c r="C27" s="7" t="str">
        <f aca="false">BLOQUES!AE27</f>
        <v>No</v>
      </c>
      <c r="D27" s="11" t="n">
        <f aca="false">BLOQUES!E27</f>
        <v>35.774</v>
      </c>
      <c r="E27" s="11" t="n">
        <f aca="false">BLOQUES!U27+BLOQUES!V27</f>
        <v>2.715</v>
      </c>
      <c r="F27" s="11" t="n">
        <f aca="false">BLOQUES!W27+BLOQUES!X27</f>
        <v>12.126</v>
      </c>
      <c r="G27" s="11" t="n">
        <f aca="false">BLOQUES!Y27+BLOQUES!Z27</f>
        <v>20.933</v>
      </c>
      <c r="H27" s="8" t="n">
        <f aca="false">E27*INDEX(PAQ_R1,MATCH(B27,PAQ_T,0))</f>
        <v>1764.75</v>
      </c>
      <c r="I27" s="8" t="n">
        <f aca="false">F27*INDEX(PAQ_R2,MATCH(B27,PAQ_T,0))</f>
        <v>3940.95</v>
      </c>
      <c r="J27" s="8" t="n">
        <f aca="false">H27+I27</f>
        <v>5705.7</v>
      </c>
      <c r="K27" s="11" t="n">
        <f aca="false">(BLOQUES!U27+BLOQUES!W27)*INDEX(PAQ_MZ,MATCH(B27,PAQ_T,0))/1000</f>
        <v>0</v>
      </c>
      <c r="L27" s="11" t="n">
        <f aca="false">(BLOQUES!U27+BLOQUES!W27)*INDEX(PAQ_MT,MATCH(B27,PAQ_T,0))/1000</f>
        <v>16.5864663458654</v>
      </c>
      <c r="M27" s="8" t="n">
        <f aca="false">BLOQUES!F27*INDEX(PAQ_CERCO,MATCH(B27,PAQ_T,0))</f>
        <v>2645.8</v>
      </c>
      <c r="N27" s="11" t="n">
        <f aca="false">IF(ISNUMBER(BLOQUES!AD27),BLOQUES!AD27/1000,0)</f>
        <v>0</v>
      </c>
      <c r="O27" s="22" t="n">
        <f aca="false">P_JORNAL/(P_CARGA*(P_HORAS*P_EFIC/((BLOQUES!AB27/1000*P_SINUOS)/P_VIDA+(BLOQUES!AB27/1000*P_SINUOS)/P_VVUELTA+P_TCD/60)))</f>
        <v>0.0975274122807018</v>
      </c>
      <c r="P27" s="8" t="n">
        <f aca="false">J27*(1+P_RECALCE)*CU_PLANTON</f>
        <v>8368.6928526164</v>
      </c>
      <c r="Q27" s="8" t="n">
        <f aca="false">J27*CU_PLANTA</f>
        <v>39146.134616113</v>
      </c>
      <c r="R27" s="8" t="n">
        <f aca="false">(E27+F27)*CU_HA</f>
        <v>16625.7144136901</v>
      </c>
      <c r="S27" s="8" t="n">
        <f aca="false">J27*(1+P_RECALCE)*(P_PESO_PLANTON+P_PESO_INS)*O27</f>
        <v>1022.22098103125</v>
      </c>
      <c r="T27" s="8" t="n">
        <f aca="false">J27*(1+P_RECALCE)*P_PESO_INS*P_FT_KG</f>
        <v>228.738966614707</v>
      </c>
      <c r="U27" s="8" t="n">
        <f aca="false">K27*CU_ZANJA</f>
        <v>0</v>
      </c>
      <c r="V27" s="8" t="n">
        <f aca="false">L27*CU_TERRAZA</f>
        <v>1495843.7027361</v>
      </c>
      <c r="W27" s="8" t="n">
        <f aca="false">M27*CU_CERCO</f>
        <v>58127.7037389029</v>
      </c>
      <c r="X27" s="8" t="n">
        <f aca="false">N27*CU_CARCAVA</f>
        <v>0</v>
      </c>
      <c r="Y27" s="40" t="n">
        <f aca="false">SUM(P27:X27)</f>
        <v>1619362.90830507</v>
      </c>
      <c r="Z27" s="8" t="n">
        <f aca="false">Y27*(P_GG+P_SUP+P_ET)</f>
        <v>244157.029763896</v>
      </c>
      <c r="AA27" s="40" t="n">
        <f aca="false">Y27+Z27</f>
        <v>1863519.93806896</v>
      </c>
      <c r="AB27" s="8" t="n">
        <f aca="false">IF(D27=0,0,AA27/D27)</f>
        <v>52091.4613425662</v>
      </c>
      <c r="AC27" s="8" t="n">
        <f aca="false">J27*(1+P_RECALCE)*CU_PLANTON_NC+J27*CU_PLANTA_NC+(E27+F27)*CU_HA_NC+S27+K27*CU_ZANJA_NC+L27*CU_TERRAZA_NC+M27*CU_CERCO_NC+N27*CU_CARCAVA_NC</f>
        <v>934203.226589869</v>
      </c>
      <c r="AD27" s="8" t="n">
        <f aca="false">J27*(1+P_RECALCE)*CU_PLANTON_C+J27*CU_PLANTA_C+(E27+F27)*CU_HA_C+K27*CU_ZANJA_C+L27*CU_TERRAZA_C+M27*CU_CERCO_C+N27*CU_CARCAVA_C</f>
        <v>143939.258816995</v>
      </c>
      <c r="AE27" s="8" t="n">
        <f aca="false">Y27-AC27-AD27</f>
        <v>541220.422898201</v>
      </c>
      <c r="AF27" s="8" t="n">
        <f aca="false">AC27*P_FC_MONC+AD27*P_FC_MOC+(AE27+Z27)*P_FC_BIEN</f>
        <v>1171651.48205868</v>
      </c>
      <c r="AG27" s="8" t="n">
        <f aca="false">(SUM(P27:T27)+W27)*(1+P_GG+P_SUP+P_ET)</f>
        <v>142142.62975378</v>
      </c>
      <c r="AH27" s="8" t="n">
        <f aca="false">(U27+V27+X27)*(1+P_GG+P_SUP+P_ET)</f>
        <v>1721377.30831518</v>
      </c>
    </row>
    <row r="28" customFormat="false" ht="15" hidden="false" customHeight="false" outlineLevel="0" collapsed="false">
      <c r="A28" s="9" t="str">
        <f aca="false">BLOQUES!A28</f>
        <v>M30B5</v>
      </c>
      <c r="B28" s="9" t="str">
        <f aca="false">BLOQUES!AI28</f>
        <v>T6</v>
      </c>
      <c r="C28" s="9" t="str">
        <f aca="false">BLOQUES!AE28</f>
        <v>No</v>
      </c>
      <c r="D28" s="10" t="n">
        <f aca="false">BLOQUES!E28</f>
        <v>90.903</v>
      </c>
      <c r="E28" s="10" t="n">
        <f aca="false">BLOQUES!U28+BLOQUES!V28</f>
        <v>0.65</v>
      </c>
      <c r="F28" s="10" t="n">
        <f aca="false">BLOQUES!W28+BLOQUES!X28</f>
        <v>29.378</v>
      </c>
      <c r="G28" s="10" t="n">
        <f aca="false">BLOQUES!Y28+BLOQUES!Z28</f>
        <v>60.877</v>
      </c>
      <c r="H28" s="12" t="n">
        <f aca="false">E28*INDEX(PAQ_R1,MATCH(B28,PAQ_T,0))</f>
        <v>422.5</v>
      </c>
      <c r="I28" s="12" t="n">
        <f aca="false">F28*INDEX(PAQ_R2,MATCH(B28,PAQ_T,0))</f>
        <v>9547.85</v>
      </c>
      <c r="J28" s="12" t="n">
        <f aca="false">H28+I28</f>
        <v>9970.35</v>
      </c>
      <c r="K28" s="10" t="n">
        <f aca="false">(BLOQUES!U28+BLOQUES!W28)*INDEX(PAQ_MZ,MATCH(B28,PAQ_T,0))/1000</f>
        <v>0</v>
      </c>
      <c r="L28" s="10" t="n">
        <f aca="false">(BLOQUES!U28+BLOQUES!W28)*INDEX(PAQ_MT,MATCH(B28,PAQ_T,0))/1000</f>
        <v>30.7033228132913</v>
      </c>
      <c r="M28" s="12" t="n">
        <f aca="false">BLOQUES!F28*INDEX(PAQ_CERCO,MATCH(B28,PAQ_T,0))</f>
        <v>5622.2</v>
      </c>
      <c r="N28" s="10" t="n">
        <f aca="false">IF(ISNUMBER(BLOQUES!AD28),BLOQUES!AD28/1000,0)</f>
        <v>0</v>
      </c>
      <c r="O28" s="31" t="n">
        <f aca="false">P_JORNAL/(P_CARGA*(P_HORAS*P_EFIC/((BLOQUES!AB28/1000*P_SINUOS)/P_VIDA+(BLOQUES!AB28/1000*P_SINUOS)/P_VVUELTA+P_TCD/60)))</f>
        <v>0.0773218201754386</v>
      </c>
      <c r="P28" s="12" t="n">
        <f aca="false">J28*(1+P_RECALCE)*CU_PLANTON</f>
        <v>14623.7616389021</v>
      </c>
      <c r="Q28" s="12" t="n">
        <f aca="false">J28*CU_PLANTA</f>
        <v>68405.3951784641</v>
      </c>
      <c r="R28" s="12" t="n">
        <f aca="false">(E28+F28)*CU_HA</f>
        <v>33639.037289555</v>
      </c>
      <c r="S28" s="12" t="n">
        <f aca="false">J28*(1+P_RECALCE)*(P_PESO_PLANTON+P_PESO_INS)*O28</f>
        <v>1416.19034517722</v>
      </c>
      <c r="T28" s="12" t="n">
        <f aca="false">J28*(1+P_RECALCE)*P_PESO_INS*P_FT_KG</f>
        <v>399.706881852698</v>
      </c>
      <c r="U28" s="12" t="n">
        <f aca="false">K28*CU_ZANJA</f>
        <v>0</v>
      </c>
      <c r="V28" s="12" t="n">
        <f aca="false">L28*CU_TERRAZA</f>
        <v>2768966.64579697</v>
      </c>
      <c r="W28" s="12" t="n">
        <f aca="false">M28*CU_CERCO</f>
        <v>123518.624219843</v>
      </c>
      <c r="X28" s="12" t="n">
        <f aca="false">N28*CU_CARCAVA</f>
        <v>0</v>
      </c>
      <c r="Y28" s="42" t="n">
        <f aca="false">SUM(P28:X28)</f>
        <v>3010969.36135077</v>
      </c>
      <c r="Z28" s="12" t="n">
        <f aca="false">Y28*(P_GG+P_SUP+P_ET)</f>
        <v>453974.419327015</v>
      </c>
      <c r="AA28" s="42" t="n">
        <f aca="false">Y28+Z28</f>
        <v>3464943.78067778</v>
      </c>
      <c r="AB28" s="12" t="n">
        <f aca="false">IF(D28=0,0,AA28/D28)</f>
        <v>38116.9354221289</v>
      </c>
      <c r="AC28" s="12" t="n">
        <f aca="false">J28*(1+P_RECALCE)*CU_PLANTON_NC+J28*CU_PLANTA_NC+(E28+F28)*CU_HA_NC+S28+K28*CU_ZANJA_NC+L28*CU_TERRAZA_NC+M28*CU_CERCO_NC+N28*CU_CARCAVA_NC</f>
        <v>1728005.7082758</v>
      </c>
      <c r="AD28" s="12" t="n">
        <f aca="false">J28*(1+P_RECALCE)*CU_PLANTON_C+J28*CU_PLANTA_C+(E28+F28)*CU_HA_C+K28*CU_ZANJA_C+L28*CU_TERRAZA_C+M28*CU_CERCO_C+N28*CU_CARCAVA_C</f>
        <v>266660.426185042</v>
      </c>
      <c r="AE28" s="12" t="n">
        <f aca="false">Y28-AC28-AD28</f>
        <v>1016303.22688992</v>
      </c>
      <c r="AF28" s="12" t="n">
        <f aca="false">AC28*P_FC_MONC+AD28*P_FC_MOC+(AE28+Z28)*P_FC_BIEN</f>
        <v>2182422.13943061</v>
      </c>
      <c r="AG28" s="12" t="n">
        <f aca="false">(SUM(P28:T28)+W28)*(1+P_GG+P_SUP+P_ET)</f>
        <v>278490.314424547</v>
      </c>
      <c r="AH28" s="12" t="n">
        <f aca="false">(U28+V28+X28)*(1+P_GG+P_SUP+P_ET)</f>
        <v>3186453.46625324</v>
      </c>
    </row>
    <row r="29" customFormat="false" ht="15" hidden="false" customHeight="false" outlineLevel="0" collapsed="false">
      <c r="A29" s="7" t="str">
        <f aca="false">BLOQUES!A29</f>
        <v>4</v>
      </c>
      <c r="B29" s="7" t="str">
        <f aca="false">BLOQUES!AI29</f>
        <v>T6</v>
      </c>
      <c r="C29" s="7" t="str">
        <f aca="false">BLOQUES!AE29</f>
        <v>No</v>
      </c>
      <c r="D29" s="11" t="n">
        <f aca="false">BLOQUES!E29</f>
        <v>230.098</v>
      </c>
      <c r="E29" s="11" t="n">
        <f aca="false">BLOQUES!U29+BLOQUES!V29</f>
        <v>2.951</v>
      </c>
      <c r="F29" s="11" t="n">
        <f aca="false">BLOQUES!W29+BLOQUES!X29</f>
        <v>18.278</v>
      </c>
      <c r="G29" s="11" t="n">
        <f aca="false">BLOQUES!Y29+BLOQUES!Z29</f>
        <v>208.87</v>
      </c>
      <c r="H29" s="8" t="n">
        <f aca="false">E29*INDEX(PAQ_R1,MATCH(B29,PAQ_T,0))</f>
        <v>1918.15</v>
      </c>
      <c r="I29" s="8" t="n">
        <f aca="false">F29*INDEX(PAQ_R2,MATCH(B29,PAQ_T,0))</f>
        <v>5940.35</v>
      </c>
      <c r="J29" s="8" t="n">
        <f aca="false">H29+I29</f>
        <v>7858.5</v>
      </c>
      <c r="K29" s="11" t="n">
        <f aca="false">(BLOQUES!U29+BLOQUES!W29)*INDEX(PAQ_MZ,MATCH(B29,PAQ_T,0))/1000</f>
        <v>0</v>
      </c>
      <c r="L29" s="11" t="n">
        <f aca="false">(BLOQUES!U29+BLOQUES!W29)*INDEX(PAQ_MT,MATCH(B29,PAQ_T,0))/1000</f>
        <v>24.8016992067968</v>
      </c>
      <c r="M29" s="8" t="n">
        <f aca="false">BLOQUES!F29*INDEX(PAQ_CERCO,MATCH(B29,PAQ_T,0))</f>
        <v>7181.6</v>
      </c>
      <c r="N29" s="11" t="n">
        <f aca="false">IF(ISNUMBER(BLOQUES!AD29),BLOQUES!AD29/1000,0)</f>
        <v>0</v>
      </c>
      <c r="O29" s="22" t="n">
        <f aca="false">P_JORNAL/(P_CARGA*(P_HORAS*P_EFIC/((BLOQUES!AB29/1000*P_SINUOS)/P_VIDA+(BLOQUES!AB29/1000*P_SINUOS)/P_VVUELTA+P_TCD/60)))</f>
        <v>0.129813596491228</v>
      </c>
      <c r="P29" s="8" t="n">
        <f aca="false">J29*(1+P_RECALCE)*CU_PLANTON</f>
        <v>11526.2584402065</v>
      </c>
      <c r="Q29" s="8" t="n">
        <f aca="false">J29*CU_PLANTA</f>
        <v>53916.2414569158</v>
      </c>
      <c r="R29" s="8" t="n">
        <f aca="false">(E29+F29)*CU_HA</f>
        <v>23781.9076402012</v>
      </c>
      <c r="S29" s="8" t="n">
        <f aca="false">J29*(1+P_RECALCE)*(P_PESO_PLANTON+P_PESO_INS)*O29</f>
        <v>1873.99745192434</v>
      </c>
      <c r="T29" s="8" t="n">
        <f aca="false">J29*(1+P_RECALCE)*P_PESO_INS*P_FT_KG</f>
        <v>315.043757845956</v>
      </c>
      <c r="U29" s="8" t="n">
        <f aca="false">K29*CU_ZANJA</f>
        <v>0</v>
      </c>
      <c r="V29" s="8" t="n">
        <f aca="false">L29*CU_TERRAZA</f>
        <v>2236731.12777816</v>
      </c>
      <c r="W29" s="8" t="n">
        <f aca="false">M29*CU_CERCO</f>
        <v>157778.334405966</v>
      </c>
      <c r="X29" s="8" t="n">
        <f aca="false">N29*CU_CARCAVA</f>
        <v>0</v>
      </c>
      <c r="Y29" s="40" t="n">
        <f aca="false">SUM(P29:X29)</f>
        <v>2485922.91093121</v>
      </c>
      <c r="Z29" s="8" t="n">
        <f aca="false">Y29*(P_GG+P_SUP+P_ET)</f>
        <v>374811.323046953</v>
      </c>
      <c r="AA29" s="40" t="n">
        <f aca="false">Y29+Z29</f>
        <v>2860734.23397817</v>
      </c>
      <c r="AB29" s="8" t="n">
        <f aca="false">IF(D29=0,0,AA29/D29)</f>
        <v>12432.6775286103</v>
      </c>
      <c r="AC29" s="8" t="n">
        <f aca="false">J29*(1+P_RECALCE)*CU_PLANTON_NC+J29*CU_PLANTA_NC+(E29+F29)*CU_HA_NC+S29+K29*CU_ZANJA_NC+L29*CU_TERRAZA_NC+M29*CU_CERCO_NC+N29*CU_CARCAVA_NC</f>
        <v>1393249.45336118</v>
      </c>
      <c r="AD29" s="8" t="n">
        <f aca="false">J29*(1+P_RECALCE)*CU_PLANTON_C+J29*CU_PLANTA_C+(E29+F29)*CU_HA_C+K29*CU_ZANJA_C+L29*CU_TERRAZA_C+M29*CU_CERCO_C+N29*CU_CARCAVA_C</f>
        <v>214861.915657742</v>
      </c>
      <c r="AE29" s="8" t="n">
        <f aca="false">Y29-AC29-AD29</f>
        <v>877811.541912289</v>
      </c>
      <c r="AF29" s="8" t="n">
        <f aca="false">AC29*P_FC_MONC+AD29*P_FC_MOC+(AE29+Z29)*P_FC_BIEN</f>
        <v>1816450.48459423</v>
      </c>
      <c r="AG29" s="8" t="n">
        <f aca="false">(SUM(P29:T29)+W29)*(1+P_GG+P_SUP+P_ET)</f>
        <v>286763.302979892</v>
      </c>
      <c r="AH29" s="8" t="n">
        <f aca="false">(U29+V29+X29)*(1+P_GG+P_SUP+P_ET)</f>
        <v>2573970.93099828</v>
      </c>
    </row>
    <row r="30" customFormat="false" ht="15" hidden="false" customHeight="false" outlineLevel="0" collapsed="false">
      <c r="A30" s="9" t="str">
        <f aca="false">BLOQUES!A30</f>
        <v>M12B1</v>
      </c>
      <c r="B30" s="9" t="str">
        <f aca="false">BLOQUES!AI30</f>
        <v>T1</v>
      </c>
      <c r="C30" s="9" t="str">
        <f aca="false">BLOQUES!AE30</f>
        <v>No</v>
      </c>
      <c r="D30" s="10" t="n">
        <f aca="false">BLOQUES!E30</f>
        <v>268.393</v>
      </c>
      <c r="E30" s="10" t="n">
        <f aca="false">BLOQUES!U30+BLOQUES!V30</f>
        <v>181.349</v>
      </c>
      <c r="F30" s="10" t="n">
        <f aca="false">BLOQUES!W30+BLOQUES!X30</f>
        <v>77.959</v>
      </c>
      <c r="G30" s="10" t="n">
        <f aca="false">BLOQUES!Y30+BLOQUES!Z30</f>
        <v>9.084</v>
      </c>
      <c r="H30" s="12" t="n">
        <f aca="false">E30*INDEX(PAQ_R1,MATCH(B30,PAQ_T,0))</f>
        <v>117876.85</v>
      </c>
      <c r="I30" s="12" t="n">
        <f aca="false">F30*INDEX(PAQ_R2,MATCH(B30,PAQ_T,0))</f>
        <v>25336.675</v>
      </c>
      <c r="J30" s="12" t="n">
        <f aca="false">H30+I30</f>
        <v>143213.525</v>
      </c>
      <c r="K30" s="10" t="n">
        <f aca="false">(BLOQUES!U30+BLOQUES!W30)*INDEX(PAQ_MZ,MATCH(B30,PAQ_T,0))/1000</f>
        <v>677.50017999856</v>
      </c>
      <c r="L30" s="10" t="n">
        <f aca="false">(BLOQUES!U30+BLOQUES!W30)*INDEX(PAQ_MT,MATCH(B30,PAQ_T,0))/1000</f>
        <v>0</v>
      </c>
      <c r="M30" s="12" t="n">
        <f aca="false">BLOQUES!F30*INDEX(PAQ_CERCO,MATCH(B30,PAQ_T,0))</f>
        <v>8005.8</v>
      </c>
      <c r="N30" s="10" t="n">
        <f aca="false">IF(ISNUMBER(BLOQUES!AD30),BLOQUES!AD30/1000,0)</f>
        <v>0</v>
      </c>
      <c r="O30" s="31" t="n">
        <f aca="false">P_JORNAL/(P_CARGA*(P_HORAS*P_EFIC/((BLOQUES!AB30/1000*P_SINUOS)/P_VIDA+(BLOQUES!AB30/1000*P_SINUOS)/P_VVUELTA+P_TCD/60)))</f>
        <v>0.116129385964912</v>
      </c>
      <c r="P30" s="12" t="n">
        <f aca="false">J30*(1+P_RECALCE)*CU_PLANTON</f>
        <v>210054.857960548</v>
      </c>
      <c r="Q30" s="12" t="n">
        <f aca="false">J30*CU_PLANTA</f>
        <v>982571.100565763</v>
      </c>
      <c r="R30" s="12" t="n">
        <f aca="false">(E30+F30)*CU_HA</f>
        <v>290491.257542291</v>
      </c>
      <c r="S30" s="12" t="n">
        <f aca="false">J30*(1+P_RECALCE)*(P_PESO_PLANTON+P_PESO_INS)*O30</f>
        <v>30551.6957488616</v>
      </c>
      <c r="T30" s="12" t="n">
        <f aca="false">J30*(1+P_RECALCE)*P_PESO_INS*P_FT_KG</f>
        <v>5741.36630277608</v>
      </c>
      <c r="U30" s="12" t="n">
        <f aca="false">K30*CU_ZANJA</f>
        <v>6507795.59327345</v>
      </c>
      <c r="V30" s="12" t="n">
        <f aca="false">L30*CU_TERRAZA</f>
        <v>0</v>
      </c>
      <c r="W30" s="12" t="n">
        <f aca="false">M30*CU_CERCO</f>
        <v>175885.845715061</v>
      </c>
      <c r="X30" s="12" t="n">
        <f aca="false">N30*CU_CARCAVA</f>
        <v>0</v>
      </c>
      <c r="Y30" s="42" t="n">
        <f aca="false">SUM(P30:X30)</f>
        <v>8203091.71710875</v>
      </c>
      <c r="Z30" s="12" t="n">
        <f aca="false">Y30*(P_GG+P_SUP+P_ET)</f>
        <v>1236808.93162262</v>
      </c>
      <c r="AA30" s="42" t="n">
        <f aca="false">Y30+Z30</f>
        <v>9439900.64873138</v>
      </c>
      <c r="AB30" s="12" t="n">
        <f aca="false">IF(D30=0,0,AA30/D30)</f>
        <v>35171.9331306382</v>
      </c>
      <c r="AC30" s="12" t="n">
        <f aca="false">J30*(1+P_RECALCE)*CU_PLANTON_NC+J30*CU_PLANTA_NC+(E30+F30)*CU_HA_NC+S30+K30*CU_ZANJA_NC+L30*CU_TERRAZA_NC+M30*CU_CERCO_NC+N30*CU_CARCAVA_NC</f>
        <v>6488154.37303354</v>
      </c>
      <c r="AD30" s="12" t="n">
        <f aca="false">J30*(1+P_RECALCE)*CU_PLANTON_C+J30*CU_PLANTA_C+(E30+F30)*CU_HA_C+K30*CU_ZANJA_C+L30*CU_TERRAZA_C+M30*CU_CERCO_C+N30*CU_CARCAVA_C</f>
        <v>527739.097586262</v>
      </c>
      <c r="AE30" s="12" t="n">
        <f aca="false">Y30-AC30-AD30</f>
        <v>1187198.24648895</v>
      </c>
      <c r="AF30" s="12" t="n">
        <f aca="false">AC30*P_FC_MONC+AD30*P_FC_MOC+(AE30+Z30)*P_FC_BIEN</f>
        <v>5196182.09504823</v>
      </c>
      <c r="AG30" s="12" t="n">
        <f aca="false">(SUM(P30:T30)+W30)*(1+P_GG+P_SUP+P_ET)</f>
        <v>1950901.87103567</v>
      </c>
      <c r="AH30" s="12" t="n">
        <f aca="false">(U30+V30+X30)*(1+P_GG+P_SUP+P_ET)</f>
        <v>7488998.77769571</v>
      </c>
    </row>
    <row r="31" customFormat="false" ht="15" hidden="false" customHeight="false" outlineLevel="0" collapsed="false">
      <c r="A31" s="7" t="str">
        <f aca="false">BLOQUES!A31</f>
        <v>M4B3</v>
      </c>
      <c r="B31" s="7" t="str">
        <f aca="false">BLOQUES!AI31</f>
        <v>T1</v>
      </c>
      <c r="C31" s="7" t="str">
        <f aca="false">BLOQUES!AE31</f>
        <v>No</v>
      </c>
      <c r="D31" s="11" t="n">
        <f aca="false">BLOQUES!E31</f>
        <v>234.069</v>
      </c>
      <c r="E31" s="11" t="n">
        <f aca="false">BLOQUES!U31+BLOQUES!V31</f>
        <v>190.326</v>
      </c>
      <c r="F31" s="11" t="n">
        <f aca="false">BLOQUES!W31+BLOQUES!X31</f>
        <v>40.448</v>
      </c>
      <c r="G31" s="11" t="n">
        <f aca="false">BLOQUES!Y31+BLOQUES!Z31</f>
        <v>3.295</v>
      </c>
      <c r="H31" s="8" t="n">
        <f aca="false">E31*INDEX(PAQ_R1,MATCH(B31,PAQ_T,0))</f>
        <v>123711.9</v>
      </c>
      <c r="I31" s="8" t="n">
        <f aca="false">F31*INDEX(PAQ_R2,MATCH(B31,PAQ_T,0))</f>
        <v>13145.6</v>
      </c>
      <c r="J31" s="8" t="n">
        <f aca="false">H31+I31</f>
        <v>136857.5</v>
      </c>
      <c r="K31" s="11" t="n">
        <f aca="false">(BLOQUES!U31+BLOQUES!W31)*INDEX(PAQ_MZ,MATCH(B31,PAQ_T,0))/1000</f>
        <v>605.954352365181</v>
      </c>
      <c r="L31" s="11" t="n">
        <f aca="false">(BLOQUES!U31+BLOQUES!W31)*INDEX(PAQ_MT,MATCH(B31,PAQ_T,0))/1000</f>
        <v>0</v>
      </c>
      <c r="M31" s="8" t="n">
        <f aca="false">BLOQUES!F31*INDEX(PAQ_CERCO,MATCH(B31,PAQ_T,0))</f>
        <v>7427.7</v>
      </c>
      <c r="N31" s="11" t="n">
        <f aca="false">IF(ISNUMBER(BLOQUES!AD31),BLOQUES!AD31/1000,0)</f>
        <v>0</v>
      </c>
      <c r="O31" s="22" t="n">
        <f aca="false">P_JORNAL/(P_CARGA*(P_HORAS*P_EFIC/((BLOQUES!AB31/1000*P_SINUOS)/P_VIDA+(BLOQUES!AB31/1000*P_SINUOS)/P_VVUELTA+P_TCD/60)))</f>
        <v>0.132379385964912</v>
      </c>
      <c r="P31" s="8" t="n">
        <f aca="false">J31*(1+P_RECALCE)*CU_PLANTON</f>
        <v>200732.317170014</v>
      </c>
      <c r="Q31" s="8" t="n">
        <f aca="false">J31*CU_PLANTA</f>
        <v>938963.16284149</v>
      </c>
      <c r="R31" s="8" t="n">
        <f aca="false">(E31+F31)*CU_HA</f>
        <v>258525.882225249</v>
      </c>
      <c r="S31" s="8" t="n">
        <f aca="false">J31*(1+P_RECALCE)*(P_PESO_PLANTON+P_PESO_INS)*O31</f>
        <v>33281.134403591</v>
      </c>
      <c r="T31" s="8" t="n">
        <f aca="false">J31*(1+P_RECALCE)*P_PESO_INS*P_FT_KG</f>
        <v>5486.5560971436</v>
      </c>
      <c r="U31" s="8" t="n">
        <f aca="false">K31*CU_ZANJA</f>
        <v>5820555.00569074</v>
      </c>
      <c r="V31" s="8" t="n">
        <f aca="false">L31*CU_TERRAZA</f>
        <v>0</v>
      </c>
      <c r="W31" s="8" t="n">
        <f aca="false">M31*CU_CERCO</f>
        <v>163185.10282767</v>
      </c>
      <c r="X31" s="8" t="n">
        <f aca="false">N31*CU_CARCAVA</f>
        <v>0</v>
      </c>
      <c r="Y31" s="40" t="n">
        <f aca="false">SUM(P31:X31)</f>
        <v>7420729.1612559</v>
      </c>
      <c r="Z31" s="8" t="n">
        <f aca="false">Y31*(P_GG+P_SUP+P_ET)</f>
        <v>1118849.38292859</v>
      </c>
      <c r="AA31" s="40" t="n">
        <f aca="false">Y31+Z31</f>
        <v>8539578.54418449</v>
      </c>
      <c r="AB31" s="8" t="n">
        <f aca="false">IF(D31=0,0,AA31/D31)</f>
        <v>36483.1675454011</v>
      </c>
      <c r="AC31" s="8" t="n">
        <f aca="false">J31*(1+P_RECALCE)*CU_PLANTON_NC+J31*CU_PLANTA_NC+(E31+F31)*CU_HA_NC+S31+K31*CU_ZANJA_NC+L31*CU_TERRAZA_NC+M31*CU_CERCO_NC+N31*CU_CARCAVA_NC</f>
        <v>5850300.85400517</v>
      </c>
      <c r="AD31" s="8" t="n">
        <f aca="false">J31*(1+P_RECALCE)*CU_PLANTON_C+J31*CU_PLANTA_C+(E31+F31)*CU_HA_C+K31*CU_ZANJA_C+L31*CU_TERRAZA_C+M31*CU_CERCO_C+N31*CU_CARCAVA_C</f>
        <v>474660.679108771</v>
      </c>
      <c r="AE31" s="8" t="n">
        <f aca="false">Y31-AC31-AD31</f>
        <v>1095767.62814195</v>
      </c>
      <c r="AF31" s="8" t="n">
        <f aca="false">AC31*P_FC_MONC+AD31*P_FC_MOC+(AE31+Z31)*P_FC_BIEN</f>
        <v>4708902.37235653</v>
      </c>
      <c r="AG31" s="8" t="n">
        <f aca="false">(SUM(P31:T31)+W31)*(1+P_GG+P_SUP+P_ET)</f>
        <v>1841438.02972457</v>
      </c>
      <c r="AH31" s="8" t="n">
        <f aca="false">(U31+V31+X31)*(1+P_GG+P_SUP+P_ET)</f>
        <v>6698140.51445991</v>
      </c>
    </row>
    <row r="32" customFormat="false" ht="15" hidden="false" customHeight="false" outlineLevel="0" collapsed="false">
      <c r="A32" s="9" t="str">
        <f aca="false">BLOQUES!A32</f>
        <v>M4B4</v>
      </c>
      <c r="B32" s="9" t="str">
        <f aca="false">BLOQUES!AI32</f>
        <v>T1</v>
      </c>
      <c r="C32" s="9" t="str">
        <f aca="false">BLOQUES!AE32</f>
        <v>No</v>
      </c>
      <c r="D32" s="10" t="n">
        <f aca="false">BLOQUES!E32</f>
        <v>289.914</v>
      </c>
      <c r="E32" s="10" t="n">
        <f aca="false">BLOQUES!U32+BLOQUES!V32</f>
        <v>243.019</v>
      </c>
      <c r="F32" s="10" t="n">
        <f aca="false">BLOQUES!W32+BLOQUES!X32</f>
        <v>44.677</v>
      </c>
      <c r="G32" s="10" t="n">
        <f aca="false">BLOQUES!Y32+BLOQUES!Z32</f>
        <v>2.219</v>
      </c>
      <c r="H32" s="12" t="n">
        <f aca="false">E32*INDEX(PAQ_R1,MATCH(B32,PAQ_T,0))</f>
        <v>157962.35</v>
      </c>
      <c r="I32" s="12" t="n">
        <f aca="false">F32*INDEX(PAQ_R2,MATCH(B32,PAQ_T,0))</f>
        <v>14520.025</v>
      </c>
      <c r="J32" s="12" t="n">
        <f aca="false">H32+I32</f>
        <v>172482.375</v>
      </c>
      <c r="K32" s="10" t="n">
        <f aca="false">(BLOQUES!U32+BLOQUES!W32)*INDEX(PAQ_MZ,MATCH(B32,PAQ_T,0))/1000</f>
        <v>680.074159406725</v>
      </c>
      <c r="L32" s="10" t="n">
        <f aca="false">(BLOQUES!U32+BLOQUES!W32)*INDEX(PAQ_MT,MATCH(B32,PAQ_T,0))/1000</f>
        <v>0</v>
      </c>
      <c r="M32" s="12" t="n">
        <f aca="false">BLOQUES!F32*INDEX(PAQ_CERCO,MATCH(B32,PAQ_T,0))</f>
        <v>9333.8</v>
      </c>
      <c r="N32" s="10" t="n">
        <f aca="false">IF(ISNUMBER(BLOQUES!AD32),BLOQUES!AD32/1000,0)</f>
        <v>0</v>
      </c>
      <c r="O32" s="31" t="n">
        <f aca="false">P_JORNAL/(P_CARGA*(P_HORAS*P_EFIC/((BLOQUES!AB32/1000*P_SINUOS)/P_VIDA+(BLOQUES!AB32/1000*P_SINUOS)/P_VVUELTA+P_TCD/60)))</f>
        <v>0.0999862938596491</v>
      </c>
      <c r="P32" s="12" t="n">
        <f aca="false">J32*(1+P_RECALCE)*CU_PLANTON</f>
        <v>252984.21207999</v>
      </c>
      <c r="Q32" s="12" t="n">
        <f aca="false">J32*CU_PLANTA</f>
        <v>1183381.22765951</v>
      </c>
      <c r="R32" s="12" t="n">
        <f aca="false">(E32+F32)*CU_HA</f>
        <v>322293.075531365</v>
      </c>
      <c r="S32" s="12" t="n">
        <f aca="false">J32*(1+P_RECALCE)*(P_PESO_PLANTON+P_PESO_INS)*O32</f>
        <v>31680.6694952457</v>
      </c>
      <c r="T32" s="12" t="n">
        <f aca="false">J32*(1+P_RECALCE)*P_PESO_INS*P_FT_KG</f>
        <v>6914.74143694031</v>
      </c>
      <c r="U32" s="12" t="n">
        <f aca="false">K32*CU_ZANJA</f>
        <v>6532520.20936089</v>
      </c>
      <c r="V32" s="12" t="n">
        <f aca="false">L32*CU_TERRAZA</f>
        <v>0</v>
      </c>
      <c r="W32" s="12" t="n">
        <f aca="false">M32*CU_CERCO</f>
        <v>205061.743577811</v>
      </c>
      <c r="X32" s="12" t="n">
        <f aca="false">N32*CU_CARCAVA</f>
        <v>0</v>
      </c>
      <c r="Y32" s="42" t="n">
        <f aca="false">SUM(P32:X32)</f>
        <v>8534835.87914175</v>
      </c>
      <c r="Z32" s="12" t="n">
        <f aca="false">Y32*(P_GG+P_SUP+P_ET)</f>
        <v>1286827.16337789</v>
      </c>
      <c r="AA32" s="42" t="n">
        <f aca="false">Y32+Z32</f>
        <v>9821663.04251964</v>
      </c>
      <c r="AB32" s="12" t="n">
        <f aca="false">IF(D32=0,0,AA32/D32)</f>
        <v>33877.8501297614</v>
      </c>
      <c r="AC32" s="12" t="n">
        <f aca="false">J32*(1+P_RECALCE)*CU_PLANTON_NC+J32*CU_PLANTA_NC+(E32+F32)*CU_HA_NC+S32+K32*CU_ZANJA_NC+L32*CU_TERRAZA_NC+M32*CU_CERCO_NC+N32*CU_CARCAVA_NC</f>
        <v>6673989.03244504</v>
      </c>
      <c r="AD32" s="12" t="n">
        <f aca="false">J32*(1+P_RECALCE)*CU_PLANTON_C+J32*CU_PLANTA_C+(E32+F32)*CU_HA_C+K32*CU_ZANJA_C+L32*CU_TERRAZA_C+M32*CU_CERCO_C+N32*CU_CARCAVA_C</f>
        <v>543369.279672335</v>
      </c>
      <c r="AE32" s="12" t="n">
        <f aca="false">Y32-AC32-AD32</f>
        <v>1317477.56702438</v>
      </c>
      <c r="AF32" s="12" t="n">
        <f aca="false">AC32*P_FC_MONC+AD32*P_FC_MOC+(AE32+Z32)*P_FC_BIEN</f>
        <v>5439375.03168863</v>
      </c>
      <c r="AG32" s="12" t="n">
        <f aca="false">(SUM(P32:T32)+W32)*(1+P_GG+P_SUP+P_ET)</f>
        <v>2304211.83158384</v>
      </c>
      <c r="AH32" s="12" t="n">
        <f aca="false">(U32+V32+X32)*(1+P_GG+P_SUP+P_ET)</f>
        <v>7517451.2109358</v>
      </c>
    </row>
    <row r="33" customFormat="false" ht="15" hidden="false" customHeight="false" outlineLevel="0" collapsed="false">
      <c r="A33" s="7" t="str">
        <f aca="false">BLOQUES!A33</f>
        <v>18</v>
      </c>
      <c r="B33" s="7" t="str">
        <f aca="false">BLOQUES!AI33</f>
        <v>T2</v>
      </c>
      <c r="C33" s="7" t="str">
        <f aca="false">BLOQUES!AE33</f>
        <v>No</v>
      </c>
      <c r="D33" s="11" t="n">
        <f aca="false">BLOQUES!E33</f>
        <v>103.617</v>
      </c>
      <c r="E33" s="11" t="n">
        <f aca="false">BLOQUES!U33+BLOQUES!V33</f>
        <v>0</v>
      </c>
      <c r="F33" s="11" t="n">
        <f aca="false">BLOQUES!W33+BLOQUES!X33</f>
        <v>3.111</v>
      </c>
      <c r="G33" s="11" t="n">
        <f aca="false">BLOQUES!Y33+BLOQUES!Z33</f>
        <v>100.506</v>
      </c>
      <c r="H33" s="8" t="n">
        <f aca="false">E33*INDEX(PAQ_R1,MATCH(B33,PAQ_T,0))</f>
        <v>0</v>
      </c>
      <c r="I33" s="8" t="n">
        <f aca="false">F33*INDEX(PAQ_R2,MATCH(B33,PAQ_T,0))</f>
        <v>1011.075</v>
      </c>
      <c r="J33" s="8" t="n">
        <f aca="false">H33+I33</f>
        <v>1011.075</v>
      </c>
      <c r="K33" s="11" t="n">
        <f aca="false">(BLOQUES!U33+BLOQUES!W33)*INDEX(PAQ_MZ,MATCH(B33,PAQ_T,0))/1000</f>
        <v>10.9007127942976</v>
      </c>
      <c r="L33" s="11" t="n">
        <f aca="false">(BLOQUES!U33+BLOQUES!W33)*INDEX(PAQ_MT,MATCH(B33,PAQ_T,0))/1000</f>
        <v>0</v>
      </c>
      <c r="M33" s="8" t="n">
        <f aca="false">BLOQUES!F33*INDEX(PAQ_CERCO,MATCH(B33,PAQ_T,0))</f>
        <v>5009.1</v>
      </c>
      <c r="N33" s="11" t="n">
        <f aca="false">IF(ISNUMBER(BLOQUES!AD33),BLOQUES!AD33/1000,0)</f>
        <v>0</v>
      </c>
      <c r="O33" s="22" t="n">
        <f aca="false">P_JORNAL/(P_CARGA*(P_HORAS*P_EFIC/((BLOQUES!AB33/1000*P_SINUOS)/P_VIDA+(BLOQUES!AB33/1000*P_SINUOS)/P_VVUELTA+P_TCD/60)))</f>
        <v>0.11078399122807</v>
      </c>
      <c r="P33" s="8" t="n">
        <f aca="false">J33*(1+P_RECALCE)*CU_PLANTON</f>
        <v>1482.96898293971</v>
      </c>
      <c r="Q33" s="8" t="n">
        <f aca="false">J33*CU_PLANTA</f>
        <v>6936.86630159078</v>
      </c>
      <c r="R33" s="8" t="n">
        <f aca="false">(E33+F33)*CU_HA</f>
        <v>3485.11539256046</v>
      </c>
      <c r="S33" s="8" t="n">
        <f aca="false">J33*(1+P_RECALCE)*(P_PESO_PLANTON+P_PESO_INS)*O33</f>
        <v>205.764067261102</v>
      </c>
      <c r="T33" s="8" t="n">
        <f aca="false">J33*(1+P_RECALCE)*P_PESO_INS*P_FT_KG</f>
        <v>40.5335455193867</v>
      </c>
      <c r="U33" s="8" t="n">
        <f aca="false">K33*CU_ZANJA</f>
        <v>104707.884633212</v>
      </c>
      <c r="V33" s="8" t="n">
        <f aca="false">L33*CU_TERRAZA</f>
        <v>0</v>
      </c>
      <c r="W33" s="8" t="n">
        <f aca="false">M33*CU_CERCO</f>
        <v>110048.938241189</v>
      </c>
      <c r="X33" s="8" t="n">
        <f aca="false">N33*CU_CARCAVA</f>
        <v>0</v>
      </c>
      <c r="Y33" s="40" t="n">
        <f aca="false">SUM(P33:X33)</f>
        <v>226908.071164273</v>
      </c>
      <c r="Z33" s="8" t="n">
        <f aca="false">Y33*(P_GG+P_SUP+P_ET)</f>
        <v>34211.7263528719</v>
      </c>
      <c r="AA33" s="40" t="n">
        <f aca="false">Y33+Z33</f>
        <v>261119.797517145</v>
      </c>
      <c r="AB33" s="8" t="n">
        <f aca="false">IF(D33=0,0,AA33/D33)</f>
        <v>2520.04784463114</v>
      </c>
      <c r="AC33" s="8" t="n">
        <f aca="false">J33*(1+P_RECALCE)*CU_PLANTON_NC+J33*CU_PLANTA_NC+(E33+F33)*CU_HA_NC+S33+K33*CU_ZANJA_NC+L33*CU_TERRAZA_NC+M33*CU_CERCO_NC+N33*CU_CARCAVA_NC</f>
        <v>97031.7683528889</v>
      </c>
      <c r="AD33" s="8" t="n">
        <f aca="false">J33*(1+P_RECALCE)*CU_PLANTON_C+J33*CU_PLANTA_C+(E33+F33)*CU_HA_C+K33*CU_ZANJA_C+L33*CU_TERRAZA_C+M33*CU_CERCO_C+N33*CU_CARCAVA_C</f>
        <v>7905.03084234155</v>
      </c>
      <c r="AE33" s="8" t="n">
        <f aca="false">Y33-AC33-AD33</f>
        <v>121971.271969043</v>
      </c>
      <c r="AF33" s="8" t="n">
        <f aca="false">AC33*P_FC_MONC+AD33*P_FC_MOC+(AE33+Z33)*P_FC_BIEN</f>
        <v>179356.790227828</v>
      </c>
      <c r="AG33" s="8" t="n">
        <f aca="false">(SUM(P33:T33)+W33)*(1+P_GG+P_SUP+P_ET)</f>
        <v>140624.737585677</v>
      </c>
      <c r="AH33" s="8" t="n">
        <f aca="false">(U33+V33+X33)*(1+P_GG+P_SUP+P_ET)</f>
        <v>120495.059931468</v>
      </c>
    </row>
    <row r="34" customFormat="false" ht="15" hidden="false" customHeight="false" outlineLevel="0" collapsed="false">
      <c r="A34" s="9" t="str">
        <f aca="false">BLOQUES!A34</f>
        <v>19</v>
      </c>
      <c r="B34" s="9" t="str">
        <f aca="false">BLOQUES!AI34</f>
        <v>T4</v>
      </c>
      <c r="C34" s="9" t="str">
        <f aca="false">BLOQUES!AE34</f>
        <v>No</v>
      </c>
      <c r="D34" s="10" t="n">
        <f aca="false">BLOQUES!E34</f>
        <v>82.088</v>
      </c>
      <c r="E34" s="10" t="n">
        <f aca="false">BLOQUES!U34+BLOQUES!V34</f>
        <v>2.888</v>
      </c>
      <c r="F34" s="10" t="n">
        <f aca="false">BLOQUES!W34+BLOQUES!X34</f>
        <v>32.109</v>
      </c>
      <c r="G34" s="10" t="n">
        <f aca="false">BLOQUES!Y34+BLOQUES!Z34</f>
        <v>47.091</v>
      </c>
      <c r="H34" s="12" t="n">
        <f aca="false">E34*INDEX(PAQ_R1,MATCH(B34,PAQ_T,0))</f>
        <v>2085.136</v>
      </c>
      <c r="I34" s="12" t="n">
        <f aca="false">F34*INDEX(PAQ_R2,MATCH(B34,PAQ_T,0))</f>
        <v>11591.349</v>
      </c>
      <c r="J34" s="12" t="n">
        <f aca="false">H34+I34</f>
        <v>13676.485</v>
      </c>
      <c r="K34" s="10" t="n">
        <f aca="false">(BLOQUES!U34+BLOQUES!W34)*INDEX(PAQ_MZ,MATCH(B34,PAQ_T,0))/1000</f>
        <v>124.52660378717</v>
      </c>
      <c r="L34" s="10" t="n">
        <f aca="false">(BLOQUES!U34+BLOQUES!W34)*INDEX(PAQ_MT,MATCH(B34,PAQ_T,0))/1000</f>
        <v>0</v>
      </c>
      <c r="M34" s="12" t="n">
        <f aca="false">BLOQUES!F34*INDEX(PAQ_CERCO,MATCH(B34,PAQ_T,0))</f>
        <v>4507.3</v>
      </c>
      <c r="N34" s="10" t="n">
        <f aca="false">IF(ISNUMBER(BLOQUES!AD34),BLOQUES!AD34/1000,0)</f>
        <v>0</v>
      </c>
      <c r="O34" s="31" t="n">
        <f aca="false">P_JORNAL/(P_CARGA*(P_HORAS*P_EFIC/((BLOQUES!AB34/1000*P_SINUOS)/P_VIDA+(BLOQUES!AB34/1000*P_SINUOS)/P_VVUELTA+P_TCD/60)))</f>
        <v>0.212560307017544</v>
      </c>
      <c r="P34" s="12" t="n">
        <f aca="false">J34*(1+P_RECALCE)*CU_PLANTON</f>
        <v>20059.6425098437</v>
      </c>
      <c r="Q34" s="12" t="n">
        <f aca="false">J34*CU_PLANTA</f>
        <v>93832.7502121126</v>
      </c>
      <c r="R34" s="12" t="n">
        <f aca="false">(E34+F34)*CU_HA</f>
        <v>39205.5877188809</v>
      </c>
      <c r="S34" s="12" t="n">
        <f aca="false">J34*(1+P_RECALCE)*(P_PESO_PLANTON+P_PESO_INS)*O34</f>
        <v>5340.30201140677</v>
      </c>
      <c r="T34" s="12" t="n">
        <f aca="false">J34*(1+P_RECALCE)*P_PESO_INS*P_FT_KG</f>
        <v>548.284179999218</v>
      </c>
      <c r="U34" s="12" t="n">
        <f aca="false">K34*CU_ZANJA</f>
        <v>1196152.72039216</v>
      </c>
      <c r="V34" s="12" t="n">
        <f aca="false">L34*CU_TERRAZA</f>
        <v>0</v>
      </c>
      <c r="W34" s="12" t="n">
        <f aca="false">M34*CU_CERCO</f>
        <v>99024.4912927497</v>
      </c>
      <c r="X34" s="12" t="n">
        <f aca="false">N34*CU_CARCAVA</f>
        <v>0</v>
      </c>
      <c r="Y34" s="42" t="n">
        <f aca="false">SUM(P34:X34)</f>
        <v>1454163.77831715</v>
      </c>
      <c r="Z34" s="12" t="n">
        <f aca="false">Y34*(P_GG+P_SUP+P_ET)</f>
        <v>219249.377074947</v>
      </c>
      <c r="AA34" s="42" t="n">
        <f aca="false">Y34+Z34</f>
        <v>1673413.1553921</v>
      </c>
      <c r="AB34" s="12" t="n">
        <f aca="false">IF(D34=0,0,AA34/D34)</f>
        <v>20385.600275218</v>
      </c>
      <c r="AC34" s="12" t="n">
        <f aca="false">J34*(1+P_RECALCE)*CU_PLANTON_NC+J34*CU_PLANTA_NC+(E34+F34)*CU_HA_NC+S34+K34*CU_ZANJA_NC+L34*CU_TERRAZA_NC+M34*CU_CERCO_NC+N34*CU_CARCAVA_NC</f>
        <v>1121273.84526304</v>
      </c>
      <c r="AD34" s="12" t="n">
        <f aca="false">J34*(1+P_RECALCE)*CU_PLANTON_C+J34*CU_PLANTA_C+(E34+F34)*CU_HA_C+K34*CU_ZANJA_C+L34*CU_TERRAZA_C+M34*CU_CERCO_C+N34*CU_CARCAVA_C</f>
        <v>90906.3151765311</v>
      </c>
      <c r="AE34" s="12" t="n">
        <f aca="false">Y34-AC34-AD34</f>
        <v>241983.617877582</v>
      </c>
      <c r="AF34" s="12" t="n">
        <f aca="false">AC34*P_FC_MONC+AD34*P_FC_MOC+(AE34+Z34)*P_FC_BIEN</f>
        <v>933626.42345123</v>
      </c>
      <c r="AG34" s="12" t="n">
        <f aca="false">(SUM(P34:T34)+W34)*(1+P_GG+P_SUP+P_ET)</f>
        <v>296912.29076547</v>
      </c>
      <c r="AH34" s="12" t="n">
        <f aca="false">(U34+V34+X34)*(1+P_GG+P_SUP+P_ET)</f>
        <v>1376500.86462663</v>
      </c>
    </row>
    <row r="35" customFormat="false" ht="15" hidden="false" customHeight="false" outlineLevel="0" collapsed="false">
      <c r="A35" s="7" t="str">
        <f aca="false">BLOQUES!A35</f>
        <v>31</v>
      </c>
      <c r="B35" s="7" t="str">
        <f aca="false">BLOQUES!AI35</f>
        <v>T3</v>
      </c>
      <c r="C35" s="7" t="str">
        <f aca="false">BLOQUES!AE35</f>
        <v>Sí</v>
      </c>
      <c r="D35" s="11" t="n">
        <f aca="false">BLOQUES!E35</f>
        <v>47.581</v>
      </c>
      <c r="E35" s="11" t="n">
        <f aca="false">BLOQUES!U35+BLOQUES!V35</f>
        <v>11.624</v>
      </c>
      <c r="F35" s="11" t="n">
        <f aca="false">BLOQUES!W35+BLOQUES!X35</f>
        <v>25.687</v>
      </c>
      <c r="G35" s="11" t="n">
        <f aca="false">BLOQUES!Y35+BLOQUES!Z35</f>
        <v>10.27</v>
      </c>
      <c r="H35" s="8" t="n">
        <f aca="false">E35*INDEX(PAQ_R1,MATCH(B35,PAQ_T,0))</f>
        <v>8392.528</v>
      </c>
      <c r="I35" s="8" t="n">
        <f aca="false">F35*INDEX(PAQ_R2,MATCH(B35,PAQ_T,0))</f>
        <v>9273.007</v>
      </c>
      <c r="J35" s="8" t="n">
        <f aca="false">H35+I35</f>
        <v>17665.535</v>
      </c>
      <c r="K35" s="11" t="n">
        <f aca="false">(BLOQUES!U35+BLOQUES!W35)*INDEX(PAQ_MZ,MATCH(B35,PAQ_T,0))/1000</f>
        <v>129.548563611491</v>
      </c>
      <c r="L35" s="11" t="n">
        <f aca="false">(BLOQUES!U35+BLOQUES!W35)*INDEX(PAQ_MT,MATCH(B35,PAQ_T,0))/1000</f>
        <v>0</v>
      </c>
      <c r="M35" s="8" t="n">
        <f aca="false">BLOQUES!F35*INDEX(PAQ_CERCO,MATCH(B35,PAQ_T,0))</f>
        <v>5706.2</v>
      </c>
      <c r="N35" s="11" t="n">
        <f aca="false">IF(ISNUMBER(BLOQUES!AD35),BLOQUES!AD35/1000,0)</f>
        <v>0</v>
      </c>
      <c r="O35" s="22" t="n">
        <f aca="false">P_JORNAL/(P_CARGA*(P_HORAS*P_EFIC/((BLOQUES!AB35/1000*P_SINUOS)/P_VIDA+(BLOQUES!AB35/1000*P_SINUOS)/P_VVUELTA+P_TCD/60)))</f>
        <v>0.126606359649123</v>
      </c>
      <c r="P35" s="8" t="n">
        <f aca="false">J35*(1+P_RECALCE)*CU_PLANTON</f>
        <v>25910.4818851578</v>
      </c>
      <c r="Q35" s="8" t="n">
        <f aca="false">J35*CU_PLANTA</f>
        <v>121201.151686148</v>
      </c>
      <c r="R35" s="8" t="n">
        <f aca="false">(E35+F35)*CU_HA</f>
        <v>41797.859341634</v>
      </c>
      <c r="S35" s="8" t="n">
        <f aca="false">J35*(1+P_RECALCE)*(P_PESO_PLANTON+P_PESO_INS)*O35</f>
        <v>4108.57739555886</v>
      </c>
      <c r="T35" s="8" t="n">
        <f aca="false">J35*(1+P_RECALCE)*P_PESO_INS*P_FT_KG</f>
        <v>708.203414234175</v>
      </c>
      <c r="U35" s="8" t="n">
        <f aca="false">K35*CU_ZANJA</f>
        <v>1244391.65667463</v>
      </c>
      <c r="V35" s="8" t="n">
        <f aca="false">L35*CU_TERRAZA</f>
        <v>0</v>
      </c>
      <c r="W35" s="8" t="n">
        <f aca="false">M35*CU_CERCO</f>
        <v>125364.087638872</v>
      </c>
      <c r="X35" s="8" t="n">
        <f aca="false">N35*CU_CARCAVA</f>
        <v>0</v>
      </c>
      <c r="Y35" s="40" t="n">
        <f aca="false">SUM(P35:X35)</f>
        <v>1563482.01803623</v>
      </c>
      <c r="Z35" s="8" t="n">
        <f aca="false">Y35*(P_GG+P_SUP+P_ET)</f>
        <v>235731.671792173</v>
      </c>
      <c r="AA35" s="40" t="n">
        <f aca="false">Y35+Z35</f>
        <v>1799213.68982841</v>
      </c>
      <c r="AB35" s="8" t="n">
        <f aca="false">IF(D35=0,0,AA35/D35)</f>
        <v>37813.7006332025</v>
      </c>
      <c r="AC35" s="8" t="n">
        <f aca="false">J35*(1+P_RECALCE)*CU_PLANTON_NC+J35*CU_PLANTA_NC+(E35+F35)*CU_HA_NC+S35+K35*CU_ZANJA_NC+L35*CU_TERRAZA_NC+M35*CU_CERCO_NC+N35*CU_CARCAVA_NC</f>
        <v>1182332.21143051</v>
      </c>
      <c r="AD35" s="8" t="n">
        <f aca="false">J35*(1+P_RECALCE)*CU_PLANTON_C+J35*CU_PLANTA_C+(E35+F35)*CU_HA_C+K35*CU_ZANJA_C+L35*CU_TERRAZA_C+M35*CU_CERCO_C+N35*CU_CARCAVA_C</f>
        <v>95826.6140079968</v>
      </c>
      <c r="AE35" s="8" t="n">
        <f aca="false">Y35-AC35-AD35</f>
        <v>285323.192597727</v>
      </c>
      <c r="AF35" s="8" t="n">
        <f aca="false">AC35*P_FC_MONC+AD35*P_FC_MOC+(AE35+Z35)*P_FC_BIEN</f>
        <v>1013854.47284162</v>
      </c>
      <c r="AG35" s="8" t="n">
        <f aca="false">(SUM(P35:T35)+W35)*(1+P_GG+P_SUP+P_ET)</f>
        <v>367200.73517391</v>
      </c>
      <c r="AH35" s="8" t="n">
        <f aca="false">(U35+V35+X35)*(1+P_GG+P_SUP+P_ET)</f>
        <v>1432012.9546545</v>
      </c>
    </row>
    <row r="36" customFormat="false" ht="15" hidden="false" customHeight="false" outlineLevel="0" collapsed="false">
      <c r="A36" s="9" t="str">
        <f aca="false">BLOQUES!A36</f>
        <v>41</v>
      </c>
      <c r="B36" s="9" t="str">
        <f aca="false">BLOQUES!AI36</f>
        <v>T6</v>
      </c>
      <c r="C36" s="9" t="str">
        <f aca="false">BLOQUES!AE36</f>
        <v>No</v>
      </c>
      <c r="D36" s="10" t="n">
        <f aca="false">BLOQUES!E36</f>
        <v>64.923</v>
      </c>
      <c r="E36" s="10" t="n">
        <f aca="false">BLOQUES!U36+BLOQUES!V36</f>
        <v>0.243</v>
      </c>
      <c r="F36" s="10" t="n">
        <f aca="false">BLOQUES!W36+BLOQUES!X36</f>
        <v>7.719</v>
      </c>
      <c r="G36" s="10" t="n">
        <f aca="false">BLOQUES!Y36+BLOQUES!Z36</f>
        <v>56.962</v>
      </c>
      <c r="H36" s="12" t="n">
        <f aca="false">E36*INDEX(PAQ_R1,MATCH(B36,PAQ_T,0))</f>
        <v>157.95</v>
      </c>
      <c r="I36" s="12" t="n">
        <f aca="false">F36*INDEX(PAQ_R2,MATCH(B36,PAQ_T,0))</f>
        <v>2508.675</v>
      </c>
      <c r="J36" s="12" t="n">
        <f aca="false">H36+I36</f>
        <v>2666.625</v>
      </c>
      <c r="K36" s="10" t="n">
        <f aca="false">(BLOQUES!U36+BLOQUES!W36)*INDEX(PAQ_MZ,MATCH(B36,PAQ_T,0))/1000</f>
        <v>0</v>
      </c>
      <c r="L36" s="10" t="n">
        <f aca="false">(BLOQUES!U36+BLOQUES!W36)*INDEX(PAQ_MT,MATCH(B36,PAQ_T,0))/1000</f>
        <v>9.37083748334993</v>
      </c>
      <c r="M36" s="12" t="n">
        <f aca="false">BLOQUES!F36*INDEX(PAQ_CERCO,MATCH(B36,PAQ_T,0))</f>
        <v>4653.2</v>
      </c>
      <c r="N36" s="10" t="n">
        <f aca="false">IF(ISNUMBER(BLOQUES!AD36),BLOQUES!AD36/1000,0)</f>
        <v>0</v>
      </c>
      <c r="O36" s="31" t="n">
        <f aca="false">P_JORNAL/(P_CARGA*(P_HORAS*P_EFIC/((BLOQUES!AB36/1000*P_SINUOS)/P_VIDA+(BLOQUES!AB36/1000*P_SINUOS)/P_VVUELTA+P_TCD/60)))</f>
        <v>0.175890899122807</v>
      </c>
      <c r="P36" s="12" t="n">
        <f aca="false">J36*(1+P_RECALCE)*CU_PLANTON</f>
        <v>3911.20556252663</v>
      </c>
      <c r="Q36" s="12" t="n">
        <f aca="false">J36*CU_PLANTA</f>
        <v>18295.3995514472</v>
      </c>
      <c r="R36" s="12" t="n">
        <f aca="false">(E36+F36)*CU_HA</f>
        <v>8919.47565270537</v>
      </c>
      <c r="S36" s="12" t="n">
        <f aca="false">J36*(1+P_RECALCE)*(P_PESO_PLANTON+P_PESO_INS)*O36</f>
        <v>861.617421520354</v>
      </c>
      <c r="T36" s="12" t="n">
        <f aca="false">J36*(1+P_RECALCE)*P_PESO_INS*P_FT_KG</f>
        <v>106.903806167331</v>
      </c>
      <c r="U36" s="12" t="n">
        <f aca="false">K36*CU_ZANJA</f>
        <v>0</v>
      </c>
      <c r="V36" s="12" t="n">
        <f aca="false">L36*CU_TERRAZA</f>
        <v>845105.1566102</v>
      </c>
      <c r="W36" s="12" t="n">
        <f aca="false">M36*CU_CERCO</f>
        <v>102229.885493183</v>
      </c>
      <c r="X36" s="12" t="n">
        <f aca="false">N36*CU_CARCAVA</f>
        <v>0</v>
      </c>
      <c r="Y36" s="42" t="n">
        <f aca="false">SUM(P36:X36)</f>
        <v>979429.64409775</v>
      </c>
      <c r="Z36" s="12" t="n">
        <f aca="false">Y36*(P_GG+P_SUP+P_ET)</f>
        <v>147672.045308183</v>
      </c>
      <c r="AA36" s="42" t="n">
        <f aca="false">Y36+Z36</f>
        <v>1127101.68940593</v>
      </c>
      <c r="AB36" s="12" t="n">
        <f aca="false">IF(D36=0,0,AA36/D36)</f>
        <v>17360.5916147734</v>
      </c>
      <c r="AC36" s="12" t="n">
        <f aca="false">J36*(1+P_RECALCE)*CU_PLANTON_NC+J36*CU_PLANTA_NC+(E36+F36)*CU_HA_NC+S36+K36*CU_ZANJA_NC+L36*CU_TERRAZA_NC+M36*CU_CERCO_NC+N36*CU_CARCAVA_NC</f>
        <v>525060.39325623</v>
      </c>
      <c r="AD36" s="12" t="n">
        <f aca="false">J36*(1+P_RECALCE)*CU_PLANTON_C+J36*CU_PLANTA_C+(E36+F36)*CU_HA_C+K36*CU_ZANJA_C+L36*CU_TERRAZA_C+M36*CU_CERCO_C+N36*CU_CARCAVA_C</f>
        <v>81074.231141062</v>
      </c>
      <c r="AE36" s="12" t="n">
        <f aca="false">Y36-AC36-AD36</f>
        <v>373295.019700457</v>
      </c>
      <c r="AF36" s="12" t="n">
        <f aca="false">AC36*P_FC_MONC+AD36*P_FC_MOC+(AE36+Z36)*P_FC_BIEN</f>
        <v>726071.520488242</v>
      </c>
      <c r="AG36" s="12" t="n">
        <f aca="false">(SUM(P36:T36)+W36)*(1+P_GG+P_SUP+P_ET)</f>
        <v>154577.061954532</v>
      </c>
      <c r="AH36" s="12" t="n">
        <f aca="false">(U36+V36+X36)*(1+P_GG+P_SUP+P_ET)</f>
        <v>972524.6274514</v>
      </c>
    </row>
    <row r="37" customFormat="false" ht="15" hidden="false" customHeight="false" outlineLevel="0" collapsed="false">
      <c r="A37" s="7" t="str">
        <f aca="false">BLOQUES!A37</f>
        <v>53</v>
      </c>
      <c r="B37" s="7" t="str">
        <f aca="false">BLOQUES!AI37</f>
        <v>T4</v>
      </c>
      <c r="C37" s="7" t="str">
        <f aca="false">BLOQUES!AE37</f>
        <v>No</v>
      </c>
      <c r="D37" s="11" t="n">
        <f aca="false">BLOQUES!E37</f>
        <v>13.065</v>
      </c>
      <c r="E37" s="11" t="n">
        <f aca="false">BLOQUES!U37+BLOQUES!V37</f>
        <v>0.099</v>
      </c>
      <c r="F37" s="11" t="n">
        <f aca="false">BLOQUES!W37+BLOQUES!X37</f>
        <v>1.527</v>
      </c>
      <c r="G37" s="11" t="n">
        <f aca="false">BLOQUES!Y37+BLOQUES!Z37</f>
        <v>11.439</v>
      </c>
      <c r="H37" s="8" t="n">
        <f aca="false">E37*INDEX(PAQ_R1,MATCH(B37,PAQ_T,0))</f>
        <v>71.478</v>
      </c>
      <c r="I37" s="8" t="n">
        <f aca="false">F37*INDEX(PAQ_R2,MATCH(B37,PAQ_T,0))</f>
        <v>551.247</v>
      </c>
      <c r="J37" s="8" t="n">
        <f aca="false">H37+I37</f>
        <v>622.725</v>
      </c>
      <c r="K37" s="11" t="n">
        <f aca="false">(BLOQUES!U37+BLOQUES!W37)*INDEX(PAQ_MZ,MATCH(B37,PAQ_T,0))/1000</f>
        <v>5.39635682914537</v>
      </c>
      <c r="L37" s="11" t="n">
        <f aca="false">(BLOQUES!U37+BLOQUES!W37)*INDEX(PAQ_MT,MATCH(B37,PAQ_T,0))/1000</f>
        <v>0</v>
      </c>
      <c r="M37" s="8" t="n">
        <f aca="false">BLOQUES!F37*INDEX(PAQ_CERCO,MATCH(B37,PAQ_T,0))</f>
        <v>2208.6</v>
      </c>
      <c r="N37" s="11" t="n">
        <f aca="false">IF(ISNUMBER(BLOQUES!AD37),BLOQUES!AD37/1000,0)</f>
        <v>0</v>
      </c>
      <c r="O37" s="22" t="n">
        <f aca="false">P_JORNAL/(P_CARGA*(P_HORAS*P_EFIC/((BLOQUES!AB37/1000*P_SINUOS)/P_VIDA+(BLOQUES!AB37/1000*P_SINUOS)/P_VVUELTA+P_TCD/60)))</f>
        <v>0.0849122807017544</v>
      </c>
      <c r="P37" s="8" t="n">
        <f aca="false">J37*(1+P_RECALCE)*CU_PLANTON</f>
        <v>913.366327820521</v>
      </c>
      <c r="Q37" s="8" t="n">
        <f aca="false">J37*CU_PLANTA</f>
        <v>4272.4427640463</v>
      </c>
      <c r="R37" s="8" t="n">
        <f aca="false">(E37+F37)*CU_HA</f>
        <v>1821.53572108753</v>
      </c>
      <c r="S37" s="8" t="n">
        <f aca="false">J37*(1+P_RECALCE)*(P_PESO_PLANTON+P_PESO_INS)*O37</f>
        <v>97.135049</v>
      </c>
      <c r="T37" s="8" t="n">
        <f aca="false">J37*(1+P_RECALCE)*P_PESO_INS*P_FT_KG</f>
        <v>24.9647673353214</v>
      </c>
      <c r="U37" s="8" t="n">
        <f aca="false">K37*CU_ZANJA</f>
        <v>51835.2440770096</v>
      </c>
      <c r="V37" s="8" t="n">
        <f aca="false">L37*CU_TERRAZA</f>
        <v>0</v>
      </c>
      <c r="W37" s="8" t="n">
        <f aca="false">M37*CU_CERCO</f>
        <v>48522.5060389073</v>
      </c>
      <c r="X37" s="8" t="n">
        <f aca="false">N37*CU_CARCAVA</f>
        <v>0</v>
      </c>
      <c r="Y37" s="40" t="n">
        <f aca="false">SUM(P37:X37)</f>
        <v>107487.194745207</v>
      </c>
      <c r="Z37" s="8" t="n">
        <f aca="false">Y37*(P_GG+P_SUP+P_ET)</f>
        <v>16206.2216394172</v>
      </c>
      <c r="AA37" s="40" t="n">
        <f aca="false">Y37+Z37</f>
        <v>123693.416384624</v>
      </c>
      <c r="AB37" s="8" t="n">
        <f aca="false">IF(D37=0,0,AA37/D37)</f>
        <v>9467.54048102747</v>
      </c>
      <c r="AC37" s="8" t="n">
        <f aca="false">J37*(1+P_RECALCE)*CU_PLANTON_NC+J37*CU_PLANTA_NC+(E37+F37)*CU_HA_NC+S37+K37*CU_ZANJA_NC+L37*CU_TERRAZA_NC+M37*CU_CERCO_NC+N37*CU_CARCAVA_NC</f>
        <v>48687.5868017097</v>
      </c>
      <c r="AD37" s="8" t="n">
        <f aca="false">J37*(1+P_RECALCE)*CU_PLANTON_C+J37*CU_PLANTA_C+(E37+F37)*CU_HA_C+K37*CU_ZANJA_C+L37*CU_TERRAZA_C+M37*CU_CERCO_C+N37*CU_CARCAVA_C</f>
        <v>3966.46264571526</v>
      </c>
      <c r="AE37" s="8" t="n">
        <f aca="false">Y37-AC37-AD37</f>
        <v>54833.1452977817</v>
      </c>
      <c r="AF37" s="8" t="n">
        <f aca="false">AC37*P_FC_MONC+AD37*P_FC_MOC+(AE37+Z37)*P_FC_BIEN</f>
        <v>83785.1452834424</v>
      </c>
      <c r="AG37" s="8" t="n">
        <f aca="false">(SUM(P37:T37)+W37)*(1+P_GG+P_SUP+P_ET)</f>
        <v>64042.7906127378</v>
      </c>
      <c r="AH37" s="8" t="n">
        <f aca="false">(U37+V37+X37)*(1+P_GG+P_SUP+P_ET)</f>
        <v>59650.6257718861</v>
      </c>
    </row>
    <row r="38" customFormat="false" ht="15" hidden="false" customHeight="false" outlineLevel="0" collapsed="false">
      <c r="A38" s="9" t="str">
        <f aca="false">BLOQUES!A38</f>
        <v>69</v>
      </c>
      <c r="B38" s="9" t="str">
        <f aca="false">BLOQUES!AI38</f>
        <v>T3</v>
      </c>
      <c r="C38" s="9" t="str">
        <f aca="false">BLOQUES!AE38</f>
        <v>No</v>
      </c>
      <c r="D38" s="10" t="n">
        <f aca="false">BLOQUES!E38</f>
        <v>19.425</v>
      </c>
      <c r="E38" s="10" t="n">
        <f aca="false">BLOQUES!U38+BLOQUES!V38</f>
        <v>2.476</v>
      </c>
      <c r="F38" s="10" t="n">
        <f aca="false">BLOQUES!W38+BLOQUES!X38</f>
        <v>13.311</v>
      </c>
      <c r="G38" s="10" t="n">
        <f aca="false">BLOQUES!Y38+BLOQUES!Z38</f>
        <v>3.638</v>
      </c>
      <c r="H38" s="12" t="n">
        <f aca="false">E38*INDEX(PAQ_R1,MATCH(B38,PAQ_T,0))</f>
        <v>1787.672</v>
      </c>
      <c r="I38" s="12" t="n">
        <f aca="false">F38*INDEX(PAQ_R2,MATCH(B38,PAQ_T,0))</f>
        <v>4805.271</v>
      </c>
      <c r="J38" s="12" t="n">
        <f aca="false">H38+I38</f>
        <v>6592.943</v>
      </c>
      <c r="K38" s="10" t="n">
        <f aca="false">(BLOQUES!U38+BLOQUES!W38)*INDEX(PAQ_MZ,MATCH(B38,PAQ_T,0))/1000</f>
        <v>55.3783569731442</v>
      </c>
      <c r="L38" s="10" t="n">
        <f aca="false">(BLOQUES!U38+BLOQUES!W38)*INDEX(PAQ_MT,MATCH(B38,PAQ_T,0))/1000</f>
        <v>0</v>
      </c>
      <c r="M38" s="12" t="n">
        <f aca="false">BLOQUES!F38*INDEX(PAQ_CERCO,MATCH(B38,PAQ_T,0))</f>
        <v>2260.3</v>
      </c>
      <c r="N38" s="10" t="n">
        <f aca="false">IF(ISNUMBER(BLOQUES!AD38),BLOQUES!AD38/1000,0)</f>
        <v>0</v>
      </c>
      <c r="O38" s="31" t="n">
        <f aca="false">P_JORNAL/(P_CARGA*(P_HORAS*P_EFIC/((BLOQUES!AB38/1000*P_SINUOS)/P_VIDA+(BLOQUES!AB38/1000*P_SINUOS)/P_VVUELTA+P_TCD/60)))</f>
        <v>0.136548793859649</v>
      </c>
      <c r="P38" s="12" t="n">
        <f aca="false">J38*(1+P_RECALCE)*CU_PLANTON</f>
        <v>9670.03434491952</v>
      </c>
      <c r="Q38" s="12" t="n">
        <f aca="false">J38*CU_PLANTA</f>
        <v>45233.4041737841</v>
      </c>
      <c r="R38" s="12" t="n">
        <f aca="false">(E38+F38)*CU_HA</f>
        <v>17685.4762784802</v>
      </c>
      <c r="S38" s="12" t="n">
        <f aca="false">J38*(1+P_RECALCE)*(P_PESO_PLANTON+P_PESO_INS)*O38</f>
        <v>1653.77470768526</v>
      </c>
      <c r="T38" s="12" t="n">
        <f aca="false">J38*(1+P_RECALCE)*P_PESO_INS*P_FT_KG</f>
        <v>264.308142518826</v>
      </c>
      <c r="U38" s="12" t="n">
        <f aca="false">K38*CU_ZANJA</f>
        <v>531942.334647525</v>
      </c>
      <c r="V38" s="12" t="n">
        <f aca="false">L38*CU_TERRAZA</f>
        <v>0</v>
      </c>
      <c r="W38" s="12" t="n">
        <f aca="false">M38*CU_CERCO</f>
        <v>49658.3448337147</v>
      </c>
      <c r="X38" s="12" t="n">
        <f aca="false">N38*CU_CARCAVA</f>
        <v>0</v>
      </c>
      <c r="Y38" s="42" t="n">
        <f aca="false">SUM(P38:X38)</f>
        <v>656107.677128627</v>
      </c>
      <c r="Z38" s="12" t="n">
        <f aca="false">Y38*(P_GG+P_SUP+P_ET)</f>
        <v>98923.6574651966</v>
      </c>
      <c r="AA38" s="42" t="n">
        <f aca="false">Y38+Z38</f>
        <v>755031.334593824</v>
      </c>
      <c r="AB38" s="12" t="n">
        <f aca="false">IF(D38=0,0,AA38/D38)</f>
        <v>38869.051973942</v>
      </c>
      <c r="AC38" s="12" t="n">
        <f aca="false">J38*(1+P_RECALCE)*CU_PLANTON_NC+J38*CU_PLANTA_NC+(E38+F38)*CU_HA_NC+S38+K38*CU_ZANJA_NC+L38*CU_TERRAZA_NC+M38*CU_CERCO_NC+N38*CU_CARCAVA_NC</f>
        <v>500561.427763381</v>
      </c>
      <c r="AD38" s="12" t="n">
        <f aca="false">J38*(1+P_RECALCE)*CU_PLANTON_C+J38*CU_PLANTA_C+(E38+F38)*CU_HA_C+K38*CU_ZANJA_C+L38*CU_TERRAZA_C+M38*CU_CERCO_C+N38*CU_CARCAVA_C</f>
        <v>40627.5740057137</v>
      </c>
      <c r="AE38" s="12" t="n">
        <f aca="false">Y38-AC38-AD38</f>
        <v>114918.675359533</v>
      </c>
      <c r="AF38" s="12" t="n">
        <f aca="false">AC38*P_FC_MONC+AD38*P_FC_MOC+(AE38+Z38)*P_FC_BIEN</f>
        <v>423553.899078294</v>
      </c>
      <c r="AG38" s="12" t="n">
        <f aca="false">(SUM(P38:T38)+W38)*(1+P_GG+P_SUP+P_ET)</f>
        <v>142886.186996143</v>
      </c>
      <c r="AH38" s="12" t="n">
        <f aca="false">(U38+V38+X38)*(1+P_GG+P_SUP+P_ET)</f>
        <v>612145.147597681</v>
      </c>
    </row>
    <row r="39" customFormat="false" ht="15" hidden="false" customHeight="false" outlineLevel="0" collapsed="false">
      <c r="A39" s="7" t="str">
        <f aca="false">BLOQUES!A39</f>
        <v>70</v>
      </c>
      <c r="B39" s="7" t="str">
        <f aca="false">BLOQUES!AI39</f>
        <v>T4</v>
      </c>
      <c r="C39" s="7" t="str">
        <f aca="false">BLOQUES!AE39</f>
        <v>No</v>
      </c>
      <c r="D39" s="11" t="n">
        <f aca="false">BLOQUES!E39</f>
        <v>22.388</v>
      </c>
      <c r="E39" s="11" t="n">
        <f aca="false">BLOQUES!U39+BLOQUES!V39</f>
        <v>0</v>
      </c>
      <c r="F39" s="11" t="n">
        <f aca="false">BLOQUES!W39+BLOQUES!X39</f>
        <v>1.09</v>
      </c>
      <c r="G39" s="11" t="n">
        <f aca="false">BLOQUES!Y39+BLOQUES!Z39</f>
        <v>21.298</v>
      </c>
      <c r="H39" s="8" t="n">
        <f aca="false">E39*INDEX(PAQ_R1,MATCH(B39,PAQ_T,0))</f>
        <v>0</v>
      </c>
      <c r="I39" s="8" t="n">
        <f aca="false">F39*INDEX(PAQ_R2,MATCH(B39,PAQ_T,0))</f>
        <v>393.49</v>
      </c>
      <c r="J39" s="8" t="n">
        <f aca="false">H39+I39</f>
        <v>393.49</v>
      </c>
      <c r="K39" s="11" t="n">
        <f aca="false">(BLOQUES!U39+BLOQUES!W39)*INDEX(PAQ_MZ,MATCH(B39,PAQ_T,0))/1000</f>
        <v>1.90078479372165</v>
      </c>
      <c r="L39" s="11" t="n">
        <f aca="false">(BLOQUES!U39+BLOQUES!W39)*INDEX(PAQ_MT,MATCH(B39,PAQ_T,0))/1000</f>
        <v>0</v>
      </c>
      <c r="M39" s="8" t="n">
        <f aca="false">BLOQUES!F39*INDEX(PAQ_CERCO,MATCH(B39,PAQ_T,0))</f>
        <v>2128.2</v>
      </c>
      <c r="N39" s="11" t="n">
        <f aca="false">IF(ISNUMBER(BLOQUES!AD39),BLOQUES!AD39/1000,0)</f>
        <v>0</v>
      </c>
      <c r="O39" s="22" t="n">
        <f aca="false">P_JORNAL/(P_CARGA*(P_HORAS*P_EFIC/((BLOQUES!AB39/1000*P_SINUOS)/P_VIDA+(BLOQUES!AB39/1000*P_SINUOS)/P_VVUELTA+P_TCD/60)))</f>
        <v>0.0654550438596491</v>
      </c>
      <c r="P39" s="8" t="n">
        <f aca="false">J39*(1+P_RECALCE)*CU_PLANTON</f>
        <v>577.141621637315</v>
      </c>
      <c r="Q39" s="8" t="n">
        <f aca="false">J39*CU_PLANTA</f>
        <v>2699.68847119448</v>
      </c>
      <c r="R39" s="8" t="n">
        <f aca="false">(E39+F39)*CU_HA</f>
        <v>1221.07868141784</v>
      </c>
      <c r="S39" s="8" t="n">
        <f aca="false">J39*(1+P_RECALCE)*(P_PESO_PLANTON+P_PESO_INS)*O39</f>
        <v>47.3135978677083</v>
      </c>
      <c r="T39" s="8" t="n">
        <f aca="false">J39*(1+P_RECALCE)*P_PESO_INS*P_FT_KG</f>
        <v>15.7748384901451</v>
      </c>
      <c r="U39" s="8" t="n">
        <f aca="false">K39*CU_ZANJA</f>
        <v>18258.1780337966</v>
      </c>
      <c r="V39" s="8" t="n">
        <f aca="false">L39*CU_TERRAZA</f>
        <v>0</v>
      </c>
      <c r="W39" s="8" t="n">
        <f aca="false">M39*CU_CERCO</f>
        <v>46756.133909265</v>
      </c>
      <c r="X39" s="8" t="n">
        <f aca="false">N39*CU_CARCAVA</f>
        <v>0</v>
      </c>
      <c r="Y39" s="40" t="n">
        <f aca="false">SUM(P39:X39)</f>
        <v>69575.309153669</v>
      </c>
      <c r="Z39" s="8" t="n">
        <f aca="false">Y39*(P_GG+P_SUP+P_ET)</f>
        <v>10490.1135753719</v>
      </c>
      <c r="AA39" s="40" t="n">
        <f aca="false">Y39+Z39</f>
        <v>80065.4227290409</v>
      </c>
      <c r="AB39" s="8" t="n">
        <f aca="false">IF(D39=0,0,AA39/D39)</f>
        <v>3576.26508527072</v>
      </c>
      <c r="AC39" s="8" t="n">
        <f aca="false">J39*(1+P_RECALCE)*CU_PLANTON_NC+J39*CU_PLANTA_NC+(E39+F39)*CU_HA_NC+S39+K39*CU_ZANJA_NC+L39*CU_TERRAZA_NC+M39*CU_CERCO_NC+N39*CU_CARCAVA_NC</f>
        <v>18411.5907981254</v>
      </c>
      <c r="AD39" s="8" t="n">
        <f aca="false">J39*(1+P_RECALCE)*CU_PLANTON_C+J39*CU_PLANTA_C+(E39+F39)*CU_HA_C+K39*CU_ZANJA_C+L39*CU_TERRAZA_C+M39*CU_CERCO_C+N39*CU_CARCAVA_C</f>
        <v>1535.33024105044</v>
      </c>
      <c r="AE39" s="8" t="n">
        <f aca="false">Y39-AC39-AD39</f>
        <v>49628.3881144932</v>
      </c>
      <c r="AF39" s="8" t="n">
        <f aca="false">AC39*P_FC_MONC+AD39*P_FC_MOC+(AE39+Z39)*P_FC_BIEN</f>
        <v>59893.6618136637</v>
      </c>
      <c r="AG39" s="8" t="n">
        <f aca="false">(SUM(P39:T39)+W39)*(1+P_GG+P_SUP+P_ET)</f>
        <v>59054.395105588</v>
      </c>
      <c r="AH39" s="8" t="n">
        <f aca="false">(U39+V39+X39)*(1+P_GG+P_SUP+P_ET)</f>
        <v>21011.0276234529</v>
      </c>
    </row>
    <row r="40" customFormat="false" ht="15" hidden="false" customHeight="false" outlineLevel="0" collapsed="false">
      <c r="A40" s="9" t="str">
        <f aca="false">BLOQUES!A40</f>
        <v>72</v>
      </c>
      <c r="B40" s="9" t="str">
        <f aca="false">BLOQUES!AI40</f>
        <v>T6</v>
      </c>
      <c r="C40" s="9" t="str">
        <f aca="false">BLOQUES!AE40</f>
        <v>No</v>
      </c>
      <c r="D40" s="10" t="n">
        <f aca="false">BLOQUES!E40</f>
        <v>12.398</v>
      </c>
      <c r="E40" s="10" t="n">
        <f aca="false">BLOQUES!U40+BLOQUES!V40</f>
        <v>0.081</v>
      </c>
      <c r="F40" s="10" t="n">
        <f aca="false">BLOQUES!W40+BLOQUES!X40</f>
        <v>5.046</v>
      </c>
      <c r="G40" s="10" t="n">
        <f aca="false">BLOQUES!Y40+BLOQUES!Z40</f>
        <v>7.271</v>
      </c>
      <c r="H40" s="12" t="n">
        <f aca="false">E40*INDEX(PAQ_R1,MATCH(B40,PAQ_T,0))</f>
        <v>52.65</v>
      </c>
      <c r="I40" s="12" t="n">
        <f aca="false">F40*INDEX(PAQ_R2,MATCH(B40,PAQ_T,0))</f>
        <v>1639.95</v>
      </c>
      <c r="J40" s="12" t="n">
        <f aca="false">H40+I40</f>
        <v>1692.6</v>
      </c>
      <c r="K40" s="10" t="n">
        <f aca="false">(BLOQUES!U40+BLOQUES!W40)*INDEX(PAQ_MZ,MATCH(B40,PAQ_T,0))/1000</f>
        <v>0</v>
      </c>
      <c r="L40" s="10" t="n">
        <f aca="false">(BLOQUES!U40+BLOQUES!W40)*INDEX(PAQ_MT,MATCH(B40,PAQ_T,0))/1000</f>
        <v>6.15242460969844</v>
      </c>
      <c r="M40" s="12" t="n">
        <f aca="false">BLOQUES!F40*INDEX(PAQ_CERCO,MATCH(B40,PAQ_T,0))</f>
        <v>1390</v>
      </c>
      <c r="N40" s="10" t="n">
        <f aca="false">IF(ISNUMBER(BLOQUES!AD40),BLOQUES!AD40/1000,0)</f>
        <v>0</v>
      </c>
      <c r="O40" s="31" t="n">
        <f aca="false">P_JORNAL/(P_CARGA*(P_HORAS*P_EFIC/((BLOQUES!AB40/1000*P_SINUOS)/P_VIDA+(BLOQUES!AB40/1000*P_SINUOS)/P_VVUELTA+P_TCD/60)))</f>
        <v>0.144566885964912</v>
      </c>
      <c r="P40" s="12" t="n">
        <f aca="false">J40*(1+P_RECALCE)*CU_PLANTON</f>
        <v>2482.57874096754</v>
      </c>
      <c r="Q40" s="12" t="n">
        <f aca="false">J40*CU_PLANTA</f>
        <v>11612.7289291819</v>
      </c>
      <c r="R40" s="12" t="n">
        <f aca="false">(E40+F40)*CU_HA</f>
        <v>5743.55082534796</v>
      </c>
      <c r="S40" s="12" t="n">
        <f aca="false">J40*(1+P_RECALCE)*(P_PESO_PLANTON+P_PESO_INS)*O40</f>
        <v>449.502714845395</v>
      </c>
      <c r="T40" s="12" t="n">
        <f aca="false">J40*(1+P_RECALCE)*P_PESO_INS*P_FT_KG</f>
        <v>67.8555786129752</v>
      </c>
      <c r="U40" s="12" t="n">
        <f aca="false">K40*CU_ZANJA</f>
        <v>0</v>
      </c>
      <c r="V40" s="12" t="n">
        <f aca="false">L40*CU_TERRAZA</f>
        <v>554853.904205468</v>
      </c>
      <c r="W40" s="12" t="n">
        <f aca="false">M40*CU_CERCO</f>
        <v>30538.0256244142</v>
      </c>
      <c r="X40" s="12" t="n">
        <f aca="false">N40*CU_CARCAVA</f>
        <v>0</v>
      </c>
      <c r="Y40" s="42" t="n">
        <f aca="false">SUM(P40:X40)</f>
        <v>605748.146618838</v>
      </c>
      <c r="Z40" s="12" t="n">
        <f aca="false">Y40*(P_GG+P_SUP+P_ET)</f>
        <v>91330.7742847093</v>
      </c>
      <c r="AA40" s="42" t="n">
        <f aca="false">Y40+Z40</f>
        <v>697078.920903547</v>
      </c>
      <c r="AB40" s="12" t="n">
        <f aca="false">IF(D40=0,0,AA40/D40)</f>
        <v>56225.1105745723</v>
      </c>
      <c r="AC40" s="12" t="n">
        <f aca="false">J40*(1+P_RECALCE)*CU_PLANTON_NC+J40*CU_PLANTA_NC+(E40+F40)*CU_HA_NC+S40+K40*CU_ZANJA_NC+L40*CU_TERRAZA_NC+M40*CU_CERCO_NC+N40*CU_CARCAVA_NC</f>
        <v>344252.311229853</v>
      </c>
      <c r="AD40" s="12" t="n">
        <f aca="false">J40*(1+P_RECALCE)*CU_PLANTON_C+J40*CU_PLANTA_C+(E40+F40)*CU_HA_C+K40*CU_ZANJA_C+L40*CU_TERRAZA_C+M40*CU_CERCO_C+N40*CU_CARCAVA_C</f>
        <v>53194.585162117</v>
      </c>
      <c r="AE40" s="12" t="n">
        <f aca="false">Y40-AC40-AD40</f>
        <v>208301.250226868</v>
      </c>
      <c r="AF40" s="12" t="n">
        <f aca="false">AC40*P_FC_MONC+AD40*P_FC_MOC+(AE40+Z40)*P_FC_BIEN</f>
        <v>440535.137495947</v>
      </c>
      <c r="AG40" s="12" t="n">
        <f aca="false">(SUM(P40:T40)+W40)*(1+P_GG+P_SUP+P_ET)</f>
        <v>58567.7459844368</v>
      </c>
      <c r="AH40" s="12" t="n">
        <f aca="false">(U40+V40+X40)*(1+P_GG+P_SUP+P_ET)</f>
        <v>638511.17491911</v>
      </c>
    </row>
    <row r="41" customFormat="false" ht="15" hidden="false" customHeight="false" outlineLevel="0" collapsed="false">
      <c r="A41" s="7" t="str">
        <f aca="false">BLOQUES!A41</f>
        <v>73</v>
      </c>
      <c r="B41" s="7" t="str">
        <f aca="false">BLOQUES!AI41</f>
        <v>T6</v>
      </c>
      <c r="C41" s="7" t="str">
        <f aca="false">BLOQUES!AE41</f>
        <v>Sí</v>
      </c>
      <c r="D41" s="11" t="n">
        <f aca="false">BLOQUES!E41</f>
        <v>54.29</v>
      </c>
      <c r="E41" s="11" t="n">
        <f aca="false">BLOQUES!U41+BLOQUES!V41</f>
        <v>0.962</v>
      </c>
      <c r="F41" s="11" t="n">
        <f aca="false">BLOQUES!W41+BLOQUES!X41</f>
        <v>9.318</v>
      </c>
      <c r="G41" s="11" t="n">
        <f aca="false">BLOQUES!Y41+BLOQUES!Z41</f>
        <v>44.01</v>
      </c>
      <c r="H41" s="8" t="n">
        <f aca="false">E41*INDEX(PAQ_R1,MATCH(B41,PAQ_T,0))</f>
        <v>625.3</v>
      </c>
      <c r="I41" s="8" t="n">
        <f aca="false">F41*INDEX(PAQ_R2,MATCH(B41,PAQ_T,0))</f>
        <v>3028.35</v>
      </c>
      <c r="J41" s="8" t="n">
        <f aca="false">H41+I41</f>
        <v>3653.65</v>
      </c>
      <c r="K41" s="11" t="n">
        <f aca="false">(BLOQUES!U41+BLOQUES!W41)*INDEX(PAQ_MZ,MATCH(B41,PAQ_T,0))/1000</f>
        <v>0</v>
      </c>
      <c r="L41" s="11" t="n">
        <f aca="false">(BLOQUES!U41+BLOQUES!W41)*INDEX(PAQ_MT,MATCH(B41,PAQ_T,0))/1000</f>
        <v>12.3360493441974</v>
      </c>
      <c r="M41" s="8" t="n">
        <f aca="false">BLOQUES!F41*INDEX(PAQ_CERCO,MATCH(B41,PAQ_T,0))</f>
        <v>3135.9</v>
      </c>
      <c r="N41" s="11" t="n">
        <f aca="false">IF(ISNUMBER(BLOQUES!AD41),BLOQUES!AD41/1000,0)</f>
        <v>0</v>
      </c>
      <c r="O41" s="22" t="n">
        <f aca="false">P_JORNAL/(P_CARGA*(P_HORAS*P_EFIC/((BLOQUES!AB41/1000*P_SINUOS)/P_VIDA+(BLOQUES!AB41/1000*P_SINUOS)/P_VVUELTA+P_TCD/60)))</f>
        <v>0.107790570175439</v>
      </c>
      <c r="P41" s="8" t="n">
        <f aca="false">J41*(1+P_RECALCE)*CU_PLANTON</f>
        <v>5358.89980913155</v>
      </c>
      <c r="Q41" s="8" t="n">
        <f aca="false">J41*CU_PLANTA</f>
        <v>25067.2616401426</v>
      </c>
      <c r="R41" s="8" t="n">
        <f aca="false">(E41+F41)*CU_HA</f>
        <v>11516.2282981426</v>
      </c>
      <c r="S41" s="8" t="n">
        <f aca="false">J41*(1+P_RECALCE)*(P_PESO_PLANTON+P_PESO_INS)*O41</f>
        <v>723.463903717379</v>
      </c>
      <c r="T41" s="8" t="n">
        <f aca="false">J41*(1+P_RECALCE)*P_PESO_INS*P_FT_KG</f>
        <v>146.473197919944</v>
      </c>
      <c r="U41" s="8" t="n">
        <f aca="false">K41*CU_ZANJA</f>
        <v>0</v>
      </c>
      <c r="V41" s="8" t="n">
        <f aca="false">L41*CU_TERRAZA</f>
        <v>1112521.57894133</v>
      </c>
      <c r="W41" s="8" t="n">
        <f aca="false">M41*CU_CERCO</f>
        <v>68895.1039968349</v>
      </c>
      <c r="X41" s="8" t="n">
        <f aca="false">N41*CU_CARCAVA</f>
        <v>0</v>
      </c>
      <c r="Y41" s="40" t="n">
        <f aca="false">SUM(P41:X41)</f>
        <v>1224229.00978722</v>
      </c>
      <c r="Z41" s="8" t="n">
        <f aca="false">Y41*(P_GG+P_SUP+P_ET)</f>
        <v>184581.304936332</v>
      </c>
      <c r="AA41" s="40" t="n">
        <f aca="false">Y41+Z41</f>
        <v>1408810.31472355</v>
      </c>
      <c r="AB41" s="8" t="n">
        <f aca="false">IF(D41=0,0,AA41/D41)</f>
        <v>25949.7202933054</v>
      </c>
      <c r="AC41" s="8" t="n">
        <f aca="false">J41*(1+P_RECALCE)*CU_PLANTON_NC+J41*CU_PLANTA_NC+(E41+F41)*CU_HA_NC+S41+K41*CU_ZANJA_NC+L41*CU_TERRAZA_NC+M41*CU_CERCO_NC+N41*CU_CARCAVA_NC</f>
        <v>691325.349796085</v>
      </c>
      <c r="AD41" s="8" t="n">
        <f aca="false">J41*(1+P_RECALCE)*CU_PLANTON_C+J41*CU_PLANTA_C+(E41+F41)*CU_HA_C+K41*CU_ZANJA_C+L41*CU_TERRAZA_C+M41*CU_CERCO_C+N41*CU_CARCAVA_C</f>
        <v>106742.939129286</v>
      </c>
      <c r="AE41" s="8" t="n">
        <f aca="false">Y41-AC41-AD41</f>
        <v>426160.720861849</v>
      </c>
      <c r="AF41" s="8" t="n">
        <f aca="false">AC41*P_FC_MONC+AD41*P_FC_MOC+(AE41+Z41)*P_FC_BIEN</f>
        <v>892261.556791052</v>
      </c>
      <c r="AG41" s="8" t="n">
        <f aca="false">(SUM(P41:T41)+W41)*(1+P_GG+P_SUP+P_ET)</f>
        <v>128549.952295534</v>
      </c>
      <c r="AH41" s="8" t="n">
        <f aca="false">(U41+V41+X41)*(1+P_GG+P_SUP+P_ET)</f>
        <v>1280260.36242802</v>
      </c>
    </row>
    <row r="42" customFormat="false" ht="15" hidden="false" customHeight="false" outlineLevel="0" collapsed="false">
      <c r="A42" s="9" t="str">
        <f aca="false">BLOQUES!A42</f>
        <v>8</v>
      </c>
      <c r="B42" s="9" t="str">
        <f aca="false">BLOQUES!AI42</f>
        <v>T4</v>
      </c>
      <c r="C42" s="9" t="str">
        <f aca="false">BLOQUES!AE42</f>
        <v>No</v>
      </c>
      <c r="D42" s="10" t="n">
        <f aca="false">BLOQUES!E42</f>
        <v>126.952</v>
      </c>
      <c r="E42" s="10" t="n">
        <f aca="false">BLOQUES!U42+BLOQUES!V42</f>
        <v>4.413</v>
      </c>
      <c r="F42" s="10" t="n">
        <f aca="false">BLOQUES!W42+BLOQUES!X42</f>
        <v>31.645</v>
      </c>
      <c r="G42" s="10" t="n">
        <f aca="false">BLOQUES!Y42+BLOQUES!Z42</f>
        <v>90.893</v>
      </c>
      <c r="H42" s="12" t="n">
        <f aca="false">E42*INDEX(PAQ_R1,MATCH(B42,PAQ_T,0))</f>
        <v>3186.186</v>
      </c>
      <c r="I42" s="12" t="n">
        <f aca="false">F42*INDEX(PAQ_R2,MATCH(B42,PAQ_T,0))</f>
        <v>11423.845</v>
      </c>
      <c r="J42" s="12" t="n">
        <f aca="false">H42+I42</f>
        <v>14610.031</v>
      </c>
      <c r="K42" s="10" t="n">
        <f aca="false">(BLOQUES!U42+BLOQUES!W42)*INDEX(PAQ_MZ,MATCH(B42,PAQ_T,0))/1000</f>
        <v>121.693426452588</v>
      </c>
      <c r="L42" s="10" t="n">
        <f aca="false">(BLOQUES!U42+BLOQUES!W42)*INDEX(PAQ_MT,MATCH(B42,PAQ_T,0))/1000</f>
        <v>0</v>
      </c>
      <c r="M42" s="12" t="n">
        <f aca="false">BLOQUES!F42*INDEX(PAQ_CERCO,MATCH(B42,PAQ_T,0))</f>
        <v>5559</v>
      </c>
      <c r="N42" s="10" t="n">
        <f aca="false">IF(ISNUMBER(BLOQUES!AD42),BLOQUES!AD42/1000,0)</f>
        <v>0</v>
      </c>
      <c r="O42" s="31" t="n">
        <f aca="false">P_JORNAL/(P_CARGA*(P_HORAS*P_EFIC/((BLOQUES!AB42/1000*P_SINUOS)/P_VIDA+(BLOQUES!AB42/1000*P_SINUOS)/P_VVUELTA+P_TCD/60)))</f>
        <v>0.0755043859649123</v>
      </c>
      <c r="P42" s="12" t="n">
        <f aca="false">J42*(1+P_RECALCE)*CU_PLANTON</f>
        <v>21428.8977699851</v>
      </c>
      <c r="Q42" s="12" t="n">
        <f aca="false">J42*CU_PLANTA</f>
        <v>100237.699190561</v>
      </c>
      <c r="R42" s="12" t="n">
        <f aca="false">(E42+F42)*CU_HA</f>
        <v>40394.178985839</v>
      </c>
      <c r="S42" s="12" t="n">
        <f aca="false">J42*(1+P_RECALCE)*(P_PESO_PLANTON+P_PESO_INS)*O42</f>
        <v>2026.43404777458</v>
      </c>
      <c r="T42" s="12" t="n">
        <f aca="false">J42*(1+P_RECALCE)*P_PESO_INS*P_FT_KG</f>
        <v>585.709622508865</v>
      </c>
      <c r="U42" s="12" t="n">
        <f aca="false">K42*CU_ZANJA</f>
        <v>1168938.35275466</v>
      </c>
      <c r="V42" s="12" t="n">
        <f aca="false">L42*CU_TERRAZA</f>
        <v>0</v>
      </c>
      <c r="W42" s="12" t="n">
        <f aca="false">M42*CU_CERCO</f>
        <v>122130.132695049</v>
      </c>
      <c r="X42" s="12" t="n">
        <f aca="false">N42*CU_CARCAVA</f>
        <v>0</v>
      </c>
      <c r="Y42" s="42" t="n">
        <f aca="false">SUM(P42:X42)</f>
        <v>1455741.40506638</v>
      </c>
      <c r="Z42" s="12" t="n">
        <f aca="false">Y42*(P_GG+P_SUP+P_ET)</f>
        <v>219487.24139751</v>
      </c>
      <c r="AA42" s="42" t="n">
        <f aca="false">Y42+Z42</f>
        <v>1675228.64646389</v>
      </c>
      <c r="AB42" s="12" t="n">
        <f aca="false">IF(D42=0,0,AA42/D42)</f>
        <v>13195.7641192253</v>
      </c>
      <c r="AC42" s="12" t="n">
        <f aca="false">J42*(1+P_RECALCE)*CU_PLANTON_NC+J42*CU_PLANTA_NC+(E42+F42)*CU_HA_NC+S42+K42*CU_ZANJA_NC+L42*CU_TERRAZA_NC+M42*CU_CERCO_NC+N42*CU_CARCAVA_NC</f>
        <v>1100041.5909974</v>
      </c>
      <c r="AD42" s="12" t="n">
        <f aca="false">J42*(1+P_RECALCE)*CU_PLANTON_C+J42*CU_PLANTA_C+(E42+F42)*CU_HA_C+K42*CU_ZANJA_C+L42*CU_TERRAZA_C+M42*CU_CERCO_C+N42*CU_CARCAVA_C</f>
        <v>89534.5240922771</v>
      </c>
      <c r="AE42" s="12" t="n">
        <f aca="false">Y42-AC42-AD42</f>
        <v>266165.289976698</v>
      </c>
      <c r="AF42" s="12" t="n">
        <f aca="false">AC42*P_FC_MONC+AD42*P_FC_MOC+(AE42+Z42)*P_FC_BIEN</f>
        <v>944319.684094357</v>
      </c>
      <c r="AG42" s="12" t="n">
        <f aca="false">(SUM(P42:T42)+W42)*(1+P_GG+P_SUP+P_ET)</f>
        <v>330045.355207825</v>
      </c>
      <c r="AH42" s="12" t="n">
        <f aca="false">(U42+V42+X42)*(1+P_GG+P_SUP+P_ET)</f>
        <v>1345183.29125606</v>
      </c>
    </row>
    <row r="43" customFormat="false" ht="15" hidden="false" customHeight="false" outlineLevel="0" collapsed="false">
      <c r="A43" s="7" t="str">
        <f aca="false">BLOQUES!A43</f>
        <v>10</v>
      </c>
      <c r="B43" s="7" t="str">
        <f aca="false">BLOQUES!AI43</f>
        <v>T2</v>
      </c>
      <c r="C43" s="7" t="str">
        <f aca="false">BLOQUES!AE43</f>
        <v>No</v>
      </c>
      <c r="D43" s="11" t="n">
        <f aca="false">BLOQUES!E43</f>
        <v>150.214</v>
      </c>
      <c r="E43" s="11" t="n">
        <f aca="false">BLOQUES!U43+BLOQUES!V43</f>
        <v>7.078</v>
      </c>
      <c r="F43" s="11" t="n">
        <f aca="false">BLOQUES!W43+BLOQUES!X43</f>
        <v>35.751</v>
      </c>
      <c r="G43" s="11" t="n">
        <f aca="false">BLOQUES!Y43+BLOQUES!Z43</f>
        <v>107.385</v>
      </c>
      <c r="H43" s="8" t="n">
        <f aca="false">E43*INDEX(PAQ_R1,MATCH(B43,PAQ_T,0))</f>
        <v>4600.7</v>
      </c>
      <c r="I43" s="8" t="n">
        <f aca="false">F43*INDEX(PAQ_R2,MATCH(B43,PAQ_T,0))</f>
        <v>11619.075</v>
      </c>
      <c r="J43" s="8" t="n">
        <f aca="false">H43+I43</f>
        <v>16219.775</v>
      </c>
      <c r="K43" s="11" t="n">
        <f aca="false">(BLOQUES!U43+BLOQUES!W43)*INDEX(PAQ_MZ,MATCH(B43,PAQ_T,0))/1000</f>
        <v>140.758873929009</v>
      </c>
      <c r="L43" s="11" t="n">
        <f aca="false">(BLOQUES!U43+BLOQUES!W43)*INDEX(PAQ_MT,MATCH(B43,PAQ_T,0))/1000</f>
        <v>0</v>
      </c>
      <c r="M43" s="8" t="n">
        <f aca="false">BLOQUES!F43*INDEX(PAQ_CERCO,MATCH(B43,PAQ_T,0))</f>
        <v>6238.1</v>
      </c>
      <c r="N43" s="11" t="n">
        <f aca="false">IF(ISNUMBER(BLOQUES!AD43),BLOQUES!AD43/1000,0)</f>
        <v>0</v>
      </c>
      <c r="O43" s="22" t="n">
        <f aca="false">P_JORNAL/(P_CARGA*(P_HORAS*P_EFIC/((BLOQUES!AB43/1000*P_SINUOS)/P_VIDA+(BLOQUES!AB43/1000*P_SINUOS)/P_VVUELTA+P_TCD/60)))</f>
        <v>0.0814912280701754</v>
      </c>
      <c r="P43" s="8" t="n">
        <f aca="false">J43*(1+P_RECALCE)*CU_PLANTON</f>
        <v>23789.9495440605</v>
      </c>
      <c r="Q43" s="8" t="n">
        <f aca="false">J43*CU_PLANTA</f>
        <v>111281.962878011</v>
      </c>
      <c r="R43" s="8" t="n">
        <f aca="false">(E43+F43)*CU_HA</f>
        <v>47979.430134353</v>
      </c>
      <c r="S43" s="8" t="n">
        <f aca="false">J43*(1+P_RECALCE)*(P_PESO_PLANTON+P_PESO_INS)*O43</f>
        <v>2428.09035798903</v>
      </c>
      <c r="T43" s="8" t="n">
        <f aca="false">J43*(1+P_RECALCE)*P_PESO_INS*P_FT_KG</f>
        <v>650.243541059476</v>
      </c>
      <c r="U43" s="8" t="n">
        <f aca="false">K43*CU_ZANJA</f>
        <v>1352073.41121486</v>
      </c>
      <c r="V43" s="8" t="n">
        <f aca="false">L43*CU_TERRAZA</f>
        <v>0</v>
      </c>
      <c r="W43" s="8" t="n">
        <f aca="false">M43*CU_CERCO</f>
        <v>137049.825645797</v>
      </c>
      <c r="X43" s="8" t="n">
        <f aca="false">N43*CU_CARCAVA</f>
        <v>0</v>
      </c>
      <c r="Y43" s="40" t="n">
        <f aca="false">SUM(P43:X43)</f>
        <v>1675252.91331613</v>
      </c>
      <c r="Z43" s="8" t="n">
        <f aca="false">Y43*(P_GG+P_SUP+P_ET)</f>
        <v>252583.761997299</v>
      </c>
      <c r="AA43" s="40" t="n">
        <f aca="false">Y43+Z43</f>
        <v>1927836.67531343</v>
      </c>
      <c r="AB43" s="8" t="n">
        <f aca="false">IF(D43=0,0,AA43/D43)</f>
        <v>12833.9347551722</v>
      </c>
      <c r="AC43" s="8" t="n">
        <f aca="false">J43*(1+P_RECALCE)*CU_PLANTON_NC+J43*CU_PLANTA_NC+(E43+F43)*CU_HA_NC+S43+K43*CU_ZANJA_NC+L43*CU_TERRAZA_NC+M43*CU_CERCO_NC+N43*CU_CARCAVA_NC</f>
        <v>1270080.84847971</v>
      </c>
      <c r="AD43" s="8" t="n">
        <f aca="false">J43*(1+P_RECALCE)*CU_PLANTON_C+J43*CU_PLANTA_C+(E43+F43)*CU_HA_C+K43*CU_ZANJA_C+L43*CU_TERRAZA_C+M43*CU_CERCO_C+N43*CU_CARCAVA_C</f>
        <v>103519.786548107</v>
      </c>
      <c r="AE43" s="8" t="n">
        <f aca="false">Y43-AC43-AD43</f>
        <v>301652.278288318</v>
      </c>
      <c r="AF43" s="8" t="n">
        <f aca="false">AC43*P_FC_MONC+AD43*P_FC_MOC+(AE43+Z43)*P_FC_BIEN</f>
        <v>1084906.14729856</v>
      </c>
      <c r="AG43" s="8" t="n">
        <f aca="false">(SUM(P43:T43)+W43)*(1+P_GG+P_SUP+P_ET)</f>
        <v>371906.410016068</v>
      </c>
      <c r="AH43" s="8" t="n">
        <f aca="false">(U43+V43+X43)*(1+P_GG+P_SUP+P_ET)</f>
        <v>1555930.26529736</v>
      </c>
    </row>
    <row r="44" customFormat="false" ht="15" hidden="false" customHeight="false" outlineLevel="0" collapsed="false">
      <c r="A44" s="9" t="str">
        <f aca="false">BLOQUES!A44</f>
        <v>16</v>
      </c>
      <c r="B44" s="9" t="str">
        <f aca="false">BLOQUES!AI44</f>
        <v>T6</v>
      </c>
      <c r="C44" s="9" t="str">
        <f aca="false">BLOQUES!AE44</f>
        <v>No</v>
      </c>
      <c r="D44" s="10" t="n">
        <f aca="false">BLOQUES!E44</f>
        <v>83.327</v>
      </c>
      <c r="E44" s="10" t="n">
        <f aca="false">BLOQUES!U44+BLOQUES!V44</f>
        <v>0.194</v>
      </c>
      <c r="F44" s="10" t="n">
        <f aca="false">BLOQUES!W44+BLOQUES!X44</f>
        <v>5.887</v>
      </c>
      <c r="G44" s="10" t="n">
        <f aca="false">BLOQUES!Y44+BLOQUES!Z44</f>
        <v>77.246</v>
      </c>
      <c r="H44" s="12" t="n">
        <f aca="false">E44*INDEX(PAQ_R1,MATCH(B44,PAQ_T,0))</f>
        <v>126.1</v>
      </c>
      <c r="I44" s="12" t="n">
        <f aca="false">F44*INDEX(PAQ_R2,MATCH(B44,PAQ_T,0))</f>
        <v>1913.275</v>
      </c>
      <c r="J44" s="12" t="n">
        <f aca="false">H44+I44</f>
        <v>2039.375</v>
      </c>
      <c r="K44" s="10" t="n">
        <f aca="false">(BLOQUES!U44+BLOQUES!W44)*INDEX(PAQ_MZ,MATCH(B44,PAQ_T,0))/1000</f>
        <v>0</v>
      </c>
      <c r="L44" s="10" t="n">
        <f aca="false">(BLOQUES!U44+BLOQUES!W44)*INDEX(PAQ_MT,MATCH(B44,PAQ_T,0))/1000</f>
        <v>5.95922383689535</v>
      </c>
      <c r="M44" s="12" t="n">
        <f aca="false">BLOQUES!F44*INDEX(PAQ_CERCO,MATCH(B44,PAQ_T,0))</f>
        <v>4957.4</v>
      </c>
      <c r="N44" s="10" t="n">
        <f aca="false">IF(ISNUMBER(BLOQUES!AD44),BLOQUES!AD44/1000,0)</f>
        <v>0</v>
      </c>
      <c r="O44" s="31" t="n">
        <f aca="false">P_JORNAL/(P_CARGA*(P_HORAS*P_EFIC/((BLOQUES!AB44/1000*P_SINUOS)/P_VIDA+(BLOQUES!AB44/1000*P_SINUOS)/P_VVUELTA+P_TCD/60)))</f>
        <v>0.0689830043859649</v>
      </c>
      <c r="P44" s="12" t="n">
        <f aca="false">J44*(1+P_RECALCE)*CU_PLANTON</f>
        <v>2991.20230406516</v>
      </c>
      <c r="Q44" s="12" t="n">
        <f aca="false">J44*CU_PLANTA</f>
        <v>13991.9112962013</v>
      </c>
      <c r="R44" s="12" t="n">
        <f aca="false">(E44+F44)*CU_HA</f>
        <v>6812.27473550633</v>
      </c>
      <c r="S44" s="12" t="n">
        <f aca="false">J44*(1+P_RECALCE)*(P_PESO_PLANTON+P_PESO_INS)*O44</f>
        <v>258.433228164405</v>
      </c>
      <c r="T44" s="12" t="n">
        <f aca="false">J44*(1+P_RECALCE)*P_PESO_INS*P_FT_KG</f>
        <v>81.757633601463</v>
      </c>
      <c r="U44" s="12" t="n">
        <f aca="false">K44*CU_ZANJA</f>
        <v>0</v>
      </c>
      <c r="V44" s="12" t="n">
        <f aca="false">L44*CU_TERRAZA</f>
        <v>537430.171305705</v>
      </c>
      <c r="W44" s="12" t="n">
        <f aca="false">M44*CU_CERCO</f>
        <v>108913.099446382</v>
      </c>
      <c r="X44" s="12" t="n">
        <f aca="false">N44*CU_CARCAVA</f>
        <v>0</v>
      </c>
      <c r="Y44" s="42" t="n">
        <f aca="false">SUM(P44:X44)</f>
        <v>670478.849949626</v>
      </c>
      <c r="Z44" s="12" t="n">
        <f aca="false">Y44*(P_GG+P_SUP+P_ET)</f>
        <v>101090.449635255</v>
      </c>
      <c r="AA44" s="42" t="n">
        <f aca="false">Y44+Z44</f>
        <v>771569.299584881</v>
      </c>
      <c r="AB44" s="12" t="n">
        <f aca="false">IF(D44=0,0,AA44/D44)</f>
        <v>9259.53531970287</v>
      </c>
      <c r="AC44" s="12" t="n">
        <f aca="false">J44*(1+P_RECALCE)*CU_PLANTON_NC+J44*CU_PLANTA_NC+(E44+F44)*CU_HA_NC+S44+K44*CU_ZANJA_NC+L44*CU_TERRAZA_NC+M44*CU_CERCO_NC+N44*CU_CARCAVA_NC</f>
        <v>336075.712082309</v>
      </c>
      <c r="AD44" s="12" t="n">
        <f aca="false">J44*(1+P_RECALCE)*CU_PLANTON_C+J44*CU_PLANTA_C+(E44+F44)*CU_HA_C+K44*CU_ZANJA_C+L44*CU_TERRAZA_C+M44*CU_CERCO_C+N44*CU_CARCAVA_C</f>
        <v>51829.9915092245</v>
      </c>
      <c r="AE44" s="12" t="n">
        <f aca="false">Y44-AC44-AD44</f>
        <v>282573.146358092</v>
      </c>
      <c r="AF44" s="12" t="n">
        <f aca="false">AC44*P_FC_MONC+AD44*P_FC_MOC+(AE44+Z44)*P_FC_BIEN</f>
        <v>507236.133039185</v>
      </c>
      <c r="AG44" s="12" t="n">
        <f aca="false">(SUM(P44:T44)+W44)*(1+P_GG+P_SUP+P_ET)</f>
        <v>153108.89493337</v>
      </c>
      <c r="AH44" s="12" t="n">
        <f aca="false">(U44+V44+X44)*(1+P_GG+P_SUP+P_ET)</f>
        <v>618460.404651512</v>
      </c>
    </row>
    <row r="45" customFormat="false" ht="15" hidden="false" customHeight="false" outlineLevel="0" collapsed="false">
      <c r="A45" s="7" t="str">
        <f aca="false">BLOQUES!A45</f>
        <v>20</v>
      </c>
      <c r="B45" s="7" t="str">
        <f aca="false">BLOQUES!AI45</f>
        <v>T1</v>
      </c>
      <c r="C45" s="7" t="str">
        <f aca="false">BLOQUES!AE45</f>
        <v>No</v>
      </c>
      <c r="D45" s="11" t="n">
        <f aca="false">BLOQUES!E45</f>
        <v>81.334</v>
      </c>
      <c r="E45" s="11" t="n">
        <f aca="false">BLOQUES!U45+BLOQUES!V45</f>
        <v>5.613</v>
      </c>
      <c r="F45" s="11" t="n">
        <f aca="false">BLOQUES!W45+BLOQUES!X45</f>
        <v>42.558</v>
      </c>
      <c r="G45" s="11" t="n">
        <f aca="false">BLOQUES!Y45+BLOQUES!Z45</f>
        <v>33.162</v>
      </c>
      <c r="H45" s="8" t="n">
        <f aca="false">E45*INDEX(PAQ_R1,MATCH(B45,PAQ_T,0))</f>
        <v>3648.45</v>
      </c>
      <c r="I45" s="8" t="n">
        <f aca="false">F45*INDEX(PAQ_R2,MATCH(B45,PAQ_T,0))</f>
        <v>13831.35</v>
      </c>
      <c r="J45" s="8" t="n">
        <f aca="false">H45+I45</f>
        <v>17479.8</v>
      </c>
      <c r="K45" s="11" t="n">
        <f aca="false">(BLOQUES!U45+BLOQUES!W45)*INDEX(PAQ_MZ,MATCH(B45,PAQ_T,0))/1000</f>
        <v>168.320253437973</v>
      </c>
      <c r="L45" s="11" t="n">
        <f aca="false">(BLOQUES!U45+BLOQUES!W45)*INDEX(PAQ_MT,MATCH(B45,PAQ_T,0))/1000</f>
        <v>0</v>
      </c>
      <c r="M45" s="8" t="n">
        <f aca="false">BLOQUES!F45*INDEX(PAQ_CERCO,MATCH(B45,PAQ_T,0))</f>
        <v>3732.4</v>
      </c>
      <c r="N45" s="11" t="n">
        <f aca="false">IF(ISNUMBER(BLOQUES!AD45),BLOQUES!AD45/1000,0)</f>
        <v>0</v>
      </c>
      <c r="O45" s="22" t="n">
        <f aca="false">P_JORNAL/(P_CARGA*(P_HORAS*P_EFIC/((BLOQUES!AB45/1000*P_SINUOS)/P_VIDA+(BLOQUES!AB45/1000*P_SINUOS)/P_VVUELTA+P_TCD/60)))</f>
        <v>0.152691885964912</v>
      </c>
      <c r="P45" s="8" t="n">
        <f aca="false">J45*(1+P_RECALCE)*CU_PLANTON</f>
        <v>25638.059716628</v>
      </c>
      <c r="Q45" s="8" t="n">
        <f aca="false">J45*CU_PLANTA</f>
        <v>119926.845761735</v>
      </c>
      <c r="R45" s="8" t="n">
        <f aca="false">(E45+F45)*CU_HA</f>
        <v>53963.8359289714</v>
      </c>
      <c r="S45" s="8" t="n">
        <f aca="false">J45*(1+P_RECALCE)*(P_PESO_PLANTON+P_PESO_INS)*O45</f>
        <v>4902.99640516776</v>
      </c>
      <c r="T45" s="8" t="n">
        <f aca="false">J45*(1+P_RECALCE)*P_PESO_INS*P_FT_KG</f>
        <v>700.757380975472</v>
      </c>
      <c r="U45" s="8" t="n">
        <f aca="false">K45*CU_ZANJA</f>
        <v>1616816.99270491</v>
      </c>
      <c r="V45" s="8" t="n">
        <f aca="false">L45*CU_TERRAZA</f>
        <v>0</v>
      </c>
      <c r="W45" s="8" t="n">
        <f aca="false">M45*CU_CERCO</f>
        <v>82000.091252204</v>
      </c>
      <c r="X45" s="8" t="n">
        <f aca="false">N45*CU_CARCAVA</f>
        <v>0</v>
      </c>
      <c r="Y45" s="40" t="n">
        <f aca="false">SUM(P45:X45)</f>
        <v>1903949.57915059</v>
      </c>
      <c r="Z45" s="8" t="n">
        <f aca="false">Y45*(P_GG+P_SUP+P_ET)</f>
        <v>287065.161046689</v>
      </c>
      <c r="AA45" s="40" t="n">
        <f aca="false">Y45+Z45</f>
        <v>2191014.74019728</v>
      </c>
      <c r="AB45" s="8" t="n">
        <f aca="false">IF(D45=0,0,AA45/D45)</f>
        <v>26938.4850148435</v>
      </c>
      <c r="AC45" s="8" t="n">
        <f aca="false">J45*(1+P_RECALCE)*CU_PLANTON_NC+J45*CU_PLANTA_NC+(E45+F45)*CU_HA_NC+S45+K45*CU_ZANJA_NC+L45*CU_TERRAZA_NC+M45*CU_CERCO_NC+N45*CU_CARCAVA_NC</f>
        <v>1509123.07025616</v>
      </c>
      <c r="AD45" s="8" t="n">
        <f aca="false">J45*(1+P_RECALCE)*CU_PLANTON_C+J45*CU_PLANTA_C+(E45+F45)*CU_HA_C+K45*CU_ZANJA_C+L45*CU_TERRAZA_C+M45*CU_CERCO_C+N45*CU_CARCAVA_C</f>
        <v>122688.14691017</v>
      </c>
      <c r="AE45" s="8" t="n">
        <f aca="false">Y45-AC45-AD45</f>
        <v>272138.36198426</v>
      </c>
      <c r="AF45" s="8" t="n">
        <f aca="false">AC45*P_FC_MONC+AD45*P_FC_MOC+(AE45+Z45)*P_FC_BIEN</f>
        <v>1204656.61627082</v>
      </c>
      <c r="AG45" s="8" t="n">
        <f aca="false">(SUM(P45:T45)+W45)*(1+P_GG+P_SUP+P_ET)</f>
        <v>330424.574359855</v>
      </c>
      <c r="AH45" s="8" t="n">
        <f aca="false">(U45+V45+X45)*(1+P_GG+P_SUP+P_ET)</f>
        <v>1860590.16583743</v>
      </c>
    </row>
    <row r="46" customFormat="false" ht="15" hidden="false" customHeight="false" outlineLevel="0" collapsed="false">
      <c r="A46" s="9" t="str">
        <f aca="false">BLOQUES!A46</f>
        <v>51</v>
      </c>
      <c r="B46" s="9" t="str">
        <f aca="false">BLOQUES!AI46</f>
        <v>T6</v>
      </c>
      <c r="C46" s="9" t="str">
        <f aca="false">BLOQUES!AE46</f>
        <v>No</v>
      </c>
      <c r="D46" s="10" t="n">
        <f aca="false">BLOQUES!E46</f>
        <v>22.927</v>
      </c>
      <c r="E46" s="10" t="n">
        <f aca="false">BLOQUES!U46+BLOQUES!V46</f>
        <v>1.566</v>
      </c>
      <c r="F46" s="10" t="n">
        <f aca="false">BLOQUES!W46+BLOQUES!X46</f>
        <v>6.373</v>
      </c>
      <c r="G46" s="10" t="n">
        <f aca="false">BLOQUES!Y46+BLOQUES!Z46</f>
        <v>14.987</v>
      </c>
      <c r="H46" s="12" t="n">
        <f aca="false">E46*INDEX(PAQ_R1,MATCH(B46,PAQ_T,0))</f>
        <v>1017.9</v>
      </c>
      <c r="I46" s="12" t="n">
        <f aca="false">F46*INDEX(PAQ_R2,MATCH(B46,PAQ_T,0))</f>
        <v>2071.225</v>
      </c>
      <c r="J46" s="12" t="n">
        <f aca="false">H46+I46</f>
        <v>3089.125</v>
      </c>
      <c r="K46" s="10" t="n">
        <f aca="false">(BLOQUES!U46+BLOQUES!W46)*INDEX(PAQ_MZ,MATCH(B46,PAQ_T,0))/1000</f>
        <v>0</v>
      </c>
      <c r="L46" s="10" t="n">
        <f aca="false">(BLOQUES!U46+BLOQUES!W46)*INDEX(PAQ_MT,MATCH(B46,PAQ_T,0))/1000</f>
        <v>9.45723782895132</v>
      </c>
      <c r="M46" s="12" t="n">
        <f aca="false">BLOQUES!F46*INDEX(PAQ_CERCO,MATCH(B46,PAQ_T,0))</f>
        <v>2582.9</v>
      </c>
      <c r="N46" s="10" t="n">
        <f aca="false">IF(ISNUMBER(BLOQUES!AD46),BLOQUES!AD46/1000,0)</f>
        <v>0</v>
      </c>
      <c r="O46" s="31" t="n">
        <f aca="false">P_JORNAL/(P_CARGA*(P_HORAS*P_EFIC/((BLOQUES!AB46/1000*P_SINUOS)/P_VIDA+(BLOQUES!AB46/1000*P_SINUOS)/P_VVUELTA+P_TCD/60)))</f>
        <v>0.0636376096491228</v>
      </c>
      <c r="P46" s="12" t="n">
        <f aca="false">J46*(1+P_RECALCE)*CU_PLANTON</f>
        <v>4530.89687651623</v>
      </c>
      <c r="Q46" s="12" t="n">
        <f aca="false">J46*CU_PLANTA</f>
        <v>21194.1222104212</v>
      </c>
      <c r="R46" s="12" t="n">
        <f aca="false">(E46+F46)*CU_HA</f>
        <v>8893.70977227178</v>
      </c>
      <c r="S46" s="12" t="n">
        <f aca="false">J46*(1+P_RECALCE)*(P_PESO_PLANTON+P_PESO_INS)*O46</f>
        <v>361.125783276796</v>
      </c>
      <c r="T46" s="12" t="n">
        <f aca="false">J46*(1+P_RECALCE)*P_PESO_INS*P_FT_KG</f>
        <v>123.841642610662</v>
      </c>
      <c r="U46" s="12" t="n">
        <f aca="false">K46*CU_ZANJA</f>
        <v>0</v>
      </c>
      <c r="V46" s="12" t="n">
        <f aca="false">L46*CU_TERRAZA</f>
        <v>852897.136540528</v>
      </c>
      <c r="W46" s="12" t="n">
        <f aca="false">M46*CU_CERCO</f>
        <v>56745.8031548917</v>
      </c>
      <c r="X46" s="12" t="n">
        <f aca="false">N46*CU_CARCAVA</f>
        <v>0</v>
      </c>
      <c r="Y46" s="42" t="n">
        <f aca="false">SUM(P46:X46)</f>
        <v>944746.635980517</v>
      </c>
      <c r="Z46" s="12" t="n">
        <f aca="false">Y46*(P_GG+P_SUP+P_ET)</f>
        <v>142442.766434528</v>
      </c>
      <c r="AA46" s="42" t="n">
        <f aca="false">Y46+Z46</f>
        <v>1087189.40241504</v>
      </c>
      <c r="AB46" s="12" t="n">
        <f aca="false">IF(D46=0,0,AA46/D46)</f>
        <v>47419.6101720698</v>
      </c>
      <c r="AC46" s="12" t="n">
        <f aca="false">J46*(1+P_RECALCE)*CU_PLANTON_NC+J46*CU_PLANTA_NC+(E46+F46)*CU_HA_NC+S46+K46*CU_ZANJA_NC+L46*CU_TERRAZA_NC+M46*CU_CERCO_NC+N46*CU_CARCAVA_NC</f>
        <v>531235.040655332</v>
      </c>
      <c r="AD46" s="12" t="n">
        <f aca="false">J46*(1+P_RECALCE)*CU_PLANTON_C+J46*CU_PLANTA_C+(E46+F46)*CU_HA_C+K46*CU_ZANJA_C+L46*CU_TERRAZA_C+M46*CU_CERCO_C+N46*CU_CARCAVA_C</f>
        <v>81935.1161383268</v>
      </c>
      <c r="AE46" s="12" t="n">
        <f aca="false">Y46-AC46-AD46</f>
        <v>331576.479186858</v>
      </c>
      <c r="AF46" s="12" t="n">
        <f aca="false">AC46*P_FC_MONC+AD46*P_FC_MOC+(AE46+Z46)*P_FC_BIEN</f>
        <v>689558.683927387</v>
      </c>
      <c r="AG46" s="12" t="n">
        <f aca="false">(SUM(P46:T46)+W46)*(1+P_GG+P_SUP+P_ET)</f>
        <v>105697.970868817</v>
      </c>
      <c r="AH46" s="12" t="n">
        <f aca="false">(U46+V46+X46)*(1+P_GG+P_SUP+P_ET)</f>
        <v>981491.431546227</v>
      </c>
    </row>
    <row r="47" customFormat="false" ht="15" hidden="false" customHeight="false" outlineLevel="0" collapsed="false">
      <c r="A47" s="7" t="str">
        <f aca="false">BLOQUES!A47</f>
        <v>71</v>
      </c>
      <c r="B47" s="7" t="str">
        <f aca="false">BLOQUES!AI47</f>
        <v>T4</v>
      </c>
      <c r="C47" s="7" t="str">
        <f aca="false">BLOQUES!AE47</f>
        <v>No</v>
      </c>
      <c r="D47" s="11" t="n">
        <f aca="false">BLOQUES!E47</f>
        <v>10.673</v>
      </c>
      <c r="E47" s="11" t="n">
        <f aca="false">BLOQUES!U47+BLOQUES!V47</f>
        <v>0.08</v>
      </c>
      <c r="F47" s="11" t="n">
        <f aca="false">BLOQUES!W47+BLOQUES!X47</f>
        <v>2.689</v>
      </c>
      <c r="G47" s="11" t="n">
        <f aca="false">BLOQUES!Y47+BLOQUES!Z47</f>
        <v>7.905</v>
      </c>
      <c r="H47" s="8" t="n">
        <f aca="false">E47*INDEX(PAQ_R1,MATCH(B47,PAQ_T,0))</f>
        <v>57.76</v>
      </c>
      <c r="I47" s="8" t="n">
        <f aca="false">F47*INDEX(PAQ_R2,MATCH(B47,PAQ_T,0))</f>
        <v>970.729</v>
      </c>
      <c r="J47" s="8" t="n">
        <f aca="false">H47+I47</f>
        <v>1028.489</v>
      </c>
      <c r="K47" s="11" t="n">
        <f aca="false">(BLOQUES!U47+BLOQUES!W47)*INDEX(PAQ_MZ,MATCH(B47,PAQ_T,0))/1000</f>
        <v>9.93232054143567</v>
      </c>
      <c r="L47" s="11" t="n">
        <f aca="false">(BLOQUES!U47+BLOQUES!W47)*INDEX(PAQ_MT,MATCH(B47,PAQ_T,0))/1000</f>
        <v>0</v>
      </c>
      <c r="M47" s="8" t="n">
        <f aca="false">BLOQUES!F47*INDEX(PAQ_CERCO,MATCH(B47,PAQ_T,0))</f>
        <v>1816.8</v>
      </c>
      <c r="N47" s="11" t="n">
        <f aca="false">IF(ISNUMBER(BLOQUES!AD47),BLOQUES!AD47/1000,0)</f>
        <v>0</v>
      </c>
      <c r="O47" s="22" t="n">
        <f aca="false">P_JORNAL/(P_CARGA*(P_HORAS*P_EFIC/((BLOQUES!AB47/1000*P_SINUOS)/P_VIDA+(BLOQUES!AB47/1000*P_SINUOS)/P_VVUELTA+P_TCD/60)))</f>
        <v>0.053374451754386</v>
      </c>
      <c r="P47" s="8" t="n">
        <f aca="false">J47*(1+P_RECALCE)*CU_PLANTON</f>
        <v>1508.51053215111</v>
      </c>
      <c r="Q47" s="8" t="n">
        <f aca="false">J47*CU_PLANTA</f>
        <v>7056.34170131474</v>
      </c>
      <c r="R47" s="8" t="n">
        <f aca="false">(E47+F47)*CU_HA</f>
        <v>3101.98795306973</v>
      </c>
      <c r="S47" s="8" t="n">
        <f aca="false">J47*(1+P_RECALCE)*(P_PESO_PLANTON+P_PESO_INS)*O47</f>
        <v>100.842182069635</v>
      </c>
      <c r="T47" s="8" t="n">
        <f aca="false">J47*(1+P_RECALCE)*P_PESO_INS*P_FT_KG</f>
        <v>41.2316650077279</v>
      </c>
      <c r="U47" s="8" t="n">
        <f aca="false">K47*CU_ZANJA</f>
        <v>95405.8962031152</v>
      </c>
      <c r="V47" s="8" t="n">
        <f aca="false">L47*CU_TERRAZA</f>
        <v>0</v>
      </c>
      <c r="W47" s="8" t="n">
        <f aca="false">M47*CU_CERCO</f>
        <v>39914.7373772919</v>
      </c>
      <c r="X47" s="8" t="n">
        <f aca="false">N47*CU_CARCAVA</f>
        <v>0</v>
      </c>
      <c r="Y47" s="40" t="n">
        <f aca="false">SUM(P47:X47)</f>
        <v>147129.54761402</v>
      </c>
      <c r="Z47" s="8" t="n">
        <f aca="false">Y47*(P_GG+P_SUP+P_ET)</f>
        <v>22183.2383289203</v>
      </c>
      <c r="AA47" s="40" t="n">
        <f aca="false">Y47+Z47</f>
        <v>169312.78594294</v>
      </c>
      <c r="AB47" s="8" t="n">
        <f aca="false">IF(D47=0,0,AA47/D47)</f>
        <v>15863.6546372098</v>
      </c>
      <c r="AC47" s="8" t="n">
        <f aca="false">J47*(1+P_RECALCE)*CU_PLANTON_NC+J47*CU_PLANTA_NC+(E47+F47)*CU_HA_NC+S47+K47*CU_ZANJA_NC+L47*CU_TERRAZA_NC+M47*CU_CERCO_NC+N47*CU_CARCAVA_NC</f>
        <v>88790.076790189</v>
      </c>
      <c r="AD47" s="8" t="n">
        <f aca="false">J47*(1+P_RECALCE)*CU_PLANTON_C+J47*CU_PLANTA_C+(E47+F47)*CU_HA_C+K47*CU_ZANJA_C+L47*CU_TERRAZA_C+M47*CU_CERCO_C+N47*CU_CARCAVA_C</f>
        <v>7227.04257852173</v>
      </c>
      <c r="AE47" s="8" t="n">
        <f aca="false">Y47-AC47-AD47</f>
        <v>51112.4282453092</v>
      </c>
      <c r="AF47" s="8" t="n">
        <f aca="false">AC47*P_FC_MONC+AD47*P_FC_MOC+(AE47+Z47)*P_FC_BIEN</f>
        <v>105116.167561987</v>
      </c>
      <c r="AG47" s="8" t="n">
        <f aca="false">(SUM(P47:T47)+W47)*(1+P_GG+P_SUP+P_ET)</f>
        <v>59522.2078878144</v>
      </c>
      <c r="AH47" s="8" t="n">
        <f aca="false">(U47+V47+X47)*(1+P_GG+P_SUP+P_ET)</f>
        <v>109790.578055126</v>
      </c>
    </row>
    <row r="48" customFormat="false" ht="15" hidden="false" customHeight="false" outlineLevel="0" collapsed="false">
      <c r="A48" s="9" t="str">
        <f aca="false">BLOQUES!A48</f>
        <v>76</v>
      </c>
      <c r="B48" s="9" t="str">
        <f aca="false">BLOQUES!AI48</f>
        <v>T5</v>
      </c>
      <c r="C48" s="9" t="str">
        <f aca="false">BLOQUES!AE48</f>
        <v>No</v>
      </c>
      <c r="D48" s="10" t="n">
        <f aca="false">BLOQUES!E48</f>
        <v>19.615</v>
      </c>
      <c r="E48" s="10" t="n">
        <f aca="false">BLOQUES!U48+BLOQUES!V48</f>
        <v>1.614</v>
      </c>
      <c r="F48" s="10" t="n">
        <f aca="false">BLOQUES!W48+BLOQUES!X48</f>
        <v>9.005</v>
      </c>
      <c r="G48" s="10" t="n">
        <f aca="false">BLOQUES!Y48+BLOQUES!Z48</f>
        <v>8.996</v>
      </c>
      <c r="H48" s="12" t="n">
        <f aca="false">E48*INDEX(PAQ_R1,MATCH(B48,PAQ_T,0))</f>
        <v>1049.1</v>
      </c>
      <c r="I48" s="12" t="n">
        <f aca="false">F48*INDEX(PAQ_R2,MATCH(B48,PAQ_T,0))</f>
        <v>2926.625</v>
      </c>
      <c r="J48" s="12" t="n">
        <f aca="false">H48+I48</f>
        <v>3975.725</v>
      </c>
      <c r="K48" s="10" t="n">
        <f aca="false">(BLOQUES!U48+BLOQUES!W48)*INDEX(PAQ_MZ,MATCH(B48,PAQ_T,0))/1000</f>
        <v>0</v>
      </c>
      <c r="L48" s="10" t="n">
        <f aca="false">(BLOQUES!U48+BLOQUES!W48)*INDEX(PAQ_MT,MATCH(B48,PAQ_T,0))/1000</f>
        <v>11.7312469249877</v>
      </c>
      <c r="M48" s="12" t="n">
        <f aca="false">BLOQUES!F48*INDEX(PAQ_CERCO,MATCH(B48,PAQ_T,0))</f>
        <v>2083.6</v>
      </c>
      <c r="N48" s="10" t="n">
        <f aca="false">IF(ISNUMBER(BLOQUES!AD48),BLOQUES!AD48/1000,0)</f>
        <v>0</v>
      </c>
      <c r="O48" s="31" t="n">
        <f aca="false">P_JORNAL/(P_CARGA*(P_HORAS*P_EFIC/((BLOQUES!AB48/1000*P_SINUOS)/P_VIDA+(BLOQUES!AB48/1000*P_SINUOS)/P_VVUELTA+P_TCD/60)))</f>
        <v>0.208818530701754</v>
      </c>
      <c r="P48" s="12" t="n">
        <f aca="false">J48*(1+P_RECALCE)*CU_PLANTON</f>
        <v>5831.29526464208</v>
      </c>
      <c r="Q48" s="12" t="n">
        <f aca="false">J48*CU_PLANTA</f>
        <v>27276.980220945</v>
      </c>
      <c r="R48" s="12" t="n">
        <f aca="false">(E48+F48)*CU_HA</f>
        <v>11895.9949706202</v>
      </c>
      <c r="S48" s="12" t="n">
        <f aca="false">J48*(1+P_RECALCE)*(P_PESO_PLANTON+P_PESO_INS)*O48</f>
        <v>1525.08668231367</v>
      </c>
      <c r="T48" s="12" t="n">
        <f aca="false">J48*(1+P_RECALCE)*P_PESO_INS*P_FT_KG</f>
        <v>159.385040931745</v>
      </c>
      <c r="U48" s="12" t="n">
        <f aca="false">K48*CU_ZANJA</f>
        <v>0</v>
      </c>
      <c r="V48" s="12" t="n">
        <f aca="false">L48*CU_TERRAZA</f>
        <v>1057977.71942903</v>
      </c>
      <c r="W48" s="12" t="n">
        <f aca="false">M48*CU_CERCO</f>
        <v>45776.2807129708</v>
      </c>
      <c r="X48" s="12" t="n">
        <f aca="false">N48*CU_CARCAVA</f>
        <v>0</v>
      </c>
      <c r="Y48" s="42" t="n">
        <f aca="false">SUM(P48:X48)</f>
        <v>1150442.74232146</v>
      </c>
      <c r="Z48" s="12" t="n">
        <f aca="false">Y48*(P_GG+P_SUP+P_ET)</f>
        <v>173456.290395483</v>
      </c>
      <c r="AA48" s="42" t="n">
        <f aca="false">Y48+Z48</f>
        <v>1323899.03271694</v>
      </c>
      <c r="AB48" s="12" t="n">
        <f aca="false">IF(D48=0,0,AA48/D48)</f>
        <v>67494.2152799867</v>
      </c>
      <c r="AC48" s="12" t="n">
        <f aca="false">J48*(1+P_RECALCE)*CU_PLANTON_NC+J48*CU_PLANTA_NC+(E48+F48)*CU_HA_NC+S48+K48*CU_ZANJA_NC+L48*CU_TERRAZA_NC+M48*CU_CERCO_NC+N48*CU_CARCAVA_NC</f>
        <v>661352.273751303</v>
      </c>
      <c r="AD48" s="12" t="n">
        <f aca="false">J48*(1+P_RECALCE)*CU_PLANTON_C+J48*CU_PLANTA_C+(E48+F48)*CU_HA_C+K48*CU_ZANJA_C+L48*CU_TERRAZA_C+M48*CU_CERCO_C+N48*CU_CARCAVA_C</f>
        <v>101805.140929892</v>
      </c>
      <c r="AE48" s="12" t="n">
        <f aca="false">Y48-AC48-AD48</f>
        <v>387285.327640262</v>
      </c>
      <c r="AF48" s="12" t="n">
        <f aca="false">AC48*P_FC_MONC+AD48*P_FC_MOC+(AE48+Z48)*P_FC_BIEN</f>
        <v>833398.777357403</v>
      </c>
      <c r="AG48" s="12" t="n">
        <f aca="false">(SUM(P48:T48)+W48)*(1+P_GG+P_SUP+P_ET)</f>
        <v>106406.298952707</v>
      </c>
      <c r="AH48" s="12" t="n">
        <f aca="false">(U48+V48+X48)*(1+P_GG+P_SUP+P_ET)</f>
        <v>1217492.73376423</v>
      </c>
    </row>
    <row r="49" customFormat="false" ht="15" hidden="false" customHeight="false" outlineLevel="0" collapsed="false">
      <c r="A49" s="7" t="str">
        <f aca="false">BLOQUES!A49</f>
        <v>80</v>
      </c>
      <c r="B49" s="7" t="str">
        <f aca="false">BLOQUES!AI49</f>
        <v>T6</v>
      </c>
      <c r="C49" s="7" t="str">
        <f aca="false">BLOQUES!AE49</f>
        <v>No</v>
      </c>
      <c r="D49" s="11" t="n">
        <f aca="false">BLOQUES!E49</f>
        <v>28.83</v>
      </c>
      <c r="E49" s="11" t="n">
        <f aca="false">BLOQUES!U49+BLOQUES!V49</f>
        <v>0.928</v>
      </c>
      <c r="F49" s="11" t="n">
        <f aca="false">BLOQUES!W49+BLOQUES!X49</f>
        <v>3.94</v>
      </c>
      <c r="G49" s="11" t="n">
        <f aca="false">BLOQUES!Y49+BLOQUES!Z49</f>
        <v>23.963</v>
      </c>
      <c r="H49" s="8" t="n">
        <f aca="false">E49*INDEX(PAQ_R1,MATCH(B49,PAQ_T,0))</f>
        <v>603.2</v>
      </c>
      <c r="I49" s="8" t="n">
        <f aca="false">F49*INDEX(PAQ_R2,MATCH(B49,PAQ_T,0))</f>
        <v>1280.5</v>
      </c>
      <c r="J49" s="8" t="n">
        <f aca="false">H49+I49</f>
        <v>1883.7</v>
      </c>
      <c r="K49" s="11" t="n">
        <f aca="false">(BLOQUES!U49+BLOQUES!W49)*INDEX(PAQ_MZ,MATCH(B49,PAQ_T,0))/1000</f>
        <v>0</v>
      </c>
      <c r="L49" s="11" t="n">
        <f aca="false">(BLOQUES!U49+BLOQUES!W49)*INDEX(PAQ_MT,MATCH(B49,PAQ_T,0))/1000</f>
        <v>5.83802335209341</v>
      </c>
      <c r="M49" s="8" t="n">
        <f aca="false">BLOQUES!F49*INDEX(PAQ_CERCO,MATCH(B49,PAQ_T,0))</f>
        <v>2861.3</v>
      </c>
      <c r="N49" s="11" t="n">
        <f aca="false">IF(ISNUMBER(BLOQUES!AD49),BLOQUES!AD49/1000,0)</f>
        <v>0</v>
      </c>
      <c r="O49" s="22" t="n">
        <f aca="false">P_JORNAL/(P_CARGA*(P_HORAS*P_EFIC/((BLOQUES!AB49/1000*P_SINUOS)/P_VIDA+(BLOQUES!AB49/1000*P_SINUOS)/P_VVUELTA+P_TCD/60)))</f>
        <v>0.064172149122807</v>
      </c>
      <c r="P49" s="8" t="n">
        <f aca="false">J49*(1+P_RECALCE)*CU_PLANTON</f>
        <v>2762.8698891413</v>
      </c>
      <c r="Q49" s="8" t="n">
        <f aca="false">J49*CU_PLANTA</f>
        <v>12923.8434857024</v>
      </c>
      <c r="R49" s="8" t="n">
        <f aca="false">(E49+F49)*CU_HA</f>
        <v>5453.40460655234</v>
      </c>
      <c r="S49" s="8" t="n">
        <f aca="false">J49*(1+P_RECALCE)*(P_PESO_PLANTON+P_PESO_INS)*O49</f>
        <v>222.058539004934</v>
      </c>
      <c r="T49" s="8" t="n">
        <f aca="false">J49*(1+P_RECALCE)*P_PESO_INS*P_FT_KG</f>
        <v>75.5166923273433</v>
      </c>
      <c r="U49" s="8" t="n">
        <f aca="false">K49*CU_ZANJA</f>
        <v>0</v>
      </c>
      <c r="V49" s="8" t="n">
        <f aca="false">L49*CU_TERRAZA</f>
        <v>526499.75501455</v>
      </c>
      <c r="W49" s="8" t="n">
        <f aca="false">M49*CU_CERCO</f>
        <v>62862.1962008175</v>
      </c>
      <c r="X49" s="8" t="n">
        <f aca="false">N49*CU_CARCAVA</f>
        <v>0</v>
      </c>
      <c r="Y49" s="40" t="n">
        <f aca="false">SUM(P49:X49)</f>
        <v>610799.644428096</v>
      </c>
      <c r="Z49" s="8" t="n">
        <f aca="false">Y49*(P_GG+P_SUP+P_ET)</f>
        <v>92092.4063405271</v>
      </c>
      <c r="AA49" s="40" t="n">
        <f aca="false">Y49+Z49</f>
        <v>702892.050768623</v>
      </c>
      <c r="AB49" s="8" t="n">
        <f aca="false">IF(D49=0,0,AA49/D49)</f>
        <v>24380.5775500737</v>
      </c>
      <c r="AC49" s="8" t="n">
        <f aca="false">J49*(1+P_RECALCE)*CU_PLANTON_NC+J49*CU_PLANTA_NC+(E49+F49)*CU_HA_NC+S49+K49*CU_ZANJA_NC+L49*CU_TERRAZA_NC+M49*CU_CERCO_NC+N49*CU_CARCAVA_NC</f>
        <v>327796.474541836</v>
      </c>
      <c r="AD49" s="8" t="n">
        <f aca="false">J49*(1+P_RECALCE)*CU_PLANTON_C+J49*CU_PLANTA_C+(E49+F49)*CU_HA_C+K49*CU_ZANJA_C+L49*CU_TERRAZA_C+M49*CU_CERCO_C+N49*CU_CARCAVA_C</f>
        <v>50566.4501969449</v>
      </c>
      <c r="AE49" s="8" t="n">
        <f aca="false">Y49-AC49-AD49</f>
        <v>232436.719689316</v>
      </c>
      <c r="AF49" s="8" t="n">
        <f aca="false">AC49*P_FC_MONC+AD49*P_FC_MOC+(AE49+Z49)*P_FC_BIEN</f>
        <v>452646.698039295</v>
      </c>
      <c r="AG49" s="8" t="n">
        <f aca="false">(SUM(P49:T49)+W49)*(1+P_GG+P_SUP+P_ET)</f>
        <v>97010.0796390211</v>
      </c>
      <c r="AH49" s="8" t="n">
        <f aca="false">(U49+V49+X49)*(1+P_GG+P_SUP+P_ET)</f>
        <v>605881.971129602</v>
      </c>
    </row>
    <row r="50" customFormat="false" ht="15" hidden="false" customHeight="false" outlineLevel="0" collapsed="false">
      <c r="A50" s="9" t="str">
        <f aca="false">BLOQUES!A50</f>
        <v>34</v>
      </c>
      <c r="B50" s="9" t="str">
        <f aca="false">BLOQUES!AI50</f>
        <v>T6</v>
      </c>
      <c r="C50" s="9" t="str">
        <f aca="false">BLOQUES!AE50</f>
        <v>No</v>
      </c>
      <c r="D50" s="10" t="n">
        <f aca="false">BLOQUES!E50</f>
        <v>28.45</v>
      </c>
      <c r="E50" s="10" t="n">
        <f aca="false">BLOQUES!U50+BLOQUES!V50</f>
        <v>0</v>
      </c>
      <c r="F50" s="10" t="n">
        <f aca="false">BLOQUES!W50+BLOQUES!X50</f>
        <v>0.049</v>
      </c>
      <c r="G50" s="10" t="n">
        <f aca="false">BLOQUES!Y50+BLOQUES!Z50</f>
        <v>28.401</v>
      </c>
      <c r="H50" s="12" t="n">
        <f aca="false">E50*INDEX(PAQ_R1,MATCH(B50,PAQ_T,0))</f>
        <v>0</v>
      </c>
      <c r="I50" s="12" t="n">
        <f aca="false">F50*INDEX(PAQ_R2,MATCH(B50,PAQ_T,0))</f>
        <v>15.925</v>
      </c>
      <c r="J50" s="12" t="n">
        <f aca="false">H50+I50</f>
        <v>15.925</v>
      </c>
      <c r="K50" s="10" t="n">
        <f aca="false">(BLOQUES!U50+BLOQUES!W50)*INDEX(PAQ_MZ,MATCH(B50,PAQ_T,0))/1000</f>
        <v>0</v>
      </c>
      <c r="L50" s="10" t="n">
        <f aca="false">(BLOQUES!U50+BLOQUES!W50)*INDEX(PAQ_MT,MATCH(B50,PAQ_T,0))/1000</f>
        <v>0.0588002352009408</v>
      </c>
      <c r="M50" s="12" t="n">
        <f aca="false">BLOQUES!F50*INDEX(PAQ_CERCO,MATCH(B50,PAQ_T,0))</f>
        <v>2570</v>
      </c>
      <c r="N50" s="10" t="n">
        <f aca="false">IF(ISNUMBER(BLOQUES!AD50),BLOQUES!AD50/1000,0)</f>
        <v>0</v>
      </c>
      <c r="O50" s="31" t="n">
        <f aca="false">P_JORNAL/(P_CARGA*(P_HORAS*P_EFIC/((BLOQUES!AB50/1000*P_SINUOS)/P_VIDA+(BLOQUES!AB50/1000*P_SINUOS)/P_VVUELTA+P_TCD/60)))</f>
        <v>0.0638514254385965</v>
      </c>
      <c r="P50" s="12" t="n">
        <f aca="false">J50*(1+P_RECALCE)*CU_PLANTON</f>
        <v>23.3575956811462</v>
      </c>
      <c r="Q50" s="12" t="n">
        <f aca="false">J50*CU_PLANTA</f>
        <v>109.259546376711</v>
      </c>
      <c r="R50" s="12" t="n">
        <f aca="false">(E50+F50)*CU_HA</f>
        <v>54.8925278802516</v>
      </c>
      <c r="S50" s="12" t="n">
        <f aca="false">J50*(1+P_RECALCE)*(P_PESO_PLANTON+P_PESO_INS)*O50</f>
        <v>1.86792396635143</v>
      </c>
      <c r="T50" s="12" t="n">
        <f aca="false">J50*(1+P_RECALCE)*P_PESO_INS*P_FT_KG</f>
        <v>0.638426142864014</v>
      </c>
      <c r="U50" s="12" t="n">
        <f aca="false">K50*CU_ZANJA</f>
        <v>0</v>
      </c>
      <c r="V50" s="12" t="n">
        <f aca="false">L50*CU_TERRAZA</f>
        <v>5302.87523036238</v>
      </c>
      <c r="W50" s="12" t="n">
        <f aca="false">M50*CU_CERCO</f>
        <v>56462.392701255</v>
      </c>
      <c r="X50" s="12" t="n">
        <f aca="false">N50*CU_CARCAVA</f>
        <v>0</v>
      </c>
      <c r="Y50" s="42" t="n">
        <f aca="false">SUM(P50:X50)</f>
        <v>61955.2839516647</v>
      </c>
      <c r="Z50" s="12" t="n">
        <f aca="false">Y50*(P_GG+P_SUP+P_ET)</f>
        <v>9341.21562883639</v>
      </c>
      <c r="AA50" s="42" t="n">
        <f aca="false">Y50+Z50</f>
        <v>71296.4995805011</v>
      </c>
      <c r="AB50" s="12" t="n">
        <f aca="false">IF(D50=0,0,AA50/D50)</f>
        <v>2506.02810476278</v>
      </c>
      <c r="AC50" s="12" t="n">
        <f aca="false">J50*(1+P_RECALCE)*CU_PLANTON_NC+J50*CU_PLANTA_NC+(E50+F50)*CU_HA_NC+S50+K50*CU_ZANJA_NC+L50*CU_TERRAZA_NC+M50*CU_CERCO_NC+N50*CU_CARCAVA_NC</f>
        <v>3286.46302342829</v>
      </c>
      <c r="AD50" s="12" t="n">
        <f aca="false">J50*(1+P_RECALCE)*CU_PLANTON_C+J50*CU_PLANTA_C+(E50+F50)*CU_HA_C+K50*CU_ZANJA_C+L50*CU_TERRAZA_C+M50*CU_CERCO_C+N50*CU_CARCAVA_C</f>
        <v>508.312399034548</v>
      </c>
      <c r="AE50" s="12" t="n">
        <f aca="false">Y50-AC50-AD50</f>
        <v>58160.5085292019</v>
      </c>
      <c r="AF50" s="12" t="n">
        <f aca="false">AC50*P_FC_MONC+AD50*P_FC_MOC+(AE50+Z50)*P_FC_BIEN</f>
        <v>58986.7322464656</v>
      </c>
      <c r="AG50" s="12" t="n">
        <f aca="false">(SUM(P50:T50)+W50)*(1+P_GG+P_SUP+P_ET)</f>
        <v>65194.0912381886</v>
      </c>
      <c r="AH50" s="12" t="n">
        <f aca="false">(U50+V50+X50)*(1+P_GG+P_SUP+P_ET)</f>
        <v>6102.40834231254</v>
      </c>
    </row>
    <row r="51" customFormat="false" ht="15" hidden="false" customHeight="false" outlineLevel="0" collapsed="false">
      <c r="A51" s="7" t="str">
        <f aca="false">BLOQUES!A51</f>
        <v>38</v>
      </c>
      <c r="B51" s="7" t="str">
        <f aca="false">BLOQUES!AI51</f>
        <v>T6</v>
      </c>
      <c r="C51" s="7" t="str">
        <f aca="false">BLOQUES!AE51</f>
        <v>No</v>
      </c>
      <c r="D51" s="11" t="n">
        <f aca="false">BLOQUES!E51</f>
        <v>44.201</v>
      </c>
      <c r="E51" s="11" t="n">
        <f aca="false">BLOQUES!U51+BLOQUES!V51</f>
        <v>0</v>
      </c>
      <c r="F51" s="11" t="n">
        <f aca="false">BLOQUES!W51+BLOQUES!X51</f>
        <v>0.181</v>
      </c>
      <c r="G51" s="11" t="n">
        <f aca="false">BLOQUES!Y51+BLOQUES!Z51</f>
        <v>44.02</v>
      </c>
      <c r="H51" s="8" t="n">
        <f aca="false">E51*INDEX(PAQ_R1,MATCH(B51,PAQ_T,0))</f>
        <v>0</v>
      </c>
      <c r="I51" s="8" t="n">
        <f aca="false">F51*INDEX(PAQ_R2,MATCH(B51,PAQ_T,0))</f>
        <v>58.825</v>
      </c>
      <c r="J51" s="8" t="n">
        <f aca="false">H51+I51</f>
        <v>58.825</v>
      </c>
      <c r="K51" s="11" t="n">
        <f aca="false">(BLOQUES!U51+BLOQUES!W51)*INDEX(PAQ_MZ,MATCH(B51,PAQ_T,0))/1000</f>
        <v>0</v>
      </c>
      <c r="L51" s="11" t="n">
        <f aca="false">(BLOQUES!U51+BLOQUES!W51)*INDEX(PAQ_MT,MATCH(B51,PAQ_T,0))/1000</f>
        <v>0.199200796803187</v>
      </c>
      <c r="M51" s="8" t="n">
        <f aca="false">BLOQUES!F51*INDEX(PAQ_CERCO,MATCH(B51,PAQ_T,0))</f>
        <v>3297.4</v>
      </c>
      <c r="N51" s="11" t="n">
        <f aca="false">IF(ISNUMBER(BLOQUES!AD51),BLOQUES!AD51/1000,0)</f>
        <v>0</v>
      </c>
      <c r="O51" s="22" t="n">
        <f aca="false">P_JORNAL/(P_CARGA*(P_HORAS*P_EFIC/((BLOQUES!AB51/1000*P_SINUOS)/P_VIDA+(BLOQUES!AB51/1000*P_SINUOS)/P_VVUELTA+P_TCD/60)))</f>
        <v>0.0616063596491228</v>
      </c>
      <c r="P51" s="8" t="n">
        <f aca="false">J51*(1+P_RECALCE)*CU_PLANTON</f>
        <v>86.2800983323973</v>
      </c>
      <c r="Q51" s="8" t="n">
        <f aca="false">J51*CU_PLANTA</f>
        <v>403.591385595606</v>
      </c>
      <c r="R51" s="8" t="n">
        <f aca="false">(E51+F51)*CU_HA</f>
        <v>202.766276455623</v>
      </c>
      <c r="S51" s="8" t="n">
        <f aca="false">J51*(1+P_RECALCE)*(P_PESO_PLANTON+P_PESO_INS)*O51</f>
        <v>6.65727717338268</v>
      </c>
      <c r="T51" s="8" t="n">
        <f aca="false">J51*(1+P_RECALCE)*P_PESO_INS*P_FT_KG</f>
        <v>2.35826799710993</v>
      </c>
      <c r="U51" s="8" t="n">
        <f aca="false">K51*CU_ZANJA</f>
        <v>0</v>
      </c>
      <c r="V51" s="8" t="n">
        <f aca="false">L51*CU_TERRAZA</f>
        <v>17964.842617146</v>
      </c>
      <c r="W51" s="8" t="n">
        <f aca="false">M51*CU_CERCO</f>
        <v>72443.2271179449</v>
      </c>
      <c r="X51" s="8" t="n">
        <f aca="false">N51*CU_CARCAVA</f>
        <v>0</v>
      </c>
      <c r="Y51" s="40" t="n">
        <f aca="false">SUM(P51:X51)</f>
        <v>91109.723040645</v>
      </c>
      <c r="Z51" s="8" t="n">
        <f aca="false">Y51*(P_GG+P_SUP+P_ET)</f>
        <v>13736.9327444324</v>
      </c>
      <c r="AA51" s="40" t="n">
        <f aca="false">Y51+Z51</f>
        <v>104846.655785077</v>
      </c>
      <c r="AB51" s="8" t="n">
        <f aca="false">IF(D51=0,0,AA51/D51)</f>
        <v>2372.04261860766</v>
      </c>
      <c r="AC51" s="8" t="n">
        <f aca="false">J51*(1+P_RECALCE)*CU_PLANTON_NC+J51*CU_PLANTA_NC+(E51+F51)*CU_HA_NC+S51+K51*CU_ZANJA_NC+L51*CU_TERRAZA_NC+M51*CU_CERCO_NC+N51*CU_CARCAVA_NC</f>
        <v>11169.4377488209</v>
      </c>
      <c r="AD51" s="8" t="n">
        <f aca="false">J51*(1+P_RECALCE)*CU_PLANTON_C+J51*CU_PLANTA_C+(E51+F51)*CU_HA_C+K51*CU_ZANJA_C+L51*CU_TERRAZA_C+M51*CU_CERCO_C+N51*CU_CARCAVA_C</f>
        <v>1725.98908886701</v>
      </c>
      <c r="AE51" s="8" t="n">
        <f aca="false">Y51-AC51-AD51</f>
        <v>78214.2962029571</v>
      </c>
      <c r="AF51" s="8" t="n">
        <f aca="false">AC51*P_FC_MONC+AD51*P_FC_MOC+(AE51+Z51)*P_FC_BIEN</f>
        <v>83979.4655291076</v>
      </c>
      <c r="AG51" s="8" t="n">
        <f aca="false">(SUM(P51:T51)+W51)*(1+P_GG+P_SUP+P_ET)</f>
        <v>84173.1907886716</v>
      </c>
      <c r="AH51" s="8" t="n">
        <f aca="false">(U51+V51+X51)*(1+P_GG+P_SUP+P_ET)</f>
        <v>20673.4649964057</v>
      </c>
    </row>
    <row r="52" customFormat="false" ht="15" hidden="false" customHeight="false" outlineLevel="0" collapsed="false">
      <c r="A52" s="9" t="str">
        <f aca="false">BLOQUES!A52</f>
        <v>50</v>
      </c>
      <c r="B52" s="9" t="str">
        <f aca="false">BLOQUES!AI52</f>
        <v>T4</v>
      </c>
      <c r="C52" s="9" t="str">
        <f aca="false">BLOQUES!AE52</f>
        <v>No</v>
      </c>
      <c r="D52" s="10" t="n">
        <f aca="false">BLOQUES!E52</f>
        <v>19.266</v>
      </c>
      <c r="E52" s="10" t="n">
        <f aca="false">BLOQUES!U52+BLOQUES!V52</f>
        <v>0</v>
      </c>
      <c r="F52" s="10" t="n">
        <f aca="false">BLOQUES!W52+BLOQUES!X52</f>
        <v>0.069</v>
      </c>
      <c r="G52" s="10" t="n">
        <f aca="false">BLOQUES!Y52+BLOQUES!Z52</f>
        <v>19.198</v>
      </c>
      <c r="H52" s="12" t="n">
        <f aca="false">E52*INDEX(PAQ_R1,MATCH(B52,PAQ_T,0))</f>
        <v>0</v>
      </c>
      <c r="I52" s="12" t="n">
        <f aca="false">F52*INDEX(PAQ_R2,MATCH(B52,PAQ_T,0))</f>
        <v>24.909</v>
      </c>
      <c r="J52" s="12" t="n">
        <f aca="false">H52+I52</f>
        <v>24.909</v>
      </c>
      <c r="K52" s="10" t="n">
        <f aca="false">(BLOQUES!U52+BLOQUES!W52)*INDEX(PAQ_MZ,MATCH(B52,PAQ_T,0))/1000</f>
        <v>0.248398012815898</v>
      </c>
      <c r="L52" s="10" t="n">
        <f aca="false">(BLOQUES!U52+BLOQUES!W52)*INDEX(PAQ_MT,MATCH(B52,PAQ_T,0))/1000</f>
        <v>0</v>
      </c>
      <c r="M52" s="12" t="n">
        <f aca="false">BLOQUES!F52*INDEX(PAQ_CERCO,MATCH(B52,PAQ_T,0))</f>
        <v>1917.2</v>
      </c>
      <c r="N52" s="10" t="n">
        <f aca="false">IF(ISNUMBER(BLOQUES!AD52),BLOQUES!AD52/1000,0)</f>
        <v>0</v>
      </c>
      <c r="O52" s="31" t="n">
        <f aca="false">P_JORNAL/(P_CARGA*(P_HORAS*P_EFIC/((BLOQUES!AB52/1000*P_SINUOS)/P_VIDA+(BLOQUES!AB52/1000*P_SINUOS)/P_VVUELTA+P_TCD/60)))</f>
        <v>0.0576507675438597</v>
      </c>
      <c r="P52" s="12" t="n">
        <f aca="false">J52*(1+P_RECALCE)*CU_PLANTON</f>
        <v>36.5346531128208</v>
      </c>
      <c r="Q52" s="12" t="n">
        <f aca="false">J52*CU_PLANTA</f>
        <v>170.897710561852</v>
      </c>
      <c r="R52" s="12" t="n">
        <f aca="false">(E52+F52)*CU_HA</f>
        <v>77.2976413007625</v>
      </c>
      <c r="S52" s="12" t="n">
        <f aca="false">J52*(1+P_RECALCE)*(P_PESO_PLANTON+P_PESO_INS)*O52</f>
        <v>2.63797419359375</v>
      </c>
      <c r="T52" s="12" t="n">
        <f aca="false">J52*(1+P_RECALCE)*P_PESO_INS*P_FT_KG</f>
        <v>0.998590693412855</v>
      </c>
      <c r="U52" s="12" t="n">
        <f aca="false">K52*CU_ZANJA</f>
        <v>2386.01190214387</v>
      </c>
      <c r="V52" s="12" t="n">
        <f aca="false">L52*CU_TERRAZA</f>
        <v>0</v>
      </c>
      <c r="W52" s="12" t="n">
        <f aca="false">M52*CU_CERCO</f>
        <v>42120.5055590841</v>
      </c>
      <c r="X52" s="12" t="n">
        <f aca="false">N52*CU_CARCAVA</f>
        <v>0</v>
      </c>
      <c r="Y52" s="42" t="n">
        <f aca="false">SUM(P52:X52)</f>
        <v>44794.8840310904</v>
      </c>
      <c r="Z52" s="12" t="n">
        <f aca="false">Y52*(P_GG+P_SUP+P_ET)</f>
        <v>6753.88189858974</v>
      </c>
      <c r="AA52" s="42" t="n">
        <f aca="false">Y52+Z52</f>
        <v>51548.7659296802</v>
      </c>
      <c r="AB52" s="12" t="n">
        <f aca="false">IF(D52=0,0,AA52/D52)</f>
        <v>2675.63406673311</v>
      </c>
      <c r="AC52" s="12" t="n">
        <f aca="false">J52*(1+P_RECALCE)*CU_PLANTON_NC+J52*CU_PLANTA_NC+(E52+F52)*CU_HA_NC+S52+K52*CU_ZANJA_NC+L52*CU_TERRAZA_NC+M52*CU_CERCO_NC+N52*CU_CARCAVA_NC</f>
        <v>2216.5573274817</v>
      </c>
      <c r="AD52" s="12" t="n">
        <f aca="false">J52*(1+P_RECALCE)*CU_PLANTON_C+J52*CU_PLANTA_C+(E52+F52)*CU_HA_C+K52*CU_ZANJA_C+L52*CU_TERRAZA_C+M52*CU_CERCO_C+N52*CU_CARCAVA_C</f>
        <v>180.43927275871</v>
      </c>
      <c r="AE52" s="12" t="n">
        <f aca="false">Y52-AC52-AD52</f>
        <v>42397.88743085</v>
      </c>
      <c r="AF52" s="12" t="n">
        <f aca="false">AC52*P_FC_MONC+AD52*P_FC_MOC+(AE52+Z52)*P_FC_BIEN</f>
        <v>42727.5429076317</v>
      </c>
      <c r="AG52" s="12" t="n">
        <f aca="false">(SUM(P52:T52)+W52)*(1+P_GG+P_SUP+P_ET)</f>
        <v>48803.0066379789</v>
      </c>
      <c r="AH52" s="12" t="n">
        <f aca="false">(U52+V52+X52)*(1+P_GG+P_SUP+P_ET)</f>
        <v>2745.75929170123</v>
      </c>
    </row>
    <row r="53" customFormat="false" ht="15" hidden="false" customHeight="false" outlineLevel="0" collapsed="false">
      <c r="A53" s="7" t="str">
        <f aca="false">BLOQUES!A53</f>
        <v>61</v>
      </c>
      <c r="B53" s="7" t="str">
        <f aca="false">BLOQUES!AI53</f>
        <v>T6</v>
      </c>
      <c r="C53" s="7" t="str">
        <f aca="false">BLOQUES!AE53</f>
        <v>No</v>
      </c>
      <c r="D53" s="11" t="n">
        <f aca="false">BLOQUES!E53</f>
        <v>26.826</v>
      </c>
      <c r="E53" s="11" t="n">
        <f aca="false">BLOQUES!U53+BLOQUES!V53</f>
        <v>0.218</v>
      </c>
      <c r="F53" s="11" t="n">
        <f aca="false">BLOQUES!W53+BLOQUES!X53</f>
        <v>5.442</v>
      </c>
      <c r="G53" s="11" t="n">
        <f aca="false">BLOQUES!Y53+BLOQUES!Z53</f>
        <v>21.166</v>
      </c>
      <c r="H53" s="8" t="n">
        <f aca="false">E53*INDEX(PAQ_R1,MATCH(B53,PAQ_T,0))</f>
        <v>141.7</v>
      </c>
      <c r="I53" s="8" t="n">
        <f aca="false">F53*INDEX(PAQ_R2,MATCH(B53,PAQ_T,0))</f>
        <v>1768.65</v>
      </c>
      <c r="J53" s="8" t="n">
        <f aca="false">H53+I53</f>
        <v>1910.35</v>
      </c>
      <c r="K53" s="11" t="n">
        <f aca="false">(BLOQUES!U53+BLOQUES!W53)*INDEX(PAQ_MZ,MATCH(B53,PAQ_T,0))/1000</f>
        <v>0</v>
      </c>
      <c r="L53" s="11" t="n">
        <f aca="false">(BLOQUES!U53+BLOQUES!W53)*INDEX(PAQ_MT,MATCH(B53,PAQ_T,0))/1000</f>
        <v>6.63242652970612</v>
      </c>
      <c r="M53" s="8" t="n">
        <f aca="false">BLOQUES!F53*INDEX(PAQ_CERCO,MATCH(B53,PAQ_T,0))</f>
        <v>1957.6</v>
      </c>
      <c r="N53" s="11" t="n">
        <f aca="false">IF(ISNUMBER(BLOQUES!AD53),BLOQUES!AD53/1000,0)</f>
        <v>0</v>
      </c>
      <c r="O53" s="22" t="n">
        <f aca="false">P_JORNAL/(P_CARGA*(P_HORAS*P_EFIC/((BLOQUES!AB53/1000*P_SINUOS)/P_VIDA+(BLOQUES!AB53/1000*P_SINUOS)/P_VVUELTA+P_TCD/60)))</f>
        <v>0.0603234649122807</v>
      </c>
      <c r="P53" s="8" t="n">
        <f aca="false">J53*(1+P_RECALCE)*CU_PLANTON</f>
        <v>2801.95811048526</v>
      </c>
      <c r="Q53" s="8" t="n">
        <f aca="false">J53*CU_PLANTA</f>
        <v>13106.6859918838</v>
      </c>
      <c r="R53" s="8" t="n">
        <f aca="false">(E53+F53)*CU_HA</f>
        <v>6340.64709800457</v>
      </c>
      <c r="S53" s="8" t="n">
        <f aca="false">J53*(1+P_RECALCE)*(P_PESO_PLANTON+P_PESO_INS)*O53</f>
        <v>211.693916605537</v>
      </c>
      <c r="T53" s="8" t="n">
        <f aca="false">J53*(1+P_RECALCE)*P_PESO_INS*P_FT_KG</f>
        <v>76.5850789337688</v>
      </c>
      <c r="U53" s="8" t="n">
        <f aca="false">K53*CU_ZANJA</f>
        <v>0</v>
      </c>
      <c r="V53" s="8" t="n">
        <f aca="false">L53*CU_TERRAZA</f>
        <v>598142.681596181</v>
      </c>
      <c r="W53" s="8" t="n">
        <f aca="false">M53*CU_CERCO</f>
        <v>43008.0855844268</v>
      </c>
      <c r="X53" s="8" t="n">
        <f aca="false">N53*CU_CARCAVA</f>
        <v>0</v>
      </c>
      <c r="Y53" s="40" t="n">
        <f aca="false">SUM(P53:X53)</f>
        <v>663688.337376521</v>
      </c>
      <c r="Z53" s="8" t="n">
        <f aca="false">Y53*(P_GG+P_SUP+P_ET)</f>
        <v>100066.620219427</v>
      </c>
      <c r="AA53" s="40" t="n">
        <f aca="false">Y53+Z53</f>
        <v>763754.957595948</v>
      </c>
      <c r="AB53" s="8" t="n">
        <f aca="false">IF(D53=0,0,AA53/D53)</f>
        <v>28470.6984863918</v>
      </c>
      <c r="AC53" s="8" t="n">
        <f aca="false">J53*(1+P_RECALCE)*CU_PLANTON_NC+J53*CU_PLANTA_NC+(E53+F53)*CU_HA_NC+S53+K53*CU_ZANJA_NC+L53*CU_TERRAZA_NC+M53*CU_CERCO_NC+N53*CU_CARCAVA_NC</f>
        <v>371355.845350989</v>
      </c>
      <c r="AD53" s="8" t="n">
        <f aca="false">J53*(1+P_RECALCE)*CU_PLANTON_C+J53*CU_PLANTA_C+(E53+F53)*CU_HA_C+K53*CU_ZANJA_C+L53*CU_TERRAZA_C+M53*CU_CERCO_C+N53*CU_CARCAVA_C</f>
        <v>57393.5017109595</v>
      </c>
      <c r="AE53" s="8" t="n">
        <f aca="false">Y53-AC53-AD53</f>
        <v>234938.990314573</v>
      </c>
      <c r="AF53" s="8" t="n">
        <f aca="false">AC53*P_FC_MONC+AD53*P_FC_MOC+(AE53+Z53)*P_FC_BIEN</f>
        <v>485213.381173649</v>
      </c>
      <c r="AG53" s="8" t="n">
        <f aca="false">(SUM(P53:T53)+W53)*(1+P_GG+P_SUP+P_ET)</f>
        <v>75428.2043722454</v>
      </c>
      <c r="AH53" s="8" t="n">
        <f aca="false">(U53+V53+X53)*(1+P_GG+P_SUP+P_ET)</f>
        <v>688326.753223702</v>
      </c>
    </row>
    <row r="54" customFormat="false" ht="15" hidden="false" customHeight="false" outlineLevel="0" collapsed="false">
      <c r="A54" s="9" t="str">
        <f aca="false">BLOQUES!A54</f>
        <v>26</v>
      </c>
      <c r="B54" s="9" t="str">
        <f aca="false">BLOQUES!AI54</f>
        <v>T6</v>
      </c>
      <c r="C54" s="9" t="str">
        <f aca="false">BLOQUES!AE54</f>
        <v>No</v>
      </c>
      <c r="D54" s="10" t="n">
        <f aca="false">BLOQUES!E54</f>
        <v>46.962</v>
      </c>
      <c r="E54" s="10" t="n">
        <f aca="false">BLOQUES!U54+BLOQUES!V54</f>
        <v>0</v>
      </c>
      <c r="F54" s="10" t="n">
        <f aca="false">BLOQUES!W54+BLOQUES!X54</f>
        <v>1.102</v>
      </c>
      <c r="G54" s="10" t="n">
        <f aca="false">BLOQUES!Y54+BLOQUES!Z54</f>
        <v>45.859</v>
      </c>
      <c r="H54" s="12" t="n">
        <f aca="false">E54*INDEX(PAQ_R1,MATCH(B54,PAQ_T,0))</f>
        <v>0</v>
      </c>
      <c r="I54" s="12" t="n">
        <f aca="false">F54*INDEX(PAQ_R2,MATCH(B54,PAQ_T,0))</f>
        <v>358.15</v>
      </c>
      <c r="J54" s="12" t="n">
        <f aca="false">H54+I54</f>
        <v>358.15</v>
      </c>
      <c r="K54" s="10" t="n">
        <f aca="false">(BLOQUES!U54+BLOQUES!W54)*INDEX(PAQ_MZ,MATCH(B54,PAQ_T,0))/1000</f>
        <v>0</v>
      </c>
      <c r="L54" s="10" t="n">
        <f aca="false">(BLOQUES!U54+BLOQUES!W54)*INDEX(PAQ_MT,MATCH(B54,PAQ_T,0))/1000</f>
        <v>1.32240528962116</v>
      </c>
      <c r="M54" s="12" t="n">
        <f aca="false">BLOQUES!F54*INDEX(PAQ_CERCO,MATCH(B54,PAQ_T,0))</f>
        <v>3375.3</v>
      </c>
      <c r="N54" s="10" t="n">
        <f aca="false">IF(ISNUMBER(BLOQUES!AD54),BLOQUES!AD54/1000,0)</f>
        <v>0</v>
      </c>
      <c r="O54" s="31" t="n">
        <f aca="false">P_JORNAL/(P_CARGA*(P_HORAS*P_EFIC/((BLOQUES!AB54/1000*P_SINUOS)/P_VIDA+(BLOQUES!AB54/1000*P_SINUOS)/P_VVUELTA+P_TCD/60)))</f>
        <v>0.0854468201754386</v>
      </c>
      <c r="P54" s="12" t="n">
        <f aca="false">J54*(1+P_RECALCE)*CU_PLANTON</f>
        <v>525.307560012718</v>
      </c>
      <c r="Q54" s="12" t="n">
        <f aca="false">J54*CU_PLANTA</f>
        <v>2457.22490014562</v>
      </c>
      <c r="R54" s="12" t="n">
        <f aca="false">(E54+F54)*CU_HA</f>
        <v>1234.52174947015</v>
      </c>
      <c r="S54" s="12" t="n">
        <f aca="false">J54*(1+P_RECALCE)*(P_PESO_PLANTON+P_PESO_INS)*O54</f>
        <v>56.2173043723959</v>
      </c>
      <c r="T54" s="12" t="n">
        <f aca="false">J54*(1+P_RECALCE)*P_PESO_INS*P_FT_KG</f>
        <v>14.3580736619621</v>
      </c>
      <c r="U54" s="12" t="n">
        <f aca="false">K54*CU_ZANJA</f>
        <v>0</v>
      </c>
      <c r="V54" s="12" t="n">
        <f aca="false">L54*CU_TERRAZA</f>
        <v>119260.581711415</v>
      </c>
      <c r="W54" s="12" t="n">
        <f aca="false">M54*CU_CERCO</f>
        <v>74154.6747410685</v>
      </c>
      <c r="X54" s="12" t="n">
        <f aca="false">N54*CU_CARCAVA</f>
        <v>0</v>
      </c>
      <c r="Y54" s="42" t="n">
        <f aca="false">SUM(P54:X54)</f>
        <v>197702.886040146</v>
      </c>
      <c r="Z54" s="12" t="n">
        <f aca="false">Y54*(P_GG+P_SUP+P_ET)</f>
        <v>29808.3580794347</v>
      </c>
      <c r="AA54" s="42" t="n">
        <f aca="false">Y54+Z54</f>
        <v>227511.244119581</v>
      </c>
      <c r="AB54" s="12" t="n">
        <f aca="false">IF(D54=0,0,AA54/D54)</f>
        <v>4844.58166431543</v>
      </c>
      <c r="AC54" s="12" t="n">
        <f aca="false">J54*(1+P_RECALCE)*CU_PLANTON_NC+J54*CU_PLANTA_NC+(E54+F54)*CU_HA_NC+S54+K54*CU_ZANJA_NC+L54*CU_TERRAZA_NC+M54*CU_CERCO_NC+N54*CU_CARCAVA_NC</f>
        <v>73926.0907657408</v>
      </c>
      <c r="AD54" s="12" t="n">
        <f aca="false">J54*(1+P_RECALCE)*CU_PLANTON_C+J54*CU_PLANTA_C+(E54+F54)*CU_HA_C+K54*CU_ZANJA_C+L54*CU_TERRAZA_C+M54*CU_CERCO_C+N54*CU_CARCAVA_C</f>
        <v>11431.8421170627</v>
      </c>
      <c r="AE54" s="12" t="n">
        <f aca="false">Y54-AC54-AD54</f>
        <v>112344.953157343</v>
      </c>
      <c r="AF54" s="12" t="n">
        <f aca="false">AC54*P_FC_MONC+AD54*P_FC_MOC+(AE54+Z54)*P_FC_BIEN</f>
        <v>160549.021221868</v>
      </c>
      <c r="AG54" s="12" t="n">
        <f aca="false">(SUM(P54:T54)+W54)*(1+P_GG+P_SUP+P_ET)</f>
        <v>90269.3258904298</v>
      </c>
      <c r="AH54" s="12" t="n">
        <f aca="false">(U54+V54+X54)*(1+P_GG+P_SUP+P_ET)</f>
        <v>137241.918229151</v>
      </c>
    </row>
    <row r="55" customFormat="false" ht="15" hidden="false" customHeight="false" outlineLevel="0" collapsed="false">
      <c r="A55" s="7" t="str">
        <f aca="false">BLOQUES!A55</f>
        <v>37</v>
      </c>
      <c r="B55" s="7" t="str">
        <f aca="false">BLOQUES!AI55</f>
        <v>T4</v>
      </c>
      <c r="C55" s="7" t="str">
        <f aca="false">BLOQUES!AE55</f>
        <v>No</v>
      </c>
      <c r="D55" s="11" t="n">
        <f aca="false">BLOQUES!E55</f>
        <v>35.491</v>
      </c>
      <c r="E55" s="11" t="n">
        <f aca="false">BLOQUES!U55+BLOQUES!V55</f>
        <v>0</v>
      </c>
      <c r="F55" s="11" t="n">
        <f aca="false">BLOQUES!W55+BLOQUES!X55</f>
        <v>0.68</v>
      </c>
      <c r="G55" s="11" t="n">
        <f aca="false">BLOQUES!Y55+BLOQUES!Z55</f>
        <v>34.81</v>
      </c>
      <c r="H55" s="8" t="n">
        <f aca="false">E55*INDEX(PAQ_R1,MATCH(B55,PAQ_T,0))</f>
        <v>0</v>
      </c>
      <c r="I55" s="8" t="n">
        <f aca="false">F55*INDEX(PAQ_R2,MATCH(B55,PAQ_T,0))</f>
        <v>245.48</v>
      </c>
      <c r="J55" s="8" t="n">
        <f aca="false">H55+I55</f>
        <v>245.48</v>
      </c>
      <c r="K55" s="11" t="n">
        <f aca="false">(BLOQUES!U55+BLOQUES!W55)*INDEX(PAQ_MZ,MATCH(B55,PAQ_T,0))/1000</f>
        <v>2.44798041615667</v>
      </c>
      <c r="L55" s="11" t="n">
        <f aca="false">(BLOQUES!U55+BLOQUES!W55)*INDEX(PAQ_MT,MATCH(B55,PAQ_T,0))/1000</f>
        <v>0</v>
      </c>
      <c r="M55" s="8" t="n">
        <f aca="false">BLOQUES!F55*INDEX(PAQ_CERCO,MATCH(B55,PAQ_T,0))</f>
        <v>2357.2</v>
      </c>
      <c r="N55" s="11" t="n">
        <f aca="false">IF(ISNUMBER(BLOQUES!AD55),BLOQUES!AD55/1000,0)</f>
        <v>0</v>
      </c>
      <c r="O55" s="22" t="n">
        <f aca="false">P_JORNAL/(P_CARGA*(P_HORAS*P_EFIC/((BLOQUES!AB55/1000*P_SINUOS)/P_VIDA+(BLOQUES!AB55/1000*P_SINUOS)/P_VVUELTA+P_TCD/60)))</f>
        <v>0.0771080043859649</v>
      </c>
      <c r="P55" s="8" t="n">
        <f aca="false">J55*(1+P_RECALCE)*CU_PLANTON</f>
        <v>360.051653865481</v>
      </c>
      <c r="Q55" s="8" t="n">
        <f aca="false">J55*CU_PLANTA</f>
        <v>1684.20932147912</v>
      </c>
      <c r="R55" s="8" t="n">
        <f aca="false">(E55+F55)*CU_HA</f>
        <v>761.773856297369</v>
      </c>
      <c r="S55" s="8" t="n">
        <f aca="false">J55*(1+P_RECALCE)*(P_PESO_PLANTON+P_PESO_INS)*O55</f>
        <v>34.7716047479167</v>
      </c>
      <c r="T55" s="8" t="n">
        <f aca="false">J55*(1+P_RECALCE)*P_PESO_INS*P_FT_KG</f>
        <v>9.84118364522814</v>
      </c>
      <c r="U55" s="8" t="n">
        <f aca="false">K55*CU_ZANJA</f>
        <v>23514.3201950411</v>
      </c>
      <c r="V55" s="8" t="n">
        <f aca="false">L55*CU_TERRAZA</f>
        <v>0</v>
      </c>
      <c r="W55" s="8" t="n">
        <f aca="false">M55*CU_CERCO</f>
        <v>51787.2187063807</v>
      </c>
      <c r="X55" s="8" t="n">
        <f aca="false">N55*CU_CARCAVA</f>
        <v>0</v>
      </c>
      <c r="Y55" s="40" t="n">
        <f aca="false">SUM(P55:X55)</f>
        <v>78152.1865214569</v>
      </c>
      <c r="Z55" s="8" t="n">
        <f aca="false">Y55*(P_GG+P_SUP+P_ET)</f>
        <v>11783.2794815615</v>
      </c>
      <c r="AA55" s="40" t="n">
        <f aca="false">Y55+Z55</f>
        <v>89935.4660030184</v>
      </c>
      <c r="AB55" s="8" t="n">
        <f aca="false">IF(D55=0,0,AA55/D55)</f>
        <v>2534.03584015718</v>
      </c>
      <c r="AC55" s="8" t="n">
        <f aca="false">J55*(1+P_RECALCE)*CU_PLANTON_NC+J55*CU_PLANTA_NC+(E55+F55)*CU_HA_NC+S55+K55*CU_ZANJA_NC+L55*CU_TERRAZA_NC+M55*CU_CERCO_NC+N55*CU_CARCAVA_NC</f>
        <v>21853.1072603409</v>
      </c>
      <c r="AD55" s="8" t="n">
        <f aca="false">J55*(1+P_RECALCE)*CU_PLANTON_C+J55*CU_PLANTA_C+(E55+F55)*CU_HA_C+K55*CU_ZANJA_C+L55*CU_TERRAZA_C+M55*CU_CERCO_C+N55*CU_CARCAVA_C</f>
        <v>1778.2421083467</v>
      </c>
      <c r="AE55" s="8" t="n">
        <f aca="false">Y55-AC55-AD55</f>
        <v>54520.8371527693</v>
      </c>
      <c r="AF55" s="8" t="n">
        <f aca="false">AC55*P_FC_MONC+AD55*P_FC_MOC+(AE55+Z55)*P_FC_BIEN</f>
        <v>66773.0456660649</v>
      </c>
      <c r="AG55" s="8" t="n">
        <f aca="false">(SUM(P55:T55)+W55)*(1+P_GG+P_SUP+P_ET)</f>
        <v>62875.8092152382</v>
      </c>
      <c r="AH55" s="8" t="n">
        <f aca="false">(U55+V55+X55)*(1+P_GG+P_SUP+P_ET)</f>
        <v>27059.6567877802</v>
      </c>
    </row>
    <row r="56" customFormat="false" ht="15" hidden="false" customHeight="false" outlineLevel="0" collapsed="false">
      <c r="A56" s="9" t="str">
        <f aca="false">BLOQUES!A56</f>
        <v>M2B8</v>
      </c>
      <c r="B56" s="9" t="str">
        <f aca="false">BLOQUES!AI56</f>
        <v>T1</v>
      </c>
      <c r="C56" s="9" t="str">
        <f aca="false">BLOQUES!AE56</f>
        <v>No</v>
      </c>
      <c r="D56" s="10" t="n">
        <f aca="false">BLOQUES!E56</f>
        <v>116.099</v>
      </c>
      <c r="E56" s="10" t="n">
        <f aca="false">BLOQUES!U56+BLOQUES!V56</f>
        <v>63.174</v>
      </c>
      <c r="F56" s="10" t="n">
        <f aca="false">BLOQUES!W56+BLOQUES!X56</f>
        <v>43.999</v>
      </c>
      <c r="G56" s="10" t="n">
        <f aca="false">BLOQUES!Y56+BLOQUES!Z56</f>
        <v>8.926</v>
      </c>
      <c r="H56" s="12" t="n">
        <f aca="false">E56*INDEX(PAQ_R1,MATCH(B56,PAQ_T,0))</f>
        <v>41063.1</v>
      </c>
      <c r="I56" s="12" t="n">
        <f aca="false">F56*INDEX(PAQ_R2,MATCH(B56,PAQ_T,0))</f>
        <v>14299.675</v>
      </c>
      <c r="J56" s="12" t="n">
        <f aca="false">H56+I56</f>
        <v>55362.775</v>
      </c>
      <c r="K56" s="10" t="n">
        <f aca="false">(BLOQUES!U56+BLOQUES!W56)*INDEX(PAQ_MZ,MATCH(B56,PAQ_T,0))/1000</f>
        <v>238.638490892073</v>
      </c>
      <c r="L56" s="10" t="n">
        <f aca="false">(BLOQUES!U56+BLOQUES!W56)*INDEX(PAQ_MT,MATCH(B56,PAQ_T,0))/1000</f>
        <v>0</v>
      </c>
      <c r="M56" s="12" t="n">
        <f aca="false">BLOQUES!F56*INDEX(PAQ_CERCO,MATCH(B56,PAQ_T,0))</f>
        <v>4620.1</v>
      </c>
      <c r="N56" s="10" t="n">
        <f aca="false">IF(ISNUMBER(BLOQUES!AD56),BLOQUES!AD56/1000,0)</f>
        <v>0</v>
      </c>
      <c r="O56" s="31" t="n">
        <f aca="false">P_JORNAL/(P_CARGA*(P_HORAS*P_EFIC/((BLOQUES!AB56/1000*P_SINUOS)/P_VIDA+(BLOQUES!AB56/1000*P_SINUOS)/P_VVUELTA+P_TCD/60)))</f>
        <v>0.234476425438596</v>
      </c>
      <c r="P56" s="12" t="n">
        <f aca="false">J56*(1+P_RECALCE)*CU_PLANTON</f>
        <v>81201.9663570657</v>
      </c>
      <c r="Q56" s="12" t="n">
        <f aca="false">J56*CU_PLANTA</f>
        <v>379837.468298645</v>
      </c>
      <c r="R56" s="12" t="n">
        <f aca="false">(E56+F56)*CU_HA</f>
        <v>120061.16103082</v>
      </c>
      <c r="S56" s="12" t="n">
        <f aca="false">J56*(1+P_RECALCE)*(P_PESO_PLANTON+P_PESO_INS)*O56</f>
        <v>23846.5848784717</v>
      </c>
      <c r="T56" s="12" t="n">
        <f aca="false">J56*(1+P_RECALCE)*P_PESO_INS*P_FT_KG</f>
        <v>2219.46894200931</v>
      </c>
      <c r="U56" s="12" t="n">
        <f aca="false">K56*CU_ZANJA</f>
        <v>2292265.84030747</v>
      </c>
      <c r="V56" s="12" t="n">
        <f aca="false">L56*CU_TERRAZA</f>
        <v>0</v>
      </c>
      <c r="W56" s="12" t="n">
        <f aca="false">M56*CU_CERCO</f>
        <v>101502.685026875</v>
      </c>
      <c r="X56" s="12" t="n">
        <f aca="false">N56*CU_CARCAVA</f>
        <v>0</v>
      </c>
      <c r="Y56" s="42" t="n">
        <f aca="false">SUM(P56:X56)</f>
        <v>3000935.17484135</v>
      </c>
      <c r="Z56" s="12" t="n">
        <f aca="false">Y56*(P_GG+P_SUP+P_ET)</f>
        <v>452461.529806284</v>
      </c>
      <c r="AA56" s="42" t="n">
        <f aca="false">Y56+Z56</f>
        <v>3453396.70464764</v>
      </c>
      <c r="AB56" s="12" t="n">
        <f aca="false">IF(D56=0,0,AA56/D56)</f>
        <v>29745.2751931338</v>
      </c>
      <c r="AC56" s="12" t="n">
        <f aca="false">J56*(1+P_RECALCE)*CU_PLANTON_NC+J56*CU_PLANTA_NC+(E56+F56)*CU_HA_NC+S56+K56*CU_ZANJA_NC+L56*CU_TERRAZA_NC+M56*CU_CERCO_NC+N56*CU_CARCAVA_NC</f>
        <v>2334679.13718939</v>
      </c>
      <c r="AD56" s="12" t="n">
        <f aca="false">J56*(1+P_RECALCE)*CU_PLANTON_C+J56*CU_PLANTA_C+(E56+F56)*CU_HA_C+K56*CU_ZANJA_C+L56*CU_TERRAZA_C+M56*CU_CERCO_C+N56*CU_CARCAVA_C</f>
        <v>189985.045356789</v>
      </c>
      <c r="AE56" s="12" t="n">
        <f aca="false">Y56-AC56-AD56</f>
        <v>476270.992295179</v>
      </c>
      <c r="AF56" s="12" t="n">
        <f aca="false">AC56*P_FC_MONC+AD56*P_FC_MOC+(AE56+Z56)*P_FC_BIEN</f>
        <v>1917714.88285942</v>
      </c>
      <c r="AG56" s="12" t="n">
        <f aca="false">(SUM(P56:T56)+W56)*(1+P_GG+P_SUP+P_ET)</f>
        <v>815517.897581223</v>
      </c>
      <c r="AH56" s="12" t="n">
        <f aca="false">(U56+V56+X56)*(1+P_GG+P_SUP+P_ET)</f>
        <v>2637878.80706642</v>
      </c>
    </row>
    <row r="57" customFormat="false" ht="15" hidden="false" customHeight="false" outlineLevel="0" collapsed="false">
      <c r="A57" s="7" t="str">
        <f aca="false">BLOQUES!A57</f>
        <v>M20B1</v>
      </c>
      <c r="B57" s="7" t="str">
        <f aca="false">BLOQUES!AI57</f>
        <v>T1</v>
      </c>
      <c r="C57" s="7" t="str">
        <f aca="false">BLOQUES!AE57</f>
        <v>No</v>
      </c>
      <c r="D57" s="11" t="n">
        <f aca="false">BLOQUES!E57</f>
        <v>279.68</v>
      </c>
      <c r="E57" s="11" t="n">
        <f aca="false">BLOQUES!U57+BLOQUES!V57</f>
        <v>190.256</v>
      </c>
      <c r="F57" s="11" t="n">
        <f aca="false">BLOQUES!W57+BLOQUES!X57</f>
        <v>81.548</v>
      </c>
      <c r="G57" s="11" t="n">
        <f aca="false">BLOQUES!Y57+BLOQUES!Z57</f>
        <v>7.876</v>
      </c>
      <c r="H57" s="8" t="n">
        <f aca="false">E57*INDEX(PAQ_R1,MATCH(B57,PAQ_T,0))</f>
        <v>123666.4</v>
      </c>
      <c r="I57" s="8" t="n">
        <f aca="false">F57*INDEX(PAQ_R2,MATCH(B57,PAQ_T,0))</f>
        <v>26503.1</v>
      </c>
      <c r="J57" s="8" t="n">
        <f aca="false">H57+I57</f>
        <v>150169.5</v>
      </c>
      <c r="K57" s="11" t="n">
        <f aca="false">(BLOQUES!U57+BLOQUES!W57)*INDEX(PAQ_MZ,MATCH(B57,PAQ_T,0))/1000</f>
        <v>518.028655770754</v>
      </c>
      <c r="L57" s="11" t="n">
        <f aca="false">(BLOQUES!U57+BLOQUES!W57)*INDEX(PAQ_MT,MATCH(B57,PAQ_T,0))/1000</f>
        <v>0</v>
      </c>
      <c r="M57" s="8" t="n">
        <f aca="false">BLOQUES!F57*INDEX(PAQ_CERCO,MATCH(B57,PAQ_T,0))</f>
        <v>11210.1</v>
      </c>
      <c r="N57" s="11" t="n">
        <f aca="false">IF(ISNUMBER(BLOQUES!AD57),BLOQUES!AD57/1000,0)</f>
        <v>0</v>
      </c>
      <c r="O57" s="22" t="n">
        <f aca="false">P_JORNAL/(P_CARGA*(P_HORAS*P_EFIC/((BLOQUES!AB57/1000*P_SINUOS)/P_VIDA+(BLOQUES!AB57/1000*P_SINUOS)/P_VVUELTA+P_TCD/60)))</f>
        <v>0.254040570175439</v>
      </c>
      <c r="P57" s="8" t="n">
        <f aca="false">J57*(1+P_RECALCE)*CU_PLANTON</f>
        <v>220257.360416948</v>
      </c>
      <c r="Q57" s="8" t="n">
        <f aca="false">J57*CU_PLANTA</f>
        <v>1030295.22446578</v>
      </c>
      <c r="R57" s="8" t="n">
        <f aca="false">(E57+F57)*CU_HA</f>
        <v>304489.972407427</v>
      </c>
      <c r="S57" s="8" t="n">
        <f aca="false">J57*(1+P_RECALCE)*(P_PESO_PLANTON+P_PESO_INS)*O57</f>
        <v>70079.9801052385</v>
      </c>
      <c r="T57" s="8" t="n">
        <f aca="false">J57*(1+P_RECALCE)*P_PESO_INS*P_FT_KG</f>
        <v>6020.22823615809</v>
      </c>
      <c r="U57" s="8" t="n">
        <f aca="false">K57*CU_ZANJA</f>
        <v>4975975.95209709</v>
      </c>
      <c r="V57" s="8" t="n">
        <f aca="false">L57*CU_TERRAZA</f>
        <v>0</v>
      </c>
      <c r="W57" s="8" t="n">
        <f aca="false">M57*CU_CERCO</f>
        <v>246283.684210249</v>
      </c>
      <c r="X57" s="8" t="n">
        <f aca="false">N57*CU_CARCAVA</f>
        <v>0</v>
      </c>
      <c r="Y57" s="40" t="n">
        <f aca="false">SUM(P57:X57)</f>
        <v>6853402.40193888</v>
      </c>
      <c r="Z57" s="8" t="n">
        <f aca="false">Y57*(P_GG+P_SUP+P_ET)</f>
        <v>1033311.53606917</v>
      </c>
      <c r="AA57" s="40" t="n">
        <f aca="false">Y57+Z57</f>
        <v>7886713.93800806</v>
      </c>
      <c r="AB57" s="8" t="n">
        <f aca="false">IF(D57=0,0,AA57/D57)</f>
        <v>28199.0629934499</v>
      </c>
      <c r="AC57" s="8" t="n">
        <f aca="false">J57*(1+P_RECALCE)*CU_PLANTON_NC+J57*CU_PLANTA_NC+(E57+F57)*CU_HA_NC+S57+K57*CU_ZANJA_NC+L57*CU_TERRAZA_NC+M57*CU_CERCO_NC+N57*CU_CARCAVA_NC</f>
        <v>5261935.16735496</v>
      </c>
      <c r="AD57" s="8" t="n">
        <f aca="false">J57*(1+P_RECALCE)*CU_PLANTON_C+J57*CU_PLANTA_C+(E57+F57)*CU_HA_C+K57*CU_ZANJA_C+L57*CU_TERRAZA_C+M57*CU_CERCO_C+N57*CU_CARCAVA_C</f>
        <v>428308.604201849</v>
      </c>
      <c r="AE57" s="8" t="n">
        <f aca="false">Y57-AC57-AD57</f>
        <v>1163158.63038207</v>
      </c>
      <c r="AF57" s="8" t="n">
        <f aca="false">AC57*P_FC_MONC+AD57*P_FC_MOC+(AE57+Z57)*P_FC_BIEN</f>
        <v>4409791.96290621</v>
      </c>
      <c r="AG57" s="8" t="n">
        <f aca="false">(SUM(P57:T57)+W57)*(1+P_GG+P_SUP+P_ET)</f>
        <v>2160492.62558453</v>
      </c>
      <c r="AH57" s="8" t="n">
        <f aca="false">(U57+V57+X57)*(1+P_GG+P_SUP+P_ET)</f>
        <v>5726221.31242352</v>
      </c>
    </row>
    <row r="58" customFormat="false" ht="15" hidden="false" customHeight="false" outlineLevel="0" collapsed="false">
      <c r="A58" s="9" t="str">
        <f aca="false">BLOQUES!A58</f>
        <v>9</v>
      </c>
      <c r="B58" s="9" t="str">
        <f aca="false">BLOQUES!AI58</f>
        <v>T6</v>
      </c>
      <c r="C58" s="9" t="str">
        <f aca="false">BLOQUES!AE58</f>
        <v>No</v>
      </c>
      <c r="D58" s="10" t="n">
        <f aca="false">BLOQUES!E58</f>
        <v>109.861</v>
      </c>
      <c r="E58" s="10" t="n">
        <f aca="false">BLOQUES!U58+BLOQUES!V58</f>
        <v>0.415</v>
      </c>
      <c r="F58" s="10" t="n">
        <f aca="false">BLOQUES!W58+BLOQUES!X58</f>
        <v>12.421</v>
      </c>
      <c r="G58" s="10" t="n">
        <f aca="false">BLOQUES!Y58+BLOQUES!Z58</f>
        <v>97.026</v>
      </c>
      <c r="H58" s="12" t="n">
        <f aca="false">E58*INDEX(PAQ_R1,MATCH(B58,PAQ_T,0))</f>
        <v>269.75</v>
      </c>
      <c r="I58" s="12" t="n">
        <f aca="false">F58*INDEX(PAQ_R2,MATCH(B58,PAQ_T,0))</f>
        <v>4036.825</v>
      </c>
      <c r="J58" s="12" t="n">
        <f aca="false">H58+I58</f>
        <v>4306.575</v>
      </c>
      <c r="K58" s="10" t="n">
        <f aca="false">(BLOQUES!U58+BLOQUES!W58)*INDEX(PAQ_MZ,MATCH(B58,PAQ_T,0))/1000</f>
        <v>0</v>
      </c>
      <c r="L58" s="10" t="n">
        <f aca="false">(BLOQUES!U58+BLOQUES!W58)*INDEX(PAQ_MT,MATCH(B58,PAQ_T,0))/1000</f>
        <v>15.310861243445</v>
      </c>
      <c r="M58" s="12" t="n">
        <f aca="false">BLOQUES!F58*INDEX(PAQ_CERCO,MATCH(B58,PAQ_T,0))</f>
        <v>4834.7</v>
      </c>
      <c r="N58" s="10" t="n">
        <f aca="false">IF(ISNUMBER(BLOQUES!AD58),BLOQUES!AD58/1000,0)</f>
        <v>0</v>
      </c>
      <c r="O58" s="31" t="n">
        <f aca="false">P_JORNAL/(P_CARGA*(P_HORAS*P_EFIC/((BLOQUES!AB58/1000*P_SINUOS)/P_VIDA+(BLOQUES!AB58/1000*P_SINUOS)/P_VVUELTA+P_TCD/60)))</f>
        <v>0.194599780701754</v>
      </c>
      <c r="P58" s="12" t="n">
        <f aca="false">J58*(1+P_RECALCE)*CU_PLANTON</f>
        <v>6316.56123205855</v>
      </c>
      <c r="Q58" s="12" t="n">
        <f aca="false">J58*CU_PLANTA</f>
        <v>29546.9030415877</v>
      </c>
      <c r="R58" s="12" t="n">
        <f aca="false">(E58+F58)*CU_HA</f>
        <v>14379.6017932839</v>
      </c>
      <c r="S58" s="12" t="n">
        <f aca="false">J58*(1+P_RECALCE)*(P_PESO_PLANTON+P_PESO_INS)*O58</f>
        <v>1539.51355740748</v>
      </c>
      <c r="T58" s="12" t="n">
        <f aca="false">J58*(1+P_RECALCE)*P_PESO_INS*P_FT_KG</f>
        <v>172.648669777368</v>
      </c>
      <c r="U58" s="12" t="n">
        <f aca="false">K58*CU_ZANJA</f>
        <v>0</v>
      </c>
      <c r="V58" s="12" t="n">
        <f aca="false">L58*CU_TERRAZA</f>
        <v>1380803.77682028</v>
      </c>
      <c r="W58" s="12" t="n">
        <f aca="false">M58*CU_CERCO</f>
        <v>106217.404666443</v>
      </c>
      <c r="X58" s="12" t="n">
        <f aca="false">N58*CU_CARCAVA</f>
        <v>0</v>
      </c>
      <c r="Y58" s="42" t="n">
        <f aca="false">SUM(P58:X58)</f>
        <v>1538976.40978083</v>
      </c>
      <c r="Z58" s="12" t="n">
        <f aca="false">Y58*(P_GG+P_SUP+P_ET)</f>
        <v>232036.875219083</v>
      </c>
      <c r="AA58" s="42" t="n">
        <f aca="false">Y58+Z58</f>
        <v>1771013.28499992</v>
      </c>
      <c r="AB58" s="12" t="n">
        <f aca="false">IF(D58=0,0,AA58/D58)</f>
        <v>16120.4912116212</v>
      </c>
      <c r="AC58" s="12" t="n">
        <f aca="false">J58*(1+P_RECALCE)*CU_PLANTON_NC+J58*CU_PLANTA_NC+(E58+F58)*CU_HA_NC+S58+K58*CU_ZANJA_NC+L58*CU_TERRAZA_NC+M58*CU_CERCO_NC+N58*CU_CARCAVA_NC</f>
        <v>857639.671053789</v>
      </c>
      <c r="AD58" s="12" t="n">
        <f aca="false">J58*(1+P_RECALCE)*CU_PLANTON_C+J58*CU_PLANTA_C+(E58+F58)*CU_HA_C+K58*CU_ZANJA_C+L58*CU_TERRAZA_C+M58*CU_CERCO_C+N58*CU_CARCAVA_C</f>
        <v>132422.209111611</v>
      </c>
      <c r="AE58" s="12" t="n">
        <f aca="false">Y58-AC58-AD58</f>
        <v>548914.529615435</v>
      </c>
      <c r="AF58" s="12" t="n">
        <f aca="false">AC58*P_FC_MONC+AD58*P_FC_MOC+(AE58+Z58)*P_FC_BIEN</f>
        <v>1126645.4314768</v>
      </c>
      <c r="AG58" s="12" t="n">
        <f aca="false">(SUM(P58:T58)+W58)*(1+P_GG+P_SUP+P_ET)</f>
        <v>182020.876029189</v>
      </c>
      <c r="AH58" s="12" t="n">
        <f aca="false">(U58+V58+X58)*(1+P_GG+P_SUP+P_ET)</f>
        <v>1588992.40897073</v>
      </c>
    </row>
    <row r="59" customFormat="false" ht="15" hidden="false" customHeight="false" outlineLevel="0" collapsed="false">
      <c r="A59" s="7" t="str">
        <f aca="false">BLOQUES!A59</f>
        <v>35</v>
      </c>
      <c r="B59" s="7" t="str">
        <f aca="false">BLOQUES!AI59</f>
        <v>T6</v>
      </c>
      <c r="C59" s="7" t="str">
        <f aca="false">BLOQUES!AE59</f>
        <v>No</v>
      </c>
      <c r="D59" s="11" t="n">
        <f aca="false">BLOQUES!E59</f>
        <v>30.804</v>
      </c>
      <c r="E59" s="11" t="n">
        <f aca="false">BLOQUES!U59+BLOQUES!V59</f>
        <v>0.007</v>
      </c>
      <c r="F59" s="11" t="n">
        <f aca="false">BLOQUES!W59+BLOQUES!X59</f>
        <v>0.359</v>
      </c>
      <c r="G59" s="11" t="n">
        <f aca="false">BLOQUES!Y59+BLOQUES!Z59</f>
        <v>30.438</v>
      </c>
      <c r="H59" s="8" t="n">
        <f aca="false">E59*INDEX(PAQ_R1,MATCH(B59,PAQ_T,0))</f>
        <v>4.55</v>
      </c>
      <c r="I59" s="8" t="n">
        <f aca="false">F59*INDEX(PAQ_R2,MATCH(B59,PAQ_T,0))</f>
        <v>116.675</v>
      </c>
      <c r="J59" s="8" t="n">
        <f aca="false">H59+I59</f>
        <v>121.225</v>
      </c>
      <c r="K59" s="11" t="n">
        <f aca="false">(BLOQUES!U59+BLOQUES!W59)*INDEX(PAQ_MZ,MATCH(B59,PAQ_T,0))/1000</f>
        <v>0</v>
      </c>
      <c r="L59" s="11" t="n">
        <f aca="false">(BLOQUES!U59+BLOQUES!W59)*INDEX(PAQ_MT,MATCH(B59,PAQ_T,0))/1000</f>
        <v>0.432001728006912</v>
      </c>
      <c r="M59" s="8" t="n">
        <f aca="false">BLOQUES!F59*INDEX(PAQ_CERCO,MATCH(B59,PAQ_T,0))</f>
        <v>2903.6</v>
      </c>
      <c r="N59" s="11" t="n">
        <f aca="false">IF(ISNUMBER(BLOQUES!AD59),BLOQUES!AD59/1000,0)</f>
        <v>0</v>
      </c>
      <c r="O59" s="22" t="n">
        <f aca="false">P_JORNAL/(P_CARGA*(P_HORAS*P_EFIC/((BLOQUES!AB59/1000*P_SINUOS)/P_VIDA+(BLOQUES!AB59/1000*P_SINUOS)/P_VVUELTA+P_TCD/60)))</f>
        <v>0.134731359649123</v>
      </c>
      <c r="P59" s="8" t="n">
        <f aca="false">J59*(1+P_RECALCE)*CU_PLANTON</f>
        <v>177.803738552399</v>
      </c>
      <c r="Q59" s="8" t="n">
        <f aca="false">J59*CU_PLANTA</f>
        <v>831.710424459454</v>
      </c>
      <c r="R59" s="8" t="n">
        <f aca="false">(E59+F59)*CU_HA</f>
        <v>410.013575595349</v>
      </c>
      <c r="S59" s="8" t="n">
        <f aca="false">J59*(1+P_RECALCE)*(P_PESO_PLANTON+P_PESO_INS)*O59</f>
        <v>30.003370267955</v>
      </c>
      <c r="T59" s="8" t="n">
        <f aca="false">J59*(1+P_RECALCE)*P_PESO_INS*P_FT_KG</f>
        <v>4.85985614874035</v>
      </c>
      <c r="U59" s="8" t="n">
        <f aca="false">K59*CU_ZANJA</f>
        <v>0</v>
      </c>
      <c r="V59" s="8" t="n">
        <f aca="false">L59*CU_TERRAZA</f>
        <v>38959.899651642</v>
      </c>
      <c r="W59" s="8" t="n">
        <f aca="false">M59*CU_CERCO</f>
        <v>63791.5188511144</v>
      </c>
      <c r="X59" s="8" t="n">
        <f aca="false">N59*CU_CARCAVA</f>
        <v>0</v>
      </c>
      <c r="Y59" s="40" t="n">
        <f aca="false">SUM(P59:X59)</f>
        <v>104205.80946778</v>
      </c>
      <c r="Z59" s="8" t="n">
        <f aca="false">Y59*(P_GG+P_SUP+P_ET)</f>
        <v>15711.4756632444</v>
      </c>
      <c r="AA59" s="40" t="n">
        <f aca="false">Y59+Z59</f>
        <v>119917.285131025</v>
      </c>
      <c r="AB59" s="8" t="n">
        <f aca="false">IF(D59=0,0,AA59/D59)</f>
        <v>3892.91277532219</v>
      </c>
      <c r="AC59" s="8" t="n">
        <f aca="false">J59*(1+P_RECALCE)*CU_PLANTON_NC+J59*CU_PLANTA_NC+(E59+F59)*CU_HA_NC+S59+K59*CU_ZANJA_NC+L59*CU_TERRAZA_NC+M59*CU_CERCO_NC+N59*CU_CARCAVA_NC</f>
        <v>24186.8405812051</v>
      </c>
      <c r="AD59" s="8" t="n">
        <f aca="false">J59*(1+P_RECALCE)*CU_PLANTON_C+J59*CU_PLANTA_C+(E59+F59)*CU_HA_C+K59*CU_ZANJA_C+L59*CU_TERRAZA_C+M59*CU_CERCO_C+N59*CU_CARCAVA_C</f>
        <v>3736.85599597393</v>
      </c>
      <c r="AE59" s="8" t="n">
        <f aca="false">Y59-AC59-AD59</f>
        <v>76282.1128906012</v>
      </c>
      <c r="AF59" s="8" t="n">
        <f aca="false">AC59*P_FC_MONC+AD59*P_FC_MOC+(AE59+Z59)*P_FC_BIEN</f>
        <v>91071.2575468964</v>
      </c>
      <c r="AG59" s="8" t="n">
        <f aca="false">(SUM(P59:T59)+W59)*(1+P_GG+P_SUP+P_ET)</f>
        <v>75083.2646568918</v>
      </c>
      <c r="AH59" s="8" t="n">
        <f aca="false">(U59+V59+X59)*(1+P_GG+P_SUP+P_ET)</f>
        <v>44834.0204741329</v>
      </c>
    </row>
    <row r="60" customFormat="false" ht="15" hidden="false" customHeight="false" outlineLevel="0" collapsed="false">
      <c r="A60" s="9" t="str">
        <f aca="false">BLOQUES!A60</f>
        <v>43</v>
      </c>
      <c r="B60" s="9" t="str">
        <f aca="false">BLOQUES!AI60</f>
        <v>T6</v>
      </c>
      <c r="C60" s="9" t="str">
        <f aca="false">BLOQUES!AE60</f>
        <v>No</v>
      </c>
      <c r="D60" s="10" t="n">
        <f aca="false">BLOQUES!E60</f>
        <v>23.171</v>
      </c>
      <c r="E60" s="10" t="n">
        <f aca="false">BLOQUES!U60+BLOQUES!V60</f>
        <v>0.891</v>
      </c>
      <c r="F60" s="10" t="n">
        <f aca="false">BLOQUES!W60+BLOQUES!X60</f>
        <v>4.04</v>
      </c>
      <c r="G60" s="10" t="n">
        <f aca="false">BLOQUES!Y60+BLOQUES!Z60</f>
        <v>18.24</v>
      </c>
      <c r="H60" s="12" t="n">
        <f aca="false">E60*INDEX(PAQ_R1,MATCH(B60,PAQ_T,0))</f>
        <v>579.15</v>
      </c>
      <c r="I60" s="12" t="n">
        <f aca="false">F60*INDEX(PAQ_R2,MATCH(B60,PAQ_T,0))</f>
        <v>1313</v>
      </c>
      <c r="J60" s="12" t="n">
        <f aca="false">H60+I60</f>
        <v>1892.15</v>
      </c>
      <c r="K60" s="10" t="n">
        <f aca="false">(BLOQUES!U60+BLOQUES!W60)*INDEX(PAQ_MZ,MATCH(B60,PAQ_T,0))/1000</f>
        <v>0</v>
      </c>
      <c r="L60" s="10" t="n">
        <f aca="false">(BLOQUES!U60+BLOQUES!W60)*INDEX(PAQ_MT,MATCH(B60,PAQ_T,0))/1000</f>
        <v>5.56922227688911</v>
      </c>
      <c r="M60" s="12" t="n">
        <f aca="false">BLOQUES!F60*INDEX(PAQ_CERCO,MATCH(B60,PAQ_T,0))</f>
        <v>2284.3</v>
      </c>
      <c r="N60" s="10" t="n">
        <f aca="false">IF(ISNUMBER(BLOQUES!AD60),BLOQUES!AD60/1000,0)</f>
        <v>0</v>
      </c>
      <c r="O60" s="31" t="n">
        <f aca="false">P_JORNAL/(P_CARGA*(P_HORAS*P_EFIC/((BLOQUES!AB60/1000*P_SINUOS)/P_VIDA+(BLOQUES!AB60/1000*P_SINUOS)/P_VVUELTA+P_TCD/60)))</f>
        <v>0.0487774122807017</v>
      </c>
      <c r="P60" s="12" t="n">
        <f aca="false">J60*(1+P_RECALCE)*CU_PLANTON</f>
        <v>2775.26371542109</v>
      </c>
      <c r="Q60" s="12" t="n">
        <f aca="false">J60*CU_PLANTA</f>
        <v>12981.8179388819</v>
      </c>
      <c r="R60" s="12" t="n">
        <f aca="false">(E60+F60)*CU_HA</f>
        <v>5523.98071382695</v>
      </c>
      <c r="S60" s="12" t="n">
        <f aca="false">J60*(1+P_RECALCE)*(P_PESO_PLANTON+P_PESO_INS)*O60</f>
        <v>169.54440984841</v>
      </c>
      <c r="T60" s="12" t="n">
        <f aca="false">J60*(1+P_RECALCE)*P_PESO_INS*P_FT_KG</f>
        <v>75.85544905621</v>
      </c>
      <c r="U60" s="12" t="n">
        <f aca="false">K60*CU_ZANJA</f>
        <v>0</v>
      </c>
      <c r="V60" s="12" t="n">
        <f aca="false">L60*CU_TERRAZA</f>
        <v>502258.039675751</v>
      </c>
      <c r="W60" s="12" t="n">
        <f aca="false">M60*CU_CERCO</f>
        <v>50185.6200962945</v>
      </c>
      <c r="X60" s="12" t="n">
        <f aca="false">N60*CU_CARCAVA</f>
        <v>0</v>
      </c>
      <c r="Y60" s="42" t="n">
        <f aca="false">SUM(P60:X60)</f>
        <v>573970.12199908</v>
      </c>
      <c r="Z60" s="12" t="n">
        <f aca="false">Y60*(P_GG+P_SUP+P_ET)</f>
        <v>86539.4899696666</v>
      </c>
      <c r="AA60" s="42" t="n">
        <f aca="false">Y60+Z60</f>
        <v>660509.611968746</v>
      </c>
      <c r="AB60" s="12" t="n">
        <f aca="false">IF(D60=0,0,AA60/D60)</f>
        <v>28505.8742380021</v>
      </c>
      <c r="AC60" s="12" t="n">
        <f aca="false">J60*(1+P_RECALCE)*CU_PLANTON_NC+J60*CU_PLANTA_NC+(E60+F60)*CU_HA_NC+S60+K60*CU_ZANJA_NC+L60*CU_TERRAZA_NC+M60*CU_CERCO_NC+N60*CU_CARCAVA_NC</f>
        <v>313347.571269127</v>
      </c>
      <c r="AD60" s="12" t="n">
        <f aca="false">J60*(1+P_RECALCE)*CU_PLANTON_C+J60*CU_PLANTA_C+(E60+F60)*CU_HA_C+K60*CU_ZANJA_C+L60*CU_TERRAZA_C+M60*CU_CERCO_C+N60*CU_CARCAVA_C</f>
        <v>48314.4479353906</v>
      </c>
      <c r="AE60" s="12" t="n">
        <f aca="false">Y60-AC60-AD60</f>
        <v>212308.102794562</v>
      </c>
      <c r="AF60" s="12" t="n">
        <f aca="false">AC60*P_FC_MONC+AD60*P_FC_MOC+(AE60+Z60)*P_FC_BIEN</f>
        <v>423035.065636084</v>
      </c>
      <c r="AG60" s="12" t="n">
        <f aca="false">(SUM(P60:T60)+W60)*(1+P_GG+P_SUP+P_ET)</f>
        <v>82524.364689716</v>
      </c>
      <c r="AH60" s="12" t="n">
        <f aca="false">(U60+V60+X60)*(1+P_GG+P_SUP+P_ET)</f>
        <v>577985.247279031</v>
      </c>
    </row>
    <row r="61" customFormat="false" ht="15" hidden="false" customHeight="false" outlineLevel="0" collapsed="false">
      <c r="A61" s="7" t="str">
        <f aca="false">BLOQUES!A61</f>
        <v>44</v>
      </c>
      <c r="B61" s="7" t="str">
        <f aca="false">BLOQUES!AI61</f>
        <v>T3</v>
      </c>
      <c r="C61" s="7" t="str">
        <f aca="false">BLOQUES!AE61</f>
        <v>No</v>
      </c>
      <c r="D61" s="11" t="n">
        <f aca="false">BLOQUES!E61</f>
        <v>28.234</v>
      </c>
      <c r="E61" s="11" t="n">
        <f aca="false">BLOQUES!U61+BLOQUES!V61</f>
        <v>0</v>
      </c>
      <c r="F61" s="11" t="n">
        <f aca="false">BLOQUES!W61+BLOQUES!X61</f>
        <v>14.699</v>
      </c>
      <c r="G61" s="11" t="n">
        <f aca="false">BLOQUES!Y61+BLOQUES!Z61</f>
        <v>13.535</v>
      </c>
      <c r="H61" s="8" t="n">
        <f aca="false">E61*INDEX(PAQ_R1,MATCH(B61,PAQ_T,0))</f>
        <v>0</v>
      </c>
      <c r="I61" s="8" t="n">
        <f aca="false">F61*INDEX(PAQ_R2,MATCH(B61,PAQ_T,0))</f>
        <v>5306.339</v>
      </c>
      <c r="J61" s="8" t="n">
        <f aca="false">H61+I61</f>
        <v>5306.339</v>
      </c>
      <c r="K61" s="11" t="n">
        <f aca="false">(BLOQUES!U61+BLOQUES!W61)*INDEX(PAQ_MZ,MATCH(B61,PAQ_T,0))/1000</f>
        <v>45.5684354525164</v>
      </c>
      <c r="L61" s="11" t="n">
        <f aca="false">(BLOQUES!U61+BLOQUES!W61)*INDEX(PAQ_MT,MATCH(B61,PAQ_T,0))/1000</f>
        <v>0</v>
      </c>
      <c r="M61" s="8" t="n">
        <f aca="false">BLOQUES!F61*INDEX(PAQ_CERCO,MATCH(B61,PAQ_T,0))</f>
        <v>2377.1</v>
      </c>
      <c r="N61" s="11" t="n">
        <f aca="false">IF(ISNUMBER(BLOQUES!AD61),BLOQUES!AD61/1000,0)</f>
        <v>0</v>
      </c>
      <c r="O61" s="22" t="n">
        <f aca="false">P_JORNAL/(P_CARGA*(P_HORAS*P_EFIC/((BLOQUES!AB61/1000*P_SINUOS)/P_VIDA+(BLOQUES!AB61/1000*P_SINUOS)/P_VVUELTA+P_TCD/60)))</f>
        <v>0.0559402412280702</v>
      </c>
      <c r="P61" s="8" t="n">
        <f aca="false">J61*(1+P_RECALCE)*CU_PLANTON</f>
        <v>7782.94008848338</v>
      </c>
      <c r="Q61" s="8" t="n">
        <f aca="false">J61*CU_PLANTA</f>
        <v>36406.1659065024</v>
      </c>
      <c r="R61" s="8" t="n">
        <f aca="false">(E61+F61)*CU_HA</f>
        <v>16466.6381084045</v>
      </c>
      <c r="S61" s="8" t="n">
        <f aca="false">J61*(1+P_RECALCE)*(P_PESO_PLANTON+P_PESO_INS)*O61</f>
        <v>545.291192353073</v>
      </c>
      <c r="T61" s="8" t="n">
        <f aca="false">J61*(1+P_RECALCE)*P_PESO_INS*P_FT_KG</f>
        <v>212.728762354718</v>
      </c>
      <c r="U61" s="8" t="n">
        <f aca="false">K61*CU_ZANJA</f>
        <v>437712.154454162</v>
      </c>
      <c r="V61" s="8" t="n">
        <f aca="false">L61*CU_TERRAZA</f>
        <v>0</v>
      </c>
      <c r="W61" s="8" t="n">
        <f aca="false">M61*CU_CERCO</f>
        <v>52224.4177782698</v>
      </c>
      <c r="X61" s="8" t="n">
        <f aca="false">N61*CU_CARCAVA</f>
        <v>0</v>
      </c>
      <c r="Y61" s="40" t="n">
        <f aca="false">SUM(P61:X61)</f>
        <v>551350.336290529</v>
      </c>
      <c r="Z61" s="8" t="n">
        <f aca="false">Y61*(P_GG+P_SUP+P_ET)</f>
        <v>83129.0254813352</v>
      </c>
      <c r="AA61" s="40" t="n">
        <f aca="false">Y61+Z61</f>
        <v>634479.361771865</v>
      </c>
      <c r="AB61" s="8" t="n">
        <f aca="false">IF(D61=0,0,AA61/D61)</f>
        <v>22472.1740373969</v>
      </c>
      <c r="AC61" s="8" t="n">
        <f aca="false">J61*(1+P_RECALCE)*CU_PLANTON_NC+J61*CU_PLANTA_NC+(E61+F61)*CU_HA_NC+S61+K61*CU_ZANJA_NC+L61*CU_TERRAZA_NC+M61*CU_CERCO_NC+N61*CU_CARCAVA_NC</f>
        <v>411854.994383503</v>
      </c>
      <c r="AD61" s="8" t="n">
        <f aca="false">J61*(1+P_RECALCE)*CU_PLANTON_C+J61*CU_PLANTA_C+(E61+F61)*CU_HA_C+K61*CU_ZANJA_C+L61*CU_TERRAZA_C+M61*CU_CERCO_C+N61*CU_CARCAVA_C</f>
        <v>33662.8288694835</v>
      </c>
      <c r="AE61" s="8" t="n">
        <f aca="false">Y61-AC61-AD61</f>
        <v>105832.513037543</v>
      </c>
      <c r="AF61" s="8" t="n">
        <f aca="false">AC61*P_FC_MONC+AD61*P_FC_MOC+(AE61+Z61)*P_FC_BIEN</f>
        <v>359709.62949786</v>
      </c>
      <c r="AG61" s="8" t="n">
        <f aca="false">(SUM(P61:T61)+W61)*(1+P_GG+P_SUP+P_ET)</f>
        <v>130771.809389921</v>
      </c>
      <c r="AH61" s="8" t="n">
        <f aca="false">(U61+V61+X61)*(1+P_GG+P_SUP+P_ET)</f>
        <v>503707.552381944</v>
      </c>
    </row>
    <row r="62" customFormat="false" ht="15" hidden="false" customHeight="false" outlineLevel="0" collapsed="false">
      <c r="A62" s="9" t="str">
        <f aca="false">BLOQUES!A62</f>
        <v>47</v>
      </c>
      <c r="B62" s="9" t="str">
        <f aca="false">BLOQUES!AI62</f>
        <v>T4</v>
      </c>
      <c r="C62" s="9" t="str">
        <f aca="false">BLOQUES!AE62</f>
        <v>No</v>
      </c>
      <c r="D62" s="10" t="n">
        <f aca="false">BLOQUES!E62</f>
        <v>13.551</v>
      </c>
      <c r="E62" s="10" t="n">
        <f aca="false">BLOQUES!U62+BLOQUES!V62</f>
        <v>0</v>
      </c>
      <c r="F62" s="10" t="n">
        <f aca="false">BLOQUES!W62+BLOQUES!X62</f>
        <v>1.334</v>
      </c>
      <c r="G62" s="10" t="n">
        <f aca="false">BLOQUES!Y62+BLOQUES!Z62</f>
        <v>12.218</v>
      </c>
      <c r="H62" s="12" t="n">
        <f aca="false">E62*INDEX(PAQ_R1,MATCH(B62,PAQ_T,0))</f>
        <v>0</v>
      </c>
      <c r="I62" s="12" t="n">
        <f aca="false">F62*INDEX(PAQ_R2,MATCH(B62,PAQ_T,0))</f>
        <v>481.574</v>
      </c>
      <c r="J62" s="12" t="n">
        <f aca="false">H62+I62</f>
        <v>481.574</v>
      </c>
      <c r="K62" s="10" t="n">
        <f aca="false">(BLOQUES!U62+BLOQUES!W62)*INDEX(PAQ_MZ,MATCH(B62,PAQ_T,0))/1000</f>
        <v>4.59716322269422</v>
      </c>
      <c r="L62" s="10" t="n">
        <f aca="false">(BLOQUES!U62+BLOQUES!W62)*INDEX(PAQ_MT,MATCH(B62,PAQ_T,0))/1000</f>
        <v>0</v>
      </c>
      <c r="M62" s="12" t="n">
        <f aca="false">BLOQUES!F62*INDEX(PAQ_CERCO,MATCH(B62,PAQ_T,0))</f>
        <v>1783.1</v>
      </c>
      <c r="N62" s="10" t="n">
        <f aca="false">IF(ISNUMBER(BLOQUES!AD62),BLOQUES!AD62/1000,0)</f>
        <v>0</v>
      </c>
      <c r="O62" s="31" t="n">
        <f aca="false">P_JORNAL/(P_CARGA*(P_HORAS*P_EFIC/((BLOQUES!AB62/1000*P_SINUOS)/P_VIDA+(BLOQUES!AB62/1000*P_SINUOS)/P_VVUELTA+P_TCD/60)))</f>
        <v>0.105866228070175</v>
      </c>
      <c r="P62" s="12" t="n">
        <f aca="false">J62*(1+P_RECALCE)*CU_PLANTON</f>
        <v>706.336626847869</v>
      </c>
      <c r="Q62" s="12" t="n">
        <f aca="false">J62*CU_PLANTA</f>
        <v>3304.02240419581</v>
      </c>
      <c r="R62" s="12" t="n">
        <f aca="false">(E62+F62)*CU_HA</f>
        <v>1494.42106514807</v>
      </c>
      <c r="S62" s="12" t="n">
        <f aca="false">J62*(1+P_RECALCE)*(P_PESO_PLANTON+P_PESO_INS)*O62</f>
        <v>93.6547108979167</v>
      </c>
      <c r="T62" s="12" t="n">
        <f aca="false">J62*(1+P_RECALCE)*P_PESO_INS*P_FT_KG</f>
        <v>19.3060867393152</v>
      </c>
      <c r="U62" s="12" t="n">
        <f aca="false">K62*CU_ZANJA</f>
        <v>44158.5101309815</v>
      </c>
      <c r="V62" s="12" t="n">
        <f aca="false">L62*CU_TERRAZA</f>
        <v>0</v>
      </c>
      <c r="W62" s="12" t="n">
        <f aca="false">M62*CU_CERCO</f>
        <v>39174.3550294194</v>
      </c>
      <c r="X62" s="12" t="n">
        <f aca="false">N62*CU_CARCAVA</f>
        <v>0</v>
      </c>
      <c r="Y62" s="42" t="n">
        <f aca="false">SUM(P62:X62)</f>
        <v>88950.6060542299</v>
      </c>
      <c r="Z62" s="12" t="n">
        <f aca="false">Y62*(P_GG+P_SUP+P_ET)</f>
        <v>13411.3950977367</v>
      </c>
      <c r="AA62" s="42" t="n">
        <f aca="false">Y62+Z62</f>
        <v>102362.001151967</v>
      </c>
      <c r="AB62" s="12" t="n">
        <f aca="false">IF(D62=0,0,AA62/D62)</f>
        <v>7553.83375042186</v>
      </c>
      <c r="AC62" s="12" t="n">
        <f aca="false">J62*(1+P_RECALCE)*CU_PLANTON_NC+J62*CU_PLANTA_NC+(E62+F62)*CU_HA_NC+S62+K62*CU_ZANJA_NC+L62*CU_TERRAZA_NC+M62*CU_CERCO_NC+N62*CU_CARCAVA_NC</f>
        <v>41211.5293646641</v>
      </c>
      <c r="AD62" s="12" t="n">
        <f aca="false">J62*(1+P_RECALCE)*CU_PLANTON_C+J62*CU_PLANTA_C+(E62+F62)*CU_HA_C+K62*CU_ZANJA_C+L62*CU_TERRAZA_C+M62*CU_CERCO_C+N62*CU_CARCAVA_C</f>
        <v>3355.11187072411</v>
      </c>
      <c r="AE62" s="12" t="n">
        <f aca="false">Y62-AC62-AD62</f>
        <v>44383.9648188417</v>
      </c>
      <c r="AF62" s="12" t="n">
        <f aca="false">AC62*P_FC_MONC+AD62*P_FC_MOC+(AE62+Z62)*P_FC_BIEN</f>
        <v>68938.4992844025</v>
      </c>
      <c r="AG62" s="12" t="n">
        <f aca="false">(SUM(P62:T62)+W62)*(1+P_GG+P_SUP+P_ET)</f>
        <v>51545.5574490323</v>
      </c>
      <c r="AH62" s="12" t="n">
        <f aca="false">(U62+V62+X62)*(1+P_GG+P_SUP+P_ET)</f>
        <v>50816.4437029343</v>
      </c>
    </row>
    <row r="63" customFormat="false" ht="15" hidden="false" customHeight="false" outlineLevel="0" collapsed="false">
      <c r="A63" s="7" t="str">
        <f aca="false">BLOQUES!A63</f>
        <v>67</v>
      </c>
      <c r="B63" s="7" t="str">
        <f aca="false">BLOQUES!AI63</f>
        <v>T6</v>
      </c>
      <c r="C63" s="7" t="str">
        <f aca="false">BLOQUES!AE63</f>
        <v>No</v>
      </c>
      <c r="D63" s="11" t="n">
        <f aca="false">BLOQUES!E63</f>
        <v>13.184</v>
      </c>
      <c r="E63" s="11" t="n">
        <f aca="false">BLOQUES!U63+BLOQUES!V63</f>
        <v>0</v>
      </c>
      <c r="F63" s="11" t="n">
        <f aca="false">BLOQUES!W63+BLOQUES!X63</f>
        <v>0.279</v>
      </c>
      <c r="G63" s="11" t="n">
        <f aca="false">BLOQUES!Y63+BLOQUES!Z63</f>
        <v>12.905</v>
      </c>
      <c r="H63" s="8" t="n">
        <f aca="false">E63*INDEX(PAQ_R1,MATCH(B63,PAQ_T,0))</f>
        <v>0</v>
      </c>
      <c r="I63" s="8" t="n">
        <f aca="false">F63*INDEX(PAQ_R2,MATCH(B63,PAQ_T,0))</f>
        <v>90.675</v>
      </c>
      <c r="J63" s="8" t="n">
        <f aca="false">H63+I63</f>
        <v>90.675</v>
      </c>
      <c r="K63" s="11" t="n">
        <f aca="false">(BLOQUES!U63+BLOQUES!W63)*INDEX(PAQ_MZ,MATCH(B63,PAQ_T,0))/1000</f>
        <v>0</v>
      </c>
      <c r="L63" s="11" t="n">
        <f aca="false">(BLOQUES!U63+BLOQUES!W63)*INDEX(PAQ_MT,MATCH(B63,PAQ_T,0))/1000</f>
        <v>0.334801339205357</v>
      </c>
      <c r="M63" s="8" t="n">
        <f aca="false">BLOQUES!F63*INDEX(PAQ_CERCO,MATCH(B63,PAQ_T,0))</f>
        <v>1713.1</v>
      </c>
      <c r="N63" s="11" t="n">
        <f aca="false">IF(ISNUMBER(BLOQUES!AD63),BLOQUES!AD63/1000,0)</f>
        <v>0</v>
      </c>
      <c r="O63" s="22" t="n">
        <f aca="false">P_JORNAL/(P_CARGA*(P_HORAS*P_EFIC/((BLOQUES!AB63/1000*P_SINUOS)/P_VIDA+(BLOQUES!AB63/1000*P_SINUOS)/P_VVUELTA+P_TCD/60)))</f>
        <v>0.0978481359649123</v>
      </c>
      <c r="P63" s="8" t="n">
        <f aca="false">J63*(1+P_RECALCE)*CU_PLANTON</f>
        <v>132.99528969469</v>
      </c>
      <c r="Q63" s="8" t="n">
        <f aca="false">J63*CU_PLANTA</f>
        <v>622.110478349028</v>
      </c>
      <c r="R63" s="8" t="n">
        <f aca="false">(E63+F63)*CU_HA</f>
        <v>312.551332216126</v>
      </c>
      <c r="S63" s="8" t="n">
        <f aca="false">J63*(1+P_RECALCE)*(P_PESO_PLANTON+P_PESO_INS)*O63</f>
        <v>16.298561561472</v>
      </c>
      <c r="T63" s="8" t="n">
        <f aca="false">J63*(1+P_RECALCE)*P_PESO_INS*P_FT_KG</f>
        <v>3.63512028283796</v>
      </c>
      <c r="U63" s="8" t="n">
        <f aca="false">K63*CU_ZANJA</f>
        <v>0</v>
      </c>
      <c r="V63" s="8" t="n">
        <f aca="false">L63*CU_TERRAZA</f>
        <v>30193.9222300225</v>
      </c>
      <c r="W63" s="8" t="n">
        <f aca="false">M63*CU_CERCO</f>
        <v>37636.4688468949</v>
      </c>
      <c r="X63" s="8" t="n">
        <f aca="false">N63*CU_CARCAVA</f>
        <v>0</v>
      </c>
      <c r="Y63" s="40" t="n">
        <f aca="false">SUM(P63:X63)</f>
        <v>68917.9818590216</v>
      </c>
      <c r="Z63" s="8" t="n">
        <f aca="false">Y63*(P_GG+P_SUP+P_ET)</f>
        <v>10391.0060318924</v>
      </c>
      <c r="AA63" s="40" t="n">
        <f aca="false">Y63+Z63</f>
        <v>79308.987890914</v>
      </c>
      <c r="AB63" s="8" t="n">
        <f aca="false">IF(D63=0,0,AA63/D63)</f>
        <v>6015.54823201714</v>
      </c>
      <c r="AC63" s="8" t="n">
        <f aca="false">J63*(1+P_RECALCE)*CU_PLANTON_NC+J63*CU_PLANTA_NC+(E63+F63)*CU_HA_NC+S63+K63*CU_ZANJA_NC+L63*CU_TERRAZA_NC+M63*CU_CERCO_NC+N63*CU_CARCAVA_NC</f>
        <v>18718.3808625794</v>
      </c>
      <c r="AD63" s="8" t="n">
        <f aca="false">J63*(1+P_RECALCE)*CU_PLANTON_C+J63*CU_PLANTA_C+(E63+F63)*CU_HA_C+K63*CU_ZANJA_C+L63*CU_TERRAZA_C+M63*CU_CERCO_C+N63*CU_CARCAVA_C</f>
        <v>2894.26855776814</v>
      </c>
      <c r="AE63" s="8" t="n">
        <f aca="false">Y63-AC63-AD63</f>
        <v>47305.332438674</v>
      </c>
      <c r="AF63" s="8" t="n">
        <f aca="false">AC63*P_FC_MONC+AD63*P_FC_MOC+(AE63+Z63)*P_FC_BIEN</f>
        <v>59043.3942166206</v>
      </c>
      <c r="AG63" s="8" t="n">
        <f aca="false">(SUM(P63:T63)+W63)*(1+P_GG+P_SUP+P_ET)</f>
        <v>44562.622023461</v>
      </c>
      <c r="AH63" s="8" t="n">
        <f aca="false">(U63+V63+X63)*(1+P_GG+P_SUP+P_ET)</f>
        <v>34746.365867453</v>
      </c>
    </row>
    <row r="64" customFormat="false" ht="15" hidden="false" customHeight="false" outlineLevel="0" collapsed="false">
      <c r="A64" s="9" t="str">
        <f aca="false">BLOQUES!A64</f>
        <v>M22B1</v>
      </c>
      <c r="B64" s="9" t="str">
        <f aca="false">BLOQUES!AI64</f>
        <v>T4</v>
      </c>
      <c r="C64" s="9" t="str">
        <f aca="false">BLOQUES!AE64</f>
        <v>No</v>
      </c>
      <c r="D64" s="10" t="n">
        <f aca="false">BLOQUES!E64</f>
        <v>55.17</v>
      </c>
      <c r="E64" s="10" t="n">
        <f aca="false">BLOQUES!U64+BLOQUES!V64</f>
        <v>0</v>
      </c>
      <c r="F64" s="10" t="n">
        <f aca="false">BLOQUES!W64+BLOQUES!X64</f>
        <v>2.264</v>
      </c>
      <c r="G64" s="10" t="n">
        <f aca="false">BLOQUES!Y64+BLOQUES!Z64</f>
        <v>52.905</v>
      </c>
      <c r="H64" s="12" t="n">
        <f aca="false">E64*INDEX(PAQ_R1,MATCH(B64,PAQ_T,0))</f>
        <v>0</v>
      </c>
      <c r="I64" s="12" t="n">
        <f aca="false">F64*INDEX(PAQ_R2,MATCH(B64,PAQ_T,0))</f>
        <v>817.304</v>
      </c>
      <c r="J64" s="12" t="n">
        <f aca="false">H64+I64</f>
        <v>817.304</v>
      </c>
      <c r="K64" s="10" t="n">
        <f aca="false">(BLOQUES!U64+BLOQUES!W64)*INDEX(PAQ_MZ,MATCH(B64,PAQ_T,0))/1000</f>
        <v>4.57916336669307</v>
      </c>
      <c r="L64" s="10" t="n">
        <f aca="false">(BLOQUES!U64+BLOQUES!W64)*INDEX(PAQ_MT,MATCH(B64,PAQ_T,0))/1000</f>
        <v>0</v>
      </c>
      <c r="M64" s="12" t="n">
        <f aca="false">BLOQUES!F64*INDEX(PAQ_CERCO,MATCH(B64,PAQ_T,0))</f>
        <v>3481.5</v>
      </c>
      <c r="N64" s="10" t="n">
        <f aca="false">IF(ISNUMBER(BLOQUES!AD64),BLOQUES!AD64/1000,0)</f>
        <v>0</v>
      </c>
      <c r="O64" s="31" t="n">
        <f aca="false">P_JORNAL/(P_CARGA*(P_HORAS*P_EFIC/((BLOQUES!AB64/1000*P_SINUOS)/P_VIDA+(BLOQUES!AB64/1000*P_SINUOS)/P_VVUELTA+P_TCD/60)))</f>
        <v>0.0823464912280702</v>
      </c>
      <c r="P64" s="12" t="n">
        <f aca="false">J64*(1+P_RECALCE)*CU_PLANTON</f>
        <v>1198.76021228154</v>
      </c>
      <c r="Q64" s="12" t="n">
        <f aca="false">J64*CU_PLANTA</f>
        <v>5607.4263291599</v>
      </c>
      <c r="R64" s="12" t="n">
        <f aca="false">(E64+F64)*CU_HA</f>
        <v>2536.25883920183</v>
      </c>
      <c r="S64" s="12" t="n">
        <f aca="false">J64*(1+P_RECALCE)*(P_PESO_PLANTON+P_PESO_INS)*O64</f>
        <v>123.633988316667</v>
      </c>
      <c r="T64" s="12" t="n">
        <f aca="false">J64*(1+P_RECALCE)*P_PESO_INS*P_FT_KG</f>
        <v>32.7653526070537</v>
      </c>
      <c r="U64" s="12" t="n">
        <f aca="false">K64*CU_ZANJA</f>
        <v>43985.6107177827</v>
      </c>
      <c r="V64" s="12" t="n">
        <f aca="false">L64*CU_TERRAZA</f>
        <v>0</v>
      </c>
      <c r="W64" s="12" t="n">
        <f aca="false">M64*CU_CERCO</f>
        <v>76487.8677779842</v>
      </c>
      <c r="X64" s="12" t="n">
        <f aca="false">N64*CU_CARCAVA</f>
        <v>0</v>
      </c>
      <c r="Y64" s="42" t="n">
        <f aca="false">SUM(P64:X64)</f>
        <v>129972.323217334</v>
      </c>
      <c r="Z64" s="12" t="n">
        <f aca="false">Y64*(P_GG+P_SUP+P_ET)</f>
        <v>19596.3833835566</v>
      </c>
      <c r="AA64" s="42" t="n">
        <f aca="false">Y64+Z64</f>
        <v>149568.706600891</v>
      </c>
      <c r="AB64" s="12" t="n">
        <f aca="false">IF(D64=0,0,AA64/D64)</f>
        <v>2711.05141564057</v>
      </c>
      <c r="AC64" s="12" t="n">
        <f aca="false">J64*(1+P_RECALCE)*CU_PLANTON_NC+J64*CU_PLANTA_NC+(E64+F64)*CU_HA_NC+S64+K64*CU_ZANJA_NC+L64*CU_TERRAZA_NC+M64*CU_CERCO_NC+N64*CU_CARCAVA_NC</f>
        <v>43448.4951772475</v>
      </c>
      <c r="AD64" s="12" t="n">
        <f aca="false">J64*(1+P_RECALCE)*CU_PLANTON_C+J64*CU_PLANTA_C+(E64+F64)*CU_HA_C+K64*CU_ZANJA_C+L64*CU_TERRAZA_C+M64*CU_CERCO_C+N64*CU_CARCAVA_C</f>
        <v>3599.20738801219</v>
      </c>
      <c r="AE64" s="12" t="n">
        <f aca="false">Y64-AC64-AD64</f>
        <v>82924.6206520742</v>
      </c>
      <c r="AF64" s="12" t="n">
        <f aca="false">AC64*P_FC_MONC+AD64*P_FC_MOC+(AE64+Z64)*P_FC_BIEN</f>
        <v>107973.94862083</v>
      </c>
      <c r="AG64" s="12" t="n">
        <f aca="false">(SUM(P64:T64)+W64)*(1+P_GG+P_SUP+P_ET)</f>
        <v>98951.2309625722</v>
      </c>
      <c r="AH64" s="12" t="n">
        <f aca="false">(U64+V64+X64)*(1+P_GG+P_SUP+P_ET)</f>
        <v>50617.4756383183</v>
      </c>
    </row>
    <row r="65" customFormat="false" ht="15" hidden="false" customHeight="false" outlineLevel="0" collapsed="false">
      <c r="A65" s="7" t="str">
        <f aca="false">BLOQUES!A65</f>
        <v>5</v>
      </c>
      <c r="B65" s="7" t="str">
        <f aca="false">BLOQUES!AI65</f>
        <v>T1</v>
      </c>
      <c r="C65" s="7" t="str">
        <f aca="false">BLOQUES!AE65</f>
        <v>No</v>
      </c>
      <c r="D65" s="11" t="n">
        <f aca="false">BLOQUES!E65</f>
        <v>295.726</v>
      </c>
      <c r="E65" s="11" t="n">
        <f aca="false">BLOQUES!U65+BLOQUES!V65</f>
        <v>220.425</v>
      </c>
      <c r="F65" s="11" t="n">
        <f aca="false">BLOQUES!W65+BLOQUES!X65</f>
        <v>74.855</v>
      </c>
      <c r="G65" s="11" t="n">
        <f aca="false">BLOQUES!Y65+BLOQUES!Z65</f>
        <v>0.445</v>
      </c>
      <c r="H65" s="8" t="n">
        <f aca="false">E65*INDEX(PAQ_R1,MATCH(B65,PAQ_T,0))</f>
        <v>143276.25</v>
      </c>
      <c r="I65" s="8" t="n">
        <f aca="false">F65*INDEX(PAQ_R2,MATCH(B65,PAQ_T,0))</f>
        <v>24327.875</v>
      </c>
      <c r="J65" s="8" t="n">
        <f aca="false">H65+I65</f>
        <v>167604.125</v>
      </c>
      <c r="K65" s="11" t="n">
        <f aca="false">(BLOQUES!U65+BLOQUES!W65)*INDEX(PAQ_MZ,MATCH(B65,PAQ_T,0))/1000</f>
        <v>793.58845129239</v>
      </c>
      <c r="L65" s="11" t="n">
        <f aca="false">(BLOQUES!U65+BLOQUES!W65)*INDEX(PAQ_MT,MATCH(B65,PAQ_T,0))/1000</f>
        <v>0</v>
      </c>
      <c r="M65" s="8" t="n">
        <f aca="false">BLOQUES!F65*INDEX(PAQ_CERCO,MATCH(B65,PAQ_T,0))</f>
        <v>8425</v>
      </c>
      <c r="N65" s="11" t="n">
        <f aca="false">IF(ISNUMBER(BLOQUES!AD65),BLOQUES!AD65/1000,0)</f>
        <v>0</v>
      </c>
      <c r="O65" s="22" t="n">
        <f aca="false">P_JORNAL/(P_CARGA*(P_HORAS*P_EFIC/((BLOQUES!AB65/1000*P_SINUOS)/P_VIDA+(BLOQUES!AB65/1000*P_SINUOS)/P_VVUELTA+P_TCD/60)))</f>
        <v>0.602774122807018</v>
      </c>
      <c r="P65" s="8" t="n">
        <f aca="false">J65*(1+P_RECALCE)*CU_PLANTON</f>
        <v>245829.160831541</v>
      </c>
      <c r="Q65" s="8" t="n">
        <f aca="false">J65*CU_PLANTA</f>
        <v>1149912.12988167</v>
      </c>
      <c r="R65" s="8" t="n">
        <f aca="false">(E65+F65)*CU_HA</f>
        <v>330789.094540422</v>
      </c>
      <c r="S65" s="8" t="n">
        <f aca="false">J65*(1+P_RECALCE)*(P_PESO_PLANTON+P_PESO_INS)*O65</f>
        <v>185587.387855034</v>
      </c>
      <c r="T65" s="8" t="n">
        <f aca="false">J65*(1+P_RECALCE)*P_PESO_INS*P_FT_KG</f>
        <v>6719.17457154462</v>
      </c>
      <c r="U65" s="8" t="n">
        <f aca="false">K65*CU_ZANJA</f>
        <v>7622893.068758</v>
      </c>
      <c r="V65" s="8" t="n">
        <f aca="false">L65*CU_TERRAZA</f>
        <v>0</v>
      </c>
      <c r="W65" s="8" t="n">
        <f aca="false">M65*CU_CERCO</f>
        <v>185095.586968122</v>
      </c>
      <c r="X65" s="8" t="n">
        <f aca="false">N65*CU_CARCAVA</f>
        <v>0</v>
      </c>
      <c r="Y65" s="40" t="n">
        <f aca="false">SUM(P65:X65)</f>
        <v>9726825.60340633</v>
      </c>
      <c r="Z65" s="8" t="n">
        <f aca="false">Y65*(P_GG+P_SUP+P_ET)</f>
        <v>1466547.6380738</v>
      </c>
      <c r="AA65" s="40" t="n">
        <f aca="false">Y65+Z65</f>
        <v>11193373.2414801</v>
      </c>
      <c r="AB65" s="8" t="n">
        <f aca="false">IF(D65=0,0,AA65/D65)</f>
        <v>37850.4874156487</v>
      </c>
      <c r="AC65" s="8" t="n">
        <f aca="false">J65*(1+P_RECALCE)*CU_PLANTON_NC+J65*CU_PLANTA_NC+(E65+F65)*CU_HA_NC+S65+K65*CU_ZANJA_NC+L65*CU_TERRAZA_NC+M65*CU_CERCO_NC+N65*CU_CARCAVA_NC</f>
        <v>7742272.59561316</v>
      </c>
      <c r="AD65" s="8" t="n">
        <f aca="false">J65*(1+P_RECALCE)*CU_PLANTON_C+J65*CU_PLANTA_C+(E65+F65)*CU_HA_C+K65*CU_ZANJA_C+L65*CU_TERRAZA_C+M65*CU_CERCO_C+N65*CU_CARCAVA_C</f>
        <v>616778.436894252</v>
      </c>
      <c r="AE65" s="8" t="n">
        <f aca="false">Y65-AC65-AD65</f>
        <v>1367774.57089892</v>
      </c>
      <c r="AF65" s="8" t="n">
        <f aca="false">AC65*P_FC_MONC+AD65*P_FC_MOC+(AE65+Z65)*P_FC_BIEN</f>
        <v>6140977.42900968</v>
      </c>
      <c r="AG65" s="8" t="n">
        <f aca="false">(SUM(P65:T65)+W65)*(1+P_GG+P_SUP+P_ET)</f>
        <v>2421149.82784978</v>
      </c>
      <c r="AH65" s="8" t="n">
        <f aca="false">(U65+V65+X65)*(1+P_GG+P_SUP+P_ET)</f>
        <v>8772223.41363034</v>
      </c>
    </row>
    <row r="66" customFormat="false" ht="15" hidden="false" customHeight="false" outlineLevel="0" collapsed="false">
      <c r="A66" s="9" t="str">
        <f aca="false">BLOQUES!A66</f>
        <v>M6B10</v>
      </c>
      <c r="B66" s="9" t="str">
        <f aca="false">BLOQUES!AI66</f>
        <v>T1</v>
      </c>
      <c r="C66" s="9" t="str">
        <f aca="false">BLOQUES!AE66</f>
        <v>Sí</v>
      </c>
      <c r="D66" s="10" t="n">
        <f aca="false">BLOQUES!E66</f>
        <v>249.89</v>
      </c>
      <c r="E66" s="10" t="n">
        <f aca="false">BLOQUES!U66+BLOQUES!V66</f>
        <v>203.005</v>
      </c>
      <c r="F66" s="10" t="n">
        <f aca="false">BLOQUES!W66+BLOQUES!X66</f>
        <v>46.448</v>
      </c>
      <c r="G66" s="10" t="n">
        <f aca="false">BLOQUES!Y66+BLOQUES!Z66</f>
        <v>0.436</v>
      </c>
      <c r="H66" s="12" t="n">
        <f aca="false">E66*INDEX(PAQ_R1,MATCH(B66,PAQ_T,0))</f>
        <v>131953.25</v>
      </c>
      <c r="I66" s="12" t="n">
        <f aca="false">F66*INDEX(PAQ_R2,MATCH(B66,PAQ_T,0))</f>
        <v>15095.6</v>
      </c>
      <c r="J66" s="12" t="n">
        <f aca="false">H66+I66</f>
        <v>147048.85</v>
      </c>
      <c r="K66" s="10" t="n">
        <f aca="false">(BLOQUES!U66+BLOQUES!W66)*INDEX(PAQ_MZ,MATCH(B66,PAQ_T,0))/1000</f>
        <v>741.957664338685</v>
      </c>
      <c r="L66" s="10" t="n">
        <f aca="false">(BLOQUES!U66+BLOQUES!W66)*INDEX(PAQ_MT,MATCH(B66,PAQ_T,0))/1000</f>
        <v>0</v>
      </c>
      <c r="M66" s="12" t="n">
        <f aca="false">BLOQUES!F66*INDEX(PAQ_CERCO,MATCH(B66,PAQ_T,0))</f>
        <v>8894.1</v>
      </c>
      <c r="N66" s="10" t="n">
        <f aca="false">IF(ISNUMBER(BLOQUES!AD66),BLOQUES!AD66/1000,0)</f>
        <v>0</v>
      </c>
      <c r="O66" s="31" t="n">
        <f aca="false">P_JORNAL/(P_CARGA*(P_HORAS*P_EFIC/((BLOQUES!AB66/1000*P_SINUOS)/P_VIDA+(BLOQUES!AB66/1000*P_SINUOS)/P_VVUELTA+P_TCD/60)))</f>
        <v>0.172149122807018</v>
      </c>
      <c r="P66" s="12" t="n">
        <f aca="false">J66*(1+P_RECALCE)*CU_PLANTON</f>
        <v>215680.225034695</v>
      </c>
      <c r="Q66" s="12" t="n">
        <f aca="false">J66*CU_PLANTA</f>
        <v>1008884.81294926</v>
      </c>
      <c r="R66" s="12" t="n">
        <f aca="false">(E66+F66)*CU_HA</f>
        <v>279451.137904335</v>
      </c>
      <c r="S66" s="12" t="n">
        <f aca="false">J66*(1+P_RECALCE)*(P_PESO_PLANTON+P_PESO_INS)*O66</f>
        <v>46502.4251969846</v>
      </c>
      <c r="T66" s="12" t="n">
        <f aca="false">J66*(1+P_RECALCE)*P_PESO_INS*P_FT_KG</f>
        <v>5895.12277036665</v>
      </c>
      <c r="U66" s="12" t="n">
        <f aca="false">K66*CU_ZANJA</f>
        <v>7126948.39193847</v>
      </c>
      <c r="V66" s="12" t="n">
        <f aca="false">L66*CU_TERRAZA</f>
        <v>0</v>
      </c>
      <c r="W66" s="12" t="n">
        <f aca="false">M66*CU_CERCO</f>
        <v>195401.621371297</v>
      </c>
      <c r="X66" s="12" t="n">
        <f aca="false">N66*CU_CARCAVA</f>
        <v>0</v>
      </c>
      <c r="Y66" s="42" t="n">
        <f aca="false">SUM(P66:X66)</f>
        <v>8878763.73716541</v>
      </c>
      <c r="Z66" s="12" t="n">
        <f aca="false">Y66*(P_GG+P_SUP+P_ET)</f>
        <v>1338682.37374331</v>
      </c>
      <c r="AA66" s="42" t="n">
        <f aca="false">Y66+Z66</f>
        <v>10217446.1109087</v>
      </c>
      <c r="AB66" s="12" t="n">
        <f aca="false">IF(D66=0,0,AA66/D66)</f>
        <v>40887.7750646633</v>
      </c>
      <c r="AC66" s="12" t="n">
        <f aca="false">J66*(1+P_RECALCE)*CU_PLANTON_NC+J66*CU_PLANTA_NC+(E66+F66)*CU_HA_NC+S66+K66*CU_ZANJA_NC+L66*CU_TERRAZA_NC+M66*CU_CERCO_NC+N66*CU_CARCAVA_NC</f>
        <v>7043953.43595072</v>
      </c>
      <c r="AD66" s="12" t="n">
        <f aca="false">J66*(1+P_RECALCE)*CU_PLANTON_C+J66*CU_PLANTA_C+(E66+F66)*CU_HA_C+K66*CU_ZANJA_C+L66*CU_TERRAZA_C+M66*CU_CERCO_C+N66*CU_CARCAVA_C</f>
        <v>569316.401191854</v>
      </c>
      <c r="AE66" s="12" t="n">
        <f aca="false">Y66-AC66-AD66</f>
        <v>1265493.90002284</v>
      </c>
      <c r="AF66" s="12" t="n">
        <f aca="false">AC66*P_FC_MONC+AD66*P_FC_MOC+(AE66+Z66)*P_FC_BIEN</f>
        <v>5615149.4456054</v>
      </c>
      <c r="AG66" s="12" t="n">
        <f aca="false">(SUM(P66:T66)+W66)*(1+P_GG+P_SUP+P_ET)</f>
        <v>2015942.693823</v>
      </c>
      <c r="AH66" s="12" t="n">
        <f aca="false">(U66+V66+X66)*(1+P_GG+P_SUP+P_ET)</f>
        <v>8201503.41708572</v>
      </c>
    </row>
    <row r="67" customFormat="false" ht="15" hidden="false" customHeight="false" outlineLevel="0" collapsed="false">
      <c r="A67" s="7" t="str">
        <f aca="false">BLOQUES!A67</f>
        <v>M6B2-1</v>
      </c>
      <c r="B67" s="7" t="str">
        <f aca="false">BLOQUES!AI67</f>
        <v>T1</v>
      </c>
      <c r="C67" s="7" t="str">
        <f aca="false">BLOQUES!AE67</f>
        <v>No</v>
      </c>
      <c r="D67" s="11" t="n">
        <f aca="false">BLOQUES!E67</f>
        <v>514.359</v>
      </c>
      <c r="E67" s="11" t="n">
        <f aca="false">BLOQUES!U67+BLOQUES!V67</f>
        <v>392.14</v>
      </c>
      <c r="F67" s="11" t="n">
        <f aca="false">BLOQUES!W67+BLOQUES!X67</f>
        <v>117.007</v>
      </c>
      <c r="G67" s="11" t="n">
        <f aca="false">BLOQUES!Y67+BLOQUES!Z67</f>
        <v>5.211</v>
      </c>
      <c r="H67" s="8" t="n">
        <f aca="false">E67*INDEX(PAQ_R1,MATCH(B67,PAQ_T,0))</f>
        <v>254891</v>
      </c>
      <c r="I67" s="8" t="n">
        <f aca="false">F67*INDEX(PAQ_R2,MATCH(B67,PAQ_T,0))</f>
        <v>38027.275</v>
      </c>
      <c r="J67" s="8" t="n">
        <f aca="false">H67+I67</f>
        <v>292918.275</v>
      </c>
      <c r="K67" s="11" t="n">
        <f aca="false">(BLOQUES!U67+BLOQUES!W67)*INDEX(PAQ_MZ,MATCH(B67,PAQ_T,0))/1000</f>
        <v>1231.82374541004</v>
      </c>
      <c r="L67" s="11" t="n">
        <f aca="false">(BLOQUES!U67+BLOQUES!W67)*INDEX(PAQ_MT,MATCH(B67,PAQ_T,0))/1000</f>
        <v>0</v>
      </c>
      <c r="M67" s="8" t="n">
        <f aca="false">BLOQUES!F67*INDEX(PAQ_CERCO,MATCH(B67,PAQ_T,0))</f>
        <v>14413.3</v>
      </c>
      <c r="N67" s="11" t="n">
        <f aca="false">IF(ISNUMBER(BLOQUES!AD67),BLOQUES!AD67/1000,0)</f>
        <v>0</v>
      </c>
      <c r="O67" s="22" t="n">
        <f aca="false">P_JORNAL/(P_CARGA*(P_HORAS*P_EFIC/((BLOQUES!AB67/1000*P_SINUOS)/P_VIDA+(BLOQUES!AB67/1000*P_SINUOS)/P_VVUELTA+P_TCD/60)))</f>
        <v>0.565035635964912</v>
      </c>
      <c r="P67" s="8" t="n">
        <f aca="false">J67*(1+P_RECALCE)*CU_PLANTON</f>
        <v>429630.557932107</v>
      </c>
      <c r="Q67" s="8" t="n">
        <f aca="false">J67*CU_PLANTA</f>
        <v>2009677.73010667</v>
      </c>
      <c r="R67" s="8" t="n">
        <f aca="false">(E67+F67)*CU_HA</f>
        <v>570374.814135642</v>
      </c>
      <c r="S67" s="8" t="n">
        <f aca="false">J67*(1+P_RECALCE)*(P_PESO_PLANTON+P_PESO_INS)*O67</f>
        <v>304040.51760128</v>
      </c>
      <c r="T67" s="8" t="n">
        <f aca="false">J67*(1+P_RECALCE)*P_PESO_INS*P_FT_KG</f>
        <v>11742.9629188465</v>
      </c>
      <c r="U67" s="8" t="n">
        <f aca="false">K67*CU_ZANJA</f>
        <v>11832405.9221447</v>
      </c>
      <c r="V67" s="8" t="n">
        <f aca="false">L67*CU_TERRAZA</f>
        <v>0</v>
      </c>
      <c r="W67" s="8" t="n">
        <f aca="false">M67*CU_CERCO</f>
        <v>316657.355922568</v>
      </c>
      <c r="X67" s="8" t="n">
        <f aca="false">N67*CU_CARCAVA</f>
        <v>0</v>
      </c>
      <c r="Y67" s="40" t="n">
        <f aca="false">SUM(P67:X67)</f>
        <v>15474529.8607618</v>
      </c>
      <c r="Z67" s="8" t="n">
        <f aca="false">Y67*(P_GG+P_SUP+P_ET)</f>
        <v>2333149.18380516</v>
      </c>
      <c r="AA67" s="40" t="n">
        <f aca="false">Y67+Z67</f>
        <v>17807679.0445669</v>
      </c>
      <c r="AB67" s="8" t="n">
        <f aca="false">IF(D67=0,0,AA67/D67)</f>
        <v>34621.1090786142</v>
      </c>
      <c r="AC67" s="8" t="n">
        <f aca="false">J67*(1+P_RECALCE)*CU_PLANTON_NC+J67*CU_PLANTA_NC+(E67+F67)*CU_HA_NC+S67+K67*CU_ZANJA_NC+L67*CU_TERRAZA_NC+M67*CU_CERCO_NC+N67*CU_CARCAVA_NC</f>
        <v>12231830.2769533</v>
      </c>
      <c r="AD67" s="8" t="n">
        <f aca="false">J67*(1+P_RECALCE)*CU_PLANTON_C+J67*CU_PLANTA_C+(E67+F67)*CU_HA_C+K67*CU_ZANJA_C+L67*CU_TERRAZA_C+M67*CU_CERCO_C+N67*CU_CARCAVA_C</f>
        <v>976011.39879276</v>
      </c>
      <c r="AE67" s="8" t="n">
        <f aca="false">Y67-AC67-AD67</f>
        <v>2266688.18501572</v>
      </c>
      <c r="AF67" s="8" t="n">
        <f aca="false">AC67*P_FC_MONC+AD67*P_FC_MOC+(AE67+Z67)*P_FC_BIEN</f>
        <v>9806584.98307928</v>
      </c>
      <c r="AG67" s="8" t="n">
        <f aca="false">(SUM(P67:T67)+W67)*(1+P_GG+P_SUP+P_ET)</f>
        <v>4191259.74895594</v>
      </c>
      <c r="AH67" s="8" t="n">
        <f aca="false">(U67+V67+X67)*(1+P_GG+P_SUP+P_ET)</f>
        <v>13616419.295611</v>
      </c>
    </row>
    <row r="68" customFormat="false" ht="15" hidden="false" customHeight="false" outlineLevel="0" collapsed="false">
      <c r="A68" s="9" t="str">
        <f aca="false">BLOQUES!A68</f>
        <v>M6B2-2</v>
      </c>
      <c r="B68" s="9" t="str">
        <f aca="false">BLOQUES!AI68</f>
        <v>T1</v>
      </c>
      <c r="C68" s="9" t="str">
        <f aca="false">BLOQUES!AE68</f>
        <v>No</v>
      </c>
      <c r="D68" s="10" t="n">
        <f aca="false">BLOQUES!E68</f>
        <v>333.011</v>
      </c>
      <c r="E68" s="10" t="n">
        <f aca="false">BLOQUES!U68+BLOQUES!V68</f>
        <v>304.672</v>
      </c>
      <c r="F68" s="10" t="n">
        <f aca="false">BLOQUES!W68+BLOQUES!X68</f>
        <v>25.018</v>
      </c>
      <c r="G68" s="10" t="n">
        <f aca="false">BLOQUES!Y68+BLOQUES!Z68</f>
        <v>3.321</v>
      </c>
      <c r="H68" s="12" t="n">
        <f aca="false">E68*INDEX(PAQ_R1,MATCH(B68,PAQ_T,0))</f>
        <v>198036.8</v>
      </c>
      <c r="I68" s="12" t="n">
        <f aca="false">F68*INDEX(PAQ_R2,MATCH(B68,PAQ_T,0))</f>
        <v>8130.85</v>
      </c>
      <c r="J68" s="12" t="n">
        <f aca="false">H68+I68</f>
        <v>206167.65</v>
      </c>
      <c r="K68" s="10" t="n">
        <f aca="false">(BLOQUES!U68+BLOQUES!W68)*INDEX(PAQ_MZ,MATCH(B68,PAQ_T,0))/1000</f>
        <v>610.303117575059</v>
      </c>
      <c r="L68" s="10" t="n">
        <f aca="false">(BLOQUES!U68+BLOQUES!W68)*INDEX(PAQ_MT,MATCH(B68,PAQ_T,0))/1000</f>
        <v>0</v>
      </c>
      <c r="M68" s="12" t="n">
        <f aca="false">BLOQUES!F68*INDEX(PAQ_CERCO,MATCH(B68,PAQ_T,0))</f>
        <v>9253.1</v>
      </c>
      <c r="N68" s="10" t="n">
        <f aca="false">IF(ISNUMBER(BLOQUES!AD68),BLOQUES!AD68/1000,0)</f>
        <v>0</v>
      </c>
      <c r="O68" s="31" t="n">
        <f aca="false">P_JORNAL/(P_CARGA*(P_HORAS*P_EFIC/((BLOQUES!AB68/1000*P_SINUOS)/P_VIDA+(BLOQUES!AB68/1000*P_SINUOS)/P_VVUELTA+P_TCD/60)))</f>
        <v>0.42936951754386</v>
      </c>
      <c r="P68" s="12" t="n">
        <f aca="false">J68*(1+P_RECALCE)*CU_PLANTON</f>
        <v>302391.247173129</v>
      </c>
      <c r="Q68" s="12" t="n">
        <f aca="false">J68*CU_PLANTA</f>
        <v>1414491.92568619</v>
      </c>
      <c r="R68" s="12" t="n">
        <f aca="false">(E68+F68)*CU_HA</f>
        <v>369337.092180411</v>
      </c>
      <c r="S68" s="12" t="n">
        <f aca="false">J68*(1+P_RECALCE)*(P_PESO_PLANTON+P_PESO_INS)*O68</f>
        <v>162615.105807877</v>
      </c>
      <c r="T68" s="12" t="n">
        <f aca="false">J68*(1+P_RECALCE)*P_PESO_INS*P_FT_KG</f>
        <v>8265.16907835717</v>
      </c>
      <c r="U68" s="12" t="n">
        <f aca="false">K68*CU_ZANJA</f>
        <v>5862327.50391958</v>
      </c>
      <c r="V68" s="12" t="n">
        <f aca="false">L68*CU_TERRAZA</f>
        <v>0</v>
      </c>
      <c r="W68" s="12" t="n">
        <f aca="false">M68*CU_CERCO</f>
        <v>203288.780507386</v>
      </c>
      <c r="X68" s="12" t="n">
        <f aca="false">N68*CU_CARCAVA</f>
        <v>0</v>
      </c>
      <c r="Y68" s="42" t="n">
        <f aca="false">SUM(P68:X68)</f>
        <v>8322716.82435293</v>
      </c>
      <c r="Z68" s="12" t="n">
        <f aca="false">Y68*(P_GG+P_SUP+P_ET)</f>
        <v>1254845.22893444</v>
      </c>
      <c r="AA68" s="42" t="n">
        <f aca="false">Y68+Z68</f>
        <v>9577562.05328737</v>
      </c>
      <c r="AB68" s="12" t="n">
        <f aca="false">IF(D68=0,0,AA68/D68)</f>
        <v>28760.4975610036</v>
      </c>
      <c r="AC68" s="12" t="n">
        <f aca="false">J68*(1+P_RECALCE)*CU_PLANTON_NC+J68*CU_PLANTA_NC+(E68+F68)*CU_HA_NC+S68+K68*CU_ZANJA_NC+L68*CU_TERRAZA_NC+M68*CU_CERCO_NC+N68*CU_CARCAVA_NC</f>
        <v>6427778.49759307</v>
      </c>
      <c r="AD68" s="12" t="n">
        <f aca="false">J68*(1+P_RECALCE)*CU_PLANTON_C+J68*CU_PLANTA_C+(E68+F68)*CU_HA_C+K68*CU_ZANJA_C+L68*CU_TERRAZA_C+M68*CU_CERCO_C+N68*CU_CARCAVA_C</f>
        <v>515556.746804088</v>
      </c>
      <c r="AE68" s="12" t="n">
        <f aca="false">Y68-AC68-AD68</f>
        <v>1379381.57995577</v>
      </c>
      <c r="AF68" s="12" t="n">
        <f aca="false">AC68*P_FC_MONC+AD68*P_FC_MOC+(AE68+Z68)*P_FC_BIEN</f>
        <v>5339352.39971873</v>
      </c>
      <c r="AG68" s="12" t="n">
        <f aca="false">(SUM(P68:T68)+W68)*(1+P_GG+P_SUP+P_ET)</f>
        <v>2831350.85441622</v>
      </c>
      <c r="AH68" s="12" t="n">
        <f aca="false">(U68+V68+X68)*(1+P_GG+P_SUP+P_ET)</f>
        <v>6746211.19887115</v>
      </c>
    </row>
    <row r="69" customFormat="false" ht="15" hidden="false" customHeight="false" outlineLevel="0" collapsed="false">
      <c r="A69" s="7" t="str">
        <f aca="false">BLOQUES!A69</f>
        <v>M6B2-3</v>
      </c>
      <c r="B69" s="7" t="str">
        <f aca="false">BLOQUES!AI69</f>
        <v>T1</v>
      </c>
      <c r="C69" s="7" t="str">
        <f aca="false">BLOQUES!AE69</f>
        <v>No</v>
      </c>
      <c r="D69" s="11" t="n">
        <f aca="false">BLOQUES!E69</f>
        <v>160.978</v>
      </c>
      <c r="E69" s="11" t="n">
        <f aca="false">BLOQUES!U69+BLOQUES!V69</f>
        <v>58.574</v>
      </c>
      <c r="F69" s="11" t="n">
        <f aca="false">BLOQUES!W69+BLOQUES!X69</f>
        <v>87.155</v>
      </c>
      <c r="G69" s="11" t="n">
        <f aca="false">BLOQUES!Y69+BLOQUES!Z69</f>
        <v>15.304</v>
      </c>
      <c r="H69" s="8" t="n">
        <f aca="false">E69*INDEX(PAQ_R1,MATCH(B69,PAQ_T,0))</f>
        <v>38073.1</v>
      </c>
      <c r="I69" s="8" t="n">
        <f aca="false">F69*INDEX(PAQ_R2,MATCH(B69,PAQ_T,0))</f>
        <v>28325.375</v>
      </c>
      <c r="J69" s="8" t="n">
        <f aca="false">H69+I69</f>
        <v>66398.475</v>
      </c>
      <c r="K69" s="11" t="n">
        <f aca="false">(BLOQUES!U69+BLOQUES!W69)*INDEX(PAQ_MZ,MATCH(B69,PAQ_T,0))/1000</f>
        <v>414.288285693714</v>
      </c>
      <c r="L69" s="11" t="n">
        <f aca="false">(BLOQUES!U69+BLOQUES!W69)*INDEX(PAQ_MT,MATCH(B69,PAQ_T,0))/1000</f>
        <v>0</v>
      </c>
      <c r="M69" s="8" t="n">
        <f aca="false">BLOQUES!F69*INDEX(PAQ_CERCO,MATCH(B69,PAQ_T,0))</f>
        <v>5607.9</v>
      </c>
      <c r="N69" s="11" t="n">
        <f aca="false">IF(ISNUMBER(BLOQUES!AD69),BLOQUES!AD69/1000,0)</f>
        <v>0</v>
      </c>
      <c r="O69" s="22" t="n">
        <f aca="false">P_JORNAL/(P_CARGA*(P_HORAS*P_EFIC/((BLOQUES!AB69/1000*P_SINUOS)/P_VIDA+(BLOQUES!AB69/1000*P_SINUOS)/P_VVUELTA+P_TCD/60)))</f>
        <v>0.225923793859649</v>
      </c>
      <c r="P69" s="8" t="n">
        <f aca="false">J69*(1+P_RECALCE)*CU_PLANTON</f>
        <v>97388.3034784739</v>
      </c>
      <c r="Q69" s="8" t="n">
        <f aca="false">J69*CU_PLANTA</f>
        <v>455552.104151045</v>
      </c>
      <c r="R69" s="8" t="n">
        <f aca="false">(E69+F69)*CU_HA</f>
        <v>163253.738682881</v>
      </c>
      <c r="S69" s="8" t="n">
        <f aca="false">J69*(1+P_RECALCE)*(P_PESO_PLANTON+P_PESO_INS)*O69</f>
        <v>27556.8285102954</v>
      </c>
      <c r="T69" s="8" t="n">
        <f aca="false">J69*(1+P_RECALCE)*P_PESO_INS*P_FT_KG</f>
        <v>2661.88522990911</v>
      </c>
      <c r="U69" s="8" t="n">
        <f aca="false">K69*CU_ZANJA</f>
        <v>3979487.47406694</v>
      </c>
      <c r="V69" s="8" t="n">
        <f aca="false">L69*CU_TERRAZA</f>
        <v>0</v>
      </c>
      <c r="W69" s="8" t="n">
        <f aca="false">M69*CU_CERCO</f>
        <v>123204.456042556</v>
      </c>
      <c r="X69" s="8" t="n">
        <f aca="false">N69*CU_CARCAVA</f>
        <v>0</v>
      </c>
      <c r="Y69" s="40" t="n">
        <f aca="false">SUM(P69:X69)</f>
        <v>4849104.7901621</v>
      </c>
      <c r="Z69" s="8" t="n">
        <f aca="false">Y69*(P_GG+P_SUP+P_ET)</f>
        <v>731116.549914716</v>
      </c>
      <c r="AA69" s="40" t="n">
        <f aca="false">Y69+Z69</f>
        <v>5580221.34007682</v>
      </c>
      <c r="AB69" s="8" t="n">
        <f aca="false">IF(D69=0,0,AA69/D69)</f>
        <v>34664.4966397695</v>
      </c>
      <c r="AC69" s="8" t="n">
        <f aca="false">J69*(1+P_RECALCE)*CU_PLANTON_NC+J69*CU_PLANTA_NC+(E69+F69)*CU_HA_NC+S69+K69*CU_ZANJA_NC+L69*CU_TERRAZA_NC+M69*CU_CERCO_NC+N69*CU_CARCAVA_NC</f>
        <v>3864103.02910796</v>
      </c>
      <c r="AD69" s="8" t="n">
        <f aca="false">J69*(1+P_RECALCE)*CU_PLANTON_C+J69*CU_PLANTA_C+(E69+F69)*CU_HA_C+K69*CU_ZANJA_C+L69*CU_TERRAZA_C+M69*CU_CERCO_C+N69*CU_CARCAVA_C</f>
        <v>313831.732275748</v>
      </c>
      <c r="AE69" s="8" t="n">
        <f aca="false">Y69-AC69-AD69</f>
        <v>671170.028778392</v>
      </c>
      <c r="AF69" s="8" t="n">
        <f aca="false">AC69*P_FC_MONC+AD69*P_FC_MOC+(AE69+Z69)*P_FC_BIEN</f>
        <v>3059228.79724277</v>
      </c>
      <c r="AG69" s="8" t="n">
        <f aca="false">(SUM(P69:T69)+W69)*(1+P_GG+P_SUP+P_ET)</f>
        <v>1000732.57126133</v>
      </c>
      <c r="AH69" s="8" t="n">
        <f aca="false">(U69+V69+X69)*(1+P_GG+P_SUP+P_ET)</f>
        <v>4579488.76881549</v>
      </c>
    </row>
    <row r="70" customFormat="false" ht="15" hidden="false" customHeight="false" outlineLevel="0" collapsed="false">
      <c r="A70" s="9" t="str">
        <f aca="false">BLOQUES!A70</f>
        <v>M18B1</v>
      </c>
      <c r="B70" s="9" t="str">
        <f aca="false">BLOQUES!AI70</f>
        <v>T1</v>
      </c>
      <c r="C70" s="9" t="str">
        <f aca="false">BLOQUES!AE70</f>
        <v>No</v>
      </c>
      <c r="D70" s="10" t="n">
        <f aca="false">BLOQUES!E70</f>
        <v>160.36</v>
      </c>
      <c r="E70" s="10" t="n">
        <f aca="false">BLOQUES!U70+BLOQUES!V70</f>
        <v>121.685</v>
      </c>
      <c r="F70" s="10" t="n">
        <f aca="false">BLOQUES!W70+BLOQUES!X70</f>
        <v>38.15</v>
      </c>
      <c r="G70" s="10" t="n">
        <f aca="false">BLOQUES!Y70+BLOQUES!Z70</f>
        <v>0.524</v>
      </c>
      <c r="H70" s="12" t="n">
        <f aca="false">E70*INDEX(PAQ_R1,MATCH(B70,PAQ_T,0))</f>
        <v>79095.25</v>
      </c>
      <c r="I70" s="12" t="n">
        <f aca="false">F70*INDEX(PAQ_R2,MATCH(B70,PAQ_T,0))</f>
        <v>12398.75</v>
      </c>
      <c r="J70" s="12" t="n">
        <f aca="false">H70+I70</f>
        <v>91494</v>
      </c>
      <c r="K70" s="10" t="n">
        <f aca="false">(BLOQUES!U70+BLOQUES!W70)*INDEX(PAQ_MZ,MATCH(B70,PAQ_T,0))/1000</f>
        <v>482.277341781266</v>
      </c>
      <c r="L70" s="10" t="n">
        <f aca="false">(BLOQUES!U70+BLOQUES!W70)*INDEX(PAQ_MT,MATCH(B70,PAQ_T,0))/1000</f>
        <v>0</v>
      </c>
      <c r="M70" s="12" t="n">
        <f aca="false">BLOQUES!F70*INDEX(PAQ_CERCO,MATCH(B70,PAQ_T,0))</f>
        <v>5765.2</v>
      </c>
      <c r="N70" s="10" t="n">
        <f aca="false">IF(ISNUMBER(BLOQUES!AD70),BLOQUES!AD70/1000,0)</f>
        <v>0</v>
      </c>
      <c r="O70" s="31" t="n">
        <f aca="false">P_JORNAL/(P_CARGA*(P_HORAS*P_EFIC/((BLOQUES!AB70/1000*P_SINUOS)/P_VIDA+(BLOQUES!AB70/1000*P_SINUOS)/P_VVUELTA+P_TCD/60)))</f>
        <v>0.650348135964912</v>
      </c>
      <c r="P70" s="12" t="n">
        <f aca="false">J70*(1+P_RECALCE)*CU_PLANTON</f>
        <v>134196.537472577</v>
      </c>
      <c r="Q70" s="12" t="n">
        <f aca="false">J70*CU_PLANTA</f>
        <v>627729.540734116</v>
      </c>
      <c r="R70" s="12" t="n">
        <f aca="false">(E70+F70)*CU_HA</f>
        <v>179056.065178368</v>
      </c>
      <c r="S70" s="12" t="n">
        <f aca="false">J70*(1+P_RECALCE)*(P_PESO_PLANTON+P_PESO_INS)*O70</f>
        <v>109306.923470576</v>
      </c>
      <c r="T70" s="12" t="n">
        <f aca="false">J70*(1+P_RECALCE)*P_PESO_INS*P_FT_KG</f>
        <v>3667.95362732811</v>
      </c>
      <c r="U70" s="12" t="n">
        <f aca="false">K70*CU_ZANJA</f>
        <v>4632563.13760157</v>
      </c>
      <c r="V70" s="12" t="n">
        <f aca="false">L70*CU_TERRAZA</f>
        <v>0</v>
      </c>
      <c r="W70" s="12" t="n">
        <f aca="false">M70*CU_CERCO</f>
        <v>126660.305992714</v>
      </c>
      <c r="X70" s="12" t="n">
        <f aca="false">N70*CU_CARCAVA</f>
        <v>0</v>
      </c>
      <c r="Y70" s="42" t="n">
        <f aca="false">SUM(P70:X70)</f>
        <v>5813180.46407725</v>
      </c>
      <c r="Z70" s="12" t="n">
        <f aca="false">Y70*(P_GG+P_SUP+P_ET)</f>
        <v>876473.623244942</v>
      </c>
      <c r="AA70" s="42" t="n">
        <f aca="false">Y70+Z70</f>
        <v>6689654.08732219</v>
      </c>
      <c r="AB70" s="12" t="n">
        <f aca="false">IF(D70=0,0,AA70/D70)</f>
        <v>41716.4759748203</v>
      </c>
      <c r="AC70" s="12" t="n">
        <f aca="false">J70*(1+P_RECALCE)*CU_PLANTON_NC+J70*CU_PLANTA_NC+(E70+F70)*CU_HA_NC+S70+K70*CU_ZANJA_NC+L70*CU_TERRAZA_NC+M70*CU_CERCO_NC+N70*CU_CARCAVA_NC</f>
        <v>4636155.19950313</v>
      </c>
      <c r="AD70" s="12" t="n">
        <f aca="false">J70*(1+P_RECALCE)*CU_PLANTON_C+J70*CU_PLANTA_C+(E70+F70)*CU_HA_C+K70*CU_ZANJA_C+L70*CU_TERRAZA_C+M70*CU_CERCO_C+N70*CU_CARCAVA_C</f>
        <v>368371.651197487</v>
      </c>
      <c r="AE70" s="12" t="n">
        <f aca="false">Y70-AC70-AD70</f>
        <v>808653.613376628</v>
      </c>
      <c r="AF70" s="12" t="n">
        <f aca="false">AC70*P_FC_MONC+AD70*P_FC_MOC+(AE70+Z70)*P_FC_BIEN</f>
        <v>3666272.71757764</v>
      </c>
      <c r="AG70" s="12" t="n">
        <f aca="false">(SUM(P70:T70)+W70)*(1+P_GG+P_SUP+P_ET)</f>
        <v>1358623.14483903</v>
      </c>
      <c r="AH70" s="12" t="n">
        <f aca="false">(U70+V70+X70)*(1+P_GG+P_SUP+P_ET)</f>
        <v>5331030.94248316</v>
      </c>
    </row>
    <row r="71" customFormat="false" ht="15" hidden="false" customHeight="false" outlineLevel="0" collapsed="false">
      <c r="A71" s="7" t="str">
        <f aca="false">BLOQUES!A71</f>
        <v>M1B1</v>
      </c>
      <c r="B71" s="7" t="str">
        <f aca="false">BLOQUES!AI71</f>
        <v>T1</v>
      </c>
      <c r="C71" s="7" t="str">
        <f aca="false">BLOQUES!AE71</f>
        <v>No</v>
      </c>
      <c r="D71" s="11" t="n">
        <f aca="false">BLOQUES!E71</f>
        <v>188.797</v>
      </c>
      <c r="E71" s="11" t="n">
        <f aca="false">BLOQUES!U71+BLOQUES!V71</f>
        <v>163.657</v>
      </c>
      <c r="F71" s="11" t="n">
        <f aca="false">BLOQUES!W71+BLOQUES!X71</f>
        <v>23.97</v>
      </c>
      <c r="G71" s="11" t="n">
        <f aca="false">BLOQUES!Y71+BLOQUES!Z71</f>
        <v>1.17</v>
      </c>
      <c r="H71" s="8" t="n">
        <f aca="false">E71*INDEX(PAQ_R1,MATCH(B71,PAQ_T,0))</f>
        <v>106377.05</v>
      </c>
      <c r="I71" s="8" t="n">
        <f aca="false">F71*INDEX(PAQ_R2,MATCH(B71,PAQ_T,0))</f>
        <v>7790.25</v>
      </c>
      <c r="J71" s="8" t="n">
        <f aca="false">H71+I71</f>
        <v>114167.3</v>
      </c>
      <c r="K71" s="11" t="n">
        <f aca="false">(BLOQUES!U71+BLOQUES!W71)*INDEX(PAQ_MZ,MATCH(B71,PAQ_T,0))/1000</f>
        <v>524.962200302398</v>
      </c>
      <c r="L71" s="11" t="n">
        <f aca="false">(BLOQUES!U71+BLOQUES!W71)*INDEX(PAQ_MT,MATCH(B71,PAQ_T,0))/1000</f>
        <v>0</v>
      </c>
      <c r="M71" s="8" t="n">
        <f aca="false">BLOQUES!F71*INDEX(PAQ_CERCO,MATCH(B71,PAQ_T,0))</f>
        <v>7209.7</v>
      </c>
      <c r="N71" s="11" t="n">
        <f aca="false">IF(ISNUMBER(BLOQUES!AD71),BLOQUES!AD71/1000,0)</f>
        <v>0</v>
      </c>
      <c r="O71" s="22" t="n">
        <f aca="false">P_JORNAL/(P_CARGA*(P_HORAS*P_EFIC/((BLOQUES!AB71/1000*P_SINUOS)/P_VIDA+(BLOQUES!AB71/1000*P_SINUOS)/P_VVUELTA+P_TCD/60)))</f>
        <v>0.875282346491228</v>
      </c>
      <c r="P71" s="8" t="n">
        <f aca="false">J71*(1+P_RECALCE)*CU_PLANTON</f>
        <v>167452.033495016</v>
      </c>
      <c r="Q71" s="8" t="n">
        <f aca="false">J71*CU_PLANTA</f>
        <v>783288.377334624</v>
      </c>
      <c r="R71" s="8" t="n">
        <f aca="false">(E71+F71)*CU_HA</f>
        <v>210190.210787509</v>
      </c>
      <c r="S71" s="8" t="n">
        <f aca="false">J71*(1+P_RECALCE)*(P_PESO_PLANTON+P_PESO_INS)*O71</f>
        <v>183568.879048575</v>
      </c>
      <c r="T71" s="8" t="n">
        <f aca="false">J71*(1+P_RECALCE)*P_PESO_INS*P_FT_KG</f>
        <v>4576.91610550698</v>
      </c>
      <c r="U71" s="8" t="n">
        <f aca="false">K71*CU_ZANJA</f>
        <v>5042576.80606128</v>
      </c>
      <c r="V71" s="8" t="n">
        <f aca="false">L71*CU_TERRAZA</f>
        <v>0</v>
      </c>
      <c r="W71" s="8" t="n">
        <f aca="false">M71*CU_CERCO</f>
        <v>158395.685859237</v>
      </c>
      <c r="X71" s="8" t="n">
        <f aca="false">N71*CU_CARCAVA</f>
        <v>0</v>
      </c>
      <c r="Y71" s="40" t="n">
        <f aca="false">SUM(P71:X71)</f>
        <v>6550048.90869175</v>
      </c>
      <c r="Z71" s="8" t="n">
        <f aca="false">Y71*(P_GG+P_SUP+P_ET)</f>
        <v>987573.865100009</v>
      </c>
      <c r="AA71" s="40" t="n">
        <f aca="false">Y71+Z71</f>
        <v>7537622.77379176</v>
      </c>
      <c r="AB71" s="8" t="n">
        <f aca="false">IF(D71=0,0,AA71/D71)</f>
        <v>39924.4838307375</v>
      </c>
      <c r="AC71" s="8" t="n">
        <f aca="false">J71*(1+P_RECALCE)*CU_PLANTON_NC+J71*CU_PLANTA_NC+(E71+F71)*CU_HA_NC+S71+K71*CU_ZANJA_NC+L71*CU_TERRAZA_NC+M71*CU_CERCO_NC+N71*CU_CARCAVA_NC</f>
        <v>5192143.1696337</v>
      </c>
      <c r="AD71" s="8" t="n">
        <f aca="false">J71*(1+P_RECALCE)*CU_PLANTON_C+J71*CU_PLANTA_C+(E71+F71)*CU_HA_C+K71*CU_ZANJA_C+L71*CU_TERRAZA_C+M71*CU_CERCO_C+N71*CU_CARCAVA_C</f>
        <v>407847.693252171</v>
      </c>
      <c r="AE71" s="8" t="n">
        <f aca="false">Y71-AC71-AD71</f>
        <v>950058.045805878</v>
      </c>
      <c r="AF71" s="8" t="n">
        <f aca="false">AC71*P_FC_MONC+AD71*P_FC_MOC+(AE71+Z71)*P_FC_BIEN</f>
        <v>4144960.75036103</v>
      </c>
      <c r="AG71" s="8" t="n">
        <f aca="false">(SUM(P71:T71)+W71)*(1+P_GG+P_SUP+P_ET)</f>
        <v>1734758.96287814</v>
      </c>
      <c r="AH71" s="8" t="n">
        <f aca="false">(U71+V71+X71)*(1+P_GG+P_SUP+P_ET)</f>
        <v>5802863.81091362</v>
      </c>
    </row>
    <row r="72" customFormat="false" ht="15" hidden="false" customHeight="false" outlineLevel="0" collapsed="false">
      <c r="A72" s="9" t="str">
        <f aca="false">BLOQUES!A72</f>
        <v>59</v>
      </c>
      <c r="B72" s="9" t="str">
        <f aca="false">BLOQUES!AI72</f>
        <v>T4</v>
      </c>
      <c r="C72" s="9" t="str">
        <f aca="false">BLOQUES!AE72</f>
        <v>No</v>
      </c>
      <c r="D72" s="10" t="n">
        <f aca="false">BLOQUES!E72</f>
        <v>13.554</v>
      </c>
      <c r="E72" s="10" t="n">
        <f aca="false">BLOQUES!U72+BLOQUES!V72</f>
        <v>0.732</v>
      </c>
      <c r="F72" s="10" t="n">
        <f aca="false">BLOQUES!W72+BLOQUES!X72</f>
        <v>1.127</v>
      </c>
      <c r="G72" s="10" t="n">
        <f aca="false">BLOQUES!Y72+BLOQUES!Z72</f>
        <v>11.694</v>
      </c>
      <c r="H72" s="12" t="n">
        <f aca="false">E72*INDEX(PAQ_R1,MATCH(B72,PAQ_T,0))</f>
        <v>528.504</v>
      </c>
      <c r="I72" s="12" t="n">
        <f aca="false">F72*INDEX(PAQ_R2,MATCH(B72,PAQ_T,0))</f>
        <v>406.847</v>
      </c>
      <c r="J72" s="12" t="n">
        <f aca="false">H72+I72</f>
        <v>935.351</v>
      </c>
      <c r="K72" s="10" t="n">
        <f aca="false">(BLOQUES!U72+BLOQUES!W72)*INDEX(PAQ_MZ,MATCH(B72,PAQ_T,0))/1000</f>
        <v>6.69234646122831</v>
      </c>
      <c r="L72" s="10" t="n">
        <f aca="false">(BLOQUES!U72+BLOQUES!W72)*INDEX(PAQ_MT,MATCH(B72,PAQ_T,0))/1000</f>
        <v>0</v>
      </c>
      <c r="M72" s="12" t="n">
        <f aca="false">BLOQUES!F72*INDEX(PAQ_CERCO,MATCH(B72,PAQ_T,0))</f>
        <v>1664.2</v>
      </c>
      <c r="N72" s="10" t="n">
        <f aca="false">IF(ISNUMBER(BLOQUES!AD72),BLOQUES!AD72/1000,0)</f>
        <v>0</v>
      </c>
      <c r="O72" s="31" t="n">
        <f aca="false">P_JORNAL/(P_CARGA*(P_HORAS*P_EFIC/((BLOQUES!AB72/1000*P_SINUOS)/P_VIDA+(BLOQUES!AB72/1000*P_SINUOS)/P_VVUELTA+P_TCD/60)))</f>
        <v>0.185084978070175</v>
      </c>
      <c r="P72" s="12" t="n">
        <f aca="false">J72*(1+P_RECALCE)*CU_PLANTON</f>
        <v>1371.90269877274</v>
      </c>
      <c r="Q72" s="12" t="n">
        <f aca="false">J72*CU_PLANTA</f>
        <v>6417.33287051825</v>
      </c>
      <c r="R72" s="12" t="n">
        <f aca="false">(E72+F72)*CU_HA</f>
        <v>2082.55529243648</v>
      </c>
      <c r="S72" s="12" t="n">
        <f aca="false">J72*(1+P_RECALCE)*(P_PESO_PLANTON+P_PESO_INS)*O72</f>
        <v>318.020373296198</v>
      </c>
      <c r="T72" s="12" t="n">
        <f aca="false">J72*(1+P_RECALCE)*P_PESO_INS*P_FT_KG</f>
        <v>37.4978041540972</v>
      </c>
      <c r="U72" s="12" t="n">
        <f aca="false">K72*CU_ZANJA</f>
        <v>64284.0018273255</v>
      </c>
      <c r="V72" s="12" t="n">
        <f aca="false">L72*CU_TERRAZA</f>
        <v>0</v>
      </c>
      <c r="W72" s="12" t="n">
        <f aca="false">M72*CU_CERCO</f>
        <v>36562.1454993886</v>
      </c>
      <c r="X72" s="12" t="n">
        <f aca="false">N72*CU_CARCAVA</f>
        <v>0</v>
      </c>
      <c r="Y72" s="42" t="n">
        <f aca="false">SUM(P72:X72)</f>
        <v>111073.456365892</v>
      </c>
      <c r="Z72" s="12" t="n">
        <f aca="false">Y72*(P_GG+P_SUP+P_ET)</f>
        <v>16746.9348920007</v>
      </c>
      <c r="AA72" s="42" t="n">
        <f aca="false">Y72+Z72</f>
        <v>127820.391257893</v>
      </c>
      <c r="AB72" s="12" t="n">
        <f aca="false">IF(D72=0,0,AA72/D72)</f>
        <v>9430.45530897835</v>
      </c>
      <c r="AC72" s="12" t="n">
        <f aca="false">J72*(1+P_RECALCE)*CU_PLANTON_NC+J72*CU_PLANTA_NC+(E72+F72)*CU_HA_NC+S72+K72*CU_ZANJA_NC+L72*CU_TERRAZA_NC+M72*CU_CERCO_NC+N72*CU_CARCAVA_NC</f>
        <v>61239.4205226604</v>
      </c>
      <c r="AD72" s="12" t="n">
        <f aca="false">J72*(1+P_RECALCE)*CU_PLANTON_C+J72*CU_PLANTA_C+(E72+F72)*CU_HA_C+K72*CU_ZANJA_C+L72*CU_TERRAZA_C+M72*CU_CERCO_C+N72*CU_CARCAVA_C</f>
        <v>4946.82671251471</v>
      </c>
      <c r="AE72" s="12" t="n">
        <f aca="false">Y72-AC72-AD72</f>
        <v>44887.2091307167</v>
      </c>
      <c r="AF72" s="12" t="n">
        <f aca="false">AC72*P_FC_MONC+AD72*P_FC_MOC+(AE72+Z72)*P_FC_BIEN</f>
        <v>81860.8751653849</v>
      </c>
      <c r="AG72" s="12" t="n">
        <f aca="false">(SUM(P72:T72)+W72)*(1+P_GG+P_SUP+P_ET)</f>
        <v>53844.0648336523</v>
      </c>
      <c r="AH72" s="12" t="n">
        <f aca="false">(U72+V72+X72)*(1+P_GG+P_SUP+P_ET)</f>
        <v>73976.3264242403</v>
      </c>
    </row>
    <row r="73" customFormat="false" ht="15" hidden="false" customHeight="false" outlineLevel="0" collapsed="false">
      <c r="A73" s="7" t="str">
        <f aca="false">BLOQUES!A73</f>
        <v>57</v>
      </c>
      <c r="B73" s="7" t="str">
        <f aca="false">BLOQUES!AI73</f>
        <v>T4</v>
      </c>
      <c r="C73" s="7" t="str">
        <f aca="false">BLOQUES!AE73</f>
        <v>No</v>
      </c>
      <c r="D73" s="11" t="n">
        <f aca="false">BLOQUES!E73</f>
        <v>25.668</v>
      </c>
      <c r="E73" s="11" t="n">
        <f aca="false">BLOQUES!U73+BLOQUES!V73</f>
        <v>0</v>
      </c>
      <c r="F73" s="11" t="n">
        <f aca="false">BLOQUES!W73+BLOQUES!X73</f>
        <v>1.176</v>
      </c>
      <c r="G73" s="11" t="n">
        <f aca="false">BLOQUES!Y73+BLOQUES!Z73</f>
        <v>24.492</v>
      </c>
      <c r="H73" s="8" t="n">
        <f aca="false">E73*INDEX(PAQ_R1,MATCH(B73,PAQ_T,0))</f>
        <v>0</v>
      </c>
      <c r="I73" s="8" t="n">
        <f aca="false">F73*INDEX(PAQ_R2,MATCH(B73,PAQ_T,0))</f>
        <v>424.536</v>
      </c>
      <c r="J73" s="8" t="n">
        <f aca="false">H73+I73</f>
        <v>424.536</v>
      </c>
      <c r="K73" s="11" t="n">
        <f aca="false">(BLOQUES!U73+BLOQUES!W73)*INDEX(PAQ_MZ,MATCH(B73,PAQ_T,0))/1000</f>
        <v>3.83396932824537</v>
      </c>
      <c r="L73" s="11" t="n">
        <f aca="false">(BLOQUES!U73+BLOQUES!W73)*INDEX(PAQ_MT,MATCH(B73,PAQ_T,0))/1000</f>
        <v>0</v>
      </c>
      <c r="M73" s="8" t="n">
        <f aca="false">BLOQUES!F73*INDEX(PAQ_CERCO,MATCH(B73,PAQ_T,0))</f>
        <v>2382.2</v>
      </c>
      <c r="N73" s="11" t="n">
        <f aca="false">IF(ISNUMBER(BLOQUES!AD73),BLOQUES!AD73/1000,0)</f>
        <v>0</v>
      </c>
      <c r="O73" s="22" t="n">
        <f aca="false">P_JORNAL/(P_CARGA*(P_HORAS*P_EFIC/((BLOQUES!AB73/1000*P_SINUOS)/P_VIDA+(BLOQUES!AB73/1000*P_SINUOS)/P_VVUELTA+P_TCD/60)))</f>
        <v>0.178563596491228</v>
      </c>
      <c r="P73" s="8" t="n">
        <f aca="false">J73*(1+P_RECALCE)*CU_PLANTON</f>
        <v>622.677566096773</v>
      </c>
      <c r="Q73" s="8" t="n">
        <f aca="false">J73*CU_PLANTA</f>
        <v>2912.69141479331</v>
      </c>
      <c r="R73" s="8" t="n">
        <f aca="false">(E73+F73)*CU_HA</f>
        <v>1317.42066912604</v>
      </c>
      <c r="S73" s="8" t="n">
        <f aca="false">J73*(1+P_RECALCE)*(P_PESO_PLANTON+P_PESO_INS)*O73</f>
        <v>139.256861975</v>
      </c>
      <c r="T73" s="8" t="n">
        <f aca="false">J73*(1+P_RECALCE)*P_PESO_INS*P_FT_KG</f>
        <v>17.0194587746887</v>
      </c>
      <c r="U73" s="8" t="n">
        <f aca="false">K73*CU_ZANJA</f>
        <v>36827.5750113511</v>
      </c>
      <c r="V73" s="8" t="n">
        <f aca="false">L73*CU_TERRAZA</f>
        <v>0</v>
      </c>
      <c r="W73" s="8" t="n">
        <f aca="false">M73*CU_CERCO</f>
        <v>52336.463771568</v>
      </c>
      <c r="X73" s="8" t="n">
        <f aca="false">N73*CU_CARCAVA</f>
        <v>0</v>
      </c>
      <c r="Y73" s="40" t="n">
        <f aca="false">SUM(P73:X73)</f>
        <v>94173.1047536849</v>
      </c>
      <c r="Z73" s="8" t="n">
        <f aca="false">Y73*(P_GG+P_SUP+P_ET)</f>
        <v>14198.8095579946</v>
      </c>
      <c r="AA73" s="40" t="n">
        <f aca="false">Y73+Z73</f>
        <v>108371.914311679</v>
      </c>
      <c r="AB73" s="8" t="n">
        <f aca="false">IF(D73=0,0,AA73/D73)</f>
        <v>4222.06304782918</v>
      </c>
      <c r="AC73" s="8" t="n">
        <f aca="false">J73*(1+P_RECALCE)*CU_PLANTON_NC+J73*CU_PLANTA_NC+(E73+F73)*CU_HA_NC+S73+K73*CU_ZANJA_NC+L73*CU_TERRAZA_NC+M73*CU_CERCO_NC+N73*CU_CARCAVA_NC</f>
        <v>34591.6722558271</v>
      </c>
      <c r="AD73" s="8" t="n">
        <f aca="false">J73*(1+P_RECALCE)*CU_PLANTON_C+J73*CU_PLANTA_C+(E73+F73)*CU_HA_C+K73*CU_ZANJA_C+L73*CU_TERRAZA_C+M73*CU_CERCO_C+N73*CU_CARCAVA_C</f>
        <v>2815.57138951553</v>
      </c>
      <c r="AE73" s="8" t="n">
        <f aca="false">Y73-AC73-AD73</f>
        <v>56765.8611083423</v>
      </c>
      <c r="AF73" s="8" t="n">
        <f aca="false">AC73*P_FC_MONC+AD73*P_FC_MOC+(AE73+Z73)*P_FC_BIEN</f>
        <v>76892.3551573145</v>
      </c>
      <c r="AG73" s="8" t="n">
        <f aca="false">(SUM(P73:T73)+W73)*(1+P_GG+P_SUP+P_ET)</f>
        <v>65991.7165484649</v>
      </c>
      <c r="AH73" s="8" t="n">
        <f aca="false">(U73+V73+X73)*(1+P_GG+P_SUP+P_ET)</f>
        <v>42380.1977632146</v>
      </c>
    </row>
    <row r="74" customFormat="false" ht="15" hidden="false" customHeight="false" outlineLevel="0" collapsed="false">
      <c r="A74" s="9" t="str">
        <f aca="false">BLOQUES!A74</f>
        <v>M9B1</v>
      </c>
      <c r="B74" s="9" t="str">
        <f aca="false">BLOQUES!AI74</f>
        <v>T1</v>
      </c>
      <c r="C74" s="9" t="str">
        <f aca="false">BLOQUES!AE74</f>
        <v>No</v>
      </c>
      <c r="D74" s="10" t="n">
        <f aca="false">BLOQUES!E74</f>
        <v>355.364</v>
      </c>
      <c r="E74" s="10" t="n">
        <f aca="false">BLOQUES!U74+BLOQUES!V74</f>
        <v>310.381</v>
      </c>
      <c r="F74" s="10" t="n">
        <f aca="false">BLOQUES!W74+BLOQUES!X74</f>
        <v>42.6</v>
      </c>
      <c r="G74" s="10" t="n">
        <f aca="false">BLOQUES!Y74+BLOQUES!Z74</f>
        <v>2.381</v>
      </c>
      <c r="H74" s="12" t="n">
        <f aca="false">E74*INDEX(PAQ_R1,MATCH(B74,PAQ_T,0))</f>
        <v>201747.65</v>
      </c>
      <c r="I74" s="12" t="n">
        <f aca="false">F74*INDEX(PAQ_R2,MATCH(B74,PAQ_T,0))</f>
        <v>13845</v>
      </c>
      <c r="J74" s="12" t="n">
        <f aca="false">H74+I74</f>
        <v>215592.65</v>
      </c>
      <c r="K74" s="10" t="n">
        <f aca="false">(BLOQUES!U74+BLOQUES!W74)*INDEX(PAQ_MZ,MATCH(B74,PAQ_T,0))/1000</f>
        <v>318.44265245878</v>
      </c>
      <c r="L74" s="10" t="n">
        <f aca="false">(BLOQUES!U74+BLOQUES!W74)*INDEX(PAQ_MT,MATCH(B74,PAQ_T,0))/1000</f>
        <v>0</v>
      </c>
      <c r="M74" s="12" t="n">
        <f aca="false">BLOQUES!F74*INDEX(PAQ_CERCO,MATCH(B74,PAQ_T,0))</f>
        <v>8287.3</v>
      </c>
      <c r="N74" s="10" t="n">
        <f aca="false">IF(ISNUMBER(BLOQUES!AD74),BLOQUES!AD74/1000,0)</f>
        <v>0</v>
      </c>
      <c r="O74" s="31" t="n">
        <f aca="false">P_JORNAL/(P_CARGA*(P_HORAS*P_EFIC/((BLOQUES!AB74/1000*P_SINUOS)/P_VIDA+(BLOQUES!AB74/1000*P_SINUOS)/P_VVUELTA+P_TCD/60)))</f>
        <v>0.188399122807018</v>
      </c>
      <c r="P74" s="12" t="n">
        <f aca="false">J74*(1+P_RECALCE)*CU_PLANTON</f>
        <v>316215.130331358</v>
      </c>
      <c r="Q74" s="12" t="n">
        <f aca="false">J74*CU_PLANTA</f>
        <v>1479155.73884791</v>
      </c>
      <c r="R74" s="12" t="n">
        <f aca="false">(E74+F74)*CU_HA</f>
        <v>395428.967014267</v>
      </c>
      <c r="S74" s="12" t="n">
        <f aca="false">J74*(1+P_RECALCE)*(P_PESO_PLANTON+P_PESO_INS)*O74</f>
        <v>74614.2853058673</v>
      </c>
      <c r="T74" s="12" t="n">
        <f aca="false">J74*(1+P_RECALCE)*P_PESO_INS*P_FT_KG</f>
        <v>8643.01312209302</v>
      </c>
      <c r="U74" s="12" t="n">
        <f aca="false">K74*CU_ZANJA</f>
        <v>3058832.67866581</v>
      </c>
      <c r="V74" s="12" t="n">
        <f aca="false">L74*CU_TERRAZA</f>
        <v>0</v>
      </c>
      <c r="W74" s="12" t="n">
        <f aca="false">M74*CU_CERCO</f>
        <v>182070.34514907</v>
      </c>
      <c r="X74" s="12" t="n">
        <f aca="false">N74*CU_CARCAVA</f>
        <v>0</v>
      </c>
      <c r="Y74" s="42" t="n">
        <f aca="false">SUM(P74:X74)</f>
        <v>5514960.15843638</v>
      </c>
      <c r="Z74" s="12" t="n">
        <f aca="false">Y74*(P_GG+P_SUP+P_ET)</f>
        <v>831509.900989029</v>
      </c>
      <c r="AA74" s="42" t="n">
        <f aca="false">Y74+Z74</f>
        <v>6346470.0594254</v>
      </c>
      <c r="AB74" s="12" t="n">
        <f aca="false">IF(D74=0,0,AA74/D74)</f>
        <v>17859.0686153505</v>
      </c>
      <c r="AC74" s="12" t="n">
        <f aca="false">J74*(1+P_RECALCE)*CU_PLANTON_NC+J74*CU_PLANTA_NC+(E74+F74)*CU_HA_NC+S74+K74*CU_ZANJA_NC+L74*CU_TERRAZA_NC+M74*CU_CERCO_NC+N74*CU_CARCAVA_NC</f>
        <v>4007638.31573026</v>
      </c>
      <c r="AD74" s="12" t="n">
        <f aca="false">J74*(1+P_RECALCE)*CU_PLANTON_C+J74*CU_PLANTA_C+(E74+F74)*CU_HA_C+K74*CU_ZANJA_C+L74*CU_TERRAZA_C+M74*CU_CERCO_C+N74*CU_CARCAVA_C</f>
        <v>332579.802830914</v>
      </c>
      <c r="AE74" s="12" t="n">
        <f aca="false">Y74-AC74-AD74</f>
        <v>1174742.0398752</v>
      </c>
      <c r="AF74" s="12" t="n">
        <f aca="false">AC74*P_FC_MONC+AD74*P_FC_MOC+(AE74+Z74)*P_FC_BIEN</f>
        <v>3646159.6460501</v>
      </c>
      <c r="AG74" s="12" t="n">
        <f aca="false">(SUM(P74:T74)+W74)*(1+P_GG+P_SUP+P_ET)</f>
        <v>2826446.44107736</v>
      </c>
      <c r="AH74" s="12" t="n">
        <f aca="false">(U74+V74+X74)*(1+P_GG+P_SUP+P_ET)</f>
        <v>3520023.61834805</v>
      </c>
    </row>
    <row r="75" customFormat="false" ht="15" hidden="false" customHeight="false" outlineLevel="0" collapsed="false">
      <c r="A75" s="7" t="str">
        <f aca="false">BLOQUES!A75</f>
        <v>M10B4</v>
      </c>
      <c r="B75" s="7" t="str">
        <f aca="false">BLOQUES!AI75</f>
        <v>T1</v>
      </c>
      <c r="C75" s="7" t="str">
        <f aca="false">BLOQUES!AE75</f>
        <v>No</v>
      </c>
      <c r="D75" s="11" t="n">
        <f aca="false">BLOQUES!E75</f>
        <v>68.887</v>
      </c>
      <c r="E75" s="11" t="n">
        <f aca="false">BLOQUES!U75+BLOQUES!V75</f>
        <v>63.011</v>
      </c>
      <c r="F75" s="11" t="n">
        <f aca="false">BLOQUES!W75+BLOQUES!X75</f>
        <v>5.747</v>
      </c>
      <c r="G75" s="11" t="n">
        <f aca="false">BLOQUES!Y75+BLOQUES!Z75</f>
        <v>0.128</v>
      </c>
      <c r="H75" s="8" t="n">
        <f aca="false">E75*INDEX(PAQ_R1,MATCH(B75,PAQ_T,0))</f>
        <v>40957.15</v>
      </c>
      <c r="I75" s="8" t="n">
        <f aca="false">F75*INDEX(PAQ_R2,MATCH(B75,PAQ_T,0))</f>
        <v>1867.775</v>
      </c>
      <c r="J75" s="8" t="n">
        <f aca="false">H75+I75</f>
        <v>42824.925</v>
      </c>
      <c r="K75" s="11" t="n">
        <f aca="false">(BLOQUES!U75+BLOQUES!W75)*INDEX(PAQ_MZ,MATCH(B75,PAQ_T,0))/1000</f>
        <v>106.883144934841</v>
      </c>
      <c r="L75" s="11" t="n">
        <f aca="false">(BLOQUES!U75+BLOQUES!W75)*INDEX(PAQ_MT,MATCH(B75,PAQ_T,0))/1000</f>
        <v>0</v>
      </c>
      <c r="M75" s="8" t="n">
        <f aca="false">BLOQUES!F75*INDEX(PAQ_CERCO,MATCH(B75,PAQ_T,0))</f>
        <v>4844.1</v>
      </c>
      <c r="N75" s="11" t="n">
        <f aca="false">IF(ISNUMBER(BLOQUES!AD75),BLOQUES!AD75/1000,0)</f>
        <v>0</v>
      </c>
      <c r="O75" s="22" t="n">
        <f aca="false">P_JORNAL/(P_CARGA*(P_HORAS*P_EFIC/((BLOQUES!AB75/1000*P_SINUOS)/P_VIDA+(BLOQUES!AB75/1000*P_SINUOS)/P_VVUELTA+P_TCD/60)))</f>
        <v>0.135693530701754</v>
      </c>
      <c r="P75" s="8" t="n">
        <f aca="false">J75*(1+P_RECALCE)*CU_PLANTON</f>
        <v>62812.3882716114</v>
      </c>
      <c r="Q75" s="8" t="n">
        <f aca="false">J75*CU_PLANTA</f>
        <v>293816.758500262</v>
      </c>
      <c r="R75" s="8" t="n">
        <f aca="false">(E75+F75)*CU_HA</f>
        <v>77026.5394283743</v>
      </c>
      <c r="S75" s="8" t="n">
        <f aca="false">J75*(1+P_RECALCE)*(P_PESO_PLANTON+P_PESO_INS)*O75</f>
        <v>10674.9269107037</v>
      </c>
      <c r="T75" s="8" t="n">
        <f aca="false">J75*(1+P_RECALCE)*P_PESO_INS*P_FT_KG</f>
        <v>1716.83213100098</v>
      </c>
      <c r="U75" s="8" t="n">
        <f aca="false">K75*CU_ZANJA</f>
        <v>1026676.71557466</v>
      </c>
      <c r="V75" s="8" t="n">
        <f aca="false">L75*CU_TERRAZA</f>
        <v>0</v>
      </c>
      <c r="W75" s="8" t="n">
        <f aca="false">M75*CU_CERCO</f>
        <v>106423.920810953</v>
      </c>
      <c r="X75" s="8" t="n">
        <f aca="false">N75*CU_CARCAVA</f>
        <v>0</v>
      </c>
      <c r="Y75" s="40" t="n">
        <f aca="false">SUM(P75:X75)</f>
        <v>1579148.08162757</v>
      </c>
      <c r="Z75" s="8" t="n">
        <f aca="false">Y75*(P_GG+P_SUP+P_ET)</f>
        <v>238093.699188834</v>
      </c>
      <c r="AA75" s="40" t="n">
        <f aca="false">Y75+Z75</f>
        <v>1817241.7808164</v>
      </c>
      <c r="AB75" s="8" t="n">
        <f aca="false">IF(D75=0,0,AA75/D75)</f>
        <v>26380.0394968049</v>
      </c>
      <c r="AC75" s="8" t="n">
        <f aca="false">J75*(1+P_RECALCE)*CU_PLANTON_NC+J75*CU_PLANTA_NC+(E75+F75)*CU_HA_NC+S75+K75*CU_ZANJA_NC+L75*CU_TERRAZA_NC+M75*CU_CERCO_NC+N75*CU_CARCAVA_NC</f>
        <v>1149013.20028217</v>
      </c>
      <c r="AD75" s="8" t="n">
        <f aca="false">J75*(1+P_RECALCE)*CU_PLANTON_C+J75*CU_PLANTA_C+(E75+F75)*CU_HA_C+K75*CU_ZANJA_C+L75*CU_TERRAZA_C+M75*CU_CERCO_C+N75*CU_CARCAVA_C</f>
        <v>94206.8520967241</v>
      </c>
      <c r="AE75" s="8" t="n">
        <f aca="false">Y75-AC75-AD75</f>
        <v>335928.029248674</v>
      </c>
      <c r="AF75" s="8" t="n">
        <f aca="false">AC75*P_FC_MONC+AD75*P_FC_MOC+(AE75+Z75)*P_FC_BIEN</f>
        <v>1043468.04917112</v>
      </c>
      <c r="AG75" s="8" t="n">
        <f aca="false">(SUM(P75:T75)+W75)*(1+P_GG+P_SUP+P_ET)</f>
        <v>635769.413126408</v>
      </c>
      <c r="AH75" s="8" t="n">
        <f aca="false">(U75+V75+X75)*(1+P_GG+P_SUP+P_ET)</f>
        <v>1181472.36768999</v>
      </c>
    </row>
    <row r="76" customFormat="false" ht="15" hidden="false" customHeight="false" outlineLevel="0" collapsed="false">
      <c r="A76" s="9" t="str">
        <f aca="false">BLOQUES!A76</f>
        <v>22</v>
      </c>
      <c r="B76" s="9" t="str">
        <f aca="false">BLOQUES!AI76</f>
        <v>T1</v>
      </c>
      <c r="C76" s="9" t="str">
        <f aca="false">BLOQUES!AE76</f>
        <v>No</v>
      </c>
      <c r="D76" s="10" t="n">
        <f aca="false">BLOQUES!E76</f>
        <v>79.33</v>
      </c>
      <c r="E76" s="10" t="n">
        <f aca="false">BLOQUES!U76+BLOQUES!V76</f>
        <v>15.678</v>
      </c>
      <c r="F76" s="10" t="n">
        <f aca="false">BLOQUES!W76+BLOQUES!X76</f>
        <v>58.33</v>
      </c>
      <c r="G76" s="10" t="n">
        <f aca="false">BLOQUES!Y76+BLOQUES!Z76</f>
        <v>5.322</v>
      </c>
      <c r="H76" s="12" t="n">
        <f aca="false">E76*INDEX(PAQ_R1,MATCH(B76,PAQ_T,0))</f>
        <v>10190.7</v>
      </c>
      <c r="I76" s="12" t="n">
        <f aca="false">F76*INDEX(PAQ_R2,MATCH(B76,PAQ_T,0))</f>
        <v>18957.25</v>
      </c>
      <c r="J76" s="12" t="n">
        <f aca="false">H76+I76</f>
        <v>29147.95</v>
      </c>
      <c r="K76" s="10" t="n">
        <f aca="false">(BLOQUES!U76+BLOQUES!W76)*INDEX(PAQ_MZ,MATCH(B76,PAQ_T,0))/1000</f>
        <v>219.983440132479</v>
      </c>
      <c r="L76" s="10" t="n">
        <f aca="false">(BLOQUES!U76+BLOQUES!W76)*INDEX(PAQ_MT,MATCH(B76,PAQ_T,0))/1000</f>
        <v>0</v>
      </c>
      <c r="M76" s="12" t="n">
        <f aca="false">BLOQUES!F76*INDEX(PAQ_CERCO,MATCH(B76,PAQ_T,0))</f>
        <v>3972.6</v>
      </c>
      <c r="N76" s="10" t="n">
        <f aca="false">IF(ISNUMBER(BLOQUES!AD76),BLOQUES!AD76/1000,0)</f>
        <v>0</v>
      </c>
      <c r="O76" s="31" t="n">
        <f aca="false">P_JORNAL/(P_CARGA*(P_HORAS*P_EFIC/((BLOQUES!AB76/1000*P_SINUOS)/P_VIDA+(BLOQUES!AB76/1000*P_SINUOS)/P_VVUELTA+P_TCD/60)))</f>
        <v>0.123719846491228</v>
      </c>
      <c r="P76" s="12" t="n">
        <f aca="false">J76*(1+P_RECALCE)*CU_PLANTON</f>
        <v>42752.027066516</v>
      </c>
      <c r="Q76" s="12" t="n">
        <f aca="false">J76*CU_PLANTA</f>
        <v>199980.646455953</v>
      </c>
      <c r="R76" s="12" t="n">
        <f aca="false">(E76+F76)*CU_HA</f>
        <v>82907.8817012584</v>
      </c>
      <c r="S76" s="12" t="n">
        <f aca="false">J76*(1+P_RECALCE)*(P_PESO_PLANTON+P_PESO_INS)*O76</f>
        <v>6624.55247544394</v>
      </c>
      <c r="T76" s="12" t="n">
        <f aca="false">J76*(1+P_RECALCE)*P_PESO_INS*P_FT_KG</f>
        <v>1168.52830712045</v>
      </c>
      <c r="U76" s="12" t="n">
        <f aca="false">K76*CU_ZANJA</f>
        <v>2113072.8884682</v>
      </c>
      <c r="V76" s="12" t="n">
        <f aca="false">L76*CU_TERRAZA</f>
        <v>0</v>
      </c>
      <c r="W76" s="12" t="n">
        <f aca="false">M76*CU_CERCO</f>
        <v>87277.2378385236</v>
      </c>
      <c r="X76" s="12" t="n">
        <f aca="false">N76*CU_CARCAVA</f>
        <v>0</v>
      </c>
      <c r="Y76" s="42" t="n">
        <f aca="false">SUM(P76:X76)</f>
        <v>2533783.76231301</v>
      </c>
      <c r="Z76" s="12" t="n">
        <f aca="false">Y76*(P_GG+P_SUP+P_ET)</f>
        <v>382027.471604772</v>
      </c>
      <c r="AA76" s="42" t="n">
        <f aca="false">Y76+Z76</f>
        <v>2915811.23391779</v>
      </c>
      <c r="AB76" s="12" t="n">
        <f aca="false">IF(D76=0,0,AA76/D76)</f>
        <v>36755.4674639832</v>
      </c>
      <c r="AC76" s="12" t="n">
        <f aca="false">J76*(1+P_RECALCE)*CU_PLANTON_NC+J76*CU_PLANTA_NC+(E76+F76)*CU_HA_NC+S76+K76*CU_ZANJA_NC+L76*CU_TERRAZA_NC+M76*CU_CERCO_NC+N76*CU_CARCAVA_NC</f>
        <v>2011675.85187782</v>
      </c>
      <c r="AD76" s="12" t="n">
        <f aca="false">J76*(1+P_RECALCE)*CU_PLANTON_C+J76*CU_PLANTA_C+(E76+F76)*CU_HA_C+K76*CU_ZANJA_C+L76*CU_TERRAZA_C+M76*CU_CERCO_C+N76*CU_CARCAVA_C</f>
        <v>164132.90275343</v>
      </c>
      <c r="AE76" s="12" t="n">
        <f aca="false">Y76-AC76-AD76</f>
        <v>357975.007681769</v>
      </c>
      <c r="AF76" s="12" t="n">
        <f aca="false">AC76*P_FC_MONC+AD76*P_FC_MOC+(AE76+Z76)*P_FC_BIEN</f>
        <v>1601689.59612198</v>
      </c>
      <c r="AG76" s="12" t="n">
        <f aca="false">(SUM(P76:T76)+W76)*(1+P_GG+P_SUP+P_ET)</f>
        <v>484142.929019425</v>
      </c>
      <c r="AH76" s="12" t="n">
        <f aca="false">(U76+V76+X76)*(1+P_GG+P_SUP+P_ET)</f>
        <v>2431668.30489836</v>
      </c>
    </row>
    <row r="77" customFormat="false" ht="15" hidden="false" customHeight="false" outlineLevel="0" collapsed="false">
      <c r="A77" s="7" t="str">
        <f aca="false">BLOQUES!A77</f>
        <v>M17B1</v>
      </c>
      <c r="B77" s="7" t="str">
        <f aca="false">BLOQUES!AI77</f>
        <v>T1</v>
      </c>
      <c r="C77" s="7" t="str">
        <f aca="false">BLOQUES!AE77</f>
        <v>No</v>
      </c>
      <c r="D77" s="11" t="n">
        <f aca="false">BLOQUES!E77</f>
        <v>42.449</v>
      </c>
      <c r="E77" s="11" t="n">
        <f aca="false">BLOQUES!U77+BLOQUES!V77</f>
        <v>34.733</v>
      </c>
      <c r="F77" s="11" t="n">
        <f aca="false">BLOQUES!W77+BLOQUES!X77</f>
        <v>7.647</v>
      </c>
      <c r="G77" s="11" t="n">
        <f aca="false">BLOQUES!Y77+BLOQUES!Z77</f>
        <v>0.069</v>
      </c>
      <c r="H77" s="8" t="n">
        <f aca="false">E77*INDEX(PAQ_R1,MATCH(B77,PAQ_T,0))</f>
        <v>22576.45</v>
      </c>
      <c r="I77" s="8" t="n">
        <f aca="false">F77*INDEX(PAQ_R2,MATCH(B77,PAQ_T,0))</f>
        <v>2485.275</v>
      </c>
      <c r="J77" s="8" t="n">
        <f aca="false">H77+I77</f>
        <v>25061.725</v>
      </c>
      <c r="K77" s="11" t="n">
        <f aca="false">(BLOQUES!U77+BLOQUES!W77)*INDEX(PAQ_MZ,MATCH(B77,PAQ_T,0))/1000</f>
        <v>81.4025487796098</v>
      </c>
      <c r="L77" s="11" t="n">
        <f aca="false">(BLOQUES!U77+BLOQUES!W77)*INDEX(PAQ_MT,MATCH(B77,PAQ_T,0))/1000</f>
        <v>0</v>
      </c>
      <c r="M77" s="8" t="n">
        <f aca="false">BLOQUES!F77*INDEX(PAQ_CERCO,MATCH(B77,PAQ_T,0))</f>
        <v>3721</v>
      </c>
      <c r="N77" s="11" t="n">
        <f aca="false">IF(ISNUMBER(BLOQUES!AD77),BLOQUES!AD77/1000,0)</f>
        <v>0</v>
      </c>
      <c r="O77" s="22" t="n">
        <f aca="false">P_JORNAL/(P_CARGA*(P_HORAS*P_EFIC/((BLOQUES!AB77/1000*P_SINUOS)/P_VIDA+(BLOQUES!AB77/1000*P_SINUOS)/P_VVUELTA+P_TCD/60)))</f>
        <v>0.0640652412280702</v>
      </c>
      <c r="P77" s="8" t="n">
        <f aca="false">J77*(1+P_RECALCE)*CU_PLANTON</f>
        <v>36758.6586889843</v>
      </c>
      <c r="Q77" s="8" t="n">
        <f aca="false">J77*CU_PLANTA</f>
        <v>171945.538770353</v>
      </c>
      <c r="R77" s="8" t="n">
        <f aca="false">(E77+F77)*CU_HA</f>
        <v>47476.4353380625</v>
      </c>
      <c r="S77" s="8" t="n">
        <f aca="false">J77*(1+P_RECALCE)*(P_PESO_PLANTON+P_PESO_INS)*O77</f>
        <v>2949.46048582532</v>
      </c>
      <c r="T77" s="8" t="n">
        <f aca="false">J77*(1+P_RECALCE)*P_PESO_INS*P_FT_KG</f>
        <v>1004.71337050352</v>
      </c>
      <c r="U77" s="8" t="n">
        <f aca="false">K77*CU_ZANJA</f>
        <v>781920.306250395</v>
      </c>
      <c r="V77" s="8" t="n">
        <f aca="false">L77*CU_TERRAZA</f>
        <v>0</v>
      </c>
      <c r="W77" s="8" t="n">
        <f aca="false">M77*CU_CERCO</f>
        <v>81749.6355024786</v>
      </c>
      <c r="X77" s="8" t="n">
        <f aca="false">N77*CU_CARCAVA</f>
        <v>0</v>
      </c>
      <c r="Y77" s="40" t="n">
        <f aca="false">SUM(P77:X77)</f>
        <v>1123804.7484066</v>
      </c>
      <c r="Z77" s="8" t="n">
        <f aca="false">Y77*(P_GG+P_SUP+P_ET)</f>
        <v>169439.986551692</v>
      </c>
      <c r="AA77" s="40" t="n">
        <f aca="false">Y77+Z77</f>
        <v>1293244.73495829</v>
      </c>
      <c r="AB77" s="8" t="n">
        <f aca="false">IF(D77=0,0,AA77/D77)</f>
        <v>30465.8468976488</v>
      </c>
      <c r="AC77" s="8" t="n">
        <f aca="false">J77*(1+P_RECALCE)*CU_PLANTON_NC+J77*CU_PLANTA_NC+(E77+F77)*CU_HA_NC+S77+K77*CU_ZANJA_NC+L77*CU_TERRAZA_NC+M77*CU_CERCO_NC+N77*CU_CARCAVA_NC</f>
        <v>825589.593664969</v>
      </c>
      <c r="AD77" s="8" t="n">
        <f aca="false">J77*(1+P_RECALCE)*CU_PLANTON_C+J77*CU_PLANTA_C+(E77+F77)*CU_HA_C+K77*CU_ZANJA_C+L77*CU_TERRAZA_C+M77*CU_CERCO_C+N77*CU_CARCAVA_C</f>
        <v>67724.9554411043</v>
      </c>
      <c r="AE77" s="8" t="n">
        <f aca="false">Y77-AC77-AD77</f>
        <v>230490.19930053</v>
      </c>
      <c r="AF77" s="8" t="n">
        <f aca="false">AC77*P_FC_MONC+AD77*P_FC_MOC+(AE77+Z77)*P_FC_BIEN</f>
        <v>739174.230453201</v>
      </c>
      <c r="AG77" s="8" t="n">
        <f aca="false">(SUM(P77:T77)+W77)*(1+P_GG+P_SUP+P_ET)</f>
        <v>393431.559538756</v>
      </c>
      <c r="AH77" s="8" t="n">
        <f aca="false">(U77+V77+X77)*(1+P_GG+P_SUP+P_ET)</f>
        <v>899813.175419538</v>
      </c>
    </row>
    <row r="78" customFormat="false" ht="15" hidden="false" customHeight="false" outlineLevel="0" collapsed="false">
      <c r="A78" s="9" t="str">
        <f aca="false">BLOQUES!A78</f>
        <v>M17B4</v>
      </c>
      <c r="B78" s="9" t="str">
        <f aca="false">BLOQUES!AI78</f>
        <v>T1</v>
      </c>
      <c r="C78" s="9" t="str">
        <f aca="false">BLOQUES!AE78</f>
        <v>No</v>
      </c>
      <c r="D78" s="10" t="n">
        <f aca="false">BLOQUES!E78</f>
        <v>124.709</v>
      </c>
      <c r="E78" s="10" t="n">
        <f aca="false">BLOQUES!U78+BLOQUES!V78</f>
        <v>28.903</v>
      </c>
      <c r="F78" s="10" t="n">
        <f aca="false">BLOQUES!W78+BLOQUES!X78</f>
        <v>85.755</v>
      </c>
      <c r="G78" s="10" t="n">
        <f aca="false">BLOQUES!Y78+BLOQUES!Z78</f>
        <v>10.051</v>
      </c>
      <c r="H78" s="12" t="n">
        <f aca="false">E78*INDEX(PAQ_R1,MATCH(B78,PAQ_T,0))</f>
        <v>18786.95</v>
      </c>
      <c r="I78" s="12" t="n">
        <f aca="false">F78*INDEX(PAQ_R2,MATCH(B78,PAQ_T,0))</f>
        <v>27870.375</v>
      </c>
      <c r="J78" s="12" t="n">
        <f aca="false">H78+I78</f>
        <v>46657.325</v>
      </c>
      <c r="K78" s="10" t="n">
        <f aca="false">(BLOQUES!U78+BLOQUES!W78)*INDEX(PAQ_MZ,MATCH(B78,PAQ_T,0))/1000</f>
        <v>302.318381452948</v>
      </c>
      <c r="L78" s="10" t="n">
        <f aca="false">(BLOQUES!U78+BLOQUES!W78)*INDEX(PAQ_MT,MATCH(B78,PAQ_T,0))/1000</f>
        <v>0</v>
      </c>
      <c r="M78" s="12" t="n">
        <f aca="false">BLOQUES!F78*INDEX(PAQ_CERCO,MATCH(B78,PAQ_T,0))</f>
        <v>8583.3</v>
      </c>
      <c r="N78" s="10" t="n">
        <f aca="false">IF(ISNUMBER(BLOQUES!AD78),BLOQUES!AD78/1000,0)</f>
        <v>0</v>
      </c>
      <c r="O78" s="31" t="n">
        <f aca="false">P_JORNAL/(P_CARGA*(P_HORAS*P_EFIC/((BLOQUES!AB78/1000*P_SINUOS)/P_VIDA+(BLOQUES!AB78/1000*P_SINUOS)/P_VVUELTA+P_TCD/60)))</f>
        <v>0.0852330043859649</v>
      </c>
      <c r="P78" s="12" t="n">
        <f aca="false">J78*(1+P_RECALCE)*CU_PLANTON</f>
        <v>68433.4651751232</v>
      </c>
      <c r="Q78" s="12" t="n">
        <f aca="false">J78*CU_PLANTA</f>
        <v>320110.402803817</v>
      </c>
      <c r="R78" s="12" t="n">
        <f aca="false">(E78+F78)*CU_HA</f>
        <v>128446.274728447</v>
      </c>
      <c r="S78" s="12" t="n">
        <f aca="false">J78*(1+P_RECALCE)*(P_PESO_PLANTON+P_PESO_INS)*O78</f>
        <v>7305.27870294771</v>
      </c>
      <c r="T78" s="12" t="n">
        <f aca="false">J78*(1+P_RECALCE)*P_PESO_INS*P_FT_KG</f>
        <v>1870.47133664695</v>
      </c>
      <c r="U78" s="12" t="n">
        <f aca="false">K78*CU_ZANJA</f>
        <v>2903949.38432229</v>
      </c>
      <c r="V78" s="12" t="n">
        <f aca="false">L78*CU_TERRAZA</f>
        <v>0</v>
      </c>
      <c r="W78" s="12" t="n">
        <f aca="false">M78*CU_CERCO</f>
        <v>188573.406720888</v>
      </c>
      <c r="X78" s="12" t="n">
        <f aca="false">N78*CU_CARCAVA</f>
        <v>0</v>
      </c>
      <c r="Y78" s="42" t="n">
        <f aca="false">SUM(P78:X78)</f>
        <v>3618688.68379016</v>
      </c>
      <c r="Z78" s="12" t="n">
        <f aca="false">Y78*(P_GG+P_SUP+P_ET)</f>
        <v>545602.394709157</v>
      </c>
      <c r="AA78" s="42" t="n">
        <f aca="false">Y78+Z78</f>
        <v>4164291.07849932</v>
      </c>
      <c r="AB78" s="12" t="n">
        <f aca="false">IF(D78=0,0,AA78/D78)</f>
        <v>33392.0653561436</v>
      </c>
      <c r="AC78" s="12" t="n">
        <f aca="false">J78*(1+P_RECALCE)*CU_PLANTON_NC+J78*CU_PLANTA_NC+(E78+F78)*CU_HA_NC+S78+K78*CU_ZANJA_NC+L78*CU_TERRAZA_NC+M78*CU_CERCO_NC+N78*CU_CARCAVA_NC</f>
        <v>2804872.7713712</v>
      </c>
      <c r="AD78" s="12" t="n">
        <f aca="false">J78*(1+P_RECALCE)*CU_PLANTON_C+J78*CU_PLANTA_C+(E78+F78)*CU_HA_C+K78*CU_ZANJA_C+L78*CU_TERRAZA_C+M78*CU_CERCO_C+N78*CU_CARCAVA_C</f>
        <v>229748.481830007</v>
      </c>
      <c r="AE78" s="12" t="n">
        <f aca="false">Y78-AC78-AD78</f>
        <v>584067.430588958</v>
      </c>
      <c r="AF78" s="12" t="n">
        <f aca="false">AC78*P_FC_MONC+AD78*P_FC_MOC+(AE78+Z78)*P_FC_BIEN</f>
        <v>2316895.17419628</v>
      </c>
      <c r="AG78" s="12" t="n">
        <f aca="false">(SUM(P78:T78)+W78)*(1+P_GG+P_SUP+P_ET)</f>
        <v>822503.052434309</v>
      </c>
      <c r="AH78" s="12" t="n">
        <f aca="false">(U78+V78+X78)*(1+P_GG+P_SUP+P_ET)</f>
        <v>3341788.02606501</v>
      </c>
    </row>
    <row r="79" customFormat="false" ht="15" hidden="false" customHeight="false" outlineLevel="0" collapsed="false">
      <c r="A79" s="7" t="str">
        <f aca="false">BLOQUES!A79</f>
        <v>M27B1</v>
      </c>
      <c r="B79" s="7" t="str">
        <f aca="false">BLOQUES!AI79</f>
        <v>T1</v>
      </c>
      <c r="C79" s="7" t="str">
        <f aca="false">BLOQUES!AE79</f>
        <v>No</v>
      </c>
      <c r="D79" s="11" t="n">
        <f aca="false">BLOQUES!E79</f>
        <v>448.804</v>
      </c>
      <c r="E79" s="11" t="n">
        <f aca="false">BLOQUES!U79+BLOQUES!V79</f>
        <v>263.641</v>
      </c>
      <c r="F79" s="11" t="n">
        <f aca="false">BLOQUES!W79+BLOQUES!X79</f>
        <v>171.464</v>
      </c>
      <c r="G79" s="11" t="n">
        <f aca="false">BLOQUES!Y79+BLOQUES!Z79</f>
        <v>13.698</v>
      </c>
      <c r="H79" s="8" t="n">
        <f aca="false">E79*INDEX(PAQ_R1,MATCH(B79,PAQ_T,0))</f>
        <v>171366.65</v>
      </c>
      <c r="I79" s="8" t="n">
        <f aca="false">F79*INDEX(PAQ_R2,MATCH(B79,PAQ_T,0))</f>
        <v>55725.8</v>
      </c>
      <c r="J79" s="8" t="n">
        <f aca="false">H79+I79</f>
        <v>227092.45</v>
      </c>
      <c r="K79" s="11" t="n">
        <f aca="false">(BLOQUES!U79+BLOQUES!W79)*INDEX(PAQ_MZ,MATCH(B79,PAQ_T,0))/1000</f>
        <v>1036.06091151271</v>
      </c>
      <c r="L79" s="11" t="n">
        <f aca="false">(BLOQUES!U79+BLOQUES!W79)*INDEX(PAQ_MT,MATCH(B79,PAQ_T,0))/1000</f>
        <v>0</v>
      </c>
      <c r="M79" s="8" t="n">
        <f aca="false">BLOQUES!F79*INDEX(PAQ_CERCO,MATCH(B79,PAQ_T,0))</f>
        <v>11357.6</v>
      </c>
      <c r="N79" s="11" t="n">
        <f aca="false">IF(ISNUMBER(BLOQUES!AD79),BLOQUES!AD79/1000,0)</f>
        <v>0</v>
      </c>
      <c r="O79" s="22" t="n">
        <f aca="false">P_JORNAL/(P_CARGA*(P_HORAS*P_EFIC/((BLOQUES!AB79/1000*P_SINUOS)/P_VIDA+(BLOQUES!AB79/1000*P_SINUOS)/P_VVUELTA+P_TCD/60)))</f>
        <v>0.141466557017544</v>
      </c>
      <c r="P79" s="8" t="n">
        <f aca="false">J79*(1+P_RECALCE)*CU_PLANTON</f>
        <v>333082.174526902</v>
      </c>
      <c r="Q79" s="8" t="n">
        <f aca="false">J79*CU_PLANTA</f>
        <v>1558054.51005186</v>
      </c>
      <c r="R79" s="8" t="n">
        <f aca="false">(E79+F79)*CU_HA</f>
        <v>487428.843741569</v>
      </c>
      <c r="S79" s="8" t="n">
        <f aca="false">J79*(1+P_RECALCE)*(P_PESO_PLANTON+P_PESO_INS)*O79</f>
        <v>59015.4381670903</v>
      </c>
      <c r="T79" s="8" t="n">
        <f aca="false">J79*(1+P_RECALCE)*P_PESO_INS*P_FT_KG</f>
        <v>9104.03497187058</v>
      </c>
      <c r="U79" s="8" t="n">
        <f aca="false">K79*CU_ZANJA</f>
        <v>9951986.48407682</v>
      </c>
      <c r="V79" s="8" t="n">
        <f aca="false">L79*CU_TERRAZA</f>
        <v>0</v>
      </c>
      <c r="W79" s="8" t="n">
        <f aca="false">M79*CU_CERCO</f>
        <v>249524.230094854</v>
      </c>
      <c r="X79" s="8" t="n">
        <f aca="false">N79*CU_CARCAVA</f>
        <v>0</v>
      </c>
      <c r="Y79" s="40" t="n">
        <f aca="false">SUM(P79:X79)</f>
        <v>12648195.715631</v>
      </c>
      <c r="Z79" s="8" t="n">
        <f aca="false">Y79*(P_GG+P_SUP+P_ET)</f>
        <v>1907012.86411034</v>
      </c>
      <c r="AA79" s="40" t="n">
        <f aca="false">Y79+Z79</f>
        <v>14555208.5797413</v>
      </c>
      <c r="AB79" s="8" t="n">
        <f aca="false">IF(D79=0,0,AA79/D79)</f>
        <v>32431.1026188298</v>
      </c>
      <c r="AC79" s="8" t="n">
        <f aca="false">J79*(1+P_RECALCE)*CU_PLANTON_NC+J79*CU_PLANTA_NC+(E79+F79)*CU_HA_NC+S79+K79*CU_ZANJA_NC+L79*CU_TERRAZA_NC+M79*CU_CERCO_NC+N79*CU_CARCAVA_NC</f>
        <v>10003746.1549676</v>
      </c>
      <c r="AD79" s="8" t="n">
        <f aca="false">J79*(1+P_RECALCE)*CU_PLANTON_C+J79*CU_PLANTA_C+(E79+F79)*CU_HA_C+K79*CU_ZANJA_C+L79*CU_TERRAZA_C+M79*CU_CERCO_C+N79*CU_CARCAVA_C</f>
        <v>815759.605479027</v>
      </c>
      <c r="AE79" s="8" t="n">
        <f aca="false">Y79-AC79-AD79</f>
        <v>1828689.95518437</v>
      </c>
      <c r="AF79" s="8" t="n">
        <f aca="false">AC79*P_FC_MONC+AD79*P_FC_MOC+(AE79+Z79)*P_FC_BIEN</f>
        <v>8011873.32027473</v>
      </c>
      <c r="AG79" s="8" t="n">
        <f aca="false">(SUM(P79:T79)+W79)*(1+P_GG+P_SUP+P_ET)</f>
        <v>3102726.16128133</v>
      </c>
      <c r="AH79" s="8" t="n">
        <f aca="false">(U79+V79+X79)*(1+P_GG+P_SUP+P_ET)</f>
        <v>11452482.41846</v>
      </c>
    </row>
    <row r="80" customFormat="false" ht="15" hidden="false" customHeight="false" outlineLevel="0" collapsed="false">
      <c r="A80" s="9" t="str">
        <f aca="false">BLOQUES!A80</f>
        <v>2</v>
      </c>
      <c r="B80" s="9" t="str">
        <f aca="false">BLOQUES!AI80</f>
        <v>T1</v>
      </c>
      <c r="C80" s="9" t="str">
        <f aca="false">BLOQUES!AE80</f>
        <v>No</v>
      </c>
      <c r="D80" s="10" t="n">
        <f aca="false">BLOQUES!E80</f>
        <v>330.599</v>
      </c>
      <c r="E80" s="10" t="n">
        <f aca="false">BLOQUES!U80+BLOQUES!V80</f>
        <v>223.265</v>
      </c>
      <c r="F80" s="10" t="n">
        <f aca="false">BLOQUES!W80+BLOQUES!X80</f>
        <v>104.623</v>
      </c>
      <c r="G80" s="10" t="n">
        <f aca="false">BLOQUES!Y80+BLOQUES!Z80</f>
        <v>2.711</v>
      </c>
      <c r="H80" s="12" t="n">
        <f aca="false">E80*INDEX(PAQ_R1,MATCH(B80,PAQ_T,0))</f>
        <v>145122.25</v>
      </c>
      <c r="I80" s="12" t="n">
        <f aca="false">F80*INDEX(PAQ_R2,MATCH(B80,PAQ_T,0))</f>
        <v>34002.475</v>
      </c>
      <c r="J80" s="12" t="n">
        <f aca="false">H80+I80</f>
        <v>179124.725</v>
      </c>
      <c r="K80" s="10" t="n">
        <f aca="false">(BLOQUES!U80+BLOQUES!W80)*INDEX(PAQ_MZ,MATCH(B80,PAQ_T,0))/1000</f>
        <v>482.489740082079</v>
      </c>
      <c r="L80" s="10" t="n">
        <f aca="false">(BLOQUES!U80+BLOQUES!W80)*INDEX(PAQ_MT,MATCH(B80,PAQ_T,0))/1000</f>
        <v>0</v>
      </c>
      <c r="M80" s="12" t="n">
        <f aca="false">BLOQUES!F80*INDEX(PAQ_CERCO,MATCH(B80,PAQ_T,0))</f>
        <v>7611.1</v>
      </c>
      <c r="N80" s="10" t="n">
        <f aca="false">IF(ISNUMBER(BLOQUES!AD80),BLOQUES!AD80/1000,0)</f>
        <v>0</v>
      </c>
      <c r="O80" s="31" t="n">
        <f aca="false">P_JORNAL/(P_CARGA*(P_HORAS*P_EFIC/((BLOQUES!AB80/1000*P_SINUOS)/P_VIDA+(BLOQUES!AB80/1000*P_SINUOS)/P_VVUELTA+P_TCD/60)))</f>
        <v>0.178670504385965</v>
      </c>
      <c r="P80" s="12" t="n">
        <f aca="false">J80*(1+P_RECALCE)*CU_PLANTON</f>
        <v>262726.712907159</v>
      </c>
      <c r="Q80" s="12" t="n">
        <f aca="false">J80*CU_PLANTA</f>
        <v>1228953.60743191</v>
      </c>
      <c r="R80" s="12" t="n">
        <f aca="false">(E80+F80)*CU_HA</f>
        <v>367318.391461223</v>
      </c>
      <c r="S80" s="12" t="n">
        <f aca="false">J80*(1+P_RECALCE)*(P_PESO_PLANTON+P_PESO_INS)*O80</f>
        <v>58791.9082184037</v>
      </c>
      <c r="T80" s="12" t="n">
        <f aca="false">J80*(1+P_RECALCE)*P_PESO_INS*P_FT_KG</f>
        <v>7181.03028403938</v>
      </c>
      <c r="U80" s="12" t="n">
        <f aca="false">K80*CU_ZANJA</f>
        <v>4634603.35067732</v>
      </c>
      <c r="V80" s="12" t="n">
        <f aca="false">L80*CU_TERRAZA</f>
        <v>0</v>
      </c>
      <c r="W80" s="12" t="n">
        <f aca="false">M80*CU_CERCO</f>
        <v>167214.364625884</v>
      </c>
      <c r="X80" s="12" t="n">
        <f aca="false">N80*CU_CARCAVA</f>
        <v>0</v>
      </c>
      <c r="Y80" s="42" t="n">
        <f aca="false">SUM(P80:X80)</f>
        <v>6726789.36560593</v>
      </c>
      <c r="Z80" s="12" t="n">
        <f aca="false">Y80*(P_GG+P_SUP+P_ET)</f>
        <v>1014221.64416051</v>
      </c>
      <c r="AA80" s="42" t="n">
        <f aca="false">Y80+Z80</f>
        <v>7741011.00976644</v>
      </c>
      <c r="AB80" s="12" t="n">
        <f aca="false">IF(D80=0,0,AA80/D80)</f>
        <v>23415.1071532777</v>
      </c>
      <c r="AC80" s="12" t="n">
        <f aca="false">J80*(1+P_RECALCE)*CU_PLANTON_NC+J80*CU_PLANTA_NC+(E80+F80)*CU_HA_NC+S80+K80*CU_ZANJA_NC+L80*CU_TERRAZA_NC+M80*CU_CERCO_NC+N80*CU_CARCAVA_NC</f>
        <v>5142880.82678809</v>
      </c>
      <c r="AD80" s="12" t="n">
        <f aca="false">J80*(1+P_RECALCE)*CU_PLANTON_C+J80*CU_PLANTA_C+(E80+F80)*CU_HA_C+K80*CU_ZANJA_C+L80*CU_TERRAZA_C+M80*CU_CERCO_C+N80*CU_CARCAVA_C</f>
        <v>423449.233023668</v>
      </c>
      <c r="AE80" s="12" t="n">
        <f aca="false">Y80-AC80-AD80</f>
        <v>1160459.30579418</v>
      </c>
      <c r="AF80" s="12" t="n">
        <f aca="false">AC80*P_FC_MONC+AD80*P_FC_MOC+(AE80+Z80)*P_FC_BIEN</f>
        <v>4337484.79892841</v>
      </c>
      <c r="AG80" s="12" t="n">
        <f aca="false">(SUM(P80:T80)+W80)*(1+P_GG+P_SUP+P_ET)</f>
        <v>2407632.24412081</v>
      </c>
      <c r="AH80" s="12" t="n">
        <f aca="false">(U80+V80+X80)*(1+P_GG+P_SUP+P_ET)</f>
        <v>5333378.76564563</v>
      </c>
    </row>
    <row r="81" customFormat="false" ht="15" hidden="false" customHeight="false" outlineLevel="0" collapsed="false">
      <c r="A81" s="7" t="str">
        <f aca="false">BLOQUES!A81</f>
        <v>M32B3</v>
      </c>
      <c r="B81" s="7" t="str">
        <f aca="false">BLOQUES!AI81</f>
        <v>T1</v>
      </c>
      <c r="C81" s="7" t="str">
        <f aca="false">BLOQUES!AE81</f>
        <v>No</v>
      </c>
      <c r="D81" s="11" t="n">
        <f aca="false">BLOQUES!E81</f>
        <v>50.972</v>
      </c>
      <c r="E81" s="11" t="n">
        <f aca="false">BLOQUES!U81+BLOQUES!V81</f>
        <v>24.477</v>
      </c>
      <c r="F81" s="11" t="n">
        <f aca="false">BLOQUES!W81+BLOQUES!X81</f>
        <v>23.374</v>
      </c>
      <c r="G81" s="11" t="n">
        <f aca="false">BLOQUES!Y81+BLOQUES!Z81</f>
        <v>3.121</v>
      </c>
      <c r="H81" s="8" t="n">
        <f aca="false">E81*INDEX(PAQ_R1,MATCH(B81,PAQ_T,0))</f>
        <v>15910.05</v>
      </c>
      <c r="I81" s="8" t="n">
        <f aca="false">F81*INDEX(PAQ_R2,MATCH(B81,PAQ_T,0))</f>
        <v>7596.55</v>
      </c>
      <c r="J81" s="8" t="n">
        <f aca="false">H81+I81</f>
        <v>23506.6</v>
      </c>
      <c r="K81" s="11" t="n">
        <f aca="false">(BLOQUES!U81+BLOQUES!W81)*INDEX(PAQ_MZ,MATCH(B81,PAQ_T,0))/1000</f>
        <v>117.611059111527</v>
      </c>
      <c r="L81" s="11" t="n">
        <f aca="false">(BLOQUES!U81+BLOQUES!W81)*INDEX(PAQ_MT,MATCH(B81,PAQ_T,0))/1000</f>
        <v>0</v>
      </c>
      <c r="M81" s="8" t="n">
        <f aca="false">BLOQUES!F81*INDEX(PAQ_CERCO,MATCH(B81,PAQ_T,0))</f>
        <v>3197</v>
      </c>
      <c r="N81" s="11" t="n">
        <f aca="false">IF(ISNUMBER(BLOQUES!AD81),BLOQUES!AD81/1000,0)</f>
        <v>0</v>
      </c>
      <c r="O81" s="22" t="n">
        <f aca="false">P_JORNAL/(P_CARGA*(P_HORAS*P_EFIC/((BLOQUES!AB81/1000*P_SINUOS)/P_VIDA+(BLOQUES!AB81/1000*P_SINUOS)/P_VVUELTA+P_TCD/60)))</f>
        <v>0.0820257675438597</v>
      </c>
      <c r="P81" s="8" t="n">
        <f aca="false">J81*(1+P_RECALCE)*CU_PLANTON</f>
        <v>34477.7179678764</v>
      </c>
      <c r="Q81" s="8" t="n">
        <f aca="false">J81*CU_PLANTA</f>
        <v>161276.009598669</v>
      </c>
      <c r="R81" s="8" t="n">
        <f aca="false">(E81+F81)*CU_HA</f>
        <v>53605.3541142432</v>
      </c>
      <c r="S81" s="8" t="n">
        <f aca="false">J81*(1+P_RECALCE)*(P_PESO_PLANTON+P_PESO_INS)*O81</f>
        <v>3542.0058687955</v>
      </c>
      <c r="T81" s="8" t="n">
        <f aca="false">J81*(1+P_RECALCE)*P_PESO_INS*P_FT_KG</f>
        <v>942.36910328711</v>
      </c>
      <c r="U81" s="8" t="n">
        <f aca="false">K81*CU_ZANJA</f>
        <v>1129724.76584116</v>
      </c>
      <c r="V81" s="8" t="n">
        <f aca="false">L81*CU_TERRAZA</f>
        <v>0</v>
      </c>
      <c r="W81" s="8" t="n">
        <f aca="false">M81*CU_CERCO</f>
        <v>70237.4589361527</v>
      </c>
      <c r="X81" s="8" t="n">
        <f aca="false">N81*CU_CARCAVA</f>
        <v>0</v>
      </c>
      <c r="Y81" s="40" t="n">
        <f aca="false">SUM(P81:X81)</f>
        <v>1453805.68143019</v>
      </c>
      <c r="Z81" s="8" t="n">
        <f aca="false">Y81*(P_GG+P_SUP+P_ET)</f>
        <v>219195.385550354</v>
      </c>
      <c r="AA81" s="40" t="n">
        <f aca="false">Y81+Z81</f>
        <v>1673001.06698054</v>
      </c>
      <c r="AB81" s="8" t="n">
        <f aca="false">IF(D81=0,0,AA81/D81)</f>
        <v>32821.962390735</v>
      </c>
      <c r="AC81" s="8" t="n">
        <f aca="false">J81*(1+P_RECALCE)*CU_PLANTON_NC+J81*CU_PLANTA_NC+(E81+F81)*CU_HA_NC+S81+K81*CU_ZANJA_NC+L81*CU_TERRAZA_NC+M81*CU_CERCO_NC+N81*CU_CARCAVA_NC</f>
        <v>1120268.3575406</v>
      </c>
      <c r="AD81" s="8" t="n">
        <f aca="false">J81*(1+P_RECALCE)*CU_PLANTON_C+J81*CU_PLANTA_C+(E81+F81)*CU_HA_C+K81*CU_ZANJA_C+L81*CU_TERRAZA_C+M81*CU_CERCO_C+N81*CU_CARCAVA_C</f>
        <v>91624.3801847865</v>
      </c>
      <c r="AE81" s="8" t="n">
        <f aca="false">Y81-AC81-AD81</f>
        <v>241912.943704803</v>
      </c>
      <c r="AF81" s="8" t="n">
        <f aca="false">AC81*P_FC_MONC+AD81*P_FC_MOC+(AE81+Z81)*P_FC_BIEN</f>
        <v>933665.74106825</v>
      </c>
      <c r="AG81" s="8" t="n">
        <f aca="false">(SUM(P81:T81)+W81)*(1+P_GG+P_SUP+P_ET)</f>
        <v>372943.732779396</v>
      </c>
      <c r="AH81" s="8" t="n">
        <f aca="false">(U81+V81+X81)*(1+P_GG+P_SUP+P_ET)</f>
        <v>1300057.33420115</v>
      </c>
    </row>
    <row r="82" customFormat="false" ht="15" hidden="false" customHeight="false" outlineLevel="0" collapsed="false">
      <c r="A82" s="9" t="str">
        <f aca="false">BLOQUES!A82</f>
        <v>M19B2</v>
      </c>
      <c r="B82" s="9" t="str">
        <f aca="false">BLOQUES!AI82</f>
        <v>T1</v>
      </c>
      <c r="C82" s="9" t="str">
        <f aca="false">BLOQUES!AE82</f>
        <v>No</v>
      </c>
      <c r="D82" s="10" t="n">
        <f aca="false">BLOQUES!E82</f>
        <v>74.372</v>
      </c>
      <c r="E82" s="10" t="n">
        <f aca="false">BLOQUES!U82+BLOQUES!V82</f>
        <v>23.724</v>
      </c>
      <c r="F82" s="10" t="n">
        <f aca="false">BLOQUES!W82+BLOQUES!X82</f>
        <v>47.85</v>
      </c>
      <c r="G82" s="10" t="n">
        <f aca="false">BLOQUES!Y82+BLOQUES!Z82</f>
        <v>2.799</v>
      </c>
      <c r="H82" s="12" t="n">
        <f aca="false">E82*INDEX(PAQ_R1,MATCH(B82,PAQ_T,0))</f>
        <v>15420.6</v>
      </c>
      <c r="I82" s="12" t="n">
        <f aca="false">F82*INDEX(PAQ_R2,MATCH(B82,PAQ_T,0))</f>
        <v>15551.25</v>
      </c>
      <c r="J82" s="12" t="n">
        <f aca="false">H82+I82</f>
        <v>30971.85</v>
      </c>
      <c r="K82" s="10" t="n">
        <f aca="false">(BLOQUES!U82+BLOQUES!W82)*INDEX(PAQ_MZ,MATCH(B82,PAQ_T,0))/1000</f>
        <v>203.859169126647</v>
      </c>
      <c r="L82" s="10" t="n">
        <f aca="false">(BLOQUES!U82+BLOQUES!W82)*INDEX(PAQ_MT,MATCH(B82,PAQ_T,0))/1000</f>
        <v>0</v>
      </c>
      <c r="M82" s="12" t="n">
        <f aca="false">BLOQUES!F82*INDEX(PAQ_CERCO,MATCH(B82,PAQ_T,0))</f>
        <v>3960.4</v>
      </c>
      <c r="N82" s="10" t="n">
        <f aca="false">IF(ISNUMBER(BLOQUES!AD82),BLOQUES!AD82/1000,0)</f>
        <v>0</v>
      </c>
      <c r="O82" s="31" t="n">
        <f aca="false">P_JORNAL/(P_CARGA*(P_HORAS*P_EFIC/((BLOQUES!AB82/1000*P_SINUOS)/P_VIDA+(BLOQUES!AB82/1000*P_SINUOS)/P_VVUELTA+P_TCD/60)))</f>
        <v>0.0835224780701755</v>
      </c>
      <c r="P82" s="12" t="n">
        <f aca="false">J82*(1+P_RECALCE)*CU_PLANTON</f>
        <v>45427.1868004464</v>
      </c>
      <c r="Q82" s="12" t="n">
        <f aca="false">J82*CU_PLANTA</f>
        <v>212494.209196078</v>
      </c>
      <c r="R82" s="12" t="n">
        <f aca="false">(E82+F82)*CU_HA</f>
        <v>80181.1793979822</v>
      </c>
      <c r="S82" s="12" t="n">
        <f aca="false">J82*(1+P_RECALCE)*(P_PESO_PLANTON+P_PESO_INS)*O82</f>
        <v>4752.03548186143</v>
      </c>
      <c r="T82" s="12" t="n">
        <f aca="false">J82*(1+P_RECALCE)*P_PESO_INS*P_FT_KG</f>
        <v>1241.64764413581</v>
      </c>
      <c r="U82" s="12" t="n">
        <f aca="false">K82*CU_ZANJA</f>
        <v>1958189.59412468</v>
      </c>
      <c r="V82" s="12" t="n">
        <f aca="false">L82*CU_TERRAZA</f>
        <v>0</v>
      </c>
      <c r="W82" s="12" t="n">
        <f aca="false">M82*CU_CERCO</f>
        <v>87009.2062467122</v>
      </c>
      <c r="X82" s="12" t="n">
        <f aca="false">N82*CU_CARCAVA</f>
        <v>0</v>
      </c>
      <c r="Y82" s="42" t="n">
        <f aca="false">SUM(P82:X82)</f>
        <v>2389295.0588919</v>
      </c>
      <c r="Z82" s="12" t="n">
        <f aca="false">Y82*(P_GG+P_SUP+P_ET)</f>
        <v>360242.402624367</v>
      </c>
      <c r="AA82" s="42" t="n">
        <f aca="false">Y82+Z82</f>
        <v>2749537.46151627</v>
      </c>
      <c r="AB82" s="12" t="n">
        <f aca="false">IF(D82=0,0,AA82/D82)</f>
        <v>36970.0621405404</v>
      </c>
      <c r="AC82" s="12" t="n">
        <f aca="false">J82*(1+P_RECALCE)*CU_PLANTON_NC+J82*CU_PLANTA_NC+(E82+F82)*CU_HA_NC+S82+K82*CU_ZANJA_NC+L82*CU_TERRAZA_NC+M82*CU_CERCO_NC+N82*CU_CARCAVA_NC</f>
        <v>1884297.7410308</v>
      </c>
      <c r="AD82" s="12" t="n">
        <f aca="false">J82*(1+P_RECALCE)*CU_PLANTON_C+J82*CU_PLANTA_C+(E82+F82)*CU_HA_C+K82*CU_ZANJA_C+L82*CU_TERRAZA_C+M82*CU_CERCO_C+N82*CU_CARCAVA_C</f>
        <v>153856.195661355</v>
      </c>
      <c r="AE82" s="12" t="n">
        <f aca="false">Y82-AC82-AD82</f>
        <v>351141.122199743</v>
      </c>
      <c r="AF82" s="12" t="n">
        <f aca="false">AC82*P_FC_MONC+AD82*P_FC_MOC+(AE82+Z82)*P_FC_BIEN</f>
        <v>1515818.83972415</v>
      </c>
      <c r="AG82" s="12" t="n">
        <f aca="false">(SUM(P82:T82)+W82)*(1+P_GG+P_SUP+P_ET)</f>
        <v>496104.748900948</v>
      </c>
      <c r="AH82" s="12" t="n">
        <f aca="false">(U82+V82+X82)*(1+P_GG+P_SUP+P_ET)</f>
        <v>2253432.71261532</v>
      </c>
    </row>
    <row r="83" customFormat="false" ht="15" hidden="false" customHeight="false" outlineLevel="0" collapsed="false">
      <c r="A83" s="7" t="str">
        <f aca="false">BLOQUES!A83</f>
        <v>M7B1</v>
      </c>
      <c r="B83" s="7" t="str">
        <f aca="false">BLOQUES!AI83</f>
        <v>T1</v>
      </c>
      <c r="C83" s="7" t="str">
        <f aca="false">BLOQUES!AE83</f>
        <v>No</v>
      </c>
      <c r="D83" s="11" t="n">
        <f aca="false">BLOQUES!E83</f>
        <v>130.425</v>
      </c>
      <c r="E83" s="11" t="n">
        <f aca="false">BLOQUES!U83+BLOQUES!V83</f>
        <v>119.031</v>
      </c>
      <c r="F83" s="11" t="n">
        <f aca="false">BLOQUES!W83+BLOQUES!X83</f>
        <v>11.102</v>
      </c>
      <c r="G83" s="11" t="n">
        <f aca="false">BLOQUES!Y83+BLOQUES!Z83</f>
        <v>0.293</v>
      </c>
      <c r="H83" s="8" t="n">
        <f aca="false">E83*INDEX(PAQ_R1,MATCH(B83,PAQ_T,0))</f>
        <v>77370.15</v>
      </c>
      <c r="I83" s="8" t="n">
        <f aca="false">F83*INDEX(PAQ_R2,MATCH(B83,PAQ_T,0))</f>
        <v>3608.15</v>
      </c>
      <c r="J83" s="8" t="n">
        <f aca="false">H83+I83</f>
        <v>80978.3</v>
      </c>
      <c r="K83" s="11" t="n">
        <f aca="false">(BLOQUES!U83+BLOQUES!W83)*INDEX(PAQ_MZ,MATCH(B83,PAQ_T,0))/1000</f>
        <v>353.58917128663</v>
      </c>
      <c r="L83" s="11" t="n">
        <f aca="false">(BLOQUES!U83+BLOQUES!W83)*INDEX(PAQ_MT,MATCH(B83,PAQ_T,0))/1000</f>
        <v>0</v>
      </c>
      <c r="M83" s="8" t="n">
        <f aca="false">BLOQUES!F83*INDEX(PAQ_CERCO,MATCH(B83,PAQ_T,0))</f>
        <v>11770</v>
      </c>
      <c r="N83" s="11" t="n">
        <f aca="false">IF(ISNUMBER(BLOQUES!AD83),BLOQUES!AD83/1000,0)</f>
        <v>0</v>
      </c>
      <c r="O83" s="22" t="n">
        <f aca="false">P_JORNAL/(P_CARGA*(P_HORAS*P_EFIC/((BLOQUES!AB83/1000*P_SINUOS)/P_VIDA+(BLOQUES!AB83/1000*P_SINUOS)/P_VVUELTA+P_TCD/60)))</f>
        <v>0.208177083333333</v>
      </c>
      <c r="P83" s="8" t="n">
        <f aca="false">J83*(1+P_RECALCE)*CU_PLANTON</f>
        <v>118772.897353002</v>
      </c>
      <c r="Q83" s="8" t="n">
        <f aca="false">J83*CU_PLANTA</f>
        <v>555582.563538915</v>
      </c>
      <c r="R83" s="8" t="n">
        <f aca="false">(E83+F83)*CU_HA</f>
        <v>145782.231237567</v>
      </c>
      <c r="S83" s="8" t="n">
        <f aca="false">J83*(1+P_RECALCE)*(P_PESO_PLANTON+P_PESO_INS)*O83</f>
        <v>30967.8269264948</v>
      </c>
      <c r="T83" s="8" t="n">
        <f aca="false">J83*(1+P_RECALCE)*P_PESO_INS*P_FT_KG</f>
        <v>3246.38390735855</v>
      </c>
      <c r="U83" s="8" t="n">
        <f aca="false">K83*CU_ZANJA</f>
        <v>3396436.07287784</v>
      </c>
      <c r="V83" s="8" t="n">
        <f aca="false">L83*CU_TERRAZA</f>
        <v>0</v>
      </c>
      <c r="W83" s="8" t="n">
        <f aca="false">M83*CU_CERCO</f>
        <v>258584.576690184</v>
      </c>
      <c r="X83" s="8" t="n">
        <f aca="false">N83*CU_CARCAVA</f>
        <v>0</v>
      </c>
      <c r="Y83" s="40" t="n">
        <f aca="false">SUM(P83:X83)</f>
        <v>4509372.55253136</v>
      </c>
      <c r="Z83" s="8" t="n">
        <f aca="false">Y83*(P_GG+P_SUP+P_ET)</f>
        <v>679893.927962863</v>
      </c>
      <c r="AA83" s="40" t="n">
        <f aca="false">Y83+Z83</f>
        <v>5189266.48049423</v>
      </c>
      <c r="AB83" s="8" t="n">
        <f aca="false">IF(D83=0,0,AA83/D83)</f>
        <v>39787.3604024859</v>
      </c>
      <c r="AC83" s="8" t="n">
        <f aca="false">J83*(1+P_RECALCE)*CU_PLANTON_NC+J83*CU_PLANTA_NC+(E83+F83)*CU_HA_NC+S83+K83*CU_ZANJA_NC+L83*CU_TERRAZA_NC+M83*CU_CERCO_NC+N83*CU_CARCAVA_NC</f>
        <v>3427147.9366871</v>
      </c>
      <c r="AD83" s="8" t="n">
        <f aca="false">J83*(1+P_RECALCE)*CU_PLANTON_C+J83*CU_PLANTA_C+(E83+F83)*CU_HA_C+K83*CU_ZANJA_C+L83*CU_TERRAZA_C+M83*CU_CERCO_C+N83*CU_CARCAVA_C</f>
        <v>276620.532350342</v>
      </c>
      <c r="AE83" s="8" t="n">
        <f aca="false">Y83-AC83-AD83</f>
        <v>805604.083493924</v>
      </c>
      <c r="AF83" s="8" t="n">
        <f aca="false">AC83*P_FC_MONC+AD83*P_FC_MOC+(AE83+Z83)*P_FC_BIEN</f>
        <v>2916828.97384399</v>
      </c>
      <c r="AG83" s="8" t="n">
        <f aca="false">(SUM(P83:T83)+W83)*(1+P_GG+P_SUP+P_ET)</f>
        <v>1280737.81917692</v>
      </c>
      <c r="AH83" s="8" t="n">
        <f aca="false">(U83+V83+X83)*(1+P_GG+P_SUP+P_ET)</f>
        <v>3908528.66131731</v>
      </c>
    </row>
    <row r="84" customFormat="false" ht="15" hidden="false" customHeight="false" outlineLevel="0" collapsed="false">
      <c r="A84" s="9" t="str">
        <f aca="false">BLOQUES!A84</f>
        <v>M7B2</v>
      </c>
      <c r="B84" s="9" t="str">
        <f aca="false">BLOQUES!AI84</f>
        <v>T1</v>
      </c>
      <c r="C84" s="9" t="str">
        <f aca="false">BLOQUES!AE84</f>
        <v>No</v>
      </c>
      <c r="D84" s="10" t="n">
        <f aca="false">BLOQUES!E84</f>
        <v>115.379</v>
      </c>
      <c r="E84" s="10" t="n">
        <f aca="false">BLOQUES!U84+BLOQUES!V84</f>
        <v>112.72</v>
      </c>
      <c r="F84" s="10" t="n">
        <f aca="false">BLOQUES!W84+BLOQUES!X84</f>
        <v>2.18</v>
      </c>
      <c r="G84" s="10" t="n">
        <f aca="false">BLOQUES!Y84+BLOQUES!Z84</f>
        <v>0.48</v>
      </c>
      <c r="H84" s="12" t="n">
        <f aca="false">E84*INDEX(PAQ_R1,MATCH(B84,PAQ_T,0))</f>
        <v>73268</v>
      </c>
      <c r="I84" s="12" t="n">
        <f aca="false">F84*INDEX(PAQ_R2,MATCH(B84,PAQ_T,0))</f>
        <v>708.5</v>
      </c>
      <c r="J84" s="12" t="n">
        <f aca="false">H84+I84</f>
        <v>73976.5</v>
      </c>
      <c r="K84" s="10" t="n">
        <f aca="false">(BLOQUES!U84+BLOQUES!W84)*INDEX(PAQ_MZ,MATCH(B84,PAQ_T,0))/1000</f>
        <v>212.041903664771</v>
      </c>
      <c r="L84" s="10" t="n">
        <f aca="false">(BLOQUES!U84+BLOQUES!W84)*INDEX(PAQ_MT,MATCH(B84,PAQ_T,0))/1000</f>
        <v>0</v>
      </c>
      <c r="M84" s="12" t="n">
        <f aca="false">BLOQUES!F84*INDEX(PAQ_CERCO,MATCH(B84,PAQ_T,0))</f>
        <v>9401.6</v>
      </c>
      <c r="N84" s="10" t="n">
        <f aca="false">IF(ISNUMBER(BLOQUES!AD84),BLOQUES!AD84/1000,0)</f>
        <v>0</v>
      </c>
      <c r="O84" s="31" t="n">
        <f aca="false">P_JORNAL/(P_CARGA*(P_HORAS*P_EFIC/((BLOQUES!AB84/1000*P_SINUOS)/P_VIDA+(BLOQUES!AB84/1000*P_SINUOS)/P_VVUELTA+P_TCD/60)))</f>
        <v>0.585134320175439</v>
      </c>
      <c r="P84" s="12" t="n">
        <f aca="false">J84*(1+P_RECALCE)*CU_PLANTON</f>
        <v>108503.182223316</v>
      </c>
      <c r="Q84" s="12" t="n">
        <f aca="false">J84*CU_PLANTA</f>
        <v>507544.039719734</v>
      </c>
      <c r="R84" s="12" t="n">
        <f aca="false">(E84+F84)*CU_HA</f>
        <v>128717.376600835</v>
      </c>
      <c r="S84" s="12" t="n">
        <f aca="false">J84*(1+P_RECALCE)*(P_PESO_PLANTON+P_PESO_INS)*O84</f>
        <v>79516.729259974</v>
      </c>
      <c r="T84" s="12" t="n">
        <f aca="false">J84*(1+P_RECALCE)*P_PESO_INS*P_FT_KG</f>
        <v>2965.68487017769</v>
      </c>
      <c r="U84" s="12" t="n">
        <f aca="false">K84*CU_ZANJA</f>
        <v>2036789.66736487</v>
      </c>
      <c r="V84" s="12" t="n">
        <f aca="false">L84*CU_TERRAZA</f>
        <v>0</v>
      </c>
      <c r="W84" s="12" t="n">
        <f aca="false">M84*CU_CERCO</f>
        <v>206551.296194599</v>
      </c>
      <c r="X84" s="12" t="n">
        <f aca="false">N84*CU_CARCAVA</f>
        <v>0</v>
      </c>
      <c r="Y84" s="42" t="n">
        <f aca="false">SUM(P84:X84)</f>
        <v>3070587.97623351</v>
      </c>
      <c r="Z84" s="12" t="n">
        <f aca="false">Y84*(P_GG+P_SUP+P_ET)</f>
        <v>462963.327158456</v>
      </c>
      <c r="AA84" s="42" t="n">
        <f aca="false">Y84+Z84</f>
        <v>3533551.30339197</v>
      </c>
      <c r="AB84" s="12" t="n">
        <f aca="false">IF(D84=0,0,AA84/D84)</f>
        <v>30625.6017420151</v>
      </c>
      <c r="AC84" s="12" t="n">
        <f aca="false">J84*(1+P_RECALCE)*CU_PLANTON_NC+J84*CU_PLANTA_NC+(E84+F84)*CU_HA_NC+S84+K84*CU_ZANJA_NC+L84*CU_TERRAZA_NC+M84*CU_CERCO_NC+N84*CU_CARCAVA_NC</f>
        <v>2267857.14951943</v>
      </c>
      <c r="AD84" s="12" t="n">
        <f aca="false">J84*(1+P_RECALCE)*CU_PLANTON_C+J84*CU_PLANTA_C+(E84+F84)*CU_HA_C+K84*CU_ZANJA_C+L84*CU_TERRAZA_C+M84*CU_CERCO_C+N84*CU_CARCAVA_C</f>
        <v>179937.958923578</v>
      </c>
      <c r="AE84" s="12" t="n">
        <f aca="false">Y84-AC84-AD84</f>
        <v>622792.867790499</v>
      </c>
      <c r="AF84" s="12" t="n">
        <f aca="false">AC84*P_FC_MONC+AD84*P_FC_MOC+(AE84+Z84)*P_FC_BIEN</f>
        <v>2014783.3589486</v>
      </c>
      <c r="AG84" s="12" t="n">
        <f aca="false">(SUM(P84:T84)+W84)*(1+P_GG+P_SUP+P_ET)</f>
        <v>1189667.7086022</v>
      </c>
      <c r="AH84" s="12" t="n">
        <f aca="false">(U84+V84+X84)*(1+P_GG+P_SUP+P_ET)</f>
        <v>2343883.59478977</v>
      </c>
    </row>
    <row r="85" customFormat="false" ht="15" hidden="false" customHeight="false" outlineLevel="0" collapsed="false">
      <c r="A85" s="7" t="str">
        <f aca="false">BLOQUES!A85</f>
        <v>M7B3</v>
      </c>
      <c r="B85" s="7" t="str">
        <f aca="false">BLOQUES!AI85</f>
        <v>T1</v>
      </c>
      <c r="C85" s="7" t="str">
        <f aca="false">BLOQUES!AE85</f>
        <v>No</v>
      </c>
      <c r="D85" s="11" t="n">
        <f aca="false">BLOQUES!E85</f>
        <v>65.745</v>
      </c>
      <c r="E85" s="11" t="n">
        <f aca="false">BLOQUES!U85+BLOQUES!V85</f>
        <v>62.385</v>
      </c>
      <c r="F85" s="11" t="n">
        <f aca="false">BLOQUES!W85+BLOQUES!X85</f>
        <v>3.259</v>
      </c>
      <c r="G85" s="11" t="n">
        <f aca="false">BLOQUES!Y85+BLOQUES!Z85</f>
        <v>0.1</v>
      </c>
      <c r="H85" s="8" t="n">
        <f aca="false">E85*INDEX(PAQ_R1,MATCH(B85,PAQ_T,0))</f>
        <v>40550.25</v>
      </c>
      <c r="I85" s="8" t="n">
        <f aca="false">F85*INDEX(PAQ_R2,MATCH(B85,PAQ_T,0))</f>
        <v>1059.175</v>
      </c>
      <c r="J85" s="8" t="n">
        <f aca="false">H85+I85</f>
        <v>41609.425</v>
      </c>
      <c r="K85" s="11" t="n">
        <f aca="false">(BLOQUES!U85+BLOQUES!W85)*INDEX(PAQ_MZ,MATCH(B85,PAQ_T,0))/1000</f>
        <v>189.592483260134</v>
      </c>
      <c r="L85" s="11" t="n">
        <f aca="false">(BLOQUES!U85+BLOQUES!W85)*INDEX(PAQ_MT,MATCH(B85,PAQ_T,0))/1000</f>
        <v>0</v>
      </c>
      <c r="M85" s="8" t="n">
        <f aca="false">BLOQUES!F85*INDEX(PAQ_CERCO,MATCH(B85,PAQ_T,0))</f>
        <v>7236.4</v>
      </c>
      <c r="N85" s="11" t="n">
        <f aca="false">IF(ISNUMBER(BLOQUES!AD85),BLOQUES!AD85/1000,0)</f>
        <v>0</v>
      </c>
      <c r="O85" s="22" t="n">
        <f aca="false">P_JORNAL/(P_CARGA*(P_HORAS*P_EFIC/((BLOQUES!AB85/1000*P_SINUOS)/P_VIDA+(BLOQUES!AB85/1000*P_SINUOS)/P_VVUELTA+P_TCD/60)))</f>
        <v>0.355068530701754</v>
      </c>
      <c r="P85" s="8" t="n">
        <f aca="false">J85*(1+P_RECALCE)*CU_PLANTON</f>
        <v>61029.584029826</v>
      </c>
      <c r="Q85" s="8" t="n">
        <f aca="false">J85*CU_PLANTA</f>
        <v>285477.35638906</v>
      </c>
      <c r="R85" s="8" t="n">
        <f aca="false">(E85+F85)*CU_HA</f>
        <v>73538.0632688007</v>
      </c>
      <c r="S85" s="8" t="n">
        <f aca="false">J85*(1+P_RECALCE)*(P_PESO_PLANTON+P_PESO_INS)*O85</f>
        <v>27140.2006203002</v>
      </c>
      <c r="T85" s="8" t="n">
        <f aca="false">J85*(1+P_RECALCE)*P_PESO_INS*P_FT_KG</f>
        <v>1668.10327846402</v>
      </c>
      <c r="U85" s="8" t="n">
        <f aca="false">K85*CU_ZANJA</f>
        <v>1821149.51922329</v>
      </c>
      <c r="V85" s="8" t="n">
        <f aca="false">L85*CU_TERRAZA</f>
        <v>0</v>
      </c>
      <c r="W85" s="8" t="n">
        <f aca="false">M85*CU_CERCO</f>
        <v>158982.279588857</v>
      </c>
      <c r="X85" s="8" t="n">
        <f aca="false">N85*CU_CARCAVA</f>
        <v>0</v>
      </c>
      <c r="Y85" s="40" t="n">
        <f aca="false">SUM(P85:X85)</f>
        <v>2428985.1063986</v>
      </c>
      <c r="Z85" s="8" t="n">
        <f aca="false">Y85*(P_GG+P_SUP+P_ET)</f>
        <v>366226.610401836</v>
      </c>
      <c r="AA85" s="40" t="n">
        <f aca="false">Y85+Z85</f>
        <v>2795211.71680043</v>
      </c>
      <c r="AB85" s="8" t="n">
        <f aca="false">IF(D85=0,0,AA85/D85)</f>
        <v>42515.9588835719</v>
      </c>
      <c r="AC85" s="8" t="n">
        <f aca="false">J85*(1+P_RECALCE)*CU_PLANTON_NC+J85*CU_PLANTA_NC+(E85+F85)*CU_HA_NC+S85+K85*CU_ZANJA_NC+L85*CU_TERRAZA_NC+M85*CU_CERCO_NC+N85*CU_CARCAVA_NC</f>
        <v>1836151.85946895</v>
      </c>
      <c r="AD85" s="8" t="n">
        <f aca="false">J85*(1+P_RECALCE)*CU_PLANTON_C+J85*CU_PLANTA_C+(E85+F85)*CU_HA_C+K85*CU_ZANJA_C+L85*CU_TERRAZA_C+M85*CU_CERCO_C+N85*CU_CARCAVA_C</f>
        <v>147082.616046747</v>
      </c>
      <c r="AE85" s="8" t="n">
        <f aca="false">Y85-AC85-AD85</f>
        <v>445750.630882906</v>
      </c>
      <c r="AF85" s="8" t="n">
        <f aca="false">AC85*P_FC_MONC+AD85*P_FC_MOC+(AE85+Z85)*P_FC_BIEN</f>
        <v>1575495.3538274</v>
      </c>
      <c r="AG85" s="8" t="n">
        <f aca="false">(SUM(P85:T85)+W85)*(1+P_GG+P_SUP+P_ET)</f>
        <v>699481.092199781</v>
      </c>
      <c r="AH85" s="8" t="n">
        <f aca="false">(U85+V85+X85)*(1+P_GG+P_SUP+P_ET)</f>
        <v>2095730.62460065</v>
      </c>
    </row>
    <row r="86" customFormat="false" ht="15" hidden="false" customHeight="false" outlineLevel="0" collapsed="false">
      <c r="A86" s="9" t="str">
        <f aca="false">BLOQUES!A86</f>
        <v>M7B6</v>
      </c>
      <c r="B86" s="9" t="str">
        <f aca="false">BLOQUES!AI86</f>
        <v>T1</v>
      </c>
      <c r="C86" s="9" t="str">
        <f aca="false">BLOQUES!AE86</f>
        <v>No</v>
      </c>
      <c r="D86" s="10" t="n">
        <f aca="false">BLOQUES!E86</f>
        <v>91.285</v>
      </c>
      <c r="E86" s="10" t="n">
        <f aca="false">BLOQUES!U86+BLOQUES!V86</f>
        <v>86.597</v>
      </c>
      <c r="F86" s="10" t="n">
        <f aca="false">BLOQUES!W86+BLOQUES!X86</f>
        <v>4.656</v>
      </c>
      <c r="G86" s="10" t="n">
        <f aca="false">BLOQUES!Y86+BLOQUES!Z86</f>
        <v>0.032</v>
      </c>
      <c r="H86" s="12" t="n">
        <f aca="false">E86*INDEX(PAQ_R1,MATCH(B86,PAQ_T,0))</f>
        <v>56288.05</v>
      </c>
      <c r="I86" s="12" t="n">
        <f aca="false">F86*INDEX(PAQ_R2,MATCH(B86,PAQ_T,0))</f>
        <v>1513.2</v>
      </c>
      <c r="J86" s="12" t="n">
        <f aca="false">H86+I86</f>
        <v>57801.25</v>
      </c>
      <c r="K86" s="10" t="n">
        <f aca="false">(BLOQUES!U86+BLOQUES!W86)*INDEX(PAQ_MZ,MATCH(B86,PAQ_T,0))/1000</f>
        <v>213.12909496724</v>
      </c>
      <c r="L86" s="10" t="n">
        <f aca="false">(BLOQUES!U86+BLOQUES!W86)*INDEX(PAQ_MT,MATCH(B86,PAQ_T,0))/1000</f>
        <v>0</v>
      </c>
      <c r="M86" s="12" t="n">
        <f aca="false">BLOQUES!F86*INDEX(PAQ_CERCO,MATCH(B86,PAQ_T,0))</f>
        <v>5675.2</v>
      </c>
      <c r="N86" s="10" t="n">
        <f aca="false">IF(ISNUMBER(BLOQUES!AD86),BLOQUES!AD86/1000,0)</f>
        <v>0</v>
      </c>
      <c r="O86" s="31" t="n">
        <f aca="false">P_JORNAL/(P_CARGA*(P_HORAS*P_EFIC/((BLOQUES!AB86/1000*P_SINUOS)/P_VIDA+(BLOQUES!AB86/1000*P_SINUOS)/P_VVUELTA+P_TCD/60)))</f>
        <v>0.112280701754386</v>
      </c>
      <c r="P86" s="12" t="n">
        <f aca="false">J86*(1+P_RECALCE)*CU_PLANTON</f>
        <v>84778.5386100379</v>
      </c>
      <c r="Q86" s="12" t="n">
        <f aca="false">J86*CU_PLANTA</f>
        <v>396567.557614246</v>
      </c>
      <c r="R86" s="12" t="n">
        <f aca="false">(E86+F86)*CU_HA</f>
        <v>102226.690748094</v>
      </c>
      <c r="S86" s="12" t="n">
        <f aca="false">J86*(1+P_RECALCE)*(P_PESO_PLANTON+P_PESO_INS)*O86</f>
        <v>11922.0655438597</v>
      </c>
      <c r="T86" s="12" t="n">
        <f aca="false">J86*(1+P_RECALCE)*P_PESO_INS*P_FT_KG</f>
        <v>2317.22631649724</v>
      </c>
      <c r="U86" s="12" t="n">
        <f aca="false">K86*CU_ZANJA</f>
        <v>2047232.79192208</v>
      </c>
      <c r="V86" s="12" t="n">
        <f aca="false">L86*CU_TERRAZA</f>
        <v>0</v>
      </c>
      <c r="W86" s="12" t="n">
        <f aca="false">M86*CU_CERCO</f>
        <v>124683.02375804</v>
      </c>
      <c r="X86" s="12" t="n">
        <f aca="false">N86*CU_CARCAVA</f>
        <v>0</v>
      </c>
      <c r="Y86" s="42" t="n">
        <f aca="false">SUM(P86:X86)</f>
        <v>2769727.89451286</v>
      </c>
      <c r="Z86" s="12" t="n">
        <f aca="false">Y86*(P_GG+P_SUP+P_ET)</f>
        <v>417601.596597193</v>
      </c>
      <c r="AA86" s="42" t="n">
        <f aca="false">Y86+Z86</f>
        <v>3187329.49111005</v>
      </c>
      <c r="AB86" s="12" t="n">
        <f aca="false">IF(D86=0,0,AA86/D86)</f>
        <v>34916.245726133</v>
      </c>
      <c r="AC86" s="12" t="n">
        <f aca="false">J86*(1+P_RECALCE)*CU_PLANTON_NC+J86*CU_PLANTA_NC+(E86+F86)*CU_HA_NC+S86+K86*CU_ZANJA_NC+L86*CU_TERRAZA_NC+M86*CU_CERCO_NC+N86*CU_CARCAVA_NC</f>
        <v>2112488.65311904</v>
      </c>
      <c r="AD86" s="12" t="n">
        <f aca="false">J86*(1+P_RECALCE)*CU_PLANTON_C+J86*CU_PLANTA_C+(E86+F86)*CU_HA_C+K86*CU_ZANJA_C+L86*CU_TERRAZA_C+M86*CU_CERCO_C+N86*CU_CARCAVA_C</f>
        <v>171671.148238879</v>
      </c>
      <c r="AE86" s="12" t="n">
        <f aca="false">Y86-AC86-AD86</f>
        <v>485568.093154935</v>
      </c>
      <c r="AF86" s="12" t="n">
        <f aca="false">AC86*P_FC_MONC+AD86*P_FC_MOC+(AE86+Z86)*P_FC_BIEN</f>
        <v>1788263.48358153</v>
      </c>
      <c r="AG86" s="12" t="n">
        <f aca="false">(SUM(P86:T86)+W86)*(1+P_GG+P_SUP+P_ET)</f>
        <v>831428.225217475</v>
      </c>
      <c r="AH86" s="12" t="n">
        <f aca="false">(U86+V86+X86)*(1+P_GG+P_SUP+P_ET)</f>
        <v>2355901.26589258</v>
      </c>
    </row>
    <row r="87" customFormat="false" ht="15" hidden="false" customHeight="false" outlineLevel="0" collapsed="false">
      <c r="A87" s="7" t="str">
        <f aca="false">BLOQUES!A87</f>
        <v>M2B1</v>
      </c>
      <c r="B87" s="7" t="str">
        <f aca="false">BLOQUES!AI87</f>
        <v>T1</v>
      </c>
      <c r="C87" s="7" t="str">
        <f aca="false">BLOQUES!AE87</f>
        <v>No</v>
      </c>
      <c r="D87" s="11" t="n">
        <f aca="false">BLOQUES!E87</f>
        <v>81.795</v>
      </c>
      <c r="E87" s="11" t="n">
        <f aca="false">BLOQUES!U87+BLOQUES!V87</f>
        <v>78.331</v>
      </c>
      <c r="F87" s="11" t="n">
        <f aca="false">BLOQUES!W87+BLOQUES!X87</f>
        <v>3.464</v>
      </c>
      <c r="G87" s="11" t="n">
        <f aca="false">BLOQUES!Y87+BLOQUES!Z87</f>
        <v>0</v>
      </c>
      <c r="H87" s="8" t="n">
        <f aca="false">E87*INDEX(PAQ_R1,MATCH(B87,PAQ_T,0))</f>
        <v>50915.15</v>
      </c>
      <c r="I87" s="8" t="n">
        <f aca="false">F87*INDEX(PAQ_R2,MATCH(B87,PAQ_T,0))</f>
        <v>1125.8</v>
      </c>
      <c r="J87" s="8" t="n">
        <f aca="false">H87+I87</f>
        <v>52040.95</v>
      </c>
      <c r="K87" s="11" t="n">
        <f aca="false">(BLOQUES!U87+BLOQUES!W87)*INDEX(PAQ_MZ,MATCH(B87,PAQ_T,0))/1000</f>
        <v>213.028295773634</v>
      </c>
      <c r="L87" s="11" t="n">
        <f aca="false">(BLOQUES!U87+BLOQUES!W87)*INDEX(PAQ_MT,MATCH(B87,PAQ_T,0))/1000</f>
        <v>0</v>
      </c>
      <c r="M87" s="8" t="n">
        <f aca="false">BLOQUES!F87*INDEX(PAQ_CERCO,MATCH(B87,PAQ_T,0))</f>
        <v>5202.3</v>
      </c>
      <c r="N87" s="11" t="n">
        <f aca="false">IF(ISNUMBER(BLOQUES!AD87),BLOQUES!AD87/1000,0)</f>
        <v>0</v>
      </c>
      <c r="O87" s="22" t="n">
        <f aca="false">P_JORNAL/(P_CARGA*(P_HORAS*P_EFIC/((BLOQUES!AB87/1000*P_SINUOS)/P_VIDA+(BLOQUES!AB87/1000*P_SINUOS)/P_VVUELTA+P_TCD/60)))</f>
        <v>0.107683662280702</v>
      </c>
      <c r="P87" s="8" t="n">
        <f aca="false">J87*(1+P_RECALCE)*CU_PLANTON</f>
        <v>76329.7625722291</v>
      </c>
      <c r="Q87" s="8" t="n">
        <f aca="false">J87*CU_PLANTA</f>
        <v>357046.818839127</v>
      </c>
      <c r="R87" s="8" t="n">
        <f aca="false">(E87+F87)*CU_HA</f>
        <v>91631.3126115343</v>
      </c>
      <c r="S87" s="8" t="n">
        <f aca="false">J87*(1+P_RECALCE)*(P_PESO_PLANTON+P_PESO_INS)*O87</f>
        <v>10294.4746753494</v>
      </c>
      <c r="T87" s="8" t="n">
        <f aca="false">J87*(1+P_RECALCE)*P_PESO_INS*P_FT_KG</f>
        <v>2086.29846024986</v>
      </c>
      <c r="U87" s="8" t="n">
        <f aca="false">K87*CU_ZANJA</f>
        <v>2046264.55520817</v>
      </c>
      <c r="V87" s="8" t="n">
        <f aca="false">L87*CU_TERRAZA</f>
        <v>0</v>
      </c>
      <c r="W87" s="8" t="n">
        <f aca="false">M87*CU_CERCO</f>
        <v>114293.504104957</v>
      </c>
      <c r="X87" s="8" t="n">
        <f aca="false">N87*CU_CARCAVA</f>
        <v>0</v>
      </c>
      <c r="Y87" s="40" t="n">
        <f aca="false">SUM(P87:X87)</f>
        <v>2697946.72647162</v>
      </c>
      <c r="Z87" s="8" t="n">
        <f aca="false">Y87*(P_GG+P_SUP+P_ET)</f>
        <v>406778.89793462</v>
      </c>
      <c r="AA87" s="40" t="n">
        <f aca="false">Y87+Z87</f>
        <v>3104725.62440624</v>
      </c>
      <c r="AB87" s="8" t="n">
        <f aca="false">IF(D87=0,0,AA87/D87)</f>
        <v>37957.401117504</v>
      </c>
      <c r="AC87" s="8" t="n">
        <f aca="false">J87*(1+P_RECALCE)*CU_PLANTON_NC+J87*CU_PLANTA_NC+(E87+F87)*CU_HA_NC+S87+K87*CU_ZANJA_NC+L87*CU_TERRAZA_NC+M87*CU_CERCO_NC+N87*CU_CARCAVA_NC</f>
        <v>2074776.40155418</v>
      </c>
      <c r="AD87" s="8" t="n">
        <f aca="false">J87*(1+P_RECALCE)*CU_PLANTON_C+J87*CU_PLANTA_C+(E87+F87)*CU_HA_C+K87*CU_ZANJA_C+L87*CU_TERRAZA_C+M87*CU_CERCO_C+N87*CU_CARCAVA_C</f>
        <v>168245.81874037</v>
      </c>
      <c r="AE87" s="8" t="n">
        <f aca="false">Y87-AC87-AD87</f>
        <v>454924.50617707</v>
      </c>
      <c r="AF87" s="8" t="n">
        <f aca="false">AC87*P_FC_MONC+AD87*P_FC_MOC+(AE87+Z87)*P_FC_BIEN</f>
        <v>1734577.4075862</v>
      </c>
      <c r="AG87" s="8" t="n">
        <f aca="false">(SUM(P87:T87)+W87)*(1+P_GG+P_SUP+P_ET)</f>
        <v>749938.57967551</v>
      </c>
      <c r="AH87" s="8" t="n">
        <f aca="false">(U87+V87+X87)*(1+P_GG+P_SUP+P_ET)</f>
        <v>2354787.04473073</v>
      </c>
    </row>
    <row r="88" customFormat="false" ht="15" hidden="false" customHeight="false" outlineLevel="0" collapsed="false">
      <c r="A88" s="9" t="str">
        <f aca="false">BLOQUES!A88</f>
        <v>M2B5</v>
      </c>
      <c r="B88" s="9" t="str">
        <f aca="false">BLOQUES!AI88</f>
        <v>T1</v>
      </c>
      <c r="C88" s="9" t="str">
        <f aca="false">BLOQUES!AE88</f>
        <v>No</v>
      </c>
      <c r="D88" s="10" t="n">
        <f aca="false">BLOQUES!E88</f>
        <v>30.909</v>
      </c>
      <c r="E88" s="10" t="n">
        <f aca="false">BLOQUES!U88+BLOQUES!V88</f>
        <v>27.392</v>
      </c>
      <c r="F88" s="10" t="n">
        <f aca="false">BLOQUES!W88+BLOQUES!X88</f>
        <v>3.218</v>
      </c>
      <c r="G88" s="10" t="n">
        <f aca="false">BLOQUES!Y88+BLOQUES!Z88</f>
        <v>0.299</v>
      </c>
      <c r="H88" s="12" t="n">
        <f aca="false">E88*INDEX(PAQ_R1,MATCH(B88,PAQ_T,0))</f>
        <v>17804.8</v>
      </c>
      <c r="I88" s="12" t="n">
        <f aca="false">F88*INDEX(PAQ_R2,MATCH(B88,PAQ_T,0))</f>
        <v>1045.85</v>
      </c>
      <c r="J88" s="12" t="n">
        <f aca="false">H88+I88</f>
        <v>18850.65</v>
      </c>
      <c r="K88" s="10" t="n">
        <f aca="false">(BLOQUES!U88+BLOQUES!W88)*INDEX(PAQ_MZ,MATCH(B88,PAQ_T,0))/1000</f>
        <v>7.79393764849881</v>
      </c>
      <c r="L88" s="10" t="n">
        <f aca="false">(BLOQUES!U88+BLOQUES!W88)*INDEX(PAQ_MT,MATCH(B88,PAQ_T,0))/1000</f>
        <v>0</v>
      </c>
      <c r="M88" s="12" t="n">
        <f aca="false">BLOQUES!F88*INDEX(PAQ_CERCO,MATCH(B88,PAQ_T,0))</f>
        <v>3944.2</v>
      </c>
      <c r="N88" s="10" t="n">
        <f aca="false">IF(ISNUMBER(BLOQUES!AD88),BLOQUES!AD88/1000,0)</f>
        <v>0</v>
      </c>
      <c r="O88" s="31" t="n">
        <f aca="false">P_JORNAL/(P_CARGA*(P_HORAS*P_EFIC/((BLOQUES!AB88/1000*P_SINUOS)/P_VIDA+(BLOQUES!AB88/1000*P_SINUOS)/P_VVUELTA+P_TCD/60)))</f>
        <v>0.0638514254385965</v>
      </c>
      <c r="P88" s="12" t="n">
        <f aca="false">J88*(1+P_RECALCE)*CU_PLANTON</f>
        <v>27648.7196877111</v>
      </c>
      <c r="Q88" s="12" t="n">
        <f aca="false">J88*CU_PLANTA</f>
        <v>129332.085896775</v>
      </c>
      <c r="R88" s="12" t="n">
        <f aca="false">(E88+F88)*CU_HA</f>
        <v>34291.0260900919</v>
      </c>
      <c r="S88" s="12" t="n">
        <f aca="false">J88*(1+P_RECALCE)*(P_PESO_PLANTON+P_PESO_INS)*O88</f>
        <v>2211.08828359827</v>
      </c>
      <c r="T88" s="12" t="n">
        <f aca="false">J88*(1+P_RECALCE)*P_PESO_INS*P_FT_KG</f>
        <v>755.714145681603</v>
      </c>
      <c r="U88" s="12" t="n">
        <f aca="false">K88*CU_ZANJA</f>
        <v>74865.445915094</v>
      </c>
      <c r="V88" s="12" t="n">
        <f aca="false">L88*CU_TERRAZA</f>
        <v>0</v>
      </c>
      <c r="W88" s="12" t="n">
        <f aca="false">M88*CU_CERCO</f>
        <v>86653.2954444708</v>
      </c>
      <c r="X88" s="12" t="n">
        <f aca="false">N88*CU_CARCAVA</f>
        <v>0</v>
      </c>
      <c r="Y88" s="42" t="n">
        <f aca="false">SUM(P88:X88)</f>
        <v>355757.375463423</v>
      </c>
      <c r="Z88" s="12" t="n">
        <f aca="false">Y88*(P_GG+P_SUP+P_ET)</f>
        <v>53638.7882322578</v>
      </c>
      <c r="AA88" s="42" t="n">
        <f aca="false">Y88+Z88</f>
        <v>409396.163695681</v>
      </c>
      <c r="AB88" s="12" t="n">
        <f aca="false">IF(D88=0,0,AA88/D88)</f>
        <v>13245.208958416</v>
      </c>
      <c r="AC88" s="12" t="n">
        <f aca="false">J88*(1+P_RECALCE)*CU_PLANTON_NC+J88*CU_PLANTA_NC+(E88+F88)*CU_HA_NC+S88+K88*CU_ZANJA_NC+L88*CU_TERRAZA_NC+M88*CU_CERCO_NC+N88*CU_CARCAVA_NC</f>
        <v>181304.216686526</v>
      </c>
      <c r="AD88" s="12" t="n">
        <f aca="false">J88*(1+P_RECALCE)*CU_PLANTON_C+J88*CU_PLANTA_C+(E88+F88)*CU_HA_C+K88*CU_ZANJA_C+L88*CU_TERRAZA_C+M88*CU_CERCO_C+N88*CU_CARCAVA_C</f>
        <v>16007.0811314308</v>
      </c>
      <c r="AE88" s="12" t="n">
        <f aca="false">Y88-AC88-AD88</f>
        <v>158446.077645466</v>
      </c>
      <c r="AF88" s="12" t="n">
        <f aca="false">AC88*P_FC_MONC+AD88*P_FC_MOC+(AE88+Z88)*P_FC_BIEN</f>
        <v>268526.302286683</v>
      </c>
      <c r="AG88" s="12" t="n">
        <f aca="false">(SUM(P88:T88)+W88)*(1+P_GG+P_SUP+P_ET)</f>
        <v>323242.991716939</v>
      </c>
      <c r="AH88" s="12" t="n">
        <f aca="false">(U88+V88+X88)*(1+P_GG+P_SUP+P_ET)</f>
        <v>86153.1719787414</v>
      </c>
    </row>
    <row r="89" customFormat="false" ht="15" hidden="false" customHeight="false" outlineLevel="0" collapsed="false">
      <c r="A89" s="7" t="str">
        <f aca="false">BLOQUES!A89</f>
        <v>M18B3</v>
      </c>
      <c r="B89" s="7" t="str">
        <f aca="false">BLOQUES!AI89</f>
        <v>T1</v>
      </c>
      <c r="C89" s="7" t="str">
        <f aca="false">BLOQUES!AE89</f>
        <v>No</v>
      </c>
      <c r="D89" s="11" t="n">
        <f aca="false">BLOQUES!E89</f>
        <v>373.807</v>
      </c>
      <c r="E89" s="11" t="n">
        <f aca="false">BLOQUES!U89+BLOQUES!V89</f>
        <v>211.304</v>
      </c>
      <c r="F89" s="11" t="n">
        <f aca="false">BLOQUES!W89+BLOQUES!X89</f>
        <v>156.435</v>
      </c>
      <c r="G89" s="11" t="n">
        <f aca="false">BLOQUES!Y89+BLOQUES!Z89</f>
        <v>6.068</v>
      </c>
      <c r="H89" s="8" t="n">
        <f aca="false">E89*INDEX(PAQ_R1,MATCH(B89,PAQ_T,0))</f>
        <v>137347.6</v>
      </c>
      <c r="I89" s="8" t="n">
        <f aca="false">F89*INDEX(PAQ_R2,MATCH(B89,PAQ_T,0))</f>
        <v>50841.375</v>
      </c>
      <c r="J89" s="8" t="n">
        <f aca="false">H89+I89</f>
        <v>188188.975</v>
      </c>
      <c r="K89" s="11" t="n">
        <f aca="false">(BLOQUES!U89+BLOQUES!W89)*INDEX(PAQ_MZ,MATCH(B89,PAQ_T,0))/1000</f>
        <v>1060.14111887105</v>
      </c>
      <c r="L89" s="11" t="n">
        <f aca="false">(BLOQUES!U89+BLOQUES!W89)*INDEX(PAQ_MT,MATCH(B89,PAQ_T,0))/1000</f>
        <v>0</v>
      </c>
      <c r="M89" s="8" t="n">
        <f aca="false">BLOQUES!F89*INDEX(PAQ_CERCO,MATCH(B89,PAQ_T,0))</f>
        <v>14555.6</v>
      </c>
      <c r="N89" s="11" t="n">
        <f aca="false">IF(ISNUMBER(BLOQUES!AD89),BLOQUES!AD89/1000,0)</f>
        <v>0</v>
      </c>
      <c r="O89" s="22" t="n">
        <f aca="false">P_JORNAL/(P_CARGA*(P_HORAS*P_EFIC/((BLOQUES!AB89/1000*P_SINUOS)/P_VIDA+(BLOQUES!AB89/1000*P_SINUOS)/P_VVUELTA+P_TCD/60)))</f>
        <v>0.247519188596491</v>
      </c>
      <c r="P89" s="8" t="n">
        <f aca="false">J89*(1+P_RECALCE)*CU_PLANTON</f>
        <v>276021.475020367</v>
      </c>
      <c r="Q89" s="8" t="n">
        <f aca="false">J89*CU_PLANTA</f>
        <v>1291142.3574002</v>
      </c>
      <c r="R89" s="8" t="n">
        <f aca="false">(E89+F89)*CU_HA</f>
        <v>411961.700207262</v>
      </c>
      <c r="S89" s="8" t="n">
        <f aca="false">J89*(1+P_RECALCE)*(P_PESO_PLANTON+P_PESO_INS)*O89</f>
        <v>85568.1624592575</v>
      </c>
      <c r="T89" s="8" t="n">
        <f aca="false">J89*(1+P_RECALCE)*P_PESO_INS*P_FT_KG</f>
        <v>7544.41202127361</v>
      </c>
      <c r="U89" s="8" t="n">
        <f aca="false">K89*CU_ZANJA</f>
        <v>10183291.3190542</v>
      </c>
      <c r="V89" s="8" t="n">
        <f aca="false">L89*CU_TERRAZA</f>
        <v>0</v>
      </c>
      <c r="W89" s="8" t="n">
        <f aca="false">M89*CU_CERCO</f>
        <v>319783.658833614</v>
      </c>
      <c r="X89" s="8" t="n">
        <f aca="false">N89*CU_CARCAVA</f>
        <v>0</v>
      </c>
      <c r="Y89" s="40" t="n">
        <f aca="false">SUM(P89:X89)</f>
        <v>12575313.0849962</v>
      </c>
      <c r="Z89" s="8" t="n">
        <f aca="false">Y89*(P_GG+P_SUP+P_ET)</f>
        <v>1896024.09406633</v>
      </c>
      <c r="AA89" s="40" t="n">
        <f aca="false">Y89+Z89</f>
        <v>14471337.1790625</v>
      </c>
      <c r="AB89" s="8" t="n">
        <f aca="false">IF(D89=0,0,AA89/D89)</f>
        <v>38713.3926840924</v>
      </c>
      <c r="AC89" s="8" t="n">
        <f aca="false">J89*(1+P_RECALCE)*CU_PLANTON_NC+J89*CU_PLANTA_NC+(E89+F89)*CU_HA_NC+S89+K89*CU_ZANJA_NC+L89*CU_TERRAZA_NC+M89*CU_CERCO_NC+N89*CU_CARCAVA_NC</f>
        <v>9987104.76980047</v>
      </c>
      <c r="AD89" s="8" t="n">
        <f aca="false">J89*(1+P_RECALCE)*CU_PLANTON_C+J89*CU_PLANTA_C+(E89+F89)*CU_HA_C+K89*CU_ZANJA_C+L89*CU_TERRAZA_C+M89*CU_CERCO_C+N89*CU_CARCAVA_C</f>
        <v>808168.215353018</v>
      </c>
      <c r="AE89" s="8" t="n">
        <f aca="false">Y89-AC89-AD89</f>
        <v>1780040.0998427</v>
      </c>
      <c r="AF89" s="8" t="n">
        <f aca="false">AC89*P_FC_MONC+AD89*P_FC_MOC+(AE89+Z89)*P_FC_BIEN</f>
        <v>7948345.53235104</v>
      </c>
      <c r="AG89" s="8" t="n">
        <f aca="false">(SUM(P89:T89)+W89)*(1+P_GG+P_SUP+P_ET)</f>
        <v>2752675.28375922</v>
      </c>
      <c r="AH89" s="8" t="n">
        <f aca="false">(U89+V89+X89)*(1+P_GG+P_SUP+P_ET)</f>
        <v>11718661.8953033</v>
      </c>
    </row>
    <row r="90" customFormat="false" ht="15" hidden="false" customHeight="false" outlineLevel="0" collapsed="false">
      <c r="A90" s="9" t="str">
        <f aca="false">BLOQUES!A90</f>
        <v>M3B1</v>
      </c>
      <c r="B90" s="9" t="str">
        <f aca="false">BLOQUES!AI90</f>
        <v>T1</v>
      </c>
      <c r="C90" s="9" t="str">
        <f aca="false">BLOQUES!AE90</f>
        <v>No</v>
      </c>
      <c r="D90" s="10" t="n">
        <f aca="false">BLOQUES!E90</f>
        <v>80.983</v>
      </c>
      <c r="E90" s="10" t="n">
        <f aca="false">BLOQUES!U90+BLOQUES!V90</f>
        <v>67.67</v>
      </c>
      <c r="F90" s="10" t="n">
        <f aca="false">BLOQUES!W90+BLOQUES!X90</f>
        <v>13.174</v>
      </c>
      <c r="G90" s="10" t="n">
        <f aca="false">BLOQUES!Y90+BLOQUES!Z90</f>
        <v>0.14</v>
      </c>
      <c r="H90" s="12" t="n">
        <f aca="false">E90*INDEX(PAQ_R1,MATCH(B90,PAQ_T,0))</f>
        <v>43985.5</v>
      </c>
      <c r="I90" s="12" t="n">
        <f aca="false">F90*INDEX(PAQ_R2,MATCH(B90,PAQ_T,0))</f>
        <v>4281.55</v>
      </c>
      <c r="J90" s="12" t="n">
        <f aca="false">H90+I90</f>
        <v>48267.05</v>
      </c>
      <c r="K90" s="10" t="n">
        <f aca="false">(BLOQUES!U90+BLOQUES!W90)*INDEX(PAQ_MZ,MATCH(B90,PAQ_T,0))/1000</f>
        <v>241.424868601051</v>
      </c>
      <c r="L90" s="10" t="n">
        <f aca="false">(BLOQUES!U90+BLOQUES!W90)*INDEX(PAQ_MT,MATCH(B90,PAQ_T,0))/1000</f>
        <v>0</v>
      </c>
      <c r="M90" s="12" t="n">
        <f aca="false">BLOQUES!F90*INDEX(PAQ_CERCO,MATCH(B90,PAQ_T,0))</f>
        <v>5446.9</v>
      </c>
      <c r="N90" s="10" t="n">
        <f aca="false">IF(ISNUMBER(BLOQUES!AD90),BLOQUES!AD90/1000,0)</f>
        <v>0</v>
      </c>
      <c r="O90" s="31" t="n">
        <f aca="false">P_JORNAL/(P_CARGA*(P_HORAS*P_EFIC/((BLOQUES!AB90/1000*P_SINUOS)/P_VIDA+(BLOQUES!AB90/1000*P_SINUOS)/P_VVUELTA+P_TCD/60)))</f>
        <v>0.0693037280701754</v>
      </c>
      <c r="P90" s="12" t="n">
        <f aca="false">J90*(1+P_RECALCE)*CU_PLANTON</f>
        <v>70794.4890814235</v>
      </c>
      <c r="Q90" s="12" t="n">
        <f aca="false">J90*CU_PLANTA</f>
        <v>331154.536134508</v>
      </c>
      <c r="R90" s="12" t="n">
        <f aca="false">(E90+F90)*CU_HA</f>
        <v>90565.949468389</v>
      </c>
      <c r="S90" s="12" t="n">
        <f aca="false">J90*(1+P_RECALCE)*(P_PESO_PLANTON+P_PESO_INS)*O90</f>
        <v>6144.92391510335</v>
      </c>
      <c r="T90" s="12" t="n">
        <f aca="false">J90*(1+P_RECALCE)*P_PESO_INS*P_FT_KG</f>
        <v>1935.00449349604</v>
      </c>
      <c r="U90" s="12" t="n">
        <f aca="false">K90*CU_ZANJA</f>
        <v>2319030.66947065</v>
      </c>
      <c r="V90" s="12" t="n">
        <f aca="false">L90*CU_TERRAZA</f>
        <v>0</v>
      </c>
      <c r="W90" s="12" t="n">
        <f aca="false">M90*CU_CERCO</f>
        <v>119667.317822749</v>
      </c>
      <c r="X90" s="12" t="n">
        <f aca="false">N90*CU_CARCAVA</f>
        <v>0</v>
      </c>
      <c r="Y90" s="42" t="n">
        <f aca="false">SUM(P90:X90)</f>
        <v>2939292.89038631</v>
      </c>
      <c r="Z90" s="12" t="n">
        <f aca="false">Y90*(P_GG+P_SUP+P_ET)</f>
        <v>443167.506210204</v>
      </c>
      <c r="AA90" s="42" t="n">
        <f aca="false">Y90+Z90</f>
        <v>3382460.39659652</v>
      </c>
      <c r="AB90" s="12" t="n">
        <f aca="false">IF(D90=0,0,AA90/D90)</f>
        <v>41767.5363545006</v>
      </c>
      <c r="AC90" s="12" t="n">
        <f aca="false">J90*(1+P_RECALCE)*CU_PLANTON_NC+J90*CU_PLANTA_NC+(E90+F90)*CU_HA_NC+S90+K90*CU_ZANJA_NC+L90*CU_TERRAZA_NC+M90*CU_CERCO_NC+N90*CU_CARCAVA_NC</f>
        <v>2284800.86463823</v>
      </c>
      <c r="AD90" s="12" t="n">
        <f aca="false">J90*(1+P_RECALCE)*CU_PLANTON_C+J90*CU_PLANTA_C+(E90+F90)*CU_HA_C+K90*CU_ZANJA_C+L90*CU_TERRAZA_C+M90*CU_CERCO_C+N90*CU_CARCAVA_C</f>
        <v>185333.238428516</v>
      </c>
      <c r="AE90" s="12" t="n">
        <f aca="false">Y90-AC90-AD90</f>
        <v>469158.787319571</v>
      </c>
      <c r="AF90" s="12" t="n">
        <f aca="false">AC90*P_FC_MONC+AD90*P_FC_MOC+(AE90+Z90)*P_FC_BIEN</f>
        <v>1879187.49737927</v>
      </c>
      <c r="AG90" s="12" t="n">
        <f aca="false">(SUM(P90:T90)+W90)*(1+P_GG+P_SUP+P_ET)</f>
        <v>713781.333127542</v>
      </c>
      <c r="AH90" s="12" t="n">
        <f aca="false">(U90+V90+X90)*(1+P_GG+P_SUP+P_ET)</f>
        <v>2668679.06346898</v>
      </c>
    </row>
    <row r="91" customFormat="false" ht="15" hidden="false" customHeight="false" outlineLevel="0" collapsed="false">
      <c r="A91" s="7" t="str">
        <f aca="false">BLOQUES!A91</f>
        <v>M3B9</v>
      </c>
      <c r="B91" s="7" t="str">
        <f aca="false">BLOQUES!AI91</f>
        <v>T1</v>
      </c>
      <c r="C91" s="7" t="str">
        <f aca="false">BLOQUES!AE91</f>
        <v>No</v>
      </c>
      <c r="D91" s="11" t="n">
        <f aca="false">BLOQUES!E91</f>
        <v>294.204</v>
      </c>
      <c r="E91" s="11" t="n">
        <f aca="false">BLOQUES!U91+BLOQUES!V91</f>
        <v>241.445</v>
      </c>
      <c r="F91" s="11" t="n">
        <f aca="false">BLOQUES!W91+BLOQUES!X91</f>
        <v>50.982</v>
      </c>
      <c r="G91" s="11" t="n">
        <f aca="false">BLOQUES!Y91+BLOQUES!Z91</f>
        <v>1.777</v>
      </c>
      <c r="H91" s="8" t="n">
        <f aca="false">E91*INDEX(PAQ_R1,MATCH(B91,PAQ_T,0))</f>
        <v>156939.25</v>
      </c>
      <c r="I91" s="8" t="n">
        <f aca="false">F91*INDEX(PAQ_R2,MATCH(B91,PAQ_T,0))</f>
        <v>16569.15</v>
      </c>
      <c r="J91" s="8" t="n">
        <f aca="false">H91+I91</f>
        <v>173508.4</v>
      </c>
      <c r="K91" s="11" t="n">
        <f aca="false">(BLOQUES!U91+BLOQUES!W91)*INDEX(PAQ_MZ,MATCH(B91,PAQ_T,0))/1000</f>
        <v>784.99172006624</v>
      </c>
      <c r="L91" s="11" t="n">
        <f aca="false">(BLOQUES!U91+BLOQUES!W91)*INDEX(PAQ_MT,MATCH(B91,PAQ_T,0))/1000</f>
        <v>0</v>
      </c>
      <c r="M91" s="8" t="n">
        <f aca="false">BLOQUES!F91*INDEX(PAQ_CERCO,MATCH(B91,PAQ_T,0))</f>
        <v>10258.8</v>
      </c>
      <c r="N91" s="11" t="n">
        <f aca="false">IF(ISNUMBER(BLOQUES!AD91),BLOQUES!AD91/1000,0)</f>
        <v>0</v>
      </c>
      <c r="O91" s="22" t="n">
        <f aca="false">P_JORNAL/(P_CARGA*(P_HORAS*P_EFIC/((BLOQUES!AB91/1000*P_SINUOS)/P_VIDA+(BLOQUES!AB91/1000*P_SINUOS)/P_VVUELTA+P_TCD/60)))</f>
        <v>0.140290570175439</v>
      </c>
      <c r="P91" s="8" t="n">
        <f aca="false">J91*(1+P_RECALCE)*CU_PLANTON</f>
        <v>254489.108601733</v>
      </c>
      <c r="Q91" s="8" t="n">
        <f aca="false">J91*CU_PLANTA</f>
        <v>1190420.6641475</v>
      </c>
      <c r="R91" s="8" t="n">
        <f aca="false">(E91+F91)*CU_HA</f>
        <v>327593.005110986</v>
      </c>
      <c r="S91" s="8" t="n">
        <f aca="false">J91*(1+P_RECALCE)*(P_PESO_PLANTON+P_PESO_INS)*O91</f>
        <v>44715.505176761</v>
      </c>
      <c r="T91" s="8" t="n">
        <f aca="false">J91*(1+P_RECALCE)*P_PESO_INS*P_FT_KG</f>
        <v>6955.87432128769</v>
      </c>
      <c r="U91" s="8" t="n">
        <f aca="false">K91*CU_ZANJA</f>
        <v>7540316.30901424</v>
      </c>
      <c r="V91" s="8" t="n">
        <f aca="false">L91*CU_TERRAZA</f>
        <v>0</v>
      </c>
      <c r="W91" s="8" t="n">
        <f aca="false">M91*CU_CERCO</f>
        <v>225383.810989741</v>
      </c>
      <c r="X91" s="8" t="n">
        <f aca="false">N91*CU_CARCAVA</f>
        <v>0</v>
      </c>
      <c r="Y91" s="40" t="n">
        <f aca="false">SUM(P91:X91)</f>
        <v>9589874.27736224</v>
      </c>
      <c r="Z91" s="8" t="n">
        <f aca="false">Y91*(P_GG+P_SUP+P_ET)</f>
        <v>1445899.00593725</v>
      </c>
      <c r="AA91" s="40" t="n">
        <f aca="false">Y91+Z91</f>
        <v>11035773.2832995</v>
      </c>
      <c r="AB91" s="8" t="n">
        <f aca="false">IF(D91=0,0,AA91/D91)</f>
        <v>37510.6160463471</v>
      </c>
      <c r="AC91" s="8" t="n">
        <f aca="false">J91*(1+P_RECALCE)*CU_PLANTON_NC+J91*CU_PLANTA_NC+(E91+F91)*CU_HA_NC+S91+K91*CU_ZANJA_NC+L91*CU_TERRAZA_NC+M91*CU_CERCO_NC+N91*CU_CARCAVA_NC</f>
        <v>7557031.29027919</v>
      </c>
      <c r="AD91" s="8" t="n">
        <f aca="false">J91*(1+P_RECALCE)*CU_PLANTON_C+J91*CU_PLANTA_C+(E91+F91)*CU_HA_C+K91*CU_ZANJA_C+L91*CU_TERRAZA_C+M91*CU_CERCO_C+N91*CU_CARCAVA_C</f>
        <v>612647.441238768</v>
      </c>
      <c r="AE91" s="8" t="n">
        <f aca="false">Y91-AC91-AD91</f>
        <v>1420195.54584429</v>
      </c>
      <c r="AF91" s="8" t="n">
        <f aca="false">AC91*P_FC_MONC+AD91*P_FC_MOC+(AE91+Z91)*P_FC_BIEN</f>
        <v>6086838.30844635</v>
      </c>
      <c r="AG91" s="8" t="n">
        <f aca="false">(SUM(P91:T91)+W91)*(1+P_GG+P_SUP+P_ET)</f>
        <v>2358577.01732977</v>
      </c>
      <c r="AH91" s="8" t="n">
        <f aca="false">(U91+V91+X91)*(1+P_GG+P_SUP+P_ET)</f>
        <v>8677196.26596973</v>
      </c>
    </row>
    <row r="92" customFormat="false" ht="15" hidden="false" customHeight="false" outlineLevel="0" collapsed="false">
      <c r="A92" s="9" t="str">
        <f aca="false">BLOQUES!A92</f>
        <v>M3B3</v>
      </c>
      <c r="B92" s="9" t="str">
        <f aca="false">BLOQUES!AI92</f>
        <v>T1</v>
      </c>
      <c r="C92" s="9" t="str">
        <f aca="false">BLOQUES!AE92</f>
        <v>No</v>
      </c>
      <c r="D92" s="10" t="n">
        <f aca="false">BLOQUES!E92</f>
        <v>84.825</v>
      </c>
      <c r="E92" s="10" t="n">
        <f aca="false">BLOQUES!U92+BLOQUES!V92</f>
        <v>79.838</v>
      </c>
      <c r="F92" s="10" t="n">
        <f aca="false">BLOQUES!W92+BLOQUES!X92</f>
        <v>4.898</v>
      </c>
      <c r="G92" s="10" t="n">
        <f aca="false">BLOQUES!Y92+BLOQUES!Z92</f>
        <v>0.089</v>
      </c>
      <c r="H92" s="12" t="n">
        <f aca="false">E92*INDEX(PAQ_R1,MATCH(B92,PAQ_T,0))</f>
        <v>51894.7</v>
      </c>
      <c r="I92" s="12" t="n">
        <f aca="false">F92*INDEX(PAQ_R2,MATCH(B92,PAQ_T,0))</f>
        <v>1591.85</v>
      </c>
      <c r="J92" s="12" t="n">
        <f aca="false">H92+I92</f>
        <v>53486.55</v>
      </c>
      <c r="K92" s="10" t="n">
        <f aca="false">(BLOQUES!U92+BLOQUES!W92)*INDEX(PAQ_MZ,MATCH(B92,PAQ_T,0))/1000</f>
        <v>235.747714018288</v>
      </c>
      <c r="L92" s="10" t="n">
        <f aca="false">(BLOQUES!U92+BLOQUES!W92)*INDEX(PAQ_MT,MATCH(B92,PAQ_T,0))/1000</f>
        <v>0</v>
      </c>
      <c r="M92" s="12" t="n">
        <f aca="false">BLOQUES!F92*INDEX(PAQ_CERCO,MATCH(B92,PAQ_T,0))</f>
        <v>7386.6</v>
      </c>
      <c r="N92" s="10" t="n">
        <f aca="false">IF(ISNUMBER(BLOQUES!AD92),BLOQUES!AD92/1000,0)</f>
        <v>0</v>
      </c>
      <c r="O92" s="31" t="n">
        <f aca="false">P_JORNAL/(P_CARGA*(P_HORAS*P_EFIC/((BLOQUES!AB92/1000*P_SINUOS)/P_VIDA+(BLOQUES!AB92/1000*P_SINUOS)/P_VVUELTA+P_TCD/60)))</f>
        <v>0.0695175438596491</v>
      </c>
      <c r="P92" s="12" t="n">
        <f aca="false">J92*(1+P_RECALCE)*CU_PLANTON</f>
        <v>78450.0602373257</v>
      </c>
      <c r="Q92" s="12" t="n">
        <f aca="false">J92*CU_PLANTA</f>
        <v>366964.90990614</v>
      </c>
      <c r="R92" s="12" t="n">
        <f aca="false">(E92+F92)*CU_HA</f>
        <v>94925.9845400204</v>
      </c>
      <c r="S92" s="12" t="n">
        <f aca="false">J92*(1+P_RECALCE)*(P_PESO_PLANTON+P_PESO_INS)*O92</f>
        <v>6830.43183661184</v>
      </c>
      <c r="T92" s="12" t="n">
        <f aca="false">J92*(1+P_RECALCE)*P_PESO_INS*P_FT_KG</f>
        <v>2144.25191909596</v>
      </c>
      <c r="U92" s="12" t="n">
        <f aca="false">K92*CU_ZANJA</f>
        <v>2264498.19454773</v>
      </c>
      <c r="V92" s="12" t="n">
        <f aca="false">L92*CU_TERRAZA</f>
        <v>0</v>
      </c>
      <c r="W92" s="12" t="n">
        <f aca="false">M92*CU_CERCO</f>
        <v>162282.143940502</v>
      </c>
      <c r="X92" s="12" t="n">
        <f aca="false">N92*CU_CARCAVA</f>
        <v>0</v>
      </c>
      <c r="Y92" s="42" t="n">
        <f aca="false">SUM(P92:X92)</f>
        <v>2976095.97692743</v>
      </c>
      <c r="Z92" s="12" t="n">
        <f aca="false">Y92*(P_GG+P_SUP+P_ET)</f>
        <v>448716.436749454</v>
      </c>
      <c r="AA92" s="42" t="n">
        <f aca="false">Y92+Z92</f>
        <v>3424812.41367688</v>
      </c>
      <c r="AB92" s="12" t="n">
        <f aca="false">IF(D92=0,0,AA92/D92)</f>
        <v>40375.0358228928</v>
      </c>
      <c r="AC92" s="12" t="n">
        <f aca="false">J92*(1+P_RECALCE)*CU_PLANTON_NC+J92*CU_PLANTA_NC+(E92+F92)*CU_HA_NC+S92+K92*CU_ZANJA_NC+L92*CU_TERRAZA_NC+M92*CU_CERCO_NC+N92*CU_CARCAVA_NC</f>
        <v>2267123.66306955</v>
      </c>
      <c r="AD92" s="12" t="n">
        <f aca="false">J92*(1+P_RECALCE)*CU_PLANTON_C+J92*CU_PLANTA_C+(E92+F92)*CU_HA_C+K92*CU_ZANJA_C+L92*CU_TERRAZA_C+M92*CU_CERCO_C+N92*CU_CARCAVA_C</f>
        <v>183946.665089876</v>
      </c>
      <c r="AE92" s="12" t="n">
        <f aca="false">Y92-AC92-AD92</f>
        <v>525025.648768003</v>
      </c>
      <c r="AF92" s="12" t="n">
        <f aca="false">AC92*P_FC_MONC+AD92*P_FC_MOC+(AE92+Z92)*P_FC_BIEN</f>
        <v>1922714.9611284</v>
      </c>
      <c r="AG92" s="12" t="n">
        <f aca="false">(SUM(P92:T92)+W92)*(1+P_GG+P_SUP+P_ET)</f>
        <v>818887.877787804</v>
      </c>
      <c r="AH92" s="12" t="n">
        <f aca="false">(U92+V92+X92)*(1+P_GG+P_SUP+P_ET)</f>
        <v>2605924.53588908</v>
      </c>
    </row>
    <row r="93" customFormat="false" ht="15" hidden="false" customHeight="false" outlineLevel="0" collapsed="false">
      <c r="A93" s="7" t="str">
        <f aca="false">BLOQUES!A93</f>
        <v>M3B5</v>
      </c>
      <c r="B93" s="7" t="str">
        <f aca="false">BLOQUES!AI93</f>
        <v>T1</v>
      </c>
      <c r="C93" s="7" t="str">
        <f aca="false">BLOQUES!AE93</f>
        <v>No</v>
      </c>
      <c r="D93" s="11" t="n">
        <f aca="false">BLOQUES!E93</f>
        <v>52.743</v>
      </c>
      <c r="E93" s="11" t="n">
        <f aca="false">BLOQUES!U93+BLOQUES!V93</f>
        <v>50.495</v>
      </c>
      <c r="F93" s="11" t="n">
        <f aca="false">BLOQUES!W93+BLOQUES!X93</f>
        <v>2.189</v>
      </c>
      <c r="G93" s="11" t="n">
        <f aca="false">BLOQUES!Y93+BLOQUES!Z93</f>
        <v>0.059</v>
      </c>
      <c r="H93" s="8" t="n">
        <f aca="false">E93*INDEX(PAQ_R1,MATCH(B93,PAQ_T,0))</f>
        <v>32821.75</v>
      </c>
      <c r="I93" s="8" t="n">
        <f aca="false">F93*INDEX(PAQ_R2,MATCH(B93,PAQ_T,0))</f>
        <v>711.425</v>
      </c>
      <c r="J93" s="8" t="n">
        <f aca="false">H93+I93</f>
        <v>33533.175</v>
      </c>
      <c r="K93" s="11" t="n">
        <f aca="false">(BLOQUES!U93+BLOQUES!W93)*INDEX(PAQ_MZ,MATCH(B93,PAQ_T,0))/1000</f>
        <v>146.392828857369</v>
      </c>
      <c r="L93" s="11" t="n">
        <f aca="false">(BLOQUES!U93+BLOQUES!W93)*INDEX(PAQ_MT,MATCH(B93,PAQ_T,0))/1000</f>
        <v>0</v>
      </c>
      <c r="M93" s="8" t="n">
        <f aca="false">BLOQUES!F93*INDEX(PAQ_CERCO,MATCH(B93,PAQ_T,0))</f>
        <v>3575.9</v>
      </c>
      <c r="N93" s="11" t="n">
        <f aca="false">IF(ISNUMBER(BLOQUES!AD93),BLOQUES!AD93/1000,0)</f>
        <v>0</v>
      </c>
      <c r="O93" s="22" t="n">
        <f aca="false">P_JORNAL/(P_CARGA*(P_HORAS*P_EFIC/((BLOQUES!AB93/1000*P_SINUOS)/P_VIDA+(BLOQUES!AB93/1000*P_SINUOS)/P_VVUELTA+P_TCD/60)))</f>
        <v>0.0731524122807017</v>
      </c>
      <c r="P93" s="8" t="n">
        <f aca="false">J93*(1+P_RECALCE)*CU_PLANTON</f>
        <v>49183.9462201018</v>
      </c>
      <c r="Q93" s="8" t="n">
        <f aca="false">J93*CU_PLANTA</f>
        <v>230067.157869442</v>
      </c>
      <c r="R93" s="8" t="n">
        <f aca="false">(E93+F93)*CU_HA</f>
        <v>59019.5497723097</v>
      </c>
      <c r="S93" s="8" t="n">
        <f aca="false">J93*(1+P_RECALCE)*(P_PESO_PLANTON+P_PESO_INS)*O93</f>
        <v>4506.22096460485</v>
      </c>
      <c r="T93" s="8" t="n">
        <f aca="false">J93*(1+P_RECALCE)*P_PESO_INS*P_FT_KG</f>
        <v>1344.33002029727</v>
      </c>
      <c r="U93" s="8" t="n">
        <f aca="false">K93*CU_ZANJA</f>
        <v>1406190.9275461</v>
      </c>
      <c r="V93" s="8" t="n">
        <f aca="false">L93*CU_TERRAZA</f>
        <v>0</v>
      </c>
      <c r="W93" s="8" t="n">
        <f aca="false">M93*CU_CERCO</f>
        <v>78561.8171441315</v>
      </c>
      <c r="X93" s="8" t="n">
        <f aca="false">N93*CU_CARCAVA</f>
        <v>0</v>
      </c>
      <c r="Y93" s="40" t="n">
        <f aca="false">SUM(P93:X93)</f>
        <v>1828873.94953698</v>
      </c>
      <c r="Z93" s="8" t="n">
        <f aca="false">Y93*(P_GG+P_SUP+P_ET)</f>
        <v>275745.744849057</v>
      </c>
      <c r="AA93" s="40" t="n">
        <f aca="false">Y93+Z93</f>
        <v>2104619.69438604</v>
      </c>
      <c r="AB93" s="8" t="n">
        <f aca="false">IF(D93=0,0,AA93/D93)</f>
        <v>39903.2989095433</v>
      </c>
      <c r="AC93" s="8" t="n">
        <f aca="false">J93*(1+P_RECALCE)*CU_PLANTON_NC+J93*CU_PLANTA_NC+(E93+F93)*CU_HA_NC+S93+K93*CU_ZANJA_NC+L93*CU_TERRAZA_NC+M93*CU_CERCO_NC+N93*CU_CARCAVA_NC</f>
        <v>1409677.93849769</v>
      </c>
      <c r="AD93" s="8" t="n">
        <f aca="false">J93*(1+P_RECALCE)*CU_PLANTON_C+J93*CU_PLANTA_C+(E93+F93)*CU_HA_C+K93*CU_ZANJA_C+L93*CU_TERRAZA_C+M93*CU_CERCO_C+N93*CU_CARCAVA_C</f>
        <v>114339.430851211</v>
      </c>
      <c r="AE93" s="8" t="n">
        <f aca="false">Y93-AC93-AD93</f>
        <v>304856.580188083</v>
      </c>
      <c r="AF93" s="8" t="n">
        <f aca="false">AC93*P_FC_MONC+AD93*P_FC_MOC+(AE93+Z93)*P_FC_BIEN</f>
        <v>1174428.75321703</v>
      </c>
      <c r="AG93" s="8" t="n">
        <f aca="false">(SUM(P93:T93)+W93)*(1+P_GG+P_SUP+P_ET)</f>
        <v>486412.42486386</v>
      </c>
      <c r="AH93" s="8" t="n">
        <f aca="false">(U93+V93+X93)*(1+P_GG+P_SUP+P_ET)</f>
        <v>1618207.26952218</v>
      </c>
    </row>
    <row r="94" customFormat="false" ht="15" hidden="false" customHeight="false" outlineLevel="0" collapsed="false">
      <c r="A94" s="9" t="str">
        <f aca="false">BLOQUES!A94</f>
        <v>M3B6</v>
      </c>
      <c r="B94" s="9" t="str">
        <f aca="false">BLOQUES!AI94</f>
        <v>T1</v>
      </c>
      <c r="C94" s="9" t="str">
        <f aca="false">BLOQUES!AE94</f>
        <v>No</v>
      </c>
      <c r="D94" s="10" t="n">
        <f aca="false">BLOQUES!E94</f>
        <v>60.352</v>
      </c>
      <c r="E94" s="10" t="n">
        <f aca="false">BLOQUES!U94+BLOQUES!V94</f>
        <v>42.82</v>
      </c>
      <c r="F94" s="10" t="n">
        <f aca="false">BLOQUES!W94+BLOQUES!X94</f>
        <v>17.377</v>
      </c>
      <c r="G94" s="10" t="n">
        <f aca="false">BLOQUES!Y94+BLOQUES!Z94</f>
        <v>0.155</v>
      </c>
      <c r="H94" s="12" t="n">
        <f aca="false">E94*INDEX(PAQ_R1,MATCH(B94,PAQ_T,0))</f>
        <v>27833</v>
      </c>
      <c r="I94" s="12" t="n">
        <f aca="false">F94*INDEX(PAQ_R2,MATCH(B94,PAQ_T,0))</f>
        <v>5647.525</v>
      </c>
      <c r="J94" s="12" t="n">
        <f aca="false">H94+I94</f>
        <v>33480.525</v>
      </c>
      <c r="K94" s="10" t="n">
        <f aca="false">(BLOQUES!U94+BLOQUES!W94)*INDEX(PAQ_MZ,MATCH(B94,PAQ_T,0))/1000</f>
        <v>190.78047375621</v>
      </c>
      <c r="L94" s="10" t="n">
        <f aca="false">(BLOQUES!U94+BLOQUES!W94)*INDEX(PAQ_MT,MATCH(B94,PAQ_T,0))/1000</f>
        <v>0</v>
      </c>
      <c r="M94" s="12" t="n">
        <f aca="false">BLOQUES!F94*INDEX(PAQ_CERCO,MATCH(B94,PAQ_T,0))</f>
        <v>5104.6</v>
      </c>
      <c r="N94" s="10" t="n">
        <f aca="false">IF(ISNUMBER(BLOQUES!AD94),BLOQUES!AD94/1000,0)</f>
        <v>0</v>
      </c>
      <c r="O94" s="31" t="n">
        <f aca="false">P_JORNAL/(P_CARGA*(P_HORAS*P_EFIC/((BLOQUES!AB94/1000*P_SINUOS)/P_VIDA+(BLOQUES!AB94/1000*P_SINUOS)/P_VVUELTA+P_TCD/60)))</f>
        <v>0.0684484649122807</v>
      </c>
      <c r="P94" s="12" t="n">
        <f aca="false">J94*(1+P_RECALCE)*CU_PLANTON</f>
        <v>49106.7231486662</v>
      </c>
      <c r="Q94" s="12" t="n">
        <f aca="false">J94*CU_PLANTA</f>
        <v>229705.932430401</v>
      </c>
      <c r="R94" s="12" t="n">
        <f aca="false">(E94+F94)*CU_HA</f>
        <v>67436.0306287246</v>
      </c>
      <c r="S94" s="12" t="n">
        <f aca="false">J94*(1+P_RECALCE)*(P_PESO_PLANTON+P_PESO_INS)*O94</f>
        <v>4209.8355232792</v>
      </c>
      <c r="T94" s="12" t="n">
        <f aca="false">J94*(1+P_RECALCE)*P_PESO_INS*P_FT_KG</f>
        <v>1342.21930529433</v>
      </c>
      <c r="U94" s="12" t="n">
        <f aca="false">K94*CU_ZANJA</f>
        <v>1832560.88049441</v>
      </c>
      <c r="V94" s="12" t="n">
        <f aca="false">L94*CU_TERRAZA</f>
        <v>0</v>
      </c>
      <c r="W94" s="12" t="n">
        <f aca="false">M94*CU_CERCO</f>
        <v>112147.054390205</v>
      </c>
      <c r="X94" s="12" t="n">
        <f aca="false">N94*CU_CARCAVA</f>
        <v>0</v>
      </c>
      <c r="Y94" s="42" t="n">
        <f aca="false">SUM(P94:X94)</f>
        <v>2296508.67592098</v>
      </c>
      <c r="Z94" s="12" t="n">
        <f aca="false">Y94*(P_GG+P_SUP+P_ET)</f>
        <v>346252.673977052</v>
      </c>
      <c r="AA94" s="42" t="n">
        <f aca="false">Y94+Z94</f>
        <v>2642761.34989804</v>
      </c>
      <c r="AB94" s="12" t="n">
        <f aca="false">IF(D94=0,0,AA94/D94)</f>
        <v>43789.1262907283</v>
      </c>
      <c r="AC94" s="12" t="n">
        <f aca="false">J94*(1+P_RECALCE)*CU_PLANTON_NC+J94*CU_PLANTA_NC+(E94+F94)*CU_HA_NC+S94+K94*CU_ZANJA_NC+L94*CU_TERRAZA_NC+M94*CU_CERCO_NC+N94*CU_CARCAVA_NC</f>
        <v>1779473.7859237</v>
      </c>
      <c r="AD94" s="12" t="n">
        <f aca="false">J94*(1+P_RECALCE)*CU_PLANTON_C+J94*CU_PLANTA_C+(E94+F94)*CU_HA_C+K94*CU_ZANJA_C+L94*CU_TERRAZA_C+M94*CU_CERCO_C+N94*CU_CARCAVA_C</f>
        <v>144364.423109647</v>
      </c>
      <c r="AE94" s="12" t="n">
        <f aca="false">Y94-AC94-AD94</f>
        <v>372670.466887639</v>
      </c>
      <c r="AF94" s="12" t="n">
        <f aca="false">AC94*P_FC_MONC+AD94*P_FC_MOC+(AE94+Z94)*P_FC_BIEN</f>
        <v>1470683.78338245</v>
      </c>
      <c r="AG94" s="12" t="n">
        <f aca="false">(SUM(P94:T94)+W94)*(1+P_GG+P_SUP+P_ET)</f>
        <v>533898.833032724</v>
      </c>
      <c r="AH94" s="12" t="n">
        <f aca="false">(U94+V94+X94)*(1+P_GG+P_SUP+P_ET)</f>
        <v>2108862.51686531</v>
      </c>
    </row>
    <row r="95" customFormat="false" ht="15" hidden="false" customHeight="false" outlineLevel="0" collapsed="false">
      <c r="A95" s="7" t="str">
        <f aca="false">BLOQUES!A95</f>
        <v>M3B7</v>
      </c>
      <c r="B95" s="7" t="str">
        <f aca="false">BLOQUES!AI95</f>
        <v>T1</v>
      </c>
      <c r="C95" s="7" t="str">
        <f aca="false">BLOQUES!AE95</f>
        <v>No</v>
      </c>
      <c r="D95" s="11" t="n">
        <f aca="false">BLOQUES!E95</f>
        <v>122.946</v>
      </c>
      <c r="E95" s="11" t="n">
        <f aca="false">BLOQUES!U95+BLOQUES!V95</f>
        <v>75.824</v>
      </c>
      <c r="F95" s="11" t="n">
        <f aca="false">BLOQUES!W95+BLOQUES!X95</f>
        <v>42.118</v>
      </c>
      <c r="G95" s="11" t="n">
        <f aca="false">BLOQUES!Y95+BLOQUES!Z95</f>
        <v>5.004</v>
      </c>
      <c r="H95" s="8" t="n">
        <f aca="false">E95*INDEX(PAQ_R1,MATCH(B95,PAQ_T,0))</f>
        <v>49285.6</v>
      </c>
      <c r="I95" s="8" t="n">
        <f aca="false">F95*INDEX(PAQ_R2,MATCH(B95,PAQ_T,0))</f>
        <v>13688.35</v>
      </c>
      <c r="J95" s="8" t="n">
        <f aca="false">H95+I95</f>
        <v>62973.95</v>
      </c>
      <c r="K95" s="11" t="n">
        <f aca="false">(BLOQUES!U95+BLOQUES!W95)*INDEX(PAQ_MZ,MATCH(B95,PAQ_T,0))/1000</f>
        <v>306.213550291598</v>
      </c>
      <c r="L95" s="11" t="n">
        <f aca="false">(BLOQUES!U95+BLOQUES!W95)*INDEX(PAQ_MT,MATCH(B95,PAQ_T,0))/1000</f>
        <v>0</v>
      </c>
      <c r="M95" s="8" t="n">
        <f aca="false">BLOQUES!F95*INDEX(PAQ_CERCO,MATCH(B95,PAQ_T,0))</f>
        <v>8708.4</v>
      </c>
      <c r="N95" s="11" t="n">
        <f aca="false">IF(ISNUMBER(BLOQUES!AD95),BLOQUES!AD95/1000,0)</f>
        <v>0</v>
      </c>
      <c r="O95" s="22" t="n">
        <f aca="false">P_JORNAL/(P_CARGA*(P_HORAS*P_EFIC/((BLOQUES!AB95/1000*P_SINUOS)/P_VIDA+(BLOQUES!AB95/1000*P_SINUOS)/P_VVUELTA+P_TCD/60)))</f>
        <v>0.117198464912281</v>
      </c>
      <c r="P95" s="8" t="n">
        <f aca="false">J95*(1+P_RECALCE)*CU_PLANTON</f>
        <v>92365.4670357752</v>
      </c>
      <c r="Q95" s="8" t="n">
        <f aca="false">J95*CU_PLANTA</f>
        <v>432056.842106731</v>
      </c>
      <c r="R95" s="8" t="n">
        <f aca="false">(E95+F95)*CU_HA</f>
        <v>132125.194352095</v>
      </c>
      <c r="S95" s="8" t="n">
        <f aca="false">J95*(1+P_RECALCE)*(P_PESO_PLANTON+P_PESO_INS)*O95</f>
        <v>13557.887145003</v>
      </c>
      <c r="T95" s="8" t="n">
        <f aca="false">J95*(1+P_RECALCE)*P_PESO_INS*P_FT_KG</f>
        <v>2524.59755098344</v>
      </c>
      <c r="U95" s="8" t="n">
        <f aca="false">K95*CU_ZANJA</f>
        <v>2941364.81733852</v>
      </c>
      <c r="V95" s="8" t="n">
        <f aca="false">L95*CU_TERRAZA</f>
        <v>0</v>
      </c>
      <c r="W95" s="8" t="n">
        <f aca="false">M95*CU_CERCO</f>
        <v>191321.829027085</v>
      </c>
      <c r="X95" s="8" t="n">
        <f aca="false">N95*CU_CARCAVA</f>
        <v>0</v>
      </c>
      <c r="Y95" s="40" t="n">
        <f aca="false">SUM(P95:X95)</f>
        <v>3805316.63455619</v>
      </c>
      <c r="Z95" s="8" t="n">
        <f aca="false">Y95*(P_GG+P_SUP+P_ET)</f>
        <v>573740.945923504</v>
      </c>
      <c r="AA95" s="40" t="n">
        <f aca="false">Y95+Z95</f>
        <v>4379057.58047969</v>
      </c>
      <c r="AB95" s="8" t="n">
        <f aca="false">IF(D95=0,0,AA95/D95)</f>
        <v>35617.7312029647</v>
      </c>
      <c r="AC95" s="8" t="n">
        <f aca="false">J95*(1+P_RECALCE)*CU_PLANTON_NC+J95*CU_PLANTA_NC+(E95+F95)*CU_HA_NC+S95+K95*CU_ZANJA_NC+L95*CU_TERRAZA_NC+M95*CU_CERCO_NC+N95*CU_CARCAVA_NC</f>
        <v>2924362.51004034</v>
      </c>
      <c r="AD95" s="8" t="n">
        <f aca="false">J95*(1+P_RECALCE)*CU_PLANTON_C+J95*CU_PLANTA_C+(E95+F95)*CU_HA_C+K95*CU_ZANJA_C+L95*CU_TERRAZA_C+M95*CU_CERCO_C+N95*CU_CARCAVA_C</f>
        <v>238075.173805877</v>
      </c>
      <c r="AE95" s="8" t="n">
        <f aca="false">Y95-AC95-AD95</f>
        <v>642878.950709973</v>
      </c>
      <c r="AF95" s="8" t="n">
        <f aca="false">AC95*P_FC_MONC+AD95*P_FC_MOC+(AE95+Z95)*P_FC_BIEN</f>
        <v>2447345.45222992</v>
      </c>
      <c r="AG95" s="8" t="n">
        <f aca="false">(SUM(P95:T95)+W95)*(1+P_GG+P_SUP+P_ET)</f>
        <v>994212.865231777</v>
      </c>
      <c r="AH95" s="8" t="n">
        <f aca="false">(U95+V95+X95)*(1+P_GG+P_SUP+P_ET)</f>
        <v>3384844.71524792</v>
      </c>
    </row>
    <row r="96" customFormat="false" ht="15" hidden="false" customHeight="false" outlineLevel="0" collapsed="false">
      <c r="A96" s="9" t="str">
        <f aca="false">BLOQUES!A96</f>
        <v>M3B8</v>
      </c>
      <c r="B96" s="9" t="str">
        <f aca="false">BLOQUES!AI96</f>
        <v>T1</v>
      </c>
      <c r="C96" s="9" t="str">
        <f aca="false">BLOQUES!AE96</f>
        <v>No</v>
      </c>
      <c r="D96" s="10" t="n">
        <f aca="false">BLOQUES!E96</f>
        <v>565.584</v>
      </c>
      <c r="E96" s="10" t="n">
        <f aca="false">BLOQUES!U96+BLOQUES!V96</f>
        <v>506.053</v>
      </c>
      <c r="F96" s="10" t="n">
        <f aca="false">BLOQUES!W96+BLOQUES!X96</f>
        <v>56.132</v>
      </c>
      <c r="G96" s="10" t="n">
        <f aca="false">BLOQUES!Y96+BLOQUES!Z96</f>
        <v>3.398</v>
      </c>
      <c r="H96" s="12" t="n">
        <f aca="false">E96*INDEX(PAQ_R1,MATCH(B96,PAQ_T,0))</f>
        <v>328934.45</v>
      </c>
      <c r="I96" s="12" t="n">
        <f aca="false">F96*INDEX(PAQ_R2,MATCH(B96,PAQ_T,0))</f>
        <v>18242.9</v>
      </c>
      <c r="J96" s="12" t="n">
        <f aca="false">H96+I96</f>
        <v>347177.35</v>
      </c>
      <c r="K96" s="10" t="n">
        <f aca="false">(BLOQUES!U96+BLOQUES!W96)*INDEX(PAQ_MZ,MATCH(B96,PAQ_T,0))/1000</f>
        <v>1040.44207646339</v>
      </c>
      <c r="L96" s="10" t="n">
        <f aca="false">(BLOQUES!U96+BLOQUES!W96)*INDEX(PAQ_MT,MATCH(B96,PAQ_T,0))/1000</f>
        <v>0</v>
      </c>
      <c r="M96" s="12" t="n">
        <f aca="false">BLOQUES!F96*INDEX(PAQ_CERCO,MATCH(B96,PAQ_T,0))</f>
        <v>17504.4</v>
      </c>
      <c r="N96" s="10" t="n">
        <f aca="false">IF(ISNUMBER(BLOQUES!AD96),BLOQUES!AD96/1000,0)</f>
        <v>0</v>
      </c>
      <c r="O96" s="31" t="n">
        <f aca="false">P_JORNAL/(P_CARGA*(P_HORAS*P_EFIC/((BLOQUES!AB96/1000*P_SINUOS)/P_VIDA+(BLOQUES!AB96/1000*P_SINUOS)/P_VVUELTA+P_TCD/60)))</f>
        <v>0.289640899122807</v>
      </c>
      <c r="P96" s="12" t="n">
        <f aca="false">J96*(1+P_RECALCE)*CU_PLANTON</f>
        <v>509213.699902782</v>
      </c>
      <c r="Q96" s="12" t="n">
        <f aca="false">J96*CU_PLANTA</f>
        <v>2381942.84290541</v>
      </c>
      <c r="R96" s="12" t="n">
        <f aca="false">(E96+F96)*CU_HA</f>
        <v>629790.934415495</v>
      </c>
      <c r="S96" s="12" t="n">
        <f aca="false">J96*(1+P_RECALCE)*(P_PESO_PLANTON+P_PESO_INS)*O96</f>
        <v>184722.767769268</v>
      </c>
      <c r="T96" s="12" t="n">
        <f aca="false">J96*(1+P_RECALCE)*P_PESO_INS*P_FT_KG</f>
        <v>13918.1850204238</v>
      </c>
      <c r="U96" s="12" t="n">
        <f aca="false">K96*CU_ZANJA</f>
        <v>9994070.20124941</v>
      </c>
      <c r="V96" s="12" t="n">
        <f aca="false">L96*CU_TERRAZA</f>
        <v>0</v>
      </c>
      <c r="W96" s="12" t="n">
        <f aca="false">M96*CU_CERCO</f>
        <v>384568.212762587</v>
      </c>
      <c r="X96" s="12" t="n">
        <f aca="false">N96*CU_CARCAVA</f>
        <v>0</v>
      </c>
      <c r="Y96" s="42" t="n">
        <f aca="false">SUM(P96:X96)</f>
        <v>14098226.8440254</v>
      </c>
      <c r="Z96" s="12" t="n">
        <f aca="false">Y96*(P_GG+P_SUP+P_ET)</f>
        <v>2125639.14705054</v>
      </c>
      <c r="AA96" s="42" t="n">
        <f aca="false">Y96+Z96</f>
        <v>16223865.9910759</v>
      </c>
      <c r="AB96" s="12" t="n">
        <f aca="false">IF(D96=0,0,AA96/D96)</f>
        <v>28685.1572729708</v>
      </c>
      <c r="AC96" s="12" t="n">
        <f aca="false">J96*(1+P_RECALCE)*CU_PLANTON_NC+J96*CU_PLANTA_NC+(E96+F96)*CU_HA_NC+S96+K96*CU_ZANJA_NC+L96*CU_TERRAZA_NC+M96*CU_CERCO_NC+N96*CU_CARCAVA_NC</f>
        <v>10844937.3723095</v>
      </c>
      <c r="AD96" s="12" t="n">
        <f aca="false">J96*(1+P_RECALCE)*CU_PLANTON_C+J96*CU_PLANTA_C+(E96+F96)*CU_HA_C+K96*CU_ZANJA_C+L96*CU_TERRAZA_C+M96*CU_CERCO_C+N96*CU_CARCAVA_C</f>
        <v>877550.699628796</v>
      </c>
      <c r="AE96" s="12" t="n">
        <f aca="false">Y96-AC96-AD96</f>
        <v>2375738.77208706</v>
      </c>
      <c r="AF96" s="12" t="n">
        <f aca="false">AC96*P_FC_MONC+AD96*P_FC_MOC+(AE96+Z96)*P_FC_BIEN</f>
        <v>9062865.79919335</v>
      </c>
      <c r="AG96" s="12" t="n">
        <f aca="false">(SUM(P96:T96)+W96)*(1+P_GG+P_SUP+P_ET)</f>
        <v>4722954.7456884</v>
      </c>
      <c r="AH96" s="12" t="n">
        <f aca="false">(U96+V96+X96)*(1+P_GG+P_SUP+P_ET)</f>
        <v>11500911.2453875</v>
      </c>
    </row>
    <row r="97" customFormat="false" ht="15" hidden="false" customHeight="false" outlineLevel="0" collapsed="false">
      <c r="A97" s="7" t="str">
        <f aca="false">BLOQUES!A97</f>
        <v>77</v>
      </c>
      <c r="B97" s="7" t="str">
        <f aca="false">BLOQUES!AI97</f>
        <v>T1</v>
      </c>
      <c r="C97" s="7" t="str">
        <f aca="false">BLOQUES!AE97</f>
        <v>No</v>
      </c>
      <c r="D97" s="11" t="n">
        <f aca="false">BLOQUES!E97</f>
        <v>17.821</v>
      </c>
      <c r="E97" s="11" t="n">
        <f aca="false">BLOQUES!U97+BLOQUES!V97</f>
        <v>17.149</v>
      </c>
      <c r="F97" s="11" t="n">
        <f aca="false">BLOQUES!W97+BLOQUES!X97</f>
        <v>0.633</v>
      </c>
      <c r="G97" s="11" t="n">
        <f aca="false">BLOQUES!Y97+BLOQUES!Z97</f>
        <v>0.04</v>
      </c>
      <c r="H97" s="8" t="n">
        <f aca="false">E97*INDEX(PAQ_R1,MATCH(B97,PAQ_T,0))</f>
        <v>11146.85</v>
      </c>
      <c r="I97" s="8" t="n">
        <f aca="false">F97*INDEX(PAQ_R2,MATCH(B97,PAQ_T,0))</f>
        <v>205.725</v>
      </c>
      <c r="J97" s="8" t="n">
        <f aca="false">H97+I97</f>
        <v>11352.575</v>
      </c>
      <c r="K97" s="11" t="n">
        <f aca="false">(BLOQUES!U97+BLOQUES!W97)*INDEX(PAQ_MZ,MATCH(B97,PAQ_T,0))/1000</f>
        <v>28.0869753041976</v>
      </c>
      <c r="L97" s="11" t="n">
        <f aca="false">(BLOQUES!U97+BLOQUES!W97)*INDEX(PAQ_MT,MATCH(B97,PAQ_T,0))/1000</f>
        <v>0</v>
      </c>
      <c r="M97" s="8" t="n">
        <f aca="false">BLOQUES!F97*INDEX(PAQ_CERCO,MATCH(B97,PAQ_T,0))</f>
        <v>1807.3</v>
      </c>
      <c r="N97" s="11" t="n">
        <f aca="false">IF(ISNUMBER(BLOQUES!AD97),BLOQUES!AD97/1000,0)</f>
        <v>0</v>
      </c>
      <c r="O97" s="22" t="n">
        <f aca="false">P_JORNAL/(P_CARGA*(P_HORAS*P_EFIC/((BLOQUES!AB97/1000*P_SINUOS)/P_VIDA+(BLOQUES!AB97/1000*P_SINUOS)/P_VVUELTA+P_TCD/60)))</f>
        <v>0.0576507675438597</v>
      </c>
      <c r="P97" s="8" t="n">
        <f aca="false">J97*(1+P_RECALCE)*CU_PLANTON</f>
        <v>16651.1056069004</v>
      </c>
      <c r="Q97" s="8" t="n">
        <f aca="false">J97*CU_PLANTA</f>
        <v>77888.6778466305</v>
      </c>
      <c r="R97" s="8" t="n">
        <f aca="false">(E97+F97)*CU_HA</f>
        <v>19920.3863421762</v>
      </c>
      <c r="S97" s="8" t="n">
        <f aca="false">J97*(1+P_RECALCE)*(P_PESO_PLANTON+P_PESO_INS)*O97</f>
        <v>1202.28832473554</v>
      </c>
      <c r="T97" s="8" t="n">
        <f aca="false">J97*(1+P_RECALCE)*P_PESO_INS*P_FT_KG</f>
        <v>455.119665232303</v>
      </c>
      <c r="U97" s="8" t="n">
        <f aca="false">K97*CU_ZANJA</f>
        <v>269792.244355456</v>
      </c>
      <c r="V97" s="8" t="n">
        <f aca="false">L97*CU_TERRAZA</f>
        <v>0</v>
      </c>
      <c r="W97" s="8" t="n">
        <f aca="false">M97*CU_CERCO</f>
        <v>39706.0242525207</v>
      </c>
      <c r="X97" s="8" t="n">
        <f aca="false">N97*CU_CARCAVA</f>
        <v>0</v>
      </c>
      <c r="Y97" s="40" t="n">
        <f aca="false">SUM(P97:X97)</f>
        <v>425615.846393652</v>
      </c>
      <c r="Z97" s="8" t="n">
        <f aca="false">Y97*(P_GG+P_SUP+P_ET)</f>
        <v>64171.5951025996</v>
      </c>
      <c r="AA97" s="40" t="n">
        <f aca="false">Y97+Z97</f>
        <v>489787.441496252</v>
      </c>
      <c r="AB97" s="8" t="n">
        <f aca="false">IF(D97=0,0,AA97/D97)</f>
        <v>27483.7237807223</v>
      </c>
      <c r="AC97" s="8" t="n">
        <f aca="false">J97*(1+P_RECALCE)*CU_PLANTON_NC+J97*CU_PLANTA_NC+(E97+F97)*CU_HA_NC+S97+K97*CU_ZANJA_NC+L97*CU_TERRAZA_NC+M97*CU_CERCO_NC+N97*CU_CARCAVA_NC</f>
        <v>300587.513154862</v>
      </c>
      <c r="AD97" s="8" t="n">
        <f aca="false">J97*(1+P_RECALCE)*CU_PLANTON_C+J97*CU_PLANTA_C+(E97+F97)*CU_HA_C+K97*CU_ZANJA_C+L97*CU_TERRAZA_C+M97*CU_CERCO_C+N97*CU_CARCAVA_C</f>
        <v>24742.5160099579</v>
      </c>
      <c r="AE97" s="8" t="n">
        <f aca="false">Y97-AC97-AD97</f>
        <v>100285.817228832</v>
      </c>
      <c r="AF97" s="8" t="n">
        <f aca="false">AC97*P_FC_MONC+AD97*P_FC_MOC+(AE97+Z97)*P_FC_BIEN</f>
        <v>285164.031589376</v>
      </c>
      <c r="AG97" s="8" t="n">
        <f aca="false">(SUM(P97:T97)+W97)*(1+P_GG+P_SUP+P_ET)</f>
        <v>179317.673469397</v>
      </c>
      <c r="AH97" s="8" t="n">
        <f aca="false">(U97+V97+X97)*(1+P_GG+P_SUP+P_ET)</f>
        <v>310469.768026855</v>
      </c>
    </row>
    <row r="98" customFormat="false" ht="15" hidden="false" customHeight="false" outlineLevel="0" collapsed="false">
      <c r="A98" s="9" t="str">
        <f aca="false">BLOQUES!A98</f>
        <v>83</v>
      </c>
      <c r="B98" s="9" t="str">
        <f aca="false">BLOQUES!AI98</f>
        <v>T1</v>
      </c>
      <c r="C98" s="9" t="str">
        <f aca="false">BLOQUES!AE98</f>
        <v>No</v>
      </c>
      <c r="D98" s="10" t="n">
        <f aca="false">BLOQUES!E98</f>
        <v>24.344</v>
      </c>
      <c r="E98" s="10" t="n">
        <f aca="false">BLOQUES!U98+BLOQUES!V98</f>
        <v>20.849</v>
      </c>
      <c r="F98" s="10" t="n">
        <f aca="false">BLOQUES!W98+BLOQUES!X98</f>
        <v>3.346</v>
      </c>
      <c r="G98" s="10" t="n">
        <f aca="false">BLOQUES!Y98+BLOQUES!Z98</f>
        <v>0.148</v>
      </c>
      <c r="H98" s="12" t="n">
        <f aca="false">E98*INDEX(PAQ_R1,MATCH(B98,PAQ_T,0))</f>
        <v>13551.85</v>
      </c>
      <c r="I98" s="12" t="n">
        <f aca="false">F98*INDEX(PAQ_R2,MATCH(B98,PAQ_T,0))</f>
        <v>1087.45</v>
      </c>
      <c r="J98" s="12" t="n">
        <f aca="false">H98+I98</f>
        <v>14639.3</v>
      </c>
      <c r="K98" s="10" t="n">
        <f aca="false">(BLOQUES!U98+BLOQUES!W98)*INDEX(PAQ_MZ,MATCH(B98,PAQ_T,0))/1000</f>
        <v>25.7865937072503</v>
      </c>
      <c r="L98" s="10" t="n">
        <f aca="false">(BLOQUES!U98+BLOQUES!W98)*INDEX(PAQ_MT,MATCH(B98,PAQ_T,0))/1000</f>
        <v>0</v>
      </c>
      <c r="M98" s="12" t="n">
        <f aca="false">BLOQUES!F98*INDEX(PAQ_CERCO,MATCH(B98,PAQ_T,0))</f>
        <v>2932.6</v>
      </c>
      <c r="N98" s="10" t="n">
        <f aca="false">IF(ISNUMBER(BLOQUES!AD98),BLOQUES!AD98/1000,0)</f>
        <v>0</v>
      </c>
      <c r="O98" s="31" t="n">
        <f aca="false">P_JORNAL/(P_CARGA*(P_HORAS*P_EFIC/((BLOQUES!AB98/1000*P_SINUOS)/P_VIDA+(BLOQUES!AB98/1000*P_SINUOS)/P_VVUELTA+P_TCD/60)))</f>
        <v>0.0644928728070175</v>
      </c>
      <c r="P98" s="12" t="n">
        <f aca="false">J98*(1+P_RECALCE)*CU_PLANTON</f>
        <v>21471.8273441133</v>
      </c>
      <c r="Q98" s="12" t="n">
        <f aca="false">J98*CU_PLANTA</f>
        <v>100438.510346787</v>
      </c>
      <c r="R98" s="12" t="n">
        <f aca="false">(E98+F98)*CU_HA</f>
        <v>27104.585960463</v>
      </c>
      <c r="S98" s="12" t="n">
        <f aca="false">J98*(1+P_RECALCE)*(P_PESO_PLANTON+P_PESO_INS)*O98</f>
        <v>1734.36775216749</v>
      </c>
      <c r="T98" s="12" t="n">
        <f aca="false">J98*(1+P_RECALCE)*P_PESO_INS*P_FT_KG</f>
        <v>586.883003656462</v>
      </c>
      <c r="U98" s="12" t="n">
        <f aca="false">K98*CU_ZANJA</f>
        <v>247695.699348646</v>
      </c>
      <c r="V98" s="12" t="n">
        <f aca="false">L98*CU_TERRAZA</f>
        <v>0</v>
      </c>
      <c r="W98" s="12" t="n">
        <f aca="false">M98*CU_CERCO</f>
        <v>64428.6431267317</v>
      </c>
      <c r="X98" s="12" t="n">
        <f aca="false">N98*CU_CARCAVA</f>
        <v>0</v>
      </c>
      <c r="Y98" s="42" t="n">
        <f aca="false">SUM(P98:X98)</f>
        <v>463460.516882565</v>
      </c>
      <c r="Z98" s="12" t="n">
        <f aca="false">Y98*(P_GG+P_SUP+P_ET)</f>
        <v>69877.5689096924</v>
      </c>
      <c r="AA98" s="42" t="n">
        <f aca="false">Y98+Z98</f>
        <v>533338.085792257</v>
      </c>
      <c r="AB98" s="12" t="n">
        <f aca="false">IF(D98=0,0,AA98/D98)</f>
        <v>21908.399843586</v>
      </c>
      <c r="AC98" s="12" t="n">
        <f aca="false">J98*(1+P_RECALCE)*CU_PLANTON_NC+J98*CU_PLANTA_NC+(E98+F98)*CU_HA_NC+S98+K98*CU_ZANJA_NC+L98*CU_TERRAZA_NC+M98*CU_CERCO_NC+N98*CU_CARCAVA_NC</f>
        <v>303156.501755349</v>
      </c>
      <c r="AD98" s="12" t="n">
        <f aca="false">J98*(1+P_RECALCE)*CU_PLANTON_C+J98*CU_PLANTA_C+(E98+F98)*CU_HA_C+K98*CU_ZANJA_C+L98*CU_TERRAZA_C+M98*CU_CERCO_C+N98*CU_CARCAVA_C</f>
        <v>25325.2433634419</v>
      </c>
      <c r="AE98" s="12" t="n">
        <f aca="false">Y98-AC98-AD98</f>
        <v>134978.771763774</v>
      </c>
      <c r="AF98" s="12" t="n">
        <f aca="false">AC98*P_FC_MONC+AD98*P_FC_MOC+(AE98+Z98)*P_FC_BIEN</f>
        <v>320939.74136171</v>
      </c>
      <c r="AG98" s="12" t="n">
        <f aca="false">(SUM(P98:T98)+W98)*(1+P_GG+P_SUP+P_ET)</f>
        <v>248296.436423332</v>
      </c>
      <c r="AH98" s="12" t="n">
        <f aca="false">(U98+V98+X98)*(1+P_GG+P_SUP+P_ET)</f>
        <v>285041.649368926</v>
      </c>
    </row>
    <row r="99" customFormat="false" ht="15" hidden="false" customHeight="false" outlineLevel="0" collapsed="false">
      <c r="A99" s="7" t="str">
        <f aca="false">BLOQUES!A99</f>
        <v>84</v>
      </c>
      <c r="B99" s="7" t="str">
        <f aca="false">BLOQUES!AI99</f>
        <v>T1</v>
      </c>
      <c r="C99" s="7" t="str">
        <f aca="false">BLOQUES!AE99</f>
        <v>No</v>
      </c>
      <c r="D99" s="11" t="n">
        <f aca="false">BLOQUES!E99</f>
        <v>5.097</v>
      </c>
      <c r="E99" s="11" t="n">
        <f aca="false">BLOQUES!U99+BLOQUES!V99</f>
        <v>5.079</v>
      </c>
      <c r="F99" s="11" t="n">
        <f aca="false">BLOQUES!W99+BLOQUES!X99</f>
        <v>0.018</v>
      </c>
      <c r="G99" s="11" t="n">
        <f aca="false">BLOQUES!Y99+BLOQUES!Z99</f>
        <v>0</v>
      </c>
      <c r="H99" s="8" t="n">
        <f aca="false">E99*INDEX(PAQ_R1,MATCH(B99,PAQ_T,0))</f>
        <v>3301.35</v>
      </c>
      <c r="I99" s="8" t="n">
        <f aca="false">F99*INDEX(PAQ_R2,MATCH(B99,PAQ_T,0))</f>
        <v>5.85</v>
      </c>
      <c r="J99" s="8" t="n">
        <f aca="false">H99+I99</f>
        <v>3307.2</v>
      </c>
      <c r="K99" s="11" t="n">
        <f aca="false">(BLOQUES!U99+BLOQUES!W99)*INDEX(PAQ_MZ,MATCH(B99,PAQ_T,0))/1000</f>
        <v>5.26315789473684</v>
      </c>
      <c r="L99" s="11" t="n">
        <f aca="false">(BLOQUES!U99+BLOQUES!W99)*INDEX(PAQ_MT,MATCH(B99,PAQ_T,0))/1000</f>
        <v>0</v>
      </c>
      <c r="M99" s="8" t="n">
        <f aca="false">BLOQUES!F99*INDEX(PAQ_CERCO,MATCH(B99,PAQ_T,0))</f>
        <v>1456.3</v>
      </c>
      <c r="N99" s="11" t="n">
        <f aca="false">IF(ISNUMBER(BLOQUES!AD99),BLOQUES!AD99/1000,0)</f>
        <v>0</v>
      </c>
      <c r="O99" s="22" t="n">
        <f aca="false">P_JORNAL/(P_CARGA*(P_HORAS*P_EFIC/((BLOQUES!AB99/1000*P_SINUOS)/P_VIDA+(BLOQUES!AB99/1000*P_SINUOS)/P_VVUELTA+P_TCD/60)))</f>
        <v>0.0567955043859649</v>
      </c>
      <c r="P99" s="8" t="n">
        <f aca="false">J99*(1+P_RECALCE)*CU_PLANTON</f>
        <v>4850.75293166009</v>
      </c>
      <c r="Q99" s="8" t="n">
        <f aca="false">J99*CU_PLANTA</f>
        <v>22690.3090597839</v>
      </c>
      <c r="R99" s="8" t="n">
        <f aca="false">(E99+F99)*CU_HA</f>
        <v>5709.94315521719</v>
      </c>
      <c r="S99" s="8" t="n">
        <f aca="false">J99*(1+P_RECALCE)*(P_PESO_PLANTON+P_PESO_INS)*O99</f>
        <v>345.051227197368</v>
      </c>
      <c r="T99" s="8" t="n">
        <f aca="false">J99*(1+P_RECALCE)*P_PESO_INS*P_FT_KG</f>
        <v>132.584172036412</v>
      </c>
      <c r="U99" s="8" t="n">
        <f aca="false">K99*CU_ZANJA</f>
        <v>50555.7884193383</v>
      </c>
      <c r="V99" s="8" t="n">
        <f aca="false">L99*CU_TERRAZA</f>
        <v>0</v>
      </c>
      <c r="W99" s="8" t="n">
        <f aca="false">M99*CU_CERCO</f>
        <v>31994.6235372909</v>
      </c>
      <c r="X99" s="8" t="n">
        <f aca="false">N99*CU_CARCAVA</f>
        <v>0</v>
      </c>
      <c r="Y99" s="40" t="n">
        <f aca="false">SUM(P99:X99)</f>
        <v>116279.052502524</v>
      </c>
      <c r="Z99" s="8" t="n">
        <f aca="false">Y99*(P_GG+P_SUP+P_ET)</f>
        <v>17531.8008935327</v>
      </c>
      <c r="AA99" s="40" t="n">
        <f aca="false">Y99+Z99</f>
        <v>133810.853396057</v>
      </c>
      <c r="AB99" s="8" t="n">
        <f aca="false">IF(D99=0,0,AA99/D99)</f>
        <v>26252.8650963423</v>
      </c>
      <c r="AC99" s="8" t="n">
        <f aca="false">J99*(1+P_RECALCE)*CU_PLANTON_NC+J99*CU_PLANTA_NC+(E99+F99)*CU_HA_NC+S99+K99*CU_ZANJA_NC+L99*CU_TERRAZA_NC+M99*CU_CERCO_NC+N99*CU_CARCAVA_NC</f>
        <v>63531.3528246473</v>
      </c>
      <c r="AD99" s="8" t="n">
        <f aca="false">J99*(1+P_RECALCE)*CU_PLANTON_C+J99*CU_PLANTA_C+(E99+F99)*CU_HA_C+K99*CU_ZANJA_C+L99*CU_TERRAZA_C+M99*CU_CERCO_C+N99*CU_CARCAVA_C</f>
        <v>5297.33022360193</v>
      </c>
      <c r="AE99" s="8" t="n">
        <f aca="false">Y99-AC99-AD99</f>
        <v>47450.3694542749</v>
      </c>
      <c r="AF99" s="8" t="n">
        <f aca="false">AC99*P_FC_MONC+AD99*P_FC_MOC+(AE99+Z99)*P_FC_BIEN</f>
        <v>85937.69495097</v>
      </c>
      <c r="AG99" s="8" t="n">
        <f aca="false">(SUM(P99:T99)+W99)*(1+P_GG+P_SUP+P_ET)</f>
        <v>75632.5913023294</v>
      </c>
      <c r="AH99" s="8" t="n">
        <f aca="false">(U99+V99+X99)*(1+P_GG+P_SUP+P_ET)</f>
        <v>58178.2620937274</v>
      </c>
    </row>
    <row r="100" customFormat="false" ht="15" hidden="false" customHeight="false" outlineLevel="0" collapsed="false">
      <c r="A100" s="9" t="str">
        <f aca="false">BLOQUES!A100</f>
        <v>85</v>
      </c>
      <c r="B100" s="9" t="str">
        <f aca="false">BLOQUES!AI100</f>
        <v>T5</v>
      </c>
      <c r="C100" s="9" t="str">
        <f aca="false">BLOQUES!AE100</f>
        <v>No</v>
      </c>
      <c r="D100" s="10" t="n">
        <f aca="false">BLOQUES!E100</f>
        <v>11.906</v>
      </c>
      <c r="E100" s="10" t="n">
        <f aca="false">BLOQUES!U100+BLOQUES!V100</f>
        <v>11.868</v>
      </c>
      <c r="F100" s="10" t="n">
        <f aca="false">BLOQUES!W100+BLOQUES!X100</f>
        <v>0.038</v>
      </c>
      <c r="G100" s="10" t="n">
        <f aca="false">BLOQUES!Y100+BLOQUES!Z100</f>
        <v>0</v>
      </c>
      <c r="H100" s="12" t="n">
        <f aca="false">E100*INDEX(PAQ_R1,MATCH(B100,PAQ_T,0))</f>
        <v>7714.2</v>
      </c>
      <c r="I100" s="12" t="n">
        <f aca="false">F100*INDEX(PAQ_R2,MATCH(B100,PAQ_T,0))</f>
        <v>12.35</v>
      </c>
      <c r="J100" s="12" t="n">
        <f aca="false">H100+I100</f>
        <v>7726.55</v>
      </c>
      <c r="K100" s="10" t="n">
        <f aca="false">(BLOQUES!U100+BLOQUES!W100)*INDEX(PAQ_MZ,MATCH(B100,PAQ_T,0))/1000</f>
        <v>0</v>
      </c>
      <c r="L100" s="10" t="n">
        <f aca="false">(BLOQUES!U100+BLOQUES!W100)*INDEX(PAQ_MT,MATCH(B100,PAQ_T,0))/1000</f>
        <v>5.39162156648627</v>
      </c>
      <c r="M100" s="12" t="n">
        <f aca="false">BLOQUES!F100*INDEX(PAQ_CERCO,MATCH(B100,PAQ_T,0))</f>
        <v>2081.7</v>
      </c>
      <c r="N100" s="10" t="n">
        <f aca="false">IF(ISNUMBER(BLOQUES!AD100),BLOQUES!AD100/1000,0)</f>
        <v>0</v>
      </c>
      <c r="O100" s="31" t="n">
        <f aca="false">P_JORNAL/(P_CARGA*(P_HORAS*P_EFIC/((BLOQUES!AB100/1000*P_SINUOS)/P_VIDA+(BLOQUES!AB100/1000*P_SINUOS)/P_VVUELTA+P_TCD/60)))</f>
        <v>0.0637445175438597</v>
      </c>
      <c r="P100" s="12" t="n">
        <f aca="false">J100*(1+P_RECALCE)*CU_PLANTON</f>
        <v>11332.7240759912</v>
      </c>
      <c r="Q100" s="12" t="n">
        <f aca="false">J100*CU_PLANTA</f>
        <v>53010.9480726516</v>
      </c>
      <c r="R100" s="12" t="n">
        <f aca="false">(E100+F100)*CU_HA</f>
        <v>13337.7640192301</v>
      </c>
      <c r="S100" s="12" t="n">
        <f aca="false">J100*(1+P_RECALCE)*(P_PESO_PLANTON+P_PESO_INS)*O100</f>
        <v>904.768796126371</v>
      </c>
      <c r="T100" s="12" t="n">
        <f aca="false">J100*(1+P_RECALCE)*P_PESO_INS*P_FT_KG</f>
        <v>309.753941233654</v>
      </c>
      <c r="U100" s="12" t="n">
        <f aca="false">K100*CU_ZANJA</f>
        <v>0</v>
      </c>
      <c r="V100" s="12" t="n">
        <f aca="false">L100*CU_TERRAZA</f>
        <v>486241.192041187</v>
      </c>
      <c r="W100" s="12" t="n">
        <f aca="false">M100*CU_CERCO</f>
        <v>45734.5380880166</v>
      </c>
      <c r="X100" s="12" t="n">
        <f aca="false">N100*CU_CARCAVA</f>
        <v>0</v>
      </c>
      <c r="Y100" s="42" t="n">
        <f aca="false">SUM(P100:X100)</f>
        <v>610871.689034437</v>
      </c>
      <c r="Z100" s="12" t="n">
        <f aca="false">Y100*(P_GG+P_SUP+P_ET)</f>
        <v>92103.2687587067</v>
      </c>
      <c r="AA100" s="42" t="n">
        <f aca="false">Y100+Z100</f>
        <v>702974.957793143</v>
      </c>
      <c r="AB100" s="12" t="n">
        <f aca="false">IF(D100=0,0,AA100/D100)</f>
        <v>59043.75590401</v>
      </c>
      <c r="AC100" s="12" t="n">
        <f aca="false">J100*(1+P_RECALCE)*CU_PLANTON_NC+J100*CU_PLANTA_NC+(E100+F100)*CU_HA_NC+S100+K100*CU_ZANJA_NC+L100*CU_TERRAZA_NC+M100*CU_CERCO_NC+N100*CU_CARCAVA_NC</f>
        <v>338159.700181657</v>
      </c>
      <c r="AD100" s="12" t="n">
        <f aca="false">J100*(1+P_RECALCE)*CU_PLANTON_C+J100*CU_PLANTA_C+(E100+F100)*CU_HA_C+K100*CU_ZANJA_C+L100*CU_TERRAZA_C+M100*CU_CERCO_C+N100*CU_CARCAVA_C</f>
        <v>49808.7126625252</v>
      </c>
      <c r="AE100" s="12" t="n">
        <f aca="false">Y100-AC100-AD100</f>
        <v>222903.276190254</v>
      </c>
      <c r="AF100" s="12" t="n">
        <f aca="false">AC100*P_FC_MONC+AD100*P_FC_MOC+(AE100+Z100)*P_FC_BIEN</f>
        <v>448330.65618898</v>
      </c>
      <c r="AG100" s="12" t="n">
        <f aca="false">(SUM(P100:T100)+W100)*(1+P_GG+P_SUP+P_ET)</f>
        <v>143421.474486812</v>
      </c>
      <c r="AH100" s="12" t="n">
        <f aca="false">(U100+V100+X100)*(1+P_GG+P_SUP+P_ET)</f>
        <v>559553.483306331</v>
      </c>
    </row>
    <row r="101" customFormat="false" ht="15" hidden="false" customHeight="false" outlineLevel="0" collapsed="false">
      <c r="A101" s="7" t="str">
        <f aca="false">BLOQUES!A101</f>
        <v>86</v>
      </c>
      <c r="B101" s="7" t="str">
        <f aca="false">BLOQUES!AI101</f>
        <v>T1</v>
      </c>
      <c r="C101" s="7" t="str">
        <f aca="false">BLOQUES!AE101</f>
        <v>No</v>
      </c>
      <c r="D101" s="11" t="n">
        <f aca="false">BLOQUES!E101</f>
        <v>30.001</v>
      </c>
      <c r="E101" s="11" t="n">
        <f aca="false">BLOQUES!U101+BLOQUES!V101</f>
        <v>28.421</v>
      </c>
      <c r="F101" s="11" t="n">
        <f aca="false">BLOQUES!W101+BLOQUES!X101</f>
        <v>1.466</v>
      </c>
      <c r="G101" s="11" t="n">
        <f aca="false">BLOQUES!Y101+BLOQUES!Z101</f>
        <v>0.114</v>
      </c>
      <c r="H101" s="8" t="n">
        <f aca="false">E101*INDEX(PAQ_R1,MATCH(B101,PAQ_T,0))</f>
        <v>18473.65</v>
      </c>
      <c r="I101" s="8" t="n">
        <f aca="false">F101*INDEX(PAQ_R2,MATCH(B101,PAQ_T,0))</f>
        <v>476.45</v>
      </c>
      <c r="J101" s="8" t="n">
        <f aca="false">H101+I101</f>
        <v>18950.1</v>
      </c>
      <c r="K101" s="11" t="n">
        <f aca="false">(BLOQUES!U101+BLOQUES!W101)*INDEX(PAQ_MZ,MATCH(B101,PAQ_T,0))/1000</f>
        <v>51.0907912736698</v>
      </c>
      <c r="L101" s="11" t="n">
        <f aca="false">(BLOQUES!U101+BLOQUES!W101)*INDEX(PAQ_MT,MATCH(B101,PAQ_T,0))/1000</f>
        <v>0</v>
      </c>
      <c r="M101" s="8" t="n">
        <f aca="false">BLOQUES!F101*INDEX(PAQ_CERCO,MATCH(B101,PAQ_T,0))</f>
        <v>3044.7</v>
      </c>
      <c r="N101" s="11" t="n">
        <f aca="false">IF(ISNUMBER(BLOQUES!AD101),BLOQUES!AD101/1000,0)</f>
        <v>0</v>
      </c>
      <c r="O101" s="22" t="n">
        <f aca="false">P_JORNAL/(P_CARGA*(P_HORAS*P_EFIC/((BLOQUES!AB101/1000*P_SINUOS)/P_VIDA+(BLOQUES!AB101/1000*P_SINUOS)/P_VVUELTA+P_TCD/60)))</f>
        <v>0.0869435307017544</v>
      </c>
      <c r="P101" s="8" t="n">
        <f aca="false">J101*(1+P_RECALCE)*CU_PLANTON</f>
        <v>27794.5854893117</v>
      </c>
      <c r="Q101" s="8" t="n">
        <f aca="false">J101*CU_PLANTA</f>
        <v>130014.400614965</v>
      </c>
      <c r="R101" s="8" t="n">
        <f aca="false">(E101+F101)*CU_HA</f>
        <v>33481.0812399404</v>
      </c>
      <c r="S101" s="8" t="n">
        <f aca="false">J101*(1+P_RECALCE)*(P_PESO_PLANTON+P_PESO_INS)*O101</f>
        <v>3026.62026031497</v>
      </c>
      <c r="T101" s="8" t="n">
        <f aca="false">J101*(1+P_RECALCE)*P_PESO_INS*P_FT_KG</f>
        <v>759.701051798264</v>
      </c>
      <c r="U101" s="8" t="n">
        <f aca="false">K101*CU_ZANJA</f>
        <v>490757.694423563</v>
      </c>
      <c r="V101" s="8" t="n">
        <f aca="false">L101*CU_TERRAZA</f>
        <v>0</v>
      </c>
      <c r="W101" s="8" t="n">
        <f aca="false">M101*CU_CERCO</f>
        <v>66891.4579990316</v>
      </c>
      <c r="X101" s="8" t="n">
        <f aca="false">N101*CU_CARCAVA</f>
        <v>0</v>
      </c>
      <c r="Y101" s="40" t="n">
        <f aca="false">SUM(P101:X101)</f>
        <v>752725.541078925</v>
      </c>
      <c r="Z101" s="8" t="n">
        <f aca="false">Y101*(P_GG+P_SUP+P_ET)</f>
        <v>113491.071948543</v>
      </c>
      <c r="AA101" s="40" t="n">
        <f aca="false">Y101+Z101</f>
        <v>866216.613027468</v>
      </c>
      <c r="AB101" s="8" t="n">
        <f aca="false">IF(D101=0,0,AA101/D101)</f>
        <v>28872.9246700932</v>
      </c>
      <c r="AC101" s="8" t="n">
        <f aca="false">J101*(1+P_RECALCE)*CU_PLANTON_NC+J101*CU_PLANTA_NC+(E101+F101)*CU_HA_NC+S101+K101*CU_ZANJA_NC+L101*CU_TERRAZA_NC+M101*CU_CERCO_NC+N101*CU_CARCAVA_NC</f>
        <v>537470.271299552</v>
      </c>
      <c r="AD101" s="8" t="n">
        <f aca="false">J101*(1+P_RECALCE)*CU_PLANTON_C+J101*CU_PLANTA_C+(E101+F101)*CU_HA_C+K101*CU_ZANJA_C+L101*CU_TERRAZA_C+M101*CU_CERCO_C+N101*CU_CARCAVA_C</f>
        <v>44068.0821465678</v>
      </c>
      <c r="AE101" s="8" t="n">
        <f aca="false">Y101-AC101-AD101</f>
        <v>171187.187632804</v>
      </c>
      <c r="AF101" s="8" t="n">
        <f aca="false">AC101*P_FC_MONC+AD101*P_FC_MOC+(AE101+Z101)*P_FC_BIEN</f>
        <v>501804.061198675</v>
      </c>
      <c r="AG101" s="8" t="n">
        <f aca="false">(SUM(P101:T101)+W101)*(1+P_GG+P_SUP+P_ET)</f>
        <v>301465.658421325</v>
      </c>
      <c r="AH101" s="8" t="n">
        <f aca="false">(U101+V101+X101)*(1+P_GG+P_SUP+P_ET)</f>
        <v>564750.954606142</v>
      </c>
    </row>
    <row r="102" customFormat="false" ht="15" hidden="false" customHeight="false" outlineLevel="0" collapsed="false">
      <c r="A102" s="9" t="str">
        <f aca="false">BLOQUES!A102</f>
        <v>87</v>
      </c>
      <c r="B102" s="9" t="str">
        <f aca="false">BLOQUES!AI102</f>
        <v>T1</v>
      </c>
      <c r="C102" s="9" t="str">
        <f aca="false">BLOQUES!AE102</f>
        <v>No</v>
      </c>
      <c r="D102" s="10" t="n">
        <f aca="false">BLOQUES!E102</f>
        <v>62.219</v>
      </c>
      <c r="E102" s="10" t="n">
        <f aca="false">BLOQUES!U102+BLOQUES!V102</f>
        <v>61.238</v>
      </c>
      <c r="F102" s="10" t="n">
        <f aca="false">BLOQUES!W102+BLOQUES!X102</f>
        <v>0.807</v>
      </c>
      <c r="G102" s="10" t="n">
        <f aca="false">BLOQUES!Y102+BLOQUES!Z102</f>
        <v>0.174</v>
      </c>
      <c r="H102" s="12" t="n">
        <f aca="false">E102*INDEX(PAQ_R1,MATCH(B102,PAQ_T,0))</f>
        <v>39804.7</v>
      </c>
      <c r="I102" s="12" t="n">
        <f aca="false">F102*INDEX(PAQ_R2,MATCH(B102,PAQ_T,0))</f>
        <v>262.275</v>
      </c>
      <c r="J102" s="12" t="n">
        <f aca="false">H102+I102</f>
        <v>40066.975</v>
      </c>
      <c r="K102" s="10" t="n">
        <f aca="false">(BLOQUES!U102+BLOQUES!W102)*INDEX(PAQ_MZ,MATCH(B102,PAQ_T,0))/1000</f>
        <v>9.38152494780042</v>
      </c>
      <c r="L102" s="10" t="n">
        <f aca="false">(BLOQUES!U102+BLOQUES!W102)*INDEX(PAQ_MT,MATCH(B102,PAQ_T,0))/1000</f>
        <v>0</v>
      </c>
      <c r="M102" s="12" t="n">
        <f aca="false">BLOQUES!F102*INDEX(PAQ_CERCO,MATCH(B102,PAQ_T,0))</f>
        <v>4543</v>
      </c>
      <c r="N102" s="10" t="n">
        <f aca="false">IF(ISNUMBER(BLOQUES!AD102),BLOQUES!AD102/1000,0)</f>
        <v>0</v>
      </c>
      <c r="O102" s="31" t="n">
        <f aca="false">P_JORNAL/(P_CARGA*(P_HORAS*P_EFIC/((BLOQUES!AB102/1000*P_SINUOS)/P_VIDA+(BLOQUES!AB102/1000*P_SINUOS)/P_VVUELTA+P_TCD/60)))</f>
        <v>0.0817050438596491</v>
      </c>
      <c r="P102" s="12" t="n">
        <f aca="false">J102*(1+P_RECALCE)*CU_PLANTON</f>
        <v>58767.2340481378</v>
      </c>
      <c r="Q102" s="12" t="n">
        <f aca="false">J102*CU_PLANTA</f>
        <v>274894.788897144</v>
      </c>
      <c r="R102" s="12" t="n">
        <f aca="false">(E102+F102)*CU_HA</f>
        <v>69506.2631087798</v>
      </c>
      <c r="S102" s="12" t="n">
        <f aca="false">J102*(1+P_RECALCE)*(P_PESO_PLANTON+P_PESO_INS)*O102</f>
        <v>6013.73904559608</v>
      </c>
      <c r="T102" s="12" t="n">
        <f aca="false">J102*(1+P_RECALCE)*P_PESO_INS*P_FT_KG</f>
        <v>1606.2671463409</v>
      </c>
      <c r="U102" s="12" t="n">
        <f aca="false">K102*CU_ZANJA</f>
        <v>90115.1741592309</v>
      </c>
      <c r="V102" s="12" t="n">
        <f aca="false">L102*CU_TERRAZA</f>
        <v>0</v>
      </c>
      <c r="W102" s="12" t="n">
        <f aca="false">M102*CU_CERCO</f>
        <v>99808.8132458372</v>
      </c>
      <c r="X102" s="12" t="n">
        <f aca="false">N102*CU_CARCAVA</f>
        <v>0</v>
      </c>
      <c r="Y102" s="42" t="n">
        <f aca="false">SUM(P102:X102)</f>
        <v>600712.279651067</v>
      </c>
      <c r="Z102" s="12" t="n">
        <f aca="false">Y102*(P_GG+P_SUP+P_ET)</f>
        <v>90571.4989457281</v>
      </c>
      <c r="AA102" s="42" t="n">
        <f aca="false">Y102+Z102</f>
        <v>691283.778596795</v>
      </c>
      <c r="AB102" s="12" t="n">
        <f aca="false">IF(D102=0,0,AA102/D102)</f>
        <v>11110.4932351339</v>
      </c>
      <c r="AC102" s="12" t="n">
        <f aca="false">J102*(1+P_RECALCE)*CU_PLANTON_NC+J102*CU_PLANTA_NC+(E102+F102)*CU_HA_NC+S102+K102*CU_ZANJA_NC+L102*CU_TERRAZA_NC+M102*CU_CERCO_NC+N102*CU_CARCAVA_NC</f>
        <v>325306.959935233</v>
      </c>
      <c r="AD102" s="12" t="n">
        <f aca="false">J102*(1+P_RECALCE)*CU_PLANTON_C+J102*CU_PLANTA_C+(E102+F102)*CU_HA_C+K102*CU_ZANJA_C+L102*CU_TERRAZA_C+M102*CU_CERCO_C+N102*CU_CARCAVA_C</f>
        <v>28875.3837987701</v>
      </c>
      <c r="AE102" s="12" t="n">
        <f aca="false">Y102-AC102-AD102</f>
        <v>246529.935917064</v>
      </c>
      <c r="AF102" s="12" t="n">
        <f aca="false">AC102*P_FC_MONC+AD102*P_FC_MOC+(AE102+Z102)*P_FC_BIEN</f>
        <v>445119.658460938</v>
      </c>
      <c r="AG102" s="12" t="n">
        <f aca="false">(SUM(P102:T102)+W102)*(1+P_GG+P_SUP+P_ET)</f>
        <v>587581.62331892</v>
      </c>
      <c r="AH102" s="12" t="n">
        <f aca="false">(U102+V102+X102)*(1+P_GG+P_SUP+P_ET)</f>
        <v>103702.155277875</v>
      </c>
    </row>
    <row r="103" customFormat="false" ht="15" hidden="false" customHeight="false" outlineLevel="0" collapsed="false">
      <c r="A103" s="7" t="str">
        <f aca="false">BLOQUES!A103</f>
        <v>M11B3</v>
      </c>
      <c r="B103" s="7" t="str">
        <f aca="false">BLOQUES!AI103</f>
        <v>T1</v>
      </c>
      <c r="C103" s="7" t="str">
        <f aca="false">BLOQUES!AE103</f>
        <v>No</v>
      </c>
      <c r="D103" s="11" t="n">
        <f aca="false">BLOQUES!E103</f>
        <v>106.027</v>
      </c>
      <c r="E103" s="11" t="n">
        <f aca="false">BLOQUES!U103+BLOQUES!V103</f>
        <v>47.106</v>
      </c>
      <c r="F103" s="11" t="n">
        <f aca="false">BLOQUES!W103+BLOQUES!X103</f>
        <v>47.123</v>
      </c>
      <c r="G103" s="11" t="n">
        <f aca="false">BLOQUES!Y103+BLOQUES!Z103</f>
        <v>11.798</v>
      </c>
      <c r="H103" s="8" t="n">
        <f aca="false">E103*INDEX(PAQ_R1,MATCH(B103,PAQ_T,0))</f>
        <v>30618.9</v>
      </c>
      <c r="I103" s="8" t="n">
        <f aca="false">F103*INDEX(PAQ_R2,MATCH(B103,PAQ_T,0))</f>
        <v>15314.975</v>
      </c>
      <c r="J103" s="8" t="n">
        <f aca="false">H103+I103</f>
        <v>45933.875</v>
      </c>
      <c r="K103" s="11" t="n">
        <f aca="false">(BLOQUES!U103+BLOQUES!W103)*INDEX(PAQ_MZ,MATCH(B103,PAQ_T,0))/1000</f>
        <v>242.677658578731</v>
      </c>
      <c r="L103" s="11" t="n">
        <f aca="false">(BLOQUES!U103+BLOQUES!W103)*INDEX(PAQ_MT,MATCH(B103,PAQ_T,0))/1000</f>
        <v>0</v>
      </c>
      <c r="M103" s="8" t="n">
        <f aca="false">BLOQUES!F103*INDEX(PAQ_CERCO,MATCH(B103,PAQ_T,0))</f>
        <v>5215.6</v>
      </c>
      <c r="N103" s="11" t="n">
        <f aca="false">IF(ISNUMBER(BLOQUES!AD103),BLOQUES!AD103/1000,0)</f>
        <v>0</v>
      </c>
      <c r="O103" s="22" t="n">
        <f aca="false">P_JORNAL/(P_CARGA*(P_HORAS*P_EFIC/((BLOQUES!AB103/1000*P_SINUOS)/P_VIDA+(BLOQUES!AB103/1000*P_SINUOS)/P_VVUELTA+P_TCD/60)))</f>
        <v>0.123292214912281</v>
      </c>
      <c r="P103" s="8" t="n">
        <f aca="false">J103*(1+P_RECALCE)*CU_PLANTON</f>
        <v>67372.3629713225</v>
      </c>
      <c r="Q103" s="8" t="n">
        <f aca="false">J103*CU_PLANTA</f>
        <v>315146.897696989</v>
      </c>
      <c r="R103" s="8" t="n">
        <f aca="false">(E103+F103)*CU_HA</f>
        <v>105560.571625066</v>
      </c>
      <c r="S103" s="8" t="n">
        <f aca="false">J103*(1+P_RECALCE)*(P_PESO_PLANTON+P_PESO_INS)*O103</f>
        <v>10403.4622388223</v>
      </c>
      <c r="T103" s="8" t="n">
        <f aca="false">J103*(1+P_RECALCE)*P_PESO_INS*P_FT_KG</f>
        <v>1841.46854901399</v>
      </c>
      <c r="U103" s="8" t="n">
        <f aca="false">K103*CU_ZANJA</f>
        <v>2331064.46862928</v>
      </c>
      <c r="V103" s="8" t="n">
        <f aca="false">L103*CU_TERRAZA</f>
        <v>0</v>
      </c>
      <c r="W103" s="8" t="n">
        <f aca="false">M103*CU_CERCO</f>
        <v>114585.702479636</v>
      </c>
      <c r="X103" s="8" t="n">
        <f aca="false">N103*CU_CARCAVA</f>
        <v>0</v>
      </c>
      <c r="Y103" s="40" t="n">
        <f aca="false">SUM(P103:X103)</f>
        <v>2945974.93419013</v>
      </c>
      <c r="Z103" s="8" t="n">
        <f aca="false">Y103*(P_GG+P_SUP+P_ET)</f>
        <v>444174.981408954</v>
      </c>
      <c r="AA103" s="40" t="n">
        <f aca="false">Y103+Z103</f>
        <v>3390149.91559909</v>
      </c>
      <c r="AB103" s="8" t="n">
        <f aca="false">IF(D103=0,0,AA103/D103)</f>
        <v>31974.401950438</v>
      </c>
      <c r="AC103" s="8" t="n">
        <f aca="false">J103*(1+P_RECALCE)*CU_PLANTON_NC+J103*CU_PLANTA_NC+(E103+F103)*CU_HA_NC+S103+K103*CU_ZANJA_NC+L103*CU_TERRAZA_NC+M103*CU_CERCO_NC+N103*CU_CARCAVA_NC</f>
        <v>2298692.67552519</v>
      </c>
      <c r="AD103" s="8" t="n">
        <f aca="false">J103*(1+P_RECALCE)*CU_PLANTON_C+J103*CU_PLANTA_C+(E103+F103)*CU_HA_C+K103*CU_ZANJA_C+L103*CU_TERRAZA_C+M103*CU_CERCO_C+N103*CU_CARCAVA_C</f>
        <v>187512.762475695</v>
      </c>
      <c r="AE103" s="8" t="n">
        <f aca="false">Y103-AC103-AD103</f>
        <v>459769.496189244</v>
      </c>
      <c r="AF103" s="8" t="n">
        <f aca="false">AC103*P_FC_MONC+AD103*P_FC_MOC+(AE103+Z103)*P_FC_BIEN</f>
        <v>1879640.64810875</v>
      </c>
      <c r="AG103" s="8" t="n">
        <f aca="false">(SUM(P103:T103)+W103)*(1+P_GG+P_SUP+P_ET)</f>
        <v>707622.674832837</v>
      </c>
      <c r="AH103" s="8" t="n">
        <f aca="false">(U103+V103+X103)*(1+P_GG+P_SUP+P_ET)</f>
        <v>2682527.24076625</v>
      </c>
    </row>
    <row r="104" customFormat="false" ht="15" hidden="false" customHeight="false" outlineLevel="0" collapsed="false">
      <c r="A104" s="9" t="str">
        <f aca="false">BLOQUES!A104</f>
        <v>58</v>
      </c>
      <c r="B104" s="9" t="str">
        <f aca="false">BLOQUES!AI104</f>
        <v>T1</v>
      </c>
      <c r="C104" s="9" t="str">
        <f aca="false">BLOQUES!AE104</f>
        <v>No</v>
      </c>
      <c r="D104" s="10" t="n">
        <f aca="false">BLOQUES!E104</f>
        <v>11.475</v>
      </c>
      <c r="E104" s="10" t="n">
        <f aca="false">BLOQUES!U104+BLOQUES!V104</f>
        <v>1.897</v>
      </c>
      <c r="F104" s="10" t="n">
        <f aca="false">BLOQUES!W104+BLOQUES!X104</f>
        <v>9.285</v>
      </c>
      <c r="G104" s="10" t="n">
        <f aca="false">BLOQUES!Y104+BLOQUES!Z104</f>
        <v>0.293</v>
      </c>
      <c r="H104" s="12" t="n">
        <f aca="false">E104*INDEX(PAQ_R1,MATCH(B104,PAQ_T,0))</f>
        <v>1233.05</v>
      </c>
      <c r="I104" s="12" t="n">
        <f aca="false">F104*INDEX(PAQ_R2,MATCH(B104,PAQ_T,0))</f>
        <v>3017.625</v>
      </c>
      <c r="J104" s="12" t="n">
        <f aca="false">H104+I104</f>
        <v>4250.675</v>
      </c>
      <c r="K104" s="10" t="n">
        <f aca="false">(BLOQUES!U104+BLOQUES!W104)*INDEX(PAQ_MZ,MATCH(B104,PAQ_T,0))/1000</f>
        <v>27.3813809489524</v>
      </c>
      <c r="L104" s="10" t="n">
        <f aca="false">(BLOQUES!U104+BLOQUES!W104)*INDEX(PAQ_MT,MATCH(B104,PAQ_T,0))/1000</f>
        <v>0</v>
      </c>
      <c r="M104" s="12" t="n">
        <f aca="false">BLOQUES!F104*INDEX(PAQ_CERCO,MATCH(B104,PAQ_T,0))</f>
        <v>1540.2</v>
      </c>
      <c r="N104" s="10" t="n">
        <f aca="false">IF(ISNUMBER(BLOQUES!AD104),BLOQUES!AD104/1000,0)</f>
        <v>0</v>
      </c>
      <c r="O104" s="31" t="n">
        <f aca="false">P_JORNAL/(P_CARGA*(P_HORAS*P_EFIC/((BLOQUES!AB104/1000*P_SINUOS)/P_VIDA+(BLOQUES!AB104/1000*P_SINUOS)/P_VVUELTA+P_TCD/60)))</f>
        <v>0.0712280701754386</v>
      </c>
      <c r="P104" s="12" t="n">
        <f aca="false">J104*(1+P_RECALCE)*CU_PLANTON</f>
        <v>6234.57130436146</v>
      </c>
      <c r="Q104" s="12" t="n">
        <f aca="false">J104*CU_PLANTA</f>
        <v>29163.3797359389</v>
      </c>
      <c r="R104" s="12" t="n">
        <f aca="false">(E104+F104)*CU_HA</f>
        <v>12526.6989134076</v>
      </c>
      <c r="S104" s="12" t="n">
        <f aca="false">J104*(1+P_RECALCE)*(P_PESO_PLANTON+P_PESO_INS)*O104</f>
        <v>556.183671903509</v>
      </c>
      <c r="T104" s="12" t="n">
        <f aca="false">J104*(1+P_RECALCE)*P_PESO_INS*P_FT_KG</f>
        <v>170.407663724866</v>
      </c>
      <c r="U104" s="12" t="n">
        <f aca="false">K104*CU_ZANJA</f>
        <v>263014.587358062</v>
      </c>
      <c r="V104" s="12" t="n">
        <f aca="false">L104*CU_TERRAZA</f>
        <v>0</v>
      </c>
      <c r="W104" s="12" t="n">
        <f aca="false">M104*CU_CERCO</f>
        <v>33837.8899760595</v>
      </c>
      <c r="X104" s="12" t="n">
        <f aca="false">N104*CU_CARCAVA</f>
        <v>0</v>
      </c>
      <c r="Y104" s="42" t="n">
        <f aca="false">SUM(P104:X104)</f>
        <v>345503.718623458</v>
      </c>
      <c r="Z104" s="12" t="n">
        <f aca="false">Y104*(P_GG+P_SUP+P_ET)</f>
        <v>52092.808399433</v>
      </c>
      <c r="AA104" s="42" t="n">
        <f aca="false">Y104+Z104</f>
        <v>397596.527022891</v>
      </c>
      <c r="AB104" s="12" t="n">
        <f aca="false">IF(D104=0,0,AA104/D104)</f>
        <v>34648.9348168097</v>
      </c>
      <c r="AC104" s="12" t="n">
        <f aca="false">J104*(1+P_RECALCE)*CU_PLANTON_NC+J104*CU_PLANTA_NC+(E104+F104)*CU_HA_NC+S104+K104*CU_ZANJA_NC+L104*CU_TERRAZA_NC+M104*CU_CERCO_NC+N104*CU_CARCAVA_NC</f>
        <v>254686.632783948</v>
      </c>
      <c r="AD104" s="12" t="n">
        <f aca="false">J104*(1+P_RECALCE)*CU_PLANTON_C+J104*CU_PLANTA_C+(E104+F104)*CU_HA_C+K104*CU_ZANJA_C+L104*CU_TERRAZA_C+M104*CU_CERCO_C+N104*CU_CARCAVA_C</f>
        <v>20942.9088148641</v>
      </c>
      <c r="AE104" s="12" t="n">
        <f aca="false">Y104-AC104-AD104</f>
        <v>69874.1770246461</v>
      </c>
      <c r="AF104" s="12" t="n">
        <f aca="false">AC104*P_FC_MONC+AD104*P_FC_MOC+(AE104+Z104)*P_FC_BIEN</f>
        <v>226875.135787305</v>
      </c>
      <c r="AG104" s="12" t="n">
        <f aca="false">(SUM(P104:T104)+W104)*(1+P_GG+P_SUP+P_ET)</f>
        <v>94926.3071289849</v>
      </c>
      <c r="AH104" s="12" t="n">
        <f aca="false">(U104+V104+X104)*(1+P_GG+P_SUP+P_ET)</f>
        <v>302670.219893906</v>
      </c>
    </row>
    <row r="105" customFormat="false" ht="15" hidden="false" customHeight="false" outlineLevel="0" collapsed="false">
      <c r="A105" s="7" t="str">
        <f aca="false">BLOQUES!A105</f>
        <v>14</v>
      </c>
      <c r="B105" s="7" t="str">
        <f aca="false">BLOQUES!AI105</f>
        <v>T4</v>
      </c>
      <c r="C105" s="7" t="str">
        <f aca="false">BLOQUES!AE105</f>
        <v>No</v>
      </c>
      <c r="D105" s="11" t="n">
        <f aca="false">BLOQUES!E105</f>
        <v>92.905</v>
      </c>
      <c r="E105" s="11" t="n">
        <f aca="false">BLOQUES!U105+BLOQUES!V105</f>
        <v>4.802</v>
      </c>
      <c r="F105" s="11" t="n">
        <f aca="false">BLOQUES!W105+BLOQUES!X105</f>
        <v>31.451</v>
      </c>
      <c r="G105" s="11" t="n">
        <f aca="false">BLOQUES!Y105+BLOQUES!Z105</f>
        <v>56.653</v>
      </c>
      <c r="H105" s="8" t="n">
        <f aca="false">E105*INDEX(PAQ_R1,MATCH(B105,PAQ_T,0))</f>
        <v>3467.044</v>
      </c>
      <c r="I105" s="8" t="n">
        <f aca="false">F105*INDEX(PAQ_R2,MATCH(B105,PAQ_T,0))</f>
        <v>11353.811</v>
      </c>
      <c r="J105" s="8" t="n">
        <f aca="false">H105+I105</f>
        <v>14820.855</v>
      </c>
      <c r="K105" s="11" t="n">
        <f aca="false">(BLOQUES!U105+BLOQUES!W105)*INDEX(PAQ_MZ,MATCH(B105,PAQ_T,0))/1000</f>
        <v>122.665418676651</v>
      </c>
      <c r="L105" s="11" t="n">
        <f aca="false">(BLOQUES!U105+BLOQUES!W105)*INDEX(PAQ_MT,MATCH(B105,PAQ_T,0))/1000</f>
        <v>0</v>
      </c>
      <c r="M105" s="8" t="n">
        <f aca="false">BLOQUES!F105*INDEX(PAQ_CERCO,MATCH(B105,PAQ_T,0))</f>
        <v>4715.4</v>
      </c>
      <c r="N105" s="11" t="n">
        <f aca="false">IF(ISNUMBER(BLOQUES!AD105),BLOQUES!AD105/1000,0)</f>
        <v>0</v>
      </c>
      <c r="O105" s="22" t="n">
        <f aca="false">P_JORNAL/(P_CARGA*(P_HORAS*P_EFIC/((BLOQUES!AB105/1000*P_SINUOS)/P_VIDA+(BLOQUES!AB105/1000*P_SINUOS)/P_VVUELTA+P_TCD/60)))</f>
        <v>0.204649122807018</v>
      </c>
      <c r="P105" s="8" t="n">
        <f aca="false">J105*(1+P_RECALCE)*CU_PLANTON</f>
        <v>21738.1186021284</v>
      </c>
      <c r="Q105" s="8" t="n">
        <f aca="false">J105*CU_PLANTA</f>
        <v>101684.137784302</v>
      </c>
      <c r="R105" s="8" t="n">
        <f aca="false">(E105+F105)*CU_HA</f>
        <v>40612.628841689</v>
      </c>
      <c r="S105" s="8" t="n">
        <f aca="false">J105*(1+P_RECALCE)*(P_PESO_PLANTON+P_PESO_INS)*O105</f>
        <v>5571.758729075</v>
      </c>
      <c r="T105" s="8" t="n">
        <f aca="false">J105*(1+P_RECALCE)*P_PESO_INS*P_FT_KG</f>
        <v>594.161462580649</v>
      </c>
      <c r="U105" s="8" t="n">
        <f aca="false">K105*CU_ZANJA</f>
        <v>1178274.9210674</v>
      </c>
      <c r="V105" s="8" t="n">
        <f aca="false">L105*CU_TERRAZA</f>
        <v>0</v>
      </c>
      <c r="W105" s="8" t="n">
        <f aca="false">M105*CU_CERCO</f>
        <v>103596.407215369</v>
      </c>
      <c r="X105" s="8" t="n">
        <f aca="false">N105*CU_CARCAVA</f>
        <v>0</v>
      </c>
      <c r="Y105" s="40" t="n">
        <f aca="false">SUM(P105:X105)</f>
        <v>1452072.13370254</v>
      </c>
      <c r="Z105" s="8" t="n">
        <f aca="false">Y105*(P_GG+P_SUP+P_ET)</f>
        <v>218934.012474581</v>
      </c>
      <c r="AA105" s="40" t="n">
        <f aca="false">Y105+Z105</f>
        <v>1671006.14617712</v>
      </c>
      <c r="AB105" s="8" t="n">
        <f aca="false">IF(D105=0,0,AA105/D105)</f>
        <v>17986.1810040054</v>
      </c>
      <c r="AC105" s="8" t="n">
        <f aca="false">J105*(1+P_RECALCE)*CU_PLANTON_NC+J105*CU_PLANTA_NC+(E105+F105)*CU_HA_NC+S105+K105*CU_ZANJA_NC+L105*CU_TERRAZA_NC+M105*CU_CERCO_NC+N105*CU_CARCAVA_NC</f>
        <v>1112737.16667421</v>
      </c>
      <c r="AD105" s="8" t="n">
        <f aca="false">J105*(1+P_RECALCE)*CU_PLANTON_C+J105*CU_PLANTA_C+(E105+F105)*CU_HA_C+K105*CU_ZANJA_C+L105*CU_TERRAZA_C+M105*CU_CERCO_C+N105*CU_CARCAVA_C</f>
        <v>90265.3596026667</v>
      </c>
      <c r="AE105" s="8" t="n">
        <f aca="false">Y105-AC105-AD105</f>
        <v>249069.607425667</v>
      </c>
      <c r="AF105" s="8" t="n">
        <f aca="false">AC105*P_FC_MONC+AD105*P_FC_MOC+(AE105+Z105)*P_FC_BIEN</f>
        <v>935272.481292873</v>
      </c>
      <c r="AG105" s="8" t="n">
        <f aca="false">(SUM(P105:T105)+W105)*(1+P_GG+P_SUP+P_ET)</f>
        <v>315078.579431794</v>
      </c>
      <c r="AH105" s="8" t="n">
        <f aca="false">(U105+V105+X105)*(1+P_GG+P_SUP+P_ET)</f>
        <v>1355927.56674533</v>
      </c>
    </row>
    <row r="106" customFormat="false" ht="15" hidden="false" customHeight="false" outlineLevel="0" collapsed="false">
      <c r="A106" s="9" t="str">
        <f aca="false">BLOQUES!A106</f>
        <v>42</v>
      </c>
      <c r="B106" s="9" t="str">
        <f aca="false">BLOQUES!AI106</f>
        <v>T2</v>
      </c>
      <c r="C106" s="9" t="str">
        <f aca="false">BLOQUES!AE106</f>
        <v>No</v>
      </c>
      <c r="D106" s="10" t="n">
        <f aca="false">BLOQUES!E106</f>
        <v>80.616</v>
      </c>
      <c r="E106" s="10" t="n">
        <f aca="false">BLOQUES!U106+BLOQUES!V106</f>
        <v>0.02</v>
      </c>
      <c r="F106" s="10" t="n">
        <f aca="false">BLOQUES!W106+BLOQUES!X106</f>
        <v>4.523</v>
      </c>
      <c r="G106" s="10" t="n">
        <f aca="false">BLOQUES!Y106+BLOQUES!Z106</f>
        <v>76.073</v>
      </c>
      <c r="H106" s="12" t="n">
        <f aca="false">E106*INDEX(PAQ_R1,MATCH(B106,PAQ_T,0))</f>
        <v>13</v>
      </c>
      <c r="I106" s="12" t="n">
        <f aca="false">F106*INDEX(PAQ_R2,MATCH(B106,PAQ_T,0))</f>
        <v>1469.975</v>
      </c>
      <c r="J106" s="12" t="n">
        <f aca="false">H106+I106</f>
        <v>1482.975</v>
      </c>
      <c r="K106" s="10" t="n">
        <f aca="false">(BLOQUES!U106+BLOQUES!W106)*INDEX(PAQ_MZ,MATCH(B106,PAQ_T,0))/1000</f>
        <v>15.922672618619</v>
      </c>
      <c r="L106" s="10" t="n">
        <f aca="false">(BLOQUES!U106+BLOQUES!W106)*INDEX(PAQ_MT,MATCH(B106,PAQ_T,0))/1000</f>
        <v>0</v>
      </c>
      <c r="M106" s="12" t="n">
        <f aca="false">BLOQUES!F106*INDEX(PAQ_CERCO,MATCH(B106,PAQ_T,0))</f>
        <v>4150.6</v>
      </c>
      <c r="N106" s="10" t="n">
        <f aca="false">IF(ISNUMBER(BLOQUES!AD106),BLOQUES!AD106/1000,0)</f>
        <v>0</v>
      </c>
      <c r="O106" s="31" t="n">
        <f aca="false">P_JORNAL/(P_CARGA*(P_HORAS*P_EFIC/((BLOQUES!AB106/1000*P_SINUOS)/P_VIDA+(BLOQUES!AB106/1000*P_SINUOS)/P_VVUELTA+P_TCD/60)))</f>
        <v>0.0801014254385965</v>
      </c>
      <c r="P106" s="12" t="n">
        <f aca="false">J106*(1+P_RECALCE)*CU_PLANTON</f>
        <v>2175.11651210348</v>
      </c>
      <c r="Q106" s="12" t="n">
        <f aca="false">J106*CU_PLANTA</f>
        <v>10174.5165329986</v>
      </c>
      <c r="R106" s="12" t="n">
        <f aca="false">(E106+F106)*CU_HA</f>
        <v>5089.32151346904</v>
      </c>
      <c r="S106" s="12" t="n">
        <f aca="false">J106*(1+P_RECALCE)*(P_PESO_PLANTON+P_PESO_INS)*O106</f>
        <v>218.214311723067</v>
      </c>
      <c r="T106" s="12" t="n">
        <f aca="false">J106*(1+P_RECALCE)*P_PESO_INS*P_FT_KG</f>
        <v>59.4518059160917</v>
      </c>
      <c r="U106" s="12" t="n">
        <f aca="false">K106*CU_ZANJA</f>
        <v>152946.820915686</v>
      </c>
      <c r="V106" s="12" t="n">
        <f aca="false">L106*CU_TERRAZA</f>
        <v>0</v>
      </c>
      <c r="W106" s="12" t="n">
        <f aca="false">M106*CU_CERCO</f>
        <v>91187.8627026573</v>
      </c>
      <c r="X106" s="12" t="n">
        <f aca="false">N106*CU_CARCAVA</f>
        <v>0</v>
      </c>
      <c r="Y106" s="42" t="n">
        <f aca="false">SUM(P106:X106)</f>
        <v>261851.304294554</v>
      </c>
      <c r="Z106" s="12" t="n">
        <f aca="false">Y106*(P_GG+P_SUP+P_ET)</f>
        <v>39480.2402651527</v>
      </c>
      <c r="AA106" s="42" t="n">
        <f aca="false">Y106+Z106</f>
        <v>301331.544559706</v>
      </c>
      <c r="AB106" s="12" t="n">
        <f aca="false">IF(D106=0,0,AA106/D106)</f>
        <v>3737.86276371572</v>
      </c>
      <c r="AC106" s="12" t="n">
        <f aca="false">J106*(1+P_RECALCE)*CU_PLANTON_NC+J106*CU_PLANTA_NC+(E106+F106)*CU_HA_NC+S106+K106*CU_ZANJA_NC+L106*CU_TERRAZA_NC+M106*CU_CERCO_NC+N106*CU_CARCAVA_NC</f>
        <v>141680.387108756</v>
      </c>
      <c r="AD106" s="12" t="n">
        <f aca="false">J106*(1+P_RECALCE)*CU_PLANTON_C+J106*CU_PLANTA_C+(E106+F106)*CU_HA_C+K106*CU_ZANJA_C+L106*CU_TERRAZA_C+M106*CU_CERCO_C+N106*CU_CARCAVA_C</f>
        <v>11548.6547641159</v>
      </c>
      <c r="AE106" s="12" t="n">
        <f aca="false">Y106-AC106-AD106</f>
        <v>108622.262421682</v>
      </c>
      <c r="AF106" s="12" t="n">
        <f aca="false">AC106*P_FC_MONC+AD106*P_FC_MOC+(AE106+Z106)*P_FC_BIEN</f>
        <v>194139.795346646</v>
      </c>
      <c r="AG106" s="12" t="n">
        <f aca="false">(SUM(P106:T106)+W106)*(1+P_GG+P_SUP+P_ET)</f>
        <v>125324.394600366</v>
      </c>
      <c r="AH106" s="12" t="n">
        <f aca="false">(U106+V106+X106)*(1+P_GG+P_SUP+P_ET)</f>
        <v>176007.149959341</v>
      </c>
    </row>
    <row r="107" customFormat="false" ht="15" hidden="false" customHeight="false" outlineLevel="0" collapsed="false">
      <c r="A107" s="7" t="str">
        <f aca="false">BLOQUES!A107</f>
        <v>M36B2</v>
      </c>
      <c r="B107" s="7" t="str">
        <f aca="false">BLOQUES!AI107</f>
        <v>T6</v>
      </c>
      <c r="C107" s="7" t="str">
        <f aca="false">BLOQUES!AE107</f>
        <v>No</v>
      </c>
      <c r="D107" s="11" t="n">
        <f aca="false">BLOQUES!E107</f>
        <v>28.19</v>
      </c>
      <c r="E107" s="11" t="n">
        <f aca="false">BLOQUES!U107+BLOQUES!V107</f>
        <v>0.188</v>
      </c>
      <c r="F107" s="11" t="n">
        <f aca="false">BLOQUES!W107+BLOQUES!X107</f>
        <v>1.214</v>
      </c>
      <c r="G107" s="11" t="n">
        <f aca="false">BLOQUES!Y107+BLOQUES!Z107</f>
        <v>26.789</v>
      </c>
      <c r="H107" s="8" t="n">
        <f aca="false">E107*INDEX(PAQ_R1,MATCH(B107,PAQ_T,0))</f>
        <v>122.2</v>
      </c>
      <c r="I107" s="8" t="n">
        <f aca="false">F107*INDEX(PAQ_R2,MATCH(B107,PAQ_T,0))</f>
        <v>394.55</v>
      </c>
      <c r="J107" s="8" t="n">
        <f aca="false">H107+I107</f>
        <v>516.75</v>
      </c>
      <c r="K107" s="11" t="n">
        <f aca="false">(BLOQUES!U107+BLOQUES!W107)*INDEX(PAQ_MZ,MATCH(B107,PAQ_T,0))/1000</f>
        <v>0</v>
      </c>
      <c r="L107" s="11" t="n">
        <f aca="false">(BLOQUES!U107+BLOQUES!W107)*INDEX(PAQ_MT,MATCH(B107,PAQ_T,0))/1000</f>
        <v>1.37400549602198</v>
      </c>
      <c r="M107" s="8" t="n">
        <f aca="false">BLOQUES!F107*INDEX(PAQ_CERCO,MATCH(B107,PAQ_T,0))</f>
        <v>3156.4</v>
      </c>
      <c r="N107" s="11" t="n">
        <f aca="false">IF(ISNUMBER(BLOQUES!AD107),BLOQUES!AD107/1000,0)</f>
        <v>0</v>
      </c>
      <c r="O107" s="22" t="n">
        <f aca="false">P_JORNAL/(P_CARGA*(P_HORAS*P_EFIC/((BLOQUES!AB107/1000*P_SINUOS)/P_VIDA+(BLOQUES!AB107/1000*P_SINUOS)/P_VVUELTA+P_TCD/60)))</f>
        <v>0.0726178728070176</v>
      </c>
      <c r="P107" s="8" t="n">
        <f aca="false">J107*(1+P_RECALCE)*CU_PLANTON</f>
        <v>757.930145571888</v>
      </c>
      <c r="Q107" s="8" t="n">
        <f aca="false">J107*CU_PLANTA</f>
        <v>3545.36079059124</v>
      </c>
      <c r="R107" s="8" t="n">
        <f aca="false">(E107+F107)*CU_HA</f>
        <v>1570.59845077781</v>
      </c>
      <c r="S107" s="8" t="n">
        <f aca="false">J107*(1+P_RECALCE)*(P_PESO_PLANTON+P_PESO_INS)*O107</f>
        <v>68.9339499650494</v>
      </c>
      <c r="T107" s="8" t="n">
        <f aca="false">J107*(1+P_RECALCE)*P_PESO_INS*P_FT_KG</f>
        <v>20.7162768806894</v>
      </c>
      <c r="U107" s="8" t="n">
        <f aca="false">K107*CU_ZANJA</f>
        <v>0</v>
      </c>
      <c r="V107" s="8" t="n">
        <f aca="false">L107*CU_TERRAZA</f>
        <v>123914.125280917</v>
      </c>
      <c r="W107" s="8" t="n">
        <f aca="false">M107*CU_CERCO</f>
        <v>69345.4849502885</v>
      </c>
      <c r="X107" s="8" t="n">
        <f aca="false">N107*CU_CARCAVA</f>
        <v>0</v>
      </c>
      <c r="Y107" s="40" t="n">
        <f aca="false">SUM(P107:X107)</f>
        <v>199223.149844992</v>
      </c>
      <c r="Z107" s="8" t="n">
        <f aca="false">Y107*(P_GG+P_SUP+P_ET)</f>
        <v>30037.5735895251</v>
      </c>
      <c r="AA107" s="40" t="n">
        <f aca="false">Y107+Z107</f>
        <v>229260.723434517</v>
      </c>
      <c r="AB107" s="8" t="n">
        <f aca="false">IF(D107=0,0,AA107/D107)</f>
        <v>8132.69682279237</v>
      </c>
      <c r="AC107" s="8" t="n">
        <f aca="false">J107*(1+P_RECALCE)*CU_PLANTON_NC+J107*CU_PLANTA_NC+(E107+F107)*CU_HA_NC+S107+K107*CU_ZANJA_NC+L107*CU_TERRAZA_NC+M107*CU_CERCO_NC+N107*CU_CARCAVA_NC</f>
        <v>77721.8816749388</v>
      </c>
      <c r="AD107" s="8" t="n">
        <f aca="false">J107*(1+P_RECALCE)*CU_PLANTON_C+J107*CU_PLANTA_C+(E107+F107)*CU_HA_C+K107*CU_ZANJA_C+L107*CU_TERRAZA_C+M107*CU_CERCO_C+N107*CU_CARCAVA_C</f>
        <v>11965.3610440678</v>
      </c>
      <c r="AE107" s="8" t="n">
        <f aca="false">Y107-AC107-AD107</f>
        <v>109535.907125985</v>
      </c>
      <c r="AF107" s="8" t="n">
        <f aca="false">AC107*P_FC_MONC+AD107*P_FC_MOC+(AE107+Z107)*P_FC_BIEN</f>
        <v>160378.436304144</v>
      </c>
      <c r="AG107" s="8" t="n">
        <f aca="false">(SUM(P107:T107)+W107)*(1+P_GG+P_SUP+P_ET)</f>
        <v>86663.630537622</v>
      </c>
      <c r="AH107" s="8" t="n">
        <f aca="false">(U107+V107+X107)*(1+P_GG+P_SUP+P_ET)</f>
        <v>142597.092896895</v>
      </c>
    </row>
    <row r="108" customFormat="false" ht="15" hidden="false" customHeight="false" outlineLevel="0" collapsed="false">
      <c r="A108" s="9" t="str">
        <f aca="false">BLOQUES!A108</f>
        <v>11</v>
      </c>
      <c r="B108" s="9" t="str">
        <f aca="false">BLOQUES!AI108</f>
        <v>T6</v>
      </c>
      <c r="C108" s="9" t="str">
        <f aca="false">BLOQUES!AE108</f>
        <v>No</v>
      </c>
      <c r="D108" s="10" t="n">
        <f aca="false">BLOQUES!E108</f>
        <v>103.948</v>
      </c>
      <c r="E108" s="10" t="n">
        <f aca="false">BLOQUES!U108+BLOQUES!V108</f>
        <v>0.065</v>
      </c>
      <c r="F108" s="10" t="n">
        <f aca="false">BLOQUES!W108+BLOQUES!X108</f>
        <v>11.724</v>
      </c>
      <c r="G108" s="10" t="n">
        <f aca="false">BLOQUES!Y108+BLOQUES!Z108</f>
        <v>92.158</v>
      </c>
      <c r="H108" s="12" t="n">
        <f aca="false">E108*INDEX(PAQ_R1,MATCH(B108,PAQ_T,0))</f>
        <v>42.25</v>
      </c>
      <c r="I108" s="12" t="n">
        <f aca="false">F108*INDEX(PAQ_R2,MATCH(B108,PAQ_T,0))</f>
        <v>3810.3</v>
      </c>
      <c r="J108" s="12" t="n">
        <f aca="false">H108+I108</f>
        <v>3852.55</v>
      </c>
      <c r="K108" s="10" t="n">
        <f aca="false">(BLOQUES!U108+BLOQUES!W108)*INDEX(PAQ_MZ,MATCH(B108,PAQ_T,0))/1000</f>
        <v>0</v>
      </c>
      <c r="L108" s="10" t="n">
        <f aca="false">(BLOQUES!U108+BLOQUES!W108)*INDEX(PAQ_MT,MATCH(B108,PAQ_T,0))/1000</f>
        <v>13.8408553634215</v>
      </c>
      <c r="M108" s="12" t="n">
        <f aca="false">BLOQUES!F108*INDEX(PAQ_CERCO,MATCH(B108,PAQ_T,0))</f>
        <v>4194.8</v>
      </c>
      <c r="N108" s="10" t="n">
        <f aca="false">IF(ISNUMBER(BLOQUES!AD108),BLOQUES!AD108/1000,0)</f>
        <v>0</v>
      </c>
      <c r="O108" s="31" t="n">
        <f aca="false">P_JORNAL/(P_CARGA*(P_HORAS*P_EFIC/((BLOQUES!AB108/1000*P_SINUOS)/P_VIDA+(BLOQUES!AB108/1000*P_SINUOS)/P_VVUELTA+P_TCD/60)))</f>
        <v>0.0809566885964912</v>
      </c>
      <c r="P108" s="12" t="n">
        <f aca="false">J108*(1+P_RECALCE)*CU_PLANTON</f>
        <v>5650.63141233281</v>
      </c>
      <c r="Q108" s="12" t="n">
        <f aca="false">J108*CU_PLANTA</f>
        <v>26431.8910765211</v>
      </c>
      <c r="R108" s="12" t="n">
        <f aca="false">(E108+F108)*CU_HA</f>
        <v>13206.6941057201</v>
      </c>
      <c r="S108" s="12" t="n">
        <f aca="false">J108*(1+P_RECALCE)*(P_PESO_PLANTON+P_PESO_INS)*O108</f>
        <v>572.941361728481</v>
      </c>
      <c r="T108" s="12" t="n">
        <f aca="false">J108*(1+P_RECALCE)*P_PESO_INS*P_FT_KG</f>
        <v>154.447010153266</v>
      </c>
      <c r="U108" s="12" t="n">
        <f aca="false">K108*CU_ZANJA</f>
        <v>0</v>
      </c>
      <c r="V108" s="12" t="n">
        <f aca="false">L108*CU_TERRAZA</f>
        <v>1248231.89606122</v>
      </c>
      <c r="W108" s="12" t="n">
        <f aca="false">M108*CU_CERCO</f>
        <v>92158.9279779084</v>
      </c>
      <c r="X108" s="12" t="n">
        <f aca="false">N108*CU_CARCAVA</f>
        <v>0</v>
      </c>
      <c r="Y108" s="42" t="n">
        <f aca="false">SUM(P108:X108)</f>
        <v>1386407.42900558</v>
      </c>
      <c r="Z108" s="12" t="n">
        <f aca="false">Y108*(P_GG+P_SUP+P_ET)</f>
        <v>209033.514459647</v>
      </c>
      <c r="AA108" s="42" t="n">
        <f aca="false">Y108+Z108</f>
        <v>1595440.94346523</v>
      </c>
      <c r="AB108" s="12" t="n">
        <f aca="false">IF(D108=0,0,AA108/D108)</f>
        <v>15348.4525288147</v>
      </c>
      <c r="AC108" s="12" t="n">
        <f aca="false">J108*(1+P_RECALCE)*CU_PLANTON_NC+J108*CU_PLANTA_NC+(E108+F108)*CU_HA_NC+S108+K108*CU_ZANJA_NC+L108*CU_TERRAZA_NC+M108*CU_CERCO_NC+N108*CU_CARCAVA_NC</f>
        <v>774429.652130206</v>
      </c>
      <c r="AD108" s="12" t="n">
        <f aca="false">J108*(1+P_RECALCE)*CU_PLANTON_C+J108*CU_PLANTA_C+(E108+F108)*CU_HA_C+K108*CU_ZANJA_C+L108*CU_TERRAZA_C+M108*CU_CERCO_C+N108*CU_CARCAVA_C</f>
        <v>119724.513541375</v>
      </c>
      <c r="AE108" s="12" t="n">
        <f aca="false">Y108-AC108-AD108</f>
        <v>492253.263334001</v>
      </c>
      <c r="AF108" s="12" t="n">
        <f aca="false">AC108*P_FC_MONC+AD108*P_FC_MOC+(AE108+Z108)*P_FC_BIEN</f>
        <v>1014153.64823106</v>
      </c>
      <c r="AG108" s="12" t="n">
        <f aca="false">(SUM(P108:T108)+W108)*(1+P_GG+P_SUP+P_ET)</f>
        <v>159008.743052313</v>
      </c>
      <c r="AH108" s="12" t="n">
        <f aca="false">(U108+V108+X108)*(1+P_GG+P_SUP+P_ET)</f>
        <v>1436432.20041291</v>
      </c>
    </row>
    <row r="109" customFormat="false" ht="15" hidden="false" customHeight="false" outlineLevel="0" collapsed="false">
      <c r="A109" s="7" t="str">
        <f aca="false">BLOQUES!A109</f>
        <v>12</v>
      </c>
      <c r="B109" s="7" t="str">
        <f aca="false">BLOQUES!AI109</f>
        <v>T6</v>
      </c>
      <c r="C109" s="7" t="str">
        <f aca="false">BLOQUES!AE109</f>
        <v>No</v>
      </c>
      <c r="D109" s="11" t="n">
        <f aca="false">BLOQUES!E109</f>
        <v>119.538</v>
      </c>
      <c r="E109" s="11" t="n">
        <f aca="false">BLOQUES!U109+BLOQUES!V109</f>
        <v>0</v>
      </c>
      <c r="F109" s="11" t="n">
        <f aca="false">BLOQUES!W109+BLOQUES!X109</f>
        <v>0.079</v>
      </c>
      <c r="G109" s="11" t="n">
        <f aca="false">BLOQUES!Y109+BLOQUES!Z109</f>
        <v>119.459</v>
      </c>
      <c r="H109" s="8" t="n">
        <f aca="false">E109*INDEX(PAQ_R1,MATCH(B109,PAQ_T,0))</f>
        <v>0</v>
      </c>
      <c r="I109" s="8" t="n">
        <f aca="false">F109*INDEX(PAQ_R2,MATCH(B109,PAQ_T,0))</f>
        <v>25.675</v>
      </c>
      <c r="J109" s="8" t="n">
        <f aca="false">H109+I109</f>
        <v>25.675</v>
      </c>
      <c r="K109" s="11" t="n">
        <f aca="false">(BLOQUES!U109+BLOQUES!W109)*INDEX(PAQ_MZ,MATCH(B109,PAQ_T,0))/1000</f>
        <v>0</v>
      </c>
      <c r="L109" s="11" t="n">
        <f aca="false">(BLOQUES!U109+BLOQUES!W109)*INDEX(PAQ_MT,MATCH(B109,PAQ_T,0))/1000</f>
        <v>0.0948003792015168</v>
      </c>
      <c r="M109" s="8" t="n">
        <f aca="false">BLOQUES!F109*INDEX(PAQ_CERCO,MATCH(B109,PAQ_T,0))</f>
        <v>4396.2</v>
      </c>
      <c r="N109" s="11" t="n">
        <f aca="false">IF(ISNUMBER(BLOQUES!AD109),BLOQUES!AD109/1000,0)</f>
        <v>0</v>
      </c>
      <c r="O109" s="22" t="n">
        <f aca="false">P_JORNAL/(P_CARGA*(P_HORAS*P_EFIC/((BLOQUES!AB109/1000*P_SINUOS)/P_VIDA+(BLOQUES!AB109/1000*P_SINUOS)/P_VVUELTA+P_TCD/60)))</f>
        <v>0.0907922149122807</v>
      </c>
      <c r="P109" s="8" t="n">
        <f aca="false">J109*(1+P_RECALCE)*CU_PLANTON</f>
        <v>37.6581644655215</v>
      </c>
      <c r="Q109" s="8" t="n">
        <f aca="false">J109*CU_PLANTA</f>
        <v>176.153146199187</v>
      </c>
      <c r="R109" s="8" t="n">
        <f aca="false">(E109+F109)*CU_HA</f>
        <v>88.5001980110179</v>
      </c>
      <c r="S109" s="8" t="n">
        <f aca="false">J109*(1+P_RECALCE)*(P_PESO_PLANTON+P_PESO_INS)*O109</f>
        <v>4.28221254653235</v>
      </c>
      <c r="T109" s="8" t="n">
        <f aca="false">J109*(1+P_RECALCE)*P_PESO_INS*P_FT_KG</f>
        <v>1.02929929155627</v>
      </c>
      <c r="U109" s="8" t="n">
        <f aca="false">K109*CU_ZANJA</f>
        <v>0</v>
      </c>
      <c r="V109" s="8" t="n">
        <f aca="false">L109*CU_TERRAZA</f>
        <v>8549.53353466587</v>
      </c>
      <c r="W109" s="8" t="n">
        <f aca="false">M109*CU_CERCO</f>
        <v>96583.6462230573</v>
      </c>
      <c r="X109" s="8" t="n">
        <f aca="false">N109*CU_CARCAVA</f>
        <v>0</v>
      </c>
      <c r="Y109" s="40" t="n">
        <f aca="false">SUM(P109:X109)</f>
        <v>105440.802778237</v>
      </c>
      <c r="Z109" s="8" t="n">
        <f aca="false">Y109*(P_GG+P_SUP+P_ET)</f>
        <v>15897.6799395761</v>
      </c>
      <c r="AA109" s="40" t="n">
        <f aca="false">Y109+Z109</f>
        <v>121338.482717813</v>
      </c>
      <c r="AB109" s="8" t="n">
        <f aca="false">IF(D109=0,0,AA109/D109)</f>
        <v>1015.0620113923</v>
      </c>
      <c r="AC109" s="8" t="n">
        <f aca="false">J109*(1+P_RECALCE)*CU_PLANTON_NC+J109*CU_PLANTA_NC+(E109+F109)*CU_HA_NC+S109+K109*CU_ZANJA_NC+L109*CU_TERRAZA_NC+M109*CU_CERCO_NC+N109*CU_CARCAVA_NC</f>
        <v>5299.85390351577</v>
      </c>
      <c r="AD109" s="8" t="n">
        <f aca="false">J109*(1+P_RECALCE)*CU_PLANTON_C+J109*CU_PLANTA_C+(E109+F109)*CU_HA_C+K109*CU_ZANJA_C+L109*CU_TERRAZA_C+M109*CU_CERCO_C+N109*CU_CARCAVA_C</f>
        <v>819.524071912843</v>
      </c>
      <c r="AE109" s="8" t="n">
        <f aca="false">Y109-AC109-AD109</f>
        <v>99321.4248028084</v>
      </c>
      <c r="AF109" s="8" t="n">
        <f aca="false">AC109*P_FC_MONC+AD109*P_FC_MOC+(AE109+Z109)*P_FC_BIEN</f>
        <v>100516.671760003</v>
      </c>
      <c r="AG109" s="8" t="n">
        <f aca="false">(SUM(P109:T109)+W109)*(1+P_GG+P_SUP+P_ET)</f>
        <v>111499.906002656</v>
      </c>
      <c r="AH109" s="8" t="n">
        <f aca="false">(U109+V109+X109)*(1+P_GG+P_SUP+P_ET)</f>
        <v>9838.57671515695</v>
      </c>
    </row>
    <row r="110" customFormat="false" ht="15" hidden="false" customHeight="false" outlineLevel="0" collapsed="false">
      <c r="A110" s="9" t="str">
        <f aca="false">BLOQUES!A110</f>
        <v>15</v>
      </c>
      <c r="B110" s="9" t="str">
        <f aca="false">BLOQUES!AI110</f>
        <v>T6</v>
      </c>
      <c r="C110" s="9" t="str">
        <f aca="false">BLOQUES!AE110</f>
        <v>No</v>
      </c>
      <c r="D110" s="10" t="n">
        <f aca="false">BLOQUES!E110</f>
        <v>86.147</v>
      </c>
      <c r="E110" s="10" t="n">
        <f aca="false">BLOQUES!U110+BLOQUES!V110</f>
        <v>0.369</v>
      </c>
      <c r="F110" s="10" t="n">
        <f aca="false">BLOQUES!W110+BLOQUES!X110</f>
        <v>18.999</v>
      </c>
      <c r="G110" s="10" t="n">
        <f aca="false">BLOQUES!Y110+BLOQUES!Z110</f>
        <v>66.78</v>
      </c>
      <c r="H110" s="12" t="n">
        <f aca="false">E110*INDEX(PAQ_R1,MATCH(B110,PAQ_T,0))</f>
        <v>239.85</v>
      </c>
      <c r="I110" s="12" t="n">
        <f aca="false">F110*INDEX(PAQ_R2,MATCH(B110,PAQ_T,0))</f>
        <v>6174.675</v>
      </c>
      <c r="J110" s="12" t="n">
        <f aca="false">H110+I110</f>
        <v>6414.525</v>
      </c>
      <c r="K110" s="10" t="n">
        <f aca="false">(BLOQUES!U110+BLOQUES!W110)*INDEX(PAQ_MZ,MATCH(B110,PAQ_T,0))/1000</f>
        <v>0</v>
      </c>
      <c r="L110" s="10" t="n">
        <f aca="false">(BLOQUES!U110+BLOQUES!W110)*INDEX(PAQ_MT,MATCH(B110,PAQ_T,0))/1000</f>
        <v>22.1424885699543</v>
      </c>
      <c r="M110" s="12" t="n">
        <f aca="false">BLOQUES!F110*INDEX(PAQ_CERCO,MATCH(B110,PAQ_T,0))</f>
        <v>4480.1</v>
      </c>
      <c r="N110" s="10" t="n">
        <f aca="false">IF(ISNUMBER(BLOQUES!AD110),BLOQUES!AD110/1000,0)</f>
        <v>0</v>
      </c>
      <c r="O110" s="31" t="n">
        <f aca="false">P_JORNAL/(P_CARGA*(P_HORAS*P_EFIC/((BLOQUES!AB110/1000*P_SINUOS)/P_VIDA+(BLOQUES!AB110/1000*P_SINUOS)/P_VVUELTA+P_TCD/60)))</f>
        <v>0.166589912280702</v>
      </c>
      <c r="P110" s="12" t="n">
        <f aca="false">J110*(1+P_RECALCE)*CU_PLANTON</f>
        <v>9408.34420324048</v>
      </c>
      <c r="Q110" s="12" t="n">
        <f aca="false">J110*CU_PLANTA</f>
        <v>44009.2993232071</v>
      </c>
      <c r="R110" s="12" t="n">
        <f aca="false">(E110+F110)*CU_HA</f>
        <v>21697.1118364227</v>
      </c>
      <c r="S110" s="12" t="n">
        <f aca="false">J110*(1+P_RECALCE)*(P_PESO_PLANTON+P_PESO_INS)*O110</f>
        <v>1963.00930354194</v>
      </c>
      <c r="T110" s="12" t="n">
        <f aca="false">J110*(1+P_RECALCE)*P_PESO_INS*P_FT_KG</f>
        <v>257.155444524633</v>
      </c>
      <c r="U110" s="12" t="n">
        <f aca="false">K110*CU_ZANJA</f>
        <v>0</v>
      </c>
      <c r="V110" s="12" t="n">
        <f aca="false">L110*CU_TERRAZA</f>
        <v>1996911.3010336</v>
      </c>
      <c r="W110" s="12" t="n">
        <f aca="false">M110*CU_CERCO</f>
        <v>98426.9126618259</v>
      </c>
      <c r="X110" s="12" t="n">
        <f aca="false">N110*CU_CARCAVA</f>
        <v>0</v>
      </c>
      <c r="Y110" s="42" t="n">
        <f aca="false">SUM(P110:X110)</f>
        <v>2172673.13380637</v>
      </c>
      <c r="Z110" s="12" t="n">
        <f aca="false">Y110*(P_GG+P_SUP+P_ET)</f>
        <v>327581.554620889</v>
      </c>
      <c r="AA110" s="42" t="n">
        <f aca="false">Y110+Z110</f>
        <v>2500254.68842726</v>
      </c>
      <c r="AB110" s="12" t="n">
        <f aca="false">IF(D110=0,0,AA110/D110)</f>
        <v>29023.1196492885</v>
      </c>
      <c r="AC110" s="12" t="n">
        <f aca="false">J110*(1+P_RECALCE)*CU_PLANTON_NC+J110*CU_PLANTA_NC+(E110+F110)*CU_HA_NC+S110+K110*CU_ZANJA_NC+L110*CU_TERRAZA_NC+M110*CU_CERCO_NC+N110*CU_CARCAVA_NC</f>
        <v>1241586.15433503</v>
      </c>
      <c r="AD110" s="12" t="n">
        <f aca="false">J110*(1+P_RECALCE)*CU_PLANTON_C+J110*CU_PLANTA_C+(E110+F110)*CU_HA_C+K110*CU_ZANJA_C+L110*CU_TERRAZA_C+M110*CU_CERCO_C+N110*CU_CARCAVA_C</f>
        <v>191695.979773181</v>
      </c>
      <c r="AE110" s="12" t="n">
        <f aca="false">Y110-AC110-AD110</f>
        <v>739390.999698155</v>
      </c>
      <c r="AF110" s="12" t="n">
        <f aca="false">AC110*P_FC_MONC+AD110*P_FC_MOC+(AE110+Z110)*P_FC_BIEN</f>
        <v>1577120.03792546</v>
      </c>
      <c r="AG110" s="12" t="n">
        <f aca="false">(SUM(P110:T110)+W110)*(1+P_GG+P_SUP+P_ET)</f>
        <v>202262.06123642</v>
      </c>
      <c r="AH110" s="12" t="n">
        <f aca="false">(U110+V110+X110)*(1+P_GG+P_SUP+P_ET)</f>
        <v>2297992.62719084</v>
      </c>
    </row>
    <row r="111" customFormat="false" ht="15" hidden="false" customHeight="false" outlineLevel="0" collapsed="false">
      <c r="A111" s="7" t="str">
        <f aca="false">BLOQUES!A111</f>
        <v>17</v>
      </c>
      <c r="B111" s="7" t="str">
        <f aca="false">BLOQUES!AI111</f>
        <v>T6</v>
      </c>
      <c r="C111" s="7" t="str">
        <f aca="false">BLOQUES!AE111</f>
        <v>No</v>
      </c>
      <c r="D111" s="11" t="n">
        <f aca="false">BLOQUES!E111</f>
        <v>96.079</v>
      </c>
      <c r="E111" s="11" t="n">
        <f aca="false">BLOQUES!U111+BLOQUES!V111</f>
        <v>0</v>
      </c>
      <c r="F111" s="11" t="n">
        <f aca="false">BLOQUES!W111+BLOQUES!X111</f>
        <v>2.007</v>
      </c>
      <c r="G111" s="11" t="n">
        <f aca="false">BLOQUES!Y111+BLOQUES!Z111</f>
        <v>94.072</v>
      </c>
      <c r="H111" s="8" t="n">
        <f aca="false">E111*INDEX(PAQ_R1,MATCH(B111,PAQ_T,0))</f>
        <v>0</v>
      </c>
      <c r="I111" s="8" t="n">
        <f aca="false">F111*INDEX(PAQ_R2,MATCH(B111,PAQ_T,0))</f>
        <v>652.275</v>
      </c>
      <c r="J111" s="8" t="n">
        <f aca="false">H111+I111</f>
        <v>652.275</v>
      </c>
      <c r="K111" s="11" t="n">
        <f aca="false">(BLOQUES!U111+BLOQUES!W111)*INDEX(PAQ_MZ,MATCH(B111,PAQ_T,0))/1000</f>
        <v>0</v>
      </c>
      <c r="L111" s="11" t="n">
        <f aca="false">(BLOQUES!U111+BLOQUES!W111)*INDEX(PAQ_MT,MATCH(B111,PAQ_T,0))/1000</f>
        <v>2.39280957123829</v>
      </c>
      <c r="M111" s="8" t="n">
        <f aca="false">BLOQUES!F111*INDEX(PAQ_CERCO,MATCH(B111,PAQ_T,0))</f>
        <v>4664.8</v>
      </c>
      <c r="N111" s="11" t="n">
        <f aca="false">IF(ISNUMBER(BLOQUES!AD111),BLOQUES!AD111/1000,0)</f>
        <v>0</v>
      </c>
      <c r="O111" s="22" t="n">
        <f aca="false">P_JORNAL/(P_CARGA*(P_HORAS*P_EFIC/((BLOQUES!AB111/1000*P_SINUOS)/P_VIDA+(BLOQUES!AB111/1000*P_SINUOS)/P_VVUELTA+P_TCD/60)))</f>
        <v>0.0905783991228071</v>
      </c>
      <c r="P111" s="8" t="n">
        <f aca="false">J111*(1+P_RECALCE)*CU_PLANTON</f>
        <v>956.708051674704</v>
      </c>
      <c r="Q111" s="8" t="n">
        <f aca="false">J111*CU_PLANTA</f>
        <v>4475.18182812366</v>
      </c>
      <c r="R111" s="8" t="n">
        <f aca="false">(E111+F111)*CU_HA</f>
        <v>2248.35313174826</v>
      </c>
      <c r="S111" s="8" t="n">
        <f aca="false">J111*(1+P_RECALCE)*(P_PESO_PLANTON+P_PESO_INS)*O111</f>
        <v>108.533680453742</v>
      </c>
      <c r="T111" s="8" t="n">
        <f aca="false">J111*(1+P_RECALCE)*P_PESO_INS*P_FT_KG</f>
        <v>26.1494136475118</v>
      </c>
      <c r="U111" s="8" t="n">
        <f aca="false">K111*CU_ZANJA</f>
        <v>0</v>
      </c>
      <c r="V111" s="8" t="n">
        <f aca="false">L111*CU_TERRAZA</f>
        <v>215794.555292706</v>
      </c>
      <c r="W111" s="8" t="n">
        <f aca="false">M111*CU_CERCO</f>
        <v>102484.73520343</v>
      </c>
      <c r="X111" s="8" t="n">
        <f aca="false">N111*CU_CARCAVA</f>
        <v>0</v>
      </c>
      <c r="Y111" s="40" t="n">
        <f aca="false">SUM(P111:X111)</f>
        <v>326094.216601783</v>
      </c>
      <c r="Z111" s="8" t="n">
        <f aca="false">Y111*(P_GG+P_SUP+P_ET)</f>
        <v>49166.3696508955</v>
      </c>
      <c r="AA111" s="40" t="n">
        <f aca="false">Y111+Z111</f>
        <v>375260.586252679</v>
      </c>
      <c r="AB111" s="8" t="n">
        <f aca="false">IF(D111=0,0,AA111/D111)</f>
        <v>3905.75033308713</v>
      </c>
      <c r="AC111" s="8" t="n">
        <f aca="false">J111*(1+P_RECALCE)*CU_PLANTON_NC+J111*CU_PLANTA_NC+(E111+F111)*CU_HA_NC+S111+K111*CU_ZANJA_NC+L111*CU_TERRAZA_NC+M111*CU_CERCO_NC+N111*CU_CARCAVA_NC</f>
        <v>133802.104239239</v>
      </c>
      <c r="AD111" s="8" t="n">
        <f aca="false">J111*(1+P_RECALCE)*CU_PLANTON_C+J111*CU_PLANTA_C+(E111+F111)*CU_HA_C+K111*CU_ZANJA_C+L111*CU_TERRAZA_C+M111*CU_CERCO_C+N111*CU_CARCAVA_C</f>
        <v>20688.6268675035</v>
      </c>
      <c r="AE111" s="8" t="n">
        <f aca="false">Y111-AC111-AD111</f>
        <v>171603.485495041</v>
      </c>
      <c r="AF111" s="8" t="n">
        <f aca="false">AC111*P_FC_MONC+AD111*P_FC_MOC+(AE111+Z111)*P_FC_BIEN</f>
        <v>259633.99658711</v>
      </c>
      <c r="AG111" s="8" t="n">
        <f aca="false">(SUM(P111:T111)+W111)*(1+P_GG+P_SUP+P_ET)</f>
        <v>126929.928404287</v>
      </c>
      <c r="AH111" s="8" t="n">
        <f aca="false">(U111+V111+X111)*(1+P_GG+P_SUP+P_ET)</f>
        <v>248330.657848392</v>
      </c>
    </row>
    <row r="112" customFormat="false" ht="15" hidden="false" customHeight="false" outlineLevel="0" collapsed="false">
      <c r="A112" s="9" t="str">
        <f aca="false">BLOQUES!A112</f>
        <v>23</v>
      </c>
      <c r="B112" s="9" t="str">
        <f aca="false">BLOQUES!AI112</f>
        <v>T4</v>
      </c>
      <c r="C112" s="9" t="str">
        <f aca="false">BLOQUES!AE112</f>
        <v>No</v>
      </c>
      <c r="D112" s="10" t="n">
        <f aca="false">BLOQUES!E112</f>
        <v>81.776</v>
      </c>
      <c r="E112" s="10" t="n">
        <f aca="false">BLOQUES!U112+BLOQUES!V112</f>
        <v>0.539</v>
      </c>
      <c r="F112" s="10" t="n">
        <f aca="false">BLOQUES!W112+BLOQUES!X112</f>
        <v>14.792</v>
      </c>
      <c r="G112" s="10" t="n">
        <f aca="false">BLOQUES!Y112+BLOQUES!Z112</f>
        <v>66.445</v>
      </c>
      <c r="H112" s="12" t="n">
        <f aca="false">E112*INDEX(PAQ_R1,MATCH(B112,PAQ_T,0))</f>
        <v>389.158</v>
      </c>
      <c r="I112" s="12" t="n">
        <f aca="false">F112*INDEX(PAQ_R2,MATCH(B112,PAQ_T,0))</f>
        <v>5339.912</v>
      </c>
      <c r="J112" s="12" t="n">
        <f aca="false">H112+I112</f>
        <v>5729.07</v>
      </c>
      <c r="K112" s="10" t="n">
        <f aca="false">(BLOQUES!U112+BLOQUES!W112)*INDEX(PAQ_MZ,MATCH(B112,PAQ_T,0))/1000</f>
        <v>54.5251637986896</v>
      </c>
      <c r="L112" s="10" t="n">
        <f aca="false">(BLOQUES!U112+BLOQUES!W112)*INDEX(PAQ_MT,MATCH(B112,PAQ_T,0))/1000</f>
        <v>0</v>
      </c>
      <c r="M112" s="12" t="n">
        <f aca="false">BLOQUES!F112*INDEX(PAQ_CERCO,MATCH(B112,PAQ_T,0))</f>
        <v>5481.7</v>
      </c>
      <c r="N112" s="10" t="n">
        <f aca="false">IF(ISNUMBER(BLOQUES!AD112),BLOQUES!AD112/1000,0)</f>
        <v>0</v>
      </c>
      <c r="O112" s="31" t="n">
        <f aca="false">P_JORNAL/(P_CARGA*(P_HORAS*P_EFIC/((BLOQUES!AB112/1000*P_SINUOS)/P_VIDA+(BLOQUES!AB112/1000*P_SINUOS)/P_VVUELTA+P_TCD/60)))</f>
        <v>0.0854468201754386</v>
      </c>
      <c r="P112" s="12" t="n">
        <f aca="false">J112*(1+P_RECALCE)*CU_PLANTON</f>
        <v>8402.97021594879</v>
      </c>
      <c r="Q112" s="12" t="n">
        <f aca="false">J112*CU_PLANTA</f>
        <v>39306.473429226</v>
      </c>
      <c r="R112" s="12" t="n">
        <f aca="false">(E112+F112)*CU_HA</f>
        <v>17174.6396924926</v>
      </c>
      <c r="S112" s="12" t="n">
        <f aca="false">J112*(1+P_RECALCE)*(P_PESO_PLANTON+P_PESO_INS)*O112</f>
        <v>899.268105432813</v>
      </c>
      <c r="T112" s="12" t="n">
        <f aca="false">J112*(1+P_RECALCE)*P_PESO_INS*P_FT_KG</f>
        <v>229.675859484957</v>
      </c>
      <c r="U112" s="12" t="n">
        <f aca="false">K112*CU_ZANJA</f>
        <v>523746.9024619</v>
      </c>
      <c r="V112" s="12" t="n">
        <f aca="false">L112*CU_TERRAZA</f>
        <v>0</v>
      </c>
      <c r="W112" s="12" t="n">
        <f aca="false">M112*CU_CERCO</f>
        <v>120431.86695349</v>
      </c>
      <c r="X112" s="12" t="n">
        <f aca="false">N112*CU_CARCAVA</f>
        <v>0</v>
      </c>
      <c r="Y112" s="42" t="n">
        <f aca="false">SUM(P112:X112)</f>
        <v>710191.796717975</v>
      </c>
      <c r="Z112" s="12" t="n">
        <f aca="false">Y112*(P_GG+P_SUP+P_ET)</f>
        <v>107078.110014781</v>
      </c>
      <c r="AA112" s="42" t="n">
        <f aca="false">Y112+Z112</f>
        <v>817269.906732756</v>
      </c>
      <c r="AB112" s="12" t="n">
        <f aca="false">IF(D112=0,0,AA112/D112)</f>
        <v>9994.00688139254</v>
      </c>
      <c r="AC112" s="12" t="n">
        <f aca="false">J112*(1+P_RECALCE)*CU_PLANTON_NC+J112*CU_PLANTA_NC+(E112+F112)*CU_HA_NC+S112+K112*CU_ZANJA_NC+L112*CU_TERRAZA_NC+M112*CU_CERCO_NC+N112*CU_CARCAVA_NC</f>
        <v>488277.065432514</v>
      </c>
      <c r="AD112" s="12" t="n">
        <f aca="false">J112*(1+P_RECALCE)*CU_PLANTON_C+J112*CU_PLANTA_C+(E112+F112)*CU_HA_C+K112*CU_ZANJA_C+L112*CU_TERRAZA_C+M112*CU_CERCO_C+N112*CU_CARCAVA_C</f>
        <v>39721.514885653</v>
      </c>
      <c r="AE112" s="12" t="n">
        <f aca="false">Y112-AC112-AD112</f>
        <v>182193.216399808</v>
      </c>
      <c r="AF112" s="12" t="n">
        <f aca="false">AC112*P_FC_MONC+AD112*P_FC_MOC+(AE112+Z112)*P_FC_BIEN</f>
        <v>481601.556118092</v>
      </c>
      <c r="AG112" s="12" t="n">
        <f aca="false">(SUM(P112:T112)+W112)*(1+P_GG+P_SUP+P_ET)</f>
        <v>214555.845397875</v>
      </c>
      <c r="AH112" s="12" t="n">
        <f aca="false">(U112+V112+X112)*(1+P_GG+P_SUP+P_ET)</f>
        <v>602714.061334881</v>
      </c>
    </row>
    <row r="113" customFormat="false" ht="15" hidden="false" customHeight="false" outlineLevel="0" collapsed="false">
      <c r="A113" s="7" t="str">
        <f aca="false">BLOQUES!A113</f>
        <v>78</v>
      </c>
      <c r="B113" s="7" t="str">
        <f aca="false">BLOQUES!AI113</f>
        <v>T4</v>
      </c>
      <c r="C113" s="7" t="str">
        <f aca="false">BLOQUES!AE113</f>
        <v>No</v>
      </c>
      <c r="D113" s="11" t="n">
        <f aca="false">BLOQUES!E113</f>
        <v>35.1</v>
      </c>
      <c r="E113" s="11" t="n">
        <f aca="false">BLOQUES!U113+BLOQUES!V113</f>
        <v>0.02</v>
      </c>
      <c r="F113" s="11" t="n">
        <f aca="false">BLOQUES!W113+BLOQUES!X113</f>
        <v>0.6</v>
      </c>
      <c r="G113" s="11" t="n">
        <f aca="false">BLOQUES!Y113+BLOQUES!Z113</f>
        <v>34.48</v>
      </c>
      <c r="H113" s="8" t="n">
        <f aca="false">E113*INDEX(PAQ_R1,MATCH(B113,PAQ_T,0))</f>
        <v>14.44</v>
      </c>
      <c r="I113" s="8" t="n">
        <f aca="false">F113*INDEX(PAQ_R2,MATCH(B113,PAQ_T,0))</f>
        <v>216.6</v>
      </c>
      <c r="J113" s="8" t="n">
        <f aca="false">H113+I113</f>
        <v>231.04</v>
      </c>
      <c r="K113" s="11" t="n">
        <f aca="false">(BLOQUES!U113+BLOQUES!W113)*INDEX(PAQ_MZ,MATCH(B113,PAQ_T,0))/1000</f>
        <v>1.76038591691266</v>
      </c>
      <c r="L113" s="11" t="n">
        <f aca="false">(BLOQUES!U113+BLOQUES!W113)*INDEX(PAQ_MT,MATCH(B113,PAQ_T,0))/1000</f>
        <v>0</v>
      </c>
      <c r="M113" s="8" t="n">
        <f aca="false">BLOQUES!F113*INDEX(PAQ_CERCO,MATCH(B113,PAQ_T,0))</f>
        <v>2560.8</v>
      </c>
      <c r="N113" s="11" t="n">
        <f aca="false">IF(ISNUMBER(BLOQUES!AD113),BLOQUES!AD113/1000,0)</f>
        <v>0</v>
      </c>
      <c r="O113" s="22" t="n">
        <f aca="false">P_JORNAL/(P_CARGA*(P_HORAS*P_EFIC/((BLOQUES!AB113/1000*P_SINUOS)/P_VIDA+(BLOQUES!AB113/1000*P_SINUOS)/P_VVUELTA+P_TCD/60)))</f>
        <v>0.118695175438597</v>
      </c>
      <c r="P113" s="8" t="n">
        <f aca="false">J113*(1+P_RECALCE)*CU_PLANTON</f>
        <v>338.87214481457</v>
      </c>
      <c r="Q113" s="8" t="n">
        <f aca="false">J113*CU_PLANTA</f>
        <v>1585.13818492153</v>
      </c>
      <c r="R113" s="8" t="n">
        <f aca="false">(E113+F113)*CU_HA</f>
        <v>694.558516035836</v>
      </c>
      <c r="S113" s="8" t="n">
        <f aca="false">J113*(1+P_RECALCE)*(P_PESO_PLANTON+P_PESO_INS)*O113</f>
        <v>50.3766633333333</v>
      </c>
      <c r="T113" s="8" t="n">
        <f aca="false">J113*(1+P_RECALCE)*P_PESO_INS*P_FT_KG</f>
        <v>9.26229048962648</v>
      </c>
      <c r="U113" s="8" t="n">
        <f aca="false">K113*CU_ZANJA</f>
        <v>16909.5626108457</v>
      </c>
      <c r="V113" s="8" t="n">
        <f aca="false">L113*CU_TERRAZA</f>
        <v>0</v>
      </c>
      <c r="W113" s="8" t="n">
        <f aca="false">M113*CU_CERCO</f>
        <v>56260.2705172661</v>
      </c>
      <c r="X113" s="8" t="n">
        <f aca="false">N113*CU_CARCAVA</f>
        <v>0</v>
      </c>
      <c r="Y113" s="40" t="n">
        <f aca="false">SUM(P113:X113)</f>
        <v>75848.0409277067</v>
      </c>
      <c r="Z113" s="8" t="n">
        <f aca="false">Y113*(P_GG+P_SUP+P_ET)</f>
        <v>11435.8753626773</v>
      </c>
      <c r="AA113" s="40" t="n">
        <f aca="false">Y113+Z113</f>
        <v>87283.916290384</v>
      </c>
      <c r="AB113" s="8" t="n">
        <f aca="false">IF(D113=0,0,AA113/D113)</f>
        <v>2486.7212618343</v>
      </c>
      <c r="AC113" s="8" t="n">
        <f aca="false">J113*(1+P_RECALCE)*CU_PLANTON_NC+J113*CU_PLANTA_NC+(E113+F113)*CU_HA_NC+S113+K113*CU_ZANJA_NC+L113*CU_TERRAZA_NC+M113*CU_CERCO_NC+N113*CU_CARCAVA_NC</f>
        <v>16106.8248067552</v>
      </c>
      <c r="AD113" s="8" t="n">
        <f aca="false">J113*(1+P_RECALCE)*CU_PLANTON_C+J113*CU_PLANTA_C+(E113+F113)*CU_HA_C+K113*CU_ZANJA_C+L113*CU_TERRAZA_C+M113*CU_CERCO_C+N113*CU_CARCAVA_C</f>
        <v>1317.13076151614</v>
      </c>
      <c r="AE113" s="8" t="n">
        <f aca="false">Y113-AC113-AD113</f>
        <v>58424.0853594354</v>
      </c>
      <c r="AF113" s="8" t="n">
        <f aca="false">AC113*P_FC_MONC+AD113*P_FC_MOC+(AE113+Z113)*P_FC_BIEN</f>
        <v>67008.7562645982</v>
      </c>
      <c r="AG113" s="8" t="n">
        <f aca="false">(SUM(P113:T113)+W113)*(1+P_GG+P_SUP+P_ET)</f>
        <v>67824.8395709361</v>
      </c>
      <c r="AH113" s="8" t="n">
        <f aca="false">(U113+V113+X113)*(1+P_GG+P_SUP+P_ET)</f>
        <v>19459.0767194478</v>
      </c>
    </row>
    <row r="114" customFormat="false" ht="15" hidden="false" customHeight="false" outlineLevel="0" collapsed="false">
      <c r="A114" s="9" t="str">
        <f aca="false">BLOQUES!A114</f>
        <v>82</v>
      </c>
      <c r="B114" s="9" t="str">
        <f aca="false">BLOQUES!AI114</f>
        <v>T4</v>
      </c>
      <c r="C114" s="9" t="str">
        <f aca="false">BLOQUES!AE114</f>
        <v>No</v>
      </c>
      <c r="D114" s="10" t="n">
        <f aca="false">BLOQUES!E114</f>
        <v>35.661</v>
      </c>
      <c r="E114" s="10" t="n">
        <f aca="false">BLOQUES!U114+BLOQUES!V114</f>
        <v>0</v>
      </c>
      <c r="F114" s="10" t="n">
        <f aca="false">BLOQUES!W114+BLOQUES!X114</f>
        <v>4.52</v>
      </c>
      <c r="G114" s="10" t="n">
        <f aca="false">BLOQUES!Y114+BLOQUES!Z114</f>
        <v>31.141</v>
      </c>
      <c r="H114" s="12" t="n">
        <f aca="false">E114*INDEX(PAQ_R1,MATCH(B114,PAQ_T,0))</f>
        <v>0</v>
      </c>
      <c r="I114" s="12" t="n">
        <f aca="false">F114*INDEX(PAQ_R2,MATCH(B114,PAQ_T,0))</f>
        <v>1631.72</v>
      </c>
      <c r="J114" s="12" t="n">
        <f aca="false">H114+I114</f>
        <v>1631.72</v>
      </c>
      <c r="K114" s="10" t="n">
        <f aca="false">(BLOQUES!U114+BLOQUES!W114)*INDEX(PAQ_MZ,MATCH(B114,PAQ_T,0))/1000</f>
        <v>16.0054719562244</v>
      </c>
      <c r="L114" s="10" t="n">
        <f aca="false">(BLOQUES!U114+BLOQUES!W114)*INDEX(PAQ_MT,MATCH(B114,PAQ_T,0))/1000</f>
        <v>0</v>
      </c>
      <c r="M114" s="12" t="n">
        <f aca="false">BLOQUES!F114*INDEX(PAQ_CERCO,MATCH(B114,PAQ_T,0))</f>
        <v>2778.3</v>
      </c>
      <c r="N114" s="10" t="n">
        <f aca="false">IF(ISNUMBER(BLOQUES!AD114),BLOQUES!AD114/1000,0)</f>
        <v>0</v>
      </c>
      <c r="O114" s="31" t="n">
        <f aca="false">P_JORNAL/(P_CARGA*(P_HORAS*P_EFIC/((BLOQUES!AB114/1000*P_SINUOS)/P_VIDA+(BLOQUES!AB114/1000*P_SINUOS)/P_VVUELTA+P_TCD/60)))</f>
        <v>0.0556195175438597</v>
      </c>
      <c r="P114" s="12" t="n">
        <f aca="false">J114*(1+P_RECALCE)*CU_PLANTON</f>
        <v>2393.2845227529</v>
      </c>
      <c r="Q114" s="12" t="n">
        <f aca="false">J114*CU_PLANTA</f>
        <v>11195.0384310083</v>
      </c>
      <c r="R114" s="12" t="n">
        <f aca="false">(E114+F114)*CU_HA</f>
        <v>5063.55563303545</v>
      </c>
      <c r="S114" s="12" t="n">
        <f aca="false">J114*(1+P_RECALCE)*(P_PESO_PLANTON+P_PESO_INS)*O114</f>
        <v>166.717815229167</v>
      </c>
      <c r="T114" s="12" t="n">
        <f aca="false">J114*(1+P_RECALCE)*P_PESO_INS*P_FT_KG</f>
        <v>65.414926582987</v>
      </c>
      <c r="U114" s="12" t="n">
        <f aca="false">K114*CU_ZANJA</f>
        <v>153742.158216401</v>
      </c>
      <c r="V114" s="12" t="n">
        <f aca="false">L114*CU_TERRAZA</f>
        <v>0</v>
      </c>
      <c r="W114" s="12" t="n">
        <f aca="false">M114*CU_CERCO</f>
        <v>61038.7025843957</v>
      </c>
      <c r="X114" s="12" t="n">
        <f aca="false">N114*CU_CARCAVA</f>
        <v>0</v>
      </c>
      <c r="Y114" s="42" t="n">
        <f aca="false">SUM(P114:X114)</f>
        <v>233664.872129405</v>
      </c>
      <c r="Z114" s="12" t="n">
        <f aca="false">Y114*(P_GG+P_SUP+P_ET)</f>
        <v>35230.4729512358</v>
      </c>
      <c r="AA114" s="42" t="n">
        <f aca="false">Y114+Z114</f>
        <v>268895.345080641</v>
      </c>
      <c r="AB114" s="12" t="n">
        <f aca="false">IF(D114=0,0,AA114/D114)</f>
        <v>7540.31981942854</v>
      </c>
      <c r="AC114" s="12" t="n">
        <f aca="false">J114*(1+P_RECALCE)*CU_PLANTON_NC+J114*CU_PLANTA_NC+(E114+F114)*CU_HA_NC+S114+K114*CU_ZANJA_NC+L114*CU_TERRAZA_NC+M114*CU_CERCO_NC+N114*CU_CARCAVA_NC</f>
        <v>143007.49769931</v>
      </c>
      <c r="AD114" s="12" t="n">
        <f aca="false">J114*(1+P_RECALCE)*CU_PLANTON_C+J114*CU_PLANTA_C+(E114+F114)*CU_HA_C+K114*CU_ZANJA_C+L114*CU_TERRAZA_C+M114*CU_CERCO_C+N114*CU_CARCAVA_C</f>
        <v>11646.9189412211</v>
      </c>
      <c r="AE114" s="12" t="n">
        <f aca="false">Y114-AC114-AD114</f>
        <v>79010.4554888744</v>
      </c>
      <c r="AF114" s="12" t="n">
        <f aca="false">AC114*P_FC_MONC+AD114*P_FC_MOC+(AE114+Z114)*P_FC_BIEN</f>
        <v>166078.561132961</v>
      </c>
      <c r="AG114" s="12" t="n">
        <f aca="false">(SUM(P114:T114)+W114)*(1+P_GG+P_SUP+P_ET)</f>
        <v>91972.9420240664</v>
      </c>
      <c r="AH114" s="12" t="n">
        <f aca="false">(U114+V114+X114)*(1+P_GG+P_SUP+P_ET)</f>
        <v>176922.403056575</v>
      </c>
    </row>
    <row r="115" customFormat="false" ht="15" hidden="false" customHeight="false" outlineLevel="0" collapsed="false">
      <c r="A115" s="7" t="str">
        <f aca="false">BLOQUES!A115</f>
        <v>M19B7</v>
      </c>
      <c r="B115" s="7" t="str">
        <f aca="false">BLOQUES!AI115</f>
        <v>T6</v>
      </c>
      <c r="C115" s="7" t="str">
        <f aca="false">BLOQUES!AE115</f>
        <v>No</v>
      </c>
      <c r="D115" s="11" t="n">
        <f aca="false">BLOQUES!E115</f>
        <v>34.171</v>
      </c>
      <c r="E115" s="11" t="n">
        <f aca="false">BLOQUES!U115+BLOQUES!V115</f>
        <v>0</v>
      </c>
      <c r="F115" s="11" t="n">
        <f aca="false">BLOQUES!W115+BLOQUES!X115</f>
        <v>1.998</v>
      </c>
      <c r="G115" s="11" t="n">
        <f aca="false">BLOQUES!Y115+BLOQUES!Z115</f>
        <v>32.173</v>
      </c>
      <c r="H115" s="8" t="n">
        <f aca="false">E115*INDEX(PAQ_R1,MATCH(B115,PAQ_T,0))</f>
        <v>0</v>
      </c>
      <c r="I115" s="8" t="n">
        <f aca="false">F115*INDEX(PAQ_R2,MATCH(B115,PAQ_T,0))</f>
        <v>649.35</v>
      </c>
      <c r="J115" s="8" t="n">
        <f aca="false">H115+I115</f>
        <v>649.35</v>
      </c>
      <c r="K115" s="11" t="n">
        <f aca="false">(BLOQUES!U115+BLOQUES!W115)*INDEX(PAQ_MZ,MATCH(B115,PAQ_T,0))/1000</f>
        <v>0</v>
      </c>
      <c r="L115" s="11" t="n">
        <f aca="false">(BLOQUES!U115+BLOQUES!W115)*INDEX(PAQ_MT,MATCH(B115,PAQ_T,0))/1000</f>
        <v>2.39760959043836</v>
      </c>
      <c r="M115" s="8" t="n">
        <f aca="false">BLOQUES!F115*INDEX(PAQ_CERCO,MATCH(B115,PAQ_T,0))</f>
        <v>2564.7</v>
      </c>
      <c r="N115" s="11" t="n">
        <f aca="false">IF(ISNUMBER(BLOQUES!AD115),BLOQUES!AD115/1000,0)</f>
        <v>0</v>
      </c>
      <c r="O115" s="22" t="n">
        <f aca="false">P_JORNAL/(P_CARGA*(P_HORAS*P_EFIC/((BLOQUES!AB115/1000*P_SINUOS)/P_VIDA+(BLOQUES!AB115/1000*P_SINUOS)/P_VVUELTA+P_TCD/60)))</f>
        <v>0.276384320175439</v>
      </c>
      <c r="P115" s="8" t="n">
        <f aca="false">J115*(1+P_RECALCE)*CU_PLANTON</f>
        <v>952.417881039392</v>
      </c>
      <c r="Q115" s="8" t="n">
        <f aca="false">J115*CU_PLANTA</f>
        <v>4455.11374817691</v>
      </c>
      <c r="R115" s="8" t="n">
        <f aca="false">(E115+F115)*CU_HA</f>
        <v>2238.27083070903</v>
      </c>
      <c r="S115" s="8" t="n">
        <f aca="false">J115*(1+P_RECALCE)*(P_PESO_PLANTON+P_PESO_INS)*O115</f>
        <v>329.686680807977</v>
      </c>
      <c r="T115" s="8" t="n">
        <f aca="false">J115*(1+P_RECALCE)*P_PESO_INS*P_FT_KG</f>
        <v>26.0321517029041</v>
      </c>
      <c r="U115" s="8" t="n">
        <f aca="false">K115*CU_ZANJA</f>
        <v>0</v>
      </c>
      <c r="V115" s="8" t="n">
        <f aca="false">L115*CU_TERRAZA</f>
        <v>216227.443066613</v>
      </c>
      <c r="W115" s="8" t="n">
        <f aca="false">M115*CU_CERCO</f>
        <v>56345.9527474353</v>
      </c>
      <c r="X115" s="8" t="n">
        <f aca="false">N115*CU_CARCAVA</f>
        <v>0</v>
      </c>
      <c r="Y115" s="40" t="n">
        <f aca="false">SUM(P115:X115)</f>
        <v>280574.917106484</v>
      </c>
      <c r="Z115" s="8" t="n">
        <f aca="false">Y115*(P_GG+P_SUP+P_ET)</f>
        <v>42303.2650900173</v>
      </c>
      <c r="AA115" s="40" t="n">
        <f aca="false">Y115+Z115</f>
        <v>322878.182196502</v>
      </c>
      <c r="AB115" s="8" t="n">
        <f aca="false">IF(D115=0,0,AA115/D115)</f>
        <v>9448.8947410524</v>
      </c>
      <c r="AC115" s="8" t="n">
        <f aca="false">J115*(1+P_RECALCE)*CU_PLANTON_NC+J115*CU_PLANTA_NC+(E115+F115)*CU_HA_NC+S115+K115*CU_ZANJA_NC+L115*CU_TERRAZA_NC+M115*CU_CERCO_NC+N115*CU_CARCAVA_NC</f>
        <v>134260.727675195</v>
      </c>
      <c r="AD115" s="8" t="n">
        <f aca="false">J115*(1+P_RECALCE)*CU_PLANTON_C+J115*CU_PLANTA_C+(E115+F115)*CU_HA_C+K115*CU_ZANJA_C+L115*CU_TERRAZA_C+M115*CU_CERCO_C+N115*CU_CARCAVA_C</f>
        <v>20726.6974136944</v>
      </c>
      <c r="AE115" s="8" t="n">
        <f aca="false">Y115-AC115-AD115</f>
        <v>125587.492017595</v>
      </c>
      <c r="AF115" s="8" t="n">
        <f aca="false">AC115*P_FC_MONC+AD115*P_FC_MOC+(AE115+Z115)*P_FC_BIEN</f>
        <v>215043.89921397</v>
      </c>
      <c r="AG115" s="8" t="n">
        <f aca="false">(SUM(P115:T115)+W115)*(1+P_GG+P_SUP+P_ET)</f>
        <v>74049.3685650639</v>
      </c>
      <c r="AH115" s="8" t="n">
        <f aca="false">(U115+V115+X115)*(1+P_GG+P_SUP+P_ET)</f>
        <v>248828.813631438</v>
      </c>
    </row>
    <row r="116" customFormat="false" ht="15" hidden="false" customHeight="false" outlineLevel="0" collapsed="false">
      <c r="A116" s="9" t="str">
        <f aca="false">BLOQUES!A116</f>
        <v>M8B2</v>
      </c>
      <c r="B116" s="9" t="str">
        <f aca="false">BLOQUES!AI116</f>
        <v>T2</v>
      </c>
      <c r="C116" s="9" t="str">
        <f aca="false">BLOQUES!AE116</f>
        <v>No</v>
      </c>
      <c r="D116" s="10" t="n">
        <f aca="false">BLOQUES!E116</f>
        <v>35.347</v>
      </c>
      <c r="E116" s="10" t="n">
        <f aca="false">BLOQUES!U116+BLOQUES!V116</f>
        <v>1.673</v>
      </c>
      <c r="F116" s="10" t="n">
        <f aca="false">BLOQUES!W116+BLOQUES!X116</f>
        <v>9.363</v>
      </c>
      <c r="G116" s="10" t="n">
        <f aca="false">BLOQUES!Y116+BLOQUES!Z116</f>
        <v>24.31</v>
      </c>
      <c r="H116" s="12" t="n">
        <f aca="false">E116*INDEX(PAQ_R1,MATCH(B116,PAQ_T,0))</f>
        <v>1087.45</v>
      </c>
      <c r="I116" s="12" t="n">
        <f aca="false">F116*INDEX(PAQ_R2,MATCH(B116,PAQ_T,0))</f>
        <v>3042.975</v>
      </c>
      <c r="J116" s="12" t="n">
        <f aca="false">H116+I116</f>
        <v>4130.425</v>
      </c>
      <c r="K116" s="10" t="n">
        <f aca="false">(BLOQUES!U116+BLOQUES!W116)*INDEX(PAQ_MZ,MATCH(B116,PAQ_T,0))/1000</f>
        <v>37.7456980344157</v>
      </c>
      <c r="L116" s="10" t="n">
        <f aca="false">(BLOQUES!U116+BLOQUES!W116)*INDEX(PAQ_MT,MATCH(B116,PAQ_T,0))/1000</f>
        <v>0</v>
      </c>
      <c r="M116" s="12" t="n">
        <f aca="false">BLOQUES!F116*INDEX(PAQ_CERCO,MATCH(B116,PAQ_T,0))</f>
        <v>3466.1</v>
      </c>
      <c r="N116" s="10" t="n">
        <f aca="false">IF(ISNUMBER(BLOQUES!AD116),BLOQUES!AD116/1000,0)</f>
        <v>0</v>
      </c>
      <c r="O116" s="31" t="n">
        <f aca="false">P_JORNAL/(P_CARGA*(P_HORAS*P_EFIC/((BLOQUES!AB116/1000*P_SINUOS)/P_VIDA+(BLOQUES!AB116/1000*P_SINUOS)/P_VVUELTA+P_TCD/60)))</f>
        <v>0.101269188596491</v>
      </c>
      <c r="P116" s="12" t="n">
        <f aca="false">J116*(1+P_RECALCE)*CU_PLANTON</f>
        <v>6058.1976226875</v>
      </c>
      <c r="Q116" s="12" t="n">
        <f aca="false">J116*CU_PLANTA</f>
        <v>28338.3586714617</v>
      </c>
      <c r="R116" s="12" t="n">
        <f aca="false">(E116+F116)*CU_HA</f>
        <v>12363.1415854379</v>
      </c>
      <c r="S116" s="12" t="n">
        <f aca="false">J116*(1+P_RECALCE)*(P_PESO_PLANTON+P_PESO_INS)*O116</f>
        <v>768.389156123013</v>
      </c>
      <c r="T116" s="12" t="n">
        <f aca="false">J116*(1+P_RECALCE)*P_PESO_INS*P_FT_KG</f>
        <v>165.586894890995</v>
      </c>
      <c r="U116" s="12" t="n">
        <f aca="false">K116*CU_ZANJA</f>
        <v>362570.069477949</v>
      </c>
      <c r="V116" s="12" t="n">
        <f aca="false">L116*CU_TERRAZA</f>
        <v>0</v>
      </c>
      <c r="W116" s="12" t="n">
        <f aca="false">M116*CU_CERCO</f>
        <v>76149.5328178288</v>
      </c>
      <c r="X116" s="12" t="n">
        <f aca="false">N116*CU_CARCAVA</f>
        <v>0</v>
      </c>
      <c r="Y116" s="42" t="n">
        <f aca="false">SUM(P116:X116)</f>
        <v>486413.276226379</v>
      </c>
      <c r="Z116" s="12" t="n">
        <f aca="false">Y116*(P_GG+P_SUP+P_ET)</f>
        <v>73338.2370017736</v>
      </c>
      <c r="AA116" s="42" t="n">
        <f aca="false">Y116+Z116</f>
        <v>559751.513228153</v>
      </c>
      <c r="AB116" s="12" t="n">
        <f aca="false">IF(D116=0,0,AA116/D116)</f>
        <v>15835.8987531658</v>
      </c>
      <c r="AC116" s="12" t="n">
        <f aca="false">J116*(1+P_RECALCE)*CU_PLANTON_NC+J116*CU_PLANTA_NC+(E116+F116)*CU_HA_NC+S116+K116*CU_ZANJA_NC+L116*CU_TERRAZA_NC+M116*CU_CERCO_NC+N116*CU_CARCAVA_NC</f>
        <v>339288.915905308</v>
      </c>
      <c r="AD116" s="12" t="n">
        <f aca="false">J116*(1+P_RECALCE)*CU_PLANTON_C+J116*CU_PLANTA_C+(E116+F116)*CU_HA_C+K116*CU_ZANJA_C+L116*CU_TERRAZA_C+M116*CU_CERCO_C+N116*CU_CARCAVA_C</f>
        <v>27617.8134084672</v>
      </c>
      <c r="AE116" s="12" t="n">
        <f aca="false">Y116-AC116-AD116</f>
        <v>119506.546912604</v>
      </c>
      <c r="AF116" s="12" t="n">
        <f aca="false">AC116*P_FC_MONC+AD116*P_FC_MOC+(AE116+Z116)*P_FC_BIEN</f>
        <v>327747.200251205</v>
      </c>
      <c r="AG116" s="12" t="n">
        <f aca="false">(SUM(P116:T116)+W116)*(1+P_GG+P_SUP+P_ET)</f>
        <v>142515.481728336</v>
      </c>
      <c r="AH116" s="12" t="n">
        <f aca="false">(U116+V116+X116)*(1+P_GG+P_SUP+P_ET)</f>
        <v>417236.031499817</v>
      </c>
    </row>
    <row r="117" customFormat="false" ht="15" hidden="false" customHeight="false" outlineLevel="0" collapsed="false">
      <c r="A117" s="7" t="str">
        <f aca="false">BLOQUES!A117</f>
        <v>13</v>
      </c>
      <c r="B117" s="7" t="str">
        <f aca="false">BLOQUES!AI117</f>
        <v>T4</v>
      </c>
      <c r="C117" s="7" t="str">
        <f aca="false">BLOQUES!AE117</f>
        <v>No</v>
      </c>
      <c r="D117" s="11" t="n">
        <f aca="false">BLOQUES!E117</f>
        <v>100.514</v>
      </c>
      <c r="E117" s="11" t="n">
        <f aca="false">BLOQUES!U117+BLOQUES!V117</f>
        <v>0</v>
      </c>
      <c r="F117" s="11" t="n">
        <f aca="false">BLOQUES!W117+BLOQUES!X117</f>
        <v>5.239</v>
      </c>
      <c r="G117" s="11" t="n">
        <f aca="false">BLOQUES!Y117+BLOQUES!Z117</f>
        <v>95.274</v>
      </c>
      <c r="H117" s="8" t="n">
        <f aca="false">E117*INDEX(PAQ_R1,MATCH(B117,PAQ_T,0))</f>
        <v>0</v>
      </c>
      <c r="I117" s="8" t="n">
        <f aca="false">F117*INDEX(PAQ_R2,MATCH(B117,PAQ_T,0))</f>
        <v>1891.279</v>
      </c>
      <c r="J117" s="8" t="n">
        <f aca="false">H117+I117</f>
        <v>1891.279</v>
      </c>
      <c r="K117" s="11" t="n">
        <f aca="false">(BLOQUES!U117+BLOQUES!W117)*INDEX(PAQ_MZ,MATCH(B117,PAQ_T,0))/1000</f>
        <v>18.5578515371877</v>
      </c>
      <c r="L117" s="11" t="n">
        <f aca="false">(BLOQUES!U117+BLOQUES!W117)*INDEX(PAQ_MT,MATCH(B117,PAQ_T,0))/1000</f>
        <v>0</v>
      </c>
      <c r="M117" s="8" t="n">
        <f aca="false">BLOQUES!F117*INDEX(PAQ_CERCO,MATCH(B117,PAQ_T,0))</f>
        <v>3901.1</v>
      </c>
      <c r="N117" s="11" t="n">
        <f aca="false">IF(ISNUMBER(BLOQUES!AD117),BLOQUES!AD117/1000,0)</f>
        <v>0</v>
      </c>
      <c r="O117" s="22" t="n">
        <f aca="false">P_JORNAL/(P_CARGA*(P_HORAS*P_EFIC/((BLOQUES!AB117/1000*P_SINUOS)/P_VIDA+(BLOQUES!AB117/1000*P_SINUOS)/P_VVUELTA+P_TCD/60)))</f>
        <v>0.147987938596491</v>
      </c>
      <c r="P117" s="8" t="n">
        <f aca="false">J117*(1+P_RECALCE)*CU_PLANTON</f>
        <v>2773.98619794302</v>
      </c>
      <c r="Q117" s="8" t="n">
        <f aca="false">J117*CU_PLANTA</f>
        <v>12975.8421106311</v>
      </c>
      <c r="R117" s="8" t="n">
        <f aca="false">(E117+F117)*CU_HA</f>
        <v>5869.01946050282</v>
      </c>
      <c r="S117" s="8" t="n">
        <f aca="false">J117*(1+P_RECALCE)*(P_PESO_PLANTON+P_PESO_INS)*O117</f>
        <v>514.151464716771</v>
      </c>
      <c r="T117" s="8" t="n">
        <f aca="false">J117*(1+P_RECALCE)*P_PESO_INS*P_FT_KG</f>
        <v>75.8205310549268</v>
      </c>
      <c r="U117" s="8" t="n">
        <f aca="false">K117*CU_ZANJA</f>
        <v>178259.295007995</v>
      </c>
      <c r="V117" s="8" t="n">
        <f aca="false">L117*CU_TERRAZA</f>
        <v>0</v>
      </c>
      <c r="W117" s="8" t="n">
        <f aca="false">M117*CU_CERCO</f>
        <v>85706.3969520879</v>
      </c>
      <c r="X117" s="8" t="n">
        <f aca="false">N117*CU_CARCAVA</f>
        <v>0</v>
      </c>
      <c r="Y117" s="40" t="n">
        <f aca="false">SUM(P117:X117)</f>
        <v>286174.511724932</v>
      </c>
      <c r="Z117" s="8" t="n">
        <f aca="false">Y117*(P_GG+P_SUP+P_ET)</f>
        <v>43147.5356256151</v>
      </c>
      <c r="AA117" s="40" t="n">
        <f aca="false">Y117+Z117</f>
        <v>329322.047350547</v>
      </c>
      <c r="AB117" s="8" t="n">
        <f aca="false">IF(D117=0,0,AA117/D117)</f>
        <v>3276.37988091755</v>
      </c>
      <c r="AC117" s="8" t="n">
        <f aca="false">J117*(1+P_RECALCE)*CU_PLANTON_NC+J117*CU_PLANTA_NC+(E117+F117)*CU_HA_NC+S117+K117*CU_ZANJA_NC+L117*CU_TERRAZA_NC+M117*CU_CERCO_NC+N117*CU_CARCAVA_NC</f>
        <v>166129.074800118</v>
      </c>
      <c r="AD117" s="8" t="n">
        <f aca="false">J117*(1+P_RECALCE)*CU_PLANTON_C+J117*CU_PLANTA_C+(E117+F117)*CU_HA_C+K117*CU_ZANJA_C+L117*CU_TERRAZA_C+M117*CU_CERCO_C+N117*CU_CARCAVA_C</f>
        <v>13503.7483354923</v>
      </c>
      <c r="AE117" s="8" t="n">
        <f aca="false">Y117-AC117-AD117</f>
        <v>106541.688589322</v>
      </c>
      <c r="AF117" s="8" t="n">
        <f aca="false">AC117*P_FC_MONC+AD117*P_FC_MOC+(AE117+Z117)*P_FC_BIEN</f>
        <v>207297.447359509</v>
      </c>
      <c r="AG117" s="8" t="n">
        <f aca="false">(SUM(P117:T117)+W117)*(1+P_GG+P_SUP+P_ET)</f>
        <v>124185.972731419</v>
      </c>
      <c r="AH117" s="8" t="n">
        <f aca="false">(U117+V117+X117)*(1+P_GG+P_SUP+P_ET)</f>
        <v>205136.074619128</v>
      </c>
    </row>
    <row r="118" customFormat="false" ht="15" hidden="false" customHeight="false" outlineLevel="0" collapsed="false">
      <c r="A118" s="9" t="str">
        <f aca="false">BLOQUES!A118</f>
        <v>49</v>
      </c>
      <c r="B118" s="9" t="str">
        <f aca="false">BLOQUES!AI118</f>
        <v>T6</v>
      </c>
      <c r="C118" s="9" t="str">
        <f aca="false">BLOQUES!AE118</f>
        <v>No</v>
      </c>
      <c r="D118" s="10" t="n">
        <f aca="false">BLOQUES!E118</f>
        <v>15.839</v>
      </c>
      <c r="E118" s="10" t="n">
        <f aca="false">BLOQUES!U118+BLOQUES!V118</f>
        <v>0</v>
      </c>
      <c r="F118" s="10" t="n">
        <f aca="false">BLOQUES!W118+BLOQUES!X118</f>
        <v>0.577</v>
      </c>
      <c r="G118" s="10" t="n">
        <f aca="false">BLOQUES!Y118+BLOQUES!Z118</f>
        <v>15.262</v>
      </c>
      <c r="H118" s="12" t="n">
        <f aca="false">E118*INDEX(PAQ_R1,MATCH(B118,PAQ_T,0))</f>
        <v>0</v>
      </c>
      <c r="I118" s="12" t="n">
        <f aca="false">F118*INDEX(PAQ_R2,MATCH(B118,PAQ_T,0))</f>
        <v>187.525</v>
      </c>
      <c r="J118" s="12" t="n">
        <f aca="false">H118+I118</f>
        <v>187.525</v>
      </c>
      <c r="K118" s="10" t="n">
        <f aca="false">(BLOQUES!U118+BLOQUES!W118)*INDEX(PAQ_MZ,MATCH(B118,PAQ_T,0))/1000</f>
        <v>0</v>
      </c>
      <c r="L118" s="10" t="n">
        <f aca="false">(BLOQUES!U118+BLOQUES!W118)*INDEX(PAQ_MT,MATCH(B118,PAQ_T,0))/1000</f>
        <v>0.631202524810099</v>
      </c>
      <c r="M118" s="12" t="n">
        <f aca="false">BLOQUES!F118*INDEX(PAQ_CERCO,MATCH(B118,PAQ_T,0))</f>
        <v>1559.2</v>
      </c>
      <c r="N118" s="10" t="n">
        <f aca="false">IF(ISNUMBER(BLOQUES!AD118),BLOQUES!AD118/1000,0)</f>
        <v>0</v>
      </c>
      <c r="O118" s="31" t="n">
        <f aca="false">P_JORNAL/(P_CARGA*(P_HORAS*P_EFIC/((BLOQUES!AB118/1000*P_SINUOS)/P_VIDA+(BLOQUES!AB118/1000*P_SINUOS)/P_VVUELTA+P_TCD/60)))</f>
        <v>0.130882675438597</v>
      </c>
      <c r="P118" s="12" t="n">
        <f aca="false">J118*(1+P_RECALCE)*CU_PLANTON</f>
        <v>275.047606286151</v>
      </c>
      <c r="Q118" s="12" t="n">
        <f aca="false">J118*CU_PLANTA</f>
        <v>1286.58690325229</v>
      </c>
      <c r="R118" s="12" t="n">
        <f aca="false">(E118+F118)*CU_HA</f>
        <v>646.387522181738</v>
      </c>
      <c r="S118" s="12" t="n">
        <f aca="false">J118*(1+P_RECALCE)*(P_PESO_PLANTON+P_PESO_INS)*O118</f>
        <v>45.0869123082511</v>
      </c>
      <c r="T118" s="12" t="n">
        <f aca="false">J118*(1+P_RECALCE)*P_PESO_INS*P_FT_KG</f>
        <v>7.51779355984767</v>
      </c>
      <c r="U118" s="12" t="n">
        <f aca="false">K118*CU_ZANJA</f>
        <v>0</v>
      </c>
      <c r="V118" s="12" t="n">
        <f aca="false">L118*CU_TERRAZA</f>
        <v>56924.742268788</v>
      </c>
      <c r="W118" s="12" t="n">
        <f aca="false">M118*CU_CERCO</f>
        <v>34255.3162256019</v>
      </c>
      <c r="X118" s="12" t="n">
        <f aca="false">N118*CU_CARCAVA</f>
        <v>0</v>
      </c>
      <c r="Y118" s="42" t="n">
        <f aca="false">SUM(P118:X118)</f>
        <v>93440.6852319781</v>
      </c>
      <c r="Z118" s="12" t="n">
        <f aca="false">Y118*(P_GG+P_SUP+P_ET)</f>
        <v>14088.3800958624</v>
      </c>
      <c r="AA118" s="42" t="n">
        <f aca="false">Y118+Z118</f>
        <v>107529.065327841</v>
      </c>
      <c r="AB118" s="12" t="n">
        <f aca="false">IF(D118=0,0,AA118/D118)</f>
        <v>6788.87968481852</v>
      </c>
      <c r="AC118" s="12" t="n">
        <f aca="false">J118*(1+P_RECALCE)*CU_PLANTON_NC+J118*CU_PLANTA_NC+(E118+F118)*CU_HA_NC+S118+K118*CU_ZANJA_NC+L118*CU_TERRAZA_NC+M118*CU_CERCO_NC+N118*CU_CARCAVA_NC</f>
        <v>35424.4904787806</v>
      </c>
      <c r="AD118" s="12" t="n">
        <f aca="false">J118*(1+P_RECALCE)*CU_PLANTON_C+J118*CU_PLANTA_C+(E118+F118)*CU_HA_C+K118*CU_ZANJA_C+L118*CU_TERRAZA_C+M118*CU_CERCO_C+N118*CU_CARCAVA_C</f>
        <v>5470.01196086363</v>
      </c>
      <c r="AE118" s="12" t="n">
        <f aca="false">Y118-AC118-AD118</f>
        <v>52546.1827923339</v>
      </c>
      <c r="AF118" s="12" t="n">
        <f aca="false">AC118*P_FC_MONC+AD118*P_FC_MOC+(AE118+Z118)*P_FC_BIEN</f>
        <v>75669.563999489</v>
      </c>
      <c r="AG118" s="12" t="n">
        <f aca="false">(SUM(P118:T118)+W118)*(1+P_GG+P_SUP+P_ET)</f>
        <v>42021.5798573019</v>
      </c>
      <c r="AH118" s="12" t="n">
        <f aca="false">(U118+V118+X118)*(1+P_GG+P_SUP+P_ET)</f>
        <v>65507.4854705387</v>
      </c>
    </row>
    <row r="119" customFormat="false" ht="15" hidden="false" customHeight="false" outlineLevel="0" collapsed="false">
      <c r="A119" s="7" t="str">
        <f aca="false">BLOQUES!A119</f>
        <v>52</v>
      </c>
      <c r="B119" s="7" t="str">
        <f aca="false">BLOQUES!AI119</f>
        <v>T6</v>
      </c>
      <c r="C119" s="7" t="str">
        <f aca="false">BLOQUES!AE119</f>
        <v>No</v>
      </c>
      <c r="D119" s="11" t="n">
        <f aca="false">BLOQUES!E119</f>
        <v>11.059</v>
      </c>
      <c r="E119" s="11" t="n">
        <f aca="false">BLOQUES!U119+BLOQUES!V119</f>
        <v>0</v>
      </c>
      <c r="F119" s="11" t="n">
        <f aca="false">BLOQUES!W119+BLOQUES!X119</f>
        <v>0.42</v>
      </c>
      <c r="G119" s="11" t="n">
        <f aca="false">BLOQUES!Y119+BLOQUES!Z119</f>
        <v>10.639</v>
      </c>
      <c r="H119" s="8" t="n">
        <f aca="false">E119*INDEX(PAQ_R1,MATCH(B119,PAQ_T,0))</f>
        <v>0</v>
      </c>
      <c r="I119" s="8" t="n">
        <f aca="false">F119*INDEX(PAQ_R2,MATCH(B119,PAQ_T,0))</f>
        <v>136.5</v>
      </c>
      <c r="J119" s="8" t="n">
        <f aca="false">H119+I119</f>
        <v>136.5</v>
      </c>
      <c r="K119" s="11" t="n">
        <f aca="false">(BLOQUES!U119+BLOQUES!W119)*INDEX(PAQ_MZ,MATCH(B119,PAQ_T,0))/1000</f>
        <v>0</v>
      </c>
      <c r="L119" s="11" t="n">
        <f aca="false">(BLOQUES!U119+BLOQUES!W119)*INDEX(PAQ_MT,MATCH(B119,PAQ_T,0))/1000</f>
        <v>0.502802011208045</v>
      </c>
      <c r="M119" s="8" t="n">
        <f aca="false">BLOQUES!F119*INDEX(PAQ_CERCO,MATCH(B119,PAQ_T,0))</f>
        <v>1599.3</v>
      </c>
      <c r="N119" s="11" t="n">
        <f aca="false">IF(ISNUMBER(BLOQUES!AD119),BLOQUES!AD119/1000,0)</f>
        <v>0</v>
      </c>
      <c r="O119" s="22" t="n">
        <f aca="false">P_JORNAL/(P_CARGA*(P_HORAS*P_EFIC/((BLOQUES!AB119/1000*P_SINUOS)/P_VIDA+(BLOQUES!AB119/1000*P_SINUOS)/P_VVUELTA+P_TCD/60)))</f>
        <v>0.207642543859649</v>
      </c>
      <c r="P119" s="8" t="n">
        <f aca="false">J119*(1+P_RECALCE)*CU_PLANTON</f>
        <v>200.207962981254</v>
      </c>
      <c r="Q119" s="8" t="n">
        <f aca="false">J119*CU_PLANTA</f>
        <v>936.510397514666</v>
      </c>
      <c r="R119" s="8" t="n">
        <f aca="false">(E119+F119)*CU_HA</f>
        <v>470.507381830728</v>
      </c>
      <c r="S119" s="8" t="n">
        <f aca="false">J119*(1+P_RECALCE)*(P_PESO_PLANTON+P_PESO_INS)*O119</f>
        <v>52.0664716940789</v>
      </c>
      <c r="T119" s="8" t="n">
        <f aca="false">J119*(1+P_RECALCE)*P_PESO_INS*P_FT_KG</f>
        <v>5.47222408169155</v>
      </c>
      <c r="U119" s="8" t="n">
        <f aca="false">K119*CU_ZANJA</f>
        <v>0</v>
      </c>
      <c r="V119" s="8" t="n">
        <f aca="false">L119*CU_TERRAZA</f>
        <v>45344.9943167722</v>
      </c>
      <c r="W119" s="8" t="n">
        <f aca="false">M119*CU_CERCO</f>
        <v>35136.3053101623</v>
      </c>
      <c r="X119" s="8" t="n">
        <f aca="false">N119*CU_CARCAVA</f>
        <v>0</v>
      </c>
      <c r="Y119" s="40" t="n">
        <f aca="false">SUM(P119:X119)</f>
        <v>82146.0640650369</v>
      </c>
      <c r="Z119" s="8" t="n">
        <f aca="false">Y119*(P_GG+P_SUP+P_ET)</f>
        <v>12385.4504176007</v>
      </c>
      <c r="AA119" s="40" t="n">
        <f aca="false">Y119+Z119</f>
        <v>94531.5144826376</v>
      </c>
      <c r="AB119" s="8" t="n">
        <f aca="false">IF(D119=0,0,AA119/D119)</f>
        <v>8547.92607673729</v>
      </c>
      <c r="AC119" s="8" t="n">
        <f aca="false">J119*(1+P_RECALCE)*CU_PLANTON_NC+J119*CU_PLANTA_NC+(E119+F119)*CU_HA_NC+S119+K119*CU_ZANJA_NC+L119*CU_TERRAZA_NC+M119*CU_CERCO_NC+N119*CU_CARCAVA_NC</f>
        <v>28141.0646440999</v>
      </c>
      <c r="AD119" s="8" t="n">
        <f aca="false">J119*(1+P_RECALCE)*CU_PLANTON_C+J119*CU_PLANTA_C+(E119+F119)*CU_HA_C+K119*CU_ZANJA_C+L119*CU_TERRAZA_C+M119*CU_CERCO_C+N119*CU_CARCAVA_C</f>
        <v>4346.85310890733</v>
      </c>
      <c r="AE119" s="8" t="n">
        <f aca="false">Y119-AC119-AD119</f>
        <v>49658.1463120296</v>
      </c>
      <c r="AF119" s="8" t="n">
        <f aca="false">AC119*P_FC_MONC+AD119*P_FC_MOC+(AE119+Z119)*P_FC_BIEN</f>
        <v>67832.5803689574</v>
      </c>
      <c r="AG119" s="8" t="n">
        <f aca="false">(SUM(P119:T119)+W119)*(1+P_GG+P_SUP+P_ET)</f>
        <v>42349.6962085774</v>
      </c>
      <c r="AH119" s="8" t="n">
        <f aca="false">(U119+V119+X119)*(1+P_GG+P_SUP+P_ET)</f>
        <v>52181.8182740603</v>
      </c>
    </row>
    <row r="120" customFormat="false" ht="15" hidden="false" customHeight="false" outlineLevel="0" collapsed="false">
      <c r="A120" s="9" t="str">
        <f aca="false">BLOQUES!A120</f>
        <v>55</v>
      </c>
      <c r="B120" s="9" t="str">
        <f aca="false">BLOQUES!AI120</f>
        <v>T6</v>
      </c>
      <c r="C120" s="9" t="str">
        <f aca="false">BLOQUES!AE120</f>
        <v>No</v>
      </c>
      <c r="D120" s="10" t="n">
        <f aca="false">BLOQUES!E120</f>
        <v>0.859</v>
      </c>
      <c r="E120" s="10" t="n">
        <f aca="false">BLOQUES!U120+BLOQUES!V120</f>
        <v>0</v>
      </c>
      <c r="F120" s="10" t="n">
        <f aca="false">BLOQUES!W120+BLOQUES!X120</f>
        <v>0.015</v>
      </c>
      <c r="G120" s="10" t="n">
        <f aca="false">BLOQUES!Y120+BLOQUES!Z120</f>
        <v>0.844</v>
      </c>
      <c r="H120" s="12" t="n">
        <f aca="false">E120*INDEX(PAQ_R1,MATCH(B120,PAQ_T,0))</f>
        <v>0</v>
      </c>
      <c r="I120" s="12" t="n">
        <f aca="false">F120*INDEX(PAQ_R2,MATCH(B120,PAQ_T,0))</f>
        <v>4.875</v>
      </c>
      <c r="J120" s="12" t="n">
        <f aca="false">H120+I120</f>
        <v>4.875</v>
      </c>
      <c r="K120" s="10" t="n">
        <f aca="false">(BLOQUES!U120+BLOQUES!W120)*INDEX(PAQ_MZ,MATCH(B120,PAQ_T,0))/1000</f>
        <v>0</v>
      </c>
      <c r="L120" s="10" t="n">
        <f aca="false">(BLOQUES!U120+BLOQUES!W120)*INDEX(PAQ_MT,MATCH(B120,PAQ_T,0))/1000</f>
        <v>0.018000072000288</v>
      </c>
      <c r="M120" s="12" t="n">
        <f aca="false">BLOQUES!F120*INDEX(PAQ_CERCO,MATCH(B120,PAQ_T,0))</f>
        <v>404.7</v>
      </c>
      <c r="N120" s="10" t="n">
        <f aca="false">IF(ISNUMBER(BLOQUES!AD120),BLOQUES!AD120/1000,0)</f>
        <v>0</v>
      </c>
      <c r="O120" s="31" t="n">
        <f aca="false">P_JORNAL/(P_CARGA*(P_HORAS*P_EFIC/((BLOQUES!AB120/1000*P_SINUOS)/P_VIDA+(BLOQUES!AB120/1000*P_SINUOS)/P_VVUELTA+P_TCD/60)))</f>
        <v>0.10062774122807</v>
      </c>
      <c r="P120" s="12" t="n">
        <f aca="false">J120*(1+P_RECALCE)*CU_PLANTON</f>
        <v>7.15028439218763</v>
      </c>
      <c r="Q120" s="12" t="n">
        <f aca="false">J120*CU_PLANTA</f>
        <v>33.4467999112381</v>
      </c>
      <c r="R120" s="12" t="n">
        <f aca="false">(E120+F120)*CU_HA</f>
        <v>16.8038350653831</v>
      </c>
      <c r="S120" s="12" t="n">
        <f aca="false">J120*(1+P_RECALCE)*(P_PESO_PLANTON+P_PESO_INS)*O120</f>
        <v>0.901159158100329</v>
      </c>
      <c r="T120" s="12" t="n">
        <f aca="false">J120*(1+P_RECALCE)*P_PESO_INS*P_FT_KG</f>
        <v>0.195436574346127</v>
      </c>
      <c r="U120" s="12" t="n">
        <f aca="false">K120*CU_ZANJA</f>
        <v>0</v>
      </c>
      <c r="V120" s="12" t="n">
        <f aca="false">L120*CU_TERRAZA</f>
        <v>1623.32915215175</v>
      </c>
      <c r="W120" s="12" t="n">
        <f aca="false">M120*CU_CERCO</f>
        <v>8891.1791152521</v>
      </c>
      <c r="X120" s="12" t="n">
        <f aca="false">N120*CU_CARCAVA</f>
        <v>0</v>
      </c>
      <c r="Y120" s="42" t="n">
        <f aca="false">SUM(P120:X120)</f>
        <v>10573.0057825051</v>
      </c>
      <c r="Z120" s="12" t="n">
        <f aca="false">Y120*(P_GG+P_SUP+P_ET)</f>
        <v>1594.129193829</v>
      </c>
      <c r="AA120" s="42" t="n">
        <f aca="false">Y120+Z120</f>
        <v>12167.1349763341</v>
      </c>
      <c r="AB120" s="12" t="n">
        <f aca="false">IF(D120=0,0,AA120/D120)</f>
        <v>14164.3014858371</v>
      </c>
      <c r="AC120" s="12" t="n">
        <f aca="false">J120*(1+P_RECALCE)*CU_PLANTON_NC+J120*CU_PLANTA_NC+(E120+F120)*CU_HA_NC+S120+K120*CU_ZANJA_NC+L120*CU_TERRAZA_NC+M120*CU_CERCO_NC+N120*CU_CARCAVA_NC</f>
        <v>1006.38945491175</v>
      </c>
      <c r="AD120" s="12" t="n">
        <f aca="false">J120*(1+P_RECALCE)*CU_PLANTON_C+J120*CU_PLANTA_C+(E120+F120)*CU_HA_C+K120*CU_ZANJA_C+L120*CU_TERRAZA_C+M120*CU_CERCO_C+N120*CU_CARCAVA_C</f>
        <v>155.605836439147</v>
      </c>
      <c r="AE120" s="12" t="n">
        <f aca="false">Y120-AC120-AD120</f>
        <v>9411.01049115421</v>
      </c>
      <c r="AF120" s="12" t="n">
        <f aca="false">AC120*P_FC_MONC+AD120*P_FC_MOC+(AE120+Z120)*P_FC_BIEN</f>
        <v>9872.00174539496</v>
      </c>
      <c r="AG120" s="12" t="n">
        <f aca="false">(SUM(P120:T120)+W120)*(1+P_GG+P_SUP+P_ET)</f>
        <v>10299.0507899119</v>
      </c>
      <c r="AH120" s="12" t="n">
        <f aca="false">(U120+V120+X120)*(1+P_GG+P_SUP+P_ET)</f>
        <v>1868.08418642221</v>
      </c>
    </row>
    <row r="121" customFormat="false" ht="15" hidden="false" customHeight="false" outlineLevel="0" collapsed="false">
      <c r="A121" s="7" t="str">
        <f aca="false">BLOQUES!A121</f>
        <v>M28B2</v>
      </c>
      <c r="B121" s="7" t="str">
        <f aca="false">BLOQUES!AI121</f>
        <v>T1</v>
      </c>
      <c r="C121" s="7" t="str">
        <f aca="false">BLOQUES!AE121</f>
        <v>No</v>
      </c>
      <c r="D121" s="11" t="n">
        <f aca="false">BLOQUES!E121</f>
        <v>90.197</v>
      </c>
      <c r="E121" s="11" t="n">
        <f aca="false">BLOQUES!U121+BLOQUES!V121</f>
        <v>9.217</v>
      </c>
      <c r="F121" s="11" t="n">
        <f aca="false">BLOQUES!W121+BLOQUES!X121</f>
        <v>46.877</v>
      </c>
      <c r="G121" s="11" t="n">
        <f aca="false">BLOQUES!Y121+BLOQUES!Z121</f>
        <v>34.102</v>
      </c>
      <c r="H121" s="8" t="n">
        <f aca="false">E121*INDEX(PAQ_R1,MATCH(B121,PAQ_T,0))</f>
        <v>5991.05</v>
      </c>
      <c r="I121" s="8" t="n">
        <f aca="false">F121*INDEX(PAQ_R2,MATCH(B121,PAQ_T,0))</f>
        <v>15235.025</v>
      </c>
      <c r="J121" s="8" t="n">
        <f aca="false">H121+I121</f>
        <v>21226.075</v>
      </c>
      <c r="K121" s="11" t="n">
        <f aca="false">(BLOQUES!U121+BLOQUES!W121)*INDEX(PAQ_MZ,MATCH(B121,PAQ_T,0))/1000</f>
        <v>162.646698826409</v>
      </c>
      <c r="L121" s="11" t="n">
        <f aca="false">(BLOQUES!U121+BLOQUES!W121)*INDEX(PAQ_MT,MATCH(B121,PAQ_T,0))/1000</f>
        <v>0</v>
      </c>
      <c r="M121" s="8" t="n">
        <f aca="false">BLOQUES!F121*INDEX(PAQ_CERCO,MATCH(B121,PAQ_T,0))</f>
        <v>7122.5</v>
      </c>
      <c r="N121" s="11" t="n">
        <f aca="false">IF(ISNUMBER(BLOQUES!AD121),BLOQUES!AD121/1000,0)</f>
        <v>0</v>
      </c>
      <c r="O121" s="22" t="n">
        <f aca="false">P_JORNAL/(P_CARGA*(P_HORAS*P_EFIC/((BLOQUES!AB121/1000*P_SINUOS)/P_VIDA+(BLOQUES!AB121/1000*P_SINUOS)/P_VVUELTA+P_TCD/60)))</f>
        <v>0.0617132675438597</v>
      </c>
      <c r="P121" s="8" t="n">
        <f aca="false">J121*(1+P_RECALCE)*CU_PLANTON</f>
        <v>31132.8149292111</v>
      </c>
      <c r="Q121" s="8" t="n">
        <f aca="false">J121*CU_PLANTA</f>
        <v>145629.596600191</v>
      </c>
      <c r="R121" s="8" t="n">
        <f aca="false">(E121+F121)*CU_HA</f>
        <v>62839.6216105068</v>
      </c>
      <c r="S121" s="8" t="n">
        <f aca="false">J121*(1+P_RECALCE)*(P_PESO_PLANTON+P_PESO_INS)*O121</f>
        <v>2406.34222816495</v>
      </c>
      <c r="T121" s="8" t="n">
        <f aca="false">J121*(1+P_RECALCE)*P_PESO_INS*P_FT_KG</f>
        <v>850.943873807992</v>
      </c>
      <c r="U121" s="8" t="n">
        <f aca="false">K121*CU_ZANJA</f>
        <v>1562319.09766464</v>
      </c>
      <c r="V121" s="8" t="n">
        <f aca="false">L121*CU_TERRAZA</f>
        <v>0</v>
      </c>
      <c r="W121" s="8" t="n">
        <f aca="false">M121*CU_CERCO</f>
        <v>156479.919071863</v>
      </c>
      <c r="X121" s="8" t="n">
        <f aca="false">N121*CU_CARCAVA</f>
        <v>0</v>
      </c>
      <c r="Y121" s="40" t="n">
        <f aca="false">SUM(P121:X121)</f>
        <v>1961658.33597839</v>
      </c>
      <c r="Z121" s="8" t="n">
        <f aca="false">Y121*(P_GG+P_SUP+P_ET)</f>
        <v>295766.112875448</v>
      </c>
      <c r="AA121" s="40" t="n">
        <f aca="false">Y121+Z121</f>
        <v>2257424.44885383</v>
      </c>
      <c r="AB121" s="8" t="n">
        <f aca="false">IF(D121=0,0,AA121/D121)</f>
        <v>25027.7109976367</v>
      </c>
      <c r="AC121" s="8" t="n">
        <f aca="false">J121*(1+P_RECALCE)*CU_PLANTON_NC+J121*CU_PLANTA_NC+(E121+F121)*CU_HA_NC+S121+K121*CU_ZANJA_NC+L121*CU_TERRAZA_NC+M121*CU_CERCO_NC+N121*CU_CARCAVA_NC</f>
        <v>1484382.26189073</v>
      </c>
      <c r="AD121" s="8" t="n">
        <f aca="false">J121*(1+P_RECALCE)*CU_PLANTON_C+J121*CU_PLANTA_C+(E121+F121)*CU_HA_C+K121*CU_ZANJA_C+L121*CU_TERRAZA_C+M121*CU_CERCO_C+N121*CU_CARCAVA_C</f>
        <v>121465.946594252</v>
      </c>
      <c r="AE121" s="8" t="n">
        <f aca="false">Y121-AC121-AD121</f>
        <v>355810.127493402</v>
      </c>
      <c r="AF121" s="8" t="n">
        <f aca="false">AC121*P_FC_MONC+AD121*P_FC_MOC+(AE121+Z121)*P_FC_BIEN</f>
        <v>1271581.90235344</v>
      </c>
      <c r="AG121" s="8" t="n">
        <f aca="false">(SUM(P121:T121)+W121)*(1+P_GG+P_SUP+P_ET)</f>
        <v>459549.016983378</v>
      </c>
      <c r="AH121" s="8" t="n">
        <f aca="false">(U121+V121+X121)*(1+P_GG+P_SUP+P_ET)</f>
        <v>1797875.43187046</v>
      </c>
    </row>
    <row r="122" customFormat="false" ht="15" hidden="false" customHeight="false" outlineLevel="0" collapsed="false">
      <c r="A122" s="9" t="str">
        <f aca="false">BLOQUES!A122</f>
        <v>M28B3</v>
      </c>
      <c r="B122" s="9" t="str">
        <f aca="false">BLOQUES!AI122</f>
        <v>T2</v>
      </c>
      <c r="C122" s="9" t="str">
        <f aca="false">BLOQUES!AE122</f>
        <v>No</v>
      </c>
      <c r="D122" s="10" t="n">
        <f aca="false">BLOQUES!E122</f>
        <v>58.292</v>
      </c>
      <c r="E122" s="10" t="n">
        <f aca="false">BLOQUES!U122+BLOQUES!V122</f>
        <v>6.124</v>
      </c>
      <c r="F122" s="10" t="n">
        <f aca="false">BLOQUES!W122+BLOQUES!X122</f>
        <v>22.828</v>
      </c>
      <c r="G122" s="10" t="n">
        <f aca="false">BLOQUES!Y122+BLOQUES!Z122</f>
        <v>29.339</v>
      </c>
      <c r="H122" s="12" t="n">
        <f aca="false">E122*INDEX(PAQ_R1,MATCH(B122,PAQ_T,0))</f>
        <v>3980.6</v>
      </c>
      <c r="I122" s="12" t="n">
        <f aca="false">F122*INDEX(PAQ_R2,MATCH(B122,PAQ_T,0))</f>
        <v>7419.1</v>
      </c>
      <c r="J122" s="12" t="n">
        <f aca="false">H122+I122</f>
        <v>11399.7</v>
      </c>
      <c r="K122" s="10" t="n">
        <f aca="false">(BLOQUES!U122+BLOQUES!W122)*INDEX(PAQ_MZ,MATCH(B122,PAQ_T,0))/1000</f>
        <v>97.109223126215</v>
      </c>
      <c r="L122" s="10" t="n">
        <f aca="false">(BLOQUES!U122+BLOQUES!W122)*INDEX(PAQ_MT,MATCH(B122,PAQ_T,0))/1000</f>
        <v>0</v>
      </c>
      <c r="M122" s="12" t="n">
        <f aca="false">BLOQUES!F122*INDEX(PAQ_CERCO,MATCH(B122,PAQ_T,0))</f>
        <v>4146.1</v>
      </c>
      <c r="N122" s="10" t="n">
        <f aca="false">IF(ISNUMBER(BLOQUES!AD122),BLOQUES!AD122/1000,0)</f>
        <v>0</v>
      </c>
      <c r="O122" s="31" t="n">
        <f aca="false">P_JORNAL/(P_CARGA*(P_HORAS*P_EFIC/((BLOQUES!AB122/1000*P_SINUOS)/P_VIDA+(BLOQUES!AB122/1000*P_SINUOS)/P_VVUELTA+P_TCD/60)))</f>
        <v>0.0699451754385965</v>
      </c>
      <c r="P122" s="12" t="n">
        <f aca="false">J122*(1+P_RECALCE)*CU_PLANTON</f>
        <v>16720.2250226915</v>
      </c>
      <c r="Q122" s="12" t="n">
        <f aca="false">J122*CU_PLANTA</f>
        <v>78211.9969124391</v>
      </c>
      <c r="R122" s="12" t="n">
        <f aca="false">(E122+F122)*CU_HA</f>
        <v>32433.6421875315</v>
      </c>
      <c r="S122" s="12" t="n">
        <f aca="false">J122*(1+P_RECALCE)*(P_PESO_PLANTON+P_PESO_INS)*O122</f>
        <v>1464.73932821382</v>
      </c>
      <c r="T122" s="12" t="n">
        <f aca="false">J122*(1+P_RECALCE)*P_PESO_INS*P_FT_KG</f>
        <v>457.008885450983</v>
      </c>
      <c r="U122" s="12" t="n">
        <f aca="false">K122*CU_ZANJA</f>
        <v>932792.334207695</v>
      </c>
      <c r="V122" s="12" t="n">
        <f aca="false">L122*CU_TERRAZA</f>
        <v>0</v>
      </c>
      <c r="W122" s="12" t="n">
        <f aca="false">M122*CU_CERCO</f>
        <v>91088.9985909235</v>
      </c>
      <c r="X122" s="12" t="n">
        <f aca="false">N122*CU_CARCAVA</f>
        <v>0</v>
      </c>
      <c r="Y122" s="42" t="n">
        <f aca="false">SUM(P122:X122)</f>
        <v>1153168.94513495</v>
      </c>
      <c r="Z122" s="12" t="n">
        <f aca="false">Y122*(P_GG+P_SUP+P_ET)</f>
        <v>173867.329562839</v>
      </c>
      <c r="AA122" s="42" t="n">
        <f aca="false">Y122+Z122</f>
        <v>1327036.27469778</v>
      </c>
      <c r="AB122" s="12" t="n">
        <f aca="false">IF(D122=0,0,AA122/D122)</f>
        <v>22765.3241387804</v>
      </c>
      <c r="AC122" s="12" t="n">
        <f aca="false">J122*(1+P_RECALCE)*CU_PLANTON_NC+J122*CU_PLANTA_NC+(E122+F122)*CU_HA_NC+S122+K122*CU_ZANJA_NC+L122*CU_TERRAZA_NC+M122*CU_CERCO_NC+N122*CU_CARCAVA_NC</f>
        <v>876554.923933973</v>
      </c>
      <c r="AD122" s="12" t="n">
        <f aca="false">J122*(1+P_RECALCE)*CU_PLANTON_C+J122*CU_PLANTA_C+(E122+F122)*CU_HA_C+K122*CU_ZANJA_C+L122*CU_TERRAZA_C+M122*CU_CERCO_C+N122*CU_CARCAVA_C</f>
        <v>71391.5429537889</v>
      </c>
      <c r="AE122" s="12" t="n">
        <f aca="false">Y122-AC122-AD122</f>
        <v>205222.478247184</v>
      </c>
      <c r="AF122" s="12" t="n">
        <f aca="false">AC122*P_FC_MONC+AD122*P_FC_MOC+(AE122+Z122)*P_FC_BIEN</f>
        <v>745814.935977306</v>
      </c>
      <c r="AG122" s="12" t="n">
        <f aca="false">(SUM(P122:T122)+W122)*(1+P_GG+P_SUP+P_ET)</f>
        <v>253603.566094298</v>
      </c>
      <c r="AH122" s="12" t="n">
        <f aca="false">(U122+V122+X122)*(1+P_GG+P_SUP+P_ET)</f>
        <v>1073432.70860349</v>
      </c>
    </row>
    <row r="123" customFormat="false" ht="15" hidden="false" customHeight="false" outlineLevel="0" collapsed="false">
      <c r="A123" s="7" t="str">
        <f aca="false">BLOQUES!A123</f>
        <v>M28B4</v>
      </c>
      <c r="B123" s="7" t="str">
        <f aca="false">BLOQUES!AI123</f>
        <v>T1</v>
      </c>
      <c r="C123" s="7" t="str">
        <f aca="false">BLOQUES!AE123</f>
        <v>No</v>
      </c>
      <c r="D123" s="11" t="n">
        <f aca="false">BLOQUES!E123</f>
        <v>283.428</v>
      </c>
      <c r="E123" s="11" t="n">
        <f aca="false">BLOQUES!U123+BLOQUES!V123</f>
        <v>104.426</v>
      </c>
      <c r="F123" s="11" t="n">
        <f aca="false">BLOQUES!W123+BLOQUES!X123</f>
        <v>107.598</v>
      </c>
      <c r="G123" s="11" t="n">
        <f aca="false">BLOQUES!Y123+BLOQUES!Z123</f>
        <v>71.405</v>
      </c>
      <c r="H123" s="8" t="n">
        <f aca="false">E123*INDEX(PAQ_R1,MATCH(B123,PAQ_T,0))</f>
        <v>67876.9</v>
      </c>
      <c r="I123" s="8" t="n">
        <f aca="false">F123*INDEX(PAQ_R2,MATCH(B123,PAQ_T,0))</f>
        <v>34969.35</v>
      </c>
      <c r="J123" s="8" t="n">
        <f aca="false">H123+I123</f>
        <v>102846.25</v>
      </c>
      <c r="K123" s="11" t="n">
        <f aca="false">(BLOQUES!U123+BLOQUES!W123)*INDEX(PAQ_MZ,MATCH(B123,PAQ_T,0))/1000</f>
        <v>209.986320109439</v>
      </c>
      <c r="L123" s="11" t="n">
        <f aca="false">(BLOQUES!U123+BLOQUES!W123)*INDEX(PAQ_MT,MATCH(B123,PAQ_T,0))/1000</f>
        <v>0</v>
      </c>
      <c r="M123" s="8" t="n">
        <f aca="false">BLOQUES!F123*INDEX(PAQ_CERCO,MATCH(B123,PAQ_T,0))</f>
        <v>8181.3</v>
      </c>
      <c r="N123" s="11" t="n">
        <f aca="false">IF(ISNUMBER(BLOQUES!AD123),BLOQUES!AD123/1000,0)</f>
        <v>0</v>
      </c>
      <c r="O123" s="22" t="n">
        <f aca="false">P_JORNAL/(P_CARGA*(P_HORAS*P_EFIC/((BLOQUES!AB123/1000*P_SINUOS)/P_VIDA+(BLOQUES!AB123/1000*P_SINUOS)/P_VVUELTA+P_TCD/60)))</f>
        <v>0.126820175438596</v>
      </c>
      <c r="P123" s="8" t="n">
        <f aca="false">J123*(1+P_RECALCE)*CU_PLANTON</f>
        <v>150847.166393852</v>
      </c>
      <c r="Q123" s="8" t="n">
        <f aca="false">J123*CU_PLANTA</f>
        <v>705615.988794086</v>
      </c>
      <c r="R123" s="8" t="n">
        <f aca="false">(E123+F123)*CU_HA</f>
        <v>237521.08839352</v>
      </c>
      <c r="S123" s="8" t="n">
        <f aca="false">J123*(1+P_RECALCE)*(P_PESO_PLANTON+P_PESO_INS)*O123</f>
        <v>23959.9532830866</v>
      </c>
      <c r="T123" s="8" t="n">
        <f aca="false">J123*(1+P_RECALCE)*P_PESO_INS*P_FT_KG</f>
        <v>4123.06026345545</v>
      </c>
      <c r="U123" s="8" t="n">
        <f aca="false">K123*CU_ZANJA</f>
        <v>2017044.55437757</v>
      </c>
      <c r="V123" s="8" t="n">
        <f aca="false">L123*CU_TERRAZA</f>
        <v>0</v>
      </c>
      <c r="W123" s="8" t="n">
        <f aca="false">M123*CU_CERCO</f>
        <v>179741.546072676</v>
      </c>
      <c r="X123" s="8" t="n">
        <f aca="false">N123*CU_CARCAVA</f>
        <v>0</v>
      </c>
      <c r="Y123" s="40" t="n">
        <f aca="false">SUM(P123:X123)</f>
        <v>3318853.35757824</v>
      </c>
      <c r="Z123" s="8" t="n">
        <f aca="false">Y123*(P_GG+P_SUP+P_ET)</f>
        <v>500395.17013291</v>
      </c>
      <c r="AA123" s="40" t="n">
        <f aca="false">Y123+Z123</f>
        <v>3819248.52771115</v>
      </c>
      <c r="AB123" s="8" t="n">
        <f aca="false">IF(D123=0,0,AA123/D123)</f>
        <v>13475.1983844615</v>
      </c>
      <c r="AC123" s="8" t="n">
        <f aca="false">J123*(1+P_RECALCE)*CU_PLANTON_NC+J123*CU_PLANTA_NC+(E123+F123)*CU_HA_NC+S123+K123*CU_ZANJA_NC+L123*CU_TERRAZA_NC+M123*CU_CERCO_NC+N123*CU_CARCAVA_NC</f>
        <v>2411491.8498116</v>
      </c>
      <c r="AD123" s="8" t="n">
        <f aca="false">J123*(1+P_RECALCE)*CU_PLANTON_C+J123*CU_PLANTA_C+(E123+F123)*CU_HA_C+K123*CU_ZANJA_C+L123*CU_TERRAZA_C+M123*CU_CERCO_C+N123*CU_CARCAVA_C</f>
        <v>203313.936109299</v>
      </c>
      <c r="AE123" s="8" t="n">
        <f aca="false">Y123-AC123-AD123</f>
        <v>704047.571657343</v>
      </c>
      <c r="AF123" s="8" t="n">
        <f aca="false">AC123*P_FC_MONC+AD123*P_FC_MOC+(AE123+Z123)*P_FC_BIEN</f>
        <v>2194158.77440506</v>
      </c>
      <c r="AG123" s="8" t="n">
        <f aca="false">(SUM(P123:T123)+W123)*(1+P_GG+P_SUP+P_ET)</f>
        <v>1498087.08590054</v>
      </c>
      <c r="AH123" s="8" t="n">
        <f aca="false">(U123+V123+X123)*(1+P_GG+P_SUP+P_ET)</f>
        <v>2321161.44181062</v>
      </c>
    </row>
    <row r="124" customFormat="false" ht="15" hidden="false" customHeight="false" outlineLevel="0" collapsed="false">
      <c r="A124" s="13" t="s">
        <v>1138</v>
      </c>
      <c r="D124" s="39" t="n">
        <f aca="false">SUM(D7:D123)</f>
        <v>12270.235</v>
      </c>
      <c r="E124" s="39" t="n">
        <f aca="false">SUM(E7:E123)</f>
        <v>5503.444</v>
      </c>
      <c r="F124" s="39" t="n">
        <f aca="false">SUM(F7:F123)</f>
        <v>2838.422</v>
      </c>
      <c r="G124" s="39" t="n">
        <f aca="false">SUM(G7:G123)</f>
        <v>3928.417</v>
      </c>
      <c r="H124" s="40" t="n">
        <f aca="false">SUM(H7:H123)</f>
        <v>3579232.496</v>
      </c>
      <c r="I124" s="40" t="n">
        <f aca="false">SUM(I7:I123)</f>
        <v>929418.122</v>
      </c>
      <c r="J124" s="40" t="n">
        <f aca="false">SUM(J7:J123)</f>
        <v>4508650.618</v>
      </c>
      <c r="K124" s="39" t="n">
        <f aca="false">SUM(K7:K123)</f>
        <v>17971.7114263086</v>
      </c>
      <c r="L124" s="39" t="n">
        <f aca="false">SUM(L7:L123)</f>
        <v>705.490021960088</v>
      </c>
      <c r="M124" s="40" t="n">
        <f aca="false">SUM(M7:M123)</f>
        <v>577845.6</v>
      </c>
      <c r="N124" s="39" t="n">
        <f aca="false">SUM(N7:N123)</f>
        <v>0</v>
      </c>
      <c r="P124" s="40" t="n">
        <f aca="false">SUM(P7:P123)</f>
        <v>6612950.59358205</v>
      </c>
      <c r="Q124" s="40" t="n">
        <f aca="false">SUM(Q7:Q123)</f>
        <v>30933320.0184463</v>
      </c>
      <c r="R124" s="40" t="n">
        <f aca="false">SUM(R7:R123)</f>
        <v>9345022.69343516</v>
      </c>
      <c r="S124" s="40" t="n">
        <f aca="false">SUM(S7:S123)</f>
        <v>2087297.38612129</v>
      </c>
      <c r="T124" s="40" t="n">
        <f aca="false">SUM(T7:T123)</f>
        <v>180749.79111907</v>
      </c>
      <c r="U124" s="40" t="n">
        <f aca="false">SUM(U7:U123)</f>
        <v>172629067.676354</v>
      </c>
      <c r="V124" s="40" t="n">
        <f aca="false">SUM(V7:V123)</f>
        <v>63624329.9016617</v>
      </c>
      <c r="W124" s="40" t="n">
        <f aca="false">SUM(W7:W123)</f>
        <v>12695153.7696079</v>
      </c>
      <c r="X124" s="40" t="n">
        <f aca="false">SUM(X7:X123)</f>
        <v>0</v>
      </c>
      <c r="Y124" s="40" t="n">
        <f aca="false">SUM(Y7:Y123)</f>
        <v>298107891.830327</v>
      </c>
      <c r="Z124" s="40" t="n">
        <f aca="false">SUM(Z7:Z123)</f>
        <v>44946773.2311168</v>
      </c>
      <c r="AA124" s="40" t="n">
        <f aca="false">SUM(AA7:AA123)</f>
        <v>343054665.061444</v>
      </c>
      <c r="AB124" s="40" t="n">
        <f aca="false">AA124/D124</f>
        <v>27958.2799401514</v>
      </c>
      <c r="AC124" s="40" t="n">
        <f aca="false">SUM(AC7:AC123)</f>
        <v>215987033.054867</v>
      </c>
      <c r="AD124" s="40" t="n">
        <f aca="false">SUM(AD7:AD123)</f>
        <v>20404127.3645484</v>
      </c>
      <c r="AE124" s="40" t="n">
        <f aca="false">SUM(AE7:AE123)</f>
        <v>61716731.4109114</v>
      </c>
      <c r="AF124" s="40" t="n">
        <f aca="false">SUM(AF7:AF123)</f>
        <v>197226615.045129</v>
      </c>
      <c r="AG124" s="40" t="n">
        <f aca="false">SUM(AG7:AG123)</f>
        <v>71180513.4643978</v>
      </c>
      <c r="AH124" s="40" t="n">
        <f aca="false">SUM(AH7:AH123)</f>
        <v>271874151.597046</v>
      </c>
    </row>
    <row r="125" customFormat="false" ht="15" hidden="false" customHeight="false" outlineLevel="0" collapsed="false">
      <c r="A125" s="13" t="s">
        <v>1139</v>
      </c>
      <c r="D125" s="39" t="n">
        <f aca="false">SUMIFS(D7:D123,$C$7:$C$123,"Sí")</f>
        <v>538.323</v>
      </c>
      <c r="E125" s="39" t="n">
        <f aca="false">SUMIFS(E7:E123,$C$7:$C$123,"Sí")</f>
        <v>216.151</v>
      </c>
      <c r="F125" s="39" t="n">
        <f aca="false">SUMIFS(F7:F123,$C$7:$C$123,"Sí")</f>
        <v>94.297</v>
      </c>
      <c r="G125" s="39" t="n">
        <f aca="false">SUMIFS(G7:G123,$C$7:$C$123,"Sí")</f>
        <v>227.872</v>
      </c>
      <c r="H125" s="40" t="n">
        <f aca="false">SUMIFS(H7:H123,$C$7:$C$123,"Sí")</f>
        <v>141335.078</v>
      </c>
      <c r="I125" s="40" t="n">
        <f aca="false">SUMIFS(I7:I123,$C$7:$C$123,"Sí")</f>
        <v>31571.257</v>
      </c>
      <c r="J125" s="40" t="n">
        <f aca="false">SUMIFS(J7:J123,$C$7:$C$123,"Sí")</f>
        <v>172906.335</v>
      </c>
      <c r="K125" s="39" t="n">
        <f aca="false">SUMIFS(K7:K123,$C$7:$C$123,"Sí")</f>
        <v>871.506227950177</v>
      </c>
      <c r="L125" s="39" t="n">
        <f aca="false">SUMIFS(L7:L123,$C$7:$C$123,"Sí")</f>
        <v>28.2721130884524</v>
      </c>
      <c r="M125" s="40" t="n">
        <f aca="false">SUMIFS(M7:M123,$C$7:$C$123,"Sí")</f>
        <v>26234.8</v>
      </c>
      <c r="N125" s="39" t="n">
        <f aca="false">SUMIFS(N7:N123,$C$7:$C$123,"Sí")</f>
        <v>0</v>
      </c>
      <c r="P125" s="40" t="n">
        <f aca="false">SUMIFS(P7:P123,$C$7:$C$123,"Sí")</f>
        <v>253606.044812485</v>
      </c>
      <c r="Q125" s="40" t="n">
        <f aca="false">SUMIFS(Q7:Q123,$C$7:$C$123,"Sí")</f>
        <v>1186289.96720626</v>
      </c>
      <c r="R125" s="40" t="n">
        <f aca="false">SUMIFS(R7:R123,$C$7:$C$123,"Sí")</f>
        <v>347781.132558538</v>
      </c>
      <c r="S125" s="40" t="n">
        <f aca="false">SUMIFS(S7:S123,$C$7:$C$123,"Sí")</f>
        <v>52267.6205907055</v>
      </c>
      <c r="T125" s="40" t="n">
        <f aca="false">SUMIFS(T7:T123,$C$7:$C$123,"Sí")</f>
        <v>6931.73780413206</v>
      </c>
      <c r="U125" s="40" t="n">
        <f aca="false">SUMIFS(U7:U123,$C$7:$C$123,"Sí")</f>
        <v>8371340.0486131</v>
      </c>
      <c r="V125" s="40" t="n">
        <f aca="false">SUMIFS(V7:V123,$C$7:$C$123,"Sí")</f>
        <v>2549708.98831301</v>
      </c>
      <c r="W125" s="40" t="n">
        <f aca="false">SUMIFS(W7:W123,$C$7:$C$123,"Sí")</f>
        <v>576373.377447037</v>
      </c>
      <c r="X125" s="40" t="n">
        <f aca="false">SUMIFS(X7:X123,$C$7:$C$123,"Sí")</f>
        <v>0</v>
      </c>
      <c r="Y125" s="40" t="n">
        <f aca="false">SUMIFS(Y7:Y123,$C$7:$C$123,"Sí")</f>
        <v>13344298.9173453</v>
      </c>
      <c r="Z125" s="40" t="n">
        <f aca="false">SUMIFS(Z7:Z123,$C$7:$C$123,"Sí")</f>
        <v>2011966.78720445</v>
      </c>
      <c r="AA125" s="40" t="n">
        <f aca="false">SUMIFS(AA7:AA123,$C$7:$C$123,"Sí")</f>
        <v>15356265.7045497</v>
      </c>
      <c r="AB125" s="40" t="n">
        <f aca="false">AA125/D125</f>
        <v>28526.1185283737</v>
      </c>
      <c r="AC125" s="40" t="n">
        <f aca="false">SUMIFS(AC7:AC123,$C$7:$C$123,"Sí")</f>
        <v>9809906.29861699</v>
      </c>
      <c r="AD125" s="40" t="n">
        <f aca="false">SUMIFS(AD7:AD123,$C$7:$C$123,"Sí")</f>
        <v>909740.487574271</v>
      </c>
      <c r="AE125" s="40" t="n">
        <f aca="false">SUMIFS(AE7:AE123,$C$7:$C$123,"Sí")</f>
        <v>2624652.131154</v>
      </c>
      <c r="AF125" s="40" t="n">
        <f aca="false">SUMIFS(AF7:AF123,$C$7:$C$123,"Sí")</f>
        <v>8768193.69700828</v>
      </c>
      <c r="AG125" s="40" t="n">
        <f aca="false">SUMIFS(AG7:AG123,$C$7:$C$123,"Sí")</f>
        <v>2788611.77066902</v>
      </c>
      <c r="AH125" s="40" t="n">
        <f aca="false">SUMIFS(AH7:AH123,$C$7:$C$123,"Sí")</f>
        <v>12567653.9338807</v>
      </c>
    </row>
  </sheetData>
  <autoFilter ref="A6:AH123"/>
  <mergeCells count="5">
    <mergeCell ref="A1:AH1"/>
    <mergeCell ref="A2:AH2"/>
    <mergeCell ref="A3:AH3"/>
    <mergeCell ref="A4:AH4"/>
    <mergeCell ref="A5:A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true"/>
  </sheetPr>
  <dimension ref="A1:L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8"/>
    <col collapsed="false" customWidth="true" hidden="false" outlineLevel="0" max="3" min="3" style="0" width="14"/>
    <col collapsed="false" customWidth="true" hidden="false" outlineLevel="0" max="5" min="4" style="0" width="11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5"/>
    <col collapsed="false" customWidth="true" hidden="false" outlineLevel="0" max="11" min="11" style="0" width="14"/>
    <col collapsed="false" customWidth="true" hidden="false" outlineLevel="0" max="12" min="12" style="0" width="3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9.5" hidden="false" customHeight="true" outlineLevel="0" collapsed="false">
      <c r="A4" s="4" t="s">
        <v>1140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5" t="s">
        <v>1141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36" hidden="false" customHeight="true" outlineLevel="0" collapsed="false">
      <c r="A6" s="6" t="s">
        <v>1142</v>
      </c>
      <c r="B6" s="6" t="s">
        <v>1143</v>
      </c>
      <c r="C6" s="6" t="s">
        <v>1144</v>
      </c>
      <c r="D6" s="6" t="s">
        <v>1145</v>
      </c>
      <c r="E6" s="6" t="s">
        <v>1146</v>
      </c>
      <c r="F6" s="6" t="s">
        <v>1147</v>
      </c>
      <c r="G6" s="6" t="s">
        <v>1148</v>
      </c>
      <c r="H6" s="6" t="s">
        <v>1149</v>
      </c>
      <c r="I6" s="6" t="s">
        <v>1150</v>
      </c>
      <c r="J6" s="6" t="s">
        <v>1151</v>
      </c>
      <c r="K6" s="6" t="s">
        <v>1152</v>
      </c>
      <c r="L6" s="6" t="s">
        <v>1153</v>
      </c>
    </row>
    <row r="7" customFormat="false" ht="15" hidden="false" customHeight="false" outlineLevel="0" collapsed="false">
      <c r="A7" s="7" t="s">
        <v>1154</v>
      </c>
      <c r="B7" s="15" t="s">
        <v>1155</v>
      </c>
      <c r="C7" s="21" t="n">
        <v>30481.68</v>
      </c>
      <c r="D7" s="21" t="n">
        <v>1000</v>
      </c>
      <c r="E7" s="7" t="s">
        <v>12</v>
      </c>
      <c r="F7" s="22" t="n">
        <f aca="false">C7/D7*(P_OM_NC*P_HH_PEON/PARAMETROS!$H$10+(1-P_OM_NC)*P_FACT_IPC)</f>
        <v>24.001946008364</v>
      </c>
      <c r="G7" s="28" t="n">
        <v>15</v>
      </c>
      <c r="H7" s="11" t="n">
        <f aca="false">C_R1_T+C_R2_T</f>
        <v>8341.866</v>
      </c>
      <c r="I7" s="11" t="n">
        <f aca="false">C_R1_P+C_R2_P</f>
        <v>310.448</v>
      </c>
      <c r="J7" s="8" t="n">
        <f aca="false">F7*H7</f>
        <v>200221.017341008</v>
      </c>
      <c r="K7" s="8" t="n">
        <f aca="false">F7*I7</f>
        <v>7451.35613440459</v>
      </c>
      <c r="L7" s="23" t="s">
        <v>1156</v>
      </c>
    </row>
    <row r="8" customFormat="false" ht="15" hidden="false" customHeight="false" outlineLevel="0" collapsed="false">
      <c r="A8" s="7" t="s">
        <v>1154</v>
      </c>
      <c r="B8" s="15" t="s">
        <v>1157</v>
      </c>
      <c r="C8" s="21" t="n">
        <v>34000</v>
      </c>
      <c r="D8" s="21" t="n">
        <v>1000</v>
      </c>
      <c r="E8" s="7" t="s">
        <v>12</v>
      </c>
      <c r="F8" s="22" t="n">
        <f aca="false">C8/D8*(P_OM_NC*P_HH_PEON/PARAMETROS!$H$10+(1-P_OM_NC)*P_FACT_IPC)</f>
        <v>26.7723486462812</v>
      </c>
      <c r="G8" s="28" t="n">
        <v>5</v>
      </c>
      <c r="H8" s="11" t="n">
        <f aca="false">C_R1_T+C_R2_T</f>
        <v>8341.866</v>
      </c>
      <c r="I8" s="11" t="n">
        <f aca="false">C_R1_P+C_R2_P</f>
        <v>310.448</v>
      </c>
      <c r="J8" s="8" t="n">
        <f aca="false">F8*H8</f>
        <v>223331.344912559</v>
      </c>
      <c r="K8" s="8" t="n">
        <f aca="false">F8*I8</f>
        <v>8311.4220925407</v>
      </c>
      <c r="L8" s="23" t="s">
        <v>1156</v>
      </c>
    </row>
    <row r="9" customFormat="false" ht="15" hidden="false" customHeight="false" outlineLevel="0" collapsed="false">
      <c r="A9" s="7" t="s">
        <v>1154</v>
      </c>
      <c r="B9" s="15" t="s">
        <v>1158</v>
      </c>
      <c r="C9" s="21" t="n">
        <v>3600</v>
      </c>
      <c r="D9" s="21" t="n">
        <v>1000</v>
      </c>
      <c r="E9" s="7" t="s">
        <v>12</v>
      </c>
      <c r="F9" s="22" t="n">
        <f aca="false">C9/D9*(P_OM_NC*P_HH_PEON/PARAMETROS!$H$10+(1-P_OM_NC)*P_FACT_IPC)</f>
        <v>2.83471926842977</v>
      </c>
      <c r="G9" s="28" t="n">
        <v>5</v>
      </c>
      <c r="H9" s="11" t="n">
        <f aca="false">C_R1_T+C_R2_T</f>
        <v>8341.866</v>
      </c>
      <c r="I9" s="11" t="n">
        <f aca="false">C_R1_P+C_R2_P</f>
        <v>310.448</v>
      </c>
      <c r="J9" s="8" t="n">
        <f aca="false">F9*H9</f>
        <v>23646.8482848592</v>
      </c>
      <c r="K9" s="8" t="n">
        <f aca="false">F9*I9</f>
        <v>880.032927445486</v>
      </c>
      <c r="L9" s="23" t="s">
        <v>1156</v>
      </c>
    </row>
    <row r="10" customFormat="false" ht="15" hidden="false" customHeight="false" outlineLevel="0" collapsed="false">
      <c r="A10" s="7" t="s">
        <v>1154</v>
      </c>
      <c r="B10" s="15" t="s">
        <v>1159</v>
      </c>
      <c r="C10" s="21" t="n">
        <v>82355</v>
      </c>
      <c r="D10" s="21" t="n">
        <v>650000</v>
      </c>
      <c r="E10" s="7" t="s">
        <v>1160</v>
      </c>
      <c r="F10" s="22" t="n">
        <f aca="false">C10/D10*(P_OM_NC*P_HH_PEON/PARAMETROS!$H$10+(1-P_OM_NC)*P_FACT_IPC)</f>
        <v>0.0997663698083479</v>
      </c>
      <c r="G10" s="28" t="n">
        <v>2</v>
      </c>
      <c r="H10" s="11" t="n">
        <f aca="false">C_PL_T</f>
        <v>4508650.618</v>
      </c>
      <c r="I10" s="11" t="n">
        <f aca="false">C_PL_P</f>
        <v>172906.335</v>
      </c>
      <c r="J10" s="8" t="n">
        <f aca="false">F10*H10</f>
        <v>449811.704892024</v>
      </c>
      <c r="K10" s="8" t="n">
        <f aca="false">F10*I10</f>
        <v>17250.2373598161</v>
      </c>
      <c r="L10" s="23" t="s">
        <v>1156</v>
      </c>
    </row>
    <row r="11" customFormat="false" ht="15" hidden="false" customHeight="false" outlineLevel="0" collapsed="false">
      <c r="A11" s="7" t="s">
        <v>1154</v>
      </c>
      <c r="B11" s="15" t="s">
        <v>1161</v>
      </c>
      <c r="C11" s="21" t="n">
        <v>149500</v>
      </c>
      <c r="D11" s="21" t="n">
        <v>650000</v>
      </c>
      <c r="E11" s="7" t="s">
        <v>1160</v>
      </c>
      <c r="F11" s="22" t="n">
        <f aca="false">C11/D11*(P_OM_NC*P_HH_PEON/PARAMETROS!$H$10+(1-P_OM_NC)*P_FACT_IPC)</f>
        <v>0.181107064371902</v>
      </c>
      <c r="G11" s="28" t="n">
        <v>3</v>
      </c>
      <c r="H11" s="11" t="n">
        <f aca="false">C_PL_T</f>
        <v>4508650.618</v>
      </c>
      <c r="I11" s="11" t="n">
        <f aca="false">C_PL_P</f>
        <v>172906.335</v>
      </c>
      <c r="J11" s="8" t="n">
        <f aca="false">F11*H11</f>
        <v>816548.477704543</v>
      </c>
      <c r="K11" s="8" t="n">
        <f aca="false">F11*I11</f>
        <v>31314.5587431547</v>
      </c>
      <c r="L11" s="23" t="s">
        <v>1156</v>
      </c>
    </row>
    <row r="12" customFormat="false" ht="15" hidden="false" customHeight="false" outlineLevel="0" collapsed="false">
      <c r="A12" s="7" t="s">
        <v>1154</v>
      </c>
      <c r="B12" s="15" t="s">
        <v>1162</v>
      </c>
      <c r="C12" s="21" t="n">
        <v>142520</v>
      </c>
      <c r="D12" s="21" t="n">
        <v>1000</v>
      </c>
      <c r="E12" s="7" t="s">
        <v>12</v>
      </c>
      <c r="F12" s="22" t="n">
        <f aca="false">C12/D12*(P_OM_NC*P_HH_PEON/PARAMETROS!$H$10+(1-P_OM_NC)*P_FACT_IPC)</f>
        <v>112.223386149059</v>
      </c>
      <c r="G12" s="28" t="n">
        <v>3</v>
      </c>
      <c r="H12" s="11" t="n">
        <f aca="false">C_R1_T+C_R2_T</f>
        <v>8341.866</v>
      </c>
      <c r="I12" s="11" t="n">
        <f aca="false">C_R1_P+C_R2_P</f>
        <v>310.448</v>
      </c>
      <c r="J12" s="8" t="n">
        <f aca="false">F12*H12</f>
        <v>936152.449321704</v>
      </c>
      <c r="K12" s="8" t="n">
        <f aca="false">F12*I12</f>
        <v>34839.525783203</v>
      </c>
      <c r="L12" s="23" t="s">
        <v>1156</v>
      </c>
    </row>
    <row r="13" customFormat="false" ht="15" hidden="false" customHeight="false" outlineLevel="0" collapsed="false">
      <c r="A13" s="7" t="s">
        <v>1154</v>
      </c>
      <c r="B13" s="15" t="s">
        <v>1163</v>
      </c>
      <c r="C13" s="21" t="n">
        <v>1326000</v>
      </c>
      <c r="D13" s="21" t="n">
        <v>650000</v>
      </c>
      <c r="E13" s="7" t="s">
        <v>1160</v>
      </c>
      <c r="F13" s="22" t="n">
        <f aca="false">C13/D13*(P_OM_NC*P_HH_PEON/PARAMETROS!$H$10+(1-P_OM_NC)*P_FACT_IPC)</f>
        <v>1.60634091877687</v>
      </c>
      <c r="G13" s="28" t="n">
        <v>2</v>
      </c>
      <c r="H13" s="11" t="n">
        <f aca="false">C_PL_T</f>
        <v>4508650.618</v>
      </c>
      <c r="I13" s="11" t="n">
        <f aca="false">C_PL_P</f>
        <v>172906.335</v>
      </c>
      <c r="J13" s="8" t="n">
        <f aca="false">F13*H13</f>
        <v>7242429.97616203</v>
      </c>
      <c r="K13" s="8" t="n">
        <f aca="false">F13*I13</f>
        <v>277746.521026242</v>
      </c>
      <c r="L13" s="23" t="s">
        <v>1156</v>
      </c>
    </row>
    <row r="14" customFormat="false" ht="15" hidden="false" customHeight="false" outlineLevel="0" collapsed="false">
      <c r="A14" s="7" t="s">
        <v>1154</v>
      </c>
      <c r="B14" s="15" t="s">
        <v>1164</v>
      </c>
      <c r="C14" s="21" t="n">
        <v>2015000</v>
      </c>
      <c r="D14" s="21" t="n">
        <v>650000</v>
      </c>
      <c r="E14" s="7" t="s">
        <v>1160</v>
      </c>
      <c r="F14" s="22" t="n">
        <f aca="false">C14/D14*(P_OM_NC*P_HH_PEON/PARAMETROS!$H$10+(1-P_OM_NC)*P_FACT_IPC)</f>
        <v>2.44100825892564</v>
      </c>
      <c r="G14" s="28" t="n">
        <v>2</v>
      </c>
      <c r="H14" s="11" t="n">
        <f aca="false">C_PL_T</f>
        <v>4508650.618</v>
      </c>
      <c r="I14" s="11" t="n">
        <f aca="false">C_PL_P</f>
        <v>172906.335</v>
      </c>
      <c r="J14" s="8" t="n">
        <f aca="false">F14*H14</f>
        <v>11005653.3951482</v>
      </c>
      <c r="K14" s="8" t="n">
        <f aca="false">F14*I14</f>
        <v>422065.791755563</v>
      </c>
      <c r="L14" s="23" t="s">
        <v>1156</v>
      </c>
    </row>
    <row r="15" customFormat="false" ht="15" hidden="false" customHeight="false" outlineLevel="0" collapsed="false">
      <c r="A15" s="7" t="s">
        <v>1154</v>
      </c>
      <c r="B15" s="15" t="s">
        <v>1165</v>
      </c>
      <c r="C15" s="21" t="n">
        <v>5090</v>
      </c>
      <c r="D15" s="21" t="n">
        <v>1000</v>
      </c>
      <c r="E15" s="7" t="s">
        <v>12</v>
      </c>
      <c r="F15" s="22" t="n">
        <f aca="false">C15/D15*(P_OM_NC*P_HH_PEON/PARAMETROS!$H$10+(1-P_OM_NC)*P_FACT_IPC)</f>
        <v>4.0079780767521</v>
      </c>
      <c r="G15" s="28" t="n">
        <v>15</v>
      </c>
      <c r="H15" s="11" t="n">
        <f aca="false">C_R1_T+C_R2_T</f>
        <v>8341.866</v>
      </c>
      <c r="I15" s="11" t="n">
        <f aca="false">C_R1_P+C_R2_P</f>
        <v>310.448</v>
      </c>
      <c r="J15" s="8" t="n">
        <f aca="false">F15*H15</f>
        <v>33434.0160472037</v>
      </c>
      <c r="K15" s="8" t="n">
        <f aca="false">F15*I15</f>
        <v>1244.26877797153</v>
      </c>
      <c r="L15" s="23" t="s">
        <v>1156</v>
      </c>
    </row>
    <row r="16" customFormat="false" ht="15" hidden="false" customHeight="false" outlineLevel="0" collapsed="false">
      <c r="A16" s="7" t="s">
        <v>1154</v>
      </c>
      <c r="B16" s="15" t="s">
        <v>1166</v>
      </c>
      <c r="C16" s="21" t="n">
        <v>2047500</v>
      </c>
      <c r="D16" s="21" t="n">
        <v>650000</v>
      </c>
      <c r="E16" s="7" t="s">
        <v>1160</v>
      </c>
      <c r="F16" s="22" t="n">
        <f aca="false">C16/D16*(P_OM_NC*P_HH_PEON/PARAMETROS!$H$10+(1-P_OM_NC)*P_FACT_IPC)</f>
        <v>2.48037935987605</v>
      </c>
      <c r="G16" s="28" t="n">
        <v>2</v>
      </c>
      <c r="H16" s="11" t="n">
        <f aca="false">C_PL_T</f>
        <v>4508650.618</v>
      </c>
      <c r="I16" s="11" t="n">
        <f aca="false">C_PL_P</f>
        <v>172906.335</v>
      </c>
      <c r="J16" s="8" t="n">
        <f aca="false">F16*H16</f>
        <v>11183163.9337796</v>
      </c>
      <c r="K16" s="8" t="n">
        <f aca="false">F16*I16</f>
        <v>428873.304525814</v>
      </c>
      <c r="L16" s="23" t="s">
        <v>1156</v>
      </c>
    </row>
    <row r="17" customFormat="false" ht="15" hidden="false" customHeight="false" outlineLevel="0" collapsed="false">
      <c r="A17" s="7" t="s">
        <v>1154</v>
      </c>
      <c r="B17" s="15" t="s">
        <v>1167</v>
      </c>
      <c r="C17" s="21" t="n">
        <v>24000</v>
      </c>
      <c r="D17" s="21" t="n">
        <v>1000</v>
      </c>
      <c r="E17" s="7" t="s">
        <v>12</v>
      </c>
      <c r="F17" s="22" t="n">
        <f aca="false">C17/D17*(P_OM_NC*P_HH_PEON/PARAMETROS!$H$10+(1-P_OM_NC)*P_FACT_IPC)</f>
        <v>18.8981284561985</v>
      </c>
      <c r="G17" s="28" t="n">
        <v>5</v>
      </c>
      <c r="H17" s="11" t="n">
        <f aca="false">C_R1_T+C_R2_T</f>
        <v>8341.866</v>
      </c>
      <c r="I17" s="11" t="n">
        <f aca="false">C_R1_P+C_R2_P</f>
        <v>310.448</v>
      </c>
      <c r="J17" s="8" t="n">
        <f aca="false">F17*H17</f>
        <v>157645.655232395</v>
      </c>
      <c r="K17" s="8" t="n">
        <f aca="false">F17*I17</f>
        <v>5866.88618296991</v>
      </c>
      <c r="L17" s="23" t="s">
        <v>1156</v>
      </c>
    </row>
    <row r="18" customFormat="false" ht="22.35" hidden="false" customHeight="false" outlineLevel="0" collapsed="false">
      <c r="A18" s="7" t="s">
        <v>1168</v>
      </c>
      <c r="B18" s="15" t="s">
        <v>1169</v>
      </c>
      <c r="C18" s="21" t="n">
        <v>336378.05</v>
      </c>
      <c r="D18" s="21" t="n">
        <v>360</v>
      </c>
      <c r="E18" s="7" t="s">
        <v>1170</v>
      </c>
      <c r="F18" s="22" t="n">
        <f aca="false">C18/D18*(P_OM_NC*P_HH_PEON/PARAMETROS!$H$10+(1-P_OM_NC)*P_FACT_IPC)</f>
        <v>735.75412022518</v>
      </c>
      <c r="G18" s="28" t="n">
        <v>15</v>
      </c>
      <c r="H18" s="11" t="n">
        <f aca="false">C_KZ_T</f>
        <v>17971.7114263086</v>
      </c>
      <c r="I18" s="11" t="n">
        <f aca="false">C_KZ_P</f>
        <v>871.506227950177</v>
      </c>
      <c r="J18" s="8" t="n">
        <f aca="false">F18*H18</f>
        <v>13222760.7294045</v>
      </c>
      <c r="K18" s="8" t="n">
        <f aca="false">F18*I18</f>
        <v>641214.298016248</v>
      </c>
      <c r="L18" s="23" t="s">
        <v>1156</v>
      </c>
    </row>
    <row r="19" customFormat="false" ht="22.35" hidden="false" customHeight="false" outlineLevel="0" collapsed="false">
      <c r="A19" s="7" t="s">
        <v>1171</v>
      </c>
      <c r="B19" s="15" t="s">
        <v>1172</v>
      </c>
      <c r="C19" s="21" t="n">
        <v>184151.84</v>
      </c>
      <c r="D19" s="21" t="n">
        <v>120</v>
      </c>
      <c r="E19" s="7" t="s">
        <v>1173</v>
      </c>
      <c r="F19" s="22" t="n">
        <f aca="false">C19/D19*(P_OM_NC*P_HH_PEON/PARAMETROS!$H$10+(1-P_OM_NC)*P_FACT_IPC)</f>
        <v>1208.37678047407</v>
      </c>
      <c r="G19" s="28" t="n">
        <v>15</v>
      </c>
      <c r="H19" s="11" t="n">
        <f aca="false">C_KT_T</f>
        <v>705.490021960088</v>
      </c>
      <c r="I19" s="11" t="n">
        <f aca="false">C_KT_P</f>
        <v>28.2721130884524</v>
      </c>
      <c r="J19" s="8" t="n">
        <f aca="false">F19*H19</f>
        <v>852497.761392709</v>
      </c>
      <c r="K19" s="8" t="n">
        <f aca="false">F19*I19</f>
        <v>34163.3649910228</v>
      </c>
      <c r="L19" s="23" t="s">
        <v>1156</v>
      </c>
    </row>
    <row r="20" customFormat="false" ht="22.35" hidden="false" customHeight="false" outlineLevel="0" collapsed="false">
      <c r="A20" s="7" t="s">
        <v>1174</v>
      </c>
      <c r="B20" s="15" t="s">
        <v>1175</v>
      </c>
      <c r="C20" s="21" t="n">
        <v>224254.45</v>
      </c>
      <c r="D20" s="21" t="n">
        <v>3.24</v>
      </c>
      <c r="E20" s="7" t="s">
        <v>1176</v>
      </c>
      <c r="F20" s="22" t="n">
        <f aca="false">C20/D20*(P_OM_NC*P_HH_PEON/PARAMETROS!$H$10+(1-P_OM_NC)*P_FACT_IPC)</f>
        <v>54500.8925279596</v>
      </c>
      <c r="G20" s="28" t="n">
        <v>15</v>
      </c>
      <c r="H20" s="11" t="n">
        <f aca="false">C_KC_T</f>
        <v>0</v>
      </c>
      <c r="I20" s="11" t="n">
        <f aca="false">C_KC_P</f>
        <v>0</v>
      </c>
      <c r="J20" s="8" t="n">
        <f aca="false">F20*H20</f>
        <v>0</v>
      </c>
      <c r="K20" s="8" t="n">
        <f aca="false">F20*I20</f>
        <v>0</v>
      </c>
      <c r="L20" s="23" t="s">
        <v>1156</v>
      </c>
    </row>
    <row r="21" customFormat="false" ht="15" hidden="false" customHeight="false" outlineLevel="0" collapsed="false">
      <c r="B21" s="13" t="s">
        <v>1177</v>
      </c>
      <c r="J21" s="40" t="n">
        <f aca="false">SUM(J7:J20)</f>
        <v>46347297.3096233</v>
      </c>
      <c r="K21" s="40" t="n">
        <f aca="false">SUM(K7:K20)</f>
        <v>1911221.5683164</v>
      </c>
    </row>
    <row r="23" customFormat="false" ht="15" hidden="false" customHeight="false" outlineLevel="0" collapsed="false">
      <c r="B23" s="13" t="s">
        <v>1178</v>
      </c>
      <c r="F23" s="14" t="n">
        <f aca="false">(INDEX(PARTIDAS!$I$7:$I$132,MATCH("REFORESTACION|04.02.01",PARTIDAS!$A$7:$A$132,0))+INDEX(PARTIDAS!$I$7:$I$132,MATCH("REFORESTACION|04.02.02",PARTIDAS!$A$7:$A$132,0))+INDEX(PARTIDAS!$I$7:$I$132,MATCH("REFORESTACION|04.02.03",PARTIDAS!$A$7:$A$132,0))+INDEX(PARTIDAS!$I$7:$I$132,MATCH("REFORESTACION|04.02.04",PARTIDAS!$A$7:$A$132,0)))/(INDEX(PARTIDAS!$H$7:$H$132,MATCH("REFORESTACION|04.02.01",PARTIDAS!$A$7:$A$132,0))+INDEX(PARTIDAS!$H$7:$H$132,MATCH("REFORESTACION|04.02.02",PARTIDAS!$A$7:$A$132,0))+INDEX(PARTIDAS!$H$7:$H$132,MATCH("REFORESTACION|04.02.03",PARTIDAS!$A$7:$A$132,0))+INDEX(PARTIDAS!$H$7:$H$132,MATCH("REFORESTACION|04.02.04",PARTIDAS!$A$7:$A$132,0)))</f>
        <v>0.921517172056225</v>
      </c>
      <c r="G23" s="23" t="s">
        <v>1179</v>
      </c>
    </row>
    <row r="24" customFormat="false" ht="15" hidden="false" customHeight="false" outlineLevel="0" collapsed="false">
      <c r="B24" s="23" t="s">
        <v>1180</v>
      </c>
    </row>
  </sheetData>
  <mergeCells count="5">
    <mergeCell ref="A1:L1"/>
    <mergeCell ref="A2:L2"/>
    <mergeCell ref="A3:L3"/>
    <mergeCell ref="A4:L4"/>
    <mergeCell ref="A5:L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6AB"/>
    <pageSetUpPr fitToPage="true"/>
  </sheetPr>
  <dimension ref="A1:W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22" min="3" style="0" width="11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customFormat="false" ht="19.5" hidden="false" customHeight="true" outlineLevel="0" collapsed="false">
      <c r="A4" s="4" t="s">
        <v>1181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customFormat="false" ht="15" hidden="false" customHeight="false" outlineLevel="0" collapsed="false">
      <c r="A5" s="5" t="s">
        <v>1182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customFormat="false" ht="15" hidden="false" customHeight="false" outlineLevel="0" collapsed="false">
      <c r="A6" s="13" t="s">
        <v>1183</v>
      </c>
    </row>
    <row r="7" customFormat="false" ht="15" hidden="false" customHeight="false" outlineLevel="0" collapsed="false">
      <c r="A7" s="13" t="s">
        <v>136</v>
      </c>
      <c r="B7" s="13" t="s">
        <v>1184</v>
      </c>
      <c r="C7" s="43" t="n">
        <v>1</v>
      </c>
      <c r="D7" s="43" t="n">
        <v>2</v>
      </c>
      <c r="E7" s="43" t="n">
        <v>3</v>
      </c>
      <c r="F7" s="43" t="n">
        <v>4</v>
      </c>
      <c r="G7" s="43" t="n">
        <v>5</v>
      </c>
      <c r="H7" s="43" t="n">
        <v>6</v>
      </c>
      <c r="I7" s="43" t="n">
        <v>7</v>
      </c>
      <c r="J7" s="43" t="n">
        <v>8</v>
      </c>
      <c r="K7" s="43" t="n">
        <v>9</v>
      </c>
      <c r="L7" s="43" t="n">
        <v>10</v>
      </c>
      <c r="M7" s="43" t="n">
        <v>11</v>
      </c>
      <c r="N7" s="43" t="n">
        <v>12</v>
      </c>
      <c r="O7" s="43" t="n">
        <v>13</v>
      </c>
      <c r="P7" s="43" t="n">
        <v>14</v>
      </c>
      <c r="Q7" s="43" t="n">
        <v>15</v>
      </c>
      <c r="R7" s="43" t="n">
        <v>16</v>
      </c>
      <c r="S7" s="43" t="n">
        <v>17</v>
      </c>
      <c r="T7" s="43" t="n">
        <v>18</v>
      </c>
      <c r="U7" s="43" t="n">
        <v>19</v>
      </c>
      <c r="V7" s="43" t="n">
        <v>20</v>
      </c>
    </row>
    <row r="8" customFormat="false" ht="15" hidden="false" customHeight="false" outlineLevel="0" collapsed="false">
      <c r="A8" s="7" t="s">
        <v>1185</v>
      </c>
      <c r="B8" s="44" t="n">
        <f aca="false">SUM(C8:V8)</f>
        <v>1</v>
      </c>
      <c r="C8" s="26" t="n">
        <v>0.2</v>
      </c>
      <c r="D8" s="26" t="n">
        <v>0.2</v>
      </c>
      <c r="E8" s="26" t="n">
        <v>0.2</v>
      </c>
      <c r="F8" s="26" t="n">
        <v>0.2</v>
      </c>
      <c r="G8" s="26" t="n">
        <v>0.2</v>
      </c>
      <c r="H8" s="45" t="n">
        <v>0</v>
      </c>
      <c r="I8" s="45" t="n">
        <v>0</v>
      </c>
      <c r="J8" s="45" t="n">
        <v>0</v>
      </c>
      <c r="K8" s="45" t="n">
        <v>0</v>
      </c>
      <c r="L8" s="45" t="n">
        <v>0</v>
      </c>
      <c r="M8" s="45" t="n">
        <v>0</v>
      </c>
      <c r="N8" s="45" t="n">
        <v>0</v>
      </c>
      <c r="O8" s="45" t="n">
        <v>0</v>
      </c>
      <c r="P8" s="45" t="n">
        <v>0</v>
      </c>
      <c r="Q8" s="45" t="n">
        <v>0</v>
      </c>
      <c r="R8" s="45" t="n">
        <v>0</v>
      </c>
      <c r="S8" s="45" t="n">
        <v>0</v>
      </c>
      <c r="T8" s="45" t="n">
        <v>0</v>
      </c>
      <c r="U8" s="45" t="n">
        <v>0</v>
      </c>
      <c r="V8" s="45" t="n">
        <v>0</v>
      </c>
    </row>
    <row r="9" customFormat="false" ht="15" hidden="false" customHeight="false" outlineLevel="0" collapsed="false">
      <c r="A9" s="7" t="s">
        <v>1186</v>
      </c>
      <c r="C9" s="46" t="n">
        <f aca="false">MAX(0,C7-P_ANIOS_EJ)</f>
        <v>0</v>
      </c>
      <c r="D9" s="46" t="n">
        <f aca="false">MAX(0,D7-P_ANIOS_EJ)</f>
        <v>0</v>
      </c>
      <c r="E9" s="46" t="n">
        <f aca="false">MAX(0,E7-P_ANIOS_EJ)</f>
        <v>0</v>
      </c>
      <c r="F9" s="46" t="n">
        <f aca="false">MAX(0,F7-P_ANIOS_EJ)</f>
        <v>0</v>
      </c>
      <c r="G9" s="46" t="n">
        <f aca="false">MAX(0,G7-P_ANIOS_EJ)</f>
        <v>0</v>
      </c>
      <c r="H9" s="46" t="n">
        <f aca="false">MAX(0,H7-P_ANIOS_EJ)</f>
        <v>1</v>
      </c>
      <c r="I9" s="46" t="n">
        <f aca="false">MAX(0,I7-P_ANIOS_EJ)</f>
        <v>2</v>
      </c>
      <c r="J9" s="46" t="n">
        <f aca="false">MAX(0,J7-P_ANIOS_EJ)</f>
        <v>3</v>
      </c>
      <c r="K9" s="46" t="n">
        <f aca="false">MAX(0,K7-P_ANIOS_EJ)</f>
        <v>4</v>
      </c>
      <c r="L9" s="46" t="n">
        <f aca="false">MAX(0,L7-P_ANIOS_EJ)</f>
        <v>5</v>
      </c>
      <c r="M9" s="46" t="n">
        <f aca="false">MAX(0,M7-P_ANIOS_EJ)</f>
        <v>6</v>
      </c>
      <c r="N9" s="46" t="n">
        <f aca="false">MAX(0,N7-P_ANIOS_EJ)</f>
        <v>7</v>
      </c>
      <c r="O9" s="46" t="n">
        <f aca="false">MAX(0,O7-P_ANIOS_EJ)</f>
        <v>8</v>
      </c>
      <c r="P9" s="46" t="n">
        <f aca="false">MAX(0,P7-P_ANIOS_EJ)</f>
        <v>9</v>
      </c>
      <c r="Q9" s="46" t="n">
        <f aca="false">MAX(0,Q7-P_ANIOS_EJ)</f>
        <v>10</v>
      </c>
      <c r="R9" s="46" t="n">
        <f aca="false">MAX(0,R7-P_ANIOS_EJ)</f>
        <v>11</v>
      </c>
      <c r="S9" s="46" t="n">
        <f aca="false">MAX(0,S7-P_ANIOS_EJ)</f>
        <v>12</v>
      </c>
      <c r="T9" s="46" t="n">
        <f aca="false">MAX(0,T7-P_ANIOS_EJ)</f>
        <v>13</v>
      </c>
      <c r="U9" s="46" t="n">
        <f aca="false">MAX(0,U7-P_ANIOS_EJ)</f>
        <v>14</v>
      </c>
      <c r="V9" s="46" t="n">
        <f aca="false">MAX(0,V7-P_ANIOS_EJ)</f>
        <v>15</v>
      </c>
    </row>
    <row r="11" customFormat="false" ht="15" hidden="false" customHeight="false" outlineLevel="0" collapsed="false">
      <c r="A11" s="47" t="s">
        <v>1187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</row>
    <row r="12" customFormat="false" ht="15" hidden="false" customHeight="false" outlineLevel="0" collapsed="false">
      <c r="A12" s="7" t="s">
        <v>1188</v>
      </c>
      <c r="B12" s="40" t="n">
        <f aca="false">NPV(P_TSD,C12:V12)</f>
        <v>273943560.891458</v>
      </c>
      <c r="C12" s="8" t="n">
        <f aca="false">C_INV_T*C$8</f>
        <v>68610933.0122888</v>
      </c>
      <c r="D12" s="8" t="n">
        <f aca="false">C_INV_T*D$8</f>
        <v>68610933.0122888</v>
      </c>
      <c r="E12" s="8" t="n">
        <f aca="false">C_INV_T*E$8</f>
        <v>68610933.0122888</v>
      </c>
      <c r="F12" s="8" t="n">
        <f aca="false">C_INV_T*F$8</f>
        <v>68610933.0122888</v>
      </c>
      <c r="G12" s="8" t="n">
        <f aca="false">C_INV_T*G$8</f>
        <v>68610933.0122888</v>
      </c>
      <c r="H12" s="8" t="n">
        <f aca="false">C_INV_T*H$8</f>
        <v>0</v>
      </c>
      <c r="I12" s="8" t="n">
        <f aca="false">C_INV_T*I$8</f>
        <v>0</v>
      </c>
      <c r="J12" s="8" t="n">
        <f aca="false">C_INV_T*J$8</f>
        <v>0</v>
      </c>
      <c r="K12" s="8" t="n">
        <f aca="false">C_INV_T*K$8</f>
        <v>0</v>
      </c>
      <c r="L12" s="8" t="n">
        <f aca="false">C_INV_T*L$8</f>
        <v>0</v>
      </c>
      <c r="M12" s="8" t="n">
        <f aca="false">C_INV_T*M$8</f>
        <v>0</v>
      </c>
      <c r="N12" s="8" t="n">
        <f aca="false">C_INV_T*N$8</f>
        <v>0</v>
      </c>
      <c r="O12" s="8" t="n">
        <f aca="false">C_INV_T*O$8</f>
        <v>0</v>
      </c>
      <c r="P12" s="8" t="n">
        <f aca="false">C_INV_T*P$8</f>
        <v>0</v>
      </c>
      <c r="Q12" s="8" t="n">
        <f aca="false">C_INV_T*Q$8</f>
        <v>0</v>
      </c>
      <c r="R12" s="8" t="n">
        <f aca="false">C_INV_T*R$8</f>
        <v>0</v>
      </c>
      <c r="S12" s="8" t="n">
        <f aca="false">C_INV_T*S$8</f>
        <v>0</v>
      </c>
      <c r="T12" s="8" t="n">
        <f aca="false">C_INV_T*T$8</f>
        <v>0</v>
      </c>
      <c r="U12" s="8" t="n">
        <f aca="false">C_INV_T*U$8</f>
        <v>0</v>
      </c>
      <c r="V12" s="8" t="n">
        <f aca="false">C_INV_T*V$8</f>
        <v>0</v>
      </c>
    </row>
    <row r="13" customFormat="false" ht="15" hidden="false" customHeight="false" outlineLevel="0" collapsed="false">
      <c r="A13" s="7" t="s">
        <v>1189</v>
      </c>
      <c r="B13" s="40" t="n">
        <f aca="false">NPV(P_TSD,C13:V13)</f>
        <v>123794752.391646</v>
      </c>
      <c r="C13" s="8" t="n">
        <f aca="false">IF(C$9&gt;0,SUMPRODUCT((OYM!$G$7:$G$20&gt;=C$9)*OYM!$J$7:$J$20),0)</f>
        <v>0</v>
      </c>
      <c r="D13" s="8" t="n">
        <f aca="false">IF(D$9&gt;0,SUMPRODUCT((OYM!$G$7:$G$20&gt;=D$9)*OYM!$J$7:$J$20),0)</f>
        <v>0</v>
      </c>
      <c r="E13" s="8" t="n">
        <f aca="false">IF(E$9&gt;0,SUMPRODUCT((OYM!$G$7:$G$20&gt;=E$9)*OYM!$J$7:$J$20),0)</f>
        <v>0</v>
      </c>
      <c r="F13" s="8" t="n">
        <f aca="false">IF(F$9&gt;0,SUMPRODUCT((OYM!$G$7:$G$20&gt;=F$9)*OYM!$J$7:$J$20),0)</f>
        <v>0</v>
      </c>
      <c r="G13" s="8" t="n">
        <f aca="false">IF(G$9&gt;0,SUMPRODUCT((OYM!$G$7:$G$20&gt;=G$9)*OYM!$J$7:$J$20),0)</f>
        <v>0</v>
      </c>
      <c r="H13" s="8" t="n">
        <f aca="false">IF(H$9&gt;0,SUMPRODUCT((OYM!$G$7:$G$20&gt;=H$9)*OYM!$J$7:$J$20),0)</f>
        <v>46347297.3096233</v>
      </c>
      <c r="I13" s="8" t="n">
        <f aca="false">IF(I$9&gt;0,SUMPRODUCT((OYM!$G$7:$G$20&gt;=I$9)*OYM!$J$7:$J$20),0)</f>
        <v>46347297.3096233</v>
      </c>
      <c r="J13" s="8" t="n">
        <f aca="false">IF(J$9&gt;0,SUMPRODUCT((OYM!$G$7:$G$20&gt;=J$9)*OYM!$J$7:$J$20),0)</f>
        <v>16466238.2996415</v>
      </c>
      <c r="K13" s="8" t="n">
        <f aca="false">IF(K$9&gt;0,SUMPRODUCT((OYM!$G$7:$G$20&gt;=K$9)*OYM!$J$7:$J$20),0)</f>
        <v>14713537.3726152</v>
      </c>
      <c r="L13" s="8" t="n">
        <f aca="false">IF(L$9&gt;0,SUMPRODUCT((OYM!$G$7:$G$20&gt;=L$9)*OYM!$J$7:$J$20),0)</f>
        <v>14713537.3726152</v>
      </c>
      <c r="M13" s="8" t="n">
        <f aca="false">IF(M$9&gt;0,SUMPRODUCT((OYM!$G$7:$G$20&gt;=M$9)*OYM!$J$7:$J$20),0)</f>
        <v>14308913.5241854</v>
      </c>
      <c r="N13" s="8" t="n">
        <f aca="false">IF(N$9&gt;0,SUMPRODUCT((OYM!$G$7:$G$20&gt;=N$9)*OYM!$J$7:$J$20),0)</f>
        <v>14308913.5241854</v>
      </c>
      <c r="O13" s="8" t="n">
        <f aca="false">IF(O$9&gt;0,SUMPRODUCT((OYM!$G$7:$G$20&gt;=O$9)*OYM!$J$7:$J$20),0)</f>
        <v>14308913.5241854</v>
      </c>
      <c r="P13" s="8" t="n">
        <f aca="false">IF(P$9&gt;0,SUMPRODUCT((OYM!$G$7:$G$20&gt;=P$9)*OYM!$J$7:$J$20),0)</f>
        <v>14308913.5241854</v>
      </c>
      <c r="Q13" s="8" t="n">
        <f aca="false">IF(Q$9&gt;0,SUMPRODUCT((OYM!$G$7:$G$20&gt;=Q$9)*OYM!$J$7:$J$20),0)</f>
        <v>14308913.5241854</v>
      </c>
      <c r="R13" s="8" t="n">
        <f aca="false">IF(R$9&gt;0,SUMPRODUCT((OYM!$G$7:$G$20&gt;=R$9)*OYM!$J$7:$J$20),0)</f>
        <v>14308913.5241854</v>
      </c>
      <c r="S13" s="8" t="n">
        <f aca="false">IF(S$9&gt;0,SUMPRODUCT((OYM!$G$7:$G$20&gt;=S$9)*OYM!$J$7:$J$20),0)</f>
        <v>14308913.5241854</v>
      </c>
      <c r="T13" s="8" t="n">
        <f aca="false">IF(T$9&gt;0,SUMPRODUCT((OYM!$G$7:$G$20&gt;=T$9)*OYM!$J$7:$J$20),0)</f>
        <v>14308913.5241854</v>
      </c>
      <c r="U13" s="8" t="n">
        <f aca="false">IF(U$9&gt;0,SUMPRODUCT((OYM!$G$7:$G$20&gt;=U$9)*OYM!$J$7:$J$20),0)</f>
        <v>14308913.5241854</v>
      </c>
      <c r="V13" s="8" t="n">
        <f aca="false">IF(V$9&gt;0,SUMPRODUCT((OYM!$G$7:$G$20&gt;=V$9)*OYM!$J$7:$J$20),0)</f>
        <v>14308913.5241854</v>
      </c>
    </row>
    <row r="14" customFormat="false" ht="15" hidden="false" customHeight="false" outlineLevel="0" collapsed="false">
      <c r="A14" s="13" t="s">
        <v>1190</v>
      </c>
      <c r="B14" s="40" t="n">
        <f aca="false">NPV(P_TSD,C14:V14)</f>
        <v>397738313.283104</v>
      </c>
      <c r="C14" s="40" t="n">
        <f aca="false">C12+C13</f>
        <v>68610933.0122888</v>
      </c>
      <c r="D14" s="40" t="n">
        <f aca="false">D12+D13</f>
        <v>68610933.0122888</v>
      </c>
      <c r="E14" s="40" t="n">
        <f aca="false">E12+E13</f>
        <v>68610933.0122888</v>
      </c>
      <c r="F14" s="40" t="n">
        <f aca="false">F12+F13</f>
        <v>68610933.0122888</v>
      </c>
      <c r="G14" s="40" t="n">
        <f aca="false">G12+G13</f>
        <v>68610933.0122888</v>
      </c>
      <c r="H14" s="40" t="n">
        <f aca="false">H12+H13</f>
        <v>46347297.3096233</v>
      </c>
      <c r="I14" s="40" t="n">
        <f aca="false">I12+I13</f>
        <v>46347297.3096233</v>
      </c>
      <c r="J14" s="40" t="n">
        <f aca="false">J12+J13</f>
        <v>16466238.2996415</v>
      </c>
      <c r="K14" s="40" t="n">
        <f aca="false">K12+K13</f>
        <v>14713537.3726152</v>
      </c>
      <c r="L14" s="40" t="n">
        <f aca="false">L12+L13</f>
        <v>14713537.3726152</v>
      </c>
      <c r="M14" s="40" t="n">
        <f aca="false">M12+M13</f>
        <v>14308913.5241854</v>
      </c>
      <c r="N14" s="40" t="n">
        <f aca="false">N12+N13</f>
        <v>14308913.5241854</v>
      </c>
      <c r="O14" s="40" t="n">
        <f aca="false">O12+O13</f>
        <v>14308913.5241854</v>
      </c>
      <c r="P14" s="40" t="n">
        <f aca="false">P12+P13</f>
        <v>14308913.5241854</v>
      </c>
      <c r="Q14" s="40" t="n">
        <f aca="false">Q12+Q13</f>
        <v>14308913.5241854</v>
      </c>
      <c r="R14" s="40" t="n">
        <f aca="false">R12+R13</f>
        <v>14308913.5241854</v>
      </c>
      <c r="S14" s="40" t="n">
        <f aca="false">S12+S13</f>
        <v>14308913.5241854</v>
      </c>
      <c r="T14" s="40" t="n">
        <f aca="false">T12+T13</f>
        <v>14308913.5241854</v>
      </c>
      <c r="U14" s="40" t="n">
        <f aca="false">U12+U13</f>
        <v>14308913.5241854</v>
      </c>
      <c r="V14" s="40" t="n">
        <f aca="false">V12+V13</f>
        <v>14308913.5241854</v>
      </c>
    </row>
    <row r="15" customFormat="false" ht="15" hidden="false" customHeight="false" outlineLevel="0" collapsed="false">
      <c r="A15" s="7" t="s">
        <v>1191</v>
      </c>
      <c r="B15" s="40" t="n">
        <f aca="false">NPV(P_TSD,C15:V15)</f>
        <v>157493737.093925</v>
      </c>
      <c r="C15" s="8" t="n">
        <f aca="false">C_SOC_T*C$8</f>
        <v>39445323.0090258</v>
      </c>
      <c r="D15" s="8" t="n">
        <f aca="false">C_SOC_T*D$8</f>
        <v>39445323.0090258</v>
      </c>
      <c r="E15" s="8" t="n">
        <f aca="false">C_SOC_T*E$8</f>
        <v>39445323.0090258</v>
      </c>
      <c r="F15" s="8" t="n">
        <f aca="false">C_SOC_T*F$8</f>
        <v>39445323.0090258</v>
      </c>
      <c r="G15" s="8" t="n">
        <f aca="false">C_SOC_T*G$8</f>
        <v>39445323.0090258</v>
      </c>
      <c r="H15" s="8" t="n">
        <f aca="false">C_SOC_T*H$8</f>
        <v>0</v>
      </c>
      <c r="I15" s="8" t="n">
        <f aca="false">C_SOC_T*I$8</f>
        <v>0</v>
      </c>
      <c r="J15" s="8" t="n">
        <f aca="false">C_SOC_T*J$8</f>
        <v>0</v>
      </c>
      <c r="K15" s="8" t="n">
        <f aca="false">C_SOC_T*K$8</f>
        <v>0</v>
      </c>
      <c r="L15" s="8" t="n">
        <f aca="false">C_SOC_T*L$8</f>
        <v>0</v>
      </c>
      <c r="M15" s="8" t="n">
        <f aca="false">C_SOC_T*M$8</f>
        <v>0</v>
      </c>
      <c r="N15" s="8" t="n">
        <f aca="false">C_SOC_T*N$8</f>
        <v>0</v>
      </c>
      <c r="O15" s="8" t="n">
        <f aca="false">C_SOC_T*O$8</f>
        <v>0</v>
      </c>
      <c r="P15" s="8" t="n">
        <f aca="false">C_SOC_T*P$8</f>
        <v>0</v>
      </c>
      <c r="Q15" s="8" t="n">
        <f aca="false">C_SOC_T*Q$8</f>
        <v>0</v>
      </c>
      <c r="R15" s="8" t="n">
        <f aca="false">C_SOC_T*R$8</f>
        <v>0</v>
      </c>
      <c r="S15" s="8" t="n">
        <f aca="false">C_SOC_T*S$8</f>
        <v>0</v>
      </c>
      <c r="T15" s="8" t="n">
        <f aca="false">C_SOC_T*T$8</f>
        <v>0</v>
      </c>
      <c r="U15" s="8" t="n">
        <f aca="false">C_SOC_T*U$8</f>
        <v>0</v>
      </c>
      <c r="V15" s="8" t="n">
        <f aca="false">C_SOC_T*V$8</f>
        <v>0</v>
      </c>
    </row>
    <row r="16" customFormat="false" ht="15" hidden="false" customHeight="false" outlineLevel="0" collapsed="false">
      <c r="A16" s="7" t="s">
        <v>1192</v>
      </c>
      <c r="B16" s="40" t="n">
        <f aca="false">NPV(P_TSD,C16:V16)</f>
        <v>56146872.6825066</v>
      </c>
      <c r="C16" s="8" t="n">
        <f aca="false">C13*(P_OM_NC*P_FC_MONC+(1-P_OM_NC)*P_FC_BIEN)</f>
        <v>0</v>
      </c>
      <c r="D16" s="8" t="n">
        <f aca="false">D13*(P_OM_NC*P_FC_MONC+(1-P_OM_NC)*P_FC_BIEN)</f>
        <v>0</v>
      </c>
      <c r="E16" s="8" t="n">
        <f aca="false">E13*(P_OM_NC*P_FC_MONC+(1-P_OM_NC)*P_FC_BIEN)</f>
        <v>0</v>
      </c>
      <c r="F16" s="8" t="n">
        <f aca="false">F13*(P_OM_NC*P_FC_MONC+(1-P_OM_NC)*P_FC_BIEN)</f>
        <v>0</v>
      </c>
      <c r="G16" s="8" t="n">
        <f aca="false">G13*(P_OM_NC*P_FC_MONC+(1-P_OM_NC)*P_FC_BIEN)</f>
        <v>0</v>
      </c>
      <c r="H16" s="8" t="n">
        <f aca="false">H13*(P_OM_NC*P_FC_MONC+(1-P_OM_NC)*P_FC_BIEN)</f>
        <v>21020727.8656612</v>
      </c>
      <c r="I16" s="8" t="n">
        <f aca="false">I13*(P_OM_NC*P_FC_MONC+(1-P_OM_NC)*P_FC_BIEN)</f>
        <v>21020727.8656612</v>
      </c>
      <c r="J16" s="8" t="n">
        <f aca="false">J13*(P_OM_NC*P_FC_MONC+(1-P_OM_NC)*P_FC_BIEN)</f>
        <v>7468230.8216497</v>
      </c>
      <c r="K16" s="8" t="n">
        <f aca="false">K13*(P_OM_NC*P_FC_MONC+(1-P_OM_NC)*P_FC_BIEN)</f>
        <v>6673296.67541932</v>
      </c>
      <c r="L16" s="8" t="n">
        <f aca="false">L13*(P_OM_NC*P_FC_MONC+(1-P_OM_NC)*P_FC_BIEN)</f>
        <v>6673296.67541932</v>
      </c>
      <c r="M16" s="8" t="n">
        <f aca="false">M13*(P_OM_NC*P_FC_MONC+(1-P_OM_NC)*P_FC_BIEN)</f>
        <v>6489780.30446507</v>
      </c>
      <c r="N16" s="8" t="n">
        <f aca="false">N13*(P_OM_NC*P_FC_MONC+(1-P_OM_NC)*P_FC_BIEN)</f>
        <v>6489780.30446507</v>
      </c>
      <c r="O16" s="8" t="n">
        <f aca="false">O13*(P_OM_NC*P_FC_MONC+(1-P_OM_NC)*P_FC_BIEN)</f>
        <v>6489780.30446507</v>
      </c>
      <c r="P16" s="8" t="n">
        <f aca="false">P13*(P_OM_NC*P_FC_MONC+(1-P_OM_NC)*P_FC_BIEN)</f>
        <v>6489780.30446507</v>
      </c>
      <c r="Q16" s="8" t="n">
        <f aca="false">Q13*(P_OM_NC*P_FC_MONC+(1-P_OM_NC)*P_FC_BIEN)</f>
        <v>6489780.30446507</v>
      </c>
      <c r="R16" s="8" t="n">
        <f aca="false">R13*(P_OM_NC*P_FC_MONC+(1-P_OM_NC)*P_FC_BIEN)</f>
        <v>6489780.30446507</v>
      </c>
      <c r="S16" s="8" t="n">
        <f aca="false">S13*(P_OM_NC*P_FC_MONC+(1-P_OM_NC)*P_FC_BIEN)</f>
        <v>6489780.30446507</v>
      </c>
      <c r="T16" s="8" t="n">
        <f aca="false">T13*(P_OM_NC*P_FC_MONC+(1-P_OM_NC)*P_FC_BIEN)</f>
        <v>6489780.30446507</v>
      </c>
      <c r="U16" s="8" t="n">
        <f aca="false">U13*(P_OM_NC*P_FC_MONC+(1-P_OM_NC)*P_FC_BIEN)</f>
        <v>6489780.30446507</v>
      </c>
      <c r="V16" s="8" t="n">
        <f aca="false">V13*(P_OM_NC*P_FC_MONC+(1-P_OM_NC)*P_FC_BIEN)</f>
        <v>6489780.30446507</v>
      </c>
    </row>
    <row r="17" customFormat="false" ht="15" hidden="false" customHeight="false" outlineLevel="0" collapsed="false">
      <c r="A17" s="13" t="s">
        <v>1193</v>
      </c>
      <c r="B17" s="40" t="n">
        <f aca="false">NPV(P_TSD,C17:V17)</f>
        <v>213640609.776431</v>
      </c>
      <c r="C17" s="40" t="n">
        <f aca="false">C15+C16</f>
        <v>39445323.0090258</v>
      </c>
      <c r="D17" s="40" t="n">
        <f aca="false">D15+D16</f>
        <v>39445323.0090258</v>
      </c>
      <c r="E17" s="40" t="n">
        <f aca="false">E15+E16</f>
        <v>39445323.0090258</v>
      </c>
      <c r="F17" s="40" t="n">
        <f aca="false">F15+F16</f>
        <v>39445323.0090258</v>
      </c>
      <c r="G17" s="40" t="n">
        <f aca="false">G15+G16</f>
        <v>39445323.0090258</v>
      </c>
      <c r="H17" s="40" t="n">
        <f aca="false">H15+H16</f>
        <v>21020727.8656612</v>
      </c>
      <c r="I17" s="40" t="n">
        <f aca="false">I15+I16</f>
        <v>21020727.8656612</v>
      </c>
      <c r="J17" s="40" t="n">
        <f aca="false">J15+J16</f>
        <v>7468230.8216497</v>
      </c>
      <c r="K17" s="40" t="n">
        <f aca="false">K15+K16</f>
        <v>6673296.67541932</v>
      </c>
      <c r="L17" s="40" t="n">
        <f aca="false">L15+L16</f>
        <v>6673296.67541932</v>
      </c>
      <c r="M17" s="40" t="n">
        <f aca="false">M15+M16</f>
        <v>6489780.30446507</v>
      </c>
      <c r="N17" s="40" t="n">
        <f aca="false">N15+N16</f>
        <v>6489780.30446507</v>
      </c>
      <c r="O17" s="40" t="n">
        <f aca="false">O15+O16</f>
        <v>6489780.30446507</v>
      </c>
      <c r="P17" s="40" t="n">
        <f aca="false">P15+P16</f>
        <v>6489780.30446507</v>
      </c>
      <c r="Q17" s="40" t="n">
        <f aca="false">Q15+Q16</f>
        <v>6489780.30446507</v>
      </c>
      <c r="R17" s="40" t="n">
        <f aca="false">R15+R16</f>
        <v>6489780.30446507</v>
      </c>
      <c r="S17" s="40" t="n">
        <f aca="false">S15+S16</f>
        <v>6489780.30446507</v>
      </c>
      <c r="T17" s="40" t="n">
        <f aca="false">T15+T16</f>
        <v>6489780.30446507</v>
      </c>
      <c r="U17" s="40" t="n">
        <f aca="false">U15+U16</f>
        <v>6489780.30446507</v>
      </c>
      <c r="V17" s="40" t="n">
        <f aca="false">V15+V16</f>
        <v>6489780.30446507</v>
      </c>
    </row>
    <row r="18" customFormat="false" ht="15" hidden="false" customHeight="false" outlineLevel="0" collapsed="false">
      <c r="A18" s="7" t="s">
        <v>1194</v>
      </c>
      <c r="B18" s="40" t="n">
        <f aca="false">NPV(P_TSD,C18:V18)</f>
        <v>0</v>
      </c>
      <c r="C18" s="8" t="n">
        <f aca="false">IF(C$7&gt;=$B$40,(C_R1_T+C_R2_T)*$B$38*P_PSC*P_TC*P_FCD,0)</f>
        <v>0</v>
      </c>
      <c r="D18" s="8" t="n">
        <f aca="false">IF(D$7&gt;=$B$40,(C_R1_T+C_R2_T)*$B$38*P_PSC*P_TC*P_FCD,0)</f>
        <v>0</v>
      </c>
      <c r="E18" s="8" t="n">
        <f aca="false">IF(E$7&gt;=$B$40,(C_R1_T+C_R2_T)*$B$38*P_PSC*P_TC*P_FCD,0)</f>
        <v>0</v>
      </c>
      <c r="F18" s="8" t="n">
        <f aca="false">IF(F$7&gt;=$B$40,(C_R1_T+C_R2_T)*$B$38*P_PSC*P_TC*P_FCD,0)</f>
        <v>0</v>
      </c>
      <c r="G18" s="8" t="n">
        <f aca="false">IF(G$7&gt;=$B$40,(C_R1_T+C_R2_T)*$B$38*P_PSC*P_TC*P_FCD,0)</f>
        <v>0</v>
      </c>
      <c r="H18" s="8" t="n">
        <f aca="false">IF(H$7&gt;=$B$40,(C_R1_T+C_R2_T)*$B$38*P_PSC*P_TC*P_FCD,0)</f>
        <v>0</v>
      </c>
      <c r="I18" s="8" t="n">
        <f aca="false">IF(I$7&gt;=$B$40,(C_R1_T+C_R2_T)*$B$38*P_PSC*P_TC*P_FCD,0)</f>
        <v>0</v>
      </c>
      <c r="J18" s="8" t="n">
        <f aca="false">IF(J$7&gt;=$B$40,(C_R1_T+C_R2_T)*$B$38*P_PSC*P_TC*P_FCD,0)</f>
        <v>0</v>
      </c>
      <c r="K18" s="8" t="n">
        <f aca="false">IF(K$7&gt;=$B$40,(C_R1_T+C_R2_T)*$B$38*P_PSC*P_TC*P_FCD,0)</f>
        <v>0</v>
      </c>
      <c r="L18" s="8" t="n">
        <f aca="false">IF(L$7&gt;=$B$40,(C_R1_T+C_R2_T)*$B$38*P_PSC*P_TC*P_FCD,0)</f>
        <v>0</v>
      </c>
      <c r="M18" s="8" t="n">
        <f aca="false">IF(M$7&gt;=$B$40,(C_R1_T+C_R2_T)*$B$38*P_PSC*P_TC*P_FCD,0)</f>
        <v>0</v>
      </c>
      <c r="N18" s="8" t="n">
        <f aca="false">IF(N$7&gt;=$B$40,(C_R1_T+C_R2_T)*$B$38*P_PSC*P_TC*P_FCD,0)</f>
        <v>0</v>
      </c>
      <c r="O18" s="8" t="n">
        <f aca="false">IF(O$7&gt;=$B$40,(C_R1_T+C_R2_T)*$B$38*P_PSC*P_TC*P_FCD,0)</f>
        <v>0</v>
      </c>
      <c r="P18" s="8" t="n">
        <f aca="false">IF(P$7&gt;=$B$40,(C_R1_T+C_R2_T)*$B$38*P_PSC*P_TC*P_FCD,0)</f>
        <v>0</v>
      </c>
      <c r="Q18" s="8" t="n">
        <f aca="false">IF(Q$7&gt;=$B$40,(C_R1_T+C_R2_T)*$B$38*P_PSC*P_TC*P_FCD,0)</f>
        <v>0</v>
      </c>
      <c r="R18" s="8" t="n">
        <f aca="false">IF(R$7&gt;=$B$40,(C_R1_T+C_R2_T)*$B$38*P_PSC*P_TC*P_FCD,0)</f>
        <v>0</v>
      </c>
      <c r="S18" s="8" t="n">
        <f aca="false">IF(S$7&gt;=$B$40,(C_R1_T+C_R2_T)*$B$38*P_PSC*P_TC*P_FCD,0)</f>
        <v>0</v>
      </c>
      <c r="T18" s="8" t="n">
        <f aca="false">IF(T$7&gt;=$B$40,(C_R1_T+C_R2_T)*$B$38*P_PSC*P_TC*P_FCD,0)</f>
        <v>0</v>
      </c>
      <c r="U18" s="8" t="n">
        <f aca="false">IF(U$7&gt;=$B$40,(C_R1_T+C_R2_T)*$B$38*P_PSC*P_TC*P_FCD,0)</f>
        <v>0</v>
      </c>
      <c r="V18" s="8" t="n">
        <f aca="false">IF(V$7&gt;=$B$40,(C_R1_T+C_R2_T)*$B$38*P_PSC*P_TC*P_FCD,0)</f>
        <v>0</v>
      </c>
    </row>
    <row r="19" customFormat="false" ht="15" hidden="false" customHeight="false" outlineLevel="0" collapsed="false">
      <c r="A19" s="7" t="s">
        <v>1195</v>
      </c>
      <c r="B19" s="40" t="n">
        <f aca="false">NPV(P_TSD,C19:V19)</f>
        <v>0</v>
      </c>
      <c r="C19" s="8" t="n">
        <f aca="false">IF(C$7&gt;=$B$40,(C_R1_T+C_R2_T)*$B$41*$B$42,0)</f>
        <v>0</v>
      </c>
      <c r="D19" s="8" t="n">
        <f aca="false">IF(D$7&gt;=$B$40,(C_R1_T+C_R2_T)*$B$41*$B$42,0)</f>
        <v>0</v>
      </c>
      <c r="E19" s="8" t="n">
        <f aca="false">IF(E$7&gt;=$B$40,(C_R1_T+C_R2_T)*$B$41*$B$42,0)</f>
        <v>0</v>
      </c>
      <c r="F19" s="8" t="n">
        <f aca="false">IF(F$7&gt;=$B$40,(C_R1_T+C_R2_T)*$B$41*$B$42,0)</f>
        <v>0</v>
      </c>
      <c r="G19" s="8" t="n">
        <f aca="false">IF(G$7&gt;=$B$40,(C_R1_T+C_R2_T)*$B$41*$B$42,0)</f>
        <v>0</v>
      </c>
      <c r="H19" s="8" t="n">
        <f aca="false">IF(H$7&gt;=$B$40,(C_R1_T+C_R2_T)*$B$41*$B$42,0)</f>
        <v>0</v>
      </c>
      <c r="I19" s="8" t="n">
        <f aca="false">IF(I$7&gt;=$B$40,(C_R1_T+C_R2_T)*$B$41*$B$42,0)</f>
        <v>0</v>
      </c>
      <c r="J19" s="8" t="n">
        <f aca="false">IF(J$7&gt;=$B$40,(C_R1_T+C_R2_T)*$B$41*$B$42,0)</f>
        <v>0</v>
      </c>
      <c r="K19" s="8" t="n">
        <f aca="false">IF(K$7&gt;=$B$40,(C_R1_T+C_R2_T)*$B$41*$B$42,0)</f>
        <v>0</v>
      </c>
      <c r="L19" s="8" t="n">
        <f aca="false">IF(L$7&gt;=$B$40,(C_R1_T+C_R2_T)*$B$41*$B$42,0)</f>
        <v>0</v>
      </c>
      <c r="M19" s="8" t="n">
        <f aca="false">IF(M$7&gt;=$B$40,(C_R1_T+C_R2_T)*$B$41*$B$42,0)</f>
        <v>0</v>
      </c>
      <c r="N19" s="8" t="n">
        <f aca="false">IF(N$7&gt;=$B$40,(C_R1_T+C_R2_T)*$B$41*$B$42,0)</f>
        <v>0</v>
      </c>
      <c r="O19" s="8" t="n">
        <f aca="false">IF(O$7&gt;=$B$40,(C_R1_T+C_R2_T)*$B$41*$B$42,0)</f>
        <v>0</v>
      </c>
      <c r="P19" s="8" t="n">
        <f aca="false">IF(P$7&gt;=$B$40,(C_R1_T+C_R2_T)*$B$41*$B$42,0)</f>
        <v>0</v>
      </c>
      <c r="Q19" s="8" t="n">
        <f aca="false">IF(Q$7&gt;=$B$40,(C_R1_T+C_R2_T)*$B$41*$B$42,0)</f>
        <v>0</v>
      </c>
      <c r="R19" s="8" t="n">
        <f aca="false">IF(R$7&gt;=$B$40,(C_R1_T+C_R2_T)*$B$41*$B$42,0)</f>
        <v>0</v>
      </c>
      <c r="S19" s="8" t="n">
        <f aca="false">IF(S$7&gt;=$B$40,(C_R1_T+C_R2_T)*$B$41*$B$42,0)</f>
        <v>0</v>
      </c>
      <c r="T19" s="8" t="n">
        <f aca="false">IF(T$7&gt;=$B$40,(C_R1_T+C_R2_T)*$B$41*$B$42,0)</f>
        <v>0</v>
      </c>
      <c r="U19" s="8" t="n">
        <f aca="false">IF(U$7&gt;=$B$40,(C_R1_T+C_R2_T)*$B$41*$B$42,0)</f>
        <v>0</v>
      </c>
      <c r="V19" s="8" t="n">
        <f aca="false">IF(V$7&gt;=$B$40,(C_R1_T+C_R2_T)*$B$41*$B$42,0)</f>
        <v>0</v>
      </c>
    </row>
    <row r="20" customFormat="false" ht="15" hidden="false" customHeight="false" outlineLevel="0" collapsed="false">
      <c r="A20" s="7" t="s">
        <v>1196</v>
      </c>
      <c r="B20" s="40" t="n">
        <f aca="false">NPV(P_TSD,C20:V20)</f>
        <v>0</v>
      </c>
      <c r="C20" s="8" t="n">
        <f aca="false">IF(C$7&gt;=$B$40,$B$43*IF("T"="T",1,C_HA_P/C_HA_T),0)</f>
        <v>0</v>
      </c>
      <c r="D20" s="8" t="n">
        <f aca="false">IF(D$7&gt;=$B$40,$B$43*IF("T"="T",1,C_HA_P/C_HA_T),0)</f>
        <v>0</v>
      </c>
      <c r="E20" s="8" t="n">
        <f aca="false">IF(E$7&gt;=$B$40,$B$43*IF("T"="T",1,C_HA_P/C_HA_T),0)</f>
        <v>0</v>
      </c>
      <c r="F20" s="8" t="n">
        <f aca="false">IF(F$7&gt;=$B$40,$B$43*IF("T"="T",1,C_HA_P/C_HA_T),0)</f>
        <v>0</v>
      </c>
      <c r="G20" s="8" t="n">
        <f aca="false">IF(G$7&gt;=$B$40,$B$43*IF("T"="T",1,C_HA_P/C_HA_T),0)</f>
        <v>0</v>
      </c>
      <c r="H20" s="8" t="n">
        <f aca="false">IF(H$7&gt;=$B$40,$B$43*IF("T"="T",1,C_HA_P/C_HA_T),0)</f>
        <v>0</v>
      </c>
      <c r="I20" s="8" t="n">
        <f aca="false">IF(I$7&gt;=$B$40,$B$43*IF("T"="T",1,C_HA_P/C_HA_T),0)</f>
        <v>0</v>
      </c>
      <c r="J20" s="8" t="n">
        <f aca="false">IF(J$7&gt;=$B$40,$B$43*IF("T"="T",1,C_HA_P/C_HA_T),0)</f>
        <v>0</v>
      </c>
      <c r="K20" s="8" t="n">
        <f aca="false">IF(K$7&gt;=$B$40,$B$43*IF("T"="T",1,C_HA_P/C_HA_T),0)</f>
        <v>0</v>
      </c>
      <c r="L20" s="8" t="n">
        <f aca="false">IF(L$7&gt;=$B$40,$B$43*IF("T"="T",1,C_HA_P/C_HA_T),0)</f>
        <v>0</v>
      </c>
      <c r="M20" s="8" t="n">
        <f aca="false">IF(M$7&gt;=$B$40,$B$43*IF("T"="T",1,C_HA_P/C_HA_T),0)</f>
        <v>0</v>
      </c>
      <c r="N20" s="8" t="n">
        <f aca="false">IF(N$7&gt;=$B$40,$B$43*IF("T"="T",1,C_HA_P/C_HA_T),0)</f>
        <v>0</v>
      </c>
      <c r="O20" s="8" t="n">
        <f aca="false">IF(O$7&gt;=$B$40,$B$43*IF("T"="T",1,C_HA_P/C_HA_T),0)</f>
        <v>0</v>
      </c>
      <c r="P20" s="8" t="n">
        <f aca="false">IF(P$7&gt;=$B$40,$B$43*IF("T"="T",1,C_HA_P/C_HA_T),0)</f>
        <v>0</v>
      </c>
      <c r="Q20" s="8" t="n">
        <f aca="false">IF(Q$7&gt;=$B$40,$B$43*IF("T"="T",1,C_HA_P/C_HA_T),0)</f>
        <v>0</v>
      </c>
      <c r="R20" s="8" t="n">
        <f aca="false">IF(R$7&gt;=$B$40,$B$43*IF("T"="T",1,C_HA_P/C_HA_T),0)</f>
        <v>0</v>
      </c>
      <c r="S20" s="8" t="n">
        <f aca="false">IF(S$7&gt;=$B$40,$B$43*IF("T"="T",1,C_HA_P/C_HA_T),0)</f>
        <v>0</v>
      </c>
      <c r="T20" s="8" t="n">
        <f aca="false">IF(T$7&gt;=$B$40,$B$43*IF("T"="T",1,C_HA_P/C_HA_T),0)</f>
        <v>0</v>
      </c>
      <c r="U20" s="8" t="n">
        <f aca="false">IF(U$7&gt;=$B$40,$B$43*IF("T"="T",1,C_HA_P/C_HA_T),0)</f>
        <v>0</v>
      </c>
      <c r="V20" s="8" t="n">
        <f aca="false">IF(V$7&gt;=$B$40,$B$43*IF("T"="T",1,C_HA_P/C_HA_T),0)</f>
        <v>0</v>
      </c>
    </row>
    <row r="21" customFormat="false" ht="15" hidden="false" customHeight="false" outlineLevel="0" collapsed="false">
      <c r="A21" s="13" t="s">
        <v>1197</v>
      </c>
      <c r="B21" s="40" t="n">
        <f aca="false">NPV(P_TSD,C21:V21)</f>
        <v>0</v>
      </c>
      <c r="C21" s="40" t="n">
        <f aca="false">SUM(C18:C20)</f>
        <v>0</v>
      </c>
      <c r="D21" s="40" t="n">
        <f aca="false">SUM(D18:D20)</f>
        <v>0</v>
      </c>
      <c r="E21" s="40" t="n">
        <f aca="false">SUM(E18:E20)</f>
        <v>0</v>
      </c>
      <c r="F21" s="40" t="n">
        <f aca="false">SUM(F18:F20)</f>
        <v>0</v>
      </c>
      <c r="G21" s="40" t="n">
        <f aca="false">SUM(G18:G20)</f>
        <v>0</v>
      </c>
      <c r="H21" s="40" t="n">
        <f aca="false">SUM(H18:H20)</f>
        <v>0</v>
      </c>
      <c r="I21" s="40" t="n">
        <f aca="false">SUM(I18:I20)</f>
        <v>0</v>
      </c>
      <c r="J21" s="40" t="n">
        <f aca="false">SUM(J18:J20)</f>
        <v>0</v>
      </c>
      <c r="K21" s="40" t="n">
        <f aca="false">SUM(K18:K20)</f>
        <v>0</v>
      </c>
      <c r="L21" s="40" t="n">
        <f aca="false">SUM(L18:L20)</f>
        <v>0</v>
      </c>
      <c r="M21" s="40" t="n">
        <f aca="false">SUM(M18:M20)</f>
        <v>0</v>
      </c>
      <c r="N21" s="40" t="n">
        <f aca="false">SUM(N18:N20)</f>
        <v>0</v>
      </c>
      <c r="O21" s="40" t="n">
        <f aca="false">SUM(O18:O20)</f>
        <v>0</v>
      </c>
      <c r="P21" s="40" t="n">
        <f aca="false">SUM(P18:P20)</f>
        <v>0</v>
      </c>
      <c r="Q21" s="40" t="n">
        <f aca="false">SUM(Q18:Q20)</f>
        <v>0</v>
      </c>
      <c r="R21" s="40" t="n">
        <f aca="false">SUM(R18:R20)</f>
        <v>0</v>
      </c>
      <c r="S21" s="40" t="n">
        <f aca="false">SUM(S18:S20)</f>
        <v>0</v>
      </c>
      <c r="T21" s="40" t="n">
        <f aca="false">SUM(T18:T20)</f>
        <v>0</v>
      </c>
      <c r="U21" s="40" t="n">
        <f aca="false">SUM(U18:U20)</f>
        <v>0</v>
      </c>
      <c r="V21" s="40" t="n">
        <f aca="false">SUM(V18:V20)</f>
        <v>0</v>
      </c>
    </row>
    <row r="22" customFormat="false" ht="15" hidden="false" customHeight="false" outlineLevel="0" collapsed="false">
      <c r="A22" s="13" t="s">
        <v>1198</v>
      </c>
      <c r="B22" s="40" t="n">
        <f aca="false">NPV(P_TSD,C22:V22)</f>
        <v>-213640609.776431</v>
      </c>
      <c r="C22" s="40" t="n">
        <f aca="false">C21-C17</f>
        <v>-39445323.0090258</v>
      </c>
      <c r="D22" s="40" t="n">
        <f aca="false">D21-D17</f>
        <v>-39445323.0090258</v>
      </c>
      <c r="E22" s="40" t="n">
        <f aca="false">E21-E17</f>
        <v>-39445323.0090258</v>
      </c>
      <c r="F22" s="40" t="n">
        <f aca="false">F21-F17</f>
        <v>-39445323.0090258</v>
      </c>
      <c r="G22" s="40" t="n">
        <f aca="false">G21-G17</f>
        <v>-39445323.0090258</v>
      </c>
      <c r="H22" s="40" t="n">
        <f aca="false">H21-H17</f>
        <v>-21020727.8656612</v>
      </c>
      <c r="I22" s="40" t="n">
        <f aca="false">I21-I17</f>
        <v>-21020727.8656612</v>
      </c>
      <c r="J22" s="40" t="n">
        <f aca="false">J21-J17</f>
        <v>-7468230.8216497</v>
      </c>
      <c r="K22" s="40" t="n">
        <f aca="false">K21-K17</f>
        <v>-6673296.67541932</v>
      </c>
      <c r="L22" s="40" t="n">
        <f aca="false">L21-L17</f>
        <v>-6673296.67541932</v>
      </c>
      <c r="M22" s="40" t="n">
        <f aca="false">M21-M17</f>
        <v>-6489780.30446507</v>
      </c>
      <c r="N22" s="40" t="n">
        <f aca="false">N21-N17</f>
        <v>-6489780.30446507</v>
      </c>
      <c r="O22" s="40" t="n">
        <f aca="false">O21-O17</f>
        <v>-6489780.30446507</v>
      </c>
      <c r="P22" s="40" t="n">
        <f aca="false">P21-P17</f>
        <v>-6489780.30446507</v>
      </c>
      <c r="Q22" s="40" t="n">
        <f aca="false">Q21-Q17</f>
        <v>-6489780.30446507</v>
      </c>
      <c r="R22" s="40" t="n">
        <f aca="false">R21-R17</f>
        <v>-6489780.30446507</v>
      </c>
      <c r="S22" s="40" t="n">
        <f aca="false">S21-S17</f>
        <v>-6489780.30446507</v>
      </c>
      <c r="T22" s="40" t="n">
        <f aca="false">T21-T17</f>
        <v>-6489780.30446507</v>
      </c>
      <c r="U22" s="40" t="n">
        <f aca="false">U21-U17</f>
        <v>-6489780.30446507</v>
      </c>
      <c r="V22" s="40" t="n">
        <f aca="false">V21-V17</f>
        <v>-6489780.30446507</v>
      </c>
    </row>
    <row r="24" customFormat="false" ht="15" hidden="false" customHeight="false" outlineLevel="0" collapsed="false">
      <c r="A24" s="47" t="s">
        <v>1199</v>
      </c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</row>
    <row r="25" customFormat="false" ht="15" hidden="false" customHeight="false" outlineLevel="0" collapsed="false">
      <c r="A25" s="7" t="s">
        <v>1188</v>
      </c>
      <c r="B25" s="40" t="n">
        <f aca="false">NPV(P_TSD,C25:V25)</f>
        <v>12262623.2421187</v>
      </c>
      <c r="C25" s="8" t="n">
        <f aca="false">C_INV_P*C$8</f>
        <v>3071253.14090994</v>
      </c>
      <c r="D25" s="8" t="n">
        <f aca="false">C_INV_P*D$8</f>
        <v>3071253.14090994</v>
      </c>
      <c r="E25" s="8" t="n">
        <f aca="false">C_INV_P*E$8</f>
        <v>3071253.14090994</v>
      </c>
      <c r="F25" s="8" t="n">
        <f aca="false">C_INV_P*F$8</f>
        <v>3071253.14090994</v>
      </c>
      <c r="G25" s="8" t="n">
        <f aca="false">C_INV_P*G$8</f>
        <v>3071253.14090994</v>
      </c>
      <c r="H25" s="8" t="n">
        <f aca="false">C_INV_P*H$8</f>
        <v>0</v>
      </c>
      <c r="I25" s="8" t="n">
        <f aca="false">C_INV_P*I$8</f>
        <v>0</v>
      </c>
      <c r="J25" s="8" t="n">
        <f aca="false">C_INV_P*J$8</f>
        <v>0</v>
      </c>
      <c r="K25" s="8" t="n">
        <f aca="false">C_INV_P*K$8</f>
        <v>0</v>
      </c>
      <c r="L25" s="8" t="n">
        <f aca="false">C_INV_P*L$8</f>
        <v>0</v>
      </c>
      <c r="M25" s="8" t="n">
        <f aca="false">C_INV_P*M$8</f>
        <v>0</v>
      </c>
      <c r="N25" s="8" t="n">
        <f aca="false">C_INV_P*N$8</f>
        <v>0</v>
      </c>
      <c r="O25" s="8" t="n">
        <f aca="false">C_INV_P*O$8</f>
        <v>0</v>
      </c>
      <c r="P25" s="8" t="n">
        <f aca="false">C_INV_P*P$8</f>
        <v>0</v>
      </c>
      <c r="Q25" s="8" t="n">
        <f aca="false">C_INV_P*Q$8</f>
        <v>0</v>
      </c>
      <c r="R25" s="8" t="n">
        <f aca="false">C_INV_P*R$8</f>
        <v>0</v>
      </c>
      <c r="S25" s="8" t="n">
        <f aca="false">C_INV_P*S$8</f>
        <v>0</v>
      </c>
      <c r="T25" s="8" t="n">
        <f aca="false">C_INV_P*T$8</f>
        <v>0</v>
      </c>
      <c r="U25" s="8" t="n">
        <f aca="false">C_INV_P*U$8</f>
        <v>0</v>
      </c>
      <c r="V25" s="8" t="n">
        <f aca="false">C_INV_P*V$8</f>
        <v>0</v>
      </c>
    </row>
    <row r="26" customFormat="false" ht="15" hidden="false" customHeight="false" outlineLevel="0" collapsed="false">
      <c r="A26" s="7" t="s">
        <v>1189</v>
      </c>
      <c r="B26" s="40" t="n">
        <f aca="false">NPV(P_TSD,C26:V26)</f>
        <v>5532751.29655815</v>
      </c>
      <c r="C26" s="8" t="n">
        <f aca="false">IF(C$9&gt;0,SUMPRODUCT((OYM!$G$7:$G$20&gt;=C$9)*OYM!$K$7:$K$20),0)</f>
        <v>0</v>
      </c>
      <c r="D26" s="8" t="n">
        <f aca="false">IF(D$9&gt;0,SUMPRODUCT((OYM!$G$7:$G$20&gt;=D$9)*OYM!$K$7:$K$20),0)</f>
        <v>0</v>
      </c>
      <c r="E26" s="8" t="n">
        <f aca="false">IF(E$9&gt;0,SUMPRODUCT((OYM!$G$7:$G$20&gt;=E$9)*OYM!$K$7:$K$20),0)</f>
        <v>0</v>
      </c>
      <c r="F26" s="8" t="n">
        <f aca="false">IF(F$9&gt;0,SUMPRODUCT((OYM!$G$7:$G$20&gt;=F$9)*OYM!$K$7:$K$20),0)</f>
        <v>0</v>
      </c>
      <c r="G26" s="8" t="n">
        <f aca="false">IF(G$9&gt;0,SUMPRODUCT((OYM!$G$7:$G$20&gt;=G$9)*OYM!$K$7:$K$20),0)</f>
        <v>0</v>
      </c>
      <c r="H26" s="8" t="n">
        <f aca="false">IF(H$9&gt;0,SUMPRODUCT((OYM!$G$7:$G$20&gt;=H$9)*OYM!$K$7:$K$20),0)</f>
        <v>1911221.5683164</v>
      </c>
      <c r="I26" s="8" t="n">
        <f aca="false">IF(I$9&gt;0,SUMPRODUCT((OYM!$G$7:$G$20&gt;=I$9)*OYM!$K$7:$K$20),0)</f>
        <v>1911221.5683164</v>
      </c>
      <c r="J26" s="8" t="n">
        <f aca="false">IF(J$9&gt;0,SUMPRODUCT((OYM!$G$7:$G$20&gt;=J$9)*OYM!$K$7:$K$20),0)</f>
        <v>765285.71364896</v>
      </c>
      <c r="K26" s="8" t="n">
        <f aca="false">IF(K$9&gt;0,SUMPRODUCT((OYM!$G$7:$G$20&gt;=K$9)*OYM!$K$7:$K$20),0)</f>
        <v>699131.629122603</v>
      </c>
      <c r="L26" s="8" t="n">
        <f aca="false">IF(L$9&gt;0,SUMPRODUCT((OYM!$G$7:$G$20&gt;=L$9)*OYM!$K$7:$K$20),0)</f>
        <v>699131.629122603</v>
      </c>
      <c r="M26" s="8" t="n">
        <f aca="false">IF(M$9&gt;0,SUMPRODUCT((OYM!$G$7:$G$20&gt;=M$9)*OYM!$K$7:$K$20),0)</f>
        <v>684073.287919647</v>
      </c>
      <c r="N26" s="8" t="n">
        <f aca="false">IF(N$9&gt;0,SUMPRODUCT((OYM!$G$7:$G$20&gt;=N$9)*OYM!$K$7:$K$20),0)</f>
        <v>684073.287919647</v>
      </c>
      <c r="O26" s="8" t="n">
        <f aca="false">IF(O$9&gt;0,SUMPRODUCT((OYM!$G$7:$G$20&gt;=O$9)*OYM!$K$7:$K$20),0)</f>
        <v>684073.287919647</v>
      </c>
      <c r="P26" s="8" t="n">
        <f aca="false">IF(P$9&gt;0,SUMPRODUCT((OYM!$G$7:$G$20&gt;=P$9)*OYM!$K$7:$K$20),0)</f>
        <v>684073.287919647</v>
      </c>
      <c r="Q26" s="8" t="n">
        <f aca="false">IF(Q$9&gt;0,SUMPRODUCT((OYM!$G$7:$G$20&gt;=Q$9)*OYM!$K$7:$K$20),0)</f>
        <v>684073.287919647</v>
      </c>
      <c r="R26" s="8" t="n">
        <f aca="false">IF(R$9&gt;0,SUMPRODUCT((OYM!$G$7:$G$20&gt;=R$9)*OYM!$K$7:$K$20),0)</f>
        <v>684073.287919647</v>
      </c>
      <c r="S26" s="8" t="n">
        <f aca="false">IF(S$9&gt;0,SUMPRODUCT((OYM!$G$7:$G$20&gt;=S$9)*OYM!$K$7:$K$20),0)</f>
        <v>684073.287919647</v>
      </c>
      <c r="T26" s="8" t="n">
        <f aca="false">IF(T$9&gt;0,SUMPRODUCT((OYM!$G$7:$G$20&gt;=T$9)*OYM!$K$7:$K$20),0)</f>
        <v>684073.287919647</v>
      </c>
      <c r="U26" s="8" t="n">
        <f aca="false">IF(U$9&gt;0,SUMPRODUCT((OYM!$G$7:$G$20&gt;=U$9)*OYM!$K$7:$K$20),0)</f>
        <v>684073.287919647</v>
      </c>
      <c r="V26" s="8" t="n">
        <f aca="false">IF(V$9&gt;0,SUMPRODUCT((OYM!$G$7:$G$20&gt;=V$9)*OYM!$K$7:$K$20),0)</f>
        <v>684073.287919647</v>
      </c>
    </row>
    <row r="27" customFormat="false" ht="15" hidden="false" customHeight="false" outlineLevel="0" collapsed="false">
      <c r="A27" s="13" t="s">
        <v>1190</v>
      </c>
      <c r="B27" s="40" t="n">
        <f aca="false">NPV(P_TSD,C27:V27)</f>
        <v>17795374.5386769</v>
      </c>
      <c r="C27" s="40" t="n">
        <f aca="false">C25+C26</f>
        <v>3071253.14090994</v>
      </c>
      <c r="D27" s="40" t="n">
        <f aca="false">D25+D26</f>
        <v>3071253.14090994</v>
      </c>
      <c r="E27" s="40" t="n">
        <f aca="false">E25+E26</f>
        <v>3071253.14090994</v>
      </c>
      <c r="F27" s="40" t="n">
        <f aca="false">F25+F26</f>
        <v>3071253.14090994</v>
      </c>
      <c r="G27" s="40" t="n">
        <f aca="false">G25+G26</f>
        <v>3071253.14090994</v>
      </c>
      <c r="H27" s="40" t="n">
        <f aca="false">H25+H26</f>
        <v>1911221.5683164</v>
      </c>
      <c r="I27" s="40" t="n">
        <f aca="false">I25+I26</f>
        <v>1911221.5683164</v>
      </c>
      <c r="J27" s="40" t="n">
        <f aca="false">J25+J26</f>
        <v>765285.71364896</v>
      </c>
      <c r="K27" s="40" t="n">
        <f aca="false">K25+K26</f>
        <v>699131.629122603</v>
      </c>
      <c r="L27" s="40" t="n">
        <f aca="false">L25+L26</f>
        <v>699131.629122603</v>
      </c>
      <c r="M27" s="40" t="n">
        <f aca="false">M25+M26</f>
        <v>684073.287919647</v>
      </c>
      <c r="N27" s="40" t="n">
        <f aca="false">N25+N26</f>
        <v>684073.287919647</v>
      </c>
      <c r="O27" s="40" t="n">
        <f aca="false">O25+O26</f>
        <v>684073.287919647</v>
      </c>
      <c r="P27" s="40" t="n">
        <f aca="false">P25+P26</f>
        <v>684073.287919647</v>
      </c>
      <c r="Q27" s="40" t="n">
        <f aca="false">Q25+Q26</f>
        <v>684073.287919647</v>
      </c>
      <c r="R27" s="40" t="n">
        <f aca="false">R25+R26</f>
        <v>684073.287919647</v>
      </c>
      <c r="S27" s="40" t="n">
        <f aca="false">S25+S26</f>
        <v>684073.287919647</v>
      </c>
      <c r="T27" s="40" t="n">
        <f aca="false">T25+T26</f>
        <v>684073.287919647</v>
      </c>
      <c r="U27" s="40" t="n">
        <f aca="false">U25+U26</f>
        <v>684073.287919647</v>
      </c>
      <c r="V27" s="40" t="n">
        <f aca="false">V25+V26</f>
        <v>684073.287919647</v>
      </c>
    </row>
    <row r="28" customFormat="false" ht="15" hidden="false" customHeight="false" outlineLevel="0" collapsed="false">
      <c r="A28" s="7" t="s">
        <v>1191</v>
      </c>
      <c r="B28" s="40" t="n">
        <f aca="false">NPV(P_TSD,C28:V28)</f>
        <v>7001770.99621795</v>
      </c>
      <c r="C28" s="8" t="n">
        <f aca="false">C_SOC_P*C$8</f>
        <v>1753638.73940166</v>
      </c>
      <c r="D28" s="8" t="n">
        <f aca="false">C_SOC_P*D$8</f>
        <v>1753638.73940166</v>
      </c>
      <c r="E28" s="8" t="n">
        <f aca="false">C_SOC_P*E$8</f>
        <v>1753638.73940166</v>
      </c>
      <c r="F28" s="8" t="n">
        <f aca="false">C_SOC_P*F$8</f>
        <v>1753638.73940166</v>
      </c>
      <c r="G28" s="8" t="n">
        <f aca="false">C_SOC_P*G$8</f>
        <v>1753638.73940166</v>
      </c>
      <c r="H28" s="8" t="n">
        <f aca="false">C_SOC_P*H$8</f>
        <v>0</v>
      </c>
      <c r="I28" s="8" t="n">
        <f aca="false">C_SOC_P*I$8</f>
        <v>0</v>
      </c>
      <c r="J28" s="8" t="n">
        <f aca="false">C_SOC_P*J$8</f>
        <v>0</v>
      </c>
      <c r="K28" s="8" t="n">
        <f aca="false">C_SOC_P*K$8</f>
        <v>0</v>
      </c>
      <c r="L28" s="8" t="n">
        <f aca="false">C_SOC_P*L$8</f>
        <v>0</v>
      </c>
      <c r="M28" s="8" t="n">
        <f aca="false">C_SOC_P*M$8</f>
        <v>0</v>
      </c>
      <c r="N28" s="8" t="n">
        <f aca="false">C_SOC_P*N$8</f>
        <v>0</v>
      </c>
      <c r="O28" s="8" t="n">
        <f aca="false">C_SOC_P*O$8</f>
        <v>0</v>
      </c>
      <c r="P28" s="8" t="n">
        <f aca="false">C_SOC_P*P$8</f>
        <v>0</v>
      </c>
      <c r="Q28" s="8" t="n">
        <f aca="false">C_SOC_P*Q$8</f>
        <v>0</v>
      </c>
      <c r="R28" s="8" t="n">
        <f aca="false">C_SOC_P*R$8</f>
        <v>0</v>
      </c>
      <c r="S28" s="8" t="n">
        <f aca="false">C_SOC_P*S$8</f>
        <v>0</v>
      </c>
      <c r="T28" s="8" t="n">
        <f aca="false">C_SOC_P*T$8</f>
        <v>0</v>
      </c>
      <c r="U28" s="8" t="n">
        <f aca="false">C_SOC_P*U$8</f>
        <v>0</v>
      </c>
      <c r="V28" s="8" t="n">
        <f aca="false">C_SOC_P*V$8</f>
        <v>0</v>
      </c>
    </row>
    <row r="29" customFormat="false" ht="15" hidden="false" customHeight="false" outlineLevel="0" collapsed="false">
      <c r="A29" s="7" t="s">
        <v>1192</v>
      </c>
      <c r="B29" s="40" t="n">
        <f aca="false">NPV(P_TSD,C29:V29)</f>
        <v>2509368.74649613</v>
      </c>
      <c r="C29" s="8" t="n">
        <f aca="false">C26*(P_OM_NC*P_FC_MONC+(1-P_OM_NC)*P_FC_BIEN)</f>
        <v>0</v>
      </c>
      <c r="D29" s="8" t="n">
        <f aca="false">D26*(P_OM_NC*P_FC_MONC+(1-P_OM_NC)*P_FC_BIEN)</f>
        <v>0</v>
      </c>
      <c r="E29" s="8" t="n">
        <f aca="false">E26*(P_OM_NC*P_FC_MONC+(1-P_OM_NC)*P_FC_BIEN)</f>
        <v>0</v>
      </c>
      <c r="F29" s="8" t="n">
        <f aca="false">F26*(P_OM_NC*P_FC_MONC+(1-P_OM_NC)*P_FC_BIEN)</f>
        <v>0</v>
      </c>
      <c r="G29" s="8" t="n">
        <f aca="false">G26*(P_OM_NC*P_FC_MONC+(1-P_OM_NC)*P_FC_BIEN)</f>
        <v>0</v>
      </c>
      <c r="H29" s="8" t="n">
        <f aca="false">H26*(P_OM_NC*P_FC_MONC+(1-P_OM_NC)*P_FC_BIEN)</f>
        <v>866830.879267243</v>
      </c>
      <c r="I29" s="8" t="n">
        <f aca="false">I26*(P_OM_NC*P_FC_MONC+(1-P_OM_NC)*P_FC_BIEN)</f>
        <v>866830.879267243</v>
      </c>
      <c r="J29" s="8" t="n">
        <f aca="false">J26*(P_OM_NC*P_FC_MONC+(1-P_OM_NC)*P_FC_BIEN)</f>
        <v>347093.868680729</v>
      </c>
      <c r="K29" s="8" t="n">
        <f aca="false">K26*(P_OM_NC*P_FC_MONC+(1-P_OM_NC)*P_FC_BIEN)</f>
        <v>317089.810434559</v>
      </c>
      <c r="L29" s="8" t="n">
        <f aca="false">L26*(P_OM_NC*P_FC_MONC+(1-P_OM_NC)*P_FC_BIEN)</f>
        <v>317089.810434559</v>
      </c>
      <c r="M29" s="8" t="n">
        <f aca="false">M26*(P_OM_NC*P_FC_MONC+(1-P_OM_NC)*P_FC_BIEN)</f>
        <v>310260.128642738</v>
      </c>
      <c r="N29" s="8" t="n">
        <f aca="false">N26*(P_OM_NC*P_FC_MONC+(1-P_OM_NC)*P_FC_BIEN)</f>
        <v>310260.128642738</v>
      </c>
      <c r="O29" s="8" t="n">
        <f aca="false">O26*(P_OM_NC*P_FC_MONC+(1-P_OM_NC)*P_FC_BIEN)</f>
        <v>310260.128642738</v>
      </c>
      <c r="P29" s="8" t="n">
        <f aca="false">P26*(P_OM_NC*P_FC_MONC+(1-P_OM_NC)*P_FC_BIEN)</f>
        <v>310260.128642738</v>
      </c>
      <c r="Q29" s="8" t="n">
        <f aca="false">Q26*(P_OM_NC*P_FC_MONC+(1-P_OM_NC)*P_FC_BIEN)</f>
        <v>310260.128642738</v>
      </c>
      <c r="R29" s="8" t="n">
        <f aca="false">R26*(P_OM_NC*P_FC_MONC+(1-P_OM_NC)*P_FC_BIEN)</f>
        <v>310260.128642738</v>
      </c>
      <c r="S29" s="8" t="n">
        <f aca="false">S26*(P_OM_NC*P_FC_MONC+(1-P_OM_NC)*P_FC_BIEN)</f>
        <v>310260.128642738</v>
      </c>
      <c r="T29" s="8" t="n">
        <f aca="false">T26*(P_OM_NC*P_FC_MONC+(1-P_OM_NC)*P_FC_BIEN)</f>
        <v>310260.128642738</v>
      </c>
      <c r="U29" s="8" t="n">
        <f aca="false">U26*(P_OM_NC*P_FC_MONC+(1-P_OM_NC)*P_FC_BIEN)</f>
        <v>310260.128642738</v>
      </c>
      <c r="V29" s="8" t="n">
        <f aca="false">V26*(P_OM_NC*P_FC_MONC+(1-P_OM_NC)*P_FC_BIEN)</f>
        <v>310260.128642738</v>
      </c>
    </row>
    <row r="30" customFormat="false" ht="15" hidden="false" customHeight="false" outlineLevel="0" collapsed="false">
      <c r="A30" s="13" t="s">
        <v>1193</v>
      </c>
      <c r="B30" s="40" t="n">
        <f aca="false">NPV(P_TSD,C30:V30)</f>
        <v>9511139.74271408</v>
      </c>
      <c r="C30" s="40" t="n">
        <f aca="false">C28+C29</f>
        <v>1753638.73940166</v>
      </c>
      <c r="D30" s="40" t="n">
        <f aca="false">D28+D29</f>
        <v>1753638.73940166</v>
      </c>
      <c r="E30" s="40" t="n">
        <f aca="false">E28+E29</f>
        <v>1753638.73940166</v>
      </c>
      <c r="F30" s="40" t="n">
        <f aca="false">F28+F29</f>
        <v>1753638.73940166</v>
      </c>
      <c r="G30" s="40" t="n">
        <f aca="false">G28+G29</f>
        <v>1753638.73940166</v>
      </c>
      <c r="H30" s="40" t="n">
        <f aca="false">H28+H29</f>
        <v>866830.879267243</v>
      </c>
      <c r="I30" s="40" t="n">
        <f aca="false">I28+I29</f>
        <v>866830.879267243</v>
      </c>
      <c r="J30" s="40" t="n">
        <f aca="false">J28+J29</f>
        <v>347093.868680729</v>
      </c>
      <c r="K30" s="40" t="n">
        <f aca="false">K28+K29</f>
        <v>317089.810434559</v>
      </c>
      <c r="L30" s="40" t="n">
        <f aca="false">L28+L29</f>
        <v>317089.810434559</v>
      </c>
      <c r="M30" s="40" t="n">
        <f aca="false">M28+M29</f>
        <v>310260.128642738</v>
      </c>
      <c r="N30" s="40" t="n">
        <f aca="false">N28+N29</f>
        <v>310260.128642738</v>
      </c>
      <c r="O30" s="40" t="n">
        <f aca="false">O28+O29</f>
        <v>310260.128642738</v>
      </c>
      <c r="P30" s="40" t="n">
        <f aca="false">P28+P29</f>
        <v>310260.128642738</v>
      </c>
      <c r="Q30" s="40" t="n">
        <f aca="false">Q28+Q29</f>
        <v>310260.128642738</v>
      </c>
      <c r="R30" s="40" t="n">
        <f aca="false">R28+R29</f>
        <v>310260.128642738</v>
      </c>
      <c r="S30" s="40" t="n">
        <f aca="false">S28+S29</f>
        <v>310260.128642738</v>
      </c>
      <c r="T30" s="40" t="n">
        <f aca="false">T28+T29</f>
        <v>310260.128642738</v>
      </c>
      <c r="U30" s="40" t="n">
        <f aca="false">U28+U29</f>
        <v>310260.128642738</v>
      </c>
      <c r="V30" s="40" t="n">
        <f aca="false">V28+V29</f>
        <v>310260.128642738</v>
      </c>
    </row>
    <row r="31" customFormat="false" ht="15" hidden="false" customHeight="false" outlineLevel="0" collapsed="false">
      <c r="A31" s="7" t="s">
        <v>1194</v>
      </c>
      <c r="B31" s="40" t="n">
        <f aca="false">NPV(P_TSD,C31:V31)</f>
        <v>0</v>
      </c>
      <c r="C31" s="8" t="n">
        <f aca="false">IF(C$7&gt;=$B$40,(C_R1_P+C_R2_P)*$B$38*P_PSC*P_TC*P_FCD,0)</f>
        <v>0</v>
      </c>
      <c r="D31" s="8" t="n">
        <f aca="false">IF(D$7&gt;=$B$40,(C_R1_P+C_R2_P)*$B$38*P_PSC*P_TC*P_FCD,0)</f>
        <v>0</v>
      </c>
      <c r="E31" s="8" t="n">
        <f aca="false">IF(E$7&gt;=$B$40,(C_R1_P+C_R2_P)*$B$38*P_PSC*P_TC*P_FCD,0)</f>
        <v>0</v>
      </c>
      <c r="F31" s="8" t="n">
        <f aca="false">IF(F$7&gt;=$B$40,(C_R1_P+C_R2_P)*$B$38*P_PSC*P_TC*P_FCD,0)</f>
        <v>0</v>
      </c>
      <c r="G31" s="8" t="n">
        <f aca="false">IF(G$7&gt;=$B$40,(C_R1_P+C_R2_P)*$B$38*P_PSC*P_TC*P_FCD,0)</f>
        <v>0</v>
      </c>
      <c r="H31" s="8" t="n">
        <f aca="false">IF(H$7&gt;=$B$40,(C_R1_P+C_R2_P)*$B$38*P_PSC*P_TC*P_FCD,0)</f>
        <v>0</v>
      </c>
      <c r="I31" s="8" t="n">
        <f aca="false">IF(I$7&gt;=$B$40,(C_R1_P+C_R2_P)*$B$38*P_PSC*P_TC*P_FCD,0)</f>
        <v>0</v>
      </c>
      <c r="J31" s="8" t="n">
        <f aca="false">IF(J$7&gt;=$B$40,(C_R1_P+C_R2_P)*$B$38*P_PSC*P_TC*P_FCD,0)</f>
        <v>0</v>
      </c>
      <c r="K31" s="8" t="n">
        <f aca="false">IF(K$7&gt;=$B$40,(C_R1_P+C_R2_P)*$B$38*P_PSC*P_TC*P_FCD,0)</f>
        <v>0</v>
      </c>
      <c r="L31" s="8" t="n">
        <f aca="false">IF(L$7&gt;=$B$40,(C_R1_P+C_R2_P)*$B$38*P_PSC*P_TC*P_FCD,0)</f>
        <v>0</v>
      </c>
      <c r="M31" s="8" t="n">
        <f aca="false">IF(M$7&gt;=$B$40,(C_R1_P+C_R2_P)*$B$38*P_PSC*P_TC*P_FCD,0)</f>
        <v>0</v>
      </c>
      <c r="N31" s="8" t="n">
        <f aca="false">IF(N$7&gt;=$B$40,(C_R1_P+C_R2_P)*$B$38*P_PSC*P_TC*P_FCD,0)</f>
        <v>0</v>
      </c>
      <c r="O31" s="8" t="n">
        <f aca="false">IF(O$7&gt;=$B$40,(C_R1_P+C_R2_P)*$B$38*P_PSC*P_TC*P_FCD,0)</f>
        <v>0</v>
      </c>
      <c r="P31" s="8" t="n">
        <f aca="false">IF(P$7&gt;=$B$40,(C_R1_P+C_R2_P)*$B$38*P_PSC*P_TC*P_FCD,0)</f>
        <v>0</v>
      </c>
      <c r="Q31" s="8" t="n">
        <f aca="false">IF(Q$7&gt;=$B$40,(C_R1_P+C_R2_P)*$B$38*P_PSC*P_TC*P_FCD,0)</f>
        <v>0</v>
      </c>
      <c r="R31" s="8" t="n">
        <f aca="false">IF(R$7&gt;=$B$40,(C_R1_P+C_R2_P)*$B$38*P_PSC*P_TC*P_FCD,0)</f>
        <v>0</v>
      </c>
      <c r="S31" s="8" t="n">
        <f aca="false">IF(S$7&gt;=$B$40,(C_R1_P+C_R2_P)*$B$38*P_PSC*P_TC*P_FCD,0)</f>
        <v>0</v>
      </c>
      <c r="T31" s="8" t="n">
        <f aca="false">IF(T$7&gt;=$B$40,(C_R1_P+C_R2_P)*$B$38*P_PSC*P_TC*P_FCD,0)</f>
        <v>0</v>
      </c>
      <c r="U31" s="8" t="n">
        <f aca="false">IF(U$7&gt;=$B$40,(C_R1_P+C_R2_P)*$B$38*P_PSC*P_TC*P_FCD,0)</f>
        <v>0</v>
      </c>
      <c r="V31" s="8" t="n">
        <f aca="false">IF(V$7&gt;=$B$40,(C_R1_P+C_R2_P)*$B$38*P_PSC*P_TC*P_FCD,0)</f>
        <v>0</v>
      </c>
    </row>
    <row r="32" customFormat="false" ht="15" hidden="false" customHeight="false" outlineLevel="0" collapsed="false">
      <c r="A32" s="7" t="s">
        <v>1195</v>
      </c>
      <c r="B32" s="40" t="n">
        <f aca="false">NPV(P_TSD,C32:V32)</f>
        <v>0</v>
      </c>
      <c r="C32" s="8" t="n">
        <f aca="false">IF(C$7&gt;=$B$40,(C_R1_P+C_R2_P)*$B$41*$B$42,0)</f>
        <v>0</v>
      </c>
      <c r="D32" s="8" t="n">
        <f aca="false">IF(D$7&gt;=$B$40,(C_R1_P+C_R2_P)*$B$41*$B$42,0)</f>
        <v>0</v>
      </c>
      <c r="E32" s="8" t="n">
        <f aca="false">IF(E$7&gt;=$B$40,(C_R1_P+C_R2_P)*$B$41*$B$42,0)</f>
        <v>0</v>
      </c>
      <c r="F32" s="8" t="n">
        <f aca="false">IF(F$7&gt;=$B$40,(C_R1_P+C_R2_P)*$B$41*$B$42,0)</f>
        <v>0</v>
      </c>
      <c r="G32" s="8" t="n">
        <f aca="false">IF(G$7&gt;=$B$40,(C_R1_P+C_R2_P)*$B$41*$B$42,0)</f>
        <v>0</v>
      </c>
      <c r="H32" s="8" t="n">
        <f aca="false">IF(H$7&gt;=$B$40,(C_R1_P+C_R2_P)*$B$41*$B$42,0)</f>
        <v>0</v>
      </c>
      <c r="I32" s="8" t="n">
        <f aca="false">IF(I$7&gt;=$B$40,(C_R1_P+C_R2_P)*$B$41*$B$42,0)</f>
        <v>0</v>
      </c>
      <c r="J32" s="8" t="n">
        <f aca="false">IF(J$7&gt;=$B$40,(C_R1_P+C_R2_P)*$B$41*$B$42,0)</f>
        <v>0</v>
      </c>
      <c r="K32" s="8" t="n">
        <f aca="false">IF(K$7&gt;=$B$40,(C_R1_P+C_R2_P)*$B$41*$B$42,0)</f>
        <v>0</v>
      </c>
      <c r="L32" s="8" t="n">
        <f aca="false">IF(L$7&gt;=$B$40,(C_R1_P+C_R2_P)*$B$41*$B$42,0)</f>
        <v>0</v>
      </c>
      <c r="M32" s="8" t="n">
        <f aca="false">IF(M$7&gt;=$B$40,(C_R1_P+C_R2_P)*$B$41*$B$42,0)</f>
        <v>0</v>
      </c>
      <c r="N32" s="8" t="n">
        <f aca="false">IF(N$7&gt;=$B$40,(C_R1_P+C_R2_P)*$B$41*$B$42,0)</f>
        <v>0</v>
      </c>
      <c r="O32" s="8" t="n">
        <f aca="false">IF(O$7&gt;=$B$40,(C_R1_P+C_R2_P)*$B$41*$B$42,0)</f>
        <v>0</v>
      </c>
      <c r="P32" s="8" t="n">
        <f aca="false">IF(P$7&gt;=$B$40,(C_R1_P+C_R2_P)*$B$41*$B$42,0)</f>
        <v>0</v>
      </c>
      <c r="Q32" s="8" t="n">
        <f aca="false">IF(Q$7&gt;=$B$40,(C_R1_P+C_R2_P)*$B$41*$B$42,0)</f>
        <v>0</v>
      </c>
      <c r="R32" s="8" t="n">
        <f aca="false">IF(R$7&gt;=$B$40,(C_R1_P+C_R2_P)*$B$41*$B$42,0)</f>
        <v>0</v>
      </c>
      <c r="S32" s="8" t="n">
        <f aca="false">IF(S$7&gt;=$B$40,(C_R1_P+C_R2_P)*$B$41*$B$42,0)</f>
        <v>0</v>
      </c>
      <c r="T32" s="8" t="n">
        <f aca="false">IF(T$7&gt;=$B$40,(C_R1_P+C_R2_P)*$B$41*$B$42,0)</f>
        <v>0</v>
      </c>
      <c r="U32" s="8" t="n">
        <f aca="false">IF(U$7&gt;=$B$40,(C_R1_P+C_R2_P)*$B$41*$B$42,0)</f>
        <v>0</v>
      </c>
      <c r="V32" s="8" t="n">
        <f aca="false">IF(V$7&gt;=$B$40,(C_R1_P+C_R2_P)*$B$41*$B$42,0)</f>
        <v>0</v>
      </c>
    </row>
    <row r="33" customFormat="false" ht="15" hidden="false" customHeight="false" outlineLevel="0" collapsed="false">
      <c r="A33" s="7" t="s">
        <v>1196</v>
      </c>
      <c r="B33" s="40" t="n">
        <f aca="false">NPV(P_TSD,C33:V33)</f>
        <v>0</v>
      </c>
      <c r="C33" s="8" t="n">
        <f aca="false">IF(C$7&gt;=$B$40,$B$43*IF("P"="T",1,C_HA_P/C_HA_T),0)</f>
        <v>0</v>
      </c>
      <c r="D33" s="8" t="n">
        <f aca="false">IF(D$7&gt;=$B$40,$B$43*IF("P"="T",1,C_HA_P/C_HA_T),0)</f>
        <v>0</v>
      </c>
      <c r="E33" s="8" t="n">
        <f aca="false">IF(E$7&gt;=$B$40,$B$43*IF("P"="T",1,C_HA_P/C_HA_T),0)</f>
        <v>0</v>
      </c>
      <c r="F33" s="8" t="n">
        <f aca="false">IF(F$7&gt;=$B$40,$B$43*IF("P"="T",1,C_HA_P/C_HA_T),0)</f>
        <v>0</v>
      </c>
      <c r="G33" s="8" t="n">
        <f aca="false">IF(G$7&gt;=$B$40,$B$43*IF("P"="T",1,C_HA_P/C_HA_T),0)</f>
        <v>0</v>
      </c>
      <c r="H33" s="8" t="n">
        <f aca="false">IF(H$7&gt;=$B$40,$B$43*IF("P"="T",1,C_HA_P/C_HA_T),0)</f>
        <v>0</v>
      </c>
      <c r="I33" s="8" t="n">
        <f aca="false">IF(I$7&gt;=$B$40,$B$43*IF("P"="T",1,C_HA_P/C_HA_T),0)</f>
        <v>0</v>
      </c>
      <c r="J33" s="8" t="n">
        <f aca="false">IF(J$7&gt;=$B$40,$B$43*IF("P"="T",1,C_HA_P/C_HA_T),0)</f>
        <v>0</v>
      </c>
      <c r="K33" s="8" t="n">
        <f aca="false">IF(K$7&gt;=$B$40,$B$43*IF("P"="T",1,C_HA_P/C_HA_T),0)</f>
        <v>0</v>
      </c>
      <c r="L33" s="8" t="n">
        <f aca="false">IF(L$7&gt;=$B$40,$B$43*IF("P"="T",1,C_HA_P/C_HA_T),0)</f>
        <v>0</v>
      </c>
      <c r="M33" s="8" t="n">
        <f aca="false">IF(M$7&gt;=$B$40,$B$43*IF("P"="T",1,C_HA_P/C_HA_T),0)</f>
        <v>0</v>
      </c>
      <c r="N33" s="8" t="n">
        <f aca="false">IF(N$7&gt;=$B$40,$B$43*IF("P"="T",1,C_HA_P/C_HA_T),0)</f>
        <v>0</v>
      </c>
      <c r="O33" s="8" t="n">
        <f aca="false">IF(O$7&gt;=$B$40,$B$43*IF("P"="T",1,C_HA_P/C_HA_T),0)</f>
        <v>0</v>
      </c>
      <c r="P33" s="8" t="n">
        <f aca="false">IF(P$7&gt;=$B$40,$B$43*IF("P"="T",1,C_HA_P/C_HA_T),0)</f>
        <v>0</v>
      </c>
      <c r="Q33" s="8" t="n">
        <f aca="false">IF(Q$7&gt;=$B$40,$B$43*IF("P"="T",1,C_HA_P/C_HA_T),0)</f>
        <v>0</v>
      </c>
      <c r="R33" s="8" t="n">
        <f aca="false">IF(R$7&gt;=$B$40,$B$43*IF("P"="T",1,C_HA_P/C_HA_T),0)</f>
        <v>0</v>
      </c>
      <c r="S33" s="8" t="n">
        <f aca="false">IF(S$7&gt;=$B$40,$B$43*IF("P"="T",1,C_HA_P/C_HA_T),0)</f>
        <v>0</v>
      </c>
      <c r="T33" s="8" t="n">
        <f aca="false">IF(T$7&gt;=$B$40,$B$43*IF("P"="T",1,C_HA_P/C_HA_T),0)</f>
        <v>0</v>
      </c>
      <c r="U33" s="8" t="n">
        <f aca="false">IF(U$7&gt;=$B$40,$B$43*IF("P"="T",1,C_HA_P/C_HA_T),0)</f>
        <v>0</v>
      </c>
      <c r="V33" s="8" t="n">
        <f aca="false">IF(V$7&gt;=$B$40,$B$43*IF("P"="T",1,C_HA_P/C_HA_T),0)</f>
        <v>0</v>
      </c>
    </row>
    <row r="34" customFormat="false" ht="15" hidden="false" customHeight="false" outlineLevel="0" collapsed="false">
      <c r="A34" s="13" t="s">
        <v>1197</v>
      </c>
      <c r="B34" s="40" t="n">
        <f aca="false">NPV(P_TSD,C34:V34)</f>
        <v>0</v>
      </c>
      <c r="C34" s="40" t="n">
        <f aca="false">SUM(C31:C33)</f>
        <v>0</v>
      </c>
      <c r="D34" s="40" t="n">
        <f aca="false">SUM(D31:D33)</f>
        <v>0</v>
      </c>
      <c r="E34" s="40" t="n">
        <f aca="false">SUM(E31:E33)</f>
        <v>0</v>
      </c>
      <c r="F34" s="40" t="n">
        <f aca="false">SUM(F31:F33)</f>
        <v>0</v>
      </c>
      <c r="G34" s="40" t="n">
        <f aca="false">SUM(G31:G33)</f>
        <v>0</v>
      </c>
      <c r="H34" s="40" t="n">
        <f aca="false">SUM(H31:H33)</f>
        <v>0</v>
      </c>
      <c r="I34" s="40" t="n">
        <f aca="false">SUM(I31:I33)</f>
        <v>0</v>
      </c>
      <c r="J34" s="40" t="n">
        <f aca="false">SUM(J31:J33)</f>
        <v>0</v>
      </c>
      <c r="K34" s="40" t="n">
        <f aca="false">SUM(K31:K33)</f>
        <v>0</v>
      </c>
      <c r="L34" s="40" t="n">
        <f aca="false">SUM(L31:L33)</f>
        <v>0</v>
      </c>
      <c r="M34" s="40" t="n">
        <f aca="false">SUM(M31:M33)</f>
        <v>0</v>
      </c>
      <c r="N34" s="40" t="n">
        <f aca="false">SUM(N31:N33)</f>
        <v>0</v>
      </c>
      <c r="O34" s="40" t="n">
        <f aca="false">SUM(O31:O33)</f>
        <v>0</v>
      </c>
      <c r="P34" s="40" t="n">
        <f aca="false">SUM(P31:P33)</f>
        <v>0</v>
      </c>
      <c r="Q34" s="40" t="n">
        <f aca="false">SUM(Q31:Q33)</f>
        <v>0</v>
      </c>
      <c r="R34" s="40" t="n">
        <f aca="false">SUM(R31:R33)</f>
        <v>0</v>
      </c>
      <c r="S34" s="40" t="n">
        <f aca="false">SUM(S31:S33)</f>
        <v>0</v>
      </c>
      <c r="T34" s="40" t="n">
        <f aca="false">SUM(T31:T33)</f>
        <v>0</v>
      </c>
      <c r="U34" s="40" t="n">
        <f aca="false">SUM(U31:U33)</f>
        <v>0</v>
      </c>
      <c r="V34" s="40" t="n">
        <f aca="false">SUM(V31:V33)</f>
        <v>0</v>
      </c>
    </row>
    <row r="35" customFormat="false" ht="15" hidden="false" customHeight="false" outlineLevel="0" collapsed="false">
      <c r="A35" s="13" t="s">
        <v>1198</v>
      </c>
      <c r="B35" s="40" t="n">
        <f aca="false">NPV(P_TSD,C35:V35)</f>
        <v>-9511139.74271408</v>
      </c>
      <c r="C35" s="40" t="n">
        <f aca="false">C34-C30</f>
        <v>-1753638.73940166</v>
      </c>
      <c r="D35" s="40" t="n">
        <f aca="false">D34-D30</f>
        <v>-1753638.73940166</v>
      </c>
      <c r="E35" s="40" t="n">
        <f aca="false">E34-E30</f>
        <v>-1753638.73940166</v>
      </c>
      <c r="F35" s="40" t="n">
        <f aca="false">F34-F30</f>
        <v>-1753638.73940166</v>
      </c>
      <c r="G35" s="40" t="n">
        <f aca="false">G34-G30</f>
        <v>-1753638.73940166</v>
      </c>
      <c r="H35" s="40" t="n">
        <f aca="false">H34-H30</f>
        <v>-866830.879267243</v>
      </c>
      <c r="I35" s="40" t="n">
        <f aca="false">I34-I30</f>
        <v>-866830.879267243</v>
      </c>
      <c r="J35" s="40" t="n">
        <f aca="false">J34-J30</f>
        <v>-347093.868680729</v>
      </c>
      <c r="K35" s="40" t="n">
        <f aca="false">K34-K30</f>
        <v>-317089.810434559</v>
      </c>
      <c r="L35" s="40" t="n">
        <f aca="false">L34-L30</f>
        <v>-317089.810434559</v>
      </c>
      <c r="M35" s="40" t="n">
        <f aca="false">M34-M30</f>
        <v>-310260.128642738</v>
      </c>
      <c r="N35" s="40" t="n">
        <f aca="false">N34-N30</f>
        <v>-310260.128642738</v>
      </c>
      <c r="O35" s="40" t="n">
        <f aca="false">O34-O30</f>
        <v>-310260.128642738</v>
      </c>
      <c r="P35" s="40" t="n">
        <f aca="false">P34-P30</f>
        <v>-310260.128642738</v>
      </c>
      <c r="Q35" s="40" t="n">
        <f aca="false">Q34-Q30</f>
        <v>-310260.128642738</v>
      </c>
      <c r="R35" s="40" t="n">
        <f aca="false">R34-R30</f>
        <v>-310260.128642738</v>
      </c>
      <c r="S35" s="40" t="n">
        <f aca="false">S34-S30</f>
        <v>-310260.128642738</v>
      </c>
      <c r="T35" s="40" t="n">
        <f aca="false">T34-T30</f>
        <v>-310260.128642738</v>
      </c>
      <c r="U35" s="40" t="n">
        <f aca="false">U34-U30</f>
        <v>-310260.128642738</v>
      </c>
      <c r="V35" s="40" t="n">
        <f aca="false">V34-V30</f>
        <v>-310260.128642738</v>
      </c>
    </row>
    <row r="37" customFormat="false" ht="15" hidden="false" customHeight="false" outlineLevel="0" collapsed="false">
      <c r="A37" s="48" t="s">
        <v>1200</v>
      </c>
    </row>
    <row r="38" customFormat="false" ht="15" hidden="false" customHeight="false" outlineLevel="0" collapsed="false">
      <c r="A38" s="15" t="s">
        <v>1201</v>
      </c>
      <c r="B38" s="24"/>
      <c r="C38" s="23" t="s">
        <v>1202</v>
      </c>
      <c r="D38" s="23"/>
      <c r="E38" s="23"/>
      <c r="F38" s="23"/>
      <c r="G38" s="23"/>
      <c r="H38" s="23"/>
      <c r="I38" s="23"/>
      <c r="J38" s="23"/>
      <c r="K38" s="23"/>
      <c r="L38" s="23"/>
    </row>
    <row r="40" customFormat="false" ht="15" hidden="false" customHeight="false" outlineLevel="0" collapsed="false">
      <c r="A40" s="15" t="s">
        <v>1203</v>
      </c>
      <c r="B40" s="24" t="n">
        <v>2</v>
      </c>
      <c r="C40" s="23" t="s">
        <v>1204</v>
      </c>
      <c r="D40" s="23"/>
      <c r="E40" s="23"/>
      <c r="F40" s="23"/>
      <c r="G40" s="23"/>
      <c r="H40" s="23"/>
      <c r="I40" s="23"/>
      <c r="J40" s="23"/>
      <c r="K40" s="23"/>
      <c r="L40" s="23"/>
    </row>
    <row r="41" customFormat="false" ht="15" hidden="false" customHeight="false" outlineLevel="0" collapsed="false">
      <c r="A41" s="15" t="s">
        <v>1205</v>
      </c>
      <c r="B41" s="24"/>
      <c r="C41" s="23" t="s">
        <v>1206</v>
      </c>
      <c r="D41" s="23"/>
      <c r="E41" s="23"/>
      <c r="F41" s="23"/>
      <c r="G41" s="23"/>
      <c r="H41" s="23"/>
      <c r="I41" s="23"/>
      <c r="J41" s="23"/>
      <c r="K41" s="23"/>
      <c r="L41" s="23"/>
    </row>
    <row r="42" customFormat="false" ht="15" hidden="false" customHeight="false" outlineLevel="0" collapsed="false">
      <c r="A42" s="15" t="s">
        <v>1207</v>
      </c>
      <c r="B42" s="24"/>
      <c r="C42" s="23" t="s">
        <v>1208</v>
      </c>
      <c r="D42" s="23"/>
      <c r="E42" s="23"/>
      <c r="F42" s="23"/>
      <c r="G42" s="23"/>
      <c r="H42" s="23"/>
      <c r="I42" s="23"/>
      <c r="J42" s="23"/>
      <c r="K42" s="23"/>
      <c r="L42" s="23"/>
    </row>
    <row r="43" customFormat="false" ht="15" hidden="false" customHeight="false" outlineLevel="0" collapsed="false">
      <c r="A43" s="15" t="s">
        <v>1209</v>
      </c>
      <c r="B43" s="24"/>
      <c r="C43" s="23" t="s">
        <v>1210</v>
      </c>
      <c r="D43" s="23"/>
      <c r="E43" s="23"/>
      <c r="F43" s="23"/>
      <c r="G43" s="23"/>
      <c r="H43" s="23"/>
      <c r="I43" s="23"/>
      <c r="J43" s="23"/>
      <c r="K43" s="23"/>
      <c r="L43" s="23"/>
    </row>
    <row r="45" customFormat="false" ht="15" hidden="false" customHeight="false" outlineLevel="0" collapsed="false">
      <c r="A45" s="48" t="s">
        <v>1211</v>
      </c>
    </row>
    <row r="46" customFormat="false" ht="15" hidden="false" customHeight="false" outlineLevel="0" collapsed="false">
      <c r="A46" s="7" t="s">
        <v>1212</v>
      </c>
      <c r="B46" s="40" t="n">
        <f aca="false">B14</f>
        <v>397738313.283104</v>
      </c>
    </row>
    <row r="47" customFormat="false" ht="15" hidden="false" customHeight="false" outlineLevel="0" collapsed="false">
      <c r="A47" s="7" t="s">
        <v>1213</v>
      </c>
      <c r="B47" s="40" t="n">
        <f aca="false">B17</f>
        <v>213640609.776431</v>
      </c>
    </row>
    <row r="48" customFormat="false" ht="15" hidden="false" customHeight="false" outlineLevel="0" collapsed="false">
      <c r="A48" s="7" t="s">
        <v>1214</v>
      </c>
      <c r="B48" s="40" t="n">
        <f aca="false">B21</f>
        <v>0</v>
      </c>
    </row>
    <row r="49" customFormat="false" ht="15" hidden="false" customHeight="false" outlineLevel="0" collapsed="false">
      <c r="A49" s="7" t="s">
        <v>1215</v>
      </c>
      <c r="B49" s="40" t="str">
        <f aca="false">IF(B21=0,"Pendiente de beneficios",B22)</f>
        <v>Pendiente de beneficios</v>
      </c>
    </row>
    <row r="50" customFormat="false" ht="15" hidden="false" customHeight="false" outlineLevel="0" collapsed="false">
      <c r="A50" s="7" t="s">
        <v>1216</v>
      </c>
      <c r="B50" s="44" t="str">
        <f aca="false">IF(B21=0,"Pendiente de beneficios",IFERROR(IRR(C22:V22),"n.d."))</f>
        <v>Pendiente de beneficios</v>
      </c>
    </row>
    <row r="51" customFormat="false" ht="15" hidden="false" customHeight="false" outlineLevel="0" collapsed="false">
      <c r="A51" s="7" t="s">
        <v>1217</v>
      </c>
      <c r="B51" s="40" t="n">
        <f aca="false">B17/(C_R1_T+C_R2_T)</f>
        <v>25610.6499165092</v>
      </c>
    </row>
    <row r="52" customFormat="false" ht="15" hidden="false" customHeight="false" outlineLevel="0" collapsed="false">
      <c r="A52" s="7" t="s">
        <v>1218</v>
      </c>
      <c r="B52" s="40" t="n">
        <f aca="false">B17/C_HA_T</f>
        <v>17411.2891706175</v>
      </c>
    </row>
    <row r="53" customFormat="false" ht="15" hidden="false" customHeight="false" outlineLevel="0" collapsed="false">
      <c r="A53" s="7" t="s">
        <v>1219</v>
      </c>
      <c r="B53" s="40" t="n">
        <f aca="false">B27</f>
        <v>17795374.5386769</v>
      </c>
    </row>
    <row r="54" customFormat="false" ht="15" hidden="false" customHeight="false" outlineLevel="0" collapsed="false">
      <c r="A54" s="7" t="s">
        <v>1220</v>
      </c>
      <c r="B54" s="40" t="n">
        <f aca="false">B30</f>
        <v>9511139.74271408</v>
      </c>
    </row>
    <row r="55" customFormat="false" ht="15" hidden="false" customHeight="false" outlineLevel="0" collapsed="false">
      <c r="A55" s="7" t="s">
        <v>1221</v>
      </c>
      <c r="B55" s="40" t="n">
        <f aca="false">B34</f>
        <v>0</v>
      </c>
    </row>
    <row r="56" customFormat="false" ht="15" hidden="false" customHeight="false" outlineLevel="0" collapsed="false">
      <c r="A56" s="7" t="s">
        <v>1222</v>
      </c>
      <c r="B56" s="40" t="str">
        <f aca="false">IF(B34=0,"Pendiente de beneficios",B35)</f>
        <v>Pendiente de beneficios</v>
      </c>
    </row>
    <row r="57" customFormat="false" ht="15" hidden="false" customHeight="false" outlineLevel="0" collapsed="false">
      <c r="A57" s="7" t="s">
        <v>1223</v>
      </c>
      <c r="B57" s="44" t="str">
        <f aca="false">IF(B34=0,"Pendiente de beneficios",IFERROR(IRR(C35:V35),"n.d."))</f>
        <v>Pendiente de beneficios</v>
      </c>
    </row>
    <row r="58" customFormat="false" ht="15" hidden="false" customHeight="false" outlineLevel="0" collapsed="false">
      <c r="A58" s="7" t="s">
        <v>1224</v>
      </c>
      <c r="B58" s="40" t="n">
        <f aca="false">B30/(C_R1_P+C_R2_P)</f>
        <v>30636.8207967649</v>
      </c>
    </row>
    <row r="59" customFormat="false" ht="15" hidden="false" customHeight="false" outlineLevel="0" collapsed="false">
      <c r="A59" s="7" t="s">
        <v>1225</v>
      </c>
      <c r="B59" s="40" t="n">
        <f aca="false">B30/C_HA_P</f>
        <v>17668.0909838779</v>
      </c>
    </row>
  </sheetData>
  <mergeCells count="12">
    <mergeCell ref="A1:W1"/>
    <mergeCell ref="A2:W2"/>
    <mergeCell ref="A3:W3"/>
    <mergeCell ref="A4:W4"/>
    <mergeCell ref="A5:W5"/>
    <mergeCell ref="A11:V11"/>
    <mergeCell ref="A24:V24"/>
    <mergeCell ref="C38:L38"/>
    <mergeCell ref="C40:L40"/>
    <mergeCell ref="C41:L41"/>
    <mergeCell ref="C42:L42"/>
    <mergeCell ref="C43:L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2026-10-19T02:41:39Z</dcterms:created>
  <dc:creator>openpyxl</dc:creator>
  <dc:description/>
  <dc:language>en-US</dc:language>
  <cp:lastModifiedBy/>
  <dcterms:modified xsi:type="dcterms:W3CDTF">2026-10-19T02:41:40Z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