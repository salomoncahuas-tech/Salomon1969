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 de mapas" sheetId="1" state="visible" r:id="rId1"/>
    <sheet xmlns:r="http://schemas.openxmlformats.org/officeDocument/2006/relationships" name="Resumen" sheetId="2" state="visible" r:id="rId2"/>
  </sheets>
  <definedNames>
    <definedName name="_xlnm._FilterDatabase" localSheetId="0" hidden="1">'Índice de mapas'!$A$8:$U$125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FFFFFF"/>
      <sz val="9"/>
    </font>
    <font>
      <name val="Arial"/>
      <color rgb="001B4F72"/>
      <sz val="9"/>
    </font>
    <font>
      <name val="Arial"/>
      <b val="1"/>
      <color rgb="001B4F72"/>
      <sz val="9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  <font>
      <name val="Arial"/>
      <b val="1"/>
      <color rgb="001B4F72"/>
      <sz val="10"/>
    </font>
  </fonts>
  <fills count="5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EEF3F8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0" fontId="6" fillId="3" borderId="1" pivotButton="0" quotePrefix="0" xfId="0"/>
    <xf numFmtId="164" fontId="6" fillId="3" borderId="1" pivotButton="0" quotePrefix="0" xfId="0"/>
    <xf numFmtId="165" fontId="6" fillId="3" borderId="1" pivotButton="0" quotePrefix="0" xfId="0"/>
    <xf numFmtId="0" fontId="7" fillId="4" borderId="1" pivotButton="0" quotePrefix="0" xfId="0"/>
    <xf numFmtId="0" fontId="0" fillId="4" borderId="1" pivotButton="0" quotePrefix="0" xfId="0"/>
    <xf numFmtId="164" fontId="7" fillId="4" borderId="1" pivotButton="0" quotePrefix="0" xfId="0"/>
    <xf numFmtId="165" fontId="7" fillId="4" borderId="1" pivotButton="0" quotePrefix="0" xfId="0"/>
    <xf numFmtId="1" fontId="7" fillId="4" borderId="1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8" fillId="0" borderId="0" pivotButton="0" quotePrefix="0" xfId="0"/>
    <xf numFmtId="0" fontId="5" fillId="2" borderId="1" applyAlignment="1" pivotButton="0" quotePrefix="0" xfId="0">
      <alignment horizontal="center" wrapText="1"/>
    </xf>
    <xf numFmtId="4" fontId="6" fillId="0" borderId="1" pivotButton="0" quotePrefix="0" xfId="0"/>
    <xf numFmtId="4" fontId="6" fillId="3" borderId="1" pivotButton="0" quotePrefix="0" xfId="0"/>
    <xf numFmtId="0" fontId="7" fillId="0" borderId="1" pivotButton="0" quotePrefix="0" xfId="0"/>
    <xf numFmtId="4" fontId="7" fillId="0" borderId="1" pivotButton="0" quotePrefix="0" xfId="0"/>
    <xf numFmtId="165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6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22" customWidth="1" min="4" max="4"/>
    <col width="11" customWidth="1" min="5" max="5"/>
    <col width="12" customWidth="1" min="6" max="6"/>
    <col width="11" customWidth="1" min="7" max="7"/>
    <col width="14" customWidth="1" min="8" max="8"/>
    <col width="14" customWidth="1" min="9" max="9"/>
    <col width="8" customWidth="1" min="10" max="10"/>
    <col width="9" customWidth="1" min="11" max="11"/>
    <col width="12" customWidth="1" min="12" max="12"/>
    <col width="30" customWidth="1" min="13" max="13"/>
    <col width="40" customWidth="1" min="14" max="14"/>
    <col width="10" customWidth="1" min="15" max="15"/>
    <col width="11" customWidth="1" min="16" max="16"/>
    <col width="30" customWidth="1" min="17" max="17"/>
    <col width="10" customWidth="1" min="18" max="18"/>
    <col width="60" customWidth="1" min="19" max="19"/>
    <col width="22" customWidth="1" min="20" max="20"/>
    <col width="12" customWidth="1" min="21" max="21"/>
  </cols>
  <sheetData>
    <row r="1">
      <c r="A1" s="1" t="inlineStr">
        <is>
          <t>AUTORIDAD NACIONAL DE INFRAESTRUCTURA – ANIN</t>
        </is>
      </c>
    </row>
    <row r="2">
      <c r="A2" s="2" t="inlineStr">
        <is>
          <t>DIRECCIÓN DE INTERVENCIONES MULTISECTORIALES Y DE EMERGENCIA – DIME</t>
        </is>
      </c>
    </row>
    <row r="3">
      <c r="A3" s="2" t="inlineStr">
        <is>
          <t>SUBDIRECCIÓN DE ESTUDIOS DE INVERSIÓN – SESDI</t>
        </is>
      </c>
    </row>
    <row r="4">
      <c r="A4" s="3" t="inlineStr">
        <is>
          <t>Proyecto IN Piura · CUI 2669244 · Entregable 2 · Subentregable 2.2: Expediente preliminar de liberación de áreas</t>
        </is>
      </c>
    </row>
    <row r="5">
      <c r="A5" s="4" t="inlineStr">
        <is>
          <t>Índice de mapas de situación predial de los 117 bloques V6 (A3, UTM WGS 84 Zona 17S), con centros poblados y red vial departamental y vecinal — información de gabinete</t>
        </is>
      </c>
    </row>
    <row r="6" ht="26" customHeight="1">
      <c r="A6" s="3" t="inlineStr">
        <is>
          <t>Superficie sin registro en las capas de comunidades campesinas (GEORURAL–MIDAGRI) y predios rurales (COFOPRI): se asume Tierras del Estado y/o posesionarios. Tolerancia cartográfica: 5 %.</t>
        </is>
      </c>
    </row>
    <row r="8" ht="40" customHeight="1">
      <c r="A8" s="5" t="inlineStr">
        <is>
          <t>Lámina</t>
        </is>
      </c>
      <c r="B8" s="5" t="inlineStr">
        <is>
          <t>Bloque</t>
        </is>
      </c>
      <c r="C8" s="5" t="inlineStr">
        <is>
          <t>Provincia</t>
        </is>
      </c>
      <c r="D8" s="5" t="inlineStr">
        <is>
          <t>Distrito</t>
        </is>
      </c>
      <c r="E8" s="5" t="inlineStr">
        <is>
          <t>Asistente</t>
        </is>
      </c>
      <c r="F8" s="5" t="inlineStr">
        <is>
          <t>Superficie (ha)</t>
        </is>
      </c>
      <c r="G8" s="5" t="inlineStr">
        <is>
          <t>C. C. (ha)</t>
        </is>
      </c>
      <c r="H8" s="5" t="inlineStr">
        <is>
          <t>Predios COFOPRI fuera de C. C. (ha)</t>
        </is>
      </c>
      <c r="I8" s="5" t="inlineStr">
        <is>
          <t>Estado y/o posesionarios (ha)</t>
        </is>
      </c>
      <c r="J8" s="5" t="inlineStr">
        <is>
          <t>% C. C.</t>
        </is>
      </c>
      <c r="K8" s="5" t="inlineStr">
        <is>
          <t>% predios</t>
        </is>
      </c>
      <c r="L8" s="5" t="inlineStr">
        <is>
          <t>% Estado y/o posesionarios</t>
        </is>
      </c>
      <c r="M8" s="5" t="inlineStr">
        <is>
          <t>Situación predial</t>
        </is>
      </c>
      <c r="N8" s="5" t="inlineStr">
        <is>
          <t>Comunidad(es) campesina(s)</t>
        </is>
      </c>
      <c r="O8" s="5" t="inlineStr">
        <is>
          <t>N° predios COFOPRI</t>
        </is>
      </c>
      <c r="P8" s="5" t="inlineStr">
        <is>
          <t>Escala (A3)</t>
        </is>
      </c>
      <c r="Q8" s="5" t="inlineStr">
        <is>
          <t>Archivo</t>
        </is>
      </c>
      <c r="R8" s="5" t="inlineStr">
        <is>
          <t>N° CCPP asociados</t>
        </is>
      </c>
      <c r="S8" s="5" t="inlineStr">
        <is>
          <t>Centros poblados asociados (distancia al bloque)</t>
        </is>
      </c>
      <c r="T8" s="5" t="inlineStr">
        <is>
          <t>Fuente de la asociación</t>
        </is>
      </c>
      <c r="U8" s="5" t="inlineStr">
        <is>
          <t>Población de los CCPP (hab.)</t>
        </is>
      </c>
    </row>
    <row r="9">
      <c r="A9" s="6" t="inlineStr">
        <is>
          <t>SP-001</t>
        </is>
      </c>
      <c r="B9" s="6" t="inlineStr">
        <is>
          <t>3</t>
        </is>
      </c>
      <c r="C9" s="6" t="inlineStr">
        <is>
          <t>Ayabaca</t>
        </is>
      </c>
      <c r="D9" s="6" t="inlineStr">
        <is>
          <t>Frías</t>
        </is>
      </c>
      <c r="E9" s="6" t="inlineStr">
        <is>
          <t>AP-1</t>
        </is>
      </c>
      <c r="F9" s="7" t="n">
        <v>459.295</v>
      </c>
      <c r="G9" s="7" t="n">
        <v>459.295</v>
      </c>
      <c r="H9" s="7" t="n">
        <v>0</v>
      </c>
      <c r="I9" s="7">
        <f>MAX(0,F9-G9-H9)</f>
        <v/>
      </c>
      <c r="J9" s="8">
        <f>IF(F9=0,0,G9/F9)</f>
        <v/>
      </c>
      <c r="K9" s="8">
        <f>IF(F9=0,0,H9/F9)</f>
        <v/>
      </c>
      <c r="L9" s="8">
        <f>IF(F9=0,0,I9/F9)</f>
        <v/>
      </c>
      <c r="M9" s="6" t="inlineStr">
        <is>
          <t>Comunal</t>
        </is>
      </c>
      <c r="N9" s="6" t="inlineStr">
        <is>
          <t>CASTRO POZO DE GERALDO; 24 DE JUNIO LAS CUEVAS</t>
        </is>
      </c>
      <c r="O9" s="6" t="n">
        <v>0</v>
      </c>
      <c r="P9" s="6" t="inlineStr">
        <is>
          <t>1:20,000</t>
        </is>
      </c>
      <c r="Q9" s="6" t="inlineStr">
        <is>
          <t>SP-001_Bloque_3.png</t>
        </is>
      </c>
      <c r="R9" s="6" t="n">
        <v>5</v>
      </c>
      <c r="S9" s="6" t="inlineStr">
        <is>
          <t>EL MIRADOR (0 m); LOS CHECCHES (7 m); HUAYABAL (64 m); HUASIPE DE GERALDO (196 m); RINCON DE GERALDO (285 m)</t>
        </is>
      </c>
      <c r="T9" s="6" t="inlineStr">
        <is>
          <t>Matriz CCPP-INEI v5</t>
        </is>
      </c>
      <c r="U9" s="6" t="n">
        <v>495</v>
      </c>
    </row>
    <row r="10">
      <c r="A10" s="9" t="inlineStr">
        <is>
          <t>SP-002</t>
        </is>
      </c>
      <c r="B10" s="9" t="inlineStr">
        <is>
          <t>6</t>
        </is>
      </c>
      <c r="C10" s="9" t="inlineStr">
        <is>
          <t>Ayabaca</t>
        </is>
      </c>
      <c r="D10" s="9" t="inlineStr">
        <is>
          <t>Frías</t>
        </is>
      </c>
      <c r="E10" s="9" t="inlineStr">
        <is>
          <t>AP-1</t>
        </is>
      </c>
      <c r="F10" s="10" t="n">
        <v>168.411</v>
      </c>
      <c r="G10" s="10" t="n">
        <v>143.8</v>
      </c>
      <c r="H10" s="10" t="n">
        <v>0</v>
      </c>
      <c r="I10" s="10">
        <f>MAX(0,F10-G10-H10)</f>
        <v/>
      </c>
      <c r="J10" s="11">
        <f>IF(F10=0,0,G10/F10)</f>
        <v/>
      </c>
      <c r="K10" s="11">
        <f>IF(F10=0,0,H10/F10)</f>
        <v/>
      </c>
      <c r="L10" s="11">
        <f>IF(F10=0,0,I10/F10)</f>
        <v/>
      </c>
      <c r="M10" s="9" t="inlineStr">
        <is>
          <t>Parcialmente comunal</t>
        </is>
      </c>
      <c r="N10" s="9" t="inlineStr">
        <is>
          <t>24 DE JUNIO LAS CUEVAS</t>
        </is>
      </c>
      <c r="O10" s="9" t="n">
        <v>0</v>
      </c>
      <c r="P10" s="9" t="inlineStr">
        <is>
          <t>1:15,000</t>
        </is>
      </c>
      <c r="Q10" s="9" t="inlineStr">
        <is>
          <t>SP-002_Bloque_6.png</t>
        </is>
      </c>
      <c r="R10" s="9" t="n">
        <v>3</v>
      </c>
      <c r="S10" s="9" t="inlineStr">
        <is>
          <t>GUANABANO ALTO (83 m); NOGAL (262 m); GUABAL (401 m)</t>
        </is>
      </c>
      <c r="T10" s="9" t="inlineStr">
        <is>
          <t>Matriz CCPP-INEI v5</t>
        </is>
      </c>
      <c r="U10" s="9" t="n">
        <v>537</v>
      </c>
    </row>
    <row r="11">
      <c r="A11" s="6" t="inlineStr">
        <is>
          <t>SP-003</t>
        </is>
      </c>
      <c r="B11" s="6" t="inlineStr">
        <is>
          <t>27</t>
        </is>
      </c>
      <c r="C11" s="6" t="inlineStr">
        <is>
          <t>Ayabaca</t>
        </is>
      </c>
      <c r="D11" s="6" t="inlineStr">
        <is>
          <t>Frías</t>
        </is>
      </c>
      <c r="E11" s="6" t="inlineStr">
        <is>
          <t>AP-1</t>
        </is>
      </c>
      <c r="F11" s="7" t="n">
        <v>78.154</v>
      </c>
      <c r="G11" s="7" t="n">
        <v>71.322</v>
      </c>
      <c r="H11" s="7" t="n">
        <v>0</v>
      </c>
      <c r="I11" s="7">
        <f>MAX(0,F11-G11-H11)</f>
        <v/>
      </c>
      <c r="J11" s="8">
        <f>IF(F11=0,0,G11/F11)</f>
        <v/>
      </c>
      <c r="K11" s="8">
        <f>IF(F11=0,0,H11/F11)</f>
        <v/>
      </c>
      <c r="L11" s="8">
        <f>IF(F11=0,0,I11/F11)</f>
        <v/>
      </c>
      <c r="M11" s="6" t="inlineStr">
        <is>
          <t>Parcialmente comunal</t>
        </is>
      </c>
      <c r="N11" s="6" t="inlineStr">
        <is>
          <t>Sin nombre (ID 1508)</t>
        </is>
      </c>
      <c r="O11" s="6" t="n">
        <v>0</v>
      </c>
      <c r="P11" s="6" t="inlineStr">
        <is>
          <t>1:7,500</t>
        </is>
      </c>
      <c r="Q11" s="6" t="inlineStr">
        <is>
          <t>SP-003_Bloque_27.png</t>
        </is>
      </c>
      <c r="R11" s="6" t="n">
        <v>2</v>
      </c>
      <c r="S11" s="6" t="inlineStr">
        <is>
          <t>NUEVA ESPERANZA DE MISQUIS (475 m); LINDEROS DE MISQUIS (566 m)</t>
        </is>
      </c>
      <c r="T11" s="6" t="inlineStr">
        <is>
          <t>Matriz CCPP-INEI v5</t>
        </is>
      </c>
      <c r="U11" s="6" t="n">
        <v>111</v>
      </c>
    </row>
    <row r="12">
      <c r="A12" s="9" t="inlineStr">
        <is>
          <t>SP-004</t>
        </is>
      </c>
      <c r="B12" s="9" t="inlineStr">
        <is>
          <t>36</t>
        </is>
      </c>
      <c r="C12" s="9" t="inlineStr">
        <is>
          <t>Ayabaca</t>
        </is>
      </c>
      <c r="D12" s="9" t="inlineStr">
        <is>
          <t>Frías</t>
        </is>
      </c>
      <c r="E12" s="9" t="inlineStr">
        <is>
          <t>AP-1</t>
        </is>
      </c>
      <c r="F12" s="10" t="n">
        <v>24.843</v>
      </c>
      <c r="G12" s="10" t="n">
        <v>1.133</v>
      </c>
      <c r="H12" s="10" t="n">
        <v>0</v>
      </c>
      <c r="I12" s="10">
        <f>MAX(0,F12-G12-H12)</f>
        <v/>
      </c>
      <c r="J12" s="11">
        <f>IF(F12=0,0,G12/F12)</f>
        <v/>
      </c>
      <c r="K12" s="11">
        <f>IF(F12=0,0,H12/F12)</f>
        <v/>
      </c>
      <c r="L12" s="11">
        <f>IF(F12=0,0,I12/F12)</f>
        <v/>
      </c>
      <c r="M12" s="9" t="inlineStr">
        <is>
          <t>Tierras del Estado y/o posesionarios</t>
        </is>
      </c>
      <c r="N12" s="9" t="inlineStr">
        <is>
          <t>24 DE JUNIO LAS CUEVAS</t>
        </is>
      </c>
      <c r="O12" s="9" t="n">
        <v>0</v>
      </c>
      <c r="P12" s="9" t="inlineStr">
        <is>
          <t>1:5,000</t>
        </is>
      </c>
      <c r="Q12" s="9" t="inlineStr">
        <is>
          <t>SP-004_Bloque_36.png</t>
        </is>
      </c>
      <c r="R12" s="9" t="n">
        <v>1</v>
      </c>
      <c r="S12" s="9" t="inlineStr">
        <is>
          <t>GUABAL (526 m)</t>
        </is>
      </c>
      <c r="T12" s="9" t="inlineStr">
        <is>
          <t>Matriz CCPP-INEI v5</t>
        </is>
      </c>
      <c r="U12" s="9" t="n">
        <v>280</v>
      </c>
    </row>
    <row r="13">
      <c r="A13" s="6" t="inlineStr">
        <is>
          <t>SP-005</t>
        </is>
      </c>
      <c r="B13" s="6" t="inlineStr">
        <is>
          <t>39</t>
        </is>
      </c>
      <c r="C13" s="6" t="inlineStr">
        <is>
          <t>Ayabaca</t>
        </is>
      </c>
      <c r="D13" s="6" t="inlineStr">
        <is>
          <t>Frías</t>
        </is>
      </c>
      <c r="E13" s="6" t="inlineStr">
        <is>
          <t>AP-1</t>
        </is>
      </c>
      <c r="F13" s="7" t="n">
        <v>68.569</v>
      </c>
      <c r="G13" s="7" t="n">
        <v>68.569</v>
      </c>
      <c r="H13" s="7" t="n">
        <v>0</v>
      </c>
      <c r="I13" s="7">
        <f>MAX(0,F13-G13-H13)</f>
        <v/>
      </c>
      <c r="J13" s="8">
        <f>IF(F13=0,0,G13/F13)</f>
        <v/>
      </c>
      <c r="K13" s="8">
        <f>IF(F13=0,0,H13/F13)</f>
        <v/>
      </c>
      <c r="L13" s="8">
        <f>IF(F13=0,0,I13/F13)</f>
        <v/>
      </c>
      <c r="M13" s="6" t="inlineStr">
        <is>
          <t>Comunal</t>
        </is>
      </c>
      <c r="N13" s="6" t="inlineStr">
        <is>
          <t>Sin nombre (ID 1508)</t>
        </is>
      </c>
      <c r="O13" s="6" t="n">
        <v>0</v>
      </c>
      <c r="P13" s="6" t="inlineStr">
        <is>
          <t>1:6,000</t>
        </is>
      </c>
      <c r="Q13" s="6" t="inlineStr">
        <is>
          <t>SP-005_Bloque_39.png</t>
        </is>
      </c>
      <c r="R13" s="6" t="n">
        <v>1</v>
      </c>
      <c r="S13" s="6" t="inlineStr">
        <is>
          <t>LA CRIA (404 m)</t>
        </is>
      </c>
      <c r="T13" s="6" t="inlineStr">
        <is>
          <t>Matriz CCPP-INEI v5</t>
        </is>
      </c>
      <c r="U13" s="6" t="n">
        <v>327</v>
      </c>
    </row>
    <row r="14">
      <c r="A14" s="9" t="inlineStr">
        <is>
          <t>SP-006</t>
        </is>
      </c>
      <c r="B14" s="9" t="inlineStr">
        <is>
          <t>56</t>
        </is>
      </c>
      <c r="C14" s="9" t="inlineStr">
        <is>
          <t>Ayabaca</t>
        </is>
      </c>
      <c r="D14" s="9" t="inlineStr">
        <is>
          <t>Frías</t>
        </is>
      </c>
      <c r="E14" s="9" t="inlineStr">
        <is>
          <t>AP-1</t>
        </is>
      </c>
      <c r="F14" s="10" t="n">
        <v>77.666</v>
      </c>
      <c r="G14" s="10" t="n">
        <v>77.666</v>
      </c>
      <c r="H14" s="10" t="n">
        <v>0</v>
      </c>
      <c r="I14" s="10">
        <f>MAX(0,F14-G14-H14)</f>
        <v/>
      </c>
      <c r="J14" s="11">
        <f>IF(F14=0,0,G14/F14)</f>
        <v/>
      </c>
      <c r="K14" s="11">
        <f>IF(F14=0,0,H14/F14)</f>
        <v/>
      </c>
      <c r="L14" s="11">
        <f>IF(F14=0,0,I14/F14)</f>
        <v/>
      </c>
      <c r="M14" s="9" t="inlineStr">
        <is>
          <t>Comunal</t>
        </is>
      </c>
      <c r="N14" s="9" t="inlineStr">
        <is>
          <t>Sin nombre (ID 1508)</t>
        </is>
      </c>
      <c r="O14" s="9" t="n">
        <v>0</v>
      </c>
      <c r="P14" s="9" t="inlineStr">
        <is>
          <t>1:12,500</t>
        </is>
      </c>
      <c r="Q14" s="9" t="inlineStr">
        <is>
          <t>SP-006_Bloque_56.png</t>
        </is>
      </c>
      <c r="R14" s="9" t="n">
        <v>2</v>
      </c>
      <c r="S14" s="9" t="inlineStr">
        <is>
          <t>BANDA DE LA CRUZ (1462 m); PUTAGAS (1478 m)</t>
        </is>
      </c>
      <c r="T14" s="9" t="inlineStr">
        <is>
          <t>Matriz CCPP-INEI v5</t>
        </is>
      </c>
      <c r="U14" s="9" t="n">
        <v>375</v>
      </c>
    </row>
    <row r="15">
      <c r="A15" s="6" t="inlineStr">
        <is>
          <t>SP-007</t>
        </is>
      </c>
      <c r="B15" s="6" t="inlineStr">
        <is>
          <t>M17B5</t>
        </is>
      </c>
      <c r="C15" s="6" t="inlineStr">
        <is>
          <t>Ayabaca</t>
        </is>
      </c>
      <c r="D15" s="6" t="inlineStr">
        <is>
          <t>Frías</t>
        </is>
      </c>
      <c r="E15" s="6" t="inlineStr">
        <is>
          <t>AP-1</t>
        </is>
      </c>
      <c r="F15" s="7" t="n">
        <v>74.02800000000001</v>
      </c>
      <c r="G15" s="7" t="n">
        <v>74.02800000000001</v>
      </c>
      <c r="H15" s="7" t="n">
        <v>0</v>
      </c>
      <c r="I15" s="7">
        <f>MAX(0,F15-G15-H15)</f>
        <v/>
      </c>
      <c r="J15" s="8">
        <f>IF(F15=0,0,G15/F15)</f>
        <v/>
      </c>
      <c r="K15" s="8">
        <f>IF(F15=0,0,H15/F15)</f>
        <v/>
      </c>
      <c r="L15" s="8">
        <f>IF(F15=0,0,I15/F15)</f>
        <v/>
      </c>
      <c r="M15" s="6" t="inlineStr">
        <is>
          <t>Comunal</t>
        </is>
      </c>
      <c r="N15" s="6" t="inlineStr">
        <is>
          <t>SAN JOSE; MISQUIS</t>
        </is>
      </c>
      <c r="O15" s="6" t="n">
        <v>0</v>
      </c>
      <c r="P15" s="6" t="inlineStr">
        <is>
          <t>1:6,000</t>
        </is>
      </c>
      <c r="Q15" s="6" t="inlineStr">
        <is>
          <t>SP-007_Bloque_M17B5.png</t>
        </is>
      </c>
      <c r="R15" s="6" t="n">
        <v>0</v>
      </c>
      <c r="S15" s="6" t="inlineStr">
        <is>
          <t>Ref.: EL GUABO (40 m)</t>
        </is>
      </c>
      <c r="T15" s="6" t="inlineStr">
        <is>
          <t>Sin CCPP en la matriz</t>
        </is>
      </c>
      <c r="U15" s="6" t="n"/>
    </row>
    <row r="16">
      <c r="A16" s="9" t="inlineStr">
        <is>
          <t>SP-008</t>
        </is>
      </c>
      <c r="B16" s="9" t="inlineStr">
        <is>
          <t>M17B6</t>
        </is>
      </c>
      <c r="C16" s="9" t="inlineStr">
        <is>
          <t>Ayabaca</t>
        </is>
      </c>
      <c r="D16" s="9" t="inlineStr">
        <is>
          <t>Frías</t>
        </is>
      </c>
      <c r="E16" s="9" t="inlineStr">
        <is>
          <t>AP-1</t>
        </is>
      </c>
      <c r="F16" s="10" t="n">
        <v>106.538</v>
      </c>
      <c r="G16" s="10" t="n">
        <v>103.586</v>
      </c>
      <c r="H16" s="10" t="n">
        <v>0</v>
      </c>
      <c r="I16" s="10">
        <f>MAX(0,F16-G16-H16)</f>
        <v/>
      </c>
      <c r="J16" s="11">
        <f>IF(F16=0,0,G16/F16)</f>
        <v/>
      </c>
      <c r="K16" s="11">
        <f>IF(F16=0,0,H16/F16)</f>
        <v/>
      </c>
      <c r="L16" s="11">
        <f>IF(F16=0,0,I16/F16)</f>
        <v/>
      </c>
      <c r="M16" s="9" t="inlineStr">
        <is>
          <t>Comunal</t>
        </is>
      </c>
      <c r="N16" s="9" t="inlineStr">
        <is>
          <t>MISQUIS</t>
        </is>
      </c>
      <c r="O16" s="9" t="n">
        <v>0</v>
      </c>
      <c r="P16" s="9" t="inlineStr">
        <is>
          <t>1:15,000</t>
        </is>
      </c>
      <c r="Q16" s="9" t="inlineStr">
        <is>
          <t>SP-008_Bloque_M17B6.png</t>
        </is>
      </c>
      <c r="R16" s="9" t="n">
        <v>3</v>
      </c>
      <c r="S16" s="9" t="inlineStr">
        <is>
          <t>PLATANAL ALTO (171 m); CHILILIQUE ALTO (262 m); EL GUABO (629 m)</t>
        </is>
      </c>
      <c r="T16" s="9" t="inlineStr">
        <is>
          <t>Matriz CCPP-INEI v5</t>
        </is>
      </c>
      <c r="U16" s="9" t="n">
        <v>589</v>
      </c>
    </row>
    <row r="17">
      <c r="A17" s="6" t="inlineStr">
        <is>
          <t>SP-009</t>
        </is>
      </c>
      <c r="B17" s="6" t="inlineStr">
        <is>
          <t>M17B7</t>
        </is>
      </c>
      <c r="C17" s="6" t="inlineStr">
        <is>
          <t>Ayabaca</t>
        </is>
      </c>
      <c r="D17" s="6" t="inlineStr">
        <is>
          <t>Frías</t>
        </is>
      </c>
      <c r="E17" s="6" t="inlineStr">
        <is>
          <t>AP-1</t>
        </is>
      </c>
      <c r="F17" s="7" t="n">
        <v>258.837</v>
      </c>
      <c r="G17" s="7" t="n">
        <v>167.601</v>
      </c>
      <c r="H17" s="7" t="n">
        <v>0</v>
      </c>
      <c r="I17" s="7">
        <f>MAX(0,F17-G17-H17)</f>
        <v/>
      </c>
      <c r="J17" s="8">
        <f>IF(F17=0,0,G17/F17)</f>
        <v/>
      </c>
      <c r="K17" s="8">
        <f>IF(F17=0,0,H17/F17)</f>
        <v/>
      </c>
      <c r="L17" s="8">
        <f>IF(F17=0,0,I17/F17)</f>
        <v/>
      </c>
      <c r="M17" s="6" t="inlineStr">
        <is>
          <t>Parcialmente comunal</t>
        </is>
      </c>
      <c r="N17" s="6" t="inlineStr">
        <is>
          <t>MISQUIS</t>
        </is>
      </c>
      <c r="O17" s="6" t="n">
        <v>0</v>
      </c>
      <c r="P17" s="6" t="inlineStr">
        <is>
          <t>1:20,000</t>
        </is>
      </c>
      <c r="Q17" s="6" t="inlineStr">
        <is>
          <t>SP-009_Bloque_M17B7.png</t>
        </is>
      </c>
      <c r="R17" s="6" t="n">
        <v>1</v>
      </c>
      <c r="S17" s="6" t="inlineStr">
        <is>
          <t>PAMPA DE RAMADA (284 m)</t>
        </is>
      </c>
      <c r="T17" s="6" t="inlineStr">
        <is>
          <t>Matriz CCPP-INEI v5</t>
        </is>
      </c>
      <c r="U17" s="6" t="n">
        <v>107</v>
      </c>
    </row>
    <row r="18">
      <c r="A18" s="9" t="inlineStr">
        <is>
          <t>SP-010</t>
        </is>
      </c>
      <c r="B18" s="9" t="inlineStr">
        <is>
          <t>M17B10</t>
        </is>
      </c>
      <c r="C18" s="9" t="inlineStr">
        <is>
          <t>Ayabaca</t>
        </is>
      </c>
      <c r="D18" s="9" t="inlineStr">
        <is>
          <t>Frías</t>
        </is>
      </c>
      <c r="E18" s="9" t="inlineStr">
        <is>
          <t>AP-1</t>
        </is>
      </c>
      <c r="F18" s="10" t="n">
        <v>75.363</v>
      </c>
      <c r="G18" s="10" t="n">
        <v>0</v>
      </c>
      <c r="H18" s="10" t="n">
        <v>0</v>
      </c>
      <c r="I18" s="10">
        <f>MAX(0,F18-G18-H18)</f>
        <v/>
      </c>
      <c r="J18" s="11">
        <f>IF(F18=0,0,G18/F18)</f>
        <v/>
      </c>
      <c r="K18" s="11">
        <f>IF(F18=0,0,H18/F18)</f>
        <v/>
      </c>
      <c r="L18" s="11">
        <f>IF(F18=0,0,I18/F18)</f>
        <v/>
      </c>
      <c r="M18" s="9" t="inlineStr">
        <is>
          <t>Tierras del Estado y/o posesionarios</t>
        </is>
      </c>
      <c r="N18" s="9" t="inlineStr"/>
      <c r="O18" s="9" t="n">
        <v>0</v>
      </c>
      <c r="P18" s="9" t="inlineStr">
        <is>
          <t>1:7,500</t>
        </is>
      </c>
      <c r="Q18" s="9" t="inlineStr">
        <is>
          <t>SP-010_Bloque_M17B10.png</t>
        </is>
      </c>
      <c r="R18" s="9" t="n">
        <v>0</v>
      </c>
      <c r="S18" s="9" t="inlineStr">
        <is>
          <t>Ref.: PLATANAL ALTO (691 m)</t>
        </is>
      </c>
      <c r="T18" s="9" t="inlineStr">
        <is>
          <t>Sin CCPP en la matriz</t>
        </is>
      </c>
      <c r="U18" s="9" t="n"/>
    </row>
    <row r="19">
      <c r="A19" s="6" t="inlineStr">
        <is>
          <t>SP-011</t>
        </is>
      </c>
      <c r="B19" s="6" t="inlineStr">
        <is>
          <t>21</t>
        </is>
      </c>
      <c r="C19" s="6" t="inlineStr">
        <is>
          <t>Huancabamba</t>
        </is>
      </c>
      <c r="D19" s="6" t="inlineStr">
        <is>
          <t>Canchaque</t>
        </is>
      </c>
      <c r="E19" s="6" t="inlineStr">
        <is>
          <t>AP-5</t>
        </is>
      </c>
      <c r="F19" s="7" t="n">
        <v>84.227</v>
      </c>
      <c r="G19" s="7" t="n">
        <v>0</v>
      </c>
      <c r="H19" s="7" t="n">
        <v>0</v>
      </c>
      <c r="I19" s="7">
        <f>MAX(0,F19-G19-H19)</f>
        <v/>
      </c>
      <c r="J19" s="8">
        <f>IF(F19=0,0,G19/F19)</f>
        <v/>
      </c>
      <c r="K19" s="8">
        <f>IF(F19=0,0,H19/F19)</f>
        <v/>
      </c>
      <c r="L19" s="8">
        <f>IF(F19=0,0,I19/F19)</f>
        <v/>
      </c>
      <c r="M19" s="6" t="inlineStr">
        <is>
          <t>Tierras del Estado y/o posesionarios</t>
        </is>
      </c>
      <c r="N19" s="6" t="inlineStr"/>
      <c r="O19" s="6" t="n">
        <v>0</v>
      </c>
      <c r="P19" s="6" t="inlineStr">
        <is>
          <t>1:6,000</t>
        </is>
      </c>
      <c r="Q19" s="6" t="inlineStr">
        <is>
          <t>SP-011_Bloque_21.png</t>
        </is>
      </c>
      <c r="R19" s="6" t="n">
        <v>1</v>
      </c>
      <c r="S19" s="6" t="inlineStr">
        <is>
          <t>HUAMALA ALTO (46 m)</t>
        </is>
      </c>
      <c r="T19" s="6" t="inlineStr">
        <is>
          <t>Matriz CCPP-INEI v5</t>
        </is>
      </c>
      <c r="U19" s="6" t="n">
        <v>47</v>
      </c>
    </row>
    <row r="20">
      <c r="A20" s="9" t="inlineStr">
        <is>
          <t>SP-012</t>
        </is>
      </c>
      <c r="B20" s="9" t="inlineStr">
        <is>
          <t>24</t>
        </is>
      </c>
      <c r="C20" s="9" t="inlineStr">
        <is>
          <t>Huancabamba</t>
        </is>
      </c>
      <c r="D20" s="9" t="inlineStr">
        <is>
          <t>Canchaque</t>
        </is>
      </c>
      <c r="E20" s="9" t="inlineStr">
        <is>
          <t>AP-5</t>
        </is>
      </c>
      <c r="F20" s="10" t="n">
        <v>90.15900000000001</v>
      </c>
      <c r="G20" s="10" t="n">
        <v>2.067</v>
      </c>
      <c r="H20" s="10" t="n">
        <v>0</v>
      </c>
      <c r="I20" s="10">
        <f>MAX(0,F20-G20-H20)</f>
        <v/>
      </c>
      <c r="J20" s="11">
        <f>IF(F20=0,0,G20/F20)</f>
        <v/>
      </c>
      <c r="K20" s="11">
        <f>IF(F20=0,0,H20/F20)</f>
        <v/>
      </c>
      <c r="L20" s="11">
        <f>IF(F20=0,0,I20/F20)</f>
        <v/>
      </c>
      <c r="M20" s="9" t="inlineStr">
        <is>
          <t>Tierras del Estado y/o posesionarios</t>
        </is>
      </c>
      <c r="N20" s="9" t="inlineStr">
        <is>
          <t>Sin nombre (ID 2327)</t>
        </is>
      </c>
      <c r="O20" s="9" t="n">
        <v>0</v>
      </c>
      <c r="P20" s="9" t="inlineStr">
        <is>
          <t>1:7,500</t>
        </is>
      </c>
      <c r="Q20" s="9" t="inlineStr">
        <is>
          <t>SP-012_Bloque_24.png</t>
        </is>
      </c>
      <c r="R20" s="9" t="n">
        <v>1</v>
      </c>
      <c r="S20" s="9" t="inlineStr">
        <is>
          <t>COYONA (575 m)</t>
        </is>
      </c>
      <c r="T20" s="9" t="inlineStr">
        <is>
          <t>Matriz CCPP-INEI v5</t>
        </is>
      </c>
      <c r="U20" s="9" t="n">
        <v>443</v>
      </c>
    </row>
    <row r="21">
      <c r="A21" s="6" t="inlineStr">
        <is>
          <t>SP-013</t>
        </is>
      </c>
      <c r="B21" s="6" t="inlineStr">
        <is>
          <t>28</t>
        </is>
      </c>
      <c r="C21" s="6" t="inlineStr">
        <is>
          <t>Huancabamba</t>
        </is>
      </c>
      <c r="D21" s="6" t="inlineStr">
        <is>
          <t>Canchaque</t>
        </is>
      </c>
      <c r="E21" s="6" t="inlineStr">
        <is>
          <t>AP-5</t>
        </is>
      </c>
      <c r="F21" s="7" t="n">
        <v>52.966</v>
      </c>
      <c r="G21" s="7" t="n">
        <v>0</v>
      </c>
      <c r="H21" s="7" t="n">
        <v>14.252</v>
      </c>
      <c r="I21" s="7">
        <f>MAX(0,F21-G21-H21)</f>
        <v/>
      </c>
      <c r="J21" s="8">
        <f>IF(F21=0,0,G21/F21)</f>
        <v/>
      </c>
      <c r="K21" s="8">
        <f>IF(F21=0,0,H21/F21)</f>
        <v/>
      </c>
      <c r="L21" s="8">
        <f>IF(F21=0,0,I21/F21)</f>
        <v/>
      </c>
      <c r="M21" s="6" t="inlineStr">
        <is>
          <t>Parcialmente privada</t>
        </is>
      </c>
      <c r="N21" s="6" t="inlineStr"/>
      <c r="O21" s="6" t="n">
        <v>17</v>
      </c>
      <c r="P21" s="6" t="inlineStr">
        <is>
          <t>1:7,500</t>
        </is>
      </c>
      <c r="Q21" s="6" t="inlineStr">
        <is>
          <t>SP-013_Bloque_28.png</t>
        </is>
      </c>
      <c r="R21" s="6" t="n">
        <v>1</v>
      </c>
      <c r="S21" s="6" t="inlineStr">
        <is>
          <t>ABALQUE (215 m)</t>
        </is>
      </c>
      <c r="T21" s="6" t="inlineStr">
        <is>
          <t>Matriz CCPP-INEI v5</t>
        </is>
      </c>
      <c r="U21" s="6" t="n">
        <v>66</v>
      </c>
    </row>
    <row r="22">
      <c r="A22" s="9" t="inlineStr">
        <is>
          <t>SP-014</t>
        </is>
      </c>
      <c r="B22" s="9" t="inlineStr">
        <is>
          <t>30</t>
        </is>
      </c>
      <c r="C22" s="9" t="inlineStr">
        <is>
          <t>Huancabamba</t>
        </is>
      </c>
      <c r="D22" s="9" t="inlineStr">
        <is>
          <t>Canchaque</t>
        </is>
      </c>
      <c r="E22" s="9" t="inlineStr">
        <is>
          <t>AP-5</t>
        </is>
      </c>
      <c r="F22" s="10" t="n">
        <v>34.874</v>
      </c>
      <c r="G22" s="10" t="n">
        <v>0</v>
      </c>
      <c r="H22" s="10" t="n">
        <v>33.133</v>
      </c>
      <c r="I22" s="10">
        <f>MAX(0,F22-G22-H22)</f>
        <v/>
      </c>
      <c r="J22" s="11">
        <f>IF(F22=0,0,G22/F22)</f>
        <v/>
      </c>
      <c r="K22" s="11">
        <f>IF(F22=0,0,H22/F22)</f>
        <v/>
      </c>
      <c r="L22" s="11">
        <f>IF(F22=0,0,I22/F22)</f>
        <v/>
      </c>
      <c r="M22" s="9" t="inlineStr">
        <is>
          <t>Privada</t>
        </is>
      </c>
      <c r="N22" s="9" t="inlineStr"/>
      <c r="O22" s="9" t="n">
        <v>10</v>
      </c>
      <c r="P22" s="9" t="inlineStr">
        <is>
          <t>1:10,000</t>
        </is>
      </c>
      <c r="Q22" s="9" t="inlineStr">
        <is>
          <t>SP-014_Bloque_30.png</t>
        </is>
      </c>
      <c r="R22" s="9" t="n">
        <v>2</v>
      </c>
      <c r="S22" s="9" t="inlineStr">
        <is>
          <t>SAPCE (992 m); CHAMELICO (1505 m)</t>
        </is>
      </c>
      <c r="T22" s="9" t="inlineStr">
        <is>
          <t>Matriz CCPP-INEI v5</t>
        </is>
      </c>
      <c r="U22" s="9" t="n">
        <v>168</v>
      </c>
    </row>
    <row r="23">
      <c r="A23" s="6" t="inlineStr">
        <is>
          <t>SP-015</t>
        </is>
      </c>
      <c r="B23" s="6" t="inlineStr">
        <is>
          <t>40</t>
        </is>
      </c>
      <c r="C23" s="6" t="inlineStr">
        <is>
          <t>Huancabamba</t>
        </is>
      </c>
      <c r="D23" s="6" t="inlineStr">
        <is>
          <t>Canchaque</t>
        </is>
      </c>
      <c r="E23" s="6" t="inlineStr">
        <is>
          <t>AP-5</t>
        </is>
      </c>
      <c r="F23" s="7" t="n">
        <v>28.523</v>
      </c>
      <c r="G23" s="7" t="n">
        <v>0</v>
      </c>
      <c r="H23" s="7" t="n">
        <v>15.262</v>
      </c>
      <c r="I23" s="7">
        <f>MAX(0,F23-G23-H23)</f>
        <v/>
      </c>
      <c r="J23" s="8">
        <f>IF(F23=0,0,G23/F23)</f>
        <v/>
      </c>
      <c r="K23" s="8">
        <f>IF(F23=0,0,H23/F23)</f>
        <v/>
      </c>
      <c r="L23" s="8">
        <f>IF(F23=0,0,I23/F23)</f>
        <v/>
      </c>
      <c r="M23" s="6" t="inlineStr">
        <is>
          <t>Parcialmente privada</t>
        </is>
      </c>
      <c r="N23" s="6" t="inlineStr"/>
      <c r="O23" s="6" t="n">
        <v>12</v>
      </c>
      <c r="P23" s="6" t="inlineStr">
        <is>
          <t>1:4,000</t>
        </is>
      </c>
      <c r="Q23" s="6" t="inlineStr">
        <is>
          <t>SP-015_Bloque_40.png</t>
        </is>
      </c>
      <c r="R23" s="6" t="n">
        <v>2</v>
      </c>
      <c r="S23" s="6" t="inlineStr">
        <is>
          <t>CHACCHACAL (87 m); CHORRO BLANCO (96 m)</t>
        </is>
      </c>
      <c r="T23" s="6" t="inlineStr">
        <is>
          <t>Matriz CCPP-INEI v5</t>
        </is>
      </c>
      <c r="U23" s="6" t="n">
        <v>58</v>
      </c>
    </row>
    <row r="24">
      <c r="A24" s="9" t="inlineStr">
        <is>
          <t>SP-016</t>
        </is>
      </c>
      <c r="B24" s="9" t="inlineStr">
        <is>
          <t>60</t>
        </is>
      </c>
      <c r="C24" s="9" t="inlineStr">
        <is>
          <t>Huancabamba</t>
        </is>
      </c>
      <c r="D24" s="9" t="inlineStr">
        <is>
          <t>Canchaque</t>
        </is>
      </c>
      <c r="E24" s="9" t="inlineStr">
        <is>
          <t>AP-5</t>
        </is>
      </c>
      <c r="F24" s="10" t="n">
        <v>40.132</v>
      </c>
      <c r="G24" s="10" t="n">
        <v>0</v>
      </c>
      <c r="H24" s="10" t="n">
        <v>39.963</v>
      </c>
      <c r="I24" s="10">
        <f>MAX(0,F24-G24-H24)</f>
        <v/>
      </c>
      <c r="J24" s="11">
        <f>IF(F24=0,0,G24/F24)</f>
        <v/>
      </c>
      <c r="K24" s="11">
        <f>IF(F24=0,0,H24/F24)</f>
        <v/>
      </c>
      <c r="L24" s="11">
        <f>IF(F24=0,0,I24/F24)</f>
        <v/>
      </c>
      <c r="M24" s="9" t="inlineStr">
        <is>
          <t>Privada</t>
        </is>
      </c>
      <c r="N24" s="9" t="inlineStr"/>
      <c r="O24" s="9" t="n">
        <v>14</v>
      </c>
      <c r="P24" s="9" t="inlineStr">
        <is>
          <t>1:7,500</t>
        </is>
      </c>
      <c r="Q24" s="9" t="inlineStr">
        <is>
          <t>SP-016_Bloque_60.png</t>
        </is>
      </c>
      <c r="R24" s="9" t="n">
        <v>1</v>
      </c>
      <c r="S24" s="9" t="inlineStr">
        <is>
          <t>FLOR DE CAFE (574 m)</t>
        </is>
      </c>
      <c r="T24" s="9" t="inlineStr">
        <is>
          <t>Matriz CCPP-INEI v5</t>
        </is>
      </c>
      <c r="U24" s="9" t="n">
        <v>111</v>
      </c>
    </row>
    <row r="25">
      <c r="A25" s="6" t="inlineStr">
        <is>
          <t>SP-017</t>
        </is>
      </c>
      <c r="B25" s="6" t="inlineStr">
        <is>
          <t>63</t>
        </is>
      </c>
      <c r="C25" s="6" t="inlineStr">
        <is>
          <t>Huancabamba</t>
        </is>
      </c>
      <c r="D25" s="6" t="inlineStr">
        <is>
          <t>Canchaque</t>
        </is>
      </c>
      <c r="E25" s="6" t="inlineStr">
        <is>
          <t>AP-5</t>
        </is>
      </c>
      <c r="F25" s="7" t="n">
        <v>50.459</v>
      </c>
      <c r="G25" s="7" t="n">
        <v>50.459</v>
      </c>
      <c r="H25" s="7" t="n">
        <v>0</v>
      </c>
      <c r="I25" s="7">
        <f>MAX(0,F25-G25-H25)</f>
        <v/>
      </c>
      <c r="J25" s="8">
        <f>IF(F25=0,0,G25/F25)</f>
        <v/>
      </c>
      <c r="K25" s="8">
        <f>IF(F25=0,0,H25/F25)</f>
        <v/>
      </c>
      <c r="L25" s="8">
        <f>IF(F25=0,0,I25/F25)</f>
        <v/>
      </c>
      <c r="M25" s="6" t="inlineStr">
        <is>
          <t>Comunal</t>
        </is>
      </c>
      <c r="N25" s="6" t="inlineStr">
        <is>
          <t>Sin nombre (ID 2790)</t>
        </is>
      </c>
      <c r="O25" s="6" t="n">
        <v>0</v>
      </c>
      <c r="P25" s="6" t="inlineStr">
        <is>
          <t>1:5,000</t>
        </is>
      </c>
      <c r="Q25" s="6" t="inlineStr">
        <is>
          <t>SP-017_Bloque_63.png</t>
        </is>
      </c>
      <c r="R25" s="6" t="n">
        <v>1</v>
      </c>
      <c r="S25" s="6" t="inlineStr">
        <is>
          <t>SHUTURUMBE (108 m)</t>
        </is>
      </c>
      <c r="T25" s="6" t="inlineStr">
        <is>
          <t>Matriz CCPP-INEI v5</t>
        </is>
      </c>
      <c r="U25" s="6" t="n">
        <v>87</v>
      </c>
    </row>
    <row r="26">
      <c r="A26" s="9" t="inlineStr">
        <is>
          <t>SP-018</t>
        </is>
      </c>
      <c r="B26" s="9" t="inlineStr">
        <is>
          <t>66</t>
        </is>
      </c>
      <c r="C26" s="9" t="inlineStr">
        <is>
          <t>Huancabamba</t>
        </is>
      </c>
      <c r="D26" s="9" t="inlineStr">
        <is>
          <t>Canchaque</t>
        </is>
      </c>
      <c r="E26" s="9" t="inlineStr">
        <is>
          <t>AP-5</t>
        </is>
      </c>
      <c r="F26" s="10" t="n">
        <v>102.335</v>
      </c>
      <c r="G26" s="10" t="n">
        <v>0</v>
      </c>
      <c r="H26" s="10" t="n">
        <v>0</v>
      </c>
      <c r="I26" s="10">
        <f>MAX(0,F26-G26-H26)</f>
        <v/>
      </c>
      <c r="J26" s="11">
        <f>IF(F26=0,0,G26/F26)</f>
        <v/>
      </c>
      <c r="K26" s="11">
        <f>IF(F26=0,0,H26/F26)</f>
        <v/>
      </c>
      <c r="L26" s="11">
        <f>IF(F26=0,0,I26/F26)</f>
        <v/>
      </c>
      <c r="M26" s="9" t="inlineStr">
        <is>
          <t>Tierras del Estado y/o posesionarios</t>
        </is>
      </c>
      <c r="N26" s="9" t="inlineStr"/>
      <c r="O26" s="9" t="n">
        <v>0</v>
      </c>
      <c r="P26" s="9" t="inlineStr">
        <is>
          <t>1:10,000</t>
        </is>
      </c>
      <c r="Q26" s="9" t="inlineStr">
        <is>
          <t>SP-018_Bloque_66.png</t>
        </is>
      </c>
      <c r="R26" s="9" t="n">
        <v>1</v>
      </c>
      <c r="S26" s="9" t="inlineStr">
        <is>
          <t>HUAMALA BAJA (220 m)</t>
        </is>
      </c>
      <c r="T26" s="9" t="inlineStr">
        <is>
          <t>Matriz CCPP-INEI v5</t>
        </is>
      </c>
      <c r="U26" s="9" t="n">
        <v>45</v>
      </c>
    </row>
    <row r="27">
      <c r="A27" s="6" t="inlineStr">
        <is>
          <t>SP-019</t>
        </is>
      </c>
      <c r="B27" s="6" t="inlineStr">
        <is>
          <t>79</t>
        </is>
      </c>
      <c r="C27" s="6" t="inlineStr">
        <is>
          <t>Huancabamba</t>
        </is>
      </c>
      <c r="D27" s="6" t="inlineStr">
        <is>
          <t>Canchaque</t>
        </is>
      </c>
      <c r="E27" s="6" t="inlineStr">
        <is>
          <t>AP-5</t>
        </is>
      </c>
      <c r="F27" s="7" t="n">
        <v>94.812</v>
      </c>
      <c r="G27" s="7" t="n">
        <v>94.812</v>
      </c>
      <c r="H27" s="7" t="n">
        <v>0</v>
      </c>
      <c r="I27" s="7">
        <f>MAX(0,F27-G27-H27)</f>
        <v/>
      </c>
      <c r="J27" s="8">
        <f>IF(F27=0,0,G27/F27)</f>
        <v/>
      </c>
      <c r="K27" s="8">
        <f>IF(F27=0,0,H27/F27)</f>
        <v/>
      </c>
      <c r="L27" s="8">
        <f>IF(F27=0,0,I27/F27)</f>
        <v/>
      </c>
      <c r="M27" s="6" t="inlineStr">
        <is>
          <t>Comunal</t>
        </is>
      </c>
      <c r="N27" s="6" t="inlineStr">
        <is>
          <t>Sin nombre (ID 2790)</t>
        </is>
      </c>
      <c r="O27" s="6" t="n">
        <v>0</v>
      </c>
      <c r="P27" s="6" t="inlineStr">
        <is>
          <t>1:12,500</t>
        </is>
      </c>
      <c r="Q27" s="6" t="inlineStr">
        <is>
          <t>SP-019_Bloque_79.png</t>
        </is>
      </c>
      <c r="R27" s="6" t="n">
        <v>2</v>
      </c>
      <c r="S27" s="6" t="inlineStr">
        <is>
          <t>HUABAL (740 m); ALMIRANTE MIGUEL GRAU (1043 m)</t>
        </is>
      </c>
      <c r="T27" s="6" t="inlineStr">
        <is>
          <t>Matriz CCPP-INEI v5</t>
        </is>
      </c>
      <c r="U27" s="6" t="n">
        <v>219</v>
      </c>
    </row>
    <row r="28">
      <c r="A28" s="9" t="inlineStr">
        <is>
          <t>SP-020</t>
        </is>
      </c>
      <c r="B28" s="9" t="inlineStr">
        <is>
          <t>81</t>
        </is>
      </c>
      <c r="C28" s="9" t="inlineStr">
        <is>
          <t>Huancabamba</t>
        </is>
      </c>
      <c r="D28" s="9" t="inlineStr">
        <is>
          <t>Canchaque</t>
        </is>
      </c>
      <c r="E28" s="9" t="inlineStr">
        <is>
          <t>AP-5</t>
        </is>
      </c>
      <c r="F28" s="10" t="n">
        <v>8.929</v>
      </c>
      <c r="G28" s="10" t="n">
        <v>8.929</v>
      </c>
      <c r="H28" s="10" t="n">
        <v>0</v>
      </c>
      <c r="I28" s="10">
        <f>MAX(0,F28-G28-H28)</f>
        <v/>
      </c>
      <c r="J28" s="11">
        <f>IF(F28=0,0,G28/F28)</f>
        <v/>
      </c>
      <c r="K28" s="11">
        <f>IF(F28=0,0,H28/F28)</f>
        <v/>
      </c>
      <c r="L28" s="11">
        <f>IF(F28=0,0,I28/F28)</f>
        <v/>
      </c>
      <c r="M28" s="9" t="inlineStr">
        <is>
          <t>Comunal</t>
        </is>
      </c>
      <c r="N28" s="9" t="inlineStr">
        <is>
          <t>Sin nombre (ID 2790)</t>
        </is>
      </c>
      <c r="O28" s="9" t="n">
        <v>0</v>
      </c>
      <c r="P28" s="9" t="inlineStr">
        <is>
          <t>1:3,000</t>
        </is>
      </c>
      <c r="Q28" s="9" t="inlineStr">
        <is>
          <t>SP-020_Bloque_81.png</t>
        </is>
      </c>
      <c r="R28" s="9" t="n">
        <v>1</v>
      </c>
      <c r="S28" s="9" t="inlineStr">
        <is>
          <t>HUALTACAL (129 m)</t>
        </is>
      </c>
      <c r="T28" s="9" t="inlineStr">
        <is>
          <t>Matriz CCPP-INEI v5</t>
        </is>
      </c>
      <c r="U28" s="9" t="n">
        <v>80</v>
      </c>
    </row>
    <row r="29">
      <c r="A29" s="6" t="inlineStr">
        <is>
          <t>SP-021</t>
        </is>
      </c>
      <c r="B29" s="6" t="inlineStr">
        <is>
          <t>64</t>
        </is>
      </c>
      <c r="C29" s="6" t="inlineStr">
        <is>
          <t>Huancabamba</t>
        </is>
      </c>
      <c r="D29" s="6" t="inlineStr">
        <is>
          <t>Huancabamba</t>
        </is>
      </c>
      <c r="E29" s="6" t="inlineStr">
        <is>
          <t>AP-5</t>
        </is>
      </c>
      <c r="F29" s="7" t="n">
        <v>35.774</v>
      </c>
      <c r="G29" s="7" t="n">
        <v>0</v>
      </c>
      <c r="H29" s="7" t="n">
        <v>0</v>
      </c>
      <c r="I29" s="7">
        <f>MAX(0,F29-G29-H29)</f>
        <v/>
      </c>
      <c r="J29" s="8">
        <f>IF(F29=0,0,G29/F29)</f>
        <v/>
      </c>
      <c r="K29" s="8">
        <f>IF(F29=0,0,H29/F29)</f>
        <v/>
      </c>
      <c r="L29" s="8">
        <f>IF(F29=0,0,I29/F29)</f>
        <v/>
      </c>
      <c r="M29" s="6" t="inlineStr">
        <is>
          <t>Tierras del Estado y/o posesionarios</t>
        </is>
      </c>
      <c r="N29" s="6" t="inlineStr"/>
      <c r="O29" s="6" t="n">
        <v>0</v>
      </c>
      <c r="P29" s="6" t="inlineStr">
        <is>
          <t>1:7,500</t>
        </is>
      </c>
      <c r="Q29" s="6" t="inlineStr">
        <is>
          <t>SP-021_Bloque_64.png</t>
        </is>
      </c>
      <c r="R29" s="6" t="n">
        <v>1</v>
      </c>
      <c r="S29" s="6" t="inlineStr">
        <is>
          <t>PARIAMARCA CENTRO (887 m)</t>
        </is>
      </c>
      <c r="T29" s="6" t="inlineStr">
        <is>
          <t>Matriz CCPP-INEI v5</t>
        </is>
      </c>
      <c r="U29" s="6" t="n">
        <v>311</v>
      </c>
    </row>
    <row r="30">
      <c r="A30" s="9" t="inlineStr">
        <is>
          <t>SP-022</t>
        </is>
      </c>
      <c r="B30" s="9" t="inlineStr">
        <is>
          <t>M30B5</t>
        </is>
      </c>
      <c r="C30" s="9" t="inlineStr">
        <is>
          <t>Huancabamba</t>
        </is>
      </c>
      <c r="D30" s="9" t="inlineStr">
        <is>
          <t>Huancabamba</t>
        </is>
      </c>
      <c r="E30" s="9" t="inlineStr">
        <is>
          <t>AP-5</t>
        </is>
      </c>
      <c r="F30" s="10" t="n">
        <v>90.90300000000001</v>
      </c>
      <c r="G30" s="10" t="n">
        <v>0</v>
      </c>
      <c r="H30" s="10" t="n">
        <v>0</v>
      </c>
      <c r="I30" s="10">
        <f>MAX(0,F30-G30-H30)</f>
        <v/>
      </c>
      <c r="J30" s="11">
        <f>IF(F30=0,0,G30/F30)</f>
        <v/>
      </c>
      <c r="K30" s="11">
        <f>IF(F30=0,0,H30/F30)</f>
        <v/>
      </c>
      <c r="L30" s="11">
        <f>IF(F30=0,0,I30/F30)</f>
        <v/>
      </c>
      <c r="M30" s="9" t="inlineStr">
        <is>
          <t>Tierras del Estado y/o posesionarios</t>
        </is>
      </c>
      <c r="N30" s="9" t="inlineStr"/>
      <c r="O30" s="9" t="n">
        <v>0</v>
      </c>
      <c r="P30" s="9" t="inlineStr">
        <is>
          <t>1:10,000</t>
        </is>
      </c>
      <c r="Q30" s="9" t="inlineStr">
        <is>
          <t>SP-022_Bloque_M30B5.png</t>
        </is>
      </c>
      <c r="R30" s="9" t="n">
        <v>0</v>
      </c>
      <c r="S30" s="9" t="inlineStr">
        <is>
          <t>Ref.: PARIAMARCA CENTRO (1250 m)</t>
        </is>
      </c>
      <c r="T30" s="9" t="inlineStr">
        <is>
          <t>Sin CCPP en la matriz</t>
        </is>
      </c>
      <c r="U30" s="9" t="n"/>
    </row>
    <row r="31">
      <c r="A31" s="6" t="inlineStr">
        <is>
          <t>SP-023</t>
        </is>
      </c>
      <c r="B31" s="6" t="inlineStr">
        <is>
          <t>4</t>
        </is>
      </c>
      <c r="C31" s="6" t="inlineStr">
        <is>
          <t>Huancabamba</t>
        </is>
      </c>
      <c r="D31" s="6" t="inlineStr">
        <is>
          <t>Huarmaca</t>
        </is>
      </c>
      <c r="E31" s="6" t="inlineStr">
        <is>
          <t>AP-5</t>
        </is>
      </c>
      <c r="F31" s="7" t="n">
        <v>230.098</v>
      </c>
      <c r="G31" s="7" t="n">
        <v>0</v>
      </c>
      <c r="H31" s="7" t="n">
        <v>14.559</v>
      </c>
      <c r="I31" s="7">
        <f>MAX(0,F31-G31-H31)</f>
        <v/>
      </c>
      <c r="J31" s="8">
        <f>IF(F31=0,0,G31/F31)</f>
        <v/>
      </c>
      <c r="K31" s="8">
        <f>IF(F31=0,0,H31/F31)</f>
        <v/>
      </c>
      <c r="L31" s="8">
        <f>IF(F31=0,0,I31/F31)</f>
        <v/>
      </c>
      <c r="M31" s="6" t="inlineStr">
        <is>
          <t>Parcialmente privada</t>
        </is>
      </c>
      <c r="N31" s="6" t="inlineStr"/>
      <c r="O31" s="6" t="n">
        <v>37</v>
      </c>
      <c r="P31" s="6" t="inlineStr">
        <is>
          <t>1:20,000</t>
        </is>
      </c>
      <c r="Q31" s="6" t="inlineStr">
        <is>
          <t>SP-023_Bloque_4.png</t>
        </is>
      </c>
      <c r="R31" s="6" t="n">
        <v>2</v>
      </c>
      <c r="S31" s="6" t="inlineStr">
        <is>
          <t>LA RINCONADA (1066 m); SAN ANTONIO DE SUCCHIRCA (1176 m)</t>
        </is>
      </c>
      <c r="T31" s="6" t="inlineStr">
        <is>
          <t>Matriz CCPP-INEI v5</t>
        </is>
      </c>
      <c r="U31" s="6" t="n">
        <v>385</v>
      </c>
    </row>
    <row r="32">
      <c r="A32" s="9" t="inlineStr">
        <is>
          <t>SP-024</t>
        </is>
      </c>
      <c r="B32" s="9" t="inlineStr">
        <is>
          <t>8</t>
        </is>
      </c>
      <c r="C32" s="9" t="inlineStr">
        <is>
          <t>Huancabamba</t>
        </is>
      </c>
      <c r="D32" s="9" t="inlineStr">
        <is>
          <t>Huarmaca</t>
        </is>
      </c>
      <c r="E32" s="9" t="inlineStr">
        <is>
          <t>AP-5</t>
        </is>
      </c>
      <c r="F32" s="10" t="n">
        <v>126.952</v>
      </c>
      <c r="G32" s="10" t="n">
        <v>0</v>
      </c>
      <c r="H32" s="10" t="n">
        <v>0</v>
      </c>
      <c r="I32" s="10">
        <f>MAX(0,F32-G32-H32)</f>
        <v/>
      </c>
      <c r="J32" s="11">
        <f>IF(F32=0,0,G32/F32)</f>
        <v/>
      </c>
      <c r="K32" s="11">
        <f>IF(F32=0,0,H32/F32)</f>
        <v/>
      </c>
      <c r="L32" s="11">
        <f>IF(F32=0,0,I32/F32)</f>
        <v/>
      </c>
      <c r="M32" s="9" t="inlineStr">
        <is>
          <t>Tierras del Estado y/o posesionarios</t>
        </is>
      </c>
      <c r="N32" s="9" t="inlineStr"/>
      <c r="O32" s="9" t="n">
        <v>0</v>
      </c>
      <c r="P32" s="9" t="inlineStr">
        <is>
          <t>1:10,000</t>
        </is>
      </c>
      <c r="Q32" s="9" t="inlineStr">
        <is>
          <t>SP-024_Bloque_8.png</t>
        </is>
      </c>
      <c r="R32" s="9" t="n">
        <v>1</v>
      </c>
      <c r="S32" s="9" t="inlineStr">
        <is>
          <t>PIRGA (414 m)</t>
        </is>
      </c>
      <c r="T32" s="9" t="inlineStr">
        <is>
          <t>Matriz CCPP-INEI v5</t>
        </is>
      </c>
      <c r="U32" s="9" t="n">
        <v>322</v>
      </c>
    </row>
    <row r="33">
      <c r="A33" s="6" t="inlineStr">
        <is>
          <t>SP-025</t>
        </is>
      </c>
      <c r="B33" s="6" t="inlineStr">
        <is>
          <t>10</t>
        </is>
      </c>
      <c r="C33" s="6" t="inlineStr">
        <is>
          <t>Huancabamba</t>
        </is>
      </c>
      <c r="D33" s="6" t="inlineStr">
        <is>
          <t>Huarmaca</t>
        </is>
      </c>
      <c r="E33" s="6" t="inlineStr">
        <is>
          <t>AP-5</t>
        </is>
      </c>
      <c r="F33" s="7" t="n">
        <v>150.214</v>
      </c>
      <c r="G33" s="7" t="n">
        <v>0</v>
      </c>
      <c r="H33" s="7" t="n">
        <v>0</v>
      </c>
      <c r="I33" s="7">
        <f>MAX(0,F33-G33-H33)</f>
        <v/>
      </c>
      <c r="J33" s="8">
        <f>IF(F33=0,0,G33/F33)</f>
        <v/>
      </c>
      <c r="K33" s="8">
        <f>IF(F33=0,0,H33/F33)</f>
        <v/>
      </c>
      <c r="L33" s="8">
        <f>IF(F33=0,0,I33/F33)</f>
        <v/>
      </c>
      <c r="M33" s="6" t="inlineStr">
        <is>
          <t>Tierras del Estado y/o posesionarios</t>
        </is>
      </c>
      <c r="N33" s="6" t="inlineStr"/>
      <c r="O33" s="6" t="n">
        <v>0</v>
      </c>
      <c r="P33" s="6" t="inlineStr">
        <is>
          <t>1:12,500</t>
        </is>
      </c>
      <c r="Q33" s="6" t="inlineStr">
        <is>
          <t>SP-025_Bloque_10.png</t>
        </is>
      </c>
      <c r="R33" s="6" t="n">
        <v>1</v>
      </c>
      <c r="S33" s="6" t="inlineStr">
        <is>
          <t>LA PEÑA (113 m)</t>
        </is>
      </c>
      <c r="T33" s="6" t="inlineStr">
        <is>
          <t>Matriz CCPP-INEI v5</t>
        </is>
      </c>
      <c r="U33" s="6" t="n">
        <v>146</v>
      </c>
    </row>
    <row r="34">
      <c r="A34" s="9" t="inlineStr">
        <is>
          <t>SP-026</t>
        </is>
      </c>
      <c r="B34" s="9" t="inlineStr">
        <is>
          <t>16</t>
        </is>
      </c>
      <c r="C34" s="9" t="inlineStr">
        <is>
          <t>Huancabamba</t>
        </is>
      </c>
      <c r="D34" s="9" t="inlineStr">
        <is>
          <t>Huarmaca</t>
        </is>
      </c>
      <c r="E34" s="9" t="inlineStr">
        <is>
          <t>AP-5</t>
        </is>
      </c>
      <c r="F34" s="10" t="n">
        <v>83.327</v>
      </c>
      <c r="G34" s="10" t="n">
        <v>0</v>
      </c>
      <c r="H34" s="10" t="n">
        <v>0</v>
      </c>
      <c r="I34" s="10">
        <f>MAX(0,F34-G34-H34)</f>
        <v/>
      </c>
      <c r="J34" s="11">
        <f>IF(F34=0,0,G34/F34)</f>
        <v/>
      </c>
      <c r="K34" s="11">
        <f>IF(F34=0,0,H34/F34)</f>
        <v/>
      </c>
      <c r="L34" s="11">
        <f>IF(F34=0,0,I34/F34)</f>
        <v/>
      </c>
      <c r="M34" s="9" t="inlineStr">
        <is>
          <t>Tierras del Estado y/o posesionarios</t>
        </is>
      </c>
      <c r="N34" s="9" t="inlineStr"/>
      <c r="O34" s="9" t="n">
        <v>0</v>
      </c>
      <c r="P34" s="9" t="inlineStr">
        <is>
          <t>1:12,500</t>
        </is>
      </c>
      <c r="Q34" s="9" t="inlineStr">
        <is>
          <t>SP-026_Bloque_16.png</t>
        </is>
      </c>
      <c r="R34" s="9" t="n">
        <v>1</v>
      </c>
      <c r="S34" s="9" t="inlineStr">
        <is>
          <t>LAGUNA DE PALTAMA (287 m)</t>
        </is>
      </c>
      <c r="T34" s="9" t="inlineStr">
        <is>
          <t>Matriz CCPP-INEI v5</t>
        </is>
      </c>
      <c r="U34" s="9" t="n">
        <v>153</v>
      </c>
    </row>
    <row r="35">
      <c r="A35" s="6" t="inlineStr">
        <is>
          <t>SP-027</t>
        </is>
      </c>
      <c r="B35" s="6" t="inlineStr">
        <is>
          <t>18</t>
        </is>
      </c>
      <c r="C35" s="6" t="inlineStr">
        <is>
          <t>Huancabamba</t>
        </is>
      </c>
      <c r="D35" s="6" t="inlineStr">
        <is>
          <t>Huarmaca</t>
        </is>
      </c>
      <c r="E35" s="6" t="inlineStr">
        <is>
          <t>AP-6</t>
        </is>
      </c>
      <c r="F35" s="7" t="n">
        <v>103.617</v>
      </c>
      <c r="G35" s="7" t="n">
        <v>0</v>
      </c>
      <c r="H35" s="7" t="n">
        <v>11.017</v>
      </c>
      <c r="I35" s="7">
        <f>MAX(0,F35-G35-H35)</f>
        <v/>
      </c>
      <c r="J35" s="8">
        <f>IF(F35=0,0,G35/F35)</f>
        <v/>
      </c>
      <c r="K35" s="8">
        <f>IF(F35=0,0,H35/F35)</f>
        <v/>
      </c>
      <c r="L35" s="8">
        <f>IF(F35=0,0,I35/F35)</f>
        <v/>
      </c>
      <c r="M35" s="6" t="inlineStr">
        <is>
          <t>Parcialmente privada</t>
        </is>
      </c>
      <c r="N35" s="6" t="inlineStr"/>
      <c r="O35" s="6" t="n">
        <v>7</v>
      </c>
      <c r="P35" s="6" t="inlineStr">
        <is>
          <t>1:10,000</t>
        </is>
      </c>
      <c r="Q35" s="6" t="inlineStr">
        <is>
          <t>SP-027_Bloque_18.png</t>
        </is>
      </c>
      <c r="R35" s="6" t="n">
        <v>1</v>
      </c>
      <c r="S35" s="6" t="inlineStr">
        <is>
          <t>PIEDRA BLANCA (378 m)</t>
        </is>
      </c>
      <c r="T35" s="6" t="inlineStr">
        <is>
          <t>Matriz CCPP-INEI v5</t>
        </is>
      </c>
      <c r="U35" s="6" t="n">
        <v>28</v>
      </c>
    </row>
    <row r="36">
      <c r="A36" s="9" t="inlineStr">
        <is>
          <t>SP-028</t>
        </is>
      </c>
      <c r="B36" s="9" t="inlineStr">
        <is>
          <t>19</t>
        </is>
      </c>
      <c r="C36" s="9" t="inlineStr">
        <is>
          <t>Huancabamba</t>
        </is>
      </c>
      <c r="D36" s="9" t="inlineStr">
        <is>
          <t>Huarmaca</t>
        </is>
      </c>
      <c r="E36" s="9" t="inlineStr">
        <is>
          <t>AP-6</t>
        </is>
      </c>
      <c r="F36" s="10" t="n">
        <v>82.08799999999999</v>
      </c>
      <c r="G36" s="10" t="n">
        <v>82.08799999999999</v>
      </c>
      <c r="H36" s="10" t="n">
        <v>0</v>
      </c>
      <c r="I36" s="10">
        <f>MAX(0,F36-G36-H36)</f>
        <v/>
      </c>
      <c r="J36" s="11">
        <f>IF(F36=0,0,G36/F36)</f>
        <v/>
      </c>
      <c r="K36" s="11">
        <f>IF(F36=0,0,H36/F36)</f>
        <v/>
      </c>
      <c r="L36" s="11">
        <f>IF(F36=0,0,I36/F36)</f>
        <v/>
      </c>
      <c r="M36" s="9" t="inlineStr">
        <is>
          <t>Comunal</t>
        </is>
      </c>
      <c r="N36" s="9" t="inlineStr">
        <is>
          <t>SEGUNDA</t>
        </is>
      </c>
      <c r="O36" s="9" t="n">
        <v>0</v>
      </c>
      <c r="P36" s="9" t="inlineStr">
        <is>
          <t>1:10,000</t>
        </is>
      </c>
      <c r="Q36" s="9" t="inlineStr">
        <is>
          <t>SP-028_Bloque_19.png</t>
        </is>
      </c>
      <c r="R36" s="9" t="n">
        <v>2</v>
      </c>
      <c r="S36" s="9" t="inlineStr">
        <is>
          <t>NUEVO PROGRESO (169 m); TABLURAN (593 m)</t>
        </is>
      </c>
      <c r="T36" s="9" t="inlineStr">
        <is>
          <t>Matriz CCPP-INEI v5</t>
        </is>
      </c>
      <c r="U36" s="9" t="n">
        <v>132</v>
      </c>
    </row>
    <row r="37">
      <c r="A37" s="6" t="inlineStr">
        <is>
          <t>SP-029</t>
        </is>
      </c>
      <c r="B37" s="6" t="inlineStr">
        <is>
          <t>20</t>
        </is>
      </c>
      <c r="C37" s="6" t="inlineStr">
        <is>
          <t>Huancabamba</t>
        </is>
      </c>
      <c r="D37" s="6" t="inlineStr">
        <is>
          <t>Huarmaca</t>
        </is>
      </c>
      <c r="E37" s="6" t="inlineStr">
        <is>
          <t>AP-5</t>
        </is>
      </c>
      <c r="F37" s="7" t="n">
        <v>81.334</v>
      </c>
      <c r="G37" s="7" t="n">
        <v>0</v>
      </c>
      <c r="H37" s="7" t="n">
        <v>0</v>
      </c>
      <c r="I37" s="7">
        <f>MAX(0,F37-G37-H37)</f>
        <v/>
      </c>
      <c r="J37" s="8">
        <f>IF(F37=0,0,G37/F37)</f>
        <v/>
      </c>
      <c r="K37" s="8">
        <f>IF(F37=0,0,H37/F37)</f>
        <v/>
      </c>
      <c r="L37" s="8">
        <f>IF(F37=0,0,I37/F37)</f>
        <v/>
      </c>
      <c r="M37" s="6" t="inlineStr">
        <is>
          <t>Tierras del Estado y/o posesionarios</t>
        </is>
      </c>
      <c r="N37" s="6" t="inlineStr"/>
      <c r="O37" s="6" t="n">
        <v>0</v>
      </c>
      <c r="P37" s="6" t="inlineStr">
        <is>
          <t>1:7,500</t>
        </is>
      </c>
      <c r="Q37" s="6" t="inlineStr">
        <is>
          <t>SP-029_Bloque_20.png</t>
        </is>
      </c>
      <c r="R37" s="6" t="n">
        <v>1</v>
      </c>
      <c r="S37" s="6" t="inlineStr">
        <is>
          <t>TUPAC AMARU (249 m)</t>
        </is>
      </c>
      <c r="T37" s="6" t="inlineStr">
        <is>
          <t>Matriz CCPP-INEI v5</t>
        </is>
      </c>
      <c r="U37" s="6" t="n">
        <v>149</v>
      </c>
    </row>
    <row r="38">
      <c r="A38" s="9" t="inlineStr">
        <is>
          <t>SP-030</t>
        </is>
      </c>
      <c r="B38" s="9" t="inlineStr">
        <is>
          <t>31</t>
        </is>
      </c>
      <c r="C38" s="9" t="inlineStr">
        <is>
          <t>Huancabamba</t>
        </is>
      </c>
      <c r="D38" s="9" t="inlineStr">
        <is>
          <t>Huarmaca</t>
        </is>
      </c>
      <c r="E38" s="9" t="inlineStr">
        <is>
          <t>AP-6</t>
        </is>
      </c>
      <c r="F38" s="10" t="n">
        <v>47.581</v>
      </c>
      <c r="G38" s="10" t="n">
        <v>0</v>
      </c>
      <c r="H38" s="10" t="n">
        <v>1.069</v>
      </c>
      <c r="I38" s="10">
        <f>MAX(0,F38-G38-H38)</f>
        <v/>
      </c>
      <c r="J38" s="11">
        <f>IF(F38=0,0,G38/F38)</f>
        <v/>
      </c>
      <c r="K38" s="11">
        <f>IF(F38=0,0,H38/F38)</f>
        <v/>
      </c>
      <c r="L38" s="11">
        <f>IF(F38=0,0,I38/F38)</f>
        <v/>
      </c>
      <c r="M38" s="9" t="inlineStr">
        <is>
          <t>Tierras del Estado y/o posesionarios</t>
        </is>
      </c>
      <c r="N38" s="9" t="inlineStr"/>
      <c r="O38" s="9" t="n">
        <v>7</v>
      </c>
      <c r="P38" s="9" t="inlineStr">
        <is>
          <t>1:10,000</t>
        </is>
      </c>
      <c r="Q38" s="9" t="inlineStr">
        <is>
          <t>SP-030_Bloque_31.png</t>
        </is>
      </c>
      <c r="R38" s="9" t="n">
        <v>0</v>
      </c>
      <c r="S38" s="9" t="inlineStr">
        <is>
          <t>Ref.: LIMON (1511 m)</t>
        </is>
      </c>
      <c r="T38" s="9" t="inlineStr">
        <is>
          <t>Sin CCPP en la matriz</t>
        </is>
      </c>
      <c r="U38" s="9" t="n"/>
    </row>
    <row r="39">
      <c r="A39" s="6" t="inlineStr">
        <is>
          <t>SP-031</t>
        </is>
      </c>
      <c r="B39" s="6" t="inlineStr">
        <is>
          <t>41</t>
        </is>
      </c>
      <c r="C39" s="6" t="inlineStr">
        <is>
          <t>Huancabamba</t>
        </is>
      </c>
      <c r="D39" s="6" t="inlineStr">
        <is>
          <t>Huarmaca</t>
        </is>
      </c>
      <c r="E39" s="6" t="inlineStr">
        <is>
          <t>AP-6</t>
        </is>
      </c>
      <c r="F39" s="7" t="n">
        <v>64.923</v>
      </c>
      <c r="G39" s="7" t="n">
        <v>0</v>
      </c>
      <c r="H39" s="7" t="n">
        <v>8.077</v>
      </c>
      <c r="I39" s="7">
        <f>MAX(0,F39-G39-H39)</f>
        <v/>
      </c>
      <c r="J39" s="8">
        <f>IF(F39=0,0,G39/F39)</f>
        <v/>
      </c>
      <c r="K39" s="8">
        <f>IF(F39=0,0,H39/F39)</f>
        <v/>
      </c>
      <c r="L39" s="8">
        <f>IF(F39=0,0,I39/F39)</f>
        <v/>
      </c>
      <c r="M39" s="6" t="inlineStr">
        <is>
          <t>Parcialmente privada</t>
        </is>
      </c>
      <c r="N39" s="6" t="inlineStr"/>
      <c r="O39" s="6" t="n">
        <v>10</v>
      </c>
      <c r="P39" s="6" t="inlineStr">
        <is>
          <t>1:10,000</t>
        </is>
      </c>
      <c r="Q39" s="6" t="inlineStr">
        <is>
          <t>SP-031_Bloque_41.png</t>
        </is>
      </c>
      <c r="R39" s="6" t="n">
        <v>1</v>
      </c>
      <c r="S39" s="6" t="inlineStr">
        <is>
          <t>CAMBRURAN (110 m)</t>
        </is>
      </c>
      <c r="T39" s="6" t="inlineStr">
        <is>
          <t>Matriz CCPP-INEI v5</t>
        </is>
      </c>
      <c r="U39" s="6" t="n">
        <v>54</v>
      </c>
    </row>
    <row r="40">
      <c r="A40" s="9" t="inlineStr">
        <is>
          <t>SP-032</t>
        </is>
      </c>
      <c r="B40" s="9" t="inlineStr">
        <is>
          <t>51</t>
        </is>
      </c>
      <c r="C40" s="9" t="inlineStr">
        <is>
          <t>Huancabamba</t>
        </is>
      </c>
      <c r="D40" s="9" t="inlineStr">
        <is>
          <t>Huarmaca</t>
        </is>
      </c>
      <c r="E40" s="9" t="inlineStr">
        <is>
          <t>AP-5</t>
        </is>
      </c>
      <c r="F40" s="10" t="n">
        <v>22.927</v>
      </c>
      <c r="G40" s="10" t="n">
        <v>0</v>
      </c>
      <c r="H40" s="10" t="n">
        <v>19.635</v>
      </c>
      <c r="I40" s="10">
        <f>MAX(0,F40-G40-H40)</f>
        <v/>
      </c>
      <c r="J40" s="11">
        <f>IF(F40=0,0,G40/F40)</f>
        <v/>
      </c>
      <c r="K40" s="11">
        <f>IF(F40=0,0,H40/F40)</f>
        <v/>
      </c>
      <c r="L40" s="11">
        <f>IF(F40=0,0,I40/F40)</f>
        <v/>
      </c>
      <c r="M40" s="9" t="inlineStr">
        <is>
          <t>Parcialmente privada</t>
        </is>
      </c>
      <c r="N40" s="9" t="inlineStr"/>
      <c r="O40" s="9" t="n">
        <v>12</v>
      </c>
      <c r="P40" s="9" t="inlineStr">
        <is>
          <t>1:7,500</t>
        </is>
      </c>
      <c r="Q40" s="9" t="inlineStr">
        <is>
          <t>SP-032_Bloque_51.png</t>
        </is>
      </c>
      <c r="R40" s="9" t="n">
        <v>2</v>
      </c>
      <c r="S40" s="9" t="inlineStr">
        <is>
          <t>TALLA (275 m); SHAIN (1013 m)</t>
        </is>
      </c>
      <c r="T40" s="9" t="inlineStr">
        <is>
          <t>Matriz CCPP-INEI v5</t>
        </is>
      </c>
      <c r="U40" s="9" t="n">
        <v>348</v>
      </c>
    </row>
    <row r="41">
      <c r="A41" s="6" t="inlineStr">
        <is>
          <t>SP-033</t>
        </is>
      </c>
      <c r="B41" s="6" t="inlineStr">
        <is>
          <t>53</t>
        </is>
      </c>
      <c r="C41" s="6" t="inlineStr">
        <is>
          <t>Huancabamba</t>
        </is>
      </c>
      <c r="D41" s="6" t="inlineStr">
        <is>
          <t>Huarmaca</t>
        </is>
      </c>
      <c r="E41" s="6" t="inlineStr">
        <is>
          <t>AP-6</t>
        </is>
      </c>
      <c r="F41" s="7" t="n">
        <v>13.065</v>
      </c>
      <c r="G41" s="7" t="n">
        <v>0</v>
      </c>
      <c r="H41" s="7" t="n">
        <v>4.613</v>
      </c>
      <c r="I41" s="7">
        <f>MAX(0,F41-G41-H41)</f>
        <v/>
      </c>
      <c r="J41" s="8">
        <f>IF(F41=0,0,G41/F41)</f>
        <v/>
      </c>
      <c r="K41" s="8">
        <f>IF(F41=0,0,H41/F41)</f>
        <v/>
      </c>
      <c r="L41" s="8">
        <f>IF(F41=0,0,I41/F41)</f>
        <v/>
      </c>
      <c r="M41" s="6" t="inlineStr">
        <is>
          <t>Parcialmente privada</t>
        </is>
      </c>
      <c r="N41" s="6" t="inlineStr"/>
      <c r="O41" s="6" t="n">
        <v>5</v>
      </c>
      <c r="P41" s="6" t="inlineStr">
        <is>
          <t>1:4,000</t>
        </is>
      </c>
      <c r="Q41" s="6" t="inlineStr">
        <is>
          <t>SP-033_Bloque_53.png</t>
        </is>
      </c>
      <c r="R41" s="6" t="n">
        <v>1</v>
      </c>
      <c r="S41" s="6" t="inlineStr">
        <is>
          <t>ZURURAN (209 m)</t>
        </is>
      </c>
      <c r="T41" s="6" t="inlineStr">
        <is>
          <t>Matriz CCPP-INEI v5</t>
        </is>
      </c>
      <c r="U41" s="6" t="n">
        <v>140</v>
      </c>
    </row>
    <row r="42">
      <c r="A42" s="9" t="inlineStr">
        <is>
          <t>SP-034</t>
        </is>
      </c>
      <c r="B42" s="9" t="inlineStr">
        <is>
          <t>69</t>
        </is>
      </c>
      <c r="C42" s="9" t="inlineStr">
        <is>
          <t>Huancabamba</t>
        </is>
      </c>
      <c r="D42" s="9" t="inlineStr">
        <is>
          <t>Huarmaca</t>
        </is>
      </c>
      <c r="E42" s="9" t="inlineStr">
        <is>
          <t>AP-6</t>
        </is>
      </c>
      <c r="F42" s="10" t="n">
        <v>19.425</v>
      </c>
      <c r="G42" s="10" t="n">
        <v>0</v>
      </c>
      <c r="H42" s="10" t="n">
        <v>4.006</v>
      </c>
      <c r="I42" s="10">
        <f>MAX(0,F42-G42-H42)</f>
        <v/>
      </c>
      <c r="J42" s="11">
        <f>IF(F42=0,0,G42/F42)</f>
        <v/>
      </c>
      <c r="K42" s="11">
        <f>IF(F42=0,0,H42/F42)</f>
        <v/>
      </c>
      <c r="L42" s="11">
        <f>IF(F42=0,0,I42/F42)</f>
        <v/>
      </c>
      <c r="M42" s="9" t="inlineStr">
        <is>
          <t>Parcialmente privada</t>
        </is>
      </c>
      <c r="N42" s="9" t="inlineStr"/>
      <c r="O42" s="9" t="n">
        <v>3</v>
      </c>
      <c r="P42" s="9" t="inlineStr">
        <is>
          <t>1:4,000</t>
        </is>
      </c>
      <c r="Q42" s="9" t="inlineStr">
        <is>
          <t>SP-034_Bloque_69.png</t>
        </is>
      </c>
      <c r="R42" s="9" t="n">
        <v>2</v>
      </c>
      <c r="S42" s="9" t="inlineStr">
        <is>
          <t>MOLLE (426 m); HUALANGA PAMPA (2113 m)</t>
        </is>
      </c>
      <c r="T42" s="9" t="inlineStr">
        <is>
          <t>Matriz CCPP-INEI v5</t>
        </is>
      </c>
      <c r="U42" s="9" t="n">
        <v>133</v>
      </c>
    </row>
    <row r="43">
      <c r="A43" s="6" t="inlineStr">
        <is>
          <t>SP-035</t>
        </is>
      </c>
      <c r="B43" s="6" t="inlineStr">
        <is>
          <t>70</t>
        </is>
      </c>
      <c r="C43" s="6" t="inlineStr">
        <is>
          <t>Huancabamba</t>
        </is>
      </c>
      <c r="D43" s="6" t="inlineStr">
        <is>
          <t>Huarmaca</t>
        </is>
      </c>
      <c r="E43" s="6" t="inlineStr">
        <is>
          <t>AP-6</t>
        </is>
      </c>
      <c r="F43" s="7" t="n">
        <v>22.388</v>
      </c>
      <c r="G43" s="7" t="n">
        <v>0</v>
      </c>
      <c r="H43" s="7" t="n">
        <v>4.707</v>
      </c>
      <c r="I43" s="7">
        <f>MAX(0,F43-G43-H43)</f>
        <v/>
      </c>
      <c r="J43" s="8">
        <f>IF(F43=0,0,G43/F43)</f>
        <v/>
      </c>
      <c r="K43" s="8">
        <f>IF(F43=0,0,H43/F43)</f>
        <v/>
      </c>
      <c r="L43" s="8">
        <f>IF(F43=0,0,I43/F43)</f>
        <v/>
      </c>
      <c r="M43" s="6" t="inlineStr">
        <is>
          <t>Parcialmente privada</t>
        </is>
      </c>
      <c r="N43" s="6" t="inlineStr"/>
      <c r="O43" s="6" t="n">
        <v>6</v>
      </c>
      <c r="P43" s="6" t="inlineStr">
        <is>
          <t>1:5,000</t>
        </is>
      </c>
      <c r="Q43" s="6" t="inlineStr">
        <is>
          <t>SP-035_Bloque_70.png</t>
        </is>
      </c>
      <c r="R43" s="6" t="n">
        <v>1</v>
      </c>
      <c r="S43" s="6" t="inlineStr">
        <is>
          <t>ZURURAN (219 m)</t>
        </is>
      </c>
      <c r="T43" s="6" t="inlineStr">
        <is>
          <t>Matriz CCPP-INEI v5</t>
        </is>
      </c>
      <c r="U43" s="6" t="n">
        <v>140</v>
      </c>
    </row>
    <row r="44">
      <c r="A44" s="9" t="inlineStr">
        <is>
          <t>SP-036</t>
        </is>
      </c>
      <c r="B44" s="9" t="inlineStr">
        <is>
          <t>71</t>
        </is>
      </c>
      <c r="C44" s="9" t="inlineStr">
        <is>
          <t>Huancabamba</t>
        </is>
      </c>
      <c r="D44" s="9" t="inlineStr">
        <is>
          <t>Huarmaca</t>
        </is>
      </c>
      <c r="E44" s="9" t="inlineStr">
        <is>
          <t>AP-5</t>
        </is>
      </c>
      <c r="F44" s="10" t="n">
        <v>10.673</v>
      </c>
      <c r="G44" s="10" t="n">
        <v>0</v>
      </c>
      <c r="H44" s="10" t="n">
        <v>0</v>
      </c>
      <c r="I44" s="10">
        <f>MAX(0,F44-G44-H44)</f>
        <v/>
      </c>
      <c r="J44" s="11">
        <f>IF(F44=0,0,G44/F44)</f>
        <v/>
      </c>
      <c r="K44" s="11">
        <f>IF(F44=0,0,H44/F44)</f>
        <v/>
      </c>
      <c r="L44" s="11">
        <f>IF(F44=0,0,I44/F44)</f>
        <v/>
      </c>
      <c r="M44" s="9" t="inlineStr">
        <is>
          <t>Tierras del Estado y/o posesionarios</t>
        </is>
      </c>
      <c r="N44" s="9" t="inlineStr"/>
      <c r="O44" s="9" t="n">
        <v>0</v>
      </c>
      <c r="P44" s="9" t="inlineStr">
        <is>
          <t>1:3,000</t>
        </is>
      </c>
      <c r="Q44" s="9" t="inlineStr">
        <is>
          <t>SP-036_Bloque_71.png</t>
        </is>
      </c>
      <c r="R44" s="9" t="n">
        <v>1</v>
      </c>
      <c r="S44" s="9" t="inlineStr">
        <is>
          <t>PIRGA (206 m)</t>
        </is>
      </c>
      <c r="T44" s="9" t="inlineStr">
        <is>
          <t>Matriz CCPP-INEI v5</t>
        </is>
      </c>
      <c r="U44" s="9" t="n">
        <v>322</v>
      </c>
    </row>
    <row r="45">
      <c r="A45" s="6" t="inlineStr">
        <is>
          <t>SP-037</t>
        </is>
      </c>
      <c r="B45" s="6" t="inlineStr">
        <is>
          <t>72</t>
        </is>
      </c>
      <c r="C45" s="6" t="inlineStr">
        <is>
          <t>Huancabamba</t>
        </is>
      </c>
      <c r="D45" s="6" t="inlineStr">
        <is>
          <t>Huarmaca</t>
        </is>
      </c>
      <c r="E45" s="6" t="inlineStr">
        <is>
          <t>AP-6</t>
        </is>
      </c>
      <c r="F45" s="7" t="n">
        <v>12.398</v>
      </c>
      <c r="G45" s="7" t="n">
        <v>0</v>
      </c>
      <c r="H45" s="7" t="n">
        <v>11.894</v>
      </c>
      <c r="I45" s="7">
        <f>MAX(0,F45-G45-H45)</f>
        <v/>
      </c>
      <c r="J45" s="8">
        <f>IF(F45=0,0,G45/F45)</f>
        <v/>
      </c>
      <c r="K45" s="8">
        <f>IF(F45=0,0,H45/F45)</f>
        <v/>
      </c>
      <c r="L45" s="8">
        <f>IF(F45=0,0,I45/F45)</f>
        <v/>
      </c>
      <c r="M45" s="6" t="inlineStr">
        <is>
          <t>Privada</t>
        </is>
      </c>
      <c r="N45" s="6" t="inlineStr"/>
      <c r="O45" s="6" t="n">
        <v>17</v>
      </c>
      <c r="P45" s="6" t="inlineStr">
        <is>
          <t>1:3,000</t>
        </is>
      </c>
      <c r="Q45" s="6" t="inlineStr">
        <is>
          <t>SP-037_Bloque_72.png</t>
        </is>
      </c>
      <c r="R45" s="6" t="n">
        <v>1</v>
      </c>
      <c r="S45" s="6" t="inlineStr">
        <is>
          <t>RAMON CASTILLA (107 m)</t>
        </is>
      </c>
      <c r="T45" s="6" t="inlineStr">
        <is>
          <t>Matriz CCPP-INEI v5</t>
        </is>
      </c>
      <c r="U45" s="6" t="n">
        <v>216</v>
      </c>
    </row>
    <row r="46">
      <c r="A46" s="9" t="inlineStr">
        <is>
          <t>SP-038</t>
        </is>
      </c>
      <c r="B46" s="9" t="inlineStr">
        <is>
          <t>73</t>
        </is>
      </c>
      <c r="C46" s="9" t="inlineStr">
        <is>
          <t>Huancabamba</t>
        </is>
      </c>
      <c r="D46" s="9" t="inlineStr">
        <is>
          <t>Huarmaca</t>
        </is>
      </c>
      <c r="E46" s="9" t="inlineStr">
        <is>
          <t>AP-6</t>
        </is>
      </c>
      <c r="F46" s="10" t="n">
        <v>54.29</v>
      </c>
      <c r="G46" s="10" t="n">
        <v>0</v>
      </c>
      <c r="H46" s="10" t="n">
        <v>14.551</v>
      </c>
      <c r="I46" s="10">
        <f>MAX(0,F46-G46-H46)</f>
        <v/>
      </c>
      <c r="J46" s="11">
        <f>IF(F46=0,0,G46/F46)</f>
        <v/>
      </c>
      <c r="K46" s="11">
        <f>IF(F46=0,0,H46/F46)</f>
        <v/>
      </c>
      <c r="L46" s="11">
        <f>IF(F46=0,0,I46/F46)</f>
        <v/>
      </c>
      <c r="M46" s="9" t="inlineStr">
        <is>
          <t>Parcialmente privada</t>
        </is>
      </c>
      <c r="N46" s="9" t="inlineStr"/>
      <c r="O46" s="9" t="n">
        <v>15</v>
      </c>
      <c r="P46" s="9" t="inlineStr">
        <is>
          <t>1:7,500</t>
        </is>
      </c>
      <c r="Q46" s="9" t="inlineStr">
        <is>
          <t>SP-038_Bloque_73.png</t>
        </is>
      </c>
      <c r="R46" s="9" t="n">
        <v>1</v>
      </c>
      <c r="S46" s="9" t="inlineStr">
        <is>
          <t>CHOCOCA (762 m)</t>
        </is>
      </c>
      <c r="T46" s="9" t="inlineStr">
        <is>
          <t>Matriz CCPP-INEI v5</t>
        </is>
      </c>
      <c r="U46" s="9" t="n">
        <v>104</v>
      </c>
    </row>
    <row r="47">
      <c r="A47" s="6" t="inlineStr">
        <is>
          <t>SP-039</t>
        </is>
      </c>
      <c r="B47" s="6" t="inlineStr">
        <is>
          <t>76</t>
        </is>
      </c>
      <c r="C47" s="6" t="inlineStr">
        <is>
          <t>Huancabamba</t>
        </is>
      </c>
      <c r="D47" s="6" t="inlineStr">
        <is>
          <t>Huarmaca</t>
        </is>
      </c>
      <c r="E47" s="6" t="inlineStr">
        <is>
          <t>AP-5</t>
        </is>
      </c>
      <c r="F47" s="7" t="n">
        <v>19.615</v>
      </c>
      <c r="G47" s="7" t="n">
        <v>0</v>
      </c>
      <c r="H47" s="7" t="n">
        <v>11.334</v>
      </c>
      <c r="I47" s="7">
        <f>MAX(0,F47-G47-H47)</f>
        <v/>
      </c>
      <c r="J47" s="8">
        <f>IF(F47=0,0,G47/F47)</f>
        <v/>
      </c>
      <c r="K47" s="8">
        <f>IF(F47=0,0,H47/F47)</f>
        <v/>
      </c>
      <c r="L47" s="8">
        <f>IF(F47=0,0,I47/F47)</f>
        <v/>
      </c>
      <c r="M47" s="6" t="inlineStr">
        <is>
          <t>Parcialmente privada</t>
        </is>
      </c>
      <c r="N47" s="6" t="inlineStr"/>
      <c r="O47" s="6" t="n">
        <v>10</v>
      </c>
      <c r="P47" s="6" t="inlineStr">
        <is>
          <t>1:4,000</t>
        </is>
      </c>
      <c r="Q47" s="6" t="inlineStr">
        <is>
          <t>SP-039_Bloque_76.png</t>
        </is>
      </c>
      <c r="R47" s="6" t="n">
        <v>2</v>
      </c>
      <c r="S47" s="6" t="inlineStr">
        <is>
          <t>SAHUATE HUALANGA (151 m); HUALANGA (202 m)</t>
        </is>
      </c>
      <c r="T47" s="6" t="inlineStr">
        <is>
          <t>Matriz CCPP-INEI v5</t>
        </is>
      </c>
      <c r="U47" s="6" t="n">
        <v>388</v>
      </c>
    </row>
    <row r="48">
      <c r="A48" s="9" t="inlineStr">
        <is>
          <t>SP-040</t>
        </is>
      </c>
      <c r="B48" s="9" t="inlineStr">
        <is>
          <t>80</t>
        </is>
      </c>
      <c r="C48" s="9" t="inlineStr">
        <is>
          <t>Huancabamba</t>
        </is>
      </c>
      <c r="D48" s="9" t="inlineStr">
        <is>
          <t>Huarmaca</t>
        </is>
      </c>
      <c r="E48" s="9" t="inlineStr">
        <is>
          <t>AP-5</t>
        </is>
      </c>
      <c r="F48" s="10" t="n">
        <v>28.83</v>
      </c>
      <c r="G48" s="10" t="n">
        <v>0</v>
      </c>
      <c r="H48" s="10" t="n">
        <v>0.182</v>
      </c>
      <c r="I48" s="10">
        <f>MAX(0,F48-G48-H48)</f>
        <v/>
      </c>
      <c r="J48" s="11">
        <f>IF(F48=0,0,G48/F48)</f>
        <v/>
      </c>
      <c r="K48" s="11">
        <f>IF(F48=0,0,H48/F48)</f>
        <v/>
      </c>
      <c r="L48" s="11">
        <f>IF(F48=0,0,I48/F48)</f>
        <v/>
      </c>
      <c r="M48" s="9" t="inlineStr">
        <is>
          <t>Tierras del Estado y/o posesionarios</t>
        </is>
      </c>
      <c r="N48" s="9" t="inlineStr"/>
      <c r="O48" s="9" t="n">
        <v>2</v>
      </c>
      <c r="P48" s="9" t="inlineStr">
        <is>
          <t>1:6,000</t>
        </is>
      </c>
      <c r="Q48" s="9" t="inlineStr">
        <is>
          <t>SP-040_Bloque_80.png</t>
        </is>
      </c>
      <c r="R48" s="9" t="n">
        <v>2</v>
      </c>
      <c r="S48" s="9" t="inlineStr">
        <is>
          <t>YUMBE (320 m); CRUZ ROJA (426 m)</t>
        </is>
      </c>
      <c r="T48" s="9" t="inlineStr">
        <is>
          <t>Matriz CCPP-INEI v5</t>
        </is>
      </c>
      <c r="U48" s="9" t="n">
        <v>156</v>
      </c>
    </row>
    <row r="49">
      <c r="A49" s="6" t="inlineStr">
        <is>
          <t>SP-041</t>
        </is>
      </c>
      <c r="B49" s="6" t="inlineStr">
        <is>
          <t>M4B3</t>
        </is>
      </c>
      <c r="C49" s="6" t="inlineStr">
        <is>
          <t>Huancabamba</t>
        </is>
      </c>
      <c r="D49" s="6" t="inlineStr">
        <is>
          <t>Huarmaca</t>
        </is>
      </c>
      <c r="E49" s="6" t="inlineStr">
        <is>
          <t>AP-6</t>
        </is>
      </c>
      <c r="F49" s="7" t="n">
        <v>234.069</v>
      </c>
      <c r="G49" s="7" t="n">
        <v>91.505</v>
      </c>
      <c r="H49" s="7" t="n">
        <v>0</v>
      </c>
      <c r="I49" s="7">
        <f>MAX(0,F49-G49-H49)</f>
        <v/>
      </c>
      <c r="J49" s="8">
        <f>IF(F49=0,0,G49/F49)</f>
        <v/>
      </c>
      <c r="K49" s="8">
        <f>IF(F49=0,0,H49/F49)</f>
        <v/>
      </c>
      <c r="L49" s="8">
        <f>IF(F49=0,0,I49/F49)</f>
        <v/>
      </c>
      <c r="M49" s="6" t="inlineStr">
        <is>
          <t>Parcialmente comunal</t>
        </is>
      </c>
      <c r="N49" s="6" t="inlineStr">
        <is>
          <t>Sin nombre (ID 2735)</t>
        </is>
      </c>
      <c r="O49" s="6" t="n">
        <v>0</v>
      </c>
      <c r="P49" s="6" t="inlineStr">
        <is>
          <t>1:12,500</t>
        </is>
      </c>
      <c r="Q49" s="6" t="inlineStr">
        <is>
          <t>SP-041_Bloque_M4B3.png</t>
        </is>
      </c>
      <c r="R49" s="6" t="n">
        <v>1</v>
      </c>
      <c r="S49" s="6" t="inlineStr">
        <is>
          <t>CHIGNIA BAJA (846 m)</t>
        </is>
      </c>
      <c r="T49" s="6" t="inlineStr">
        <is>
          <t>Matriz CCPP-INEI v5</t>
        </is>
      </c>
      <c r="U49" s="6" t="n">
        <v>161</v>
      </c>
    </row>
    <row r="50">
      <c r="A50" s="9" t="inlineStr">
        <is>
          <t>SP-042</t>
        </is>
      </c>
      <c r="B50" s="9" t="inlineStr">
        <is>
          <t>M4B4</t>
        </is>
      </c>
      <c r="C50" s="9" t="inlineStr">
        <is>
          <t>Huancabamba</t>
        </is>
      </c>
      <c r="D50" s="9" t="inlineStr">
        <is>
          <t>Huarmaca</t>
        </is>
      </c>
      <c r="E50" s="9" t="inlineStr">
        <is>
          <t>AP-6</t>
        </is>
      </c>
      <c r="F50" s="10" t="n">
        <v>289.914</v>
      </c>
      <c r="G50" s="10" t="n">
        <v>289.625</v>
      </c>
      <c r="H50" s="10" t="n">
        <v>0</v>
      </c>
      <c r="I50" s="10">
        <f>MAX(0,F50-G50-H50)</f>
        <v/>
      </c>
      <c r="J50" s="11">
        <f>IF(F50=0,0,G50/F50)</f>
        <v/>
      </c>
      <c r="K50" s="11">
        <f>IF(F50=0,0,H50/F50)</f>
        <v/>
      </c>
      <c r="L50" s="11">
        <f>IF(F50=0,0,I50/F50)</f>
        <v/>
      </c>
      <c r="M50" s="9" t="inlineStr">
        <is>
          <t>Comunal</t>
        </is>
      </c>
      <c r="N50" s="9" t="inlineStr">
        <is>
          <t>Sin nombre (ID 2735)</t>
        </is>
      </c>
      <c r="O50" s="9" t="n">
        <v>0</v>
      </c>
      <c r="P50" s="9" t="inlineStr">
        <is>
          <t>1:20,000</t>
        </is>
      </c>
      <c r="Q50" s="9" t="inlineStr">
        <is>
          <t>SP-042_Bloque_M4B4.png</t>
        </is>
      </c>
      <c r="R50" s="9" t="n">
        <v>2</v>
      </c>
      <c r="S50" s="9" t="inlineStr">
        <is>
          <t>HUALCAS II (122 m); HUALCAS I (413 m)</t>
        </is>
      </c>
      <c r="T50" s="9" t="inlineStr">
        <is>
          <t>Matriz CCPP-INEI v5</t>
        </is>
      </c>
      <c r="U50" s="9" t="n">
        <v>279</v>
      </c>
    </row>
    <row r="51">
      <c r="A51" s="6" t="inlineStr">
        <is>
          <t>SP-043</t>
        </is>
      </c>
      <c r="B51" s="6" t="inlineStr">
        <is>
          <t>M12B1</t>
        </is>
      </c>
      <c r="C51" s="6" t="inlineStr">
        <is>
          <t>Huancabamba</t>
        </is>
      </c>
      <c r="D51" s="6" t="inlineStr">
        <is>
          <t>Huarmaca</t>
        </is>
      </c>
      <c r="E51" s="6" t="inlineStr">
        <is>
          <t>AP-5</t>
        </is>
      </c>
      <c r="F51" s="7" t="n">
        <v>268.393</v>
      </c>
      <c r="G51" s="7" t="n">
        <v>98.36199999999999</v>
      </c>
      <c r="H51" s="7" t="n">
        <v>0</v>
      </c>
      <c r="I51" s="7">
        <f>MAX(0,F51-G51-H51)</f>
        <v/>
      </c>
      <c r="J51" s="8">
        <f>IF(F51=0,0,G51/F51)</f>
        <v/>
      </c>
      <c r="K51" s="8">
        <f>IF(F51=0,0,H51/F51)</f>
        <v/>
      </c>
      <c r="L51" s="8">
        <f>IF(F51=0,0,I51/F51)</f>
        <v/>
      </c>
      <c r="M51" s="6" t="inlineStr">
        <is>
          <t>Parcialmente comunal</t>
        </is>
      </c>
      <c r="N51" s="6" t="inlineStr">
        <is>
          <t>Sin nombre (ID 2735); Sin nombre (ID 2970)</t>
        </is>
      </c>
      <c r="O51" s="6" t="n">
        <v>0</v>
      </c>
      <c r="P51" s="6" t="inlineStr">
        <is>
          <t>1:15,000</t>
        </is>
      </c>
      <c r="Q51" s="6" t="inlineStr">
        <is>
          <t>SP-043_Bloque_M12B1.png</t>
        </is>
      </c>
      <c r="R51" s="6" t="n">
        <v>2</v>
      </c>
      <c r="S51" s="6" t="inlineStr">
        <is>
          <t>NUEVA ESPERANZA (95 m); FAICALITO (601 m)</t>
        </is>
      </c>
      <c r="T51" s="6" t="inlineStr">
        <is>
          <t>Matriz CCPP-INEI v5</t>
        </is>
      </c>
      <c r="U51" s="6" t="n">
        <v>220</v>
      </c>
    </row>
    <row r="52">
      <c r="A52" s="9" t="inlineStr">
        <is>
          <t>SP-044</t>
        </is>
      </c>
      <c r="B52" s="9" t="inlineStr">
        <is>
          <t>26</t>
        </is>
      </c>
      <c r="C52" s="9" t="inlineStr">
        <is>
          <t>Huancabamba</t>
        </is>
      </c>
      <c r="D52" s="9" t="inlineStr">
        <is>
          <t>Lalaquiz</t>
        </is>
      </c>
      <c r="E52" s="9" t="inlineStr">
        <is>
          <t>PENDIENTE</t>
        </is>
      </c>
      <c r="F52" s="10" t="n">
        <v>46.962</v>
      </c>
      <c r="G52" s="10" t="n">
        <v>0</v>
      </c>
      <c r="H52" s="10" t="n">
        <v>0.027</v>
      </c>
      <c r="I52" s="10">
        <f>MAX(0,F52-G52-H52)</f>
        <v/>
      </c>
      <c r="J52" s="11">
        <f>IF(F52=0,0,G52/F52)</f>
        <v/>
      </c>
      <c r="K52" s="11">
        <f>IF(F52=0,0,H52/F52)</f>
        <v/>
      </c>
      <c r="L52" s="11">
        <f>IF(F52=0,0,I52/F52)</f>
        <v/>
      </c>
      <c r="M52" s="9" t="inlineStr">
        <is>
          <t>Tierras del Estado y/o posesionarios</t>
        </is>
      </c>
      <c r="N52" s="9" t="inlineStr"/>
      <c r="O52" s="9" t="n">
        <v>1</v>
      </c>
      <c r="P52" s="9" t="inlineStr">
        <is>
          <t>1:6,000</t>
        </is>
      </c>
      <c r="Q52" s="9" t="inlineStr">
        <is>
          <t>SP-044_Bloque_26.png</t>
        </is>
      </c>
      <c r="R52" s="9" t="n">
        <v>1</v>
      </c>
      <c r="S52" s="9" t="inlineStr">
        <is>
          <t>LA LAGUNA (194 m)</t>
        </is>
      </c>
      <c r="T52" s="9" t="inlineStr">
        <is>
          <t>Matriz CCPP-INEI v5</t>
        </is>
      </c>
      <c r="U52" s="9" t="n"/>
    </row>
    <row r="53">
      <c r="A53" s="6" t="inlineStr">
        <is>
          <t>SP-045</t>
        </is>
      </c>
      <c r="B53" s="6" t="inlineStr">
        <is>
          <t>34</t>
        </is>
      </c>
      <c r="C53" s="6" t="inlineStr">
        <is>
          <t>Huancabamba</t>
        </is>
      </c>
      <c r="D53" s="6" t="inlineStr">
        <is>
          <t>Lalaquiz</t>
        </is>
      </c>
      <c r="E53" s="6" t="inlineStr">
        <is>
          <t>PENDIENTE</t>
        </is>
      </c>
      <c r="F53" s="7" t="n">
        <v>28.45</v>
      </c>
      <c r="G53" s="7" t="n">
        <v>0</v>
      </c>
      <c r="H53" s="7" t="n">
        <v>0.972</v>
      </c>
      <c r="I53" s="7">
        <f>MAX(0,F53-G53-H53)</f>
        <v/>
      </c>
      <c r="J53" s="8">
        <f>IF(F53=0,0,G53/F53)</f>
        <v/>
      </c>
      <c r="K53" s="8">
        <f>IF(F53=0,0,H53/F53)</f>
        <v/>
      </c>
      <c r="L53" s="8">
        <f>IF(F53=0,0,I53/F53)</f>
        <v/>
      </c>
      <c r="M53" s="6" t="inlineStr">
        <is>
          <t>Tierras del Estado y/o posesionarios</t>
        </is>
      </c>
      <c r="N53" s="6" t="inlineStr"/>
      <c r="O53" s="6" t="n">
        <v>3</v>
      </c>
      <c r="P53" s="6" t="inlineStr">
        <is>
          <t>1:7,500</t>
        </is>
      </c>
      <c r="Q53" s="6" t="inlineStr">
        <is>
          <t>SP-045_Bloque_34.png</t>
        </is>
      </c>
      <c r="R53" s="6" t="n">
        <v>2</v>
      </c>
      <c r="S53" s="6" t="inlineStr">
        <is>
          <t>MARAY GRANDE (358 m); MARAY CHICO (865 m)</t>
        </is>
      </c>
      <c r="T53" s="6" t="inlineStr">
        <is>
          <t>Matriz CCPP-INEI v5</t>
        </is>
      </c>
      <c r="U53" s="6" t="n">
        <v>142</v>
      </c>
    </row>
    <row r="54">
      <c r="A54" s="9" t="inlineStr">
        <is>
          <t>SP-046</t>
        </is>
      </c>
      <c r="B54" s="9" t="inlineStr">
        <is>
          <t>37</t>
        </is>
      </c>
      <c r="C54" s="9" t="inlineStr">
        <is>
          <t>Huancabamba</t>
        </is>
      </c>
      <c r="D54" s="9" t="inlineStr">
        <is>
          <t>Lalaquiz</t>
        </is>
      </c>
      <c r="E54" s="9" t="inlineStr">
        <is>
          <t>PENDIENTE</t>
        </is>
      </c>
      <c r="F54" s="10" t="n">
        <v>35.491</v>
      </c>
      <c r="G54" s="10" t="n">
        <v>0</v>
      </c>
      <c r="H54" s="10" t="n">
        <v>4.985</v>
      </c>
      <c r="I54" s="10">
        <f>MAX(0,F54-G54-H54)</f>
        <v/>
      </c>
      <c r="J54" s="11">
        <f>IF(F54=0,0,G54/F54)</f>
        <v/>
      </c>
      <c r="K54" s="11">
        <f>IF(F54=0,0,H54/F54)</f>
        <v/>
      </c>
      <c r="L54" s="11">
        <f>IF(F54=0,0,I54/F54)</f>
        <v/>
      </c>
      <c r="M54" s="9" t="inlineStr">
        <is>
          <t>Parcialmente privada</t>
        </is>
      </c>
      <c r="N54" s="9" t="inlineStr"/>
      <c r="O54" s="9" t="n">
        <v>3</v>
      </c>
      <c r="P54" s="9" t="inlineStr">
        <is>
          <t>1:5,000</t>
        </is>
      </c>
      <c r="Q54" s="9" t="inlineStr">
        <is>
          <t>SP-046_Bloque_37.png</t>
        </is>
      </c>
      <c r="R54" s="9" t="n">
        <v>1</v>
      </c>
      <c r="S54" s="9" t="inlineStr">
        <is>
          <t>EL PAPAYO (234 m)</t>
        </is>
      </c>
      <c r="T54" s="9" t="inlineStr">
        <is>
          <t>Matriz CCPP-INEI v5</t>
        </is>
      </c>
      <c r="U54" s="9" t="n"/>
    </row>
    <row r="55">
      <c r="A55" s="6" t="inlineStr">
        <is>
          <t>SP-047</t>
        </is>
      </c>
      <c r="B55" s="6" t="inlineStr">
        <is>
          <t>38</t>
        </is>
      </c>
      <c r="C55" s="6" t="inlineStr">
        <is>
          <t>Huancabamba</t>
        </is>
      </c>
      <c r="D55" s="6" t="inlineStr">
        <is>
          <t>Lalaquiz</t>
        </is>
      </c>
      <c r="E55" s="6" t="inlineStr">
        <is>
          <t>PENDIENTE</t>
        </is>
      </c>
      <c r="F55" s="7" t="n">
        <v>44.201</v>
      </c>
      <c r="G55" s="7" t="n">
        <v>0</v>
      </c>
      <c r="H55" s="7" t="n">
        <v>3.654</v>
      </c>
      <c r="I55" s="7">
        <f>MAX(0,F55-G55-H55)</f>
        <v/>
      </c>
      <c r="J55" s="8">
        <f>IF(F55=0,0,G55/F55)</f>
        <v/>
      </c>
      <c r="K55" s="8">
        <f>IF(F55=0,0,H55/F55)</f>
        <v/>
      </c>
      <c r="L55" s="8">
        <f>IF(F55=0,0,I55/F55)</f>
        <v/>
      </c>
      <c r="M55" s="6" t="inlineStr">
        <is>
          <t>Parcialmente privada</t>
        </is>
      </c>
      <c r="N55" s="6" t="inlineStr"/>
      <c r="O55" s="6" t="n">
        <v>39</v>
      </c>
      <c r="P55" s="6" t="inlineStr">
        <is>
          <t>1:7,500</t>
        </is>
      </c>
      <c r="Q55" s="6" t="inlineStr">
        <is>
          <t>SP-047_Bloque_38.png</t>
        </is>
      </c>
      <c r="R55" s="6" t="n">
        <v>1</v>
      </c>
      <c r="S55" s="6" t="inlineStr">
        <is>
          <t>ULLMA (530 m)</t>
        </is>
      </c>
      <c r="T55" s="6" t="inlineStr">
        <is>
          <t>Matriz CCPP-INEI v5</t>
        </is>
      </c>
      <c r="U55" s="6" t="n">
        <v>157</v>
      </c>
    </row>
    <row r="56">
      <c r="A56" s="9" t="inlineStr">
        <is>
          <t>SP-048</t>
        </is>
      </c>
      <c r="B56" s="9" t="inlineStr">
        <is>
          <t>50</t>
        </is>
      </c>
      <c r="C56" s="9" t="inlineStr">
        <is>
          <t>Huancabamba</t>
        </is>
      </c>
      <c r="D56" s="9" t="inlineStr">
        <is>
          <t>Lalaquiz</t>
        </is>
      </c>
      <c r="E56" s="9" t="inlineStr">
        <is>
          <t>PENDIENTE</t>
        </is>
      </c>
      <c r="F56" s="10" t="n">
        <v>19.266</v>
      </c>
      <c r="G56" s="10" t="n">
        <v>0</v>
      </c>
      <c r="H56" s="10" t="n">
        <v>0</v>
      </c>
      <c r="I56" s="10">
        <f>MAX(0,F56-G56-H56)</f>
        <v/>
      </c>
      <c r="J56" s="11">
        <f>IF(F56=0,0,G56/F56)</f>
        <v/>
      </c>
      <c r="K56" s="11">
        <f>IF(F56=0,0,H56/F56)</f>
        <v/>
      </c>
      <c r="L56" s="11">
        <f>IF(F56=0,0,I56/F56)</f>
        <v/>
      </c>
      <c r="M56" s="9" t="inlineStr">
        <is>
          <t>Tierras del Estado y/o posesionarios</t>
        </is>
      </c>
      <c r="N56" s="9" t="inlineStr"/>
      <c r="O56" s="9" t="n">
        <v>0</v>
      </c>
      <c r="P56" s="9" t="inlineStr">
        <is>
          <t>1:4,000</t>
        </is>
      </c>
      <c r="Q56" s="9" t="inlineStr">
        <is>
          <t>SP-048_Bloque_50.png</t>
        </is>
      </c>
      <c r="R56" s="9" t="n">
        <v>0</v>
      </c>
      <c r="S56" s="9" t="inlineStr">
        <is>
          <t>Ref.: NARANJITO (849 m)</t>
        </is>
      </c>
      <c r="T56" s="9" t="inlineStr">
        <is>
          <t>Sin CCPP en la matriz</t>
        </is>
      </c>
      <c r="U56" s="9" t="n"/>
    </row>
    <row r="57">
      <c r="A57" s="6" t="inlineStr">
        <is>
          <t>SP-049</t>
        </is>
      </c>
      <c r="B57" s="6" t="inlineStr">
        <is>
          <t>61</t>
        </is>
      </c>
      <c r="C57" s="6" t="inlineStr">
        <is>
          <t>Huancabamba</t>
        </is>
      </c>
      <c r="D57" s="6" t="inlineStr">
        <is>
          <t>Lalaquiz</t>
        </is>
      </c>
      <c r="E57" s="6" t="inlineStr">
        <is>
          <t>PENDIENTE</t>
        </is>
      </c>
      <c r="F57" s="7" t="n">
        <v>26.826</v>
      </c>
      <c r="G57" s="7" t="n">
        <v>0</v>
      </c>
      <c r="H57" s="7" t="n">
        <v>0</v>
      </c>
      <c r="I57" s="7">
        <f>MAX(0,F57-G57-H57)</f>
        <v/>
      </c>
      <c r="J57" s="8">
        <f>IF(F57=0,0,G57/F57)</f>
        <v/>
      </c>
      <c r="K57" s="8">
        <f>IF(F57=0,0,H57/F57)</f>
        <v/>
      </c>
      <c r="L57" s="8">
        <f>IF(F57=0,0,I57/F57)</f>
        <v/>
      </c>
      <c r="M57" s="6" t="inlineStr">
        <is>
          <t>Tierras del Estado y/o posesionarios</t>
        </is>
      </c>
      <c r="N57" s="6" t="inlineStr"/>
      <c r="O57" s="6" t="n">
        <v>0</v>
      </c>
      <c r="P57" s="6" t="inlineStr">
        <is>
          <t>1:5,000</t>
        </is>
      </c>
      <c r="Q57" s="6" t="inlineStr">
        <is>
          <t>SP-049_Bloque_61.png</t>
        </is>
      </c>
      <c r="R57" s="6" t="n">
        <v>1</v>
      </c>
      <c r="S57" s="6" t="inlineStr">
        <is>
          <t>PEDREGAL (222 m)</t>
        </is>
      </c>
      <c r="T57" s="6" t="inlineStr">
        <is>
          <t>Matriz CCPP-INEI v5</t>
        </is>
      </c>
      <c r="U57" s="6" t="n">
        <v>14</v>
      </c>
    </row>
    <row r="58">
      <c r="A58" s="9" t="inlineStr">
        <is>
          <t>SP-050</t>
        </is>
      </c>
      <c r="B58" s="9" t="inlineStr">
        <is>
          <t>9</t>
        </is>
      </c>
      <c r="C58" s="9" t="inlineStr">
        <is>
          <t>Huancabamba</t>
        </is>
      </c>
      <c r="D58" s="9" t="inlineStr">
        <is>
          <t>San Miguel de El Faique</t>
        </is>
      </c>
      <c r="E58" s="9" t="inlineStr">
        <is>
          <t>AP-6</t>
        </is>
      </c>
      <c r="F58" s="10" t="n">
        <v>109.861</v>
      </c>
      <c r="G58" s="10" t="n">
        <v>0</v>
      </c>
      <c r="H58" s="10" t="n">
        <v>15.375</v>
      </c>
      <c r="I58" s="10">
        <f>MAX(0,F58-G58-H58)</f>
        <v/>
      </c>
      <c r="J58" s="11">
        <f>IF(F58=0,0,G58/F58)</f>
        <v/>
      </c>
      <c r="K58" s="11">
        <f>IF(F58=0,0,H58/F58)</f>
        <v/>
      </c>
      <c r="L58" s="11">
        <f>IF(F58=0,0,I58/F58)</f>
        <v/>
      </c>
      <c r="M58" s="9" t="inlineStr">
        <is>
          <t>Parcialmente privada</t>
        </is>
      </c>
      <c r="N58" s="9" t="inlineStr"/>
      <c r="O58" s="9" t="n">
        <v>27</v>
      </c>
      <c r="P58" s="9" t="inlineStr">
        <is>
          <t>1:12,500</t>
        </is>
      </c>
      <c r="Q58" s="9" t="inlineStr">
        <is>
          <t>SP-050_Bloque_9.png</t>
        </is>
      </c>
      <c r="R58" s="9" t="n">
        <v>2</v>
      </c>
      <c r="S58" s="9" t="inlineStr">
        <is>
          <t>EL HIGUERON (1057 m); LA CAPILLA (1070 m)</t>
        </is>
      </c>
      <c r="T58" s="9" t="inlineStr">
        <is>
          <t>Matriz CCPP-INEI v5</t>
        </is>
      </c>
      <c r="U58" s="9" t="n">
        <v>248</v>
      </c>
    </row>
    <row r="59">
      <c r="A59" s="6" t="inlineStr">
        <is>
          <t>SP-051</t>
        </is>
      </c>
      <c r="B59" s="6" t="inlineStr">
        <is>
          <t>35</t>
        </is>
      </c>
      <c r="C59" s="6" t="inlineStr">
        <is>
          <t>Huancabamba</t>
        </is>
      </c>
      <c r="D59" s="6" t="inlineStr">
        <is>
          <t>San Miguel de El Faique</t>
        </is>
      </c>
      <c r="E59" s="6" t="inlineStr">
        <is>
          <t>AP-6</t>
        </is>
      </c>
      <c r="F59" s="7" t="n">
        <v>30.804</v>
      </c>
      <c r="G59" s="7" t="n">
        <v>0</v>
      </c>
      <c r="H59" s="7" t="n">
        <v>24.518</v>
      </c>
      <c r="I59" s="7">
        <f>MAX(0,F59-G59-H59)</f>
        <v/>
      </c>
      <c r="J59" s="8">
        <f>IF(F59=0,0,G59/F59)</f>
        <v/>
      </c>
      <c r="K59" s="8">
        <f>IF(F59=0,0,H59/F59)</f>
        <v/>
      </c>
      <c r="L59" s="8">
        <f>IF(F59=0,0,I59/F59)</f>
        <v/>
      </c>
      <c r="M59" s="6" t="inlineStr">
        <is>
          <t>Parcialmente privada</t>
        </is>
      </c>
      <c r="N59" s="6" t="inlineStr"/>
      <c r="O59" s="6" t="n">
        <v>23</v>
      </c>
      <c r="P59" s="6" t="inlineStr">
        <is>
          <t>1:5,000</t>
        </is>
      </c>
      <c r="Q59" s="6" t="inlineStr">
        <is>
          <t>SP-051_Bloque_35.png</t>
        </is>
      </c>
      <c r="R59" s="6" t="n">
        <v>2</v>
      </c>
      <c r="S59" s="6" t="inlineStr">
        <is>
          <t>CHAMELICO (185 m); QUITAHUAJARA (213 m)</t>
        </is>
      </c>
      <c r="T59" s="6" t="inlineStr">
        <is>
          <t>Matriz CCPP-INEI v5</t>
        </is>
      </c>
      <c r="U59" s="6" t="n">
        <v>198</v>
      </c>
    </row>
    <row r="60">
      <c r="A60" s="9" t="inlineStr">
        <is>
          <t>SP-052</t>
        </is>
      </c>
      <c r="B60" s="9" t="inlineStr">
        <is>
          <t>43</t>
        </is>
      </c>
      <c r="C60" s="9" t="inlineStr">
        <is>
          <t>Huancabamba</t>
        </is>
      </c>
      <c r="D60" s="9" t="inlineStr">
        <is>
          <t>San Miguel de El Faique</t>
        </is>
      </c>
      <c r="E60" s="9" t="inlineStr">
        <is>
          <t>AP-6</t>
        </is>
      </c>
      <c r="F60" s="10" t="n">
        <v>23.171</v>
      </c>
      <c r="G60" s="10" t="n">
        <v>0</v>
      </c>
      <c r="H60" s="10" t="n">
        <v>21.913</v>
      </c>
      <c r="I60" s="10">
        <f>MAX(0,F60-G60-H60)</f>
        <v/>
      </c>
      <c r="J60" s="11">
        <f>IF(F60=0,0,G60/F60)</f>
        <v/>
      </c>
      <c r="K60" s="11">
        <f>IF(F60=0,0,H60/F60)</f>
        <v/>
      </c>
      <c r="L60" s="11">
        <f>IF(F60=0,0,I60/F60)</f>
        <v/>
      </c>
      <c r="M60" s="9" t="inlineStr">
        <is>
          <t>Parcialmente privada</t>
        </is>
      </c>
      <c r="N60" s="9" t="inlineStr"/>
      <c r="O60" s="9" t="n">
        <v>20</v>
      </c>
      <c r="P60" s="9" t="inlineStr">
        <is>
          <t>1:5,000</t>
        </is>
      </c>
      <c r="Q60" s="9" t="inlineStr">
        <is>
          <t>SP-052_Bloque_43.png</t>
        </is>
      </c>
      <c r="R60" s="9" t="n">
        <v>2</v>
      </c>
      <c r="S60" s="9" t="inlineStr">
        <is>
          <t>PIZARRUME (123 m); COYONA (260 m)</t>
        </is>
      </c>
      <c r="T60" s="9" t="inlineStr">
        <is>
          <t>Matriz CCPP-INEI v5</t>
        </is>
      </c>
      <c r="U60" s="9" t="n">
        <v>296</v>
      </c>
    </row>
    <row r="61">
      <c r="A61" s="6" t="inlineStr">
        <is>
          <t>SP-053</t>
        </is>
      </c>
      <c r="B61" s="6" t="inlineStr">
        <is>
          <t>44</t>
        </is>
      </c>
      <c r="C61" s="6" t="inlineStr">
        <is>
          <t>Huancabamba</t>
        </is>
      </c>
      <c r="D61" s="6" t="inlineStr">
        <is>
          <t>San Miguel de El Faique</t>
        </is>
      </c>
      <c r="E61" s="6" t="inlineStr">
        <is>
          <t>AP-6</t>
        </is>
      </c>
      <c r="F61" s="7" t="n">
        <v>28.234</v>
      </c>
      <c r="G61" s="7" t="n">
        <v>0</v>
      </c>
      <c r="H61" s="7" t="n">
        <v>0</v>
      </c>
      <c r="I61" s="7">
        <f>MAX(0,F61-G61-H61)</f>
        <v/>
      </c>
      <c r="J61" s="8">
        <f>IF(F61=0,0,G61/F61)</f>
        <v/>
      </c>
      <c r="K61" s="8">
        <f>IF(F61=0,0,H61/F61)</f>
        <v/>
      </c>
      <c r="L61" s="8">
        <f>IF(F61=0,0,I61/F61)</f>
        <v/>
      </c>
      <c r="M61" s="6" t="inlineStr">
        <is>
          <t>Tierras del Estado y/o posesionarios</t>
        </is>
      </c>
      <c r="N61" s="6" t="inlineStr"/>
      <c r="O61" s="6" t="n">
        <v>0</v>
      </c>
      <c r="P61" s="6" t="inlineStr">
        <is>
          <t>1:10,000</t>
        </is>
      </c>
      <c r="Q61" s="6" t="inlineStr">
        <is>
          <t>SP-053_Bloque_44.png</t>
        </is>
      </c>
      <c r="R61" s="6" t="n">
        <v>1</v>
      </c>
      <c r="S61" s="6" t="inlineStr">
        <is>
          <t>CRUZ DE PIEDRA (1053 m)</t>
        </is>
      </c>
      <c r="T61" s="6" t="inlineStr">
        <is>
          <t>Matriz CCPP-INEI v5</t>
        </is>
      </c>
      <c r="U61" s="6" t="n">
        <v>74</v>
      </c>
    </row>
    <row r="62">
      <c r="A62" s="9" t="inlineStr">
        <is>
          <t>SP-054</t>
        </is>
      </c>
      <c r="B62" s="9" t="inlineStr">
        <is>
          <t>47</t>
        </is>
      </c>
      <c r="C62" s="9" t="inlineStr">
        <is>
          <t>Huancabamba</t>
        </is>
      </c>
      <c r="D62" s="9" t="inlineStr">
        <is>
          <t>San Miguel de El Faique</t>
        </is>
      </c>
      <c r="E62" s="9" t="inlineStr">
        <is>
          <t>AP-6</t>
        </is>
      </c>
      <c r="F62" s="10" t="n">
        <v>13.551</v>
      </c>
      <c r="G62" s="10" t="n">
        <v>0</v>
      </c>
      <c r="H62" s="10" t="n">
        <v>1.964</v>
      </c>
      <c r="I62" s="10">
        <f>MAX(0,F62-G62-H62)</f>
        <v/>
      </c>
      <c r="J62" s="11">
        <f>IF(F62=0,0,G62/F62)</f>
        <v/>
      </c>
      <c r="K62" s="11">
        <f>IF(F62=0,0,H62/F62)</f>
        <v/>
      </c>
      <c r="L62" s="11">
        <f>IF(F62=0,0,I62/F62)</f>
        <v/>
      </c>
      <c r="M62" s="9" t="inlineStr">
        <is>
          <t>Parcialmente privada</t>
        </is>
      </c>
      <c r="N62" s="9" t="inlineStr"/>
      <c r="O62" s="9" t="n">
        <v>4</v>
      </c>
      <c r="P62" s="9" t="inlineStr">
        <is>
          <t>1:7,500</t>
        </is>
      </c>
      <c r="Q62" s="9" t="inlineStr">
        <is>
          <t>SP-054_Bloque_47.png</t>
        </is>
      </c>
      <c r="R62" s="9" t="n">
        <v>1</v>
      </c>
      <c r="S62" s="9" t="inlineStr">
        <is>
          <t>GASPAR (777 m)</t>
        </is>
      </c>
      <c r="T62" s="9" t="inlineStr">
        <is>
          <t>Matriz CCPP-INEI v5</t>
        </is>
      </c>
      <c r="U62" s="9" t="n">
        <v>132</v>
      </c>
    </row>
    <row r="63">
      <c r="A63" s="6" t="inlineStr">
        <is>
          <t>SP-055</t>
        </is>
      </c>
      <c r="B63" s="6" t="inlineStr">
        <is>
          <t>67</t>
        </is>
      </c>
      <c r="C63" s="6" t="inlineStr">
        <is>
          <t>Huancabamba</t>
        </is>
      </c>
      <c r="D63" s="6" t="inlineStr">
        <is>
          <t>San Miguel de El Faique</t>
        </is>
      </c>
      <c r="E63" s="6" t="inlineStr">
        <is>
          <t>AP-6</t>
        </is>
      </c>
      <c r="F63" s="7" t="n">
        <v>13.184</v>
      </c>
      <c r="G63" s="7" t="n">
        <v>0</v>
      </c>
      <c r="H63" s="7" t="n">
        <v>0</v>
      </c>
      <c r="I63" s="7">
        <f>MAX(0,F63-G63-H63)</f>
        <v/>
      </c>
      <c r="J63" s="8">
        <f>IF(F63=0,0,G63/F63)</f>
        <v/>
      </c>
      <c r="K63" s="8">
        <f>IF(F63=0,0,H63/F63)</f>
        <v/>
      </c>
      <c r="L63" s="8">
        <f>IF(F63=0,0,I63/F63)</f>
        <v/>
      </c>
      <c r="M63" s="6" t="inlineStr">
        <is>
          <t>Tierras del Estado y/o posesionarios</t>
        </is>
      </c>
      <c r="N63" s="6" t="inlineStr"/>
      <c r="O63" s="6" t="n">
        <v>0</v>
      </c>
      <c r="P63" s="6" t="inlineStr">
        <is>
          <t>1:3,000</t>
        </is>
      </c>
      <c r="Q63" s="6" t="inlineStr">
        <is>
          <t>SP-055_Bloque_67.png</t>
        </is>
      </c>
      <c r="R63" s="6" t="n">
        <v>1</v>
      </c>
      <c r="S63" s="6" t="inlineStr">
        <is>
          <t>PIEDRA GRANDE (1576 m)</t>
        </is>
      </c>
      <c r="T63" s="6" t="inlineStr">
        <is>
          <t>Matriz CCPP-INEI v5</t>
        </is>
      </c>
      <c r="U63" s="6" t="n"/>
    </row>
    <row r="64">
      <c r="A64" s="9" t="inlineStr">
        <is>
          <t>SP-056</t>
        </is>
      </c>
      <c r="B64" s="9" t="inlineStr">
        <is>
          <t>M2B8</t>
        </is>
      </c>
      <c r="C64" s="9" t="inlineStr">
        <is>
          <t>Huancabamba</t>
        </is>
      </c>
      <c r="D64" s="9" t="inlineStr">
        <is>
          <t>San Miguel de El Faique</t>
        </is>
      </c>
      <c r="E64" s="9" t="inlineStr">
        <is>
          <t>AP-6</t>
        </is>
      </c>
      <c r="F64" s="10" t="n">
        <v>116.099</v>
      </c>
      <c r="G64" s="10" t="n">
        <v>0</v>
      </c>
      <c r="H64" s="10" t="n">
        <v>0</v>
      </c>
      <c r="I64" s="10">
        <f>MAX(0,F64-G64-H64)</f>
        <v/>
      </c>
      <c r="J64" s="11">
        <f>IF(F64=0,0,G64/F64)</f>
        <v/>
      </c>
      <c r="K64" s="11">
        <f>IF(F64=0,0,H64/F64)</f>
        <v/>
      </c>
      <c r="L64" s="11">
        <f>IF(F64=0,0,I64/F64)</f>
        <v/>
      </c>
      <c r="M64" s="9" t="inlineStr">
        <is>
          <t>Tierras del Estado y/o posesionarios</t>
        </is>
      </c>
      <c r="N64" s="9" t="inlineStr"/>
      <c r="O64" s="9" t="n">
        <v>0</v>
      </c>
      <c r="P64" s="9" t="inlineStr">
        <is>
          <t>1:10,000</t>
        </is>
      </c>
      <c r="Q64" s="9" t="inlineStr">
        <is>
          <t>SP-056_Bloque_M2B8.png</t>
        </is>
      </c>
      <c r="R64" s="9" t="n">
        <v>2</v>
      </c>
      <c r="S64" s="9" t="inlineStr">
        <is>
          <t>LAS HUACAS (259 m); HUACAS BAJA (600 m)</t>
        </is>
      </c>
      <c r="T64" s="9" t="inlineStr">
        <is>
          <t>Matriz CCPP-INEI v5</t>
        </is>
      </c>
      <c r="U64" s="9" t="n">
        <v>140</v>
      </c>
    </row>
    <row r="65">
      <c r="A65" s="6" t="inlineStr">
        <is>
          <t>SP-057</t>
        </is>
      </c>
      <c r="B65" s="6" t="inlineStr">
        <is>
          <t>M20B1</t>
        </is>
      </c>
      <c r="C65" s="6" t="inlineStr">
        <is>
          <t>Huancabamba</t>
        </is>
      </c>
      <c r="D65" s="6" t="inlineStr">
        <is>
          <t>San Miguel de El Faique</t>
        </is>
      </c>
      <c r="E65" s="6" t="inlineStr">
        <is>
          <t>AP-6</t>
        </is>
      </c>
      <c r="F65" s="7" t="n">
        <v>279.68</v>
      </c>
      <c r="G65" s="7" t="n">
        <v>0</v>
      </c>
      <c r="H65" s="7" t="n">
        <v>0</v>
      </c>
      <c r="I65" s="7">
        <f>MAX(0,F65-G65-H65)</f>
        <v/>
      </c>
      <c r="J65" s="8">
        <f>IF(F65=0,0,G65/F65)</f>
        <v/>
      </c>
      <c r="K65" s="8">
        <f>IF(F65=0,0,H65/F65)</f>
        <v/>
      </c>
      <c r="L65" s="8">
        <f>IF(F65=0,0,I65/F65)</f>
        <v/>
      </c>
      <c r="M65" s="6" t="inlineStr">
        <is>
          <t>Tierras del Estado y/o posesionarios</t>
        </is>
      </c>
      <c r="N65" s="6" t="inlineStr"/>
      <c r="O65" s="6" t="n">
        <v>0</v>
      </c>
      <c r="P65" s="6" t="inlineStr">
        <is>
          <t>1:20,000</t>
        </is>
      </c>
      <c r="Q65" s="6" t="inlineStr">
        <is>
          <t>SP-057_Bloque_M20B1.png</t>
        </is>
      </c>
      <c r="R65" s="6" t="n">
        <v>1</v>
      </c>
      <c r="S65" s="6" t="inlineStr">
        <is>
          <t>LAS HUACAS (194 m)</t>
        </is>
      </c>
      <c r="T65" s="6" t="inlineStr">
        <is>
          <t>Matriz CCPP-INEI v5</t>
        </is>
      </c>
      <c r="U65" s="6" t="n"/>
    </row>
    <row r="66">
      <c r="A66" s="9" t="inlineStr">
        <is>
          <t>SP-058</t>
        </is>
      </c>
      <c r="B66" s="9" t="inlineStr">
        <is>
          <t>M22B1</t>
        </is>
      </c>
      <c r="C66" s="9" t="inlineStr">
        <is>
          <t>Huancabamba</t>
        </is>
      </c>
      <c r="D66" s="9" t="inlineStr">
        <is>
          <t>San Miguel de El Faique</t>
        </is>
      </c>
      <c r="E66" s="9" t="inlineStr">
        <is>
          <t>AP-6</t>
        </is>
      </c>
      <c r="F66" s="10" t="n">
        <v>55.17</v>
      </c>
      <c r="G66" s="10" t="n">
        <v>0</v>
      </c>
      <c r="H66" s="10" t="n">
        <v>1.531</v>
      </c>
      <c r="I66" s="10">
        <f>MAX(0,F66-G66-H66)</f>
        <v/>
      </c>
      <c r="J66" s="11">
        <f>IF(F66=0,0,G66/F66)</f>
        <v/>
      </c>
      <c r="K66" s="11">
        <f>IF(F66=0,0,H66/F66)</f>
        <v/>
      </c>
      <c r="L66" s="11">
        <f>IF(F66=0,0,I66/F66)</f>
        <v/>
      </c>
      <c r="M66" s="9" t="inlineStr">
        <is>
          <t>Tierras del Estado y/o posesionarios</t>
        </is>
      </c>
      <c r="N66" s="9" t="inlineStr"/>
      <c r="O66" s="9" t="n">
        <v>3</v>
      </c>
      <c r="P66" s="9" t="inlineStr">
        <is>
          <t>1:7,500</t>
        </is>
      </c>
      <c r="Q66" s="9" t="inlineStr">
        <is>
          <t>SP-058_Bloque_M22B1.png</t>
        </is>
      </c>
      <c r="R66" s="9" t="n">
        <v>1</v>
      </c>
      <c r="S66" s="9" t="inlineStr">
        <is>
          <t>SANTA ROSA (264 m)</t>
        </is>
      </c>
      <c r="T66" s="9" t="inlineStr">
        <is>
          <t>Matriz CCPP-INEI v5</t>
        </is>
      </c>
      <c r="U66" s="9" t="n">
        <v>23</v>
      </c>
    </row>
    <row r="67">
      <c r="A67" s="6" t="inlineStr">
        <is>
          <t>SP-059</t>
        </is>
      </c>
      <c r="B67" s="6" t="inlineStr">
        <is>
          <t>5</t>
        </is>
      </c>
      <c r="C67" s="6" t="inlineStr">
        <is>
          <t>Morropón</t>
        </is>
      </c>
      <c r="D67" s="6" t="inlineStr">
        <is>
          <t>Buenos Aires</t>
        </is>
      </c>
      <c r="E67" s="6" t="inlineStr">
        <is>
          <t>AP-2</t>
        </is>
      </c>
      <c r="F67" s="7" t="n">
        <v>295.726</v>
      </c>
      <c r="G67" s="7" t="n">
        <v>0</v>
      </c>
      <c r="H67" s="7" t="n">
        <v>0</v>
      </c>
      <c r="I67" s="7">
        <f>MAX(0,F67-G67-H67)</f>
        <v/>
      </c>
      <c r="J67" s="8">
        <f>IF(F67=0,0,G67/F67)</f>
        <v/>
      </c>
      <c r="K67" s="8">
        <f>IF(F67=0,0,H67/F67)</f>
        <v/>
      </c>
      <c r="L67" s="8">
        <f>IF(F67=0,0,I67/F67)</f>
        <v/>
      </c>
      <c r="M67" s="6" t="inlineStr">
        <is>
          <t>Tierras del Estado y/o posesionarios</t>
        </is>
      </c>
      <c r="N67" s="6" t="inlineStr"/>
      <c r="O67" s="6" t="n">
        <v>0</v>
      </c>
      <c r="P67" s="6" t="inlineStr">
        <is>
          <t>1:20,000</t>
        </is>
      </c>
      <c r="Q67" s="6" t="inlineStr">
        <is>
          <t>SP-059_Bloque_5.png</t>
        </is>
      </c>
      <c r="R67" s="6" t="n">
        <v>3</v>
      </c>
      <c r="S67" s="6" t="inlineStr">
        <is>
          <t>LINDEROS DEL ALA (197 m); EL ALA (239 m); JUAN VELASCO (338 m)</t>
        </is>
      </c>
      <c r="T67" s="6" t="inlineStr">
        <is>
          <t>Matriz CCPP-INEI v5</t>
        </is>
      </c>
      <c r="U67" s="6" t="n">
        <v>186</v>
      </c>
    </row>
    <row r="68">
      <c r="A68" s="9" t="inlineStr">
        <is>
          <t>SP-060</t>
        </is>
      </c>
      <c r="B68" s="9" t="inlineStr">
        <is>
          <t>M1B1</t>
        </is>
      </c>
      <c r="C68" s="9" t="inlineStr">
        <is>
          <t>Morropón</t>
        </is>
      </c>
      <c r="D68" s="9" t="inlineStr">
        <is>
          <t>Buenos Aires</t>
        </is>
      </c>
      <c r="E68" s="9" t="inlineStr">
        <is>
          <t>AP-2</t>
        </is>
      </c>
      <c r="F68" s="10" t="n">
        <v>188.797</v>
      </c>
      <c r="G68" s="10" t="n">
        <v>0</v>
      </c>
      <c r="H68" s="10" t="n">
        <v>0</v>
      </c>
      <c r="I68" s="10">
        <f>MAX(0,F68-G68-H68)</f>
        <v/>
      </c>
      <c r="J68" s="11">
        <f>IF(F68=0,0,G68/F68)</f>
        <v/>
      </c>
      <c r="K68" s="11">
        <f>IF(F68=0,0,H68/F68)</f>
        <v/>
      </c>
      <c r="L68" s="11">
        <f>IF(F68=0,0,I68/F68)</f>
        <v/>
      </c>
      <c r="M68" s="9" t="inlineStr">
        <is>
          <t>Tierras del Estado y/o posesionarios</t>
        </is>
      </c>
      <c r="N68" s="9" t="inlineStr"/>
      <c r="O68" s="9" t="n">
        <v>0</v>
      </c>
      <c r="P68" s="9" t="inlineStr">
        <is>
          <t>1:20,000</t>
        </is>
      </c>
      <c r="Q68" s="9" t="inlineStr">
        <is>
          <t>SP-060_Bloque_M1B1.png</t>
        </is>
      </c>
      <c r="R68" s="9" t="n">
        <v>1</v>
      </c>
      <c r="S68" s="9" t="inlineStr">
        <is>
          <t>RIO SECO (434 m)</t>
        </is>
      </c>
      <c r="T68" s="9" t="inlineStr">
        <is>
          <t>Matriz CCPP-INEI v5</t>
        </is>
      </c>
      <c r="U68" s="9" t="n">
        <v>255</v>
      </c>
    </row>
    <row r="69">
      <c r="A69" s="6" t="inlineStr">
        <is>
          <t>SP-061</t>
        </is>
      </c>
      <c r="B69" s="6" t="inlineStr">
        <is>
          <t>M6B2-1</t>
        </is>
      </c>
      <c r="C69" s="6" t="inlineStr">
        <is>
          <t>Morropón</t>
        </is>
      </c>
      <c r="D69" s="6" t="inlineStr">
        <is>
          <t>Buenos Aires</t>
        </is>
      </c>
      <c r="E69" s="6" t="inlineStr">
        <is>
          <t>AP-2</t>
        </is>
      </c>
      <c r="F69" s="7" t="n">
        <v>514.359</v>
      </c>
      <c r="G69" s="7" t="n">
        <v>0</v>
      </c>
      <c r="H69" s="7" t="n">
        <v>0</v>
      </c>
      <c r="I69" s="7">
        <f>MAX(0,F69-G69-H69)</f>
        <v/>
      </c>
      <c r="J69" s="8">
        <f>IF(F69=0,0,G69/F69)</f>
        <v/>
      </c>
      <c r="K69" s="8">
        <f>IF(F69=0,0,H69/F69)</f>
        <v/>
      </c>
      <c r="L69" s="8">
        <f>IF(F69=0,0,I69/F69)</f>
        <v/>
      </c>
      <c r="M69" s="6" t="inlineStr">
        <is>
          <t>Tierras del Estado y/o posesionarios</t>
        </is>
      </c>
      <c r="N69" s="6" t="inlineStr"/>
      <c r="O69" s="6" t="n">
        <v>0</v>
      </c>
      <c r="P69" s="6" t="inlineStr">
        <is>
          <t>1:30,000</t>
        </is>
      </c>
      <c r="Q69" s="6" t="inlineStr">
        <is>
          <t>SP-061_Bloque_M6B2-1.png</t>
        </is>
      </c>
      <c r="R69" s="6" t="n">
        <v>0</v>
      </c>
      <c r="S69" s="6" t="inlineStr">
        <is>
          <t>Ref.: BUENOS AIRES (2796 m)</t>
        </is>
      </c>
      <c r="T69" s="6" t="inlineStr">
        <is>
          <t>Sin CCPP en la matriz</t>
        </is>
      </c>
      <c r="U69" s="6" t="n"/>
    </row>
    <row r="70">
      <c r="A70" s="9" t="inlineStr">
        <is>
          <t>SP-062</t>
        </is>
      </c>
      <c r="B70" s="9" t="inlineStr">
        <is>
          <t>M6B2-2</t>
        </is>
      </c>
      <c r="C70" s="9" t="inlineStr">
        <is>
          <t>Morropón</t>
        </is>
      </c>
      <c r="D70" s="9" t="inlineStr">
        <is>
          <t>Buenos Aires</t>
        </is>
      </c>
      <c r="E70" s="9" t="inlineStr">
        <is>
          <t>AP-2</t>
        </is>
      </c>
      <c r="F70" s="10" t="n">
        <v>333.011</v>
      </c>
      <c r="G70" s="10" t="n">
        <v>0</v>
      </c>
      <c r="H70" s="10" t="n">
        <v>0</v>
      </c>
      <c r="I70" s="10">
        <f>MAX(0,F70-G70-H70)</f>
        <v/>
      </c>
      <c r="J70" s="11">
        <f>IF(F70=0,0,G70/F70)</f>
        <v/>
      </c>
      <c r="K70" s="11">
        <f>IF(F70=0,0,H70/F70)</f>
        <v/>
      </c>
      <c r="L70" s="11">
        <f>IF(F70=0,0,I70/F70)</f>
        <v/>
      </c>
      <c r="M70" s="9" t="inlineStr">
        <is>
          <t>Tierras del Estado y/o posesionarios</t>
        </is>
      </c>
      <c r="N70" s="9" t="inlineStr"/>
      <c r="O70" s="9" t="n">
        <v>0</v>
      </c>
      <c r="P70" s="9" t="inlineStr">
        <is>
          <t>1:20,000</t>
        </is>
      </c>
      <c r="Q70" s="9" t="inlineStr">
        <is>
          <t>SP-062_Bloque_M6B2-2.png</t>
        </is>
      </c>
      <c r="R70" s="9" t="n">
        <v>1</v>
      </c>
      <c r="S70" s="9" t="inlineStr">
        <is>
          <t>BUENOS AIRES (2340 m)</t>
        </is>
      </c>
      <c r="T70" s="9" t="inlineStr">
        <is>
          <t>Matriz CCPP-INEI v5</t>
        </is>
      </c>
      <c r="U70" s="9" t="n"/>
    </row>
    <row r="71">
      <c r="A71" s="6" t="inlineStr">
        <is>
          <t>SP-063</t>
        </is>
      </c>
      <c r="B71" s="6" t="inlineStr">
        <is>
          <t>M6B2-3</t>
        </is>
      </c>
      <c r="C71" s="6" t="inlineStr">
        <is>
          <t>Morropón</t>
        </is>
      </c>
      <c r="D71" s="6" t="inlineStr">
        <is>
          <t>Buenos Aires</t>
        </is>
      </c>
      <c r="E71" s="6" t="inlineStr">
        <is>
          <t>AP-2</t>
        </is>
      </c>
      <c r="F71" s="7" t="n">
        <v>160.978</v>
      </c>
      <c r="G71" s="7" t="n">
        <v>0</v>
      </c>
      <c r="H71" s="7" t="n">
        <v>0</v>
      </c>
      <c r="I71" s="7">
        <f>MAX(0,F71-G71-H71)</f>
        <v/>
      </c>
      <c r="J71" s="8">
        <f>IF(F71=0,0,G71/F71)</f>
        <v/>
      </c>
      <c r="K71" s="8">
        <f>IF(F71=0,0,H71/F71)</f>
        <v/>
      </c>
      <c r="L71" s="8">
        <f>IF(F71=0,0,I71/F71)</f>
        <v/>
      </c>
      <c r="M71" s="6" t="inlineStr">
        <is>
          <t>Tierras del Estado y/o posesionarios</t>
        </is>
      </c>
      <c r="N71" s="6" t="inlineStr"/>
      <c r="O71" s="6" t="n">
        <v>0</v>
      </c>
      <c r="P71" s="6" t="inlineStr">
        <is>
          <t>1:15,000</t>
        </is>
      </c>
      <c r="Q71" s="6" t="inlineStr">
        <is>
          <t>SP-063_Bloque_M6B2-3.png</t>
        </is>
      </c>
      <c r="R71" s="6" t="n">
        <v>2</v>
      </c>
      <c r="S71" s="6" t="inlineStr">
        <is>
          <t>PEDREGAL (909 m); PUEBLO NUEVO (1019 m)</t>
        </is>
      </c>
      <c r="T71" s="6" t="inlineStr">
        <is>
          <t>Matriz CCPP-INEI v5</t>
        </is>
      </c>
      <c r="U71" s="6" t="n"/>
    </row>
    <row r="72">
      <c r="A72" s="9" t="inlineStr">
        <is>
          <t>SP-064</t>
        </is>
      </c>
      <c r="B72" s="9" t="inlineStr">
        <is>
          <t>M6B10</t>
        </is>
      </c>
      <c r="C72" s="9" t="inlineStr">
        <is>
          <t>Morropón</t>
        </is>
      </c>
      <c r="D72" s="9" t="inlineStr">
        <is>
          <t>Buenos Aires</t>
        </is>
      </c>
      <c r="E72" s="9" t="inlineStr">
        <is>
          <t>AP-2</t>
        </is>
      </c>
      <c r="F72" s="10" t="n">
        <v>249.89</v>
      </c>
      <c r="G72" s="10" t="n">
        <v>0</v>
      </c>
      <c r="H72" s="10" t="n">
        <v>0</v>
      </c>
      <c r="I72" s="10">
        <f>MAX(0,F72-G72-H72)</f>
        <v/>
      </c>
      <c r="J72" s="11">
        <f>IF(F72=0,0,G72/F72)</f>
        <v/>
      </c>
      <c r="K72" s="11">
        <f>IF(F72=0,0,H72/F72)</f>
        <v/>
      </c>
      <c r="L72" s="11">
        <f>IF(F72=0,0,I72/F72)</f>
        <v/>
      </c>
      <c r="M72" s="9" t="inlineStr">
        <is>
          <t>Tierras del Estado y/o posesionarios</t>
        </is>
      </c>
      <c r="N72" s="9" t="inlineStr"/>
      <c r="O72" s="9" t="n">
        <v>0</v>
      </c>
      <c r="P72" s="9" t="inlineStr">
        <is>
          <t>1:15,000</t>
        </is>
      </c>
      <c r="Q72" s="9" t="inlineStr">
        <is>
          <t>SP-064_Bloque_M6B10.png</t>
        </is>
      </c>
      <c r="R72" s="9" t="n">
        <v>3</v>
      </c>
      <c r="S72" s="9" t="inlineStr">
        <is>
          <t>LA MARAVILLA (254 m); LA PILCA (324 m); INGENIO DE BUENOS AIRES (502 m)</t>
        </is>
      </c>
      <c r="T72" s="9" t="inlineStr">
        <is>
          <t>Matriz CCPP-INEI v5</t>
        </is>
      </c>
      <c r="U72" s="9" t="n">
        <v>218</v>
      </c>
    </row>
    <row r="73">
      <c r="A73" s="6" t="inlineStr">
        <is>
          <t>SP-065</t>
        </is>
      </c>
      <c r="B73" s="6" t="inlineStr">
        <is>
          <t>M18B1</t>
        </is>
      </c>
      <c r="C73" s="6" t="inlineStr">
        <is>
          <t>Morropón</t>
        </is>
      </c>
      <c r="D73" s="6" t="inlineStr">
        <is>
          <t>Buenos Aires</t>
        </is>
      </c>
      <c r="E73" s="6" t="inlineStr">
        <is>
          <t>AP-2</t>
        </is>
      </c>
      <c r="F73" s="7" t="n">
        <v>160.36</v>
      </c>
      <c r="G73" s="7" t="n">
        <v>0</v>
      </c>
      <c r="H73" s="7" t="n">
        <v>0</v>
      </c>
      <c r="I73" s="7">
        <f>MAX(0,F73-G73-H73)</f>
        <v/>
      </c>
      <c r="J73" s="8">
        <f>IF(F73=0,0,G73/F73)</f>
        <v/>
      </c>
      <c r="K73" s="8">
        <f>IF(F73=0,0,H73/F73)</f>
        <v/>
      </c>
      <c r="L73" s="8">
        <f>IF(F73=0,0,I73/F73)</f>
        <v/>
      </c>
      <c r="M73" s="6" t="inlineStr">
        <is>
          <t>Tierras del Estado y/o posesionarios</t>
        </is>
      </c>
      <c r="N73" s="6" t="inlineStr"/>
      <c r="O73" s="6" t="n">
        <v>0</v>
      </c>
      <c r="P73" s="6" t="inlineStr">
        <is>
          <t>1:12,500</t>
        </is>
      </c>
      <c r="Q73" s="6" t="inlineStr">
        <is>
          <t>SP-065_Bloque_M18B1.png</t>
        </is>
      </c>
      <c r="R73" s="6" t="n">
        <v>1</v>
      </c>
      <c r="S73" s="6" t="inlineStr">
        <is>
          <t>HUALAS (506 m)</t>
        </is>
      </c>
      <c r="T73" s="6" t="inlineStr">
        <is>
          <t>Matriz CCPP-INEI v5</t>
        </is>
      </c>
      <c r="U73" s="6" t="n">
        <v>63</v>
      </c>
    </row>
    <row r="74">
      <c r="A74" s="9" t="inlineStr">
        <is>
          <t>SP-066</t>
        </is>
      </c>
      <c r="B74" s="9" t="inlineStr">
        <is>
          <t>57</t>
        </is>
      </c>
      <c r="C74" s="9" t="inlineStr">
        <is>
          <t>Morropón</t>
        </is>
      </c>
      <c r="D74" s="9" t="inlineStr">
        <is>
          <t>Chalaco</t>
        </is>
      </c>
      <c r="E74" s="9" t="inlineStr">
        <is>
          <t>AP-4</t>
        </is>
      </c>
      <c r="F74" s="10" t="n">
        <v>25.668</v>
      </c>
      <c r="G74" s="10" t="n">
        <v>25.668</v>
      </c>
      <c r="H74" s="10" t="n">
        <v>0</v>
      </c>
      <c r="I74" s="10">
        <f>MAX(0,F74-G74-H74)</f>
        <v/>
      </c>
      <c r="J74" s="11">
        <f>IF(F74=0,0,G74/F74)</f>
        <v/>
      </c>
      <c r="K74" s="11">
        <f>IF(F74=0,0,H74/F74)</f>
        <v/>
      </c>
      <c r="L74" s="11">
        <f>IF(F74=0,0,I74/F74)</f>
        <v/>
      </c>
      <c r="M74" s="9" t="inlineStr">
        <is>
          <t>Comunal</t>
        </is>
      </c>
      <c r="N74" s="9" t="inlineStr">
        <is>
          <t>COMUNIDAD CAMPESINA CHALACO TRIGOPAMPA</t>
        </is>
      </c>
      <c r="O74" s="9" t="n">
        <v>0</v>
      </c>
      <c r="P74" s="9" t="inlineStr">
        <is>
          <t>1:10,000</t>
        </is>
      </c>
      <c r="Q74" s="9" t="inlineStr">
        <is>
          <t>SP-066_Bloque_57.png</t>
        </is>
      </c>
      <c r="R74" s="9" t="n">
        <v>2</v>
      </c>
      <c r="S74" s="9" t="inlineStr">
        <is>
          <t>TASPA (1158 m); SAN LORENZO (1168 m)</t>
        </is>
      </c>
      <c r="T74" s="9" t="inlineStr">
        <is>
          <t>Matriz CCPP-INEI v5</t>
        </is>
      </c>
      <c r="U74" s="9" t="n">
        <v>376</v>
      </c>
    </row>
    <row r="75">
      <c r="A75" s="6" t="inlineStr">
        <is>
          <t>SP-067</t>
        </is>
      </c>
      <c r="B75" s="6" t="inlineStr">
        <is>
          <t>59</t>
        </is>
      </c>
      <c r="C75" s="6" t="inlineStr">
        <is>
          <t>Morropón</t>
        </is>
      </c>
      <c r="D75" s="6" t="inlineStr">
        <is>
          <t>Chalaco</t>
        </is>
      </c>
      <c r="E75" s="6" t="inlineStr">
        <is>
          <t>AP-4</t>
        </is>
      </c>
      <c r="F75" s="7" t="n">
        <v>13.554</v>
      </c>
      <c r="G75" s="7" t="n">
        <v>13.554</v>
      </c>
      <c r="H75" s="7" t="n">
        <v>0</v>
      </c>
      <c r="I75" s="7">
        <f>MAX(0,F75-G75-H75)</f>
        <v/>
      </c>
      <c r="J75" s="8">
        <f>IF(F75=0,0,G75/F75)</f>
        <v/>
      </c>
      <c r="K75" s="8">
        <f>IF(F75=0,0,H75/F75)</f>
        <v/>
      </c>
      <c r="L75" s="8">
        <f>IF(F75=0,0,I75/F75)</f>
        <v/>
      </c>
      <c r="M75" s="6" t="inlineStr">
        <is>
          <t>Comunal</t>
        </is>
      </c>
      <c r="N75" s="6" t="inlineStr">
        <is>
          <t>COMUNIDAD CAMPESINA CHALACO TRIGOPAMPA</t>
        </is>
      </c>
      <c r="O75" s="6" t="n">
        <v>0</v>
      </c>
      <c r="P75" s="6" t="inlineStr">
        <is>
          <t>1:6,000</t>
        </is>
      </c>
      <c r="Q75" s="6" t="inlineStr">
        <is>
          <t>SP-067_Bloque_59.png</t>
        </is>
      </c>
      <c r="R75" s="6" t="n">
        <v>1</v>
      </c>
      <c r="S75" s="6" t="inlineStr">
        <is>
          <t>GUABO (715 m)</t>
        </is>
      </c>
      <c r="T75" s="6" t="inlineStr">
        <is>
          <t>Matriz CCPP-INEI v5</t>
        </is>
      </c>
      <c r="U75" s="6" t="n">
        <v>6</v>
      </c>
    </row>
    <row r="76">
      <c r="A76" s="9" t="inlineStr">
        <is>
          <t>SP-068</t>
        </is>
      </c>
      <c r="B76" s="9" t="inlineStr">
        <is>
          <t>2</t>
        </is>
      </c>
      <c r="C76" s="9" t="inlineStr">
        <is>
          <t>Morropón</t>
        </is>
      </c>
      <c r="D76" s="9" t="inlineStr">
        <is>
          <t>Chulucanas</t>
        </is>
      </c>
      <c r="E76" s="9" t="inlineStr">
        <is>
          <t>AP-1</t>
        </is>
      </c>
      <c r="F76" s="10" t="n">
        <v>330.599</v>
      </c>
      <c r="G76" s="10" t="n">
        <v>0</v>
      </c>
      <c r="H76" s="10" t="n">
        <v>0</v>
      </c>
      <c r="I76" s="10">
        <f>MAX(0,F76-G76-H76)</f>
        <v/>
      </c>
      <c r="J76" s="11">
        <f>IF(F76=0,0,G76/F76)</f>
        <v/>
      </c>
      <c r="K76" s="11">
        <f>IF(F76=0,0,H76/F76)</f>
        <v/>
      </c>
      <c r="L76" s="11">
        <f>IF(F76=0,0,I76/F76)</f>
        <v/>
      </c>
      <c r="M76" s="9" t="inlineStr">
        <is>
          <t>Tierras del Estado y/o posesionarios</t>
        </is>
      </c>
      <c r="N76" s="9" t="inlineStr"/>
      <c r="O76" s="9" t="n">
        <v>0</v>
      </c>
      <c r="P76" s="9" t="inlineStr">
        <is>
          <t>1:15,000</t>
        </is>
      </c>
      <c r="Q76" s="9" t="inlineStr">
        <is>
          <t>SP-068_Bloque_2.png</t>
        </is>
      </c>
      <c r="R76" s="9" t="n">
        <v>1</v>
      </c>
      <c r="S76" s="9" t="inlineStr">
        <is>
          <t>BALCONES DE TALANDRACAS (897 m)</t>
        </is>
      </c>
      <c r="T76" s="9" t="inlineStr">
        <is>
          <t>Matriz CCPP-INEI v5</t>
        </is>
      </c>
      <c r="U76" s="9" t="n">
        <v>691</v>
      </c>
    </row>
    <row r="77">
      <c r="A77" s="6" t="inlineStr">
        <is>
          <t>SP-069</t>
        </is>
      </c>
      <c r="B77" s="6" t="inlineStr">
        <is>
          <t>22</t>
        </is>
      </c>
      <c r="C77" s="6" t="inlineStr">
        <is>
          <t>Morropón</t>
        </is>
      </c>
      <c r="D77" s="6" t="inlineStr">
        <is>
          <t>Chulucanas</t>
        </is>
      </c>
      <c r="E77" s="6" t="inlineStr">
        <is>
          <t>AP-1</t>
        </is>
      </c>
      <c r="F77" s="7" t="n">
        <v>79.33</v>
      </c>
      <c r="G77" s="7" t="n">
        <v>0</v>
      </c>
      <c r="H77" s="7" t="n">
        <v>0</v>
      </c>
      <c r="I77" s="7">
        <f>MAX(0,F77-G77-H77)</f>
        <v/>
      </c>
      <c r="J77" s="8">
        <f>IF(F77=0,0,G77/F77)</f>
        <v/>
      </c>
      <c r="K77" s="8">
        <f>IF(F77=0,0,H77/F77)</f>
        <v/>
      </c>
      <c r="L77" s="8">
        <f>IF(F77=0,0,I77/F77)</f>
        <v/>
      </c>
      <c r="M77" s="6" t="inlineStr">
        <is>
          <t>Tierras del Estado y/o posesionarios</t>
        </is>
      </c>
      <c r="N77" s="6" t="inlineStr"/>
      <c r="O77" s="6" t="n">
        <v>0</v>
      </c>
      <c r="P77" s="6" t="inlineStr">
        <is>
          <t>1:10,000</t>
        </is>
      </c>
      <c r="Q77" s="6" t="inlineStr">
        <is>
          <t>SP-069_Bloque_22.png</t>
        </is>
      </c>
      <c r="R77" s="6" t="n">
        <v>1</v>
      </c>
      <c r="S77" s="6" t="inlineStr">
        <is>
          <t>PLATANAL BAJO (274 m)</t>
        </is>
      </c>
      <c r="T77" s="6" t="inlineStr">
        <is>
          <t>Matriz CCPP-INEI v5</t>
        </is>
      </c>
      <c r="U77" s="6" t="n">
        <v>197</v>
      </c>
    </row>
    <row r="78">
      <c r="A78" s="9" t="inlineStr">
        <is>
          <t>SP-070</t>
        </is>
      </c>
      <c r="B78" s="9" t="inlineStr">
        <is>
          <t>M9B1</t>
        </is>
      </c>
      <c r="C78" s="9" t="inlineStr">
        <is>
          <t>Morropón</t>
        </is>
      </c>
      <c r="D78" s="9" t="inlineStr">
        <is>
          <t>Chulucanas</t>
        </is>
      </c>
      <c r="E78" s="9" t="inlineStr">
        <is>
          <t>AP-1</t>
        </is>
      </c>
      <c r="F78" s="10" t="n">
        <v>355.364</v>
      </c>
      <c r="G78" s="10" t="n">
        <v>355.364</v>
      </c>
      <c r="H78" s="10" t="n">
        <v>0</v>
      </c>
      <c r="I78" s="10">
        <f>MAX(0,F78-G78-H78)</f>
        <v/>
      </c>
      <c r="J78" s="11">
        <f>IF(F78=0,0,G78/F78)</f>
        <v/>
      </c>
      <c r="K78" s="11">
        <f>IF(F78=0,0,H78/F78)</f>
        <v/>
      </c>
      <c r="L78" s="11">
        <f>IF(F78=0,0,I78/F78)</f>
        <v/>
      </c>
      <c r="M78" s="9" t="inlineStr">
        <is>
          <t>Comunal</t>
        </is>
      </c>
      <c r="N78" s="9" t="inlineStr">
        <is>
          <t>MARIA ANGELA ALVARADO ZETA</t>
        </is>
      </c>
      <c r="O78" s="9" t="n">
        <v>0</v>
      </c>
      <c r="P78" s="9" t="inlineStr">
        <is>
          <t>1:15,000</t>
        </is>
      </c>
      <c r="Q78" s="9" t="inlineStr">
        <is>
          <t>SP-070_Bloque_M9B1.png</t>
        </is>
      </c>
      <c r="R78" s="9" t="n">
        <v>1</v>
      </c>
      <c r="S78" s="9" t="inlineStr">
        <is>
          <t>LA PEÑA (966 m)</t>
        </is>
      </c>
      <c r="T78" s="9" t="inlineStr">
        <is>
          <t>Matriz CCPP-INEI v5</t>
        </is>
      </c>
      <c r="U78" s="9" t="n">
        <v>83</v>
      </c>
    </row>
    <row r="79">
      <c r="A79" s="6" t="inlineStr">
        <is>
          <t>SP-071</t>
        </is>
      </c>
      <c r="B79" s="6" t="inlineStr">
        <is>
          <t>M10B4</t>
        </is>
      </c>
      <c r="C79" s="6" t="inlineStr">
        <is>
          <t>Morropón</t>
        </is>
      </c>
      <c r="D79" s="6" t="inlineStr">
        <is>
          <t>Chulucanas</t>
        </is>
      </c>
      <c r="E79" s="6" t="inlineStr">
        <is>
          <t>AP-1</t>
        </is>
      </c>
      <c r="F79" s="7" t="n">
        <v>68.887</v>
      </c>
      <c r="G79" s="7" t="n">
        <v>0</v>
      </c>
      <c r="H79" s="7" t="n">
        <v>0</v>
      </c>
      <c r="I79" s="7">
        <f>MAX(0,F79-G79-H79)</f>
        <v/>
      </c>
      <c r="J79" s="8">
        <f>IF(F79=0,0,G79/F79)</f>
        <v/>
      </c>
      <c r="K79" s="8">
        <f>IF(F79=0,0,H79/F79)</f>
        <v/>
      </c>
      <c r="L79" s="8">
        <f>IF(F79=0,0,I79/F79)</f>
        <v/>
      </c>
      <c r="M79" s="6" t="inlineStr">
        <is>
          <t>Tierras del Estado y/o posesionarios</t>
        </is>
      </c>
      <c r="N79" s="6" t="inlineStr"/>
      <c r="O79" s="6" t="n">
        <v>0</v>
      </c>
      <c r="P79" s="6" t="inlineStr">
        <is>
          <t>1:10,000</t>
        </is>
      </c>
      <c r="Q79" s="6" t="inlineStr">
        <is>
          <t>SP-071_Bloque_M10B4.png</t>
        </is>
      </c>
      <c r="R79" s="6" t="n">
        <v>1</v>
      </c>
      <c r="S79" s="6" t="inlineStr">
        <is>
          <t>RIO SECO ALTO (406 m)</t>
        </is>
      </c>
      <c r="T79" s="6" t="inlineStr">
        <is>
          <t>Matriz CCPP-INEI v5</t>
        </is>
      </c>
      <c r="U79" s="6" t="n">
        <v>233</v>
      </c>
    </row>
    <row r="80">
      <c r="A80" s="9" t="inlineStr">
        <is>
          <t>SP-072</t>
        </is>
      </c>
      <c r="B80" s="9" t="inlineStr">
        <is>
          <t>M17B1</t>
        </is>
      </c>
      <c r="C80" s="9" t="inlineStr">
        <is>
          <t>Morropón</t>
        </is>
      </c>
      <c r="D80" s="9" t="inlineStr">
        <is>
          <t>Chulucanas</t>
        </is>
      </c>
      <c r="E80" s="9" t="inlineStr">
        <is>
          <t>AP-1</t>
        </is>
      </c>
      <c r="F80" s="10" t="n">
        <v>42.449</v>
      </c>
      <c r="G80" s="10" t="n">
        <v>0</v>
      </c>
      <c r="H80" s="10" t="n">
        <v>0</v>
      </c>
      <c r="I80" s="10">
        <f>MAX(0,F80-G80-H80)</f>
        <v/>
      </c>
      <c r="J80" s="11">
        <f>IF(F80=0,0,G80/F80)</f>
        <v/>
      </c>
      <c r="K80" s="11">
        <f>IF(F80=0,0,H80/F80)</f>
        <v/>
      </c>
      <c r="L80" s="11">
        <f>IF(F80=0,0,I80/F80)</f>
        <v/>
      </c>
      <c r="M80" s="9" t="inlineStr">
        <is>
          <t>Tierras del Estado y/o posesionarios</t>
        </is>
      </c>
      <c r="N80" s="9" t="inlineStr"/>
      <c r="O80" s="9" t="n">
        <v>0</v>
      </c>
      <c r="P80" s="9" t="inlineStr">
        <is>
          <t>1:7,500</t>
        </is>
      </c>
      <c r="Q80" s="9" t="inlineStr">
        <is>
          <t>SP-072_Bloque_M17B1.png</t>
        </is>
      </c>
      <c r="R80" s="9" t="n">
        <v>1</v>
      </c>
      <c r="S80" s="9" t="inlineStr">
        <is>
          <t>PAPELILLO (171 m)</t>
        </is>
      </c>
      <c r="T80" s="9" t="inlineStr">
        <is>
          <t>Matriz CCPP-INEI v5</t>
        </is>
      </c>
      <c r="U80" s="9" t="n">
        <v>367</v>
      </c>
    </row>
    <row r="81">
      <c r="A81" s="6" t="inlineStr">
        <is>
          <t>SP-073</t>
        </is>
      </c>
      <c r="B81" s="6" t="inlineStr">
        <is>
          <t>M17B4</t>
        </is>
      </c>
      <c r="C81" s="6" t="inlineStr">
        <is>
          <t>Morropón</t>
        </is>
      </c>
      <c r="D81" s="6" t="inlineStr">
        <is>
          <t>Chulucanas</t>
        </is>
      </c>
      <c r="E81" s="6" t="inlineStr">
        <is>
          <t>AP-1</t>
        </is>
      </c>
      <c r="F81" s="7" t="n">
        <v>124.709</v>
      </c>
      <c r="G81" s="7" t="n">
        <v>69.07599999999999</v>
      </c>
      <c r="H81" s="7" t="n">
        <v>0</v>
      </c>
      <c r="I81" s="7">
        <f>MAX(0,F81-G81-H81)</f>
        <v/>
      </c>
      <c r="J81" s="8">
        <f>IF(F81=0,0,G81/F81)</f>
        <v/>
      </c>
      <c r="K81" s="8">
        <f>IF(F81=0,0,H81/F81)</f>
        <v/>
      </c>
      <c r="L81" s="8">
        <f>IF(F81=0,0,I81/F81)</f>
        <v/>
      </c>
      <c r="M81" s="6" t="inlineStr">
        <is>
          <t>Parcialmente comunal</t>
        </is>
      </c>
      <c r="N81" s="6" t="inlineStr">
        <is>
          <t>ANGELA MARIA ZETA</t>
        </is>
      </c>
      <c r="O81" s="6" t="n">
        <v>0</v>
      </c>
      <c r="P81" s="6" t="inlineStr">
        <is>
          <t>1:12,500</t>
        </is>
      </c>
      <c r="Q81" s="6" t="inlineStr">
        <is>
          <t>SP-073_Bloque_M17B4.png</t>
        </is>
      </c>
      <c r="R81" s="6" t="n">
        <v>1</v>
      </c>
      <c r="S81" s="6" t="inlineStr">
        <is>
          <t>CHILILIQUE ALTO (259 m)</t>
        </is>
      </c>
      <c r="T81" s="6" t="inlineStr">
        <is>
          <t>Matriz CCPP-INEI v5</t>
        </is>
      </c>
      <c r="U81" s="6" t="n">
        <v>360</v>
      </c>
    </row>
    <row r="82">
      <c r="A82" s="9" t="inlineStr">
        <is>
          <t>SP-074</t>
        </is>
      </c>
      <c r="B82" s="9" t="inlineStr">
        <is>
          <t>M27B1</t>
        </is>
      </c>
      <c r="C82" s="9" t="inlineStr">
        <is>
          <t>Morropón</t>
        </is>
      </c>
      <c r="D82" s="9" t="inlineStr">
        <is>
          <t>Chulucanas</t>
        </is>
      </c>
      <c r="E82" s="9" t="inlineStr">
        <is>
          <t>AP-1</t>
        </is>
      </c>
      <c r="F82" s="10" t="n">
        <v>448.804</v>
      </c>
      <c r="G82" s="10" t="n">
        <v>0</v>
      </c>
      <c r="H82" s="10" t="n">
        <v>0</v>
      </c>
      <c r="I82" s="10">
        <f>MAX(0,F82-G82-H82)</f>
        <v/>
      </c>
      <c r="J82" s="11">
        <f>IF(F82=0,0,G82/F82)</f>
        <v/>
      </c>
      <c r="K82" s="11">
        <f>IF(F82=0,0,H82/F82)</f>
        <v/>
      </c>
      <c r="L82" s="11">
        <f>IF(F82=0,0,I82/F82)</f>
        <v/>
      </c>
      <c r="M82" s="9" t="inlineStr">
        <is>
          <t>Tierras del Estado y/o posesionarios</t>
        </is>
      </c>
      <c r="N82" s="9" t="inlineStr"/>
      <c r="O82" s="9" t="n">
        <v>0</v>
      </c>
      <c r="P82" s="9" t="inlineStr">
        <is>
          <t>1:20,000</t>
        </is>
      </c>
      <c r="Q82" s="9" t="inlineStr">
        <is>
          <t>SP-074_Bloque_M27B1.png</t>
        </is>
      </c>
      <c r="R82" s="9" t="n">
        <v>5</v>
      </c>
      <c r="S82" s="9" t="inlineStr">
        <is>
          <t>VICUS LINDEROS (135 m); VICUS LA MERCED (154 m); HUASIMAL (320 m); VICUS SANTA ROSA (776 m); HUASIMAL (1067 m)</t>
        </is>
      </c>
      <c r="T82" s="9" t="inlineStr">
        <is>
          <t>Matriz CCPP-INEI v5</t>
        </is>
      </c>
      <c r="U82" s="9" t="n">
        <v>679</v>
      </c>
    </row>
    <row r="83">
      <c r="A83" s="6" t="inlineStr">
        <is>
          <t>SP-075</t>
        </is>
      </c>
      <c r="B83" s="6" t="inlineStr">
        <is>
          <t>M19B2</t>
        </is>
      </c>
      <c r="C83" s="6" t="inlineStr">
        <is>
          <t>Morropón</t>
        </is>
      </c>
      <c r="D83" s="6" t="inlineStr">
        <is>
          <t>Morropón</t>
        </is>
      </c>
      <c r="E83" s="6" t="inlineStr">
        <is>
          <t>AP-2</t>
        </is>
      </c>
      <c r="F83" s="7" t="n">
        <v>74.372</v>
      </c>
      <c r="G83" s="7" t="n">
        <v>0</v>
      </c>
      <c r="H83" s="7" t="n">
        <v>0</v>
      </c>
      <c r="I83" s="7">
        <f>MAX(0,F83-G83-H83)</f>
        <v/>
      </c>
      <c r="J83" s="8">
        <f>IF(F83=0,0,G83/F83)</f>
        <v/>
      </c>
      <c r="K83" s="8">
        <f>IF(F83=0,0,H83/F83)</f>
        <v/>
      </c>
      <c r="L83" s="8">
        <f>IF(F83=0,0,I83/F83)</f>
        <v/>
      </c>
      <c r="M83" s="6" t="inlineStr">
        <is>
          <t>Tierras del Estado y/o posesionarios</t>
        </is>
      </c>
      <c r="N83" s="6" t="inlineStr"/>
      <c r="O83" s="6" t="n">
        <v>0</v>
      </c>
      <c r="P83" s="6" t="inlineStr">
        <is>
          <t>1:7,500</t>
        </is>
      </c>
      <c r="Q83" s="6" t="inlineStr">
        <is>
          <t>SP-075_Bloque_M19B2.png</t>
        </is>
      </c>
      <c r="R83" s="6" t="n">
        <v>1</v>
      </c>
      <c r="S83" s="6" t="inlineStr">
        <is>
          <t>BOCA NEGRA (239 m)</t>
        </is>
      </c>
      <c r="T83" s="6" t="inlineStr">
        <is>
          <t>Matriz CCPP-INEI v5</t>
        </is>
      </c>
      <c r="U83" s="6" t="n">
        <v>186</v>
      </c>
    </row>
    <row r="84">
      <c r="A84" s="9" t="inlineStr">
        <is>
          <t>SP-076</t>
        </is>
      </c>
      <c r="B84" s="9" t="inlineStr">
        <is>
          <t>M32B3</t>
        </is>
      </c>
      <c r="C84" s="9" t="inlineStr">
        <is>
          <t>Morropón</t>
        </is>
      </c>
      <c r="D84" s="9" t="inlineStr">
        <is>
          <t>Morropón</t>
        </is>
      </c>
      <c r="E84" s="9" t="inlineStr">
        <is>
          <t>AP-2</t>
        </is>
      </c>
      <c r="F84" s="10" t="n">
        <v>50.972</v>
      </c>
      <c r="G84" s="10" t="n">
        <v>0</v>
      </c>
      <c r="H84" s="10" t="n">
        <v>0</v>
      </c>
      <c r="I84" s="10">
        <f>MAX(0,F84-G84-H84)</f>
        <v/>
      </c>
      <c r="J84" s="11">
        <f>IF(F84=0,0,G84/F84)</f>
        <v/>
      </c>
      <c r="K84" s="11">
        <f>IF(F84=0,0,H84/F84)</f>
        <v/>
      </c>
      <c r="L84" s="11">
        <f>IF(F84=0,0,I84/F84)</f>
        <v/>
      </c>
      <c r="M84" s="9" t="inlineStr">
        <is>
          <t>Tierras del Estado y/o posesionarios</t>
        </is>
      </c>
      <c r="N84" s="9" t="inlineStr"/>
      <c r="O84" s="9" t="n">
        <v>0</v>
      </c>
      <c r="P84" s="9" t="inlineStr">
        <is>
          <t>1:5,000</t>
        </is>
      </c>
      <c r="Q84" s="9" t="inlineStr">
        <is>
          <t>SP-076_Bloque_M32B3.png</t>
        </is>
      </c>
      <c r="R84" s="9" t="n">
        <v>1</v>
      </c>
      <c r="S84" s="9" t="inlineStr">
        <is>
          <t>MARAY (144 m)</t>
        </is>
      </c>
      <c r="T84" s="9" t="inlineStr">
        <is>
          <t>Matriz CCPP-INEI v5</t>
        </is>
      </c>
      <c r="U84" s="9" t="n">
        <v>329</v>
      </c>
    </row>
    <row r="85">
      <c r="A85" s="6" t="inlineStr">
        <is>
          <t>SP-077</t>
        </is>
      </c>
      <c r="B85" s="6" t="inlineStr">
        <is>
          <t>M2B1</t>
        </is>
      </c>
      <c r="C85" s="6" t="inlineStr">
        <is>
          <t>Morropón</t>
        </is>
      </c>
      <c r="D85" s="6" t="inlineStr">
        <is>
          <t>Salitral</t>
        </is>
      </c>
      <c r="E85" s="6" t="inlineStr">
        <is>
          <t>AP-2</t>
        </is>
      </c>
      <c r="F85" s="7" t="n">
        <v>81.795</v>
      </c>
      <c r="G85" s="7" t="n">
        <v>0</v>
      </c>
      <c r="H85" s="7" t="n">
        <v>0</v>
      </c>
      <c r="I85" s="7">
        <f>MAX(0,F85-G85-H85)</f>
        <v/>
      </c>
      <c r="J85" s="8">
        <f>IF(F85=0,0,G85/F85)</f>
        <v/>
      </c>
      <c r="K85" s="8">
        <f>IF(F85=0,0,H85/F85)</f>
        <v/>
      </c>
      <c r="L85" s="8">
        <f>IF(F85=0,0,I85/F85)</f>
        <v/>
      </c>
      <c r="M85" s="6" t="inlineStr">
        <is>
          <t>Tierras del Estado y/o posesionarios</t>
        </is>
      </c>
      <c r="N85" s="6" t="inlineStr"/>
      <c r="O85" s="6" t="n">
        <v>0</v>
      </c>
      <c r="P85" s="6" t="inlineStr">
        <is>
          <t>1:12,500</t>
        </is>
      </c>
      <c r="Q85" s="6" t="inlineStr">
        <is>
          <t>SP-077_Bloque_M2B1.png</t>
        </is>
      </c>
      <c r="R85" s="6" t="n">
        <v>1</v>
      </c>
      <c r="S85" s="6" t="inlineStr">
        <is>
          <t>SANTA ROSA (301 m)</t>
        </is>
      </c>
      <c r="T85" s="6" t="inlineStr">
        <is>
          <t>Matriz CCPP-INEI v5</t>
        </is>
      </c>
      <c r="U85" s="6" t="n">
        <v>148</v>
      </c>
    </row>
    <row r="86">
      <c r="A86" s="9" t="inlineStr">
        <is>
          <t>SP-078</t>
        </is>
      </c>
      <c r="B86" s="9" t="inlineStr">
        <is>
          <t>M2B5</t>
        </is>
      </c>
      <c r="C86" s="9" t="inlineStr">
        <is>
          <t>Morropón</t>
        </is>
      </c>
      <c r="D86" s="9" t="inlineStr">
        <is>
          <t>Salitral</t>
        </is>
      </c>
      <c r="E86" s="9" t="inlineStr">
        <is>
          <t>AP-2</t>
        </is>
      </c>
      <c r="F86" s="10" t="n">
        <v>30.909</v>
      </c>
      <c r="G86" s="10" t="n">
        <v>0</v>
      </c>
      <c r="H86" s="10" t="n">
        <v>0</v>
      </c>
      <c r="I86" s="10">
        <f>MAX(0,F86-G86-H86)</f>
        <v/>
      </c>
      <c r="J86" s="11">
        <f>IF(F86=0,0,G86/F86)</f>
        <v/>
      </c>
      <c r="K86" s="11">
        <f>IF(F86=0,0,H86/F86)</f>
        <v/>
      </c>
      <c r="L86" s="11">
        <f>IF(F86=0,0,I86/F86)</f>
        <v/>
      </c>
      <c r="M86" s="9" t="inlineStr">
        <is>
          <t>Tierras del Estado y/o posesionarios</t>
        </is>
      </c>
      <c r="N86" s="9" t="inlineStr"/>
      <c r="O86" s="9" t="n">
        <v>0</v>
      </c>
      <c r="P86" s="9" t="inlineStr">
        <is>
          <t>1:7,500</t>
        </is>
      </c>
      <c r="Q86" s="9" t="inlineStr">
        <is>
          <t>SP-078_Bloque_M2B5.png</t>
        </is>
      </c>
      <c r="R86" s="9" t="n">
        <v>1</v>
      </c>
      <c r="S86" s="9" t="inlineStr">
        <is>
          <t>HORNOPAMPA (148 m)</t>
        </is>
      </c>
      <c r="T86" s="9" t="inlineStr">
        <is>
          <t>Matriz CCPP-INEI v5</t>
        </is>
      </c>
      <c r="U86" s="9" t="n">
        <v>261</v>
      </c>
    </row>
    <row r="87">
      <c r="A87" s="6" t="inlineStr">
        <is>
          <t>SP-079</t>
        </is>
      </c>
      <c r="B87" s="6" t="inlineStr">
        <is>
          <t>M3B1</t>
        </is>
      </c>
      <c r="C87" s="6" t="inlineStr">
        <is>
          <t>Morropón</t>
        </is>
      </c>
      <c r="D87" s="6" t="inlineStr">
        <is>
          <t>Salitral</t>
        </is>
      </c>
      <c r="E87" s="6" t="inlineStr">
        <is>
          <t>AP-2</t>
        </is>
      </c>
      <c r="F87" s="7" t="n">
        <v>80.983</v>
      </c>
      <c r="G87" s="7" t="n">
        <v>80.983</v>
      </c>
      <c r="H87" s="7" t="n">
        <v>0</v>
      </c>
      <c r="I87" s="7">
        <f>MAX(0,F87-G87-H87)</f>
        <v/>
      </c>
      <c r="J87" s="8">
        <f>IF(F87=0,0,G87/F87)</f>
        <v/>
      </c>
      <c r="K87" s="8">
        <f>IF(F87=0,0,H87/F87)</f>
        <v/>
      </c>
      <c r="L87" s="8">
        <f>IF(F87=0,0,I87/F87)</f>
        <v/>
      </c>
      <c r="M87" s="6" t="inlineStr">
        <is>
          <t>Comunal</t>
        </is>
      </c>
      <c r="N87" s="6" t="inlineStr">
        <is>
          <t>Sin nombre (ID 2790)</t>
        </is>
      </c>
      <c r="O87" s="6" t="n">
        <v>0</v>
      </c>
      <c r="P87" s="6" t="inlineStr">
        <is>
          <t>1:10,000</t>
        </is>
      </c>
      <c r="Q87" s="6" t="inlineStr">
        <is>
          <t>SP-079_Bloque_M3B1.png</t>
        </is>
      </c>
      <c r="R87" s="6" t="n">
        <v>1</v>
      </c>
      <c r="S87" s="6" t="inlineStr">
        <is>
          <t>PIEDRA BLANCA (86 m)</t>
        </is>
      </c>
      <c r="T87" s="6" t="inlineStr">
        <is>
          <t>Matriz CCPP-INEI v5</t>
        </is>
      </c>
      <c r="U87" s="6" t="n">
        <v>190</v>
      </c>
    </row>
    <row r="88">
      <c r="A88" s="9" t="inlineStr">
        <is>
          <t>SP-080</t>
        </is>
      </c>
      <c r="B88" s="9" t="inlineStr">
        <is>
          <t>M3B9</t>
        </is>
      </c>
      <c r="C88" s="9" t="inlineStr">
        <is>
          <t>Morropón</t>
        </is>
      </c>
      <c r="D88" s="9" t="inlineStr">
        <is>
          <t>Salitral</t>
        </is>
      </c>
      <c r="E88" s="9" t="inlineStr">
        <is>
          <t>AP-2</t>
        </is>
      </c>
      <c r="F88" s="10" t="n">
        <v>294.204</v>
      </c>
      <c r="G88" s="10" t="n">
        <v>0</v>
      </c>
      <c r="H88" s="10" t="n">
        <v>0</v>
      </c>
      <c r="I88" s="10">
        <f>MAX(0,F88-G88-H88)</f>
        <v/>
      </c>
      <c r="J88" s="11">
        <f>IF(F88=0,0,G88/F88)</f>
        <v/>
      </c>
      <c r="K88" s="11">
        <f>IF(F88=0,0,H88/F88)</f>
        <v/>
      </c>
      <c r="L88" s="11">
        <f>IF(F88=0,0,I88/F88)</f>
        <v/>
      </c>
      <c r="M88" s="9" t="inlineStr">
        <is>
          <t>Tierras del Estado y/o posesionarios</t>
        </is>
      </c>
      <c r="N88" s="9" t="inlineStr"/>
      <c r="O88" s="9" t="n">
        <v>0</v>
      </c>
      <c r="P88" s="9" t="inlineStr">
        <is>
          <t>1:20,000</t>
        </is>
      </c>
      <c r="Q88" s="9" t="inlineStr">
        <is>
          <t>SP-080_Bloque_M3B9.png</t>
        </is>
      </c>
      <c r="R88" s="9" t="n">
        <v>1</v>
      </c>
      <c r="S88" s="9" t="inlineStr">
        <is>
          <t>TORTOLA (594 m)</t>
        </is>
      </c>
      <c r="T88" s="9" t="inlineStr">
        <is>
          <t>Matriz CCPP-INEI v5</t>
        </is>
      </c>
      <c r="U88" s="9" t="n">
        <v>198</v>
      </c>
    </row>
    <row r="89">
      <c r="A89" s="6" t="inlineStr">
        <is>
          <t>SP-081</t>
        </is>
      </c>
      <c r="B89" s="6" t="inlineStr">
        <is>
          <t>M7B1</t>
        </is>
      </c>
      <c r="C89" s="6" t="inlineStr">
        <is>
          <t>Morropón</t>
        </is>
      </c>
      <c r="D89" s="6" t="inlineStr">
        <is>
          <t>Salitral</t>
        </is>
      </c>
      <c r="E89" s="6" t="inlineStr">
        <is>
          <t>AP-2</t>
        </is>
      </c>
      <c r="F89" s="7" t="n">
        <v>130.425</v>
      </c>
      <c r="G89" s="7" t="n">
        <v>0</v>
      </c>
      <c r="H89" s="7" t="n">
        <v>0</v>
      </c>
      <c r="I89" s="7">
        <f>MAX(0,F89-G89-H89)</f>
        <v/>
      </c>
      <c r="J89" s="8">
        <f>IF(F89=0,0,G89/F89)</f>
        <v/>
      </c>
      <c r="K89" s="8">
        <f>IF(F89=0,0,H89/F89)</f>
        <v/>
      </c>
      <c r="L89" s="8">
        <f>IF(F89=0,0,I89/F89)</f>
        <v/>
      </c>
      <c r="M89" s="6" t="inlineStr">
        <is>
          <t>Tierras del Estado y/o posesionarios</t>
        </is>
      </c>
      <c r="N89" s="6" t="inlineStr"/>
      <c r="O89" s="6" t="n">
        <v>0</v>
      </c>
      <c r="P89" s="6" t="inlineStr">
        <is>
          <t>1:25,000</t>
        </is>
      </c>
      <c r="Q89" s="6" t="inlineStr">
        <is>
          <t>SP-081_Bloque_M7B1.png</t>
        </is>
      </c>
      <c r="R89" s="6" t="n">
        <v>3</v>
      </c>
      <c r="S89" s="6" t="inlineStr">
        <is>
          <t>NUEVO PROGRESO (79 m); VICTOR RAUL (237 m); LA ALBERCA (460 m)</t>
        </is>
      </c>
      <c r="T89" s="6" t="inlineStr">
        <is>
          <t>Matriz CCPP-INEI v5</t>
        </is>
      </c>
      <c r="U89" s="6" t="n">
        <v>286</v>
      </c>
    </row>
    <row r="90">
      <c r="A90" s="9" t="inlineStr">
        <is>
          <t>SP-082</t>
        </is>
      </c>
      <c r="B90" s="9" t="inlineStr">
        <is>
          <t>M7B2</t>
        </is>
      </c>
      <c r="C90" s="9" t="inlineStr">
        <is>
          <t>Morropón</t>
        </is>
      </c>
      <c r="D90" s="9" t="inlineStr">
        <is>
          <t>Salitral</t>
        </is>
      </c>
      <c r="E90" s="9" t="inlineStr">
        <is>
          <t>AP-2</t>
        </is>
      </c>
      <c r="F90" s="10" t="n">
        <v>115.379</v>
      </c>
      <c r="G90" s="10" t="n">
        <v>0</v>
      </c>
      <c r="H90" s="10" t="n">
        <v>0</v>
      </c>
      <c r="I90" s="10">
        <f>MAX(0,F90-G90-H90)</f>
        <v/>
      </c>
      <c r="J90" s="11">
        <f>IF(F90=0,0,G90/F90)</f>
        <v/>
      </c>
      <c r="K90" s="11">
        <f>IF(F90=0,0,H90/F90)</f>
        <v/>
      </c>
      <c r="L90" s="11">
        <f>IF(F90=0,0,I90/F90)</f>
        <v/>
      </c>
      <c r="M90" s="9" t="inlineStr">
        <is>
          <t>Tierras del Estado y/o posesionarios</t>
        </is>
      </c>
      <c r="N90" s="9" t="inlineStr"/>
      <c r="O90" s="9" t="n">
        <v>0</v>
      </c>
      <c r="P90" s="9" t="inlineStr">
        <is>
          <t>1:20,000</t>
        </is>
      </c>
      <c r="Q90" s="9" t="inlineStr">
        <is>
          <t>SP-082_Bloque_M7B2.png</t>
        </is>
      </c>
      <c r="R90" s="9" t="n">
        <v>1</v>
      </c>
      <c r="S90" s="9" t="inlineStr">
        <is>
          <t>LA ALBERCA (241 m)</t>
        </is>
      </c>
      <c r="T90" s="9" t="inlineStr">
        <is>
          <t>Matriz CCPP-INEI v5</t>
        </is>
      </c>
      <c r="U90" s="9" t="n"/>
    </row>
    <row r="91">
      <c r="A91" s="6" t="inlineStr">
        <is>
          <t>SP-083</t>
        </is>
      </c>
      <c r="B91" s="6" t="inlineStr">
        <is>
          <t>M7B3</t>
        </is>
      </c>
      <c r="C91" s="6" t="inlineStr">
        <is>
          <t>Morropón</t>
        </is>
      </c>
      <c r="D91" s="6" t="inlineStr">
        <is>
          <t>Salitral</t>
        </is>
      </c>
      <c r="E91" s="6" t="inlineStr">
        <is>
          <t>AP-2</t>
        </is>
      </c>
      <c r="F91" s="7" t="n">
        <v>65.745</v>
      </c>
      <c r="G91" s="7" t="n">
        <v>0</v>
      </c>
      <c r="H91" s="7" t="n">
        <v>0</v>
      </c>
      <c r="I91" s="7">
        <f>MAX(0,F91-G91-H91)</f>
        <v/>
      </c>
      <c r="J91" s="8">
        <f>IF(F91=0,0,G91/F91)</f>
        <v/>
      </c>
      <c r="K91" s="8">
        <f>IF(F91=0,0,H91/F91)</f>
        <v/>
      </c>
      <c r="L91" s="8">
        <f>IF(F91=0,0,I91/F91)</f>
        <v/>
      </c>
      <c r="M91" s="6" t="inlineStr">
        <is>
          <t>Tierras del Estado y/o posesionarios</t>
        </is>
      </c>
      <c r="N91" s="6" t="inlineStr"/>
      <c r="O91" s="6" t="n">
        <v>0</v>
      </c>
      <c r="P91" s="6" t="inlineStr">
        <is>
          <t>1:12,500</t>
        </is>
      </c>
      <c r="Q91" s="6" t="inlineStr">
        <is>
          <t>SP-083_Bloque_M7B3.png</t>
        </is>
      </c>
      <c r="R91" s="6" t="n">
        <v>2</v>
      </c>
      <c r="S91" s="6" t="inlineStr">
        <is>
          <t>LA TRANCA (268 m); PALO BLANCO-EL CEREZO (353 m)</t>
        </is>
      </c>
      <c r="T91" s="6" t="inlineStr">
        <is>
          <t>Matriz CCPP-INEI v5</t>
        </is>
      </c>
      <c r="U91" s="6" t="n">
        <v>41</v>
      </c>
    </row>
    <row r="92">
      <c r="A92" s="9" t="inlineStr">
        <is>
          <t>SP-084</t>
        </is>
      </c>
      <c r="B92" s="9" t="inlineStr">
        <is>
          <t>M7B6</t>
        </is>
      </c>
      <c r="C92" s="9" t="inlineStr">
        <is>
          <t>Morropón</t>
        </is>
      </c>
      <c r="D92" s="9" t="inlineStr">
        <is>
          <t>Salitral</t>
        </is>
      </c>
      <c r="E92" s="9" t="inlineStr">
        <is>
          <t>AP-2</t>
        </is>
      </c>
      <c r="F92" s="10" t="n">
        <v>91.285</v>
      </c>
      <c r="G92" s="10" t="n">
        <v>0</v>
      </c>
      <c r="H92" s="10" t="n">
        <v>0</v>
      </c>
      <c r="I92" s="10">
        <f>MAX(0,F92-G92-H92)</f>
        <v/>
      </c>
      <c r="J92" s="11">
        <f>IF(F92=0,0,G92/F92)</f>
        <v/>
      </c>
      <c r="K92" s="11">
        <f>IF(F92=0,0,H92/F92)</f>
        <v/>
      </c>
      <c r="L92" s="11">
        <f>IF(F92=0,0,I92/F92)</f>
        <v/>
      </c>
      <c r="M92" s="9" t="inlineStr">
        <is>
          <t>Tierras del Estado y/o posesionarios</t>
        </is>
      </c>
      <c r="N92" s="9" t="inlineStr"/>
      <c r="O92" s="9" t="n">
        <v>0</v>
      </c>
      <c r="P92" s="9" t="inlineStr">
        <is>
          <t>1:10,000</t>
        </is>
      </c>
      <c r="Q92" s="9" t="inlineStr">
        <is>
          <t>SP-084_Bloque_M7B6.png</t>
        </is>
      </c>
      <c r="R92" s="9" t="n">
        <v>3</v>
      </c>
      <c r="S92" s="9" t="inlineStr">
        <is>
          <t>SERRAN (260 m); SANTA ROSA (298 m); NUEVO SAN JUAN (412 m)</t>
        </is>
      </c>
      <c r="T92" s="9" t="inlineStr">
        <is>
          <t>Matriz CCPP-INEI v5</t>
        </is>
      </c>
      <c r="U92" s="9" t="n">
        <v>235</v>
      </c>
    </row>
    <row r="93">
      <c r="A93" s="6" t="inlineStr">
        <is>
          <t>SP-085</t>
        </is>
      </c>
      <c r="B93" s="6" t="inlineStr">
        <is>
          <t>M18B3</t>
        </is>
      </c>
      <c r="C93" s="6" t="inlineStr">
        <is>
          <t>Morropón</t>
        </is>
      </c>
      <c r="D93" s="6" t="inlineStr">
        <is>
          <t>Salitral</t>
        </is>
      </c>
      <c r="E93" s="6" t="inlineStr">
        <is>
          <t>AP-2</t>
        </is>
      </c>
      <c r="F93" s="7" t="n">
        <v>373.807</v>
      </c>
      <c r="G93" s="7" t="n">
        <v>0</v>
      </c>
      <c r="H93" s="7" t="n">
        <v>1.952</v>
      </c>
      <c r="I93" s="7">
        <f>MAX(0,F93-G93-H93)</f>
        <v/>
      </c>
      <c r="J93" s="8">
        <f>IF(F93=0,0,G93/F93)</f>
        <v/>
      </c>
      <c r="K93" s="8">
        <f>IF(F93=0,0,H93/F93)</f>
        <v/>
      </c>
      <c r="L93" s="8">
        <f>IF(F93=0,0,I93/F93)</f>
        <v/>
      </c>
      <c r="M93" s="6" t="inlineStr">
        <is>
          <t>Tierras del Estado y/o posesionarios</t>
        </is>
      </c>
      <c r="N93" s="6" t="inlineStr"/>
      <c r="O93" s="6" t="n">
        <v>4</v>
      </c>
      <c r="P93" s="6" t="inlineStr">
        <is>
          <t>1:25,000</t>
        </is>
      </c>
      <c r="Q93" s="6" t="inlineStr">
        <is>
          <t>SP-085_Bloque_M18B3.png</t>
        </is>
      </c>
      <c r="R93" s="6" t="n">
        <v>3</v>
      </c>
      <c r="S93" s="6" t="inlineStr">
        <is>
          <t>SELVA ANDINA (96 m); HUARO QUISPAMPA (128 m); MANGOMANGUIA (300 m)</t>
        </is>
      </c>
      <c r="T93" s="6" t="inlineStr">
        <is>
          <t>Matriz CCPP-INEI v5</t>
        </is>
      </c>
      <c r="U93" s="6" t="n">
        <v>252</v>
      </c>
    </row>
    <row r="94">
      <c r="A94" s="9" t="inlineStr">
        <is>
          <t>SP-086</t>
        </is>
      </c>
      <c r="B94" s="9" t="inlineStr">
        <is>
          <t>77</t>
        </is>
      </c>
      <c r="C94" s="9" t="inlineStr">
        <is>
          <t>Morropón</t>
        </is>
      </c>
      <c r="D94" s="9" t="inlineStr">
        <is>
          <t>San Juan de Bigote</t>
        </is>
      </c>
      <c r="E94" s="9" t="inlineStr">
        <is>
          <t>AP-2</t>
        </is>
      </c>
      <c r="F94" s="10" t="n">
        <v>17.821</v>
      </c>
      <c r="G94" s="10" t="n">
        <v>17.821</v>
      </c>
      <c r="H94" s="10" t="n">
        <v>0</v>
      </c>
      <c r="I94" s="10">
        <f>MAX(0,F94-G94-H94)</f>
        <v/>
      </c>
      <c r="J94" s="11">
        <f>IF(F94=0,0,G94/F94)</f>
        <v/>
      </c>
      <c r="K94" s="11">
        <f>IF(F94=0,0,H94/F94)</f>
        <v/>
      </c>
      <c r="L94" s="11">
        <f>IF(F94=0,0,I94/F94)</f>
        <v/>
      </c>
      <c r="M94" s="9" t="inlineStr">
        <is>
          <t>Comunal</t>
        </is>
      </c>
      <c r="N94" s="9" t="inlineStr">
        <is>
          <t>Sin nombre (ID 2790)</t>
        </is>
      </c>
      <c r="O94" s="9" t="n">
        <v>0</v>
      </c>
      <c r="P94" s="9" t="inlineStr">
        <is>
          <t>1:5,000</t>
        </is>
      </c>
      <c r="Q94" s="9" t="inlineStr">
        <is>
          <t>SP-086_Bloque_77.png</t>
        </is>
      </c>
      <c r="R94" s="9" t="n">
        <v>1</v>
      </c>
      <c r="S94" s="9" t="inlineStr">
        <is>
          <t>MIGUEL PAMPA (683 m)</t>
        </is>
      </c>
      <c r="T94" s="9" t="inlineStr">
        <is>
          <t>Matriz CCPP-INEI v5</t>
        </is>
      </c>
      <c r="U94" s="9" t="n">
        <v>188</v>
      </c>
    </row>
    <row r="95">
      <c r="A95" s="6" t="inlineStr">
        <is>
          <t>SP-087</t>
        </is>
      </c>
      <c r="B95" s="6" t="inlineStr">
        <is>
          <t>83</t>
        </is>
      </c>
      <c r="C95" s="6" t="inlineStr">
        <is>
          <t>Morropón</t>
        </is>
      </c>
      <c r="D95" s="6" t="inlineStr">
        <is>
          <t>San Juan de Bigote</t>
        </is>
      </c>
      <c r="E95" s="6" t="inlineStr">
        <is>
          <t>AP-2</t>
        </is>
      </c>
      <c r="F95" s="7" t="n">
        <v>24.344</v>
      </c>
      <c r="G95" s="7" t="n">
        <v>24.344</v>
      </c>
      <c r="H95" s="7" t="n">
        <v>0</v>
      </c>
      <c r="I95" s="7">
        <f>MAX(0,F95-G95-H95)</f>
        <v/>
      </c>
      <c r="J95" s="8">
        <f>IF(F95=0,0,G95/F95)</f>
        <v/>
      </c>
      <c r="K95" s="8">
        <f>IF(F95=0,0,H95/F95)</f>
        <v/>
      </c>
      <c r="L95" s="8">
        <f>IF(F95=0,0,I95/F95)</f>
        <v/>
      </c>
      <c r="M95" s="6" t="inlineStr">
        <is>
          <t>Comunal</t>
        </is>
      </c>
      <c r="N95" s="6" t="inlineStr">
        <is>
          <t>Sin nombre (ID 2790)</t>
        </is>
      </c>
      <c r="O95" s="6" t="n">
        <v>0</v>
      </c>
      <c r="P95" s="6" t="inlineStr">
        <is>
          <t>1:10,000</t>
        </is>
      </c>
      <c r="Q95" s="6" t="inlineStr">
        <is>
          <t>SP-087_Bloque_83.png</t>
        </is>
      </c>
      <c r="R95" s="6" t="n">
        <v>2</v>
      </c>
      <c r="S95" s="6" t="inlineStr">
        <is>
          <t>MIGUELPAMPA (131 m); CAMPO NUEVO (1636 m)</t>
        </is>
      </c>
      <c r="T95" s="6" t="inlineStr">
        <is>
          <t>Más cercanos (capa CCPP)</t>
        </is>
      </c>
      <c r="U95" s="6" t="n"/>
    </row>
    <row r="96">
      <c r="A96" s="9" t="inlineStr">
        <is>
          <t>SP-088</t>
        </is>
      </c>
      <c r="B96" s="9" t="inlineStr">
        <is>
          <t>84</t>
        </is>
      </c>
      <c r="C96" s="9" t="inlineStr">
        <is>
          <t>Morropón</t>
        </is>
      </c>
      <c r="D96" s="9" t="inlineStr">
        <is>
          <t>San Juan de Bigote</t>
        </is>
      </c>
      <c r="E96" s="9" t="inlineStr">
        <is>
          <t>AP-2</t>
        </is>
      </c>
      <c r="F96" s="10" t="n">
        <v>5.097</v>
      </c>
      <c r="G96" s="10" t="n">
        <v>5.097</v>
      </c>
      <c r="H96" s="10" t="n">
        <v>0</v>
      </c>
      <c r="I96" s="10">
        <f>MAX(0,F96-G96-H96)</f>
        <v/>
      </c>
      <c r="J96" s="11">
        <f>IF(F96=0,0,G96/F96)</f>
        <v/>
      </c>
      <c r="K96" s="11">
        <f>IF(F96=0,0,H96/F96)</f>
        <v/>
      </c>
      <c r="L96" s="11">
        <f>IF(F96=0,0,I96/F96)</f>
        <v/>
      </c>
      <c r="M96" s="9" t="inlineStr">
        <is>
          <t>Comunal</t>
        </is>
      </c>
      <c r="N96" s="9" t="inlineStr">
        <is>
          <t>Sin nombre (ID 2790)</t>
        </is>
      </c>
      <c r="O96" s="9" t="n">
        <v>0</v>
      </c>
      <c r="P96" s="9" t="inlineStr">
        <is>
          <t>1:3,000</t>
        </is>
      </c>
      <c r="Q96" s="9" t="inlineStr">
        <is>
          <t>SP-088_Bloque_84.png</t>
        </is>
      </c>
      <c r="R96" s="9" t="n">
        <v>2</v>
      </c>
      <c r="S96" s="9" t="inlineStr">
        <is>
          <t>MIGUELPAMPA (617 m); CAMPO NUEVO (1440 m)</t>
        </is>
      </c>
      <c r="T96" s="9" t="inlineStr">
        <is>
          <t>Más cercanos (capa CCPP)</t>
        </is>
      </c>
      <c r="U96" s="9" t="n"/>
    </row>
    <row r="97">
      <c r="A97" s="6" t="inlineStr">
        <is>
          <t>SP-089</t>
        </is>
      </c>
      <c r="B97" s="6" t="inlineStr">
        <is>
          <t>85</t>
        </is>
      </c>
      <c r="C97" s="6" t="inlineStr">
        <is>
          <t>Morropón</t>
        </is>
      </c>
      <c r="D97" s="6" t="inlineStr">
        <is>
          <t>San Juan de Bigote</t>
        </is>
      </c>
      <c r="E97" s="6" t="inlineStr">
        <is>
          <t>AP-2</t>
        </is>
      </c>
      <c r="F97" s="7" t="n">
        <v>11.906</v>
      </c>
      <c r="G97" s="7" t="n">
        <v>11.906</v>
      </c>
      <c r="H97" s="7" t="n">
        <v>0</v>
      </c>
      <c r="I97" s="7">
        <f>MAX(0,F97-G97-H97)</f>
        <v/>
      </c>
      <c r="J97" s="8">
        <f>IF(F97=0,0,G97/F97)</f>
        <v/>
      </c>
      <c r="K97" s="8">
        <f>IF(F97=0,0,H97/F97)</f>
        <v/>
      </c>
      <c r="L97" s="8">
        <f>IF(F97=0,0,I97/F97)</f>
        <v/>
      </c>
      <c r="M97" s="6" t="inlineStr">
        <is>
          <t>Comunal</t>
        </is>
      </c>
      <c r="N97" s="6" t="inlineStr">
        <is>
          <t>Sin nombre (ID 2790)</t>
        </is>
      </c>
      <c r="O97" s="6" t="n">
        <v>0</v>
      </c>
      <c r="P97" s="6" t="inlineStr">
        <is>
          <t>1:7,500</t>
        </is>
      </c>
      <c r="Q97" s="6" t="inlineStr">
        <is>
          <t>SP-089_Bloque_85.png</t>
        </is>
      </c>
      <c r="R97" s="6" t="n">
        <v>2</v>
      </c>
      <c r="S97" s="6" t="inlineStr">
        <is>
          <t>DOTOR (85 m); NUEVA ESPERANZA (707 m)</t>
        </is>
      </c>
      <c r="T97" s="6" t="inlineStr">
        <is>
          <t>Más cercanos (capa CCPP)</t>
        </is>
      </c>
      <c r="U97" s="6" t="n"/>
    </row>
    <row r="98">
      <c r="A98" s="9" t="inlineStr">
        <is>
          <t>SP-090</t>
        </is>
      </c>
      <c r="B98" s="9" t="inlineStr">
        <is>
          <t>86</t>
        </is>
      </c>
      <c r="C98" s="9" t="inlineStr">
        <is>
          <t>Morropón</t>
        </is>
      </c>
      <c r="D98" s="9" t="inlineStr">
        <is>
          <t>San Juan de Bigote</t>
        </is>
      </c>
      <c r="E98" s="9" t="inlineStr">
        <is>
          <t>AP-2</t>
        </is>
      </c>
      <c r="F98" s="10" t="n">
        <v>30.001</v>
      </c>
      <c r="G98" s="10" t="n">
        <v>30.001</v>
      </c>
      <c r="H98" s="10" t="n">
        <v>0</v>
      </c>
      <c r="I98" s="10">
        <f>MAX(0,F98-G98-H98)</f>
        <v/>
      </c>
      <c r="J98" s="11">
        <f>IF(F98=0,0,G98/F98)</f>
        <v/>
      </c>
      <c r="K98" s="11">
        <f>IF(F98=0,0,H98/F98)</f>
        <v/>
      </c>
      <c r="L98" s="11">
        <f>IF(F98=0,0,I98/F98)</f>
        <v/>
      </c>
      <c r="M98" s="9" t="inlineStr">
        <is>
          <t>Comunal</t>
        </is>
      </c>
      <c r="N98" s="9" t="inlineStr">
        <is>
          <t>Sin nombre (ID 2790)</t>
        </is>
      </c>
      <c r="O98" s="9" t="n">
        <v>0</v>
      </c>
      <c r="P98" s="9" t="inlineStr">
        <is>
          <t>1:10,000</t>
        </is>
      </c>
      <c r="Q98" s="9" t="inlineStr">
        <is>
          <t>SP-090_Bloque_86.png</t>
        </is>
      </c>
      <c r="R98" s="9" t="n">
        <v>3</v>
      </c>
      <c r="S98" s="9" t="inlineStr">
        <is>
          <t>NUEVA ESPERANZA (68 m); DOTOR (545 m); CAMPO NUEVO (776 m)</t>
        </is>
      </c>
      <c r="T98" s="9" t="inlineStr">
        <is>
          <t>Más cercanos (capa CCPP)</t>
        </is>
      </c>
      <c r="U98" s="9" t="n"/>
    </row>
    <row r="99">
      <c r="A99" s="6" t="inlineStr">
        <is>
          <t>SP-091</t>
        </is>
      </c>
      <c r="B99" s="6" t="inlineStr">
        <is>
          <t>87</t>
        </is>
      </c>
      <c r="C99" s="6" t="inlineStr">
        <is>
          <t>Morropón</t>
        </is>
      </c>
      <c r="D99" s="6" t="inlineStr">
        <is>
          <t>San Juan de Bigote</t>
        </is>
      </c>
      <c r="E99" s="6" t="inlineStr">
        <is>
          <t>AP-2</t>
        </is>
      </c>
      <c r="F99" s="7" t="n">
        <v>62.219</v>
      </c>
      <c r="G99" s="7" t="n">
        <v>62.219</v>
      </c>
      <c r="H99" s="7" t="n">
        <v>0</v>
      </c>
      <c r="I99" s="7">
        <f>MAX(0,F99-G99-H99)</f>
        <v/>
      </c>
      <c r="J99" s="8">
        <f>IF(F99=0,0,G99/F99)</f>
        <v/>
      </c>
      <c r="K99" s="8">
        <f>IF(F99=0,0,H99/F99)</f>
        <v/>
      </c>
      <c r="L99" s="8">
        <f>IF(F99=0,0,I99/F99)</f>
        <v/>
      </c>
      <c r="M99" s="6" t="inlineStr">
        <is>
          <t>Comunal</t>
        </is>
      </c>
      <c r="N99" s="6" t="inlineStr">
        <is>
          <t>Sin nombre (ID 2790)</t>
        </is>
      </c>
      <c r="O99" s="6" t="n">
        <v>1</v>
      </c>
      <c r="P99" s="6" t="inlineStr">
        <is>
          <t>1:12,500</t>
        </is>
      </c>
      <c r="Q99" s="6" t="inlineStr">
        <is>
          <t>SP-091_Bloque_87.png</t>
        </is>
      </c>
      <c r="R99" s="6" t="n">
        <v>3</v>
      </c>
      <c r="S99" s="6" t="inlineStr">
        <is>
          <t>CARDAL (321 m); NUEVA ESPERANZA (550 m); DOTOR (584 m)</t>
        </is>
      </c>
      <c r="T99" s="6" t="inlineStr">
        <is>
          <t>Más cercanos (capa CCPP)</t>
        </is>
      </c>
      <c r="U99" s="6" t="n"/>
    </row>
    <row r="100">
      <c r="A100" s="9" t="inlineStr">
        <is>
          <t>SP-092</t>
        </is>
      </c>
      <c r="B100" s="9" t="inlineStr">
        <is>
          <t>M3B3</t>
        </is>
      </c>
      <c r="C100" s="9" t="inlineStr">
        <is>
          <t>Morropón</t>
        </is>
      </c>
      <c r="D100" s="9" t="inlineStr">
        <is>
          <t>San Juan de Bigote</t>
        </is>
      </c>
      <c r="E100" s="9" t="inlineStr">
        <is>
          <t>AP-2</t>
        </is>
      </c>
      <c r="F100" s="10" t="n">
        <v>84.825</v>
      </c>
      <c r="G100" s="10" t="n">
        <v>84.825</v>
      </c>
      <c r="H100" s="10" t="n">
        <v>0</v>
      </c>
      <c r="I100" s="10">
        <f>MAX(0,F100-G100-H100)</f>
        <v/>
      </c>
      <c r="J100" s="11">
        <f>IF(F100=0,0,G100/F100)</f>
        <v/>
      </c>
      <c r="K100" s="11">
        <f>IF(F100=0,0,H100/F100)</f>
        <v/>
      </c>
      <c r="L100" s="11">
        <f>IF(F100=0,0,I100/F100)</f>
        <v/>
      </c>
      <c r="M100" s="9" t="inlineStr">
        <is>
          <t>Comunal</t>
        </is>
      </c>
      <c r="N100" s="9" t="inlineStr">
        <is>
          <t>Sin nombre (ID 2790)</t>
        </is>
      </c>
      <c r="O100" s="9" t="n">
        <v>0</v>
      </c>
      <c r="P100" s="9" t="inlineStr">
        <is>
          <t>1:12,500</t>
        </is>
      </c>
      <c r="Q100" s="9" t="inlineStr">
        <is>
          <t>SP-092_Bloque_M3B3.png</t>
        </is>
      </c>
      <c r="R100" s="9" t="n">
        <v>2</v>
      </c>
      <c r="S100" s="9" t="inlineStr">
        <is>
          <t>ALAN GARCIA (117 m); BIGOTE (355 m)</t>
        </is>
      </c>
      <c r="T100" s="9" t="inlineStr">
        <is>
          <t>Matriz CCPP-INEI v5</t>
        </is>
      </c>
      <c r="U100" s="9" t="n">
        <v>146</v>
      </c>
    </row>
    <row r="101">
      <c r="A101" s="6" t="inlineStr">
        <is>
          <t>SP-093</t>
        </is>
      </c>
      <c r="B101" s="6" t="inlineStr">
        <is>
          <t>M3B5</t>
        </is>
      </c>
      <c r="C101" s="6" t="inlineStr">
        <is>
          <t>Morropón</t>
        </is>
      </c>
      <c r="D101" s="6" t="inlineStr">
        <is>
          <t>San Juan de Bigote</t>
        </is>
      </c>
      <c r="E101" s="6" t="inlineStr">
        <is>
          <t>AP-2</t>
        </is>
      </c>
      <c r="F101" s="7" t="n">
        <v>52.743</v>
      </c>
      <c r="G101" s="7" t="n">
        <v>52.743</v>
      </c>
      <c r="H101" s="7" t="n">
        <v>0</v>
      </c>
      <c r="I101" s="7">
        <f>MAX(0,F101-G101-H101)</f>
        <v/>
      </c>
      <c r="J101" s="8">
        <f>IF(F101=0,0,G101/F101)</f>
        <v/>
      </c>
      <c r="K101" s="8">
        <f>IF(F101=0,0,H101/F101)</f>
        <v/>
      </c>
      <c r="L101" s="8">
        <f>IF(F101=0,0,I101/F101)</f>
        <v/>
      </c>
      <c r="M101" s="6" t="inlineStr">
        <is>
          <t>Comunal</t>
        </is>
      </c>
      <c r="N101" s="6" t="inlineStr">
        <is>
          <t>Sin nombre (ID 2790)</t>
        </is>
      </c>
      <c r="O101" s="6" t="n">
        <v>0</v>
      </c>
      <c r="P101" s="6" t="inlineStr">
        <is>
          <t>1:7,500</t>
        </is>
      </c>
      <c r="Q101" s="6" t="inlineStr">
        <is>
          <t>SP-093_Bloque_M3B5.png</t>
        </is>
      </c>
      <c r="R101" s="6" t="n">
        <v>1</v>
      </c>
      <c r="S101" s="6" t="inlineStr">
        <is>
          <t>SAN JUAN BAUTISTA (128 m)</t>
        </is>
      </c>
      <c r="T101" s="6" t="inlineStr">
        <is>
          <t>Matriz CCPP-INEI v5</t>
        </is>
      </c>
      <c r="U101" s="6" t="n">
        <v>116</v>
      </c>
    </row>
    <row r="102">
      <c r="A102" s="9" t="inlineStr">
        <is>
          <t>SP-094</t>
        </is>
      </c>
      <c r="B102" s="9" t="inlineStr">
        <is>
          <t>M3B6</t>
        </is>
      </c>
      <c r="C102" s="9" t="inlineStr">
        <is>
          <t>Morropón</t>
        </is>
      </c>
      <c r="D102" s="9" t="inlineStr">
        <is>
          <t>San Juan de Bigote</t>
        </is>
      </c>
      <c r="E102" s="9" t="inlineStr">
        <is>
          <t>AP-2</t>
        </is>
      </c>
      <c r="F102" s="10" t="n">
        <v>60.352</v>
      </c>
      <c r="G102" s="10" t="n">
        <v>60.352</v>
      </c>
      <c r="H102" s="10" t="n">
        <v>0</v>
      </c>
      <c r="I102" s="10">
        <f>MAX(0,F102-G102-H102)</f>
        <v/>
      </c>
      <c r="J102" s="11">
        <f>IF(F102=0,0,G102/F102)</f>
        <v/>
      </c>
      <c r="K102" s="11">
        <f>IF(F102=0,0,H102/F102)</f>
        <v/>
      </c>
      <c r="L102" s="11">
        <f>IF(F102=0,0,I102/F102)</f>
        <v/>
      </c>
      <c r="M102" s="9" t="inlineStr">
        <is>
          <t>Comunal</t>
        </is>
      </c>
      <c r="N102" s="9" t="inlineStr">
        <is>
          <t>Sin nombre (ID 2790)</t>
        </is>
      </c>
      <c r="O102" s="9" t="n">
        <v>0</v>
      </c>
      <c r="P102" s="9" t="inlineStr">
        <is>
          <t>1:10,000</t>
        </is>
      </c>
      <c r="Q102" s="9" t="inlineStr">
        <is>
          <t>SP-094_Bloque_M3B6.png</t>
        </is>
      </c>
      <c r="R102" s="9" t="n">
        <v>2</v>
      </c>
      <c r="S102" s="9" t="inlineStr">
        <is>
          <t>BADO DE GARZAS (184 m); MANZANARES (194 m)</t>
        </is>
      </c>
      <c r="T102" s="9" t="inlineStr">
        <is>
          <t>Matriz CCPP-INEI v5</t>
        </is>
      </c>
      <c r="U102" s="9" t="n">
        <v>202</v>
      </c>
    </row>
    <row r="103">
      <c r="A103" s="6" t="inlineStr">
        <is>
          <t>SP-095</t>
        </is>
      </c>
      <c r="B103" s="6" t="inlineStr">
        <is>
          <t>M3B7</t>
        </is>
      </c>
      <c r="C103" s="6" t="inlineStr">
        <is>
          <t>Morropón</t>
        </is>
      </c>
      <c r="D103" s="6" t="inlineStr">
        <is>
          <t>San Juan de Bigote</t>
        </is>
      </c>
      <c r="E103" s="6" t="inlineStr">
        <is>
          <t>AP-2</t>
        </is>
      </c>
      <c r="F103" s="7" t="n">
        <v>122.946</v>
      </c>
      <c r="G103" s="7" t="n">
        <v>0</v>
      </c>
      <c r="H103" s="7" t="n">
        <v>0</v>
      </c>
      <c r="I103" s="7">
        <f>MAX(0,F103-G103-H103)</f>
        <v/>
      </c>
      <c r="J103" s="8">
        <f>IF(F103=0,0,G103/F103)</f>
        <v/>
      </c>
      <c r="K103" s="8">
        <f>IF(F103=0,0,H103/F103)</f>
        <v/>
      </c>
      <c r="L103" s="8">
        <f>IF(F103=0,0,I103/F103)</f>
        <v/>
      </c>
      <c r="M103" s="6" t="inlineStr">
        <is>
          <t>Tierras del Estado y/o posesionarios</t>
        </is>
      </c>
      <c r="N103" s="6" t="inlineStr"/>
      <c r="O103" s="6" t="n">
        <v>0</v>
      </c>
      <c r="P103" s="6" t="inlineStr">
        <is>
          <t>1:15,000</t>
        </is>
      </c>
      <c r="Q103" s="6" t="inlineStr">
        <is>
          <t>SP-095_Bloque_M3B7.png</t>
        </is>
      </c>
      <c r="R103" s="6" t="n">
        <v>2</v>
      </c>
      <c r="S103" s="6" t="inlineStr">
        <is>
          <t>POLLUCO (96 m); SINAI (182 m)</t>
        </is>
      </c>
      <c r="T103" s="6" t="inlineStr">
        <is>
          <t>Matriz CCPP-INEI v5</t>
        </is>
      </c>
      <c r="U103" s="6" t="n">
        <v>68</v>
      </c>
    </row>
    <row r="104">
      <c r="A104" s="9" t="inlineStr">
        <is>
          <t>SP-096</t>
        </is>
      </c>
      <c r="B104" s="9" t="inlineStr">
        <is>
          <t>M3B8</t>
        </is>
      </c>
      <c r="C104" s="9" t="inlineStr">
        <is>
          <t>Morropón</t>
        </is>
      </c>
      <c r="D104" s="9" t="inlineStr">
        <is>
          <t>San Juan de Bigote</t>
        </is>
      </c>
      <c r="E104" s="9" t="inlineStr">
        <is>
          <t>AP-2</t>
        </is>
      </c>
      <c r="F104" s="10" t="n">
        <v>565.5839999999999</v>
      </c>
      <c r="G104" s="10" t="n">
        <v>0</v>
      </c>
      <c r="H104" s="10" t="n">
        <v>0</v>
      </c>
      <c r="I104" s="10">
        <f>MAX(0,F104-G104-H104)</f>
        <v/>
      </c>
      <c r="J104" s="11">
        <f>IF(F104=0,0,G104/F104)</f>
        <v/>
      </c>
      <c r="K104" s="11">
        <f>IF(F104=0,0,H104/F104)</f>
        <v/>
      </c>
      <c r="L104" s="11">
        <f>IF(F104=0,0,I104/F104)</f>
        <v/>
      </c>
      <c r="M104" s="9" t="inlineStr">
        <is>
          <t>Tierras del Estado y/o posesionarios</t>
        </is>
      </c>
      <c r="N104" s="9" t="inlineStr"/>
      <c r="O104" s="9" t="n">
        <v>0</v>
      </c>
      <c r="P104" s="9" t="inlineStr">
        <is>
          <t>1:25,000</t>
        </is>
      </c>
      <c r="Q104" s="9" t="inlineStr">
        <is>
          <t>SP-096_Bloque_M3B8.png</t>
        </is>
      </c>
      <c r="R104" s="9" t="n">
        <v>2</v>
      </c>
      <c r="S104" s="9" t="inlineStr">
        <is>
          <t>SANTA ROSA (235 m); SAN PEDRO (238 m)</t>
        </is>
      </c>
      <c r="T104" s="9" t="inlineStr">
        <is>
          <t>Matriz CCPP-INEI v5</t>
        </is>
      </c>
      <c r="U104" s="9" t="n">
        <v>386</v>
      </c>
    </row>
    <row r="105">
      <c r="A105" s="6" t="inlineStr">
        <is>
          <t>SP-097</t>
        </is>
      </c>
      <c r="B105" s="6" t="inlineStr">
        <is>
          <t>M11B3</t>
        </is>
      </c>
      <c r="C105" s="6" t="inlineStr">
        <is>
          <t>Morropón</t>
        </is>
      </c>
      <c r="D105" s="6" t="inlineStr">
        <is>
          <t>San Juan de Bigote</t>
        </is>
      </c>
      <c r="E105" s="6" t="inlineStr">
        <is>
          <t>AP-2</t>
        </is>
      </c>
      <c r="F105" s="7" t="n">
        <v>106.027</v>
      </c>
      <c r="G105" s="7" t="n">
        <v>0</v>
      </c>
      <c r="H105" s="7" t="n">
        <v>0</v>
      </c>
      <c r="I105" s="7">
        <f>MAX(0,F105-G105-H105)</f>
        <v/>
      </c>
      <c r="J105" s="8">
        <f>IF(F105=0,0,G105/F105)</f>
        <v/>
      </c>
      <c r="K105" s="8">
        <f>IF(F105=0,0,H105/F105)</f>
        <v/>
      </c>
      <c r="L105" s="8">
        <f>IF(F105=0,0,I105/F105)</f>
        <v/>
      </c>
      <c r="M105" s="6" t="inlineStr">
        <is>
          <t>Tierras del Estado y/o posesionarios</t>
        </is>
      </c>
      <c r="N105" s="6" t="inlineStr"/>
      <c r="O105" s="6" t="n">
        <v>0</v>
      </c>
      <c r="P105" s="6" t="inlineStr">
        <is>
          <t>1:15,000</t>
        </is>
      </c>
      <c r="Q105" s="6" t="inlineStr">
        <is>
          <t>SP-097_Bloque_M11B3.png</t>
        </is>
      </c>
      <c r="R105" s="6" t="n">
        <v>2</v>
      </c>
      <c r="S105" s="6" t="inlineStr">
        <is>
          <t>QUEMAZON (519 m); LA PAREJA (1356 m)</t>
        </is>
      </c>
      <c r="T105" s="6" t="inlineStr">
        <is>
          <t>Matriz CCPP-INEI v5</t>
        </is>
      </c>
      <c r="U105" s="6" t="n"/>
    </row>
    <row r="106">
      <c r="A106" s="9" t="inlineStr">
        <is>
          <t>SP-098</t>
        </is>
      </c>
      <c r="B106" s="9" t="inlineStr">
        <is>
          <t>14</t>
        </is>
      </c>
      <c r="C106" s="9" t="inlineStr">
        <is>
          <t>Morropón</t>
        </is>
      </c>
      <c r="D106" s="9" t="inlineStr">
        <is>
          <t>Santa Catalina de Mossa</t>
        </is>
      </c>
      <c r="E106" s="9" t="inlineStr">
        <is>
          <t>AP-4</t>
        </is>
      </c>
      <c r="F106" s="10" t="n">
        <v>92.905</v>
      </c>
      <c r="G106" s="10" t="n">
        <v>92.905</v>
      </c>
      <c r="H106" s="10" t="n">
        <v>0</v>
      </c>
      <c r="I106" s="10">
        <f>MAX(0,F106-G106-H106)</f>
        <v/>
      </c>
      <c r="J106" s="11">
        <f>IF(F106=0,0,G106/F106)</f>
        <v/>
      </c>
      <c r="K106" s="11">
        <f>IF(F106=0,0,H106/F106)</f>
        <v/>
      </c>
      <c r="L106" s="11">
        <f>IF(F106=0,0,I106/F106)</f>
        <v/>
      </c>
      <c r="M106" s="9" t="inlineStr">
        <is>
          <t>Comunal</t>
        </is>
      </c>
      <c r="N106" s="9" t="inlineStr">
        <is>
          <t>COMUNIDAD CAMPESINA SANTA CATALINA DE MOZA</t>
        </is>
      </c>
      <c r="O106" s="9" t="n">
        <v>0</v>
      </c>
      <c r="P106" s="9" t="inlineStr">
        <is>
          <t>1:10,000</t>
        </is>
      </c>
      <c r="Q106" s="9" t="inlineStr">
        <is>
          <t>SP-098_Bloque_14.png</t>
        </is>
      </c>
      <c r="R106" s="9" t="n">
        <v>2</v>
      </c>
      <c r="S106" s="9" t="inlineStr">
        <is>
          <t>OVERAZAL (47 m); LA LAJA (1047 m)</t>
        </is>
      </c>
      <c r="T106" s="9" t="inlineStr">
        <is>
          <t>Matriz CCPP-INEI v5</t>
        </is>
      </c>
      <c r="U106" s="9" t="n">
        <v>38</v>
      </c>
    </row>
    <row r="107">
      <c r="A107" s="6" t="inlineStr">
        <is>
          <t>SP-099</t>
        </is>
      </c>
      <c r="B107" s="6" t="inlineStr">
        <is>
          <t>42</t>
        </is>
      </c>
      <c r="C107" s="6" t="inlineStr">
        <is>
          <t>Morropón</t>
        </is>
      </c>
      <c r="D107" s="6" t="inlineStr">
        <is>
          <t>Santa Catalina de Mossa</t>
        </is>
      </c>
      <c r="E107" s="6" t="inlineStr">
        <is>
          <t>AP-4</t>
        </is>
      </c>
      <c r="F107" s="7" t="n">
        <v>80.616</v>
      </c>
      <c r="G107" s="7" t="n">
        <v>80.616</v>
      </c>
      <c r="H107" s="7" t="n">
        <v>0</v>
      </c>
      <c r="I107" s="7">
        <f>MAX(0,F107-G107-H107)</f>
        <v/>
      </c>
      <c r="J107" s="8">
        <f>IF(F107=0,0,G107/F107)</f>
        <v/>
      </c>
      <c r="K107" s="8">
        <f>IF(F107=0,0,H107/F107)</f>
        <v/>
      </c>
      <c r="L107" s="8">
        <f>IF(F107=0,0,I107/F107)</f>
        <v/>
      </c>
      <c r="M107" s="6" t="inlineStr">
        <is>
          <t>Comunal</t>
        </is>
      </c>
      <c r="N107" s="6" t="inlineStr">
        <is>
          <t>COMUNIDAD CAMPESINA SANTA CATALINA DE MOZA</t>
        </is>
      </c>
      <c r="O107" s="6" t="n">
        <v>0</v>
      </c>
      <c r="P107" s="6" t="inlineStr">
        <is>
          <t>1:7,500</t>
        </is>
      </c>
      <c r="Q107" s="6" t="inlineStr">
        <is>
          <t>SP-099_Bloque_42.png</t>
        </is>
      </c>
      <c r="R107" s="6" t="n">
        <v>1</v>
      </c>
      <c r="S107" s="6" t="inlineStr">
        <is>
          <t>SANTA ROSA DE CHIRIMOYOS (70 m)</t>
        </is>
      </c>
      <c r="T107" s="6" t="inlineStr">
        <is>
          <t>Matriz CCPP-INEI v5</t>
        </is>
      </c>
      <c r="U107" s="6" t="n">
        <v>131</v>
      </c>
    </row>
    <row r="108">
      <c r="A108" s="9" t="inlineStr">
        <is>
          <t>SP-100</t>
        </is>
      </c>
      <c r="B108" s="9" t="inlineStr">
        <is>
          <t>58</t>
        </is>
      </c>
      <c r="C108" s="9" t="inlineStr">
        <is>
          <t>Morropón</t>
        </is>
      </c>
      <c r="D108" s="9" t="inlineStr">
        <is>
          <t>Santa Catalina de Mossa</t>
        </is>
      </c>
      <c r="E108" s="9" t="inlineStr">
        <is>
          <t>AP-4</t>
        </is>
      </c>
      <c r="F108" s="10" t="n">
        <v>11.475</v>
      </c>
      <c r="G108" s="10" t="n">
        <v>0</v>
      </c>
      <c r="H108" s="10" t="n">
        <v>0</v>
      </c>
      <c r="I108" s="10">
        <f>MAX(0,F108-G108-H108)</f>
        <v/>
      </c>
      <c r="J108" s="11">
        <f>IF(F108=0,0,G108/F108)</f>
        <v/>
      </c>
      <c r="K108" s="11">
        <f>IF(F108=0,0,H108/F108)</f>
        <v/>
      </c>
      <c r="L108" s="11">
        <f>IF(F108=0,0,I108/F108)</f>
        <v/>
      </c>
      <c r="M108" s="9" t="inlineStr">
        <is>
          <t>Tierras del Estado y/o posesionarios</t>
        </is>
      </c>
      <c r="N108" s="9" t="inlineStr"/>
      <c r="O108" s="9" t="n">
        <v>0</v>
      </c>
      <c r="P108" s="9" t="inlineStr">
        <is>
          <t>1:3,000</t>
        </is>
      </c>
      <c r="Q108" s="9" t="inlineStr">
        <is>
          <t>SP-100_Bloque_58.png</t>
        </is>
      </c>
      <c r="R108" s="9" t="n">
        <v>2</v>
      </c>
      <c r="S108" s="9" t="inlineStr">
        <is>
          <t>MARAY (957 m); LINDEROS DE MARAY (2222 m)</t>
        </is>
      </c>
      <c r="T108" s="9" t="inlineStr">
        <is>
          <t>Matriz CCPP-INEI v5</t>
        </is>
      </c>
      <c r="U108" s="9" t="n">
        <v>329</v>
      </c>
    </row>
    <row r="109">
      <c r="A109" s="6" t="inlineStr">
        <is>
          <t>SP-101</t>
        </is>
      </c>
      <c r="B109" s="6" t="inlineStr">
        <is>
          <t>M36B2</t>
        </is>
      </c>
      <c r="C109" s="6" t="inlineStr">
        <is>
          <t>Morropón</t>
        </is>
      </c>
      <c r="D109" s="6" t="inlineStr">
        <is>
          <t>Santa Catalina de Mossa</t>
        </is>
      </c>
      <c r="E109" s="6" t="inlineStr">
        <is>
          <t>AP-4</t>
        </is>
      </c>
      <c r="F109" s="7" t="n">
        <v>28.19</v>
      </c>
      <c r="G109" s="7" t="n">
        <v>28.19</v>
      </c>
      <c r="H109" s="7" t="n">
        <v>0</v>
      </c>
      <c r="I109" s="7">
        <f>MAX(0,F109-G109-H109)</f>
        <v/>
      </c>
      <c r="J109" s="8">
        <f>IF(F109=0,0,G109/F109)</f>
        <v/>
      </c>
      <c r="K109" s="8">
        <f>IF(F109=0,0,H109/F109)</f>
        <v/>
      </c>
      <c r="L109" s="8">
        <f>IF(F109=0,0,I109/F109)</f>
        <v/>
      </c>
      <c r="M109" s="6" t="inlineStr">
        <is>
          <t>Comunal</t>
        </is>
      </c>
      <c r="N109" s="6" t="inlineStr">
        <is>
          <t>COMUNIDAD CAMPESINA SANTA CATALINA DE MOZA</t>
        </is>
      </c>
      <c r="O109" s="6" t="n">
        <v>0</v>
      </c>
      <c r="P109" s="6" t="inlineStr">
        <is>
          <t>1:5,000</t>
        </is>
      </c>
      <c r="Q109" s="6" t="inlineStr">
        <is>
          <t>SP-101_Bloque_M36B2.png</t>
        </is>
      </c>
      <c r="R109" s="6" t="n">
        <v>1</v>
      </c>
      <c r="S109" s="6" t="inlineStr">
        <is>
          <t>SANTA ROSA DE CHIRIMOYOS (185 m)</t>
        </is>
      </c>
      <c r="T109" s="6" t="inlineStr">
        <is>
          <t>Matriz CCPP-INEI v5</t>
        </is>
      </c>
      <c r="U109" s="6" t="n">
        <v>131</v>
      </c>
    </row>
    <row r="110">
      <c r="A110" s="9" t="inlineStr">
        <is>
          <t>SP-102</t>
        </is>
      </c>
      <c r="B110" s="9" t="inlineStr">
        <is>
          <t>11</t>
        </is>
      </c>
      <c r="C110" s="9" t="inlineStr">
        <is>
          <t>Morropón</t>
        </is>
      </c>
      <c r="D110" s="9" t="inlineStr">
        <is>
          <t>Santo Domingo</t>
        </is>
      </c>
      <c r="E110" s="9" t="inlineStr">
        <is>
          <t>AP-4</t>
        </is>
      </c>
      <c r="F110" s="10" t="n">
        <v>103.948</v>
      </c>
      <c r="G110" s="10" t="n">
        <v>2.832</v>
      </c>
      <c r="H110" s="10" t="n">
        <v>0</v>
      </c>
      <c r="I110" s="10">
        <f>MAX(0,F110-G110-H110)</f>
        <v/>
      </c>
      <c r="J110" s="11">
        <f>IF(F110=0,0,G110/F110)</f>
        <v/>
      </c>
      <c r="K110" s="11">
        <f>IF(F110=0,0,H110/F110)</f>
        <v/>
      </c>
      <c r="L110" s="11">
        <f>IF(F110=0,0,I110/F110)</f>
        <v/>
      </c>
      <c r="M110" s="9" t="inlineStr">
        <is>
          <t>Tierras del Estado y/o posesionarios</t>
        </is>
      </c>
      <c r="N110" s="9" t="inlineStr">
        <is>
          <t>CARACUCHO JACANACAS</t>
        </is>
      </c>
      <c r="O110" s="9" t="n">
        <v>0</v>
      </c>
      <c r="P110" s="9" t="inlineStr">
        <is>
          <t>1:10,000</t>
        </is>
      </c>
      <c r="Q110" s="9" t="inlineStr">
        <is>
          <t>SP-102_Bloque_11.png</t>
        </is>
      </c>
      <c r="R110" s="9" t="n">
        <v>1</v>
      </c>
      <c r="S110" s="9" t="inlineStr">
        <is>
          <t>TAYLIN DE TUÑALI (233 m)</t>
        </is>
      </c>
      <c r="T110" s="9" t="inlineStr">
        <is>
          <t>Matriz CCPP-INEI v5</t>
        </is>
      </c>
      <c r="U110" s="9" t="n">
        <v>53</v>
      </c>
    </row>
    <row r="111">
      <c r="A111" s="6" t="inlineStr">
        <is>
          <t>SP-103</t>
        </is>
      </c>
      <c r="B111" s="6" t="inlineStr">
        <is>
          <t>12</t>
        </is>
      </c>
      <c r="C111" s="6" t="inlineStr">
        <is>
          <t>Morropón</t>
        </is>
      </c>
      <c r="D111" s="6" t="inlineStr">
        <is>
          <t>Santo Domingo</t>
        </is>
      </c>
      <c r="E111" s="6" t="inlineStr">
        <is>
          <t>AP-4</t>
        </is>
      </c>
      <c r="F111" s="7" t="n">
        <v>119.538</v>
      </c>
      <c r="G111" s="7" t="n">
        <v>0</v>
      </c>
      <c r="H111" s="7" t="n">
        <v>13.769</v>
      </c>
      <c r="I111" s="7">
        <f>MAX(0,F111-G111-H111)</f>
        <v/>
      </c>
      <c r="J111" s="8">
        <f>IF(F111=0,0,G111/F111)</f>
        <v/>
      </c>
      <c r="K111" s="8">
        <f>IF(F111=0,0,H111/F111)</f>
        <v/>
      </c>
      <c r="L111" s="8">
        <f>IF(F111=0,0,I111/F111)</f>
        <v/>
      </c>
      <c r="M111" s="6" t="inlineStr">
        <is>
          <t>Parcialmente privada</t>
        </is>
      </c>
      <c r="N111" s="6" t="inlineStr"/>
      <c r="O111" s="6" t="n">
        <v>16</v>
      </c>
      <c r="P111" s="6" t="inlineStr">
        <is>
          <t>1:10,000</t>
        </is>
      </c>
      <c r="Q111" s="6" t="inlineStr">
        <is>
          <t>SP-103_Bloque_12.png</t>
        </is>
      </c>
      <c r="R111" s="6" t="n">
        <v>2</v>
      </c>
      <c r="S111" s="6" t="inlineStr">
        <is>
          <t>CHACAYO (671 m); SANTO DOMINGO (758 m)</t>
        </is>
      </c>
      <c r="T111" s="6" t="inlineStr">
        <is>
          <t>Matriz CCPP-INEI v5</t>
        </is>
      </c>
      <c r="U111" s="6" t="n">
        <v>105</v>
      </c>
    </row>
    <row r="112">
      <c r="A112" s="9" t="inlineStr">
        <is>
          <t>SP-104</t>
        </is>
      </c>
      <c r="B112" s="9" t="inlineStr">
        <is>
          <t>13</t>
        </is>
      </c>
      <c r="C112" s="9" t="inlineStr">
        <is>
          <t>Morropón</t>
        </is>
      </c>
      <c r="D112" s="9" t="inlineStr">
        <is>
          <t>Santo Domingo</t>
        </is>
      </c>
      <c r="E112" s="9" t="inlineStr">
        <is>
          <t>AP-4</t>
        </is>
      </c>
      <c r="F112" s="10" t="n">
        <v>100.514</v>
      </c>
      <c r="G112" s="10" t="n">
        <v>100.514</v>
      </c>
      <c r="H112" s="10" t="n">
        <v>0</v>
      </c>
      <c r="I112" s="10">
        <f>MAX(0,F112-G112-H112)</f>
        <v/>
      </c>
      <c r="J112" s="11">
        <f>IF(F112=0,0,G112/F112)</f>
        <v/>
      </c>
      <c r="K112" s="11">
        <f>IF(F112=0,0,H112/F112)</f>
        <v/>
      </c>
      <c r="L112" s="11">
        <f>IF(F112=0,0,I112/F112)</f>
        <v/>
      </c>
      <c r="M112" s="9" t="inlineStr">
        <is>
          <t>Comunal</t>
        </is>
      </c>
      <c r="N112" s="9" t="inlineStr">
        <is>
          <t>SIMIRIS</t>
        </is>
      </c>
      <c r="O112" s="9" t="n">
        <v>0</v>
      </c>
      <c r="P112" s="9" t="inlineStr">
        <is>
          <t>1:7,500</t>
        </is>
      </c>
      <c r="Q112" s="9" t="inlineStr">
        <is>
          <t>SP-104_Bloque_13.png</t>
        </is>
      </c>
      <c r="R112" s="9" t="n">
        <v>1</v>
      </c>
      <c r="S112" s="9" t="inlineStr">
        <is>
          <t>HUACAS (240 m)</t>
        </is>
      </c>
      <c r="T112" s="9" t="inlineStr">
        <is>
          <t>Matriz CCPP-INEI v5</t>
        </is>
      </c>
      <c r="U112" s="9" t="n">
        <v>139</v>
      </c>
    </row>
    <row r="113">
      <c r="A113" s="6" t="inlineStr">
        <is>
          <t>SP-105</t>
        </is>
      </c>
      <c r="B113" s="6" t="inlineStr">
        <is>
          <t>15</t>
        </is>
      </c>
      <c r="C113" s="6" t="inlineStr">
        <is>
          <t>Morropón</t>
        </is>
      </c>
      <c r="D113" s="6" t="inlineStr">
        <is>
          <t>Santo Domingo</t>
        </is>
      </c>
      <c r="E113" s="6" t="inlineStr">
        <is>
          <t>AP-4</t>
        </is>
      </c>
      <c r="F113" s="7" t="n">
        <v>86.14700000000001</v>
      </c>
      <c r="G113" s="7" t="n">
        <v>86.14700000000001</v>
      </c>
      <c r="H113" s="7" t="n">
        <v>0</v>
      </c>
      <c r="I113" s="7">
        <f>MAX(0,F113-G113-H113)</f>
        <v/>
      </c>
      <c r="J113" s="8">
        <f>IF(F113=0,0,G113/F113)</f>
        <v/>
      </c>
      <c r="K113" s="8">
        <f>IF(F113=0,0,H113/F113)</f>
        <v/>
      </c>
      <c r="L113" s="8">
        <f>IF(F113=0,0,I113/F113)</f>
        <v/>
      </c>
      <c r="M113" s="6" t="inlineStr">
        <is>
          <t>Comunal</t>
        </is>
      </c>
      <c r="N113" s="6" t="inlineStr">
        <is>
          <t>CARACUCHO JACANACAS</t>
        </is>
      </c>
      <c r="O113" s="6" t="n">
        <v>0</v>
      </c>
      <c r="P113" s="6" t="inlineStr">
        <is>
          <t>1:7,500</t>
        </is>
      </c>
      <c r="Q113" s="6" t="inlineStr">
        <is>
          <t>SP-105_Bloque_15.png</t>
        </is>
      </c>
      <c r="R113" s="6" t="n">
        <v>1</v>
      </c>
      <c r="S113" s="6" t="inlineStr">
        <is>
          <t>JACANACAS (312 m)</t>
        </is>
      </c>
      <c r="T113" s="6" t="inlineStr">
        <is>
          <t>Matriz CCPP-INEI v5</t>
        </is>
      </c>
      <c r="U113" s="6" t="n">
        <v>130</v>
      </c>
    </row>
    <row r="114">
      <c r="A114" s="9" t="inlineStr">
        <is>
          <t>SP-106</t>
        </is>
      </c>
      <c r="B114" s="9" t="inlineStr">
        <is>
          <t>17</t>
        </is>
      </c>
      <c r="C114" s="9" t="inlineStr">
        <is>
          <t>Morropón</t>
        </is>
      </c>
      <c r="D114" s="9" t="inlineStr">
        <is>
          <t>Santo Domingo</t>
        </is>
      </c>
      <c r="E114" s="9" t="inlineStr">
        <is>
          <t>AP-4</t>
        </is>
      </c>
      <c r="F114" s="10" t="n">
        <v>96.07899999999999</v>
      </c>
      <c r="G114" s="10" t="n">
        <v>96.07899999999999</v>
      </c>
      <c r="H114" s="10" t="n">
        <v>0</v>
      </c>
      <c r="I114" s="10">
        <f>MAX(0,F114-G114-H114)</f>
        <v/>
      </c>
      <c r="J114" s="11">
        <f>IF(F114=0,0,G114/F114)</f>
        <v/>
      </c>
      <c r="K114" s="11">
        <f>IF(F114=0,0,H114/F114)</f>
        <v/>
      </c>
      <c r="L114" s="11">
        <f>IF(F114=0,0,I114/F114)</f>
        <v/>
      </c>
      <c r="M114" s="9" t="inlineStr">
        <is>
          <t>Comunal</t>
        </is>
      </c>
      <c r="N114" s="9" t="inlineStr">
        <is>
          <t>CARACUCHO JACANACAS; SIMIRIS</t>
        </is>
      </c>
      <c r="O114" s="9" t="n">
        <v>0</v>
      </c>
      <c r="P114" s="9" t="inlineStr">
        <is>
          <t>1:10,000</t>
        </is>
      </c>
      <c r="Q114" s="9" t="inlineStr">
        <is>
          <t>SP-106_Bloque_17.png</t>
        </is>
      </c>
      <c r="R114" s="9" t="n">
        <v>1</v>
      </c>
      <c r="S114" s="9" t="inlineStr">
        <is>
          <t>EL CHECO (35 m)</t>
        </is>
      </c>
      <c r="T114" s="9" t="inlineStr">
        <is>
          <t>Matriz CCPP-INEI v5</t>
        </is>
      </c>
      <c r="U114" s="9" t="n">
        <v>91</v>
      </c>
    </row>
    <row r="115">
      <c r="A115" s="6" t="inlineStr">
        <is>
          <t>SP-107</t>
        </is>
      </c>
      <c r="B115" s="6" t="inlineStr">
        <is>
          <t>23</t>
        </is>
      </c>
      <c r="C115" s="6" t="inlineStr">
        <is>
          <t>Morropón</t>
        </is>
      </c>
      <c r="D115" s="6" t="inlineStr">
        <is>
          <t>Santo Domingo</t>
        </is>
      </c>
      <c r="E115" s="6" t="inlineStr">
        <is>
          <t>AP-4</t>
        </is>
      </c>
      <c r="F115" s="7" t="n">
        <v>81.776</v>
      </c>
      <c r="G115" s="7" t="n">
        <v>81.776</v>
      </c>
      <c r="H115" s="7" t="n">
        <v>0</v>
      </c>
      <c r="I115" s="7">
        <f>MAX(0,F115-G115-H115)</f>
        <v/>
      </c>
      <c r="J115" s="8">
        <f>IF(F115=0,0,G115/F115)</f>
        <v/>
      </c>
      <c r="K115" s="8">
        <f>IF(F115=0,0,H115/F115)</f>
        <v/>
      </c>
      <c r="L115" s="8">
        <f>IF(F115=0,0,I115/F115)</f>
        <v/>
      </c>
      <c r="M115" s="6" t="inlineStr">
        <is>
          <t>Comunal</t>
        </is>
      </c>
      <c r="N115" s="6" t="inlineStr">
        <is>
          <t>CARACUCHO JACANACAS</t>
        </is>
      </c>
      <c r="O115" s="6" t="n">
        <v>0</v>
      </c>
      <c r="P115" s="6" t="inlineStr">
        <is>
          <t>1:12,500</t>
        </is>
      </c>
      <c r="Q115" s="6" t="inlineStr">
        <is>
          <t>SP-107_Bloque_23.png</t>
        </is>
      </c>
      <c r="R115" s="6" t="n">
        <v>2</v>
      </c>
      <c r="S115" s="6" t="inlineStr">
        <is>
          <t>NUEVA ESPERANZA (267 m); JACANACAS (432 m)</t>
        </is>
      </c>
      <c r="T115" s="6" t="inlineStr">
        <is>
          <t>Matriz CCPP-INEI v5</t>
        </is>
      </c>
      <c r="U115" s="6" t="n">
        <v>161</v>
      </c>
    </row>
    <row r="116">
      <c r="A116" s="9" t="inlineStr">
        <is>
          <t>SP-108</t>
        </is>
      </c>
      <c r="B116" s="9" t="inlineStr">
        <is>
          <t>78</t>
        </is>
      </c>
      <c r="C116" s="9" t="inlineStr">
        <is>
          <t>Morropón</t>
        </is>
      </c>
      <c r="D116" s="9" t="inlineStr">
        <is>
          <t>Santo Domingo</t>
        </is>
      </c>
      <c r="E116" s="9" t="inlineStr">
        <is>
          <t>AP-4</t>
        </is>
      </c>
      <c r="F116" s="10" t="n">
        <v>35.1</v>
      </c>
      <c r="G116" s="10" t="n">
        <v>35.1</v>
      </c>
      <c r="H116" s="10" t="n">
        <v>0</v>
      </c>
      <c r="I116" s="10">
        <f>MAX(0,F116-G116-H116)</f>
        <v/>
      </c>
      <c r="J116" s="11">
        <f>IF(F116=0,0,G116/F116)</f>
        <v/>
      </c>
      <c r="K116" s="11">
        <f>IF(F116=0,0,H116/F116)</f>
        <v/>
      </c>
      <c r="L116" s="11">
        <f>IF(F116=0,0,I116/F116)</f>
        <v/>
      </c>
      <c r="M116" s="9" t="inlineStr">
        <is>
          <t>Comunal</t>
        </is>
      </c>
      <c r="N116" s="9" t="inlineStr">
        <is>
          <t>SIMIRIS; CARACUCHO JACANACAS</t>
        </is>
      </c>
      <c r="O116" s="9" t="n">
        <v>0</v>
      </c>
      <c r="P116" s="9" t="inlineStr">
        <is>
          <t>1:5,000</t>
        </is>
      </c>
      <c r="Q116" s="9" t="inlineStr">
        <is>
          <t>SP-108_Bloque_78.png</t>
        </is>
      </c>
      <c r="R116" s="9" t="n">
        <v>1</v>
      </c>
      <c r="S116" s="9" t="inlineStr">
        <is>
          <t>TASAJERAS (165 m)</t>
        </is>
      </c>
      <c r="T116" s="9" t="inlineStr">
        <is>
          <t>Matriz CCPP-INEI v5</t>
        </is>
      </c>
      <c r="U116" s="9" t="n">
        <v>114</v>
      </c>
    </row>
    <row r="117">
      <c r="A117" s="6" t="inlineStr">
        <is>
          <t>SP-109</t>
        </is>
      </c>
      <c r="B117" s="6" t="inlineStr">
        <is>
          <t>82</t>
        </is>
      </c>
      <c r="C117" s="6" t="inlineStr">
        <is>
          <t>Morropón</t>
        </is>
      </c>
      <c r="D117" s="6" t="inlineStr">
        <is>
          <t>Santo Domingo</t>
        </is>
      </c>
      <c r="E117" s="6" t="inlineStr">
        <is>
          <t>AP-4</t>
        </is>
      </c>
      <c r="F117" s="7" t="n">
        <v>35.661</v>
      </c>
      <c r="G117" s="7" t="n">
        <v>17.433</v>
      </c>
      <c r="H117" s="7" t="n">
        <v>0</v>
      </c>
      <c r="I117" s="7">
        <f>MAX(0,F117-G117-H117)</f>
        <v/>
      </c>
      <c r="J117" s="8">
        <f>IF(F117=0,0,G117/F117)</f>
        <v/>
      </c>
      <c r="K117" s="8">
        <f>IF(F117=0,0,H117/F117)</f>
        <v/>
      </c>
      <c r="L117" s="8">
        <f>IF(F117=0,0,I117/F117)</f>
        <v/>
      </c>
      <c r="M117" s="6" t="inlineStr">
        <is>
          <t>Parcialmente comunal</t>
        </is>
      </c>
      <c r="N117" s="6" t="inlineStr">
        <is>
          <t>SIMIRIS</t>
        </is>
      </c>
      <c r="O117" s="6" t="n">
        <v>0</v>
      </c>
      <c r="P117" s="6" t="inlineStr">
        <is>
          <t>1:5,000</t>
        </is>
      </c>
      <c r="Q117" s="6" t="inlineStr">
        <is>
          <t>SP-109_Bloque_82.png</t>
        </is>
      </c>
      <c r="R117" s="6" t="n">
        <v>1</v>
      </c>
      <c r="S117" s="6" t="inlineStr">
        <is>
          <t>SANTA FE DE PORTACHUELO (98 m)</t>
        </is>
      </c>
      <c r="T117" s="6" t="inlineStr">
        <is>
          <t>Matriz CCPP-INEI v5</t>
        </is>
      </c>
      <c r="U117" s="6" t="n">
        <v>88</v>
      </c>
    </row>
    <row r="118">
      <c r="A118" s="9" t="inlineStr">
        <is>
          <t>SP-110</t>
        </is>
      </c>
      <c r="B118" s="9" t="inlineStr">
        <is>
          <t>M8B2</t>
        </is>
      </c>
      <c r="C118" s="9" t="inlineStr">
        <is>
          <t>Morropón</t>
        </is>
      </c>
      <c r="D118" s="9" t="inlineStr">
        <is>
          <t>Santo Domingo</t>
        </is>
      </c>
      <c r="E118" s="9" t="inlineStr">
        <is>
          <t>AP-4</t>
        </is>
      </c>
      <c r="F118" s="10" t="n">
        <v>35.347</v>
      </c>
      <c r="G118" s="10" t="n">
        <v>35.347</v>
      </c>
      <c r="H118" s="10" t="n">
        <v>0</v>
      </c>
      <c r="I118" s="10">
        <f>MAX(0,F118-G118-H118)</f>
        <v/>
      </c>
      <c r="J118" s="11">
        <f>IF(F118=0,0,G118/F118)</f>
        <v/>
      </c>
      <c r="K118" s="11">
        <f>IF(F118=0,0,H118/F118)</f>
        <v/>
      </c>
      <c r="L118" s="11">
        <f>IF(F118=0,0,I118/F118)</f>
        <v/>
      </c>
      <c r="M118" s="9" t="inlineStr">
        <is>
          <t>Comunal</t>
        </is>
      </c>
      <c r="N118" s="9" t="inlineStr">
        <is>
          <t>CARACUCHO JACANACAS; SIMIRIS</t>
        </is>
      </c>
      <c r="O118" s="9" t="n">
        <v>0</v>
      </c>
      <c r="P118" s="9" t="inlineStr">
        <is>
          <t>1:12,500</t>
        </is>
      </c>
      <c r="Q118" s="9" t="inlineStr">
        <is>
          <t>SP-110_Bloque_M8B2.png</t>
        </is>
      </c>
      <c r="R118" s="9" t="n">
        <v>1</v>
      </c>
      <c r="S118" s="9" t="inlineStr">
        <is>
          <t>BOTIJAS (1885 m)</t>
        </is>
      </c>
      <c r="T118" s="9" t="inlineStr">
        <is>
          <t>Matriz CCPP-INEI v5</t>
        </is>
      </c>
      <c r="U118" s="9" t="n">
        <v>192</v>
      </c>
    </row>
    <row r="119">
      <c r="A119" s="6" t="inlineStr">
        <is>
          <t>SP-111</t>
        </is>
      </c>
      <c r="B119" s="6" t="inlineStr">
        <is>
          <t>M19B7</t>
        </is>
      </c>
      <c r="C119" s="6" t="inlineStr">
        <is>
          <t>Morropón</t>
        </is>
      </c>
      <c r="D119" s="6" t="inlineStr">
        <is>
          <t>Santo Domingo</t>
        </is>
      </c>
      <c r="E119" s="6" t="inlineStr">
        <is>
          <t>AP-4</t>
        </is>
      </c>
      <c r="F119" s="7" t="n">
        <v>34.171</v>
      </c>
      <c r="G119" s="7" t="n">
        <v>34.171</v>
      </c>
      <c r="H119" s="7" t="n">
        <v>0</v>
      </c>
      <c r="I119" s="7">
        <f>MAX(0,F119-G119-H119)</f>
        <v/>
      </c>
      <c r="J119" s="8">
        <f>IF(F119=0,0,G119/F119)</f>
        <v/>
      </c>
      <c r="K119" s="8">
        <f>IF(F119=0,0,H119/F119)</f>
        <v/>
      </c>
      <c r="L119" s="8">
        <f>IF(F119=0,0,I119/F119)</f>
        <v/>
      </c>
      <c r="M119" s="6" t="inlineStr">
        <is>
          <t>Comunal</t>
        </is>
      </c>
      <c r="N119" s="6" t="inlineStr">
        <is>
          <t>CARACUCHO JACANACAS</t>
        </is>
      </c>
      <c r="O119" s="6" t="n">
        <v>0</v>
      </c>
      <c r="P119" s="6" t="inlineStr">
        <is>
          <t>1:5,000</t>
        </is>
      </c>
      <c r="Q119" s="6" t="inlineStr">
        <is>
          <t>SP-111_Bloque_M19B7.png</t>
        </is>
      </c>
      <c r="R119" s="6" t="n">
        <v>1</v>
      </c>
      <c r="S119" s="6" t="inlineStr">
        <is>
          <t>EL FAIQUE (591 m)</t>
        </is>
      </c>
      <c r="T119" s="6" t="inlineStr">
        <is>
          <t>Matriz CCPP-INEI v5</t>
        </is>
      </c>
      <c r="U119" s="6" t="n">
        <v>40</v>
      </c>
    </row>
    <row r="120">
      <c r="A120" s="9" t="inlineStr">
        <is>
          <t>SP-112</t>
        </is>
      </c>
      <c r="B120" s="9" t="inlineStr">
        <is>
          <t>49</t>
        </is>
      </c>
      <c r="C120" s="9" t="inlineStr">
        <is>
          <t>Morropón</t>
        </is>
      </c>
      <c r="D120" s="9" t="inlineStr">
        <is>
          <t>Yamango</t>
        </is>
      </c>
      <c r="E120" s="9" t="inlineStr">
        <is>
          <t>AP-3</t>
        </is>
      </c>
      <c r="F120" s="10" t="n">
        <v>15.839</v>
      </c>
      <c r="G120" s="10" t="n">
        <v>15.839</v>
      </c>
      <c r="H120" s="10" t="n">
        <v>0</v>
      </c>
      <c r="I120" s="10">
        <f>MAX(0,F120-G120-H120)</f>
        <v/>
      </c>
      <c r="J120" s="11">
        <f>IF(F120=0,0,G120/F120)</f>
        <v/>
      </c>
      <c r="K120" s="11">
        <f>IF(F120=0,0,H120/F120)</f>
        <v/>
      </c>
      <c r="L120" s="11">
        <f>IF(F120=0,0,I120/F120)</f>
        <v/>
      </c>
      <c r="M120" s="9" t="inlineStr">
        <is>
          <t>Comunal</t>
        </is>
      </c>
      <c r="N120" s="9" t="inlineStr">
        <is>
          <t>YAMANGO</t>
        </is>
      </c>
      <c r="O120" s="9" t="n">
        <v>0</v>
      </c>
      <c r="P120" s="9" t="inlineStr">
        <is>
          <t>1:5,000</t>
        </is>
      </c>
      <c r="Q120" s="9" t="inlineStr">
        <is>
          <t>SP-112_Bloque_49.png</t>
        </is>
      </c>
      <c r="R120" s="9" t="n">
        <v>1</v>
      </c>
      <c r="S120" s="9" t="inlineStr">
        <is>
          <t>LAS HUACAS (462 m)</t>
        </is>
      </c>
      <c r="T120" s="9" t="inlineStr">
        <is>
          <t>Matriz CCPP-INEI v5</t>
        </is>
      </c>
      <c r="U120" s="9" t="n">
        <v>84</v>
      </c>
    </row>
    <row r="121">
      <c r="A121" s="6" t="inlineStr">
        <is>
          <t>SP-113</t>
        </is>
      </c>
      <c r="B121" s="6" t="inlineStr">
        <is>
          <t>52</t>
        </is>
      </c>
      <c r="C121" s="6" t="inlineStr">
        <is>
          <t>Morropón</t>
        </is>
      </c>
      <c r="D121" s="6" t="inlineStr">
        <is>
          <t>Yamango</t>
        </is>
      </c>
      <c r="E121" s="6" t="inlineStr">
        <is>
          <t>AP-3</t>
        </is>
      </c>
      <c r="F121" s="7" t="n">
        <v>11.059</v>
      </c>
      <c r="G121" s="7" t="n">
        <v>11.059</v>
      </c>
      <c r="H121" s="7" t="n">
        <v>0</v>
      </c>
      <c r="I121" s="7">
        <f>MAX(0,F121-G121-H121)</f>
        <v/>
      </c>
      <c r="J121" s="8">
        <f>IF(F121=0,0,G121/F121)</f>
        <v/>
      </c>
      <c r="K121" s="8">
        <f>IF(F121=0,0,H121/F121)</f>
        <v/>
      </c>
      <c r="L121" s="8">
        <f>IF(F121=0,0,I121/F121)</f>
        <v/>
      </c>
      <c r="M121" s="6" t="inlineStr">
        <is>
          <t>Comunal</t>
        </is>
      </c>
      <c r="N121" s="6" t="inlineStr">
        <is>
          <t>TAMBOYA</t>
        </is>
      </c>
      <c r="O121" s="6" t="n">
        <v>0</v>
      </c>
      <c r="P121" s="6" t="inlineStr">
        <is>
          <t>1:5,000</t>
        </is>
      </c>
      <c r="Q121" s="6" t="inlineStr">
        <is>
          <t>SP-113_Bloque_52.png</t>
        </is>
      </c>
      <c r="R121" s="6" t="n">
        <v>1</v>
      </c>
      <c r="S121" s="6" t="inlineStr">
        <is>
          <t>MIRAFLORES (493 m)</t>
        </is>
      </c>
      <c r="T121" s="6" t="inlineStr">
        <is>
          <t>Matriz CCPP-INEI v5</t>
        </is>
      </c>
      <c r="U121" s="6" t="n">
        <v>43</v>
      </c>
    </row>
    <row r="122">
      <c r="A122" s="9" t="inlineStr">
        <is>
          <t>SP-114</t>
        </is>
      </c>
      <c r="B122" s="9" t="inlineStr">
        <is>
          <t>55</t>
        </is>
      </c>
      <c r="C122" s="9" t="inlineStr">
        <is>
          <t>Morropón</t>
        </is>
      </c>
      <c r="D122" s="9" t="inlineStr">
        <is>
          <t>Yamango</t>
        </is>
      </c>
      <c r="E122" s="9" t="inlineStr">
        <is>
          <t>AP-3</t>
        </is>
      </c>
      <c r="F122" s="10" t="n">
        <v>0.859</v>
      </c>
      <c r="G122" s="10" t="n">
        <v>0.859</v>
      </c>
      <c r="H122" s="10" t="n">
        <v>0</v>
      </c>
      <c r="I122" s="10">
        <f>MAX(0,F122-G122-H122)</f>
        <v/>
      </c>
      <c r="J122" s="11">
        <f>IF(F122=0,0,G122/F122)</f>
        <v/>
      </c>
      <c r="K122" s="11">
        <f>IF(F122=0,0,H122/F122)</f>
        <v/>
      </c>
      <c r="L122" s="11">
        <f>IF(F122=0,0,I122/F122)</f>
        <v/>
      </c>
      <c r="M122" s="9" t="inlineStr">
        <is>
          <t>Comunal</t>
        </is>
      </c>
      <c r="N122" s="9" t="inlineStr">
        <is>
          <t>YAMANGO</t>
        </is>
      </c>
      <c r="O122" s="9" t="n">
        <v>0</v>
      </c>
      <c r="P122" s="9" t="inlineStr">
        <is>
          <t>1:1,000</t>
        </is>
      </c>
      <c r="Q122" s="9" t="inlineStr">
        <is>
          <t>SP-114_Bloque_55.png</t>
        </is>
      </c>
      <c r="R122" s="9" t="n">
        <v>1</v>
      </c>
      <c r="S122" s="9" t="inlineStr">
        <is>
          <t>LAS HUACAS (949 m)</t>
        </is>
      </c>
      <c r="T122" s="9" t="inlineStr">
        <is>
          <t>Matriz CCPP-INEI v5</t>
        </is>
      </c>
      <c r="U122" s="9" t="n">
        <v>84</v>
      </c>
    </row>
    <row r="123">
      <c r="A123" s="6" t="inlineStr">
        <is>
          <t>SP-115</t>
        </is>
      </c>
      <c r="B123" s="6" t="inlineStr">
        <is>
          <t>M28B2</t>
        </is>
      </c>
      <c r="C123" s="6" t="inlineStr">
        <is>
          <t>Morropón</t>
        </is>
      </c>
      <c r="D123" s="6" t="inlineStr">
        <is>
          <t>Yamango</t>
        </is>
      </c>
      <c r="E123" s="6" t="inlineStr">
        <is>
          <t>AP-3</t>
        </is>
      </c>
      <c r="F123" s="7" t="n">
        <v>90.197</v>
      </c>
      <c r="G123" s="7" t="n">
        <v>90.197</v>
      </c>
      <c r="H123" s="7" t="n">
        <v>0</v>
      </c>
      <c r="I123" s="7">
        <f>MAX(0,F123-G123-H123)</f>
        <v/>
      </c>
      <c r="J123" s="8">
        <f>IF(F123=0,0,G123/F123)</f>
        <v/>
      </c>
      <c r="K123" s="8">
        <f>IF(F123=0,0,H123/F123)</f>
        <v/>
      </c>
      <c r="L123" s="8">
        <f>IF(F123=0,0,I123/F123)</f>
        <v/>
      </c>
      <c r="M123" s="6" t="inlineStr">
        <is>
          <t>Comunal</t>
        </is>
      </c>
      <c r="N123" s="6" t="inlineStr">
        <is>
          <t>YAMANGO</t>
        </is>
      </c>
      <c r="O123" s="6" t="n">
        <v>0</v>
      </c>
      <c r="P123" s="6" t="inlineStr">
        <is>
          <t>1:10,000</t>
        </is>
      </c>
      <c r="Q123" s="6" t="inlineStr">
        <is>
          <t>SP-115_Bloque_M28B2.png</t>
        </is>
      </c>
      <c r="R123" s="6" t="n">
        <v>2</v>
      </c>
      <c r="S123" s="6" t="inlineStr">
        <is>
          <t>FLOR DE AGUA (0 m); VICTOR RAUL (EL CHECO) (277 m)</t>
        </is>
      </c>
      <c r="T123" s="6" t="inlineStr">
        <is>
          <t>Matriz CCPP-INEI v5</t>
        </is>
      </c>
      <c r="U123" s="6" t="n">
        <v>235</v>
      </c>
    </row>
    <row r="124">
      <c r="A124" s="9" t="inlineStr">
        <is>
          <t>SP-116</t>
        </is>
      </c>
      <c r="B124" s="9" t="inlineStr">
        <is>
          <t>M28B3</t>
        </is>
      </c>
      <c r="C124" s="9" t="inlineStr">
        <is>
          <t>Morropón</t>
        </is>
      </c>
      <c r="D124" s="9" t="inlineStr">
        <is>
          <t>Yamango</t>
        </is>
      </c>
      <c r="E124" s="9" t="inlineStr">
        <is>
          <t>AP-3</t>
        </is>
      </c>
      <c r="F124" s="10" t="n">
        <v>58.292</v>
      </c>
      <c r="G124" s="10" t="n">
        <v>58.292</v>
      </c>
      <c r="H124" s="10" t="n">
        <v>0</v>
      </c>
      <c r="I124" s="10">
        <f>MAX(0,F124-G124-H124)</f>
        <v/>
      </c>
      <c r="J124" s="11">
        <f>IF(F124=0,0,G124/F124)</f>
        <v/>
      </c>
      <c r="K124" s="11">
        <f>IF(F124=0,0,H124/F124)</f>
        <v/>
      </c>
      <c r="L124" s="11">
        <f>IF(F124=0,0,I124/F124)</f>
        <v/>
      </c>
      <c r="M124" s="9" t="inlineStr">
        <is>
          <t>Comunal</t>
        </is>
      </c>
      <c r="N124" s="9" t="inlineStr">
        <is>
          <t>COCA - MAMBLUQUE Y SAN CRISTOBAL</t>
        </is>
      </c>
      <c r="O124" s="9" t="n">
        <v>0</v>
      </c>
      <c r="P124" s="9" t="inlineStr">
        <is>
          <t>1:7,500</t>
        </is>
      </c>
      <c r="Q124" s="9" t="inlineStr">
        <is>
          <t>SP-116_Bloque_M28B3.png</t>
        </is>
      </c>
      <c r="R124" s="9" t="n">
        <v>1</v>
      </c>
      <c r="S124" s="9" t="inlineStr">
        <is>
          <t>RICARDO PALMA (46 m)</t>
        </is>
      </c>
      <c r="T124" s="9" t="inlineStr">
        <is>
          <t>Matriz CCPP-INEI v5</t>
        </is>
      </c>
      <c r="U124" s="9" t="n">
        <v>74</v>
      </c>
    </row>
    <row r="125">
      <c r="A125" s="6" t="inlineStr">
        <is>
          <t>SP-117</t>
        </is>
      </c>
      <c r="B125" s="6" t="inlineStr">
        <is>
          <t>M28B4</t>
        </is>
      </c>
      <c r="C125" s="6" t="inlineStr">
        <is>
          <t>Morropón</t>
        </is>
      </c>
      <c r="D125" s="6" t="inlineStr">
        <is>
          <t>Yamango</t>
        </is>
      </c>
      <c r="E125" s="6" t="inlineStr">
        <is>
          <t>AP-3</t>
        </is>
      </c>
      <c r="F125" s="7" t="n">
        <v>283.428</v>
      </c>
      <c r="G125" s="7" t="n">
        <v>283.428</v>
      </c>
      <c r="H125" s="7" t="n">
        <v>0</v>
      </c>
      <c r="I125" s="7">
        <f>MAX(0,F125-G125-H125)</f>
        <v/>
      </c>
      <c r="J125" s="8">
        <f>IF(F125=0,0,G125/F125)</f>
        <v/>
      </c>
      <c r="K125" s="8">
        <f>IF(F125=0,0,H125/F125)</f>
        <v/>
      </c>
      <c r="L125" s="8">
        <f>IF(F125=0,0,I125/F125)</f>
        <v/>
      </c>
      <c r="M125" s="6" t="inlineStr">
        <is>
          <t>Comunal</t>
        </is>
      </c>
      <c r="N125" s="6" t="inlineStr">
        <is>
          <t>COCA - MAMBLUQUE Y SAN CRISTOBAL</t>
        </is>
      </c>
      <c r="O125" s="6" t="n">
        <v>0</v>
      </c>
      <c r="P125" s="6" t="inlineStr">
        <is>
          <t>1:12,500</t>
        </is>
      </c>
      <c r="Q125" s="6" t="inlineStr">
        <is>
          <t>SP-117_Bloque_M28B4.png</t>
        </is>
      </c>
      <c r="R125" s="6" t="n">
        <v>3</v>
      </c>
      <c r="S125" s="6" t="inlineStr">
        <is>
          <t>ALTO MAMBLUQUE (150 m); MAMBLUQUE (245 m); NUEVA ESPERANZA (419 m)</t>
        </is>
      </c>
      <c r="T125" s="6" t="inlineStr">
        <is>
          <t>Matriz CCPP-INEI v5</t>
        </is>
      </c>
      <c r="U125" s="6" t="n">
        <v>446</v>
      </c>
    </row>
    <row r="126">
      <c r="A126" s="12" t="inlineStr">
        <is>
          <t>TOTAL</t>
        </is>
      </c>
      <c r="B126" s="13" t="n"/>
      <c r="C126" s="13" t="n"/>
      <c r="D126" s="13" t="n"/>
      <c r="E126" s="13" t="n"/>
      <c r="F126" s="14">
        <f>SUM(F9:F125)</f>
        <v/>
      </c>
      <c r="G126" s="14">
        <f>SUM(G9:G125)</f>
        <v/>
      </c>
      <c r="H126" s="14">
        <f>SUM(H9:H125)</f>
        <v/>
      </c>
      <c r="I126" s="14">
        <f>SUM(I9:I125)</f>
        <v/>
      </c>
      <c r="J126" s="15">
        <f>G126/F126</f>
        <v/>
      </c>
      <c r="K126" s="15">
        <f>H126/F126</f>
        <v/>
      </c>
      <c r="L126" s="15">
        <f>I126/F126</f>
        <v/>
      </c>
      <c r="M126" s="13" t="n"/>
      <c r="N126" s="13" t="n"/>
      <c r="O126" s="16">
        <f>SUM(O9:O125)</f>
        <v/>
      </c>
      <c r="P126" s="13" t="n"/>
      <c r="Q126" s="13" t="n"/>
      <c r="R126" s="16">
        <f>SUM(R9:R125)</f>
        <v/>
      </c>
      <c r="S126" s="13" t="n"/>
      <c r="T126" s="13" t="n"/>
      <c r="U126" s="12">
        <f>SUM(U9:U125)</f>
        <v/>
      </c>
    </row>
  </sheetData>
  <autoFilter ref="A8:U125"/>
  <mergeCells count="6">
    <mergeCell ref="A4:U4"/>
    <mergeCell ref="A2:U2"/>
    <mergeCell ref="A5:U5"/>
    <mergeCell ref="A1:U1"/>
    <mergeCell ref="A3:U3"/>
    <mergeCell ref="A6:U6"/>
  </mergeCells>
  <dataValidations count="1">
    <dataValidation sqref="M9:M125" showDropDown="0" showInputMessage="0" showErrorMessage="0" allowBlank="1" type="list">
      <formula1>"Comunal,Parcialmente comunal,Mixta,Privada,Parcialmente privada,Tierras del Estado y/o posesionarios"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6" customWidth="1" min="1" max="1"/>
    <col width="9" customWidth="1" min="2" max="2"/>
    <col width="15" customWidth="1" min="3" max="3"/>
    <col width="12" customWidth="1" min="4" max="4"/>
    <col width="13" customWidth="1" min="5" max="5"/>
    <col width="16" customWidth="1" min="6" max="6"/>
  </cols>
  <sheetData>
    <row r="1">
      <c r="A1" s="17" t="inlineStr">
        <is>
          <t>AUTORIDAD NACIONAL DE INFRAESTRUCTURA – ANIN</t>
        </is>
      </c>
    </row>
    <row r="2">
      <c r="A2" s="18" t="inlineStr">
        <is>
          <t>DIRECCIÓN DE INTERVENCIONES MULTISECTORIALES Y DE EMERGENCIA – DIME</t>
        </is>
      </c>
    </row>
    <row r="3">
      <c r="A3" s="18" t="inlineStr">
        <is>
          <t>SUBDIRECCIÓN DE ESTUDIOS DE INVERSIÓN – SESDI</t>
        </is>
      </c>
    </row>
    <row r="5">
      <c r="A5" s="19" t="inlineStr">
        <is>
          <t>Situación predial de los bloques V6 (fórmulas sobre la hoja «Índice de mapas»)</t>
        </is>
      </c>
    </row>
    <row r="7">
      <c r="A7" s="20" t="inlineStr">
        <is>
          <t>Situación predial</t>
        </is>
      </c>
      <c r="B7" s="20" t="inlineStr">
        <is>
          <t>Bloques</t>
        </is>
      </c>
      <c r="C7" s="20" t="inlineStr">
        <is>
          <t>Superficie (ha)</t>
        </is>
      </c>
      <c r="D7" s="20" t="inlineStr">
        <is>
          <t>% de la superficie</t>
        </is>
      </c>
      <c r="E7" s="20" t="inlineStr">
        <is>
          <t>C. C. (ha)</t>
        </is>
      </c>
      <c r="F7" s="20" t="inlineStr">
        <is>
          <t>Estado y/o posesionarios (ha)</t>
        </is>
      </c>
    </row>
    <row r="8">
      <c r="A8" s="6" t="inlineStr">
        <is>
          <t>Comunal</t>
        </is>
      </c>
      <c r="B8" s="6">
        <f>COUNTIF('Índice de mapas'!$M$9:$M$125,A8)</f>
        <v/>
      </c>
      <c r="C8" s="21">
        <f>SUMIF('Índice de mapas'!$M$9:$M$125,A8,'Índice de mapas'!$F$9:$F$125)</f>
        <v/>
      </c>
      <c r="D8" s="8">
        <f>C8/C$14</f>
        <v/>
      </c>
      <c r="E8" s="21">
        <f>SUMIF('Índice de mapas'!$M$9:$M$125,A8,'Índice de mapas'!$G$9:$G$125)</f>
        <v/>
      </c>
      <c r="F8" s="21">
        <f>SUMIF('Índice de mapas'!$M$9:$M$125,A8,'Índice de mapas'!$I$9:$I$125)</f>
        <v/>
      </c>
    </row>
    <row r="9">
      <c r="A9" s="9" t="inlineStr">
        <is>
          <t>Parcialmente comunal</t>
        </is>
      </c>
      <c r="B9" s="9">
        <f>COUNTIF('Índice de mapas'!$M$9:$M$125,A9)</f>
        <v/>
      </c>
      <c r="C9" s="22">
        <f>SUMIF('Índice de mapas'!$M$9:$M$125,A9,'Índice de mapas'!$F$9:$F$125)</f>
        <v/>
      </c>
      <c r="D9" s="11">
        <f>C9/C$14</f>
        <v/>
      </c>
      <c r="E9" s="22">
        <f>SUMIF('Índice de mapas'!$M$9:$M$125,A9,'Índice de mapas'!$G$9:$G$125)</f>
        <v/>
      </c>
      <c r="F9" s="22">
        <f>SUMIF('Índice de mapas'!$M$9:$M$125,A9,'Índice de mapas'!$I$9:$I$125)</f>
        <v/>
      </c>
    </row>
    <row r="10">
      <c r="A10" s="6" t="inlineStr">
        <is>
          <t>Mixta</t>
        </is>
      </c>
      <c r="B10" s="6">
        <f>COUNTIF('Índice de mapas'!$M$9:$M$125,A10)</f>
        <v/>
      </c>
      <c r="C10" s="21">
        <f>SUMIF('Índice de mapas'!$M$9:$M$125,A10,'Índice de mapas'!$F$9:$F$125)</f>
        <v/>
      </c>
      <c r="D10" s="8">
        <f>C10/C$14</f>
        <v/>
      </c>
      <c r="E10" s="21">
        <f>SUMIF('Índice de mapas'!$M$9:$M$125,A10,'Índice de mapas'!$G$9:$G$125)</f>
        <v/>
      </c>
      <c r="F10" s="21">
        <f>SUMIF('Índice de mapas'!$M$9:$M$125,A10,'Índice de mapas'!$I$9:$I$125)</f>
        <v/>
      </c>
    </row>
    <row r="11">
      <c r="A11" s="9" t="inlineStr">
        <is>
          <t>Privada</t>
        </is>
      </c>
      <c r="B11" s="9">
        <f>COUNTIF('Índice de mapas'!$M$9:$M$125,A11)</f>
        <v/>
      </c>
      <c r="C11" s="22">
        <f>SUMIF('Índice de mapas'!$M$9:$M$125,A11,'Índice de mapas'!$F$9:$F$125)</f>
        <v/>
      </c>
      <c r="D11" s="11">
        <f>C11/C$14</f>
        <v/>
      </c>
      <c r="E11" s="22">
        <f>SUMIF('Índice de mapas'!$M$9:$M$125,A11,'Índice de mapas'!$G$9:$G$125)</f>
        <v/>
      </c>
      <c r="F11" s="22">
        <f>SUMIF('Índice de mapas'!$M$9:$M$125,A11,'Índice de mapas'!$I$9:$I$125)</f>
        <v/>
      </c>
    </row>
    <row r="12">
      <c r="A12" s="6" t="inlineStr">
        <is>
          <t>Parcialmente privada</t>
        </is>
      </c>
      <c r="B12" s="6">
        <f>COUNTIF('Índice de mapas'!$M$9:$M$125,A12)</f>
        <v/>
      </c>
      <c r="C12" s="21">
        <f>SUMIF('Índice de mapas'!$M$9:$M$125,A12,'Índice de mapas'!$F$9:$F$125)</f>
        <v/>
      </c>
      <c r="D12" s="8">
        <f>C12/C$14</f>
        <v/>
      </c>
      <c r="E12" s="21">
        <f>SUMIF('Índice de mapas'!$M$9:$M$125,A12,'Índice de mapas'!$G$9:$G$125)</f>
        <v/>
      </c>
      <c r="F12" s="21">
        <f>SUMIF('Índice de mapas'!$M$9:$M$125,A12,'Índice de mapas'!$I$9:$I$125)</f>
        <v/>
      </c>
    </row>
    <row r="13">
      <c r="A13" s="9" t="inlineStr">
        <is>
          <t>Tierras del Estado y/o posesionarios</t>
        </is>
      </c>
      <c r="B13" s="9">
        <f>COUNTIF('Índice de mapas'!$M$9:$M$125,A13)</f>
        <v/>
      </c>
      <c r="C13" s="22">
        <f>SUMIF('Índice de mapas'!$M$9:$M$125,A13,'Índice de mapas'!$F$9:$F$125)</f>
        <v/>
      </c>
      <c r="D13" s="11">
        <f>C13/C$14</f>
        <v/>
      </c>
      <c r="E13" s="22">
        <f>SUMIF('Índice de mapas'!$M$9:$M$125,A13,'Índice de mapas'!$G$9:$G$125)</f>
        <v/>
      </c>
      <c r="F13" s="22">
        <f>SUMIF('Índice de mapas'!$M$9:$M$125,A13,'Índice de mapas'!$I$9:$I$125)</f>
        <v/>
      </c>
    </row>
    <row r="14">
      <c r="A14" s="23" t="inlineStr">
        <is>
          <t>Total</t>
        </is>
      </c>
      <c r="B14" s="23">
        <f>SUM(B8:B13)</f>
        <v/>
      </c>
      <c r="C14" s="24">
        <f>SUM(C8:C13)</f>
        <v/>
      </c>
      <c r="D14" s="25">
        <f>C14/C14</f>
        <v/>
      </c>
      <c r="E14" s="24">
        <f>SUM(E8:E13)</f>
        <v/>
      </c>
      <c r="F14" s="24">
        <f>SUM(F8:F13)</f>
        <v/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2026-10-11T04:44:27Z</dcterms:created>
  <dcterms:modified xmlns:dcterms="http://purl.org/dc/terms/" xmlns:xsi="http://www.w3.org/2001/XMLSchema-instance" xsi:type="dcterms:W3CDTF">2026-10-11T04:44:27Z</dcterms:modified>
</cp:coreProperties>
</file>