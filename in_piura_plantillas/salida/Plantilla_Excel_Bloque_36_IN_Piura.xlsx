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36</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36</t>
        </is>
      </c>
      <c r="C9" s="6" t="inlineStr">
        <is>
          <t>Microcuenca (catálogo)</t>
        </is>
      </c>
      <c r="D9" s="7" t="inlineStr">
        <is>
          <t>C1096-Q9547</t>
        </is>
      </c>
      <c r="E9" s="8" t="n"/>
      <c r="F9" s="8" t="n"/>
    </row>
    <row r="10">
      <c r="A10" s="6" t="inlineStr">
        <is>
          <t>Zona de planificación</t>
        </is>
      </c>
      <c r="B10" s="7" t="inlineStr">
        <is>
          <t>Z02</t>
        </is>
      </c>
      <c r="C10" s="6" t="inlineStr">
        <is>
          <t>Microcuenca declarada en ficha DT</t>
        </is>
      </c>
      <c r="D10" s="7" t="inlineStr">
        <is>
          <t>C1096-Q9547</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Guabal</t>
        </is>
      </c>
      <c r="C13" s="6" t="inlineStr">
        <is>
          <t>Comunidad campesina</t>
        </is>
      </c>
      <c r="D13" s="7" t="inlineStr">
        <is>
          <t>Por verificar</t>
        </is>
      </c>
      <c r="E13" s="8" t="n"/>
      <c r="F13" s="8" t="n"/>
    </row>
    <row r="14">
      <c r="A14" s="6" t="inlineStr">
        <is>
          <t>Superficie de catálogo (V5/V6), ha</t>
        </is>
      </c>
      <c r="B14" s="7" t="n">
        <v>24.84</v>
      </c>
      <c r="C14" s="6" t="inlineStr">
        <is>
          <t>Fuente de superficie</t>
        </is>
      </c>
      <c r="D14" s="7" t="inlineStr">
        <is>
          <t>Catálogo maestro Bloques V5/V6</t>
        </is>
      </c>
      <c r="E14" s="8" t="n"/>
      <c r="F14" s="8" t="n"/>
    </row>
    <row r="15">
      <c r="A15" s="6" t="inlineStr">
        <is>
          <t>Centroide UTM ESTE (m)</t>
        </is>
      </c>
      <c r="B15" s="7" t="n">
        <v>606468</v>
      </c>
      <c r="C15" s="6" t="inlineStr">
        <is>
          <t>Centroide UTM NORTE (m)</t>
        </is>
      </c>
      <c r="D15" s="7" t="n">
        <v>9454689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1239</v>
      </c>
      <c r="C19" s="6" t="inlineStr">
        <is>
          <t>Altitud máxima (msnm)</t>
        </is>
      </c>
      <c r="D19" s="7" t="n">
        <v>1476</v>
      </c>
      <c r="E19" s="8" t="n"/>
      <c r="F19" s="8" t="n"/>
    </row>
    <row r="20">
      <c r="A20" s="6" t="inlineStr">
        <is>
          <t>Amplitud altitudinal (m)</t>
        </is>
      </c>
      <c r="B20" s="7" t="n">
        <v>237</v>
      </c>
      <c r="C20" s="6" t="inlineStr">
        <is>
          <t>Piso altitudinal dominante</t>
        </is>
      </c>
      <c r="D20" s="7" t="inlineStr">
        <is>
          <t>1000-1500 m (Quechua baja)</t>
        </is>
      </c>
      <c r="E20" s="8" t="n"/>
      <c r="F20" s="8" t="n"/>
    </row>
    <row r="21">
      <c r="A21" s="6" t="inlineStr">
        <is>
          <t>Pendiente promedio (%)</t>
        </is>
      </c>
      <c r="B21" s="7" t="n">
        <v>30.65</v>
      </c>
      <c r="C21" s="6" t="inlineStr">
        <is>
          <t>Pendiente promedio (grados)</t>
        </is>
      </c>
      <c r="D21" s="7" t="n">
        <v>17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0.5395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mediana (50.07 %)</t>
        </is>
      </c>
      <c r="E29" s="8" t="n"/>
      <c r="F29" s="8" t="n"/>
    </row>
    <row r="30">
      <c r="A30" s="6" t="inlineStr">
        <is>
          <t>Superficie clasificada NDVI 2025 (ha)</t>
        </is>
      </c>
      <c r="B30" s="7" t="n">
        <v>24.856</v>
      </c>
      <c r="C30" s="6" t="inlineStr">
        <is>
          <t>Desviación frente al catálogo (%)</t>
        </is>
      </c>
      <c r="D30" s="7" t="n">
        <v>0.06</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24.84 ha (MINAM: Zona agrícola 100%)</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85</v>
      </c>
      <c r="E35" s="8" t="n"/>
      <c r="F35" s="8" t="n"/>
    </row>
    <row r="36">
      <c r="A36" s="6" t="inlineStr">
        <is>
          <t>Suelo desnudo — campo (%)</t>
        </is>
      </c>
      <c r="B36" s="7" t="n">
        <v>10</v>
      </c>
      <c r="C36" s="6" t="inlineStr">
        <is>
          <t>Regeneración natural</t>
        </is>
      </c>
      <c r="D36" s="7" t="inlineStr">
        <is>
          <t>Regular (10-50 pl./100m²)</t>
        </is>
      </c>
      <c r="E36" s="8" t="n"/>
      <c r="F36" s="8" t="n"/>
    </row>
    <row r="37">
      <c r="A37" s="6" t="inlineStr">
        <is>
          <t>Nivel general de erosión</t>
        </is>
      </c>
      <c r="B37" s="7" t="inlineStr">
        <is>
          <t>Ligera (laminar)</t>
        </is>
      </c>
      <c r="C37" s="6" t="inlineStr">
        <is>
          <t>N.° de cárcavas registradas</t>
        </is>
      </c>
      <c r="D37" s="7" t="n">
        <v>0</v>
      </c>
      <c r="E37" s="8" t="n"/>
      <c r="F37" s="8" t="n"/>
    </row>
    <row r="38">
      <c r="A38" s="6" t="inlineStr">
        <is>
          <t>Elenco florístico (n.° de taxones)</t>
        </is>
      </c>
      <c r="B38" s="7" t="n">
        <v>13</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Héctor Cahuas Miller / Pedro Talledo Hernández</t>
        </is>
      </c>
      <c r="C41" s="6" t="inlineStr">
        <is>
          <t>Fecha de evaluación</t>
        </is>
      </c>
      <c r="D41" s="7" t="inlineStr">
        <is>
          <t>2026-06-23</t>
        </is>
      </c>
      <c r="E41" s="8" t="n"/>
      <c r="F41" s="8" t="n"/>
    </row>
    <row r="42">
      <c r="A42" s="6" t="inlineStr">
        <is>
          <t>Hora de registro</t>
        </is>
      </c>
      <c r="B42" s="7" t="inlineStr">
        <is>
          <t>10:47-12:03</t>
        </is>
      </c>
      <c r="C42" s="6" t="inlineStr">
        <is>
          <t>Correlativo de ficha</t>
        </is>
      </c>
      <c r="D42" s="7" t="inlineStr">
        <is>
          <t>DT-B36-01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Recorrido (sin parcela permanente)</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agropecuaria de subsistencia sobre laderas, sin prácticas de conservación de suelos</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Baja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0.539458</v>
      </c>
      <c r="C15" s="17" t="inlineStr">
        <is>
          <t>—</t>
        </is>
      </c>
      <c r="D15" s="17" t="inlineStr">
        <is>
          <t>Vigor moderado · clase 0.4976 - 0.6139</t>
        </is>
      </c>
      <c r="E15" s="17" t="inlineStr">
        <is>
          <t>Sobre umbral</t>
        </is>
      </c>
    </row>
    <row r="17" ht="72" customHeight="1">
      <c r="A17" s="9" t="inlineStr">
        <is>
          <t>NOTA METODOLÓGICA. La media del MSAVI 2024 del bloque (0.539458)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12.2064</v>
      </c>
      <c r="C21" s="19" t="n">
        <v>49.11</v>
      </c>
      <c r="D21" s="11" t="inlineStr">
        <is>
          <t>Dosel continuo, matorral denso o mosaico agroforestal</t>
        </is>
      </c>
      <c r="E21" s="11" t="inlineStr"/>
    </row>
    <row r="22">
      <c r="A22" s="14" t="inlineStr">
        <is>
          <t>Vegetación mediana</t>
        </is>
      </c>
      <c r="B22" s="20" t="n">
        <v>12.4461</v>
      </c>
      <c r="C22" s="21" t="n">
        <v>50.07</v>
      </c>
      <c r="D22" s="15" t="inlineStr">
        <is>
          <t>Pastizal cultivado, matorral ralo, parcelas agrícolas</t>
        </is>
      </c>
      <c r="E22" s="15" t="inlineStr"/>
    </row>
    <row r="23">
      <c r="A23" s="7" t="inlineStr">
        <is>
          <t>Vegetación ligera</t>
        </is>
      </c>
      <c r="B23" s="18" t="n">
        <v>0.2037</v>
      </c>
      <c r="C23" s="19" t="n">
        <v>0.82</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24.84</v>
      </c>
      <c r="C25" s="25" t="inlineStr">
        <is>
          <t>—</t>
        </is>
      </c>
      <c r="D25" s="25" t="inlineStr">
        <is>
          <t>Desviación planimétrica frente al catálogo</t>
        </is>
      </c>
      <c r="E25" s="25" t="inlineStr">
        <is>
          <t>+0.06 %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49.11 % del polígono clasificado como «Vegetación alta» por el NDVI 2025; la observación de campo corresponde a una parcela o recorrido puntual y no es estadísticamente representativa de las 24.840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36</t>
        </is>
      </c>
    </row>
    <row r="6" ht="24" customHeight="1">
      <c r="A6" s="4" t="inlineStr">
        <is>
          <t>Levantamiento del 2026-06-23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606468</v>
      </c>
      <c r="D10" s="26" t="n">
        <v>9454689</v>
      </c>
      <c r="E10" s="11" t="n">
        <v>0</v>
      </c>
      <c r="F10" s="11" t="inlineStr"/>
      <c r="G10" s="11" t="inlineStr">
        <is>
          <t>Coordenada consignada en F-DT-01</t>
        </is>
      </c>
    </row>
    <row r="11">
      <c r="A11" s="14" t="inlineStr">
        <is>
          <t>H-01</t>
        </is>
      </c>
      <c r="B11" s="15" t="inlineStr">
        <is>
          <t>Fuente de agua — Quebrada estacional</t>
        </is>
      </c>
      <c r="C11" s="27" t="n">
        <v>606200</v>
      </c>
      <c r="D11" s="27" t="n">
        <v>9454450</v>
      </c>
      <c r="E11" s="15" t="n">
        <v>359.1</v>
      </c>
      <c r="F11" s="15" t="inlineStr">
        <is>
          <t>Estacional (lluvias)</t>
        </is>
      </c>
      <c r="G11" s="15" t="inlineStr">
        <is>
          <t>Quebrada tributaria</t>
        </is>
      </c>
    </row>
    <row r="12">
      <c r="A12" s="7" t="inlineStr">
        <is>
          <t>H-02</t>
        </is>
      </c>
      <c r="B12" s="11" t="inlineStr">
        <is>
          <t>Fuente de agua — Río</t>
        </is>
      </c>
      <c r="C12" s="26" t="n">
        <v>607400</v>
      </c>
      <c r="D12" s="26" t="n">
        <v>9454500</v>
      </c>
      <c r="E12" s="11" t="n">
        <v>951</v>
      </c>
      <c r="F12" s="11" t="inlineStr">
        <is>
          <t>Permanente</t>
        </is>
      </c>
      <c r="G12" s="11" t="inlineStr">
        <is>
          <t>Curso principal del sector</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606468</v>
      </c>
      <c r="C15" s="6" t="inlineStr">
        <is>
          <t>Centroide del bloque — UTM NORTE (m)</t>
        </is>
      </c>
      <c r="D15" s="7" t="n">
        <v>9454689</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23/06/2026, recorrido por cima-ladera. Altitud GPS no registrada por la app fotográfica; el rango altitudinal del sector se ESTIMÓ a partir del perfil de elevación del Bloque 6 adyacente (misma microcuenca), por confirmar con MDE para el Bloque 36.</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C1096-Q9547 — BLOQUE 36</t>
        </is>
      </c>
    </row>
    <row r="6" ht="24" customHeight="1">
      <c r="A6" s="4" t="inlineStr">
        <is>
          <t>Distrito de Frias · Provincia de Ayabaca · Comparación de los bloques preliminares de intervención de la misma microcuenca</t>
        </is>
      </c>
    </row>
    <row r="8" ht="18" customHeight="1">
      <c r="A8" s="5" t="inlineStr">
        <is>
          <t>BLOQUES DE LA MICROCUENCA C1096-Q9547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t>
        </is>
      </c>
      <c r="B10" s="28" t="n">
        <v>168.41</v>
      </c>
      <c r="C10" s="19" t="n">
        <v>53.36</v>
      </c>
      <c r="D10" s="11" t="inlineStr">
        <is>
          <t>1398 – 2016</t>
        </is>
      </c>
      <c r="E10" s="11" t="n">
        <v>618</v>
      </c>
      <c r="F10" s="11" t="n">
        <v>33.74</v>
      </c>
      <c r="G10" s="18" t="n">
        <v>0.5381</v>
      </c>
      <c r="H10" s="19" t="n">
        <v>40.11</v>
      </c>
    </row>
    <row r="11">
      <c r="A11" s="14" t="inlineStr">
        <is>
          <t>M10B4</t>
        </is>
      </c>
      <c r="B11" s="29" t="n">
        <v>68.89</v>
      </c>
      <c r="C11" s="21" t="n">
        <v>21.83</v>
      </c>
      <c r="D11" s="15" t="inlineStr">
        <is>
          <t>170 – 313</t>
        </is>
      </c>
      <c r="E11" s="15" t="n">
        <v>143</v>
      </c>
      <c r="F11" s="15" t="n">
        <v>13.83</v>
      </c>
      <c r="G11" s="20" t="n">
        <v>0.3133</v>
      </c>
      <c r="H11" s="21" t="n">
        <v>0</v>
      </c>
    </row>
    <row r="12">
      <c r="A12" s="7" t="inlineStr">
        <is>
          <t>25</t>
        </is>
      </c>
      <c r="B12" s="28" t="n">
        <v>53.48</v>
      </c>
      <c r="C12" s="19" t="n">
        <v>16.94</v>
      </c>
      <c r="D12" s="11" t="inlineStr">
        <is>
          <t>143 – 210</t>
        </is>
      </c>
      <c r="E12" s="11" t="n">
        <v>67</v>
      </c>
      <c r="F12" s="11" t="n">
        <v>11.68</v>
      </c>
      <c r="G12" s="18" t="n">
        <v>0.2565</v>
      </c>
      <c r="H12" s="19" t="inlineStr">
        <is>
          <t>Por determinar</t>
        </is>
      </c>
    </row>
    <row r="13">
      <c r="A13" s="12" t="inlineStr">
        <is>
          <t>► 36</t>
        </is>
      </c>
      <c r="B13" s="30" t="n">
        <v>24.84</v>
      </c>
      <c r="C13" s="31" t="n">
        <v>7.87</v>
      </c>
      <c r="D13" s="13" t="inlineStr">
        <is>
          <t>1239 – 1476</t>
        </is>
      </c>
      <c r="E13" s="13" t="n">
        <v>237</v>
      </c>
      <c r="F13" s="13" t="n">
        <v>30.65</v>
      </c>
      <c r="G13" s="32" t="n">
        <v>0.5395</v>
      </c>
      <c r="H13" s="31" t="n">
        <v>49.11</v>
      </c>
    </row>
    <row r="14">
      <c r="A14" s="16" t="inlineStr">
        <is>
          <t>TOTAL / PROMEDIO</t>
        </is>
      </c>
      <c r="B14" s="33">
        <f>SUM(B10:B13)</f>
        <v/>
      </c>
      <c r="C14" s="23">
        <f>SUM(C10:C13)</f>
        <v/>
      </c>
      <c r="D14" s="17" t="inlineStr">
        <is>
          <t>143 – 2016</t>
        </is>
      </c>
      <c r="E14" s="17" t="inlineStr"/>
      <c r="F14" s="17">
        <f>ROUND(AVERAGE(F10:F13),2)</f>
        <v/>
      </c>
      <c r="G14" s="22">
        <f>ROUND(AVERAGE(G10:G13),4)</f>
        <v/>
      </c>
      <c r="H14" s="23">
        <f>ROUND(AVERAGE(H10:H13),2)</f>
        <v/>
      </c>
    </row>
    <row r="16" ht="84" customHeight="1">
      <c r="A16" s="9" t="inlineStr">
        <is>
          <t>LECTURA INTRAMICROCUENCA. El bloque 36 ocupa el puesto 4 de 4 por superficie dentro de la microcuenca C1096-Q9547 (7.87 % de las 315.62 ha preliminares de la microcuenca). Su pendiente promedio (30.65 %, clase «25-50% (Mod. escarpado)») es la 3.ª más baja de 4 y se sitúa por encima del promedio de la microcuenca (22.48 %). Su MSAVI 2024 (0.5395) es el 1.º de 4 y queda por encima del promedio local (0.4119). Amplitud altitudinal del bloque: 237 m (1239–1476 msnm). El cuadro conserva todos los bloques catalogados en la microcuenca, incluidos los descartados en el tamizaje, para referencia del conjunto. Los bloques sin ficha DT figuran con sus parámetros de gabinete.</t>
        </is>
      </c>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18:H18"/>
    <mergeCell ref="A3:H3"/>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36</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«C1096-Q9547»</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(24.856 ha) coincide con la de catálogo (24.84 ha) dentro del ±2 % (+0.06 %)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«1500-2000 m (Quechua media)»; el MDE sitúa el bloque entre 1239 y 1476 msnm, cuyo punto medio corresponde a «1000-1500 m (Quechua baja)»</t>
        </is>
      </c>
      <c r="D13" s="13"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Altitud GPS del punto de muestreo</t>
        </is>
      </c>
      <c r="C14" s="34" t="inlineStr">
        <is>
          <t>La aplicación de captura no registró altitud GPS en campo</t>
        </is>
      </c>
      <c r="D14" s="13" t="inlineStr">
        <is>
          <t>NO SUSTANTIVA</t>
        </is>
      </c>
      <c r="E14" s="34" t="inlineStr">
        <is>
          <t>El rango altitudinal del bloque (1239–1476 msnm) y la pendiente promedio (30.65 %) se toman de la estadística zonal sobre el MDE, no de medición de campo. Se declara la fuente.</t>
        </is>
      </c>
    </row>
    <row r="15" ht="48" customHeight="1">
      <c r="A15" s="36" t="inlineStr">
        <is>
          <t>D-06</t>
        </is>
      </c>
      <c r="B15" s="36" t="inlineStr">
        <is>
          <t>Elenco florístico</t>
        </is>
      </c>
      <c r="C15" s="36" t="inlineStr">
        <is>
          <t>La ficha registra 13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Centro poblado asociado</t>
        </is>
      </c>
      <c r="C16" s="34" t="inlineStr">
        <is>
          <t>La ficha DT declara «Guabal»; el cruce INEI-Bloques V5 identifica 1 centro(s) poblado(s) en el bloque: GUABAL</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9">
      <c r="A19" s="16" t="inlineStr">
        <is>
          <t>RESUMEN</t>
        </is>
      </c>
      <c r="B19" s="17" t="inlineStr">
        <is>
          <t>8 verificaciones</t>
        </is>
      </c>
      <c r="C19" s="17" t="inlineStr">
        <is>
          <t>CONFORME: 4 · NO SUSTANTIVA: 2 · SUSTANTIVA: 2</t>
        </is>
      </c>
      <c r="D19" s="17" t="inlineStr"/>
      <c r="E19" s="17" t="inlineStr"/>
    </row>
    <row r="21" ht="60" customHeight="1">
      <c r="A2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1:E21"/>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36 — IN Piura</dc:title>
  <dc:subject>Diagnóstico Territorial por bloque de intervención</dc:subject>
  <dcterms:created xsi:type="dcterms:W3CDTF">2026-09-08T02:45:02Z</dcterms:created>
  <dcterms:modified xsi:type="dcterms:W3CDTF">2026-09-08T02:45:02Z</dcterms:modified>
</cp:coreProperties>
</file>