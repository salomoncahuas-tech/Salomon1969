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36</t>
        </is>
      </c>
      <c r="C9" s="6" t="inlineStr">
        <is>
          <t>Microcuenca (catálogo)</t>
        </is>
      </c>
      <c r="D9" s="7" t="inlineStr">
        <is>
          <t>C1096-Q9547</t>
        </is>
      </c>
      <c r="E9" s="8" t="n"/>
      <c r="F9" s="8" t="n"/>
    </row>
    <row r="10">
      <c r="A10" s="6" t="inlineStr">
        <is>
          <t>Zona de planificación</t>
        </is>
      </c>
      <c r="B10" s="7" t="inlineStr">
        <is>
          <t>Z02</t>
        </is>
      </c>
      <c r="C10" s="6" t="inlineStr">
        <is>
          <t>Microcuenca declarada en ficha DT</t>
        </is>
      </c>
      <c r="D10" s="7" t="inlineStr">
        <is>
          <t>C1096-Q9547</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Guabal</t>
        </is>
      </c>
      <c r="C13" s="6" t="inlineStr">
        <is>
          <t>Comunidad campesina</t>
        </is>
      </c>
      <c r="D13" s="7" t="inlineStr">
        <is>
          <t>Por verificar</t>
        </is>
      </c>
      <c r="E13" s="8" t="n"/>
      <c r="F13" s="8" t="n"/>
    </row>
    <row r="14">
      <c r="A14" s="6" t="inlineStr">
        <is>
          <t>Superficie de catálogo (V5/V6), ha</t>
        </is>
      </c>
      <c r="B14" s="7" t="n">
        <v>24.84</v>
      </c>
      <c r="C14" s="6" t="inlineStr">
        <is>
          <t>Fuente de superficie</t>
        </is>
      </c>
      <c r="D14" s="7" t="inlineStr">
        <is>
          <t>Catálogo maestro Bloques V5/V6</t>
        </is>
      </c>
      <c r="E14" s="8" t="n"/>
      <c r="F14" s="8" t="n"/>
    </row>
    <row r="15">
      <c r="A15" s="6" t="inlineStr">
        <is>
          <t>Centroide UTM ESTE (m)</t>
        </is>
      </c>
      <c r="B15" s="7" t="n">
        <v>606468</v>
      </c>
      <c r="C15" s="6" t="inlineStr">
        <is>
          <t>Centroide UTM NORTE (m)</t>
        </is>
      </c>
      <c r="D15" s="7" t="n">
        <v>9454689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1239</v>
      </c>
      <c r="C19" s="6" t="inlineStr">
        <is>
          <t>Altitud máxima (msnm)</t>
        </is>
      </c>
      <c r="D19" s="7" t="n">
        <v>1476</v>
      </c>
      <c r="E19" s="8" t="n"/>
      <c r="F19" s="8" t="n"/>
    </row>
    <row r="20">
      <c r="A20" s="6" t="inlineStr">
        <is>
          <t>Amplitud altitudinal (m)</t>
        </is>
      </c>
      <c r="B20" s="7" t="n">
        <v>237</v>
      </c>
      <c r="C20" s="6" t="inlineStr">
        <is>
          <t>Piso altitudinal dominante</t>
        </is>
      </c>
      <c r="D20" s="7" t="inlineStr">
        <is>
          <t>1000-1500 m (Quechua baja)</t>
        </is>
      </c>
      <c r="E20" s="8" t="n"/>
      <c r="F20" s="8" t="n"/>
    </row>
    <row r="21">
      <c r="A21" s="6" t="inlineStr">
        <is>
          <t>Pendiente promedio (%)</t>
        </is>
      </c>
      <c r="B21" s="7" t="n">
        <v>30.65</v>
      </c>
      <c r="C21" s="6" t="inlineStr">
        <is>
          <t>Pendiente promedio (grados)</t>
        </is>
      </c>
      <c r="D21" s="7" t="n">
        <v>17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0.5395</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34.30 % del bloque BAJO el umbral (8.520 ha de 24.840 ha)</t>
        </is>
      </c>
      <c r="C29" s="6" t="inlineStr">
        <is>
          <t>NDVI mediana 2025 — clase modal</t>
        </is>
      </c>
      <c r="D29" s="7" t="inlineStr">
        <is>
          <t>Vegetación mediana (50.07 %)</t>
        </is>
      </c>
      <c r="E29" s="8" t="n"/>
      <c r="F29" s="8" t="n"/>
    </row>
    <row r="30">
      <c r="A30" s="6" t="inlineStr">
        <is>
          <t>MSAVI 2024 — superficie BAJO el umbral 0.4976 (ha)</t>
        </is>
      </c>
      <c r="B30" s="7" t="n">
        <v>8.52</v>
      </c>
      <c r="C30" s="6" t="inlineStr">
        <is>
          <t>MSAVI 2024 — % del bloque BAJO el umbral</t>
        </is>
      </c>
      <c r="D30" s="7" t="n">
        <v>34.3</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(36.png)</t>
        </is>
      </c>
      <c r="E31" s="8" t="n"/>
      <c r="F31" s="8" t="n"/>
    </row>
    <row r="32" ht="18" customHeight="1">
      <c r="A32" s="6" t="inlineStr">
        <is>
          <t>Superficie clasificada NDVI 2025 (ha)</t>
        </is>
      </c>
      <c r="B32" s="7" t="n">
        <v>24.856</v>
      </c>
      <c r="C32" s="6" t="inlineStr">
        <is>
          <t>Desviación frente al catálogo (%)</t>
        </is>
      </c>
      <c r="D32" s="7" t="n">
        <v>0.06</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24.84 ha (MINAM: Zona agrícola 100%)</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n">
        <v>85</v>
      </c>
      <c r="E37" s="8" t="n"/>
      <c r="F37" s="8" t="n"/>
    </row>
    <row r="38">
      <c r="A38" s="6" t="inlineStr">
        <is>
          <t>Suelo desnudo — campo (%)</t>
        </is>
      </c>
      <c r="B38" s="7" t="n">
        <v>10</v>
      </c>
      <c r="C38" s="6" t="inlineStr">
        <is>
          <t>Regeneración natural</t>
        </is>
      </c>
      <c r="D38" s="7" t="inlineStr">
        <is>
          <t>Regular (10-50 pl./100m²)</t>
        </is>
      </c>
      <c r="E38" s="8" t="n"/>
      <c r="F38" s="8" t="n"/>
    </row>
    <row r="39">
      <c r="A39" s="6" t="inlineStr">
        <is>
          <t>Nivel general de erosión</t>
        </is>
      </c>
      <c r="B39" s="7" t="inlineStr">
        <is>
          <t>Ligera (laminar)</t>
        </is>
      </c>
      <c r="C39" s="6" t="inlineStr">
        <is>
          <t>N.° de cárcavas registradas</t>
        </is>
      </c>
      <c r="D39" s="7" t="n">
        <v>0</v>
      </c>
      <c r="E39" s="8" t="n"/>
      <c r="F39" s="8" t="n"/>
    </row>
    <row r="40" ht="18" customHeight="1">
      <c r="A40" s="6" t="inlineStr">
        <is>
          <t>Elenco florístico (n.° de taxones)</t>
        </is>
      </c>
      <c r="B40" s="7" t="n">
        <v>13</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Héctor Cahuas Miller / Pedro Talledo Hernández</t>
        </is>
      </c>
      <c r="C43" s="6" t="inlineStr">
        <is>
          <t>Fecha de evaluación</t>
        </is>
      </c>
      <c r="D43" s="7" t="inlineStr">
        <is>
          <t>2026-06-23</t>
        </is>
      </c>
      <c r="E43" s="8" t="n"/>
      <c r="F43" s="8" t="n"/>
    </row>
    <row r="44">
      <c r="A44" s="6" t="inlineStr">
        <is>
          <t>Hora de registro</t>
        </is>
      </c>
      <c r="B44" s="7" t="inlineStr">
        <is>
          <t>10:47-12:03</t>
        </is>
      </c>
      <c r="C44" s="6" t="inlineStr">
        <is>
          <t>Correlativo de ficha</t>
        </is>
      </c>
      <c r="D44" s="7" t="inlineStr">
        <is>
          <t>DT-B36-01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Recorrido (sin parcela permanente)</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Presión agropecuaria de subsistencia sobre laderas, sin prácticas de conservación de suelos</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Baja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4.8537</v>
      </c>
      <c r="C10" s="19" t="n">
        <v>19.54</v>
      </c>
      <c r="D10" s="11" t="inlineStr">
        <is>
          <t>Vigor alto</t>
        </is>
      </c>
      <c r="E10" s="11" t="inlineStr">
        <is>
          <t>Sobre umbral</t>
        </is>
      </c>
    </row>
    <row r="11">
      <c r="A11" s="12" t="inlineStr">
        <is>
          <t>0.4976 - 0.6139</t>
        </is>
      </c>
      <c r="B11" s="32" t="n">
        <v>11.4662</v>
      </c>
      <c r="C11" s="31" t="n">
        <v>46.16</v>
      </c>
      <c r="D11" s="13" t="inlineStr">
        <is>
          <t>Vigor moderado</t>
        </is>
      </c>
      <c r="E11" s="13" t="inlineStr">
        <is>
          <t>Sobre umbral</t>
        </is>
      </c>
    </row>
    <row r="12">
      <c r="A12" s="7" t="inlineStr">
        <is>
          <t>0.3813 - 0.4976</t>
        </is>
      </c>
      <c r="B12" s="18" t="n">
        <v>8.227</v>
      </c>
      <c r="C12" s="19" t="n">
        <v>33.12</v>
      </c>
      <c r="D12" s="11" t="inlineStr">
        <is>
          <t>Vigor bajo</t>
        </is>
      </c>
      <c r="E12" s="11" t="inlineStr">
        <is>
          <t>BAJO umbral 0.4976</t>
        </is>
      </c>
    </row>
    <row r="13">
      <c r="A13" s="14" t="inlineStr">
        <is>
          <t>0.2650 - 0.3813</t>
        </is>
      </c>
      <c r="B13" s="20" t="n">
        <v>0.2931</v>
      </c>
      <c r="C13" s="21" t="n">
        <v>1.18</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0.539458</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12.2064</v>
      </c>
      <c r="C22" s="19" t="n">
        <v>49.11</v>
      </c>
      <c r="D22" s="11" t="inlineStr">
        <is>
          <t>Dosel continuo, matorral denso o mosaico agroforestal</t>
        </is>
      </c>
      <c r="E22" s="11" t="inlineStr"/>
    </row>
    <row r="23">
      <c r="A23" s="14" t="inlineStr">
        <is>
          <t>Vegetación mediana</t>
        </is>
      </c>
      <c r="B23" s="20" t="n">
        <v>12.4461</v>
      </c>
      <c r="C23" s="21" t="n">
        <v>50.07</v>
      </c>
      <c r="D23" s="15" t="inlineStr">
        <is>
          <t>Pastizal cultivado, matorral ralo, parcelas agrícolas</t>
        </is>
      </c>
      <c r="E23" s="15" t="inlineStr"/>
    </row>
    <row r="24">
      <c r="A24" s="7" t="inlineStr">
        <is>
          <t>Vegetación ligera</t>
        </is>
      </c>
      <c r="B24" s="18" t="n">
        <v>0.2037</v>
      </c>
      <c r="C24" s="19" t="n">
        <v>0.82</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24.84</v>
      </c>
      <c r="C26" s="25" t="inlineStr">
        <is>
          <t>—</t>
        </is>
      </c>
      <c r="D26" s="25" t="inlineStr">
        <is>
          <t>Desviación planimétrica frente al catálogo</t>
        </is>
      </c>
      <c r="E26" s="25" t="inlineStr">
        <is>
          <t>+0.06 %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49.11 % del polígono clasificado como «Vegetación alta» por el NDVI 2025; la observación de campo corresponde a una parcela o recorrido puntual y no es estadísticamente representativa de las 24.840 ha del bloque.</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36</t>
        </is>
      </c>
    </row>
    <row r="6" ht="24" customHeight="1">
      <c r="A6" s="4" t="inlineStr">
        <is>
          <t>Levantamiento del 2026-06-23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606468</v>
      </c>
      <c r="D10" s="26" t="n">
        <v>9454689</v>
      </c>
      <c r="E10" s="11" t="n">
        <v>0</v>
      </c>
      <c r="F10" s="11" t="inlineStr"/>
      <c r="G10" s="11" t="inlineStr">
        <is>
          <t>Coordenada consignada en F-DT-01</t>
        </is>
      </c>
    </row>
    <row r="11">
      <c r="A11" s="14" t="inlineStr">
        <is>
          <t>H-01</t>
        </is>
      </c>
      <c r="B11" s="15" t="inlineStr">
        <is>
          <t>Fuente de agua — Quebrada estacional</t>
        </is>
      </c>
      <c r="C11" s="27" t="n">
        <v>606200</v>
      </c>
      <c r="D11" s="27" t="n">
        <v>9454450</v>
      </c>
      <c r="E11" s="15" t="n">
        <v>359.1</v>
      </c>
      <c r="F11" s="15" t="inlineStr">
        <is>
          <t>Estacional (lluvias)</t>
        </is>
      </c>
      <c r="G11" s="15" t="inlineStr">
        <is>
          <t>Quebrada tributaria</t>
        </is>
      </c>
    </row>
    <row r="12">
      <c r="A12" s="7" t="inlineStr">
        <is>
          <t>H-02</t>
        </is>
      </c>
      <c r="B12" s="11" t="inlineStr">
        <is>
          <t>Fuente de agua — Río</t>
        </is>
      </c>
      <c r="C12" s="26" t="n">
        <v>607400</v>
      </c>
      <c r="D12" s="26" t="n">
        <v>9454500</v>
      </c>
      <c r="E12" s="11" t="n">
        <v>951</v>
      </c>
      <c r="F12" s="11" t="inlineStr">
        <is>
          <t>Permanente</t>
        </is>
      </c>
      <c r="G12" s="11" t="inlineStr">
        <is>
          <t>Curso principal del sector</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606468</v>
      </c>
      <c r="C15" s="6" t="inlineStr">
        <is>
          <t>Centroide del bloque — UTM NORTE (m)</t>
        </is>
      </c>
      <c r="D15" s="7" t="n">
        <v>9454689</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23/06/2026, recorrido por cima-ladera. Altitud GPS no registrada por la app fotográfica; el rango altitudinal del sector se ESTIMÓ a partir del perfil de elevación del Bloque 6 adyacente (misma microcuenca), por confirmar con MDE para el Bloque 36.</t>
        </is>
      </c>
      <c r="B18" s="38" t="n"/>
      <c r="C18" s="38" t="n"/>
      <c r="D18" s="38" t="n"/>
      <c r="E18" s="38" t="n"/>
      <c r="F18" s="38" t="n"/>
      <c r="G18" s="39"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C1096-Q9547 — BLOQUE 36</t>
        </is>
      </c>
    </row>
    <row r="6" ht="24" customHeight="1">
      <c r="A6" s="4" t="inlineStr">
        <is>
          <t>Distrito de Frias · Provincia de Ayabaca · Comparación de los bloques preliminares de intervención de la misma microcuenca</t>
        </is>
      </c>
    </row>
    <row r="8" ht="18" customHeight="1">
      <c r="A8" s="5" t="inlineStr">
        <is>
          <t>BLOQUES DE LA MICROCUENCA C1096-Q9547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t>
        </is>
      </c>
      <c r="B10" s="28" t="n">
        <v>168.41</v>
      </c>
      <c r="C10" s="19" t="n">
        <v>53.36</v>
      </c>
      <c r="D10" s="11" t="inlineStr">
        <is>
          <t>1398 – 2016</t>
        </is>
      </c>
      <c r="E10" s="11" t="n">
        <v>618</v>
      </c>
      <c r="F10" s="11" t="n">
        <v>33.74</v>
      </c>
      <c r="G10" s="18" t="n">
        <v>0.5381</v>
      </c>
      <c r="H10" s="19" t="n">
        <v>40.11</v>
      </c>
    </row>
    <row r="11">
      <c r="A11" s="14" t="inlineStr">
        <is>
          <t>M10B4</t>
        </is>
      </c>
      <c r="B11" s="29" t="n">
        <v>68.89</v>
      </c>
      <c r="C11" s="21" t="n">
        <v>21.83</v>
      </c>
      <c r="D11" s="15" t="inlineStr">
        <is>
          <t>170 – 313</t>
        </is>
      </c>
      <c r="E11" s="15" t="n">
        <v>143</v>
      </c>
      <c r="F11" s="15" t="n">
        <v>13.83</v>
      </c>
      <c r="G11" s="20" t="n">
        <v>0.3133</v>
      </c>
      <c r="H11" s="21" t="n">
        <v>0</v>
      </c>
    </row>
    <row r="12">
      <c r="A12" s="7" t="inlineStr">
        <is>
          <t>25</t>
        </is>
      </c>
      <c r="B12" s="28" t="n">
        <v>53.48</v>
      </c>
      <c r="C12" s="19" t="n">
        <v>16.94</v>
      </c>
      <c r="D12" s="11" t="inlineStr">
        <is>
          <t>143 – 210</t>
        </is>
      </c>
      <c r="E12" s="11" t="n">
        <v>67</v>
      </c>
      <c r="F12" s="11" t="n">
        <v>11.68</v>
      </c>
      <c r="G12" s="18" t="n">
        <v>0.2565</v>
      </c>
      <c r="H12" s="19" t="inlineStr">
        <is>
          <t>Por determinar</t>
        </is>
      </c>
    </row>
    <row r="13">
      <c r="A13" s="12" t="inlineStr">
        <is>
          <t>► 36</t>
        </is>
      </c>
      <c r="B13" s="30" t="n">
        <v>24.84</v>
      </c>
      <c r="C13" s="31" t="n">
        <v>7.87</v>
      </c>
      <c r="D13" s="13" t="inlineStr">
        <is>
          <t>1239 – 1476</t>
        </is>
      </c>
      <c r="E13" s="13" t="n">
        <v>237</v>
      </c>
      <c r="F13" s="13" t="n">
        <v>30.65</v>
      </c>
      <c r="G13" s="32" t="n">
        <v>0.5395</v>
      </c>
      <c r="H13" s="31" t="n">
        <v>49.11</v>
      </c>
    </row>
    <row r="14">
      <c r="A14" s="16" t="inlineStr">
        <is>
          <t>TOTAL / PROMEDIO</t>
        </is>
      </c>
      <c r="B14" s="33">
        <f>SUM(B10:B13)</f>
        <v/>
      </c>
      <c r="C14" s="23">
        <f>SUM(C10:C13)</f>
        <v/>
      </c>
      <c r="D14" s="17" t="inlineStr">
        <is>
          <t>143 – 2016</t>
        </is>
      </c>
      <c r="E14" s="17" t="inlineStr"/>
      <c r="F14" s="17">
        <f>ROUND(AVERAGE(F10:F13),2)</f>
        <v/>
      </c>
      <c r="G14" s="22">
        <f>ROUND(AVERAGE(G10:G13),4)</f>
        <v/>
      </c>
      <c r="H14" s="23">
        <f>ROUND(AVERAGE(H10:H13),2)</f>
        <v/>
      </c>
    </row>
    <row r="15" ht="48" customHeight="1">
      <c r="A15" s="9" t="inlineStr">
        <is>
          <t>ALCANCE DE LOS PROMEDIOS. La fila TOTAL / PROMEDIO omite las celdas «Por determinar»: el promedio de VEGETACIÓN ALTA (NDVI 2025) se calcula sobre 3 de los 4 bloques; el bloque restante carece de estadística zonal de NDVI. Los totales de ÁREA y % de microcuenca sí comprenden la totalidad de los 4 bloques. No se estima ningún valor ausente.</t>
        </is>
      </c>
      <c r="B15" s="38" t="n"/>
      <c r="C15" s="38" t="n"/>
      <c r="D15" s="38" t="n"/>
      <c r="E15" s="38" t="n"/>
      <c r="F15" s="38" t="n"/>
      <c r="G15" s="38" t="n"/>
      <c r="H15" s="39" t="n"/>
    </row>
    <row r="17" ht="84" customHeight="1">
      <c r="A17" s="9" t="inlineStr">
        <is>
          <t>LECTURA INTRAMICROCUENCA. El bloque 36 ocupa el puesto 4 de 4 por superficie dentro de la microcuenca C1096-Q9547 (7.87 % de las 315.62 ha preliminares de la microcuenca). Su pendiente promedio (30.65 %, clase «25-50% (Mod. escarpado)») es la 3.ª más baja de 4 y se sitúa por encima del promedio de la microcuenca (22.48 %). Su MSAVI 2024 (0.5395) es el 1.º de 4 y queda por encima del promedio local (0.4119). Amplitud altitudinal del bloque: 237 m (1239–1476 msnm). El cuadro conserva todos los bloques catalogados en la microcuenca, incluidos los descartados en el tamizaje, para referencia del conjunto. Los bloques sin ficha DT figuran con sus parámetros de gabinete.</t>
        </is>
      </c>
      <c r="B17" s="38" t="n"/>
      <c r="C17" s="38" t="n"/>
      <c r="D17" s="38" t="n"/>
      <c r="E17" s="38" t="n"/>
      <c r="F17" s="38" t="n"/>
      <c r="G17" s="38" t="n"/>
      <c r="H17" s="39" t="n"/>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9" s="38" t="n"/>
      <c r="C19" s="38" t="n"/>
      <c r="D19" s="38" t="n"/>
      <c r="E19" s="38" t="n"/>
      <c r="F19" s="38" t="n"/>
      <c r="G19" s="38" t="n"/>
      <c r="H19" s="39" t="n"/>
    </row>
  </sheetData>
  <mergeCells count="10">
    <mergeCell ref="A1:H1"/>
    <mergeCell ref="A4:H4"/>
    <mergeCell ref="A3:H3"/>
    <mergeCell ref="A15:H15"/>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«C1096-Q9547»</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(24.856 ha) coincide con la de catálogo (24.84 ha) dentro del ±2 % (+0.06 %)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«1500-2000 m (Quechua media)»; el MDE sitúa el bloque entre 1239 y 1476 msnm, cuyo punto medio corresponde a «1000-1500 m (Quechua baja)»</t>
        </is>
      </c>
      <c r="D13" s="13"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(1239–1476 msnm) y la pendiente promedio (30.65 %) se toman de la estadística zonal sobre el MDE, no de medición de campo. Se declara la fuente.</t>
        </is>
      </c>
    </row>
    <row r="15" ht="48" customHeight="1">
      <c r="A15" s="36" t="inlineStr">
        <is>
          <t>D-06</t>
        </is>
      </c>
      <c r="B15" s="36" t="inlineStr">
        <is>
          <t>Elenco florístico</t>
        </is>
      </c>
      <c r="C15" s="36" t="inlineStr">
        <is>
          <t>La ficha registra 13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Centro poblado asociado</t>
        </is>
      </c>
      <c r="C16" s="34" t="inlineStr">
        <is>
          <t>La ficha DT declara «Guabal»; el cruce INEI-Bloques V5 identifica 1 centro(s) poblado(s) en el bloque: GUABAL</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c r="A18" s="36" t="inlineStr">
        <is>
          <t>D-09</t>
        </is>
      </c>
      <c r="B18" s="36" t="inlineStr">
        <is>
          <t>Distribución areal de clases MSAVI 2024</t>
        </is>
      </c>
      <c r="C18" s="36" t="inlineStr">
        <is>
          <t>La hoja «Cobertura MSAVI-NDVI» consignaba «Por determinar» en la distribución areal de clases MSAVI 2024; se incorpora el metrado por clase medido sobre la cartografía temática MSAVI 2024 del bloque: 34.30 % del bloque (8.520 ha) bajo el umbral 0.4976 y 65.70 % sobre el umbral; clase areal dominante «Vigor moderado».</t>
        </is>
      </c>
      <c r="D18" s="37" t="inlineStr">
        <is>
          <t>CORREGIDO</t>
        </is>
      </c>
      <c r="E18"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9"/>
    <row r="20">
      <c r="A20" s="16" t="inlineStr">
        <is>
          <t>RESUMEN</t>
        </is>
      </c>
      <c r="B20" s="17" t="inlineStr">
        <is>
          <t>9 verificaciones</t>
        </is>
      </c>
      <c r="C20" s="17" t="inlineStr">
        <is>
          <t>CONFORME: 4 · NO SUSTANTIVA: 2 · SUSTANTIVA: 2 · CORREGIDO: 1</t>
        </is>
      </c>
      <c r="D20" s="17" t="inlineStr"/>
      <c r="E20" s="17" t="inlineStr"/>
    </row>
    <row r="21" ht="60" customHeight="1"/>
    <row r="22">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38" t="n"/>
      <c r="C22" s="38" t="n"/>
      <c r="D22" s="38" t="n"/>
      <c r="E22" s="39"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36 — IN Piura</dc:title>
  <dc:subject>Diagnóstico Territorial por bloque de intervención</dc:subject>
  <dcterms:created xsi:type="dcterms:W3CDTF">2026-09-08T03:39:54Z</dcterms:created>
  <dcterms:modified xsi:type="dcterms:W3CDTF">2026-09-09T14:49:42Z</dcterms:modified>
</cp:coreProperties>
</file>