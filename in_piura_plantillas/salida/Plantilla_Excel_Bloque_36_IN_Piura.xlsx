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t>
        </is>
      </c>
      <c r="C13" s="6" t="inlineStr">
        <is>
          <t>Comunidad campesina</t>
        </is>
      </c>
      <c r="D13" s="7" t="inlineStr">
        <is>
          <t>Por verificar</t>
        </is>
      </c>
      <c r="E13" s="8" t="n"/>
      <c r="F13" s="8" t="n"/>
    </row>
    <row r="14">
      <c r="A14" s="6" t="inlineStr">
        <is>
          <t>Superficie de catálogo (V5/V6), ha</t>
        </is>
      </c>
      <c r="B14" s="7" t="n">
        <v>24.84</v>
      </c>
      <c r="C14" s="6" t="inlineStr">
        <is>
          <t>Fuente de superficie</t>
        </is>
      </c>
      <c r="D14" s="7" t="inlineStr">
        <is>
          <t>Catálogo maestro Bloques V5/V6</t>
        </is>
      </c>
      <c r="E14" s="8" t="n"/>
      <c r="F14" s="8" t="n"/>
    </row>
    <row r="15">
      <c r="A15" s="6" t="inlineStr">
        <is>
          <t>Centroide UTM ESTE (m)</t>
        </is>
      </c>
      <c r="B15" s="7" t="n">
        <v>606468</v>
      </c>
      <c r="C15" s="6" t="inlineStr">
        <is>
          <t>Centroide UTM NORTE (m)</t>
        </is>
      </c>
      <c r="D15" s="7" t="n">
        <v>9454689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1239</v>
      </c>
      <c r="C19" s="6" t="inlineStr">
        <is>
          <t>Altitud máxima (msnm)</t>
        </is>
      </c>
      <c r="D19" s="7" t="n">
        <v>1476</v>
      </c>
      <c r="E19" s="8" t="n"/>
      <c r="F19" s="8" t="n"/>
    </row>
    <row r="20">
      <c r="A20" s="6" t="inlineStr">
        <is>
          <t>Amplitud altitudinal (m)</t>
        </is>
      </c>
      <c r="B20" s="7" t="n">
        <v>237</v>
      </c>
      <c r="C20" s="6" t="inlineStr">
        <is>
          <t>Piso altitudinal dominante</t>
        </is>
      </c>
      <c r="D20" s="7" t="inlineStr">
        <is>
          <t>1000-1500 m (Quechua baja)</t>
        </is>
      </c>
      <c r="E20" s="8" t="n"/>
      <c r="F20" s="8" t="n"/>
    </row>
    <row r="21">
      <c r="A21" s="6" t="inlineStr">
        <is>
          <t>Pendiente promedio (%)</t>
        </is>
      </c>
      <c r="B21" s="7" t="n">
        <v>30.65</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0.5395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(50.07 %)</t>
        </is>
      </c>
      <c r="E29" s="8" t="n"/>
      <c r="F29" s="8" t="n"/>
    </row>
    <row r="30">
      <c r="A30" s="6" t="inlineStr">
        <is>
          <t>Superficie clasificada NDVI 2025 (ha)</t>
        </is>
      </c>
      <c r="B30" s="7" t="n">
        <v>24.856</v>
      </c>
      <c r="C30" s="6" t="inlineStr">
        <is>
          <t>Desviación frente al catálogo (%)</t>
        </is>
      </c>
      <c r="D30" s="7" t="n">
        <v>0.06</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24.84 ha (MINAM: Zona agrícola 100%)</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Héctor Cahuas Miller / Pedro Talledo Hernández</t>
        </is>
      </c>
      <c r="C41" s="6" t="inlineStr">
        <is>
          <t>Fecha de evaluación</t>
        </is>
      </c>
      <c r="D41" s="7" t="inlineStr">
        <is>
          <t>2026-06-23</t>
        </is>
      </c>
      <c r="E41" s="8" t="n"/>
      <c r="F41" s="8" t="n"/>
    </row>
    <row r="42">
      <c r="A42" s="6" t="inlineStr">
        <is>
          <t>Hora de registro</t>
        </is>
      </c>
      <c r="B42" s="7" t="inlineStr">
        <is>
          <t>10:47-12:03</t>
        </is>
      </c>
      <c r="C42" s="6" t="inlineStr">
        <is>
          <t>Correlativo de ficha</t>
        </is>
      </c>
      <c r="D42" s="7" t="inlineStr">
        <is>
          <t>DT-B36-01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(sin parcela permanente)</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0.539458</v>
      </c>
      <c r="C15" s="17" t="inlineStr">
        <is>
          <t>—</t>
        </is>
      </c>
      <c r="D15" s="17" t="inlineStr">
        <is>
          <t>Vigor moderado · clase 0.4976 - 0.6139</t>
        </is>
      </c>
      <c r="E15" s="17" t="inlineStr">
        <is>
          <t>Sobre umbral</t>
        </is>
      </c>
    </row>
    <row r="17" ht="72" customHeight="1">
      <c r="A17" s="9" t="inlineStr">
        <is>
          <t>NOTA METODOLÓGICA. La media del MSAVI 2024 del bloque (0.539458)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12.2064</v>
      </c>
      <c r="C21" s="19" t="n">
        <v>49.11</v>
      </c>
      <c r="D21" s="11" t="inlineStr">
        <is>
          <t>Dosel continuo, matorral denso o mosaico agroforestal</t>
        </is>
      </c>
      <c r="E21" s="11" t="inlineStr"/>
    </row>
    <row r="22">
      <c r="A22" s="14" t="inlineStr">
        <is>
          <t>Vegetación mediana</t>
        </is>
      </c>
      <c r="B22" s="20" t="n">
        <v>12.4461</v>
      </c>
      <c r="C22" s="21" t="n">
        <v>50.07</v>
      </c>
      <c r="D22" s="15" t="inlineStr">
        <is>
          <t>Pastizal cultivado, matorral ralo, parcelas agrícolas</t>
        </is>
      </c>
      <c r="E22" s="15" t="inlineStr"/>
    </row>
    <row r="23">
      <c r="A23" s="7" t="inlineStr">
        <is>
          <t>Vegetación ligera</t>
        </is>
      </c>
      <c r="B23" s="18" t="n">
        <v>0.2037</v>
      </c>
      <c r="C23" s="19" t="n">
        <v>0.82</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24.84</v>
      </c>
      <c r="C25" s="25" t="inlineStr">
        <is>
          <t>—</t>
        </is>
      </c>
      <c r="D25" s="25" t="inlineStr">
        <is>
          <t>Desviación planimétrica frente al catálogo</t>
        </is>
      </c>
      <c r="E25" s="25" t="inlineStr">
        <is>
          <t>+0.06 %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49.11 % del polígono clasificado como «Vegetación alta» por el NDVI 2025; la observación de campo corresponde a una parcela o recorrido puntual y no es estadísticamente representativa de las 24.840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36</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606468</v>
      </c>
      <c r="D10" s="26" t="n">
        <v>9454689</v>
      </c>
      <c r="E10" s="11" t="n">
        <v>0</v>
      </c>
      <c r="F10" s="11" t="inlineStr"/>
      <c r="G10" s="11" t="inlineStr">
        <is>
          <t>Coordenada consignada en F-DT-01</t>
        </is>
      </c>
    </row>
    <row r="11">
      <c r="A11" s="14" t="inlineStr">
        <is>
          <t>H-01</t>
        </is>
      </c>
      <c r="B11" s="15" t="inlineStr">
        <is>
          <t>Fuente de agua — Quebrada estacional</t>
        </is>
      </c>
      <c r="C11" s="27" t="n">
        <v>606200</v>
      </c>
      <c r="D11" s="27" t="n">
        <v>9454450</v>
      </c>
      <c r="E11" s="15" t="n">
        <v>359.1</v>
      </c>
      <c r="F11" s="15" t="inlineStr">
        <is>
          <t>Estacional (lluvias)</t>
        </is>
      </c>
      <c r="G11" s="15" t="inlineStr">
        <is>
          <t>Quebrada tributaria</t>
        </is>
      </c>
    </row>
    <row r="12">
      <c r="A12" s="7" t="inlineStr">
        <is>
          <t>H-02</t>
        </is>
      </c>
      <c r="B12" s="11" t="inlineStr">
        <is>
          <t>Fuente de agua — Río</t>
        </is>
      </c>
      <c r="C12" s="26" t="n">
        <v>607400</v>
      </c>
      <c r="D12" s="26" t="n">
        <v>9454500</v>
      </c>
      <c r="E12" s="11" t="n">
        <v>951</v>
      </c>
      <c r="F12" s="11" t="inlineStr">
        <is>
          <t>Permanente</t>
        </is>
      </c>
      <c r="G12" s="11" t="inlineStr">
        <is>
          <t>Curso principal del sector</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606468</v>
      </c>
      <c r="C15" s="6" t="inlineStr">
        <is>
          <t>Centroide del bloque — UTM NORTE (m)</t>
        </is>
      </c>
      <c r="D15" s="7" t="n">
        <v>9454689</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23/06/2026, recorrido por cima-ladera. Altitud GPS no registrada por la app fotográfica; el rango altitudinal del sector se ESTIMÓ a partir del perfil de elevación del Bloque 6 adyacente (misma microcuenca), por confirmar con MDE para el Bloque 36.</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36</t>
        </is>
      </c>
    </row>
    <row r="6" ht="24" customHeight="1">
      <c r="A6" s="4" t="inlineStr">
        <is>
          <t>Distrito de Frias · Provincia de Ayabaca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t>
        </is>
      </c>
      <c r="B10" s="28" t="n">
        <v>168.41</v>
      </c>
      <c r="C10" s="19" t="n">
        <v>53.36</v>
      </c>
      <c r="D10" s="11" t="inlineStr">
        <is>
          <t>1398 – 2016</t>
        </is>
      </c>
      <c r="E10" s="11" t="n">
        <v>618</v>
      </c>
      <c r="F10" s="11" t="n">
        <v>33.74</v>
      </c>
      <c r="G10" s="18" t="n">
        <v>0.5381</v>
      </c>
      <c r="H10" s="19" t="n">
        <v>40.11</v>
      </c>
    </row>
    <row r="11">
      <c r="A11" s="14" t="inlineStr">
        <is>
          <t>M10B4</t>
        </is>
      </c>
      <c r="B11" s="29" t="n">
        <v>68.89</v>
      </c>
      <c r="C11" s="21" t="n">
        <v>21.83</v>
      </c>
      <c r="D11" s="15" t="inlineStr">
        <is>
          <t>170 – 313</t>
        </is>
      </c>
      <c r="E11" s="15" t="n">
        <v>143</v>
      </c>
      <c r="F11" s="15" t="n">
        <v>13.83</v>
      </c>
      <c r="G11" s="20" t="n">
        <v>0.3133</v>
      </c>
      <c r="H11" s="21" t="n">
        <v>0</v>
      </c>
    </row>
    <row r="12">
      <c r="A12" s="7" t="inlineStr">
        <is>
          <t>25</t>
        </is>
      </c>
      <c r="B12" s="28" t="n">
        <v>53.48</v>
      </c>
      <c r="C12" s="19" t="n">
        <v>16.94</v>
      </c>
      <c r="D12" s="11" t="inlineStr">
        <is>
          <t>143 – 210</t>
        </is>
      </c>
      <c r="E12" s="11" t="n">
        <v>67</v>
      </c>
      <c r="F12" s="11" t="n">
        <v>11.68</v>
      </c>
      <c r="G12" s="18" t="n">
        <v>0.2565</v>
      </c>
      <c r="H12" s="19" t="inlineStr">
        <is>
          <t>Por determinar</t>
        </is>
      </c>
    </row>
    <row r="13">
      <c r="A13" s="12" t="inlineStr">
        <is>
          <t>► 36</t>
        </is>
      </c>
      <c r="B13" s="30" t="n">
        <v>24.84</v>
      </c>
      <c r="C13" s="31" t="n">
        <v>7.87</v>
      </c>
      <c r="D13" s="13" t="inlineStr">
        <is>
          <t>1239 – 1476</t>
        </is>
      </c>
      <c r="E13" s="13" t="n">
        <v>237</v>
      </c>
      <c r="F13" s="13" t="n">
        <v>30.65</v>
      </c>
      <c r="G13" s="32" t="n">
        <v>0.5395</v>
      </c>
      <c r="H13" s="31" t="n">
        <v>49.11</v>
      </c>
    </row>
    <row r="14">
      <c r="A14" s="16" t="inlineStr">
        <is>
          <t>TOTAL / PROMEDIO</t>
        </is>
      </c>
      <c r="B14" s="33">
        <f>SUM(B10:B13)</f>
        <v/>
      </c>
      <c r="C14" s="23">
        <f>SUM(C10:C13)</f>
        <v/>
      </c>
      <c r="D14" s="17" t="inlineStr">
        <is>
          <t>143 – 2016</t>
        </is>
      </c>
      <c r="E14" s="17" t="inlineStr"/>
      <c r="F14" s="17">
        <f>ROUND(AVERAGE(F10:F13),2)</f>
        <v/>
      </c>
      <c r="G14" s="22">
        <f>ROUND(AVERAGE(G10:G13),4)</f>
        <v/>
      </c>
      <c r="H14" s="23">
        <f>ROUND(AVERAGE(H10:H13),2)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row>
    <row r="17" ht="84" customHeight="1">
      <c r="A17" s="9" t="inlineStr">
        <is>
          <t>LECTURA INTRAMICROCUENCA. El bloque 36 ocupa el puesto 4 de 4 por superficie dentro de la microcuenca C1096-Q9547 (7.87 % de las 315.62 ha preliminares de la microcuenca). Su pendiente promedio (30.65 %, clase «25-50% (Mod. escarpado)») es la 3.ª más baja de 4 y se sitúa por encima del promedio de la microcuenca (22.48 %). Su MSAVI 2024 (0.5395) es el 1.º de 4 y queda por encima del promedio local (0.4119). Amplitud altitudinal del bloque: 237 m (1239–1476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15:H15"/>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«C1096-Q9547»</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(24.856 ha) coincide con la de catálogo (24.84 ha) dentro del ±2 % (+0.06 %)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1239 y 1476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(1239–1476 msnm) y la pendiente promedio (30.65 %) se toman de la estadística zonal sobre el MDE, no de medición de campo. Se declara la fuente.</t>
        </is>
      </c>
    </row>
    <row r="15" ht="48" customHeight="1">
      <c r="A15" s="36" t="inlineStr">
        <is>
          <t>D-06</t>
        </is>
      </c>
      <c r="B15" s="36" t="inlineStr">
        <is>
          <t>Elenco florístico</t>
        </is>
      </c>
      <c r="C15" s="36" t="inlineStr">
        <is>
          <t>La ficha registra 13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«Guabal»; el cruce INEI-Bloques V5 identifica 1 centro(s) poblado(s) en el bloque: GUABAL</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4 · NO SUSTANTIVA: 2 · SUSTANTIVA: 2</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36 — IN Piura</dc:title>
  <dc:subject>Diagnóstico Territorial por bloque de intervención</dc:subject>
  <dcterms:created xsi:type="dcterms:W3CDTF">2026-09-08T03:39:54Z</dcterms:created>
  <dcterms:modified xsi:type="dcterms:W3CDTF">2026-09-08T03:39:54Z</dcterms:modified>
</cp:coreProperties>
</file>