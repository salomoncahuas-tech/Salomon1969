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19</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Nuevo Progreso</t>
        </is>
      </c>
      <c r="C13" s="6" t="inlineStr">
        <is>
          <t>Comunidad campesina</t>
        </is>
      </c>
      <c r="D13" s="7" t="inlineStr">
        <is>
          <t>Por verificar en la fase social</t>
        </is>
      </c>
      <c r="E13" s="8" t="n"/>
      <c r="F13" s="8" t="n"/>
    </row>
    <row r="14">
      <c r="A14" s="6" t="inlineStr">
        <is>
          <t>Superficie de catálogo (V5/V6), ha</t>
        </is>
      </c>
      <c r="B14" s="7" t="n">
        <v>82.09</v>
      </c>
      <c r="C14" s="6" t="inlineStr">
        <is>
          <t>Fuente de superficie</t>
        </is>
      </c>
      <c r="D14" s="7" t="inlineStr">
        <is>
          <t>Catálogo maestro Bloques V5/V6</t>
        </is>
      </c>
      <c r="E14" s="8" t="n"/>
      <c r="F14" s="8" t="n"/>
    </row>
    <row r="15">
      <c r="A15" s="6" t="inlineStr">
        <is>
          <t>Centroide UTM ESTE (m)</t>
        </is>
      </c>
      <c r="B15" s="7" t="n">
        <v>665942</v>
      </c>
      <c r="C15" s="6" t="inlineStr">
        <is>
          <t>Centroide UTM NORTE (m)</t>
        </is>
      </c>
      <c r="D15" s="7" t="n">
        <v>9391144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2064</v>
      </c>
      <c r="C19" s="6" t="inlineStr">
        <is>
          <t>Altitud máxima (msnm)</t>
        </is>
      </c>
      <c r="D19" s="7" t="n">
        <v>2503</v>
      </c>
      <c r="E19" s="8" t="n"/>
      <c r="F19" s="8" t="n"/>
    </row>
    <row r="20">
      <c r="A20" s="6" t="inlineStr">
        <is>
          <t>Amplitud altitudinal (m)</t>
        </is>
      </c>
      <c r="B20" s="7" t="n">
        <v>439</v>
      </c>
      <c r="C20" s="6" t="inlineStr">
        <is>
          <t>Piso altitudinal dominante</t>
        </is>
      </c>
      <c r="D20" s="7" t="inlineStr">
        <is>
          <t>2000-2500 m (Quechua alta)</t>
        </is>
      </c>
      <c r="E20" s="8" t="n"/>
      <c r="F20" s="8" t="n"/>
    </row>
    <row r="21">
      <c r="A21" s="6" t="inlineStr">
        <is>
          <t>Pendiente promedio (%)</t>
        </is>
      </c>
      <c r="B21" s="7" t="n">
        <v>31.01</v>
      </c>
      <c r="C21" s="6" t="inlineStr">
        <is>
          <t>Pendiente promedio (grados)</t>
        </is>
      </c>
      <c r="D21" s="7" t="n">
        <v>17.2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0.5372</v>
      </c>
      <c r="C28" s="6" t="inlineStr">
        <is>
          <t>MSAVI 2024 — clase de la media</t>
        </is>
      </c>
      <c r="D28" s="7" t="inlineStr">
        <is>
          <t>0.4976 - 0.6139 (Vigor moderado)</t>
        </is>
      </c>
      <c r="E28" s="8" t="n"/>
      <c r="F28" s="8" t="n"/>
    </row>
    <row r="29">
      <c r="A29" s="6" t="inlineStr">
        <is>
          <t>Condición frente al umbral 0.4976</t>
        </is>
      </c>
      <c r="B29" s="7" t="inlineStr">
        <is>
          <t>Sobre umbral · distribución areal: 42.37 % del bloque BAJO el umbral (34.782 ha de 82.090 ha)</t>
        </is>
      </c>
      <c r="C29" s="6" t="inlineStr">
        <is>
          <t>NDVI mediana 2025 — clase modal</t>
        </is>
      </c>
      <c r="D29" s="7" t="inlineStr">
        <is>
          <t>Vegetación alta (60.33 %)</t>
        </is>
      </c>
      <c r="E29" s="8" t="n"/>
      <c r="F29" s="8" t="n"/>
    </row>
    <row r="30">
      <c r="A30" s="6" t="inlineStr">
        <is>
          <t>MSAVI 2024 — superficie BAJO el umbral 0.4976 (ha)</t>
        </is>
      </c>
      <c r="B30" s="7" t="n">
        <v>34.782</v>
      </c>
      <c r="C30" s="6" t="inlineStr">
        <is>
          <t>MSAVI 2024 — % del bloque BAJO el umbral</t>
        </is>
      </c>
      <c r="D30" s="7" t="n">
        <v>42.37</v>
      </c>
      <c r="E30" s="8" t="n"/>
      <c r="F30" s="8" t="n"/>
    </row>
    <row r="31">
      <c r="A31" s="6" t="inlineStr">
        <is>
          <t>MSAVI 2024 — clase areal dominante</t>
        </is>
      </c>
      <c r="B31" s="7" t="inlineStr">
        <is>
          <t>Vigor bajo</t>
        </is>
      </c>
      <c r="C31" s="6" t="inlineStr">
        <is>
          <t>MSAVI 2024 — fuente de la distribución areal</t>
        </is>
      </c>
      <c r="D31" s="7" t="inlineStr">
        <is>
          <t>Conteo de celdas sobre la cartografía MSAVI 2024 del bloque (19.png)</t>
        </is>
      </c>
      <c r="E31" s="8" t="n"/>
      <c r="F31" s="8" t="n"/>
    </row>
    <row r="32" ht="18" customHeight="1">
      <c r="A32" s="6" t="inlineStr">
        <is>
          <t>Superficie clasificada NDVI 2025 (ha)</t>
        </is>
      </c>
      <c r="B32" s="7" t="n">
        <v>82.098</v>
      </c>
      <c r="C32" s="6" t="inlineStr">
        <is>
          <t>Desviación frente al catálogo (%)</t>
        </is>
      </c>
      <c r="D32" s="7" t="n">
        <v>0.01</v>
      </c>
      <c r="E32" s="8" t="n"/>
      <c r="F32" s="8" t="n"/>
    </row>
    <row r="33"/>
    <row r="34">
      <c r="A34" s="5" t="inlineStr">
        <is>
          <t>4. ECOSISTEMA Y ESTADO DE CONSERVACIÓN</t>
        </is>
      </c>
    </row>
    <row r="35">
      <c r="A35" s="6" t="inlineStr">
        <is>
          <t>Tipo de ecosistema (UP)</t>
        </is>
      </c>
      <c r="B35" s="7" t="inlineStr">
        <is>
          <t>Agroecosistema / Mosaico</t>
        </is>
      </c>
      <c r="C35" s="6" t="inlineStr">
        <is>
          <t>Superficie de ecosistema (ha)</t>
        </is>
      </c>
      <c r="D35" s="7" t="inlineStr">
        <is>
          <t>82.09 ha</t>
        </is>
      </c>
      <c r="E35" s="8" t="n"/>
      <c r="F35" s="8" t="n"/>
    </row>
    <row r="36">
      <c r="A36" s="6" t="inlineStr">
        <is>
          <t>Estado de conservación</t>
        </is>
      </c>
      <c r="B36" s="7" t="inlineStr">
        <is>
          <t>Alterado (intervención marcada)</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85</v>
      </c>
      <c r="E37" s="8" t="n"/>
      <c r="F37" s="8" t="n"/>
    </row>
    <row r="38">
      <c r="A38" s="6" t="inlineStr">
        <is>
          <t>Suelo desnudo — campo (%)</t>
        </is>
      </c>
      <c r="B38" s="7" t="n">
        <v>15</v>
      </c>
      <c r="C38" s="6" t="inlineStr">
        <is>
          <t>Regeneración natural</t>
        </is>
      </c>
      <c r="D38" s="7" t="inlineStr">
        <is>
          <t>Escasa (&lt;10 pl./100m²)</t>
        </is>
      </c>
      <c r="E38" s="8" t="n"/>
      <c r="F38" s="8" t="n"/>
    </row>
    <row r="39">
      <c r="A39" s="6" t="inlineStr">
        <is>
          <t>Nivel general de erosión</t>
        </is>
      </c>
      <c r="B39" s="7" t="inlineStr">
        <is>
          <t>Moderada (surcos)</t>
        </is>
      </c>
      <c r="C39" s="6" t="inlineStr">
        <is>
          <t>N.° de cárcavas registradas</t>
        </is>
      </c>
      <c r="D39" s="7" t="n">
        <v>3</v>
      </c>
      <c r="E39" s="8" t="n"/>
      <c r="F39" s="8" t="n"/>
    </row>
    <row r="40" ht="18" customHeight="1">
      <c r="A40" s="6" t="inlineStr">
        <is>
          <t>Elenco florístico (n.° de taxones)</t>
        </is>
      </c>
      <c r="B40" s="7" t="n">
        <v>7</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Cahuas Miller</t>
        </is>
      </c>
      <c r="C43" s="6" t="inlineStr">
        <is>
          <t>Fecha de evaluación</t>
        </is>
      </c>
      <c r="D43" s="7" t="inlineStr">
        <is>
          <t>2026-08-12</t>
        </is>
      </c>
      <c r="E43" s="8" t="n"/>
      <c r="F43" s="8" t="n"/>
    </row>
    <row r="44">
      <c r="A44" s="6" t="inlineStr">
        <is>
          <t>Hora de registro</t>
        </is>
      </c>
      <c r="B44" s="7" t="inlineStr">
        <is>
          <t>10:13 - 10:20 h</t>
        </is>
      </c>
      <c r="C44" s="6" t="inlineStr">
        <is>
          <t>Correlativo de ficha</t>
        </is>
      </c>
      <c r="D44" s="7" t="inlineStr">
        <is>
          <t>F-DT-19-2026</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Recorrido de observación (no se instaló parcela permanente)</t>
        </is>
      </c>
      <c r="E46" s="8" t="n"/>
      <c r="F46" s="8" t="n"/>
    </row>
    <row r="47" ht="18" customHeight="1">
      <c r="A47" s="6" t="inlineStr">
        <is>
          <t>Estaciones fotográficas georreferenciadas</t>
        </is>
      </c>
      <c r="B47" s="7" t="n">
        <v>11</v>
      </c>
      <c r="C47" s="6" t="inlineStr">
        <is>
          <t>Modalidad de acceso</t>
        </is>
      </c>
      <c r="D47" s="7" t="inlineStr">
        <is>
          <t>Vehicular 4x4 hasta el bloque</t>
        </is>
      </c>
      <c r="E47" s="8" t="n"/>
      <c r="F47" s="8" t="n"/>
    </row>
    <row r="48"/>
    <row r="49">
      <c r="A49" s="5" t="inlineStr">
        <is>
          <t>6. SÍNTESIS PARA LA GESTIÓN DEL RIESGO EN CONTEXTO DE CAMBIO CLIMÁTICO</t>
        </is>
      </c>
    </row>
    <row r="50">
      <c r="A50" s="6" t="inlineStr">
        <is>
          <t>Causa subyacente principal</t>
        </is>
      </c>
      <c r="B50" s="7" t="inlineStr">
        <is>
          <t>Economía familiar de subsistencia basada en agricultura de secano y ganadería en ladera, sin ordenamiento del uso</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22.1807</v>
      </c>
      <c r="C10" s="19" t="n">
        <v>27.02</v>
      </c>
      <c r="D10" s="11" t="inlineStr">
        <is>
          <t>Vigor alto</t>
        </is>
      </c>
      <c r="E10" s="11" t="inlineStr">
        <is>
          <t>Sobre umbral</t>
        </is>
      </c>
    </row>
    <row r="11">
      <c r="A11" s="12" t="inlineStr">
        <is>
          <t>0.4976 - 0.6139</t>
        </is>
      </c>
      <c r="B11" s="31" t="n">
        <v>25.1277</v>
      </c>
      <c r="C11" s="30" t="n">
        <v>30.61</v>
      </c>
      <c r="D11" s="13" t="inlineStr">
        <is>
          <t>Vigor moderado</t>
        </is>
      </c>
      <c r="E11" s="13" t="inlineStr">
        <is>
          <t>Sobre umbral</t>
        </is>
      </c>
    </row>
    <row r="12">
      <c r="A12" s="7" t="inlineStr">
        <is>
          <t>0.3813 - 0.4976</t>
        </is>
      </c>
      <c r="B12" s="18" t="n">
        <v>31.9905</v>
      </c>
      <c r="C12" s="19" t="n">
        <v>38.97</v>
      </c>
      <c r="D12" s="11" t="inlineStr">
        <is>
          <t>Vigor bajo</t>
        </is>
      </c>
      <c r="E12" s="11" t="inlineStr">
        <is>
          <t>BAJO umbral 0.4976</t>
        </is>
      </c>
    </row>
    <row r="13">
      <c r="A13" s="14" t="inlineStr">
        <is>
          <t>0.2650 - 0.3813</t>
        </is>
      </c>
      <c r="B13" s="20" t="n">
        <v>2.7829</v>
      </c>
      <c r="C13" s="21" t="n">
        <v>3.39</v>
      </c>
      <c r="D13" s="15" t="inlineStr">
        <is>
          <t>Vigor muy bajo</t>
        </is>
      </c>
      <c r="E13" s="15" t="inlineStr">
        <is>
          <t>BAJO umbral 0.4976</t>
        </is>
      </c>
    </row>
    <row r="14">
      <c r="A14" s="7" t="inlineStr">
        <is>
          <t>&lt;= 0.2650</t>
        </is>
      </c>
      <c r="B14" s="18" t="n">
        <v>0.008200000000000001</v>
      </c>
      <c r="C14" s="19" t="n">
        <v>0.01</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0.537184</v>
      </c>
      <c r="C16" s="17" t="inlineStr">
        <is>
          <t>—</t>
        </is>
      </c>
      <c r="D16" s="17" t="inlineStr">
        <is>
          <t>Vigor moderado · clase 0.4976 - 0.6139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49.5333</v>
      </c>
      <c r="C22" s="19" t="n">
        <v>60.33</v>
      </c>
      <c r="D22" s="11" t="inlineStr">
        <is>
          <t>Dosel continuo, matorral denso o mosaico agroforestal</t>
        </is>
      </c>
      <c r="E22" s="11" t="inlineStr"/>
    </row>
    <row r="23">
      <c r="A23" s="14" t="inlineStr">
        <is>
          <t>Vegetación mediana</t>
        </is>
      </c>
      <c r="B23" s="20" t="n">
        <v>31.8676</v>
      </c>
      <c r="C23" s="21" t="n">
        <v>38.82</v>
      </c>
      <c r="D23" s="15" t="inlineStr">
        <is>
          <t>Pastizal cultivado, matorral ralo, parcelas agrícolas</t>
        </is>
      </c>
      <c r="E23" s="15" t="inlineStr"/>
    </row>
    <row r="24">
      <c r="A24" s="7" t="inlineStr">
        <is>
          <t>Vegetación ligera</t>
        </is>
      </c>
      <c r="B24" s="18" t="n">
        <v>0.6967</v>
      </c>
      <c r="C24" s="19" t="n">
        <v>0.85</v>
      </c>
      <c r="D24" s="11" t="inlineStr">
        <is>
          <t>Cobertura discontinua, suelo parcialmente expuesto</t>
        </is>
      </c>
      <c r="E24" s="11" t="inlineStr"/>
    </row>
    <row r="25">
      <c r="A25" s="16" t="inlineStr">
        <is>
          <t>TOTAL CLASIFICADO</t>
        </is>
      </c>
      <c r="B25" s="22">
        <f>SUM(B21:B23)</f>
        <v/>
      </c>
      <c r="C25" s="23">
        <f>SUM(C21:C23)</f>
        <v/>
      </c>
      <c r="D25" s="17" t="inlineStr"/>
      <c r="E25" s="17" t="inlineStr"/>
    </row>
    <row r="26">
      <c r="A26" s="24" t="inlineStr">
        <is>
          <t>Superficie de catálogo (V5/V6)</t>
        </is>
      </c>
      <c r="B26" s="25" t="n">
        <v>82.09</v>
      </c>
      <c r="C26" s="25" t="inlineStr">
        <is>
          <t>—</t>
        </is>
      </c>
      <c r="D26" s="25" t="inlineStr">
        <is>
          <t>Desviación planimétrica frente al catálogo</t>
        </is>
      </c>
      <c r="E26" s="25" t="inlineStr">
        <is>
          <t>+0.01 %</t>
        </is>
      </c>
    </row>
    <row r="27" ht="108" customHeight="1"/>
    <row r="28">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60.33 % del polígono clasificado como «Vegetación alta» por el NDVI 2025; la observación de campo corresponde a una parcela o recorrido puntual y no es estadísticamente representativa de las 82.090 ha del bloque.</t>
        </is>
      </c>
      <c r="B28" s="38" t="n"/>
      <c r="C28" s="38" t="n"/>
      <c r="D28" s="38" t="n"/>
      <c r="E28" s="39" t="n"/>
    </row>
  </sheetData>
  <mergeCells count="10">
    <mergeCell ref="A4:E4"/>
    <mergeCell ref="A20:E20"/>
    <mergeCell ref="A2:E2"/>
    <mergeCell ref="A28:E28"/>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19</t>
        </is>
      </c>
    </row>
    <row r="6" ht="24" customHeight="1">
      <c r="A6" s="4" t="inlineStr">
        <is>
          <t>Levantamiento del 2026-08-12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664973</v>
      </c>
      <c r="D10" s="26" t="n">
        <v>9390797</v>
      </c>
      <c r="E10" s="11" t="n">
        <v>1029.3</v>
      </c>
      <c r="F10" s="11" t="inlineStr"/>
      <c r="G10" s="11" t="inlineStr">
        <is>
          <t>Coordenada consignada en F-DT-01</t>
        </is>
      </c>
    </row>
    <row r="11">
      <c r="A11" s="14" t="inlineStr">
        <is>
          <t>C-01</t>
        </is>
      </c>
      <c r="B11" s="15" t="inlineStr">
        <is>
          <t>Rasgo erosivo — Cárcava incipiente (30-50 cm)</t>
        </is>
      </c>
      <c r="C11" s="27" t="n">
        <v>665040</v>
      </c>
      <c r="D11" s="27" t="n">
        <v>9390735</v>
      </c>
      <c r="E11" s="15" t="n">
        <v>990.4</v>
      </c>
      <c r="F11" s="15" t="inlineStr">
        <is>
          <t>Activa</t>
        </is>
      </c>
      <c r="G11" s="15" t="inlineStr">
        <is>
          <t>Concentración natural de escorrentía</t>
        </is>
      </c>
    </row>
    <row r="12">
      <c r="A12" s="7" t="inlineStr">
        <is>
          <t>C-02</t>
        </is>
      </c>
      <c r="B12" s="11" t="inlineStr">
        <is>
          <t>Rasgo erosivo — Surco (&lt;30 cm)</t>
        </is>
      </c>
      <c r="C12" s="26" t="n">
        <v>665030</v>
      </c>
      <c r="D12" s="26" t="n">
        <v>9390737</v>
      </c>
      <c r="E12" s="11" t="n">
        <v>998.7</v>
      </c>
      <c r="F12" s="11" t="inlineStr">
        <is>
          <t>Activa</t>
        </is>
      </c>
      <c r="G12" s="11" t="inlineStr">
        <is>
          <t>Caminos / huellas de ganado</t>
        </is>
      </c>
    </row>
    <row r="13">
      <c r="A13" s="14" t="inlineStr">
        <is>
          <t>C-03</t>
        </is>
      </c>
      <c r="B13" s="15" t="inlineStr">
        <is>
          <t>Rasgo erosivo — Surco (&lt;30 cm)</t>
        </is>
      </c>
      <c r="C13" s="27" t="n">
        <v>664983</v>
      </c>
      <c r="D13" s="27" t="n">
        <v>9390801</v>
      </c>
      <c r="E13" s="15" t="n">
        <v>1018.5</v>
      </c>
      <c r="F13" s="15" t="inlineStr">
        <is>
          <t>Semi-activa</t>
        </is>
      </c>
      <c r="G13" s="15" t="inlineStr">
        <is>
          <t>Surcos de labranza en pendiente</t>
        </is>
      </c>
    </row>
    <row r="14">
      <c r="A14" s="7" t="inlineStr">
        <is>
          <t>H-01</t>
        </is>
      </c>
      <c r="B14" s="11" t="inlineStr">
        <is>
          <t>Fuente de agua — Otro (caja de reunión / válvula)</t>
        </is>
      </c>
      <c r="C14" s="26" t="n">
        <v>664978</v>
      </c>
      <c r="D14" s="26" t="n">
        <v>9390787</v>
      </c>
      <c r="E14" s="11" t="n">
        <v>1028</v>
      </c>
      <c r="F14" s="11" t="inlineStr">
        <is>
          <t>Permanente</t>
        </is>
      </c>
      <c r="G14" s="11" t="inlineStr">
        <is>
          <t>Infraestructura del sistema de agua potable</t>
        </is>
      </c>
    </row>
    <row r="15">
      <c r="A15" s="14" t="inlineStr">
        <is>
          <t>B-01</t>
        </is>
      </c>
      <c r="B15" s="15" t="inlineStr">
        <is>
          <t>Especie clave — Cenchrus clandestinus (kikuyo)</t>
        </is>
      </c>
      <c r="C15" s="27" t="n">
        <v>664973</v>
      </c>
      <c r="D15" s="27" t="n">
        <v>9390797</v>
      </c>
      <c r="E15" s="15" t="n">
        <v>1029.3</v>
      </c>
      <c r="F15" s="15" t="inlineStr">
        <is>
          <t>Indicadora de perturbación</t>
        </is>
      </c>
      <c r="G15" s="15" t="inlineStr"/>
    </row>
    <row r="16">
      <c r="A16" s="7" t="inlineStr">
        <is>
          <t>B-02</t>
        </is>
      </c>
      <c r="B16" s="11" t="inlineStr">
        <is>
          <t>Especie clave — Baccharis latifolia (chilca)</t>
        </is>
      </c>
      <c r="C16" s="26" t="n">
        <v>664983</v>
      </c>
      <c r="D16" s="26" t="n">
        <v>9390801</v>
      </c>
      <c r="E16" s="11" t="n">
        <v>1018.5</v>
      </c>
      <c r="F16" s="11" t="inlineStr">
        <is>
          <t>Indicadora de perturbación</t>
        </is>
      </c>
      <c r="G16" s="11" t="inlineStr"/>
    </row>
    <row r="17">
      <c r="A17" s="14" t="inlineStr">
        <is>
          <t>B-03</t>
        </is>
      </c>
      <c r="B17" s="15" t="inlineStr">
        <is>
          <t>Especie clave — Eucalyptus globulus</t>
        </is>
      </c>
      <c r="C17" s="27" t="n">
        <v>665034</v>
      </c>
      <c r="D17" s="27" t="n">
        <v>9390736</v>
      </c>
      <c r="E17" s="15" t="n">
        <v>995.5</v>
      </c>
      <c r="F17" s="15" t="inlineStr">
        <is>
          <t>Indicadora de perturbación</t>
        </is>
      </c>
      <c r="G17" s="15" t="inlineStr"/>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665942</v>
      </c>
      <c r="C20" s="6" t="inlineStr">
        <is>
          <t>Centroide del bloque — UTM NORTE (m)</t>
        </is>
      </c>
      <c r="D20" s="7" t="n">
        <v>9391144</v>
      </c>
      <c r="E20" s="8" t="n"/>
      <c r="F20" s="8" t="n"/>
      <c r="G20" s="8" t="n"/>
      <c r="H20" s="8" t="n"/>
    </row>
    <row r="21">
      <c r="A21" s="6" t="inlineStr">
        <is>
          <t>N.° de estaciones fotográficas declaradas</t>
        </is>
      </c>
      <c r="B21" s="7" t="n">
        <v>11</v>
      </c>
      <c r="C21" s="6" t="inlineStr">
        <is>
          <t>Estaciones dentro del polígono</t>
        </is>
      </c>
      <c r="D21" s="7" t="inlineStr">
        <is>
          <t>Por determinar</t>
        </is>
      </c>
      <c r="E21" s="8" t="n"/>
      <c r="F21" s="8" t="n"/>
      <c r="G21" s="8" t="n"/>
      <c r="H21" s="8" t="n"/>
    </row>
    <row r="23" ht="12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recorrido cubrió la franja de pie de ladera, entre 2049 y 2057 msnm, accesible desde la trocha del CP Nuevo Progreso (11 estaciones fotográficas georreferenciadas). El sector medio y alto del polígono (hasta ~2500 msnm) no fue recorrido. Los escarpes activos y las remociones en masa corresponden a desprendimientos y derrumbes en taludes de corte de la trocha, con material suelto sobre la plataforma; afectan directamente la vía y las viviendas al pie del talud.</t>
        </is>
      </c>
      <c r="B23" s="38" t="n"/>
      <c r="C23" s="38" t="n"/>
      <c r="D23" s="38" t="n"/>
      <c r="E23" s="38" t="n"/>
      <c r="F23" s="38" t="n"/>
      <c r="G23" s="39"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19</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18</t>
        </is>
      </c>
      <c r="B10" s="28" t="n">
        <v>103.62</v>
      </c>
      <c r="C10" s="19" t="n">
        <v>21.54</v>
      </c>
      <c r="D10" s="11" t="inlineStr">
        <is>
          <t>1218 – 1904</t>
        </is>
      </c>
      <c r="E10" s="11" t="n">
        <v>686</v>
      </c>
      <c r="F10" s="11" t="n">
        <v>28.7</v>
      </c>
      <c r="G10" s="18" t="n">
        <v>0.6402</v>
      </c>
      <c r="H10" s="19" t="n">
        <v>96.64</v>
      </c>
    </row>
    <row r="11">
      <c r="A11" s="12" t="inlineStr">
        <is>
          <t>► 19</t>
        </is>
      </c>
      <c r="B11" s="29" t="n">
        <v>82.09</v>
      </c>
      <c r="C11" s="30" t="n">
        <v>17.06</v>
      </c>
      <c r="D11" s="13" t="inlineStr">
        <is>
          <t>2064 – 2503</t>
        </is>
      </c>
      <c r="E11" s="13" t="n">
        <v>439</v>
      </c>
      <c r="F11" s="13" t="n">
        <v>31.01</v>
      </c>
      <c r="G11" s="31" t="n">
        <v>0.5372</v>
      </c>
      <c r="H11" s="30" t="n">
        <v>60.33</v>
      </c>
    </row>
    <row r="12">
      <c r="A12" s="7" t="inlineStr">
        <is>
          <t>41</t>
        </is>
      </c>
      <c r="B12" s="28" t="n">
        <v>64.92</v>
      </c>
      <c r="C12" s="19" t="n">
        <v>13.49</v>
      </c>
      <c r="D12" s="11" t="inlineStr">
        <is>
          <t>1536 – 1818</t>
        </is>
      </c>
      <c r="E12" s="11" t="n">
        <v>282</v>
      </c>
      <c r="F12" s="11" t="n">
        <v>25.53</v>
      </c>
      <c r="G12" s="18" t="n">
        <v>0.5927</v>
      </c>
      <c r="H12" s="19" t="n">
        <v>98.02</v>
      </c>
    </row>
    <row r="13">
      <c r="A13" s="14" t="inlineStr">
        <is>
          <t>73</t>
        </is>
      </c>
      <c r="B13" s="32" t="n">
        <v>54.29</v>
      </c>
      <c r="C13" s="21" t="n">
        <v>11.28</v>
      </c>
      <c r="D13" s="15" t="inlineStr">
        <is>
          <t>1845 – 2305</t>
        </is>
      </c>
      <c r="E13" s="15" t="n">
        <v>460</v>
      </c>
      <c r="F13" s="15" t="n">
        <v>36.34</v>
      </c>
      <c r="G13" s="20" t="n">
        <v>0.555</v>
      </c>
      <c r="H13" s="21" t="n">
        <v>88.8</v>
      </c>
    </row>
    <row r="14">
      <c r="A14" s="7" t="inlineStr">
        <is>
          <t>31</t>
        </is>
      </c>
      <c r="B14" s="28" t="n">
        <v>47.58</v>
      </c>
      <c r="C14" s="19" t="n">
        <v>9.890000000000001</v>
      </c>
      <c r="D14" s="11" t="inlineStr">
        <is>
          <t>1741 – 2234</t>
        </is>
      </c>
      <c r="E14" s="11" t="n">
        <v>493</v>
      </c>
      <c r="F14" s="11" t="n">
        <v>27.08</v>
      </c>
      <c r="G14" s="18" t="n">
        <v>0.4358</v>
      </c>
      <c r="H14" s="19" t="n">
        <v>18.56</v>
      </c>
    </row>
    <row r="15">
      <c r="A15" s="14" t="inlineStr">
        <is>
          <t>29</t>
        </is>
      </c>
      <c r="B15" s="32" t="n">
        <v>40.1</v>
      </c>
      <c r="C15" s="21" t="n">
        <v>8.33</v>
      </c>
      <c r="D15" s="15" t="inlineStr">
        <is>
          <t>2142 – 2391</t>
        </is>
      </c>
      <c r="E15" s="15" t="n">
        <v>249</v>
      </c>
      <c r="F15" s="15" t="n">
        <v>31.54</v>
      </c>
      <c r="G15" s="20" t="n">
        <v>0.5482</v>
      </c>
      <c r="H15" s="21" t="inlineStr">
        <is>
          <t>Por determinar</t>
        </is>
      </c>
    </row>
    <row r="16">
      <c r="A16" s="7" t="inlineStr">
        <is>
          <t>70</t>
        </is>
      </c>
      <c r="B16" s="28" t="n">
        <v>22.39</v>
      </c>
      <c r="C16" s="19" t="n">
        <v>4.65</v>
      </c>
      <c r="D16" s="11" t="inlineStr">
        <is>
          <t>2326 – 2536</t>
        </is>
      </c>
      <c r="E16" s="11" t="n">
        <v>210</v>
      </c>
      <c r="F16" s="11" t="n">
        <v>23.2</v>
      </c>
      <c r="G16" s="18" t="n">
        <v>0.6223</v>
      </c>
      <c r="H16" s="19" t="n">
        <v>98.39</v>
      </c>
    </row>
    <row r="17">
      <c r="A17" s="14" t="inlineStr">
        <is>
          <t>68</t>
        </is>
      </c>
      <c r="B17" s="32" t="n">
        <v>21.29</v>
      </c>
      <c r="C17" s="21" t="n">
        <v>4.42</v>
      </c>
      <c r="D17" s="15" t="inlineStr">
        <is>
          <t>2086 – 2374</t>
        </is>
      </c>
      <c r="E17" s="15" t="n">
        <v>288</v>
      </c>
      <c r="F17" s="15" t="n">
        <v>36.81</v>
      </c>
      <c r="G17" s="20" t="n">
        <v>0.483</v>
      </c>
      <c r="H17" s="21" t="inlineStr">
        <is>
          <t>Por determinar</t>
        </is>
      </c>
    </row>
    <row r="18">
      <c r="A18" s="7" t="inlineStr">
        <is>
          <t>69</t>
        </is>
      </c>
      <c r="B18" s="28" t="n">
        <v>19.43</v>
      </c>
      <c r="C18" s="19" t="n">
        <v>4.04</v>
      </c>
      <c r="D18" s="11" t="inlineStr">
        <is>
          <t>1931 – 2205</t>
        </is>
      </c>
      <c r="E18" s="11" t="n">
        <v>274</v>
      </c>
      <c r="F18" s="11" t="n">
        <v>27.95</v>
      </c>
      <c r="G18" s="18" t="n">
        <v>0.4489</v>
      </c>
      <c r="H18" s="19" t="n">
        <v>22.92</v>
      </c>
    </row>
    <row r="19">
      <c r="A19" s="14" t="inlineStr">
        <is>
          <t>53</t>
        </is>
      </c>
      <c r="B19" s="32" t="n">
        <v>13.06</v>
      </c>
      <c r="C19" s="21" t="n">
        <v>2.71</v>
      </c>
      <c r="D19" s="15" t="inlineStr">
        <is>
          <t>2235 – 2540</t>
        </is>
      </c>
      <c r="E19" s="15" t="n">
        <v>305</v>
      </c>
      <c r="F19" s="15" t="n">
        <v>26.89</v>
      </c>
      <c r="G19" s="20" t="n">
        <v>0.5963000000000001</v>
      </c>
      <c r="H19" s="21" t="n">
        <v>86.15000000000001</v>
      </c>
    </row>
    <row r="20">
      <c r="A20" s="7" t="inlineStr">
        <is>
          <t>72</t>
        </is>
      </c>
      <c r="B20" s="28" t="n">
        <v>12.4</v>
      </c>
      <c r="C20" s="19" t="n">
        <v>2.58</v>
      </c>
      <c r="D20" s="11" t="inlineStr">
        <is>
          <t>1538 – 1742</t>
        </is>
      </c>
      <c r="E20" s="11" t="n">
        <v>204</v>
      </c>
      <c r="F20" s="11" t="n">
        <v>28.25</v>
      </c>
      <c r="G20" s="18" t="n">
        <v>0.5185</v>
      </c>
      <c r="H20" s="19" t="n">
        <v>92.44</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38" t="n"/>
      <c r="C22" s="38" t="n"/>
      <c r="D22" s="38" t="n"/>
      <c r="E22" s="38" t="n"/>
      <c r="F22" s="38" t="n"/>
      <c r="G22" s="38" t="n"/>
      <c r="H22" s="39" t="n"/>
    </row>
    <row r="24" ht="84" customHeight="1">
      <c r="A24" s="9" t="inlineStr">
        <is>
          <t>LECTURA INTRAMICROCUENCA. El bloque 19 ocupa el puesto 2 de 11 por superficie dentro de la microcuenca C1076-Q9592 (17.06 % de las 481.17 ha preliminares de la microcuenca). Su pendiente promedio (31.01 %, clase «25-50% (Mod. escarpado)») es la 8.ª más baja de 11 y se sitúa por encima del promedio de la microcuenca (29.39 %). Su MSAVI 2024 (0.5372) es el 7.º de 11 y queda por debajo del promedio local (0.5435). Amplitud altitudinal del bloque: 439 m (2064–2503 msnm). El cuadro conserva todos los bloques catalogados en la microcuenca, incluidos los descartados en el tamizaje, para referencia del conjunto. Los bloques sin ficha DT figuran con sus parámetros de gabinete.</t>
        </is>
      </c>
      <c r="B24" s="38" t="n"/>
      <c r="C24" s="38" t="n"/>
      <c r="D24" s="38" t="n"/>
      <c r="E24" s="38" t="n"/>
      <c r="F24" s="38" t="n"/>
      <c r="G24" s="38" t="n"/>
      <c r="H24" s="39"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6" s="38" t="n"/>
      <c r="C26" s="38" t="n"/>
      <c r="D26" s="38" t="n"/>
      <c r="E26" s="38" t="n"/>
      <c r="F26" s="38" t="n"/>
      <c r="G26" s="38" t="n"/>
      <c r="H26" s="39" t="n"/>
    </row>
  </sheetData>
  <mergeCells count="10">
    <mergeCell ref="A1:H1"/>
    <mergeCell ref="A4:H4"/>
    <mergeCell ref="A3:H3"/>
    <mergeCell ref="A26:H26"/>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«C1076-Q9592»</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(664973 E / 9390797 N) dista 1,029 m del centroide de catálogo (665942 E / 9391144 N), distancia incompatible con la superficie del bloque (82.09 ha)</t>
        </is>
      </c>
      <c r="D11" s="35"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(82.098 ha) coincide con la de catálogo (82.09 ha) dentro del ±2 % (+0.01 %)</t>
        </is>
      </c>
      <c r="D12" s="37"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7 taxones, por debajo del mínimo de 15 que exige el formato V5</t>
        </is>
      </c>
      <c r="D13" s="35"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Centro poblado asociado</t>
        </is>
      </c>
      <c r="C14" s="34" t="inlineStr">
        <is>
          <t>La ficha DT declara «Nuevo Progreso»; el cruce INEI-Bloques V5 identifica 2 centro(s) poblado(s) en el bloque: NUEVO PROGRESO, TABLURAN</t>
        </is>
      </c>
      <c r="D14" s="37"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5" t="inlineStr">
        <is>
          <t>SUSTANTIVA</t>
        </is>
      </c>
      <c r="E15" s="36" t="inlineStr">
        <is>
          <t>Debe tomarse del modelamiento de mesolocalización (PMM + EPH + PGI ponderados por AHP) antes de fijar la prioridad definitiva de intervención del bloque.</t>
        </is>
      </c>
    </row>
    <row r="16">
      <c r="A16" s="36" t="inlineStr">
        <is>
          <t>D-07</t>
        </is>
      </c>
      <c r="B16" s="36" t="inlineStr">
        <is>
          <t>Distribución areal de clases MSAVI 2024</t>
        </is>
      </c>
      <c r="C16" s="36" t="inlineStr">
        <is>
          <t>La hoja «Cobertura MSAVI-NDVI» consignaba «Por determinar» en la distribución areal de clases MSAVI 2024; se incorpora el metrado por clase medido sobre la cartografía temática MSAVI 2024 del bloque: 42.37 % del bloque (34.782 ha) bajo el umbral 0.4976 y 57.63 % sobre el umbral; clase areal dominante «Vigor bajo».</t>
        </is>
      </c>
      <c r="D16" s="35" t="inlineStr">
        <is>
          <t>CORREGIDO</t>
        </is>
      </c>
      <c r="E16"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17"/>
    <row r="18">
      <c r="A18" s="16" t="inlineStr">
        <is>
          <t>RESUMEN</t>
        </is>
      </c>
      <c r="B18" s="17" t="inlineStr">
        <is>
          <t>7 verificaciones</t>
        </is>
      </c>
      <c r="C18" s="17" t="inlineStr">
        <is>
          <t>CONFORME: 2 · NO SUSTANTIVA: 0 · SUSTANTIVA: 4 · CORREGIDO: 1</t>
        </is>
      </c>
      <c r="D18" s="17" t="inlineStr"/>
      <c r="E18" s="17" t="inlineStr"/>
    </row>
    <row r="19" ht="60" customHeight="1"/>
    <row r="20">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0" s="38" t="n"/>
      <c r="C20" s="38" t="n"/>
      <c r="D20" s="38" t="n"/>
      <c r="E20" s="39" t="n"/>
    </row>
  </sheetData>
  <mergeCells count="8">
    <mergeCell ref="A4:E4"/>
    <mergeCell ref="A20:E20"/>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19 — IN Piura</dc:title>
  <dc:subject>Diagnóstico Territorial por bloque de intervención</dc:subject>
  <dcterms:created xsi:type="dcterms:W3CDTF">2026-09-08T03:39:56Z</dcterms:created>
  <dcterms:modified xsi:type="dcterms:W3CDTF">2026-09-09T14:49:41Z</dcterms:modified>
</cp:coreProperties>
</file>