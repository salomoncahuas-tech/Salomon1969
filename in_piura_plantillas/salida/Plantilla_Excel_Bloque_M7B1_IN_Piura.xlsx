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M7B1</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M7B1</t>
        </is>
      </c>
      <c r="C9" s="6" t="inlineStr">
        <is>
          <t>Microcuenca (catálogo)</t>
        </is>
      </c>
      <c r="D9" s="7" t="inlineStr">
        <is>
          <t>C1076-Q9581</t>
        </is>
      </c>
      <c r="E9" s="8" t="n"/>
      <c r="F9" s="8" t="n"/>
    </row>
    <row r="10">
      <c r="A10" s="6" t="inlineStr">
        <is>
          <t>Zona de planificación</t>
        </is>
      </c>
      <c r="B10" s="7" t="inlineStr">
        <is>
          <t>Z07</t>
        </is>
      </c>
      <c r="C10" s="6" t="inlineStr">
        <is>
          <t>Microcuenca declarada en ficha DT</t>
        </is>
      </c>
      <c r="D10" s="7" t="inlineStr">
        <is>
          <t>C1076-Q9581</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Salitral</t>
        </is>
      </c>
      <c r="C12" s="6" t="inlineStr">
        <is>
          <t>Capital distrital</t>
        </is>
      </c>
      <c r="D12" s="7" t="inlineStr">
        <is>
          <t>Salitral</t>
        </is>
      </c>
      <c r="E12" s="8" t="n"/>
      <c r="F12" s="8" t="n"/>
    </row>
    <row r="13">
      <c r="A13" s="6" t="inlineStr">
        <is>
          <t>Centro poblado asociado</t>
        </is>
      </c>
      <c r="B13" s="7" t="inlineStr">
        <is>
          <t>Víctor Raúl</t>
        </is>
      </c>
      <c r="C13" s="6" t="inlineStr">
        <is>
          <t>Comunidad campesina</t>
        </is>
      </c>
      <c r="D13" s="7" t="inlineStr">
        <is>
          <t>Sin registro en ficha</t>
        </is>
      </c>
      <c r="E13" s="8" t="n"/>
      <c r="F13" s="8" t="n"/>
    </row>
    <row r="14">
      <c r="A14" s="6" t="inlineStr">
        <is>
          <t>Superficie de catálogo (V5/V6), ha</t>
        </is>
      </c>
      <c r="B14" s="7" t="n">
        <v>130.43</v>
      </c>
      <c r="C14" s="6" t="inlineStr">
        <is>
          <t>Fuente de superficie</t>
        </is>
      </c>
      <c r="D14" s="7" t="inlineStr">
        <is>
          <t>Catálogo maestro Bloques V5/V6</t>
        </is>
      </c>
      <c r="E14" s="8" t="n"/>
      <c r="F14" s="8" t="n"/>
    </row>
    <row r="15">
      <c r="A15" s="6" t="inlineStr">
        <is>
          <t>Centroide UTM ESTE (m)</t>
        </is>
      </c>
      <c r="B15" s="7" t="n">
        <v>629006</v>
      </c>
      <c r="C15" s="6" t="inlineStr">
        <is>
          <t>Centroide UTM NORTE (m)</t>
        </is>
      </c>
      <c r="D15" s="7" t="n">
        <v>9407536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183</v>
      </c>
      <c r="C19" s="6" t="inlineStr">
        <is>
          <t>Altitud máxima (msnm)</t>
        </is>
      </c>
      <c r="D19" s="7" t="n">
        <v>357</v>
      </c>
      <c r="E19" s="8" t="n"/>
      <c r="F19" s="8" t="n"/>
    </row>
    <row r="20">
      <c r="A20" s="6" t="inlineStr">
        <is>
          <t>Amplitud altitudinal (m)</t>
        </is>
      </c>
      <c r="B20" s="7" t="n">
        <v>174</v>
      </c>
      <c r="C20" s="6" t="inlineStr">
        <is>
          <t>Piso altitudinal dominante</t>
        </is>
      </c>
      <c r="D20" s="7" t="inlineStr">
        <is>
          <t>&lt;1000 m (Yunga)</t>
        </is>
      </c>
      <c r="E20" s="8" t="n"/>
      <c r="F20" s="8" t="n"/>
    </row>
    <row r="21">
      <c r="A21" s="6" t="inlineStr">
        <is>
          <t>Pendiente promedio (%)</t>
        </is>
      </c>
      <c r="B21" s="7" t="n">
        <v>17.35</v>
      </c>
      <c r="C21" s="6" t="inlineStr">
        <is>
          <t>Pendiente promedio (grados)</t>
        </is>
      </c>
      <c r="D21" s="7" t="n">
        <v>9.800000000000001</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0.3136</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(60.13 %)</t>
        </is>
      </c>
      <c r="E29" s="8" t="n"/>
      <c r="F29" s="8" t="n"/>
    </row>
    <row r="30">
      <c r="A30" s="6" t="inlineStr">
        <is>
          <t>Superficie clasificada NDVI 2025 (ha)</t>
        </is>
      </c>
      <c r="B30" s="7" t="n">
        <v>130.476</v>
      </c>
      <c r="C30" s="6" t="inlineStr">
        <is>
          <t>Desviación frente al catálogo (%)</t>
        </is>
      </c>
      <c r="D30" s="7" t="n">
        <v>0.04</v>
      </c>
      <c r="E30" s="8" t="n"/>
      <c r="F30" s="8" t="n"/>
    </row>
    <row r="32" ht="18" customHeight="1">
      <c r="A32" s="5" t="inlineStr">
        <is>
          <t>4. ECOSISTEMA Y ESTADO DE CONSERVACIÓN</t>
        </is>
      </c>
    </row>
    <row r="33">
      <c r="A33" s="6" t="inlineStr">
        <is>
          <t>Tipo de ecosistema (UP)</t>
        </is>
      </c>
      <c r="B33" s="7" t="inlineStr">
        <is>
          <t>Bosque Estacionalmente Seco de Colina y Montaña (Bes-cm)</t>
        </is>
      </c>
      <c r="C33" s="6" t="inlineStr">
        <is>
          <t>Superficie de ecosistema (ha)</t>
        </is>
      </c>
      <c r="D33" s="7" t="inlineStr">
        <is>
          <t>130.43 ha (100% del bloque)</t>
        </is>
      </c>
      <c r="E33" s="8" t="n"/>
      <c r="F33" s="8" t="n"/>
    </row>
    <row r="34">
      <c r="A34" s="6" t="inlineStr">
        <is>
          <t>Estado de conservación</t>
        </is>
      </c>
      <c r="B34" s="7" t="inlineStr">
        <is>
          <t>Medianamente alterado</t>
        </is>
      </c>
      <c r="C34" s="6" t="inlineStr">
        <is>
          <t>Uso actual dominante del suelo</t>
        </is>
      </c>
      <c r="D34" s="7" t="inlineStr">
        <is>
          <t>Uso mixto</t>
        </is>
      </c>
      <c r="E34" s="8" t="n"/>
      <c r="F34" s="8" t="n"/>
    </row>
    <row r="35">
      <c r="A35" s="6" t="inlineStr">
        <is>
          <t>Tipo de cobertura dominante</t>
        </is>
      </c>
      <c r="B35" s="7" t="inlineStr">
        <is>
          <t>Bosque ralo (30-70%)</t>
        </is>
      </c>
      <c r="C35" s="6" t="inlineStr">
        <is>
          <t>Cobertura vegetal total — campo (%)</t>
        </is>
      </c>
      <c r="D35" s="7" t="n">
        <v>30</v>
      </c>
      <c r="E35" s="8" t="n"/>
      <c r="F35" s="8" t="n"/>
    </row>
    <row r="36">
      <c r="A36" s="6" t="inlineStr">
        <is>
          <t>Suelo desnudo — campo (%)</t>
        </is>
      </c>
      <c r="B36" s="7" t="n">
        <v>70</v>
      </c>
      <c r="C36" s="6" t="inlineStr">
        <is>
          <t>Regeneración natural</t>
        </is>
      </c>
      <c r="D36" s="7" t="inlineStr">
        <is>
          <t>Escasa (&lt;10 pl./100m²)</t>
        </is>
      </c>
      <c r="E36" s="8" t="n"/>
      <c r="F36" s="8" t="n"/>
    </row>
    <row r="37">
      <c r="A37" s="6" t="inlineStr">
        <is>
          <t>Nivel general de erosión</t>
        </is>
      </c>
      <c r="B37" s="7" t="inlineStr">
        <is>
          <t>Ligera (laminar)</t>
        </is>
      </c>
      <c r="C37" s="6" t="inlineStr">
        <is>
          <t>N.° de cárcavas registradas</t>
        </is>
      </c>
      <c r="D37" s="7" t="n">
        <v>0</v>
      </c>
      <c r="E37" s="8" t="n"/>
      <c r="F37" s="8" t="n"/>
    </row>
    <row r="38">
      <c r="A38" s="6" t="inlineStr">
        <is>
          <t>Elenco florístico (n.° de taxones)</t>
        </is>
      </c>
      <c r="B38" s="7" t="n">
        <v>6</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Héctor Salomón Cahuas Miller</t>
        </is>
      </c>
      <c r="C41" s="6" t="inlineStr">
        <is>
          <t>Fecha de evaluación</t>
        </is>
      </c>
      <c r="D41" s="7" t="inlineStr">
        <is>
          <t>2026-05-05</t>
        </is>
      </c>
      <c r="E41" s="8" t="n"/>
      <c r="F41" s="8" t="n"/>
    </row>
    <row r="42">
      <c r="A42" s="6" t="inlineStr">
        <is>
          <t>Hora de registro</t>
        </is>
      </c>
      <c r="B42" s="7" t="inlineStr">
        <is>
          <t>09:00 h</t>
        </is>
      </c>
      <c r="C42" s="6" t="inlineStr">
        <is>
          <t>Correlativo de ficha</t>
        </is>
      </c>
      <c r="D42" s="7" t="inlineStr">
        <is>
          <t>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Sin registro en ficha</t>
        </is>
      </c>
      <c r="E44" s="8" t="n"/>
      <c r="F44" s="8" t="n"/>
    </row>
    <row r="45">
      <c r="A45" s="6" t="inlineStr">
        <is>
          <t>Estaciones fotográficas georreferenciadas</t>
        </is>
      </c>
      <c r="B45" s="7" t="n">
        <v>0</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Crecimiento poblacional — proximidad de 5 centros poblados a lo largo del corredor PE-02A</t>
        </is>
      </c>
      <c r="C48" s="6" t="inlineStr">
        <is>
          <t>Velocidad de degradación</t>
        </is>
      </c>
      <c r="D48" s="7" t="inlineStr">
        <is>
          <t>Lenta</t>
        </is>
      </c>
      <c r="E48" s="8" t="n"/>
      <c r="F48" s="8" t="n"/>
    </row>
    <row r="49">
      <c r="A49" s="6" t="inlineStr">
        <is>
          <t>Reversibilidad técnica</t>
        </is>
      </c>
      <c r="B49" s="7" t="inlineStr">
        <is>
          <t>Parcialmente reversible</t>
        </is>
      </c>
      <c r="C49" s="6" t="inlineStr">
        <is>
          <t>Urgencia de intervención</t>
        </is>
      </c>
      <c r="D49" s="7" t="inlineStr">
        <is>
          <t>Baja</t>
        </is>
      </c>
      <c r="E49" s="8" t="n"/>
      <c r="F49" s="8" t="n"/>
    </row>
    <row r="50">
      <c r="A50" s="6" t="inlineStr">
        <is>
          <t>Urgencia de control de erosión</t>
        </is>
      </c>
      <c r="B50" s="7" t="inlineStr">
        <is>
          <t>Baja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M7B1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0.313647</v>
      </c>
      <c r="C15" s="17" t="inlineStr">
        <is>
          <t>—</t>
        </is>
      </c>
      <c r="D15" s="17" t="inlineStr">
        <is>
          <t>Vigor muy bajo · clase 0.2650 - 0.3813</t>
        </is>
      </c>
      <c r="E15" s="17" t="inlineStr">
        <is>
          <t>BAJO umbral 0.4976</t>
        </is>
      </c>
    </row>
    <row r="17" ht="72" customHeight="1">
      <c r="A17" s="9" t="inlineStr">
        <is>
          <t>NOTA METODOLÓGICA. La media del MSAVI 2024 del bloque (0.313647)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5.5888</v>
      </c>
      <c r="C21" s="19" t="n">
        <v>4.28</v>
      </c>
      <c r="D21" s="11" t="inlineStr">
        <is>
          <t>Dosel continuo, matorral denso o mosaico agroforestal</t>
        </is>
      </c>
      <c r="E21" s="11" t="inlineStr"/>
    </row>
    <row r="22">
      <c r="A22" s="12" t="inlineStr">
        <is>
          <t>Vegetación mediana</t>
        </is>
      </c>
      <c r="B22" s="20" t="n">
        <v>78.459</v>
      </c>
      <c r="C22" s="21" t="n">
        <v>60.13</v>
      </c>
      <c r="D22" s="13" t="inlineStr">
        <is>
          <t>Pastizal cultivado, matorral ralo, parcelas agrícolas</t>
        </is>
      </c>
      <c r="E22" s="13" t="inlineStr"/>
    </row>
    <row r="23">
      <c r="A23" s="7" t="inlineStr">
        <is>
          <t>Vegetación ligera</t>
        </is>
      </c>
      <c r="B23" s="18" t="n">
        <v>45.8987</v>
      </c>
      <c r="C23" s="19" t="n">
        <v>35.18</v>
      </c>
      <c r="D23" s="11" t="inlineStr">
        <is>
          <t>Cobertura discontinua, suelo parcialmente expuesto</t>
        </is>
      </c>
      <c r="E23" s="11" t="inlineStr"/>
    </row>
    <row r="24">
      <c r="A24" s="12" t="inlineStr">
        <is>
          <t>Tierra desnuda</t>
        </is>
      </c>
      <c r="B24" s="20" t="n">
        <v>0.5292</v>
      </c>
      <c r="C24" s="21" t="n">
        <v>0.41</v>
      </c>
      <c r="D24" s="13" t="inlineStr">
        <is>
          <t>Suelo desnudo, afloramientos, plataformas y taludes</t>
        </is>
      </c>
      <c r="E24" s="13" t="inlineStr"/>
    </row>
    <row r="25">
      <c r="A25" s="16" t="inlineStr">
        <is>
          <t>TOTAL CLASIFICADO</t>
        </is>
      </c>
      <c r="B25" s="22">
        <f>SUM(B21:B24)</f>
        <v/>
      </c>
      <c r="C25" s="23">
        <f>SUM(C21:C24)</f>
        <v/>
      </c>
      <c r="D25" s="17" t="inlineStr"/>
      <c r="E25" s="17" t="inlineStr"/>
    </row>
    <row r="26">
      <c r="A26" s="24" t="inlineStr">
        <is>
          <t>Superficie de catálogo (V5/V6)</t>
        </is>
      </c>
      <c r="B26" s="25" t="n">
        <v>130.43</v>
      </c>
      <c r="C26" s="25" t="inlineStr">
        <is>
          <t>—</t>
        </is>
      </c>
      <c r="D26" s="25" t="inlineStr">
        <is>
          <t>Desviación planimétrica frente al catálogo</t>
        </is>
      </c>
      <c r="E26" s="25" t="inlineStr">
        <is>
          <t>+0.04 %</t>
        </is>
      </c>
    </row>
    <row r="28" ht="108"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30 % frente a un 4.28 % del polígono clasificado como «Vegetación alta» por el NDVI 2025; la observación de campo corresponde a una parcela o recorrido puntual y no es estadísticamente representativa de las 130.430 ha del bloque.</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4"/>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M7B1</t>
        </is>
      </c>
    </row>
    <row r="6" ht="24" customHeight="1">
      <c r="A6" s="4" t="inlineStr">
        <is>
          <t>Levantamiento del 2026-05-05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629006</v>
      </c>
      <c r="D10" s="26" t="n">
        <v>9407540</v>
      </c>
      <c r="E10" s="11" t="n">
        <v>4</v>
      </c>
      <c r="F10" s="11" t="inlineStr"/>
      <c r="G10" s="11" t="inlineStr">
        <is>
          <t>Coordenada consignada en F-DT-01</t>
        </is>
      </c>
    </row>
    <row r="11">
      <c r="A11" s="12" t="inlineStr">
        <is>
          <t>H-01</t>
        </is>
      </c>
      <c r="B11" s="13" t="inlineStr">
        <is>
          <t>Fuente de agua — Reservorio / Represa</t>
        </is>
      </c>
      <c r="C11" s="27" t="n">
        <v>628636</v>
      </c>
      <c r="D11" s="27" t="n">
        <v>9408472</v>
      </c>
      <c r="E11" s="13" t="n">
        <v>1006.5</v>
      </c>
      <c r="F11" s="13" t="inlineStr">
        <is>
          <t>Permanente</t>
        </is>
      </c>
      <c r="G11" s="13" t="inlineStr">
        <is>
          <t>Reservorio JASS Nuevo Progreso</t>
        </is>
      </c>
    </row>
    <row r="12">
      <c r="A12" s="7" t="inlineStr">
        <is>
          <t>H-02</t>
        </is>
      </c>
      <c r="B12" s="11" t="inlineStr">
        <is>
          <t>Fuente de agua — Reservorio / Represa</t>
        </is>
      </c>
      <c r="C12" s="26" t="n">
        <v>628707</v>
      </c>
      <c r="D12" s="26" t="n">
        <v>9408442</v>
      </c>
      <c r="E12" s="11" t="n">
        <v>954.1</v>
      </c>
      <c r="F12" s="11" t="inlineStr">
        <is>
          <t>Permanente</t>
        </is>
      </c>
      <c r="G12" s="11" t="inlineStr">
        <is>
          <t>Reservorio JASS Nuevo Progreso (2)</t>
        </is>
      </c>
    </row>
    <row r="13">
      <c r="A13" s="12" t="inlineStr">
        <is>
          <t>H-03</t>
        </is>
      </c>
      <c r="B13" s="13" t="inlineStr">
        <is>
          <t>Fuente de agua — Manantial / Puquio</t>
        </is>
      </c>
      <c r="C13" s="27" t="n">
        <v>628485</v>
      </c>
      <c r="D13" s="27" t="n">
        <v>9408678</v>
      </c>
      <c r="E13" s="13" t="n">
        <v>1255.2</v>
      </c>
      <c r="F13" s="13" t="inlineStr">
        <is>
          <t>Intermitente</t>
        </is>
      </c>
      <c r="G13" s="13" t="inlineStr">
        <is>
          <t>Fuente intermitente</t>
        </is>
      </c>
    </row>
    <row r="14">
      <c r="A14" s="7" t="inlineStr">
        <is>
          <t>H-04</t>
        </is>
      </c>
      <c r="B14" s="11" t="inlineStr">
        <is>
          <t>Fuente de agua — Quebrada estacional</t>
        </is>
      </c>
      <c r="C14" s="26" t="n">
        <v>628900</v>
      </c>
      <c r="D14" s="26" t="n">
        <v>9408100</v>
      </c>
      <c r="E14" s="11" t="n">
        <v>573.9</v>
      </c>
      <c r="F14" s="11" t="inlineStr">
        <is>
          <t>Estacional</t>
        </is>
      </c>
      <c r="G14" s="11" t="inlineStr">
        <is>
          <t>Quebrada estacional 1</t>
        </is>
      </c>
    </row>
    <row r="15">
      <c r="A15" s="12" t="inlineStr">
        <is>
          <t>H-05</t>
        </is>
      </c>
      <c r="B15" s="13" t="inlineStr">
        <is>
          <t>Fuente de agua — Quebrada estacional</t>
        </is>
      </c>
      <c r="C15" s="27" t="n">
        <v>628950</v>
      </c>
      <c r="D15" s="27" t="n">
        <v>9407900</v>
      </c>
      <c r="E15" s="13" t="n">
        <v>368.3</v>
      </c>
      <c r="F15" s="13" t="inlineStr">
        <is>
          <t>Estacional</t>
        </is>
      </c>
      <c r="G15" s="13" t="inlineStr">
        <is>
          <t>Quebrada estacional 2</t>
        </is>
      </c>
    </row>
    <row r="16">
      <c r="A16" s="7" t="inlineStr">
        <is>
          <t>H-06</t>
        </is>
      </c>
      <c r="B16" s="11" t="inlineStr">
        <is>
          <t>Fuente de agua — Quebrada estacional</t>
        </is>
      </c>
      <c r="C16" s="26" t="n">
        <v>629050</v>
      </c>
      <c r="D16" s="26" t="n">
        <v>9407700</v>
      </c>
      <c r="E16" s="11" t="n">
        <v>169.8</v>
      </c>
      <c r="F16" s="11" t="inlineStr">
        <is>
          <t>Estacional</t>
        </is>
      </c>
      <c r="G16" s="11" t="inlineStr">
        <is>
          <t>Quebrada estacional 3</t>
        </is>
      </c>
    </row>
    <row r="17">
      <c r="A17" s="12" t="inlineStr">
        <is>
          <t>H-07</t>
        </is>
      </c>
      <c r="B17" s="13" t="inlineStr">
        <is>
          <t>Fuente de agua — Quebrada estacional</t>
        </is>
      </c>
      <c r="C17" s="27" t="n">
        <v>629100</v>
      </c>
      <c r="D17" s="27" t="n">
        <v>9407500</v>
      </c>
      <c r="E17" s="13" t="n">
        <v>100.7</v>
      </c>
      <c r="F17" s="13" t="inlineStr">
        <is>
          <t>Estacional</t>
        </is>
      </c>
      <c r="G17" s="13" t="inlineStr">
        <is>
          <t>Quebrada estacional 4</t>
        </is>
      </c>
    </row>
    <row r="18">
      <c r="A18" s="7" t="inlineStr">
        <is>
          <t>H-08</t>
        </is>
      </c>
      <c r="B18" s="11" t="inlineStr">
        <is>
          <t>Fuente de agua — Río</t>
        </is>
      </c>
      <c r="C18" s="26" t="n">
        <v>629200</v>
      </c>
      <c r="D18" s="26" t="n">
        <v>9407400</v>
      </c>
      <c r="E18" s="11" t="n">
        <v>236.9</v>
      </c>
      <c r="F18" s="11" t="inlineStr">
        <is>
          <t>Permanente</t>
        </is>
      </c>
      <c r="G18" s="11" t="inlineStr">
        <is>
          <t>Río Piura — borde oriental</t>
        </is>
      </c>
    </row>
    <row r="19">
      <c r="A19" s="16" t="inlineStr">
        <is>
          <t>TOTAL: 9 puntos</t>
        </is>
      </c>
      <c r="B19" s="17" t="inlineStr"/>
      <c r="C19" s="17" t="inlineStr"/>
      <c r="D19" s="17" t="inlineStr"/>
      <c r="E19" s="17" t="inlineStr"/>
      <c r="F19" s="17" t="inlineStr"/>
      <c r="G19" s="17" t="inlineStr"/>
    </row>
    <row r="21">
      <c r="A21" s="6" t="inlineStr">
        <is>
          <t>Centroide del bloque — UTM ESTE (m)</t>
        </is>
      </c>
      <c r="B21" s="7" t="n">
        <v>629006</v>
      </c>
      <c r="C21" s="6" t="inlineStr">
        <is>
          <t>Centroide del bloque — UTM NORTE (m)</t>
        </is>
      </c>
      <c r="D21" s="7" t="n">
        <v>9407536</v>
      </c>
      <c r="E21" s="8" t="n"/>
      <c r="F21" s="8" t="n"/>
      <c r="G21" s="8" t="n"/>
      <c r="H21" s="8" t="n"/>
    </row>
    <row r="22">
      <c r="A22" s="6" t="inlineStr">
        <is>
          <t>N.° de estaciones fotográficas declaradas</t>
        </is>
      </c>
      <c r="B22" s="7" t="n">
        <v>0</v>
      </c>
      <c r="C22" s="6" t="inlineStr">
        <is>
          <t>Estaciones dentro del polígono</t>
        </is>
      </c>
      <c r="D22" s="7" t="n">
        <v>0</v>
      </c>
      <c r="E22" s="8" t="n"/>
      <c r="F22" s="8" t="n"/>
      <c r="G22" s="8" t="n"/>
      <c r="H22" s="8" t="n"/>
    </row>
    <row r="24" ht="108" customHeight="1">
      <c r="A24"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DE GEOMETRÍA LINEAL: corredor de ≈4.2 km sobre la ladera derecha del valle del río Piura, PARALELO A LA VÍA DEPARTAMENTAL PE-02A. La ficha F-DT-01 no consigna observaciones adicionales. NOTA: la geometría alargada del polígono y su contigüidad con la vía condicionan tanto la exposición del ecosistema como la logística de intervención.</t>
        </is>
      </c>
    </row>
  </sheetData>
  <mergeCells count="8">
    <mergeCell ref="A1:G1"/>
    <mergeCell ref="A8:G8"/>
    <mergeCell ref="A3:G3"/>
    <mergeCell ref="A6:G6"/>
    <mergeCell ref="A4:G4"/>
    <mergeCell ref="A24:G2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C1076-Q9581 — BLOQUE M7B1</t>
        </is>
      </c>
    </row>
    <row r="6" ht="24" customHeight="1">
      <c r="A6" s="4" t="inlineStr">
        <is>
          <t>Distrito de Salitral · Provincia de Morropon · Comparación de los bloques preliminares de intervención de la misma microcuenca</t>
        </is>
      </c>
    </row>
    <row r="8" ht="18" customHeight="1">
      <c r="A8" s="5" t="inlineStr">
        <is>
          <t>BLOQUES DE LA MICROCUENCA C1076-Q9581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14" t="inlineStr">
        <is>
          <t>► M7B1</t>
        </is>
      </c>
      <c r="B10" s="28" t="n">
        <v>130.43</v>
      </c>
      <c r="C10" s="29" t="n">
        <v>32.38</v>
      </c>
      <c r="D10" s="15" t="inlineStr">
        <is>
          <t>183 – 357</t>
        </is>
      </c>
      <c r="E10" s="15" t="n">
        <v>174</v>
      </c>
      <c r="F10" s="15" t="n">
        <v>17.35</v>
      </c>
      <c r="G10" s="30" t="n">
        <v>0.3136</v>
      </c>
      <c r="H10" s="29" t="n">
        <v>4.28</v>
      </c>
    </row>
    <row r="11">
      <c r="A11" s="12" t="inlineStr">
        <is>
          <t>M7B2</t>
        </is>
      </c>
      <c r="B11" s="31" t="n">
        <v>115.38</v>
      </c>
      <c r="C11" s="21" t="n">
        <v>28.64</v>
      </c>
      <c r="D11" s="13" t="inlineStr">
        <is>
          <t>204 – 362</t>
        </is>
      </c>
      <c r="E11" s="13" t="n">
        <v>158</v>
      </c>
      <c r="F11" s="13" t="n">
        <v>14.01</v>
      </c>
      <c r="G11" s="20" t="n">
        <v>0.2877</v>
      </c>
      <c r="H11" s="21" t="n">
        <v>0.91</v>
      </c>
    </row>
    <row r="12">
      <c r="A12" s="7" t="inlineStr">
        <is>
          <t>M7B6</t>
        </is>
      </c>
      <c r="B12" s="32" t="n">
        <v>91.29000000000001</v>
      </c>
      <c r="C12" s="19" t="n">
        <v>22.66</v>
      </c>
      <c r="D12" s="11" t="inlineStr">
        <is>
          <t>228 – 453</t>
        </is>
      </c>
      <c r="E12" s="11" t="n">
        <v>225</v>
      </c>
      <c r="F12" s="11" t="n">
        <v>16.87</v>
      </c>
      <c r="G12" s="18" t="n">
        <v>0.2878</v>
      </c>
      <c r="H12" s="19" t="n">
        <v>0.73</v>
      </c>
    </row>
    <row r="13">
      <c r="A13" s="12" t="inlineStr">
        <is>
          <t>M7B3</t>
        </is>
      </c>
      <c r="B13" s="31" t="n">
        <v>65.73999999999999</v>
      </c>
      <c r="C13" s="21" t="n">
        <v>16.32</v>
      </c>
      <c r="D13" s="13" t="inlineStr">
        <is>
          <t>209 – 372</t>
        </is>
      </c>
      <c r="E13" s="13" t="n">
        <v>163</v>
      </c>
      <c r="F13" s="13" t="n">
        <v>19.61</v>
      </c>
      <c r="G13" s="20" t="n">
        <v>0.298</v>
      </c>
      <c r="H13" s="21" t="n">
        <v>1.32</v>
      </c>
    </row>
    <row r="14">
      <c r="A14" s="16" t="inlineStr">
        <is>
          <t>TOTAL / PROMEDIO</t>
        </is>
      </c>
      <c r="B14" s="33">
        <f>SUM(B10:B13)</f>
        <v/>
      </c>
      <c r="C14" s="23">
        <f>SUM(C10:C13)</f>
        <v/>
      </c>
      <c r="D14" s="17" t="inlineStr">
        <is>
          <t>183 – 453</t>
        </is>
      </c>
      <c r="E14" s="17" t="inlineStr"/>
      <c r="F14" s="17">
        <f>ROUND(AVERAGE(F10:F13),2)</f>
        <v/>
      </c>
      <c r="G14" s="22">
        <f>ROUND(AVERAGE(G10:G13),4)</f>
        <v/>
      </c>
      <c r="H14" s="23">
        <f>ROUND(AVERAGE(H10:H13),2)</f>
        <v/>
      </c>
    </row>
    <row r="16" ht="84" customHeight="1">
      <c r="A16" s="9" t="inlineStr">
        <is>
          <t>LECTURA INTRAMICROCUENCA. El bloque M7B1 ocupa el puesto 1 de 4 por superficie dentro de la microcuenca C1076-Q9581 (32.38 % de las 402.84 ha preliminares de la microcuenca). Su pendiente promedio (17.35 %, clase «15-25% (Fuert. inclinado)») es la 3.ª más baja de 4 y se sitúa por encima del promedio de la microcuenca (16.96 %). Su MSAVI 2024 (0.3136) es el 1.º de 4 y queda por encima del promedio local (0.2968). Amplitud altitudinal del bloque: 174 m (183–357 msnm). El cuadro conserva todos los bloques catalogados en la microcuenca, incluidos los descartados en el tamizaje, para referencia del conjunto. Los bloques sin ficha DT figuran con sus parámetros de gabinete.</t>
        </is>
      </c>
    </row>
    <row r="18" ht="60" customHeight="1">
      <c r="A18"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18:H18"/>
    <mergeCell ref="A3:H3"/>
    <mergeCell ref="A2:H2"/>
    <mergeCell ref="A16:H16"/>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M7B1</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«C1076-Q9581»</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4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(130.476 ha) coincide con la de catálogo (130.43 ha) dentro del ±2 % (+0.04 %)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la estadística zonal sobre el MDE arroja una pendiente promedio de 17.35 %, que corresponde a la clase «15-25% (Fuert.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30 % de cobertura vegetal en campo; el NDVI mediana 2025 clasifica 99.59 %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Elenco florístico</t>
        </is>
      </c>
      <c r="C15" s="36" t="inlineStr">
        <is>
          <t>La ficha registra 6 taxones, por debajo del mínimo de 15 que exige el formato V5</t>
        </is>
      </c>
      <c r="D15" s="37" t="inlineStr">
        <is>
          <t>SUSTANTIVA</t>
        </is>
      </c>
      <c r="E15" s="36" t="inlineStr">
        <is>
          <t>Registro florístico preliminar, sin colecta ni determinación botánica formal. Debe cerrarse con colecta botánica en la siguiente campaña.</t>
        </is>
      </c>
    </row>
    <row r="16" ht="48" customHeight="1">
      <c r="A16" s="34" t="inlineStr">
        <is>
          <t>D-07</t>
        </is>
      </c>
      <c r="B16" s="34" t="inlineStr">
        <is>
          <t>Representatividad del levantamiento</t>
        </is>
      </c>
      <c r="C16" s="34" t="inlineStr">
        <is>
          <t>Ninguna de las estaciones fotográficas georreferenciadas se localiza dentro del polígono del bloque</t>
        </is>
      </c>
      <c r="D16" s="37" t="inlineStr">
        <is>
          <t>SUSTANTIVA</t>
        </is>
      </c>
      <c r="E16" s="34" t="inlineStr">
        <is>
          <t>La verificación documenta el perímetro y la vista panorámica del bloque, no su interior. Los parámetros que exigen recorrido interno se consignan «Por determinar».</t>
        </is>
      </c>
    </row>
    <row r="17" ht="48" customHeight="1">
      <c r="A17" s="36" t="inlineStr">
        <is>
          <t>D-08</t>
        </is>
      </c>
      <c r="B17" s="36" t="inlineStr">
        <is>
          <t>Centro poblado asociado</t>
        </is>
      </c>
      <c r="C17" s="36" t="inlineStr">
        <is>
          <t>La ficha DT declara «Víctor Raúl»; el cruce INEI-Bloques V5 identifica 3 centro(s) poblado(s) en el bloque: LA ALBERCA, NUEVO PROGRESO, VICTOR RAUL</t>
        </is>
      </c>
      <c r="D17" s="15" t="inlineStr">
        <is>
          <t>NO SUSTANTIVA</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ht="48" customHeight="1">
      <c r="A19" s="36" t="inlineStr">
        <is>
          <t>D-10</t>
        </is>
      </c>
      <c r="B19" s="36" t="inlineStr">
        <is>
          <t>Plan de Ingreso</t>
        </is>
      </c>
      <c r="C19" s="36" t="inlineStr">
        <is>
          <t>Altitud = 0 msnm (captura por defecto del aplicativo)</t>
        </is>
      </c>
      <c r="D19" s="38" t="inlineStr">
        <is>
          <t>CORREGIDO</t>
        </is>
      </c>
      <c r="E19" s="36" t="inlineStr">
        <is>
          <t>Se reemplaza por la altitud GPS de campo (196 msnm)</t>
        </is>
      </c>
    </row>
    <row r="20" ht="48" customHeight="1">
      <c r="A20" s="34" t="inlineStr">
        <is>
          <t>D-11</t>
        </is>
      </c>
      <c r="B20" s="34" t="inlineStr">
        <is>
          <t>F-DT-02 / F-DT-03</t>
        </is>
      </c>
      <c r="C20" s="34" t="inlineStr">
        <is>
          <t>Erosión «Ligera (laminar)» y urgencia «Baja» frente a un suelo desnudo del 70%</t>
        </is>
      </c>
      <c r="D20" s="37" t="inlineStr">
        <is>
          <t>SUSTANTIVA</t>
        </is>
      </c>
      <c r="E20" s="34" t="inlineStr">
        <is>
          <t>Inconsistencia interna a resolver</t>
        </is>
      </c>
    </row>
    <row r="21" ht="48" customHeight="1">
      <c r="A21" s="36" t="inlineStr">
        <is>
          <t>D-12</t>
        </is>
      </c>
      <c r="B21" s="36" t="inlineStr">
        <is>
          <t>F-DT-03</t>
        </is>
      </c>
      <c r="C21" s="36" t="inlineStr">
        <is>
          <t>Cobertura vegetal total 30% frente al tipo de cobertura dominante «Bosque ralo (30-70%)»</t>
        </is>
      </c>
      <c r="D21" s="15" t="inlineStr">
        <is>
          <t>NO SUSTANTIVA</t>
        </is>
      </c>
      <c r="E21" s="36" t="inlineStr">
        <is>
          <t>Verificar clasificación</t>
        </is>
      </c>
    </row>
    <row r="22" ht="48" customHeight="1">
      <c r="A22" s="34" t="inlineStr">
        <is>
          <t>D-13</t>
        </is>
      </c>
      <c r="B22" s="34" t="inlineStr">
        <is>
          <t>F-DT-03</t>
        </is>
      </c>
      <c r="C22" s="34" t="inlineStr">
        <is>
          <t>Solo 6 taxones registrados frente al mínimo de 15 exigido</t>
        </is>
      </c>
      <c r="D22" s="37" t="inlineStr">
        <is>
          <t>SUSTANTIVA</t>
        </is>
      </c>
      <c r="E22" s="34" t="inlineStr">
        <is>
          <t>Inventario florístico incompleto</t>
        </is>
      </c>
    </row>
    <row r="23" ht="48" customHeight="1">
      <c r="A23" s="36" t="inlineStr">
        <is>
          <t>D-14</t>
        </is>
      </c>
      <c r="B23" s="36" t="inlineStr">
        <is>
          <t>F-DT-03</t>
        </is>
      </c>
      <c r="C23" s="36" t="inlineStr">
        <is>
          <t>Categoría del Hualtaco consignada VU y del Palo Santo LC, frente a CR en la mayoría de los bloques</t>
        </is>
      </c>
      <c r="D23" s="37" t="inlineStr">
        <is>
          <t>SUSTANTIVA</t>
        </is>
      </c>
      <c r="E23" s="36" t="inlineStr">
        <is>
          <t>Homogeneizar criterio de categorización</t>
        </is>
      </c>
    </row>
    <row r="24" ht="48" customHeight="1">
      <c r="A24" s="34" t="inlineStr">
        <is>
          <t>D-15</t>
        </is>
      </c>
      <c r="B24" s="34" t="inlineStr">
        <is>
          <t>F-DT-04</t>
        </is>
      </c>
      <c r="C24" s="34" t="inlineStr">
        <is>
          <t>Urgencia de intervención BAJA pese a 70% de suelo desnudo y 25% de área con especie invasora</t>
        </is>
      </c>
      <c r="D24" s="37" t="inlineStr">
        <is>
          <t>SUSTANTIVA</t>
        </is>
      </c>
      <c r="E24" s="34" t="inlineStr">
        <is>
          <t>Revisar calificación</t>
        </is>
      </c>
    </row>
    <row r="25" ht="48" customHeight="1">
      <c r="A25" s="36" t="inlineStr">
        <is>
          <t>D-16</t>
        </is>
      </c>
      <c r="B25" s="36" t="inlineStr">
        <is>
          <t>F-DT-04</t>
        </is>
      </c>
      <c r="C25" s="36" t="inlineStr">
        <is>
          <t>Carga ganadera calificada «Bajo» sin valor numérico</t>
        </is>
      </c>
      <c r="D25" s="15" t="inlineStr">
        <is>
          <t>NO SUSTANTIVA</t>
        </is>
      </c>
      <c r="E25" s="36" t="inlineStr">
        <is>
          <t>Completar el valor</t>
        </is>
      </c>
    </row>
    <row r="26" ht="48" customHeight="1">
      <c r="A26" s="34" t="inlineStr">
        <is>
          <t>D-17</t>
        </is>
      </c>
      <c r="B26" s="34" t="inlineStr">
        <is>
          <t>F-DT-04</t>
        </is>
      </c>
      <c r="C26" s="34" t="inlineStr">
        <is>
          <t>Área LOTIZADA en el sector noroeste del bloque (expansión urbana, 10%)</t>
        </is>
      </c>
      <c r="D26" s="37" t="inlineStr">
        <is>
          <t>SUSTANTIVA</t>
        </is>
      </c>
      <c r="E26" s="34" t="inlineStr">
        <is>
          <t>Tamizaje predial: verificar superposición con habilitaciones urbanas</t>
        </is>
      </c>
    </row>
    <row r="27" ht="48" customHeight="1">
      <c r="A27" s="36" t="inlineStr">
        <is>
          <t>D-18</t>
        </is>
      </c>
      <c r="B27" s="36" t="inlineStr">
        <is>
          <t>F-DT-05</t>
        </is>
      </c>
      <c r="C27" s="36" t="inlineStr">
        <is>
          <t>Dos reservorios de la JASS Nuevo Progreso dentro del polígono</t>
        </is>
      </c>
      <c r="D27" s="37" t="inlineStr">
        <is>
          <t>SUSTANTIVA</t>
        </is>
      </c>
      <c r="E27" s="36" t="inlineStr">
        <is>
          <t>Coordinación obligatoria con la JASS; oportunidad MERESE</t>
        </is>
      </c>
    </row>
    <row r="29">
      <c r="A29" s="16" t="inlineStr">
        <is>
          <t>RESUMEN</t>
        </is>
      </c>
      <c r="B29" s="17" t="inlineStr">
        <is>
          <t>18 verificaciones</t>
        </is>
      </c>
      <c r="C29" s="17" t="inlineStr">
        <is>
          <t>CONFORME: 3 · CORREGIDO: 1 · NO SUSTANTIVA: 5 · SUSTANTIVA: 9</t>
        </is>
      </c>
      <c r="D29" s="17" t="inlineStr"/>
      <c r="E29" s="17" t="inlineStr"/>
    </row>
    <row r="31" ht="60" customHeight="1">
      <c r="A3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1:E1"/>
    <mergeCell ref="A5:E5"/>
    <mergeCell ref="A8:E8"/>
    <mergeCell ref="A6:E6"/>
    <mergeCell ref="A31:E3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M7B1 — IN Piura</dc:title>
  <dc:subject>Diagnóstico Territorial por bloque de intervención</dc:subject>
  <dcterms:created xsi:type="dcterms:W3CDTF">2026-09-08T03:39:59Z</dcterms:created>
  <dcterms:modified xsi:type="dcterms:W3CDTF">2026-09-08T03:39:59Z</dcterms:modified>
</cp:coreProperties>
</file>