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85</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85</t>
        </is>
      </c>
      <c r="C9" s="6" t="inlineStr">
        <is>
          <t>Microcuenca (catálogo)</t>
        </is>
      </c>
      <c r="D9" s="7" t="inlineStr">
        <is>
          <t>C1081-Q9583</t>
        </is>
      </c>
      <c r="E9" s="8" t="n"/>
      <c r="F9" s="8" t="n"/>
    </row>
    <row r="10">
      <c r="A10" s="6" t="inlineStr">
        <is>
          <t>Zona de planificación</t>
        </is>
      </c>
      <c r="B10" s="7" t="inlineStr">
        <is>
          <t>Z08</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 Juan de Bigote</t>
        </is>
      </c>
      <c r="C12" s="6" t="inlineStr">
        <is>
          <t>Capital distrital</t>
        </is>
      </c>
      <c r="D12" s="7" t="inlineStr">
        <is>
          <t>San Juan de Bigote</t>
        </is>
      </c>
      <c r="E12" s="8" t="n"/>
      <c r="F12" s="8" t="n"/>
    </row>
    <row r="13">
      <c r="A13" s="6" t="inlineStr">
        <is>
          <t>Centro poblado asociado</t>
        </is>
      </c>
      <c r="B13" s="7" t="inlineStr">
        <is>
          <t>Dotor (C.P. Dotor / Caserío Dotor)</t>
        </is>
      </c>
      <c r="C13" s="6" t="inlineStr">
        <is>
          <t>Comunidad campesina</t>
        </is>
      </c>
      <c r="D13" s="7" t="inlineStr">
        <is>
          <t>En blanco (no consignada)</t>
        </is>
      </c>
      <c r="E13" s="8" t="n"/>
      <c r="F13" s="8" t="n"/>
    </row>
    <row r="14">
      <c r="A14" s="6" t="inlineStr">
        <is>
          <t>Superficie de catálogo (V5/V6), ha</t>
        </is>
      </c>
      <c r="B14" s="7" t="n">
        <v>11.906</v>
      </c>
      <c r="C14" s="6" t="inlineStr">
        <is>
          <t>Fuente de superficie</t>
        </is>
      </c>
      <c r="D14" s="7" t="inlineStr">
        <is>
          <t>Catálogo maestro Bloques V5/V6</t>
        </is>
      </c>
      <c r="E14" s="8" t="n"/>
      <c r="F14" s="8" t="n"/>
    </row>
    <row r="15">
      <c r="A15" s="6" t="inlineStr">
        <is>
          <t>Centroide UTM ESTE (m)</t>
        </is>
      </c>
      <c r="B15" s="7" t="n">
        <v>642200</v>
      </c>
      <c r="C15" s="6" t="inlineStr">
        <is>
          <t>Centroide UTM NORTE (m)</t>
        </is>
      </c>
      <c r="D15" s="7" t="n">
        <v>9411072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0</v>
      </c>
      <c r="C19" s="6" t="inlineStr">
        <is>
          <t>Altitud máxima (msnm)</t>
        </is>
      </c>
      <c r="D19" s="7" t="n">
        <v>0</v>
      </c>
      <c r="E19" s="8" t="n"/>
      <c r="F19" s="8" t="n"/>
    </row>
    <row r="20">
      <c r="A20" s="6" t="inlineStr">
        <is>
          <t>Amplitud altitudinal (m)</t>
        </is>
      </c>
      <c r="B20" s="7" t="n">
        <v>0</v>
      </c>
      <c r="C20" s="6" t="inlineStr">
        <is>
          <t>Piso altitudinal dominante</t>
        </is>
      </c>
      <c r="D20" s="7" t="inlineStr">
        <is>
          <t>&lt;1000 m (Yunga)</t>
        </is>
      </c>
      <c r="E20" s="8" t="n"/>
      <c r="F20" s="8" t="n"/>
    </row>
    <row r="21">
      <c r="A21" s="6" t="inlineStr">
        <is>
          <t>Pendiente promedio (%)</t>
        </is>
      </c>
      <c r="B21" s="7" t="n">
        <v>0</v>
      </c>
      <c r="C21" s="6" t="inlineStr">
        <is>
          <t>Pendiente promedio (grados)</t>
        </is>
      </c>
      <c r="D21" s="7" t="n">
        <v>0</v>
      </c>
      <c r="E21" s="8" t="n"/>
      <c r="F21" s="8" t="n"/>
    </row>
    <row r="22">
      <c r="A22" s="6" t="inlineStr">
        <is>
          <t>Clase de pendiente equivalente</t>
        </is>
      </c>
      <c r="B22" s="7" t="inlineStr">
        <is>
          <t>0-8% (Plano-lig. inclinado)</t>
        </is>
      </c>
      <c r="C22" s="6" t="inlineStr">
        <is>
          <t>Rango de pendiente declarado en campo</t>
        </is>
      </c>
      <c r="D22" s="7" t="inlineStr">
        <is>
          <t>8-15% (Mod. inclinado)</t>
        </is>
      </c>
      <c r="E22" s="8" t="n"/>
      <c r="F22" s="8" t="n"/>
    </row>
    <row r="23">
      <c r="A23" s="6" t="inlineStr">
        <is>
          <t>Forma predominante del terreno</t>
        </is>
      </c>
      <c r="B23" s="7" t="inlineStr">
        <is>
          <t>Colinoso</t>
        </is>
      </c>
      <c r="C23" s="6" t="inlineStr">
        <is>
          <t>Posición fisiográfica</t>
        </is>
      </c>
      <c r="D23" s="7" t="inlineStr">
        <is>
          <t>Ladera baja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0.2289</v>
      </c>
      <c r="C28" s="6" t="inlineStr">
        <is>
          <t>MSAVI 2024 — clase de la media</t>
        </is>
      </c>
      <c r="D28" s="7" t="inlineStr">
        <is>
          <t>&lt;= 0.2650 (Suelo desnudo / no vegetal)</t>
        </is>
      </c>
      <c r="E28" s="8" t="n"/>
      <c r="F28" s="8" t="n"/>
    </row>
    <row r="29">
      <c r="A29" s="6" t="inlineStr">
        <is>
          <t>Condición frente al umbral 0.4976</t>
        </is>
      </c>
      <c r="B29" s="7" t="inlineStr">
        <is>
          <t>Bajo umbral · distribución areal: 100.00 % del bloque BAJO el umbral (11.906 ha de 11.906 ha)</t>
        </is>
      </c>
      <c r="C29" s="6" t="inlineStr">
        <is>
          <t>NDVI mediana 2025 — clase modal</t>
        </is>
      </c>
      <c r="D29" s="7" t="inlineStr">
        <is>
          <t>Tierra desnuda (59.22 %)</t>
        </is>
      </c>
      <c r="E29" s="8" t="n"/>
      <c r="F29" s="8" t="n"/>
    </row>
    <row r="30">
      <c r="A30" s="6" t="inlineStr">
        <is>
          <t>MSAVI 2024 — superficie BAJO el umbral 0.4976 (ha)</t>
        </is>
      </c>
      <c r="B30" s="7" t="n">
        <v>11.906</v>
      </c>
      <c r="C30" s="6" t="inlineStr">
        <is>
          <t>MSAVI 2024 — % del bloque BAJO el umbral</t>
        </is>
      </c>
      <c r="D30" s="7" t="n">
        <v>100</v>
      </c>
      <c r="E30" s="8" t="n"/>
      <c r="F30" s="8" t="n"/>
    </row>
    <row r="31">
      <c r="A31" s="6" t="inlineStr">
        <is>
          <t>MSAVI 2024 — clase areal dominante</t>
        </is>
      </c>
      <c r="B31" s="7" t="inlineStr">
        <is>
          <t>Suelo desnudo / no vegetal</t>
        </is>
      </c>
      <c r="C31" s="6" t="inlineStr">
        <is>
          <t>MSAVI 2024 — fuente de la distribución areal</t>
        </is>
      </c>
      <c r="D31" s="7" t="inlineStr">
        <is>
          <t>Conteo de celdas sobre la cartografía MSAVI 2024 del bloque (MSAVI Bloque 85.png)</t>
        </is>
      </c>
      <c r="E31" s="8" t="n"/>
      <c r="F31" s="8" t="n"/>
    </row>
    <row r="32" ht="18" customHeight="1">
      <c r="A32" s="6" t="inlineStr">
        <is>
          <t>Superficie clasificada NDVI 2025 (ha)</t>
        </is>
      </c>
      <c r="B32" s="7" t="n">
        <v>11.91</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Bosque Estacionalmente Seco de Colina y Montaña (Bes-cm) — asignación POR VERIFICAR</t>
        </is>
      </c>
      <c r="C35" s="6" t="inlineStr">
        <is>
          <t>Superficie de ecosistema (ha)</t>
        </is>
      </c>
      <c r="D35" s="7" t="inlineStr">
        <is>
          <t>11.91 ha (100% del bloque)</t>
        </is>
      </c>
      <c r="E35" s="8" t="n"/>
      <c r="F35" s="8" t="n"/>
    </row>
    <row r="36">
      <c r="A36" s="6" t="inlineStr">
        <is>
          <t>Estado de conservación</t>
        </is>
      </c>
      <c r="B36" s="7" t="inlineStr">
        <is>
          <t>Muy alterado / Degradado</t>
        </is>
      </c>
      <c r="C36" s="6" t="inlineStr">
        <is>
          <t>Uso actual dominante del suelo</t>
        </is>
      </c>
      <c r="D36" s="7" t="inlineStr">
        <is>
          <t>Pastoreo extensivo</t>
        </is>
      </c>
      <c r="E36" s="8" t="n"/>
      <c r="F36" s="8" t="n"/>
    </row>
    <row r="37">
      <c r="A37" s="6" t="inlineStr">
        <is>
          <t>Tipo de cobertura dominante</t>
        </is>
      </c>
      <c r="B37" s="7" t="inlineStr">
        <is>
          <t>Suelo desnudo</t>
        </is>
      </c>
      <c r="C37" s="6" t="inlineStr">
        <is>
          <t>Cobertura vegetal total — campo (%)</t>
        </is>
      </c>
      <c r="D37" s="7" t="n">
        <v>7</v>
      </c>
      <c r="E37" s="8" t="n"/>
      <c r="F37" s="8" t="n"/>
    </row>
    <row r="38">
      <c r="A38" s="6" t="inlineStr">
        <is>
          <t>Suelo desnudo — campo (%)</t>
        </is>
      </c>
      <c r="B38" s="7" t="n">
        <v>75</v>
      </c>
      <c r="C38" s="6" t="inlineStr">
        <is>
          <t>Regeneración natural</t>
        </is>
      </c>
      <c r="D38" s="7" t="inlineStr">
        <is>
          <t>Ausente</t>
        </is>
      </c>
      <c r="E38" s="8" t="n"/>
      <c r="F38" s="8" t="n"/>
    </row>
    <row r="39">
      <c r="A39" s="6" t="inlineStr">
        <is>
          <t>Nivel general de erosión</t>
        </is>
      </c>
      <c r="B39" s="7" t="inlineStr">
        <is>
          <t>Fuerte (cárcavas incipientes)</t>
        </is>
      </c>
      <c r="C39" s="6" t="inlineStr">
        <is>
          <t>N.° de cárcavas registradas</t>
        </is>
      </c>
      <c r="D39" s="7" t="inlineStr">
        <is>
          <t>No inventariadas</t>
        </is>
      </c>
      <c r="E39" s="8" t="n"/>
      <c r="F39" s="8" t="n"/>
    </row>
    <row r="40" ht="18" customHeight="1">
      <c r="A40" s="6" t="inlineStr">
        <is>
          <t>Elenco florístico (n.° de taxones)</t>
        </is>
      </c>
      <c r="B40" s="7" t="n">
        <v>15</v>
      </c>
      <c r="C40" s="6" t="inlineStr">
        <is>
          <t>Estado sanitario</t>
        </is>
      </c>
      <c r="D40" s="7" t="inlineStr">
        <is>
          <t>En blanco (sin mediciones)</t>
        </is>
      </c>
      <c r="E40" s="8" t="n"/>
      <c r="F40" s="8" t="n"/>
    </row>
    <row r="41"/>
    <row r="42">
      <c r="A42" s="5" t="inlineStr">
        <is>
          <t>5. RESPONSABLE Y MODALIDAD DE LA EVALUACIÓN</t>
        </is>
      </c>
    </row>
    <row r="43">
      <c r="A43" s="6" t="inlineStr">
        <is>
          <t>Responsable de la evaluación</t>
        </is>
      </c>
      <c r="B43" s="7" t="inlineStr">
        <is>
          <t>Brigada de campo IN Piura — levantamiento fotogramétrico RPA; nominación POR CONFIRMAR según parte diario</t>
        </is>
      </c>
      <c r="C43" s="6" t="inlineStr">
        <is>
          <t>Fecha de evaluación</t>
        </is>
      </c>
      <c r="D43" s="7" t="inlineStr">
        <is>
          <t>2026-08-14</t>
        </is>
      </c>
      <c r="E43" s="8" t="n"/>
      <c r="F43" s="8" t="n"/>
    </row>
    <row r="44">
      <c r="A44" s="6" t="inlineStr">
        <is>
          <t>Hora de registro</t>
        </is>
      </c>
      <c r="B44" s="7" t="inlineStr">
        <is>
          <t>12:02 h</t>
        </is>
      </c>
      <c r="C44" s="6" t="inlineStr">
        <is>
          <t>Correlativo de ficha</t>
        </is>
      </c>
      <c r="D44" s="7" t="inlineStr">
        <is>
          <t>F-DT-01-B85-2026</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No instalada — fotointerpretación de ortofoto RPA</t>
        </is>
      </c>
      <c r="E46" s="8" t="n"/>
      <c r="F46" s="8" t="n"/>
    </row>
    <row r="47" ht="18" customHeight="1">
      <c r="A47" s="6" t="inlineStr">
        <is>
          <t>Estaciones fotográficas georreferenciadas</t>
        </is>
      </c>
      <c r="B47" s="7" t="n">
        <v>13</v>
      </c>
      <c r="C47" s="6" t="inlineStr">
        <is>
          <t>Modalidad de acceso</t>
        </is>
      </c>
      <c r="D47" s="7" t="inlineStr">
        <is>
          <t>Vehicular 4x4 hasta el bloque</t>
        </is>
      </c>
      <c r="E47" s="8" t="n"/>
      <c r="F47" s="8" t="n"/>
    </row>
    <row r="48"/>
    <row r="49">
      <c r="A49" s="5" t="inlineStr">
        <is>
          <t>6. SÍNTESIS PARA LA GESTIÓN DEL RIESGO EN CONTEXTO DE CAMBIO CLIMÁTICO</t>
        </is>
      </c>
    </row>
    <row r="50">
      <c r="A50" s="6" t="inlineStr">
        <is>
          <t>Causa subyacente principal</t>
        </is>
      </c>
      <c r="B50" s="7" t="inlineStr">
        <is>
          <t>Ausencia de un régimen de manejo del pastoreo en el área comunal inmediata al centro poblado</t>
        </is>
      </c>
      <c r="C50" s="6" t="inlineStr">
        <is>
          <t>Velocidad de degradación</t>
        </is>
      </c>
      <c r="D50" s="7" t="inlineStr">
        <is>
          <t>EN BLANCO — no se dispone de serie Theil-Sen (TAU) ni de MSAVI multianual</t>
        </is>
      </c>
      <c r="E50" s="8" t="n"/>
      <c r="F50" s="8" t="n"/>
    </row>
    <row r="51">
      <c r="A51" s="6" t="inlineStr">
        <is>
          <t>Reversibilidad técnica</t>
        </is>
      </c>
      <c r="B51" s="7" t="inlineStr">
        <is>
          <t>Difícilmente reversible</t>
        </is>
      </c>
      <c r="C51" s="6" t="inlineStr">
        <is>
          <t>Urgencia de intervención</t>
        </is>
      </c>
      <c r="D51" s="7" t="inlineStr">
        <is>
          <t>Crítica</t>
        </is>
      </c>
      <c r="E51" s="8" t="n"/>
      <c r="F51" s="8" t="n"/>
    </row>
    <row r="52">
      <c r="A52" s="6" t="inlineStr">
        <is>
          <t>Urgencia de control de erosión</t>
        </is>
      </c>
      <c r="B52" s="7" t="inlineStr">
        <is>
          <t>Crítica</t>
        </is>
      </c>
      <c r="C52" s="6" t="inlineStr">
        <is>
          <t>Zona de recarga hídrica</t>
        </is>
      </c>
      <c r="D52" s="7" t="inlineStr">
        <is>
          <t>No</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85</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v>
      </c>
      <c r="C11" s="21" t="n">
        <v>0</v>
      </c>
      <c r="D11" s="13" t="inlineStr">
        <is>
          <t>Vigor moderado</t>
        </is>
      </c>
      <c r="E11" s="13" t="inlineStr">
        <is>
          <t>Sobre umbral</t>
        </is>
      </c>
    </row>
    <row r="12">
      <c r="A12" s="7" t="inlineStr">
        <is>
          <t>0.3813 - 0.4976</t>
        </is>
      </c>
      <c r="B12" s="18" t="n">
        <v>0.0321</v>
      </c>
      <c r="C12" s="19" t="n">
        <v>0.27</v>
      </c>
      <c r="D12" s="11" t="inlineStr">
        <is>
          <t>Vigor bajo</t>
        </is>
      </c>
      <c r="E12" s="11" t="inlineStr">
        <is>
          <t>BAJO umbral 0.4976</t>
        </is>
      </c>
    </row>
    <row r="13">
      <c r="A13" s="12" t="inlineStr">
        <is>
          <t>0.2650 - 0.3813</t>
        </is>
      </c>
      <c r="B13" s="20" t="n">
        <v>1.5764</v>
      </c>
      <c r="C13" s="21" t="n">
        <v>13.24</v>
      </c>
      <c r="D13" s="13" t="inlineStr">
        <is>
          <t>Vigor muy bajo</t>
        </is>
      </c>
      <c r="E13" s="13" t="inlineStr">
        <is>
          <t>BAJO umbral 0.4976</t>
        </is>
      </c>
    </row>
    <row r="14">
      <c r="A14" s="14" t="inlineStr">
        <is>
          <t>&lt;= 0.2650</t>
        </is>
      </c>
      <c r="B14" s="32" t="n">
        <v>10.2975</v>
      </c>
      <c r="C14" s="31" t="n">
        <v>86.48999999999999</v>
      </c>
      <c r="D14" s="15" t="inlineStr">
        <is>
          <t>Suelo desnudo / no vegetal</t>
        </is>
      </c>
      <c r="E14" s="15" t="inlineStr">
        <is>
          <t>BAJO umbral 0.4976</t>
        </is>
      </c>
    </row>
    <row r="15">
      <c r="A15" s="14" t="inlineStr">
        <is>
          <t>TOTAL CLASIFICADO</t>
        </is>
      </c>
      <c r="B15" s="32">
        <f>SUM(B10:B14)</f>
        <v/>
      </c>
      <c r="C15" s="31">
        <f>SUM(C10:C14)</f>
        <v/>
      </c>
      <c r="D15" s="15" t="inlineStr">
        <is>
          <t>Suma de las cinco clases MSAVI 2024</t>
        </is>
      </c>
      <c r="E15" s="15" t="inlineStr">
        <is>
          <t>Iguala la superficie de catálogo (V5/V6)</t>
        </is>
      </c>
    </row>
    <row r="16">
      <c r="A16" s="16" t="inlineStr">
        <is>
          <t>MSAVI 2024 — MEDIA DEL BLOQUE</t>
        </is>
      </c>
      <c r="B16" s="17" t="n">
        <v>0.228928</v>
      </c>
      <c r="C16" s="17" t="inlineStr">
        <is>
          <t>—</t>
        </is>
      </c>
      <c r="D16" s="17" t="inlineStr">
        <is>
          <t>Suelo desnudo / no vegetal · clase &lt;= 0.2650</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mediana</t>
        </is>
      </c>
      <c r="B22" s="18" t="n">
        <v>0.1175</v>
      </c>
      <c r="C22" s="19" t="n">
        <v>0.99</v>
      </c>
      <c r="D22" s="11" t="inlineStr">
        <is>
          <t>Pastizal cultivado, matorral ralo, parcelas agrícolas</t>
        </is>
      </c>
      <c r="E22" s="11" t="inlineStr"/>
    </row>
    <row r="23">
      <c r="A23" s="12" t="inlineStr">
        <is>
          <t>Vegetación ligera</t>
        </is>
      </c>
      <c r="B23" s="20" t="n">
        <v>4.7392</v>
      </c>
      <c r="C23" s="21" t="n">
        <v>39.79</v>
      </c>
      <c r="D23" s="13" t="inlineStr">
        <is>
          <t>Cobertura discontinua, suelo parcialmente expuesto</t>
        </is>
      </c>
      <c r="E23" s="13" t="inlineStr"/>
    </row>
    <row r="24">
      <c r="A24" s="7" t="inlineStr">
        <is>
          <t>Tierra desnuda</t>
        </is>
      </c>
      <c r="B24" s="18" t="n">
        <v>7.053</v>
      </c>
      <c r="C24" s="19" t="n">
        <v>59.22</v>
      </c>
      <c r="D24" s="11" t="inlineStr">
        <is>
          <t>Suelo desnudo, afloramientos, plataformas y taludes</t>
        </is>
      </c>
      <c r="E24" s="11" t="inlineStr"/>
    </row>
    <row r="25">
      <c r="A25" s="16" t="inlineStr">
        <is>
          <t>TOTAL CLASIFICADO</t>
        </is>
      </c>
      <c r="B25" s="22">
        <f>SUM(B21:B23)</f>
        <v/>
      </c>
      <c r="C25" s="23">
        <f>SUM(C21:C23)</f>
        <v/>
      </c>
      <c r="D25" s="17" t="inlineStr"/>
      <c r="E25" s="17" t="inlineStr"/>
    </row>
    <row r="26">
      <c r="A26" s="24" t="inlineStr">
        <is>
          <t>Superficie de catálogo (V5/V6)</t>
        </is>
      </c>
      <c r="B26" s="25" t="n">
        <v>11.906</v>
      </c>
      <c r="C26" s="25" t="inlineStr">
        <is>
          <t>—</t>
        </is>
      </c>
      <c r="D26" s="25" t="inlineStr">
        <is>
          <t>Desviación planimétrica frente al catálogo</t>
        </is>
      </c>
      <c r="E26" s="25" t="inlineStr">
        <is>
          <t>+0.03 %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7 % frente a un 0.00 % del polígono clasificado como «Vegetación alta» por el NDVI 2025; la observación de campo corresponde a una parcela o recorrido puntual y no es estadísticamente representativa de las 11.906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85</t>
        </is>
      </c>
    </row>
    <row r="6" ht="24" customHeight="1">
      <c r="A6" s="4" t="inlineStr">
        <is>
          <t>Levantamiento del 2026-08-14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17893.2</v>
      </c>
      <c r="F10" s="11" t="inlineStr"/>
      <c r="G10" s="11" t="inlineStr">
        <is>
          <t>Coordenada consignada en F-DT-01</t>
        </is>
      </c>
    </row>
    <row r="11">
      <c r="A11" s="12" t="inlineStr">
        <is>
          <t>H-01</t>
        </is>
      </c>
      <c r="B11" s="13" t="inlineStr">
        <is>
          <t>Fuente de agua — Canal de riego</t>
        </is>
      </c>
      <c r="C11" s="27" t="n">
        <v>642184</v>
      </c>
      <c r="D11" s="27" t="n">
        <v>9410274</v>
      </c>
      <c r="E11" s="13" t="n">
        <v>798.2</v>
      </c>
      <c r="F11" s="13" t="inlineStr">
        <is>
          <t>Permanente</t>
        </is>
      </c>
      <c r="G11" s="13" t="inlineStr">
        <is>
          <t>Canal de conducción del fondo de valle (referencial)</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642200</v>
      </c>
      <c r="C14" s="6" t="inlineStr">
        <is>
          <t>Centroide del bloque — UTM NORTE (m)</t>
        </is>
      </c>
      <c r="D14" s="7" t="n">
        <v>9411072</v>
      </c>
      <c r="E14" s="8" t="n"/>
      <c r="F14" s="8" t="n"/>
      <c r="G14" s="8" t="n"/>
      <c r="H14" s="8" t="n"/>
    </row>
    <row r="15">
      <c r="A15" s="6" t="inlineStr">
        <is>
          <t>N.° de estaciones fotográficas declaradas</t>
        </is>
      </c>
      <c r="B15" s="7" t="n">
        <v>13</v>
      </c>
      <c r="C15" s="6" t="inlineStr">
        <is>
          <t>Estaciones dentro del polígono</t>
        </is>
      </c>
      <c r="D15" s="7" t="n">
        <v>0</v>
      </c>
      <c r="E15" s="8" t="n"/>
      <c r="F15" s="8" t="n"/>
      <c r="G15" s="8" t="n"/>
      <c r="H15" s="8" t="n"/>
    </row>
    <row r="17" ht="19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ALCANCE DE LA EVIDENCIA. EL BLOQUE 85 NO CUENTA CON FICHAS F-DT-01 A F-DT-05 LEVANTADAS EN CAMPO. La información procede de: (i) levantamiento fotogramétrico con RPA del 14-08-2026, 13 fotogramas cenitales georreferenciados por EXIF sobre el ámbito de los bloques 85-87; (ii) cartografía temática NDVI mediana 2025 y MSAVI 2024 (Sentinel-2); (iii) imagen Google Earth / Airbus del 09-11-2023 y perfil de elevación. NINGÚN CAMPO HA SIDO ESTIMADO SIN SUSTENTO DOCUMENTAL. BLOQUE FUERA DEL CATÁLOGO MAESTRO: no figura en «Bloques V4» (127 registros) ni en Bloques V5; solo en el REPORTE_BLOQUES_V6 y en la capa «Bloques extras». Para habilitar los VLOOKUP se añadió un registro con centroide por restitución cartográfica (E 642 180 / N 9 411 020, ±25 m). ALTITUD GPS EN BLANCO: el EXIF (393 msnm) es la cota absoluta de la aeronave; la cota del terreno ronda 266 msnm. PENDIENTE: la clase «8-15%» deriva de un único transecto de 171 m (desnivel +6.4 / −10.6 m), POR VERIFICAR con estadística zonal del DEM. REPTACIÓN «Sí» por terracetas y microescalones de pisoteo visibles en la ortofoto; origen mixto (pisoteo + reptación superficial). ATENCIÓN: el UTM del punto de registro (645 575 · 9 393 500) es el valor por defecto de la plantilla.</t>
        </is>
      </c>
      <c r="B17" s="38" t="n"/>
      <c r="C17" s="38" t="n"/>
      <c r="D17" s="38" t="n"/>
      <c r="E17" s="38" t="n"/>
      <c r="F17" s="38" t="n"/>
      <c r="G17" s="39" t="n"/>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85</t>
        </is>
      </c>
    </row>
    <row r="6" ht="24" customHeight="1">
      <c r="A6" s="4" t="inlineStr">
        <is>
          <t>Distrito de San Juan de Bigote · Provincia de Morropon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2" t="inlineStr">
        <is>
          <t>24</t>
        </is>
      </c>
      <c r="B11" s="29" t="n">
        <v>90.16</v>
      </c>
      <c r="C11" s="21" t="n">
        <v>22.65</v>
      </c>
      <c r="D11" s="13" t="inlineStr">
        <is>
          <t>1319 – 1887</t>
        </is>
      </c>
      <c r="E11" s="13" t="n">
        <v>568</v>
      </c>
      <c r="F11" s="13"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63</t>
        </is>
      </c>
      <c r="B13" s="29" t="n">
        <v>50.46</v>
      </c>
      <c r="C13" s="21" t="n">
        <v>12.68</v>
      </c>
      <c r="D13" s="13" t="inlineStr">
        <is>
          <t>1508 – 2080</t>
        </is>
      </c>
      <c r="E13" s="13" t="n">
        <v>572</v>
      </c>
      <c r="F13" s="13" t="n">
        <v>35.5</v>
      </c>
      <c r="G13" s="20" t="n">
        <v>0.6036</v>
      </c>
      <c r="H13" s="2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2" t="inlineStr">
        <is>
          <t>83</t>
        </is>
      </c>
      <c r="B15" s="29" t="n">
        <v>24.344</v>
      </c>
      <c r="C15" s="21" t="n">
        <v>6.12</v>
      </c>
      <c r="D15" s="13" t="inlineStr">
        <is>
          <t>Por determinar</t>
        </is>
      </c>
      <c r="E15" s="13" t="inlineStr">
        <is>
          <t>Por determinar</t>
        </is>
      </c>
      <c r="F15" s="13"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4" t="inlineStr">
        <is>
          <t>► 85</t>
        </is>
      </c>
      <c r="B17" s="30" t="n">
        <v>11.906</v>
      </c>
      <c r="C17" s="31" t="n">
        <v>2.99</v>
      </c>
      <c r="D17" s="15" t="inlineStr">
        <is>
          <t>Por determinar</t>
        </is>
      </c>
      <c r="E17" s="15" t="inlineStr">
        <is>
          <t>Por determinar</t>
        </is>
      </c>
      <c r="F17" s="15" t="inlineStr">
        <is>
          <t>Por determinar</t>
        </is>
      </c>
      <c r="G17" s="32" t="n">
        <v>0.2289</v>
      </c>
      <c r="H17" s="3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c r="B20" s="38" t="n"/>
      <c r="C20" s="38" t="n"/>
      <c r="D20" s="38" t="n"/>
      <c r="E20" s="38" t="n"/>
      <c r="F20" s="38" t="n"/>
      <c r="G20" s="38" t="n"/>
      <c r="H20" s="39" t="n"/>
    </row>
    <row r="22" ht="48" customHeight="1">
      <c r="A22" s="9" t="inlineStr">
        <is>
          <t>LECTURA INTRAMICROCUENCA. El bloque 85 ocupa el puesto 8 de 9 por superficie dentro de la microcuenca C1081-Q9583 (2.99 % de las 398.04 ha preliminares de la microcuenca). El cuadro conserva todos los bloques catalogados en la microcuenca, incluidos los descartados en el tamizaje, para referencia del conjunto. Los bloques sin ficha DT figuran con sus parámetros de gabinete.</t>
        </is>
      </c>
      <c r="B22" s="38" t="n"/>
      <c r="C22" s="38" t="n"/>
      <c r="D22" s="38" t="n"/>
      <c r="E22" s="38" t="n"/>
      <c r="F22" s="38" t="n"/>
      <c r="G22" s="38" t="n"/>
      <c r="H22" s="39"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4" s="38" t="n"/>
      <c r="C24" s="38" t="n"/>
      <c r="D24" s="38" t="n"/>
      <c r="E24" s="38" t="n"/>
      <c r="F24" s="38" t="n"/>
      <c r="G24" s="38" t="n"/>
      <c r="H24" s="39" t="n"/>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85</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(645575 E / 9393500 N) dista 17,893 m del centroide de catálogo (642200 E / 9411072 N), distancia incompatible con la superficie del bloque (11.906 ha)</t>
        </is>
      </c>
      <c r="D11" s="37"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(11.910 ha) coincide con la de catálogo (11.906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«8-15% (Mod. inclinado)»; la estadística zonal sobre el MDE arroja una pendiente promedio de 0.00 %, que corresponde a la clase «0-8% (Plano-lig. inclinado)»</t>
        </is>
      </c>
      <c r="D13" s="15"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Cobertura vegetal total</t>
        </is>
      </c>
      <c r="C14" s="34" t="inlineStr">
        <is>
          <t>La ficha DT estima 7 % de cobertura vegetal en campo; el NDVI mediana 2025 clasifica 40.78 % del polígono en clases de vegetación</t>
        </is>
      </c>
      <c r="D14" s="15" t="inlineStr">
        <is>
          <t>NO SUSTANTIVA</t>
        </is>
      </c>
      <c r="E14" s="34" t="inlineStr">
        <is>
          <t>Se declaran ambos valores. La observación de campo corresponde a una parcela o recorrido puntual y no es representativa de la totalidad del bloque; el índice espectral no discrimina composición ni integridad ecosistémica.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F-DT-01</t>
        </is>
      </c>
      <c r="C17" s="36" t="inlineStr">
        <is>
          <t>Ninguna ficha F-DT fue levantada en campo: la información procede de levantamiento fotogramétrico RPA (14-08-2026), cartografía NDVI/MSAVI e imagen Google Earth</t>
        </is>
      </c>
      <c r="D17" s="37" t="inlineStr">
        <is>
          <t>SUSTANTIVA</t>
        </is>
      </c>
      <c r="E17" s="36" t="inlineStr">
        <is>
          <t>Levantamiento de campo pendiente</t>
        </is>
      </c>
    </row>
    <row r="18" ht="48" customHeight="1">
      <c r="A18" s="34" t="inlineStr">
        <is>
          <t>D-09</t>
        </is>
      </c>
      <c r="B18" s="34" t="inlineStr">
        <is>
          <t>F-DT-01</t>
        </is>
      </c>
      <c r="C18" s="34" t="inlineStr">
        <is>
          <t>La ficha declara que el bloque no figura en «Bloques V4» ni «Bloques V5»; solo en REPORTE_BLOQUES_V6 y en la capa «Bloques extras». Centroide por restitución cartográfica (±25 m)</t>
        </is>
      </c>
      <c r="D18" s="37" t="inlineStr">
        <is>
          <t>SUSTANTIVA</t>
        </is>
      </c>
      <c r="E18" s="34" t="inlineStr">
        <is>
          <t>Regularizar en el catálogo maestro; el catálogo V5 empleado en esta plantilla sí lo contiene</t>
        </is>
      </c>
    </row>
    <row r="19" ht="48" customHeight="1">
      <c r="A19" s="36" t="inlineStr">
        <is>
          <t>D-10</t>
        </is>
      </c>
      <c r="B19" s="36" t="inlineStr">
        <is>
          <t>F-DT-01</t>
        </is>
      </c>
      <c r="C19" s="36" t="inlineStr">
        <is>
          <t>Altitud GPS en blanco: el EXIF registra la cota de la aeronave (393 msnm), no la del terreno</t>
        </is>
      </c>
      <c r="D19" s="37" t="inlineStr">
        <is>
          <t>SUSTANTIVA</t>
        </is>
      </c>
      <c r="E19" s="36" t="inlineStr">
        <is>
          <t>Medición GPS a nivel de suelo pendiente</t>
        </is>
      </c>
    </row>
    <row r="20" ht="48" customHeight="1">
      <c r="A20" s="34" t="inlineStr">
        <is>
          <t>D-11</t>
        </is>
      </c>
      <c r="B20" s="34" t="inlineStr">
        <is>
          <t>F-DT-01</t>
        </is>
      </c>
      <c r="C20" s="34" t="inlineStr">
        <is>
          <t>Pendiente derivada de un único transecto de Google Earth</t>
        </is>
      </c>
      <c r="D20" s="37" t="inlineStr">
        <is>
          <t>SUSTANTIVA</t>
        </is>
      </c>
      <c r="E20" s="34" t="inlineStr">
        <is>
          <t>Verificar mediante estadística zonal del DEM</t>
        </is>
      </c>
    </row>
    <row r="21" ht="48" customHeight="1">
      <c r="A21" s="36" t="inlineStr">
        <is>
          <t>D-12</t>
        </is>
      </c>
      <c r="B21" s="36" t="inlineStr">
        <is>
          <t>F-DT-02</t>
        </is>
      </c>
      <c r="C21" s="36" t="inlineStr">
        <is>
          <t>Inventario georreferenciado de cárcavas NO ejecutado</t>
        </is>
      </c>
      <c r="D21" s="37" t="inlineStr">
        <is>
          <t>SUSTANTIVA</t>
        </is>
      </c>
      <c r="E21" s="36" t="inlineStr">
        <is>
          <t>La ausencia de registro no equivale a ausencia del proceso</t>
        </is>
      </c>
    </row>
    <row r="22" ht="48" customHeight="1">
      <c r="A22" s="34" t="inlineStr">
        <is>
          <t>D-13</t>
        </is>
      </c>
      <c r="B22" s="34" t="inlineStr">
        <is>
          <t>F-DT-03</t>
        </is>
      </c>
      <c r="C22" s="34" t="inlineStr">
        <is>
          <t>Lista florística comunicada por la Subdirección para el ámbito 85-87; no procede de muestreo por parcela del bloque</t>
        </is>
      </c>
      <c r="D22" s="37" t="inlineStr">
        <is>
          <t>SUSTANTIVA</t>
        </is>
      </c>
      <c r="E22" s="34" t="inlineStr">
        <is>
          <t>Colecta y determinación botánica formal pendientes</t>
        </is>
      </c>
    </row>
    <row r="23" ht="48" customHeight="1">
      <c r="A23" s="36" t="inlineStr">
        <is>
          <t>D-14</t>
        </is>
      </c>
      <c r="B23" s="36" t="inlineStr">
        <is>
          <t>F-DT-04</t>
        </is>
      </c>
      <c r="C23" s="36" t="inlineStr">
        <is>
          <t>Velocidad de degradación en blanco: no se dispone de serie Theil-Sen (TAU) ni de MSAVI multianual</t>
        </is>
      </c>
      <c r="D23" s="37" t="inlineStr">
        <is>
          <t>SUSTANTIVA</t>
        </is>
      </c>
      <c r="E23" s="36" t="inlineStr">
        <is>
          <t>Procesar serie temporal</t>
        </is>
      </c>
    </row>
    <row r="24" ht="48" customHeight="1">
      <c r="A24" s="34" t="inlineStr">
        <is>
          <t>D-15</t>
        </is>
      </c>
      <c r="B24" s="34" t="inlineStr">
        <is>
          <t>F-DT-04</t>
        </is>
      </c>
      <c r="C24" s="34" t="inlineStr">
        <is>
          <t>Indicadores 3 a 7 sin valor (densidad de cárcavas, invasoras, carga ganadera, quemas, % pendiente &gt;50%)</t>
        </is>
      </c>
      <c r="D24" s="37" t="inlineStr">
        <is>
          <t>SUSTANTIVA</t>
        </is>
      </c>
      <c r="E24" s="34" t="inlineStr">
        <is>
          <t>Levantamiento y estadística zonal pendientes</t>
        </is>
      </c>
    </row>
    <row r="25" ht="48" customHeight="1">
      <c r="A25" s="36" t="inlineStr">
        <is>
          <t>D-16</t>
        </is>
      </c>
      <c r="B25" s="36" t="inlineStr">
        <is>
          <t>F-DT-05</t>
        </is>
      </c>
      <c r="C25" s="36" t="inlineStr">
        <is>
          <t>Inventario hídrico no levantado en campo; coordenadas = centro del fotograma</t>
        </is>
      </c>
      <c r="D25" s="15" t="inlineStr">
        <is>
          <t>NO SUSTANTIVA</t>
        </is>
      </c>
      <c r="E25" s="36" t="inlineStr">
        <is>
          <t>Relevar con GPS</t>
        </is>
      </c>
    </row>
    <row r="26" ht="48" customHeight="1">
      <c r="A26" s="34" t="inlineStr">
        <is>
          <t>D-17</t>
        </is>
      </c>
      <c r="B26" s="34" t="inlineStr">
        <is>
          <t>Ficha DT</t>
        </is>
      </c>
      <c r="C26" s="34" t="inlineStr">
        <is>
          <t>UTM del punto de registro (645 575 · 9 393 500) = valor por defecto de la plantilla; centroide de catálogo 642 200 · 9 411 072</t>
        </is>
      </c>
      <c r="D26" s="37" t="inlineStr">
        <is>
          <t>SUSTANTIVA</t>
        </is>
      </c>
      <c r="E26" s="34" t="inlineStr">
        <is>
          <t>Georreferencia por reponer</t>
        </is>
      </c>
    </row>
    <row r="27" ht="48" customHeight="1">
      <c r="A27" s="36" t="inlineStr">
        <is>
          <t>D-18</t>
        </is>
      </c>
      <c r="B27" s="36" t="inlineStr">
        <is>
          <t>F-DT-05</t>
        </is>
      </c>
      <c r="C27" s="36" t="inlineStr">
        <is>
          <t>La escorrentía concentrada descarga hacia el casco urbano de Dotor y el predio de la I.E.</t>
        </is>
      </c>
      <c r="D27" s="37" t="inlineStr">
        <is>
          <t>SUSTANTIVA</t>
        </is>
      </c>
      <c r="E27" s="36" t="inlineStr">
        <is>
          <t>El bloque es fuente activa de peligro para elementos expuestos: incorporar al análisis de exposición</t>
        </is>
      </c>
    </row>
    <row r="28">
      <c r="A28" s="36" t="inlineStr">
        <is>
          <t>D-19</t>
        </is>
      </c>
      <c r="B28" s="36" t="inlineStr">
        <is>
          <t>Distribución areal de clases MSAVI 2024</t>
        </is>
      </c>
      <c r="C28" s="36" t="inlineStr">
        <is>
          <t>La hoja «Cobertura MSAVI-NDVI» consignaba «Por determinar» en la distribución areal de clases MSAVI 2024; se incorpora el metrado por clase medido sobre la cartografía temática MSAVI 2024 del bloque: 100.00 % del bloque (11.906 ha) bajo el umbral 0.4976 y 0.00 % sobre el umbral; clase areal dominante «Suelo desnudo / no vegetal».</t>
        </is>
      </c>
      <c r="D28" s="37" t="inlineStr">
        <is>
          <t>CORREGIDO</t>
        </is>
      </c>
      <c r="E28" s="36"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29"/>
    <row r="30">
      <c r="A30" s="16" t="inlineStr">
        <is>
          <t>RESUMEN</t>
        </is>
      </c>
      <c r="B30" s="17" t="inlineStr">
        <is>
          <t>19 verificaciones</t>
        </is>
      </c>
      <c r="C30" s="17" t="inlineStr">
        <is>
          <t>CONFORME: 2 · NO SUSTANTIVA: 3 · SUSTANTIVA: 13 · CORREGIDO: 1</t>
        </is>
      </c>
      <c r="D30" s="17" t="inlineStr"/>
      <c r="E30" s="17" t="inlineStr"/>
    </row>
    <row r="31" ht="60" customHeight="1"/>
    <row r="32">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38" t="n"/>
      <c r="C32" s="38" t="n"/>
      <c r="D32" s="38" t="n"/>
      <c r="E32" s="39"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85 — IN Piura</dc:title>
  <dc:subject>Diagnóstico Territorial por bloque de intervención</dc:subject>
  <dcterms:created xsi:type="dcterms:W3CDTF">2026-09-08T03:40:00Z</dcterms:created>
  <dcterms:modified xsi:type="dcterms:W3CDTF">2026-09-09T14:49:44Z</dcterms:modified>
</cp:coreProperties>
</file>