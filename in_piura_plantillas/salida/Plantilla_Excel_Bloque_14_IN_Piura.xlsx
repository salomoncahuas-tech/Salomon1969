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6">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s>
  <cellStyleXfs count="1">
    <xf numFmtId="0" fontId="0" fillId="0" borderId="0"/>
  </cellStyleXfs>
  <cellXfs count="40">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0" fillId="0" borderId="4" pivotButton="0" quotePrefix="0" xfId="0"/>
    <xf numFmtId="0" fontId="0" fillId="0" borderId="5"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56"/>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14</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14</t>
        </is>
      </c>
      <c r="C9" s="6" t="inlineStr">
        <is>
          <t>Microcuenca (catálogo)</t>
        </is>
      </c>
      <c r="D9" s="7" t="inlineStr">
        <is>
          <t>C1086-Q9570</t>
        </is>
      </c>
      <c r="E9" s="8" t="n"/>
      <c r="F9" s="8" t="n"/>
    </row>
    <row r="10">
      <c r="A10" s="6" t="inlineStr">
        <is>
          <t>Zona de planificación</t>
        </is>
      </c>
      <c r="B10" s="7" t="inlineStr">
        <is>
          <t>Z04</t>
        </is>
      </c>
      <c r="C10" s="6" t="inlineStr">
        <is>
          <t>Microcuenca declarada en ficha DT</t>
        </is>
      </c>
      <c r="D10" s="7" t="inlineStr">
        <is>
          <t>C1086-Q9570</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Santa Catalina de Mossa</t>
        </is>
      </c>
      <c r="C12" s="6" t="inlineStr">
        <is>
          <t>Capital distrital</t>
        </is>
      </c>
      <c r="D12" s="7" t="inlineStr">
        <is>
          <t>Santa Catalina de Mossa</t>
        </is>
      </c>
      <c r="E12" s="8" t="n"/>
      <c r="F12" s="8" t="n"/>
    </row>
    <row r="13">
      <c r="A13" s="6" t="inlineStr">
        <is>
          <t>Centro poblado asociado</t>
        </is>
      </c>
      <c r="B13" s="7" t="inlineStr">
        <is>
          <t>Overazal / La Laja (CC.PP. del bloque); caserío Las Vegas (próximo)</t>
        </is>
      </c>
      <c r="C13" s="6" t="inlineStr">
        <is>
          <t>Comunidad campesina</t>
        </is>
      </c>
      <c r="D13" s="7" t="inlineStr">
        <is>
          <t>Predios de propiedad privada, comunal y del Estado</t>
        </is>
      </c>
      <c r="E13" s="8" t="n"/>
      <c r="F13" s="8" t="n"/>
    </row>
    <row r="14">
      <c r="A14" s="6" t="inlineStr">
        <is>
          <t>Superficie de catálogo (V5/V6), ha</t>
        </is>
      </c>
      <c r="B14" s="7" t="n">
        <v>92.90000000000001</v>
      </c>
      <c r="C14" s="6" t="inlineStr">
        <is>
          <t>Fuente de superficie</t>
        </is>
      </c>
      <c r="D14" s="7" t="inlineStr">
        <is>
          <t>Catálogo maestro Bloques V5/V6</t>
        </is>
      </c>
      <c r="E14" s="8" t="n"/>
      <c r="F14" s="8" t="n"/>
    </row>
    <row r="15">
      <c r="A15" s="6" t="inlineStr">
        <is>
          <t>Centroide UTM ESTE (m)</t>
        </is>
      </c>
      <c r="B15" s="7" t="n">
        <v>624397</v>
      </c>
      <c r="C15" s="6" t="inlineStr">
        <is>
          <t>Centroide UTM NORTE (m)</t>
        </is>
      </c>
      <c r="D15" s="7" t="n">
        <v>9437085</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87</v>
      </c>
      <c r="C19" s="6" t="inlineStr">
        <is>
          <t>Altitud máxima (msnm)</t>
        </is>
      </c>
      <c r="D19" s="7" t="n">
        <v>1355</v>
      </c>
      <c r="E19" s="8" t="n"/>
      <c r="F19" s="8" t="n"/>
    </row>
    <row r="20">
      <c r="A20" s="6" t="inlineStr">
        <is>
          <t>Amplitud altitudinal (m)</t>
        </is>
      </c>
      <c r="B20" s="7" t="n">
        <v>1268</v>
      </c>
      <c r="C20" s="6" t="inlineStr">
        <is>
          <t>Piso altitudinal dominante</t>
        </is>
      </c>
      <c r="D20" s="7" t="inlineStr">
        <is>
          <t>&lt;1000 m (Yunga)</t>
        </is>
      </c>
      <c r="E20" s="8" t="n"/>
      <c r="F20" s="8" t="n"/>
    </row>
    <row r="21">
      <c r="A21" s="6" t="inlineStr">
        <is>
          <t>Pendiente promedio (%)</t>
        </is>
      </c>
      <c r="B21" s="7" t="n">
        <v>23.75</v>
      </c>
      <c r="C21" s="6" t="inlineStr">
        <is>
          <t>Pendiente promedio (grados)</t>
        </is>
      </c>
      <c r="D21" s="7" t="n">
        <v>13.4</v>
      </c>
      <c r="E21" s="8" t="n"/>
      <c r="F21" s="8" t="n"/>
    </row>
    <row r="22">
      <c r="A22" s="6" t="inlineStr">
        <is>
          <t>Clase de pendiente equivalente</t>
        </is>
      </c>
      <c r="B22" s="7" t="inlineStr">
        <is>
          <t>15-25% (Fuert. inclinado)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Oeste</t>
        </is>
      </c>
      <c r="C24" s="6" t="inlineStr">
        <is>
          <t>Afloramientos rocosos</t>
        </is>
      </c>
      <c r="D24" s="7" t="inlineStr">
        <is>
          <t>Sí</t>
        </is>
      </c>
      <c r="E24" s="8" t="n"/>
      <c r="F24" s="8" t="n"/>
    </row>
    <row r="25">
      <c r="A25" s="6" t="inlineStr">
        <is>
          <t>Escarpes activos</t>
        </is>
      </c>
      <c r="B25" s="7" t="inlineStr">
        <is>
          <t>No</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0.5197000000000001</v>
      </c>
      <c r="C28" s="6" t="inlineStr">
        <is>
          <t>MSAVI 2024 — clase de la media</t>
        </is>
      </c>
      <c r="D28" s="7" t="inlineStr">
        <is>
          <t>0.4976 - 0.6139 (Vigor moderado)</t>
        </is>
      </c>
      <c r="E28" s="8" t="n"/>
      <c r="F28" s="8" t="n"/>
    </row>
    <row r="29">
      <c r="A29" s="6" t="inlineStr">
        <is>
          <t>Condición frente al umbral 0.4976</t>
        </is>
      </c>
      <c r="B29" s="7" t="inlineStr">
        <is>
          <t>Sobre umbral · distribución areal: 39.43 % del bloque BAJO el umbral (36.630 ha de 92.900 ha)</t>
        </is>
      </c>
      <c r="C29" s="6" t="inlineStr">
        <is>
          <t>NDVI mediana 2025 — clase modal</t>
        </is>
      </c>
      <c r="D29" s="7" t="inlineStr">
        <is>
          <t>Vegetación alta (58.89 %)</t>
        </is>
      </c>
      <c r="E29" s="8" t="n"/>
      <c r="F29" s="8" t="n"/>
    </row>
    <row r="30">
      <c r="A30" s="6" t="inlineStr">
        <is>
          <t>MSAVI 2024 — superficie BAJO el umbral 0.4976 (ha)</t>
        </is>
      </c>
      <c r="B30" s="7" t="n">
        <v>36.63</v>
      </c>
      <c r="C30" s="6" t="inlineStr">
        <is>
          <t>MSAVI 2024 — % del bloque BAJO el umbral</t>
        </is>
      </c>
      <c r="D30" s="7" t="n">
        <v>39.43</v>
      </c>
      <c r="E30" s="8" t="n"/>
      <c r="F30" s="8" t="n"/>
    </row>
    <row r="31">
      <c r="A31" s="6" t="inlineStr">
        <is>
          <t>MSAVI 2024 — clase areal dominante</t>
        </is>
      </c>
      <c r="B31" s="7" t="inlineStr">
        <is>
          <t>Vigor moderado</t>
        </is>
      </c>
      <c r="C31" s="6" t="inlineStr">
        <is>
          <t>MSAVI 2024 — fuente de la distribución areal</t>
        </is>
      </c>
      <c r="D31" s="7" t="inlineStr">
        <is>
          <t>Conteo de celdas sobre la cartografía MSAVI 2024 del bloque (MSAVI Bloque 14.png)</t>
        </is>
      </c>
      <c r="E31" s="8" t="n"/>
      <c r="F31" s="8" t="n"/>
    </row>
    <row r="32" ht="18" customHeight="1">
      <c r="A32" s="6" t="inlineStr">
        <is>
          <t>Superficie clasificada NDVI 2025 (ha)</t>
        </is>
      </c>
      <c r="B32" s="7" t="n">
        <v>92.944</v>
      </c>
      <c r="C32" s="6" t="inlineStr">
        <is>
          <t>Desviación frente al catálogo (%)</t>
        </is>
      </c>
      <c r="D32" s="7" t="n">
        <v>0.05</v>
      </c>
      <c r="E32" s="8" t="n"/>
      <c r="F32" s="8" t="n"/>
    </row>
    <row r="33"/>
    <row r="34">
      <c r="A34" s="5" t="inlineStr">
        <is>
          <t>4. ECOSISTEMA Y ESTADO DE CONSERVACIÓN</t>
        </is>
      </c>
    </row>
    <row r="35">
      <c r="A35" s="6" t="inlineStr">
        <is>
          <t>Tipo de ecosistema (UP)</t>
        </is>
      </c>
      <c r="B35" s="7" t="inlineStr">
        <is>
          <t>Matorral Andino semiárido</t>
        </is>
      </c>
      <c r="C35" s="6" t="inlineStr">
        <is>
          <t>Superficie de ecosistema (ha)</t>
        </is>
      </c>
      <c r="D35" s="7" t="inlineStr">
        <is>
          <t>69.66 ha Matorral andino (~75%) + 23.25 ha Zona agrícola (~25%); total 92.90 ha</t>
        </is>
      </c>
      <c r="E35" s="8" t="n"/>
      <c r="F35" s="8" t="n"/>
    </row>
    <row r="36">
      <c r="A36" s="6" t="inlineStr">
        <is>
          <t>Estado de conservación</t>
        </is>
      </c>
      <c r="B36" s="7" t="inlineStr">
        <is>
          <t>Medianamente alterado</t>
        </is>
      </c>
      <c r="C36" s="6" t="inlineStr">
        <is>
          <t>Uso actual dominante del suelo</t>
        </is>
      </c>
      <c r="D36" s="7" t="inlineStr">
        <is>
          <t>Uso mixto</t>
        </is>
      </c>
      <c r="E36" s="8" t="n"/>
      <c r="F36" s="8" t="n"/>
    </row>
    <row r="37">
      <c r="A37" s="6" t="inlineStr">
        <is>
          <t>Tipo de cobertura dominante</t>
        </is>
      </c>
      <c r="B37" s="7" t="inlineStr">
        <is>
          <t>Mixto / Mosaico</t>
        </is>
      </c>
      <c r="C37" s="6" t="inlineStr">
        <is>
          <t>Cobertura vegetal total — campo (%)</t>
        </is>
      </c>
      <c r="D37" s="7" t="n">
        <v>65</v>
      </c>
      <c r="E37" s="8" t="n"/>
      <c r="F37" s="8" t="n"/>
    </row>
    <row r="38">
      <c r="A38" s="6" t="inlineStr">
        <is>
          <t>Suelo desnudo — campo (%)</t>
        </is>
      </c>
      <c r="B38" s="7" t="n">
        <v>15</v>
      </c>
      <c r="C38" s="6" t="inlineStr">
        <is>
          <t>Regeneración natural</t>
        </is>
      </c>
      <c r="D38" s="7" t="inlineStr">
        <is>
          <t>Regular (10-50 pl./100m²)</t>
        </is>
      </c>
      <c r="E38" s="8" t="n"/>
      <c r="F38" s="8" t="n"/>
    </row>
    <row r="39">
      <c r="A39" s="6" t="inlineStr">
        <is>
          <t>Nivel general de erosión</t>
        </is>
      </c>
      <c r="B39" s="7" t="inlineStr">
        <is>
          <t>Moderada (surcos)</t>
        </is>
      </c>
      <c r="C39" s="6" t="inlineStr">
        <is>
          <t>N.° de cárcavas registradas</t>
        </is>
      </c>
      <c r="D39" s="7" t="n">
        <v>3</v>
      </c>
      <c r="E39" s="8" t="n"/>
      <c r="F39" s="8" t="n"/>
    </row>
    <row r="40" ht="18" customHeight="1">
      <c r="A40" s="6" t="inlineStr">
        <is>
          <t>Elenco florístico (n.° de taxones)</t>
        </is>
      </c>
      <c r="B40" s="7" t="n">
        <v>14</v>
      </c>
      <c r="C40" s="6" t="inlineStr">
        <is>
          <t>Estado sanitario</t>
        </is>
      </c>
      <c r="D40" s="7" t="inlineStr">
        <is>
          <t>Sano</t>
        </is>
      </c>
      <c r="E40" s="8" t="n"/>
      <c r="F40" s="8" t="n"/>
    </row>
    <row r="41"/>
    <row r="42">
      <c r="A42" s="5" t="inlineStr">
        <is>
          <t>5. RESPONSABLE Y MODALIDAD DE LA EVALUACIÓN</t>
        </is>
      </c>
    </row>
    <row r="43">
      <c r="A43" s="6" t="inlineStr">
        <is>
          <t>Responsable de la evaluación</t>
        </is>
      </c>
      <c r="B43" s="7" t="inlineStr">
        <is>
          <t>Ing. Héctor S. Cahuas Miller / Ing. Pedro Talledo Hernández</t>
        </is>
      </c>
      <c r="C43" s="6" t="inlineStr">
        <is>
          <t>Fecha de evaluación</t>
        </is>
      </c>
      <c r="D43" s="7" t="inlineStr">
        <is>
          <t>2026-06-03</t>
        </is>
      </c>
      <c r="E43" s="8" t="n"/>
      <c r="F43" s="8" t="n"/>
    </row>
    <row r="44">
      <c r="A44" s="6" t="inlineStr">
        <is>
          <t>Hora de registro</t>
        </is>
      </c>
      <c r="B44" s="7" t="inlineStr">
        <is>
          <t>10:00 a.m. (aprox.)</t>
        </is>
      </c>
      <c r="C44" s="6" t="inlineStr">
        <is>
          <t>Correlativo de ficha</t>
        </is>
      </c>
      <c r="D44" s="7" t="inlineStr">
        <is>
          <t>DT-B14</t>
        </is>
      </c>
      <c r="E44" s="8" t="n"/>
      <c r="F44" s="8" t="n"/>
    </row>
    <row r="45">
      <c r="A45" s="6" t="inlineStr">
        <is>
          <t>Entidad</t>
        </is>
      </c>
      <c r="B45" s="7" t="inlineStr">
        <is>
          <t>ANIN - DIME - SESDI</t>
        </is>
      </c>
      <c r="C45" s="6" t="inlineStr">
        <is>
          <t>Fase del estudio</t>
        </is>
      </c>
      <c r="D45" s="7" t="inlineStr">
        <is>
          <t>Preinversión (Perfil) · Invierte.pe</t>
        </is>
      </c>
      <c r="E45" s="8" t="n"/>
      <c r="F45" s="8" t="n"/>
    </row>
    <row r="46">
      <c r="A46" s="6" t="inlineStr">
        <is>
          <t>Instrumento aplicado</t>
        </is>
      </c>
      <c r="B46" s="7" t="inlineStr">
        <is>
          <t>Fichas F-DT-01 a F-DT-05 (Plantilla V5)</t>
        </is>
      </c>
      <c r="C46" s="6" t="inlineStr">
        <is>
          <t>Parcela de muestreo</t>
        </is>
      </c>
      <c r="D46" s="7" t="inlineStr">
        <is>
          <t>Recorrido a pie del bloque (rápido)</t>
        </is>
      </c>
      <c r="E46" s="8" t="n"/>
      <c r="F46" s="8" t="n"/>
    </row>
    <row r="47" ht="18" customHeight="1">
      <c r="A47" s="6" t="inlineStr">
        <is>
          <t>Estaciones fotográficas georreferenciadas</t>
        </is>
      </c>
      <c r="B47" s="7" t="n">
        <v>16</v>
      </c>
      <c r="C47" s="6" t="inlineStr">
        <is>
          <t>Modalidad de acceso</t>
        </is>
      </c>
      <c r="D47" s="7" t="inlineStr">
        <is>
          <t>Vehicular + caminata 30-90 min</t>
        </is>
      </c>
      <c r="E47" s="8" t="n"/>
      <c r="F47" s="8" t="n"/>
    </row>
    <row r="48"/>
    <row r="49">
      <c r="A49" s="5" t="inlineStr">
        <is>
          <t>6. SÍNTESIS PARA LA GESTIÓN DEL RIESGO EN CONTEXTO DE CAMBIO CLIMÁTICO</t>
        </is>
      </c>
    </row>
    <row r="50">
      <c r="A50" s="6" t="inlineStr">
        <is>
          <t>Causa subyacente principal</t>
        </is>
      </c>
      <c r="B50" s="7" t="inlineStr">
        <is>
          <t>Economía de subsistencia familiar (ganadería + agricultura) sobre suelos frágiles, con débil ordenamiento del uso</t>
        </is>
      </c>
      <c r="C50" s="6" t="inlineStr">
        <is>
          <t>Velocidad de degradación</t>
        </is>
      </c>
      <c r="D50" s="7" t="inlineStr">
        <is>
          <t>Lenta</t>
        </is>
      </c>
      <c r="E50" s="8" t="n"/>
      <c r="F50" s="8" t="n"/>
    </row>
    <row r="51">
      <c r="A51" s="6" t="inlineStr">
        <is>
          <t>Reversibilidad técnica</t>
        </is>
      </c>
      <c r="B51" s="7" t="inlineStr">
        <is>
          <t>Parcialmente reversible</t>
        </is>
      </c>
      <c r="C51" s="6" t="inlineStr">
        <is>
          <t>Urgencia de intervención</t>
        </is>
      </c>
      <c r="D51" s="7" t="inlineStr">
        <is>
          <t>Media</t>
        </is>
      </c>
      <c r="E51" s="8" t="n"/>
      <c r="F51" s="8" t="n"/>
    </row>
    <row r="52">
      <c r="A52" s="6" t="inlineStr">
        <is>
          <t>Urgencia de control de erosión</t>
        </is>
      </c>
      <c r="B52" s="7" t="inlineStr">
        <is>
          <t>Media</t>
        </is>
      </c>
      <c r="C52" s="6" t="inlineStr">
        <is>
          <t>Zona de recarga hídrica</t>
        </is>
      </c>
      <c r="D52" s="7" t="inlineStr">
        <is>
          <t>Sí</t>
        </is>
      </c>
      <c r="E52" s="8" t="n"/>
      <c r="F52" s="8" t="n"/>
    </row>
    <row r="53">
      <c r="A53" s="6" t="inlineStr">
        <is>
          <t>Peligro integrado preliminar (MCA-AHP)</t>
        </is>
      </c>
      <c r="B53" s="7" t="inlineStr">
        <is>
          <t>No disponible en los insumos; debe tomarse del modelamiento de mesolocalización</t>
        </is>
      </c>
      <c r="C53" s="6" t="inlineStr">
        <is>
          <t>Prioridad de intervención</t>
        </is>
      </c>
      <c r="D53" s="7" t="inlineStr">
        <is>
          <t>Por definir en mesolocalización</t>
        </is>
      </c>
      <c r="E53" s="8" t="n"/>
      <c r="F53" s="8" t="n"/>
    </row>
    <row r="54" ht="72" customHeight="1">
      <c r="A54" s="6" t="inlineStr">
        <is>
          <t>Estado de verificación de campo</t>
        </is>
      </c>
      <c r="B54" s="7" t="inlineStr">
        <is>
          <t>VERIFICADO</t>
        </is>
      </c>
      <c r="C54" s="6" t="inlineStr">
        <is>
          <t>Marco del indicador de brecha</t>
        </is>
      </c>
      <c r="D54" s="7" t="inlineStr">
        <is>
          <t>R.M. N.° 00213-2024-MINAM</t>
        </is>
      </c>
      <c r="E54" s="8" t="n"/>
      <c r="F54" s="8" t="n"/>
    </row>
    <row r="55"/>
    <row r="56">
      <c r="A56"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c r="B56" s="38" t="n"/>
      <c r="C56" s="38" t="n"/>
      <c r="D56" s="38" t="n"/>
      <c r="E56" s="38" t="n"/>
      <c r="F56" s="39" t="n"/>
    </row>
  </sheetData>
  <mergeCells count="13">
    <mergeCell ref="A27:F27"/>
    <mergeCell ref="A34:F34"/>
    <mergeCell ref="A18:F18"/>
    <mergeCell ref="A56:F56"/>
    <mergeCell ref="A3:F3"/>
    <mergeCell ref="A2:F2"/>
    <mergeCell ref="A49:F49"/>
    <mergeCell ref="A42:F42"/>
    <mergeCell ref="A1:F1"/>
    <mergeCell ref="A5:F5"/>
    <mergeCell ref="A8:F8"/>
    <mergeCell ref="A6:F6"/>
    <mergeCell ref="A4:F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9"/>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14</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t>
        </is>
      </c>
      <c r="B10" s="18" t="n">
        <v>12.4672</v>
      </c>
      <c r="C10" s="19" t="n">
        <v>13.42</v>
      </c>
      <c r="D10" s="11" t="inlineStr">
        <is>
          <t>Vigor alto</t>
        </is>
      </c>
      <c r="E10" s="11" t="inlineStr">
        <is>
          <t>Sobre umbral</t>
        </is>
      </c>
    </row>
    <row r="11">
      <c r="A11" s="12" t="inlineStr">
        <is>
          <t>0.4976 - 0.6139</t>
        </is>
      </c>
      <c r="B11" s="32" t="n">
        <v>43.8024</v>
      </c>
      <c r="C11" s="31" t="n">
        <v>47.15</v>
      </c>
      <c r="D11" s="13" t="inlineStr">
        <is>
          <t>Vigor moderado</t>
        </is>
      </c>
      <c r="E11" s="13" t="inlineStr">
        <is>
          <t>Sobre umbral</t>
        </is>
      </c>
    </row>
    <row r="12">
      <c r="A12" s="7" t="inlineStr">
        <is>
          <t>0.3813 - 0.4976</t>
        </is>
      </c>
      <c r="B12" s="18" t="n">
        <v>31.7253</v>
      </c>
      <c r="C12" s="19" t="n">
        <v>34.15</v>
      </c>
      <c r="D12" s="11" t="inlineStr">
        <is>
          <t>Vigor bajo</t>
        </is>
      </c>
      <c r="E12" s="11" t="inlineStr">
        <is>
          <t>BAJO umbral 0.4976</t>
        </is>
      </c>
    </row>
    <row r="13">
      <c r="A13" s="14" t="inlineStr">
        <is>
          <t>0.2650 - 0.3813</t>
        </is>
      </c>
      <c r="B13" s="20" t="n">
        <v>4.9051</v>
      </c>
      <c r="C13" s="21" t="n">
        <v>5.28</v>
      </c>
      <c r="D13" s="15" t="inlineStr">
        <is>
          <t>Vigor muy bajo</t>
        </is>
      </c>
      <c r="E13" s="15" t="inlineStr">
        <is>
          <t>BAJO umbral 0.4976</t>
        </is>
      </c>
    </row>
    <row r="14">
      <c r="A14" s="7" t="inlineStr">
        <is>
          <t>&lt;= 0.2650</t>
        </is>
      </c>
      <c r="B14" s="18" t="n">
        <v>0</v>
      </c>
      <c r="C14" s="19" t="n">
        <v>0</v>
      </c>
      <c r="D14" s="11" t="inlineStr">
        <is>
          <t>Suelo desnudo / no vegetal</t>
        </is>
      </c>
      <c r="E14" s="11" t="inlineStr">
        <is>
          <t>BAJO umbral 0.4976</t>
        </is>
      </c>
    </row>
    <row r="15">
      <c r="A15" s="7" t="inlineStr">
        <is>
          <t>TOTAL CLASIFICADO</t>
        </is>
      </c>
      <c r="B15" s="18">
        <f>SUM(B10:B14)</f>
        <v/>
      </c>
      <c r="C15" s="19">
        <f>SUM(C10:C14)</f>
        <v/>
      </c>
      <c r="D15" s="11" t="inlineStr">
        <is>
          <t>Suma de las cinco clases MSAVI 2024</t>
        </is>
      </c>
      <c r="E15" s="11" t="inlineStr">
        <is>
          <t>Iguala la superficie de catálogo (V5/V6)</t>
        </is>
      </c>
    </row>
    <row r="16">
      <c r="A16" s="16" t="inlineStr">
        <is>
          <t>MSAVI 2024 — MEDIA DEL BLOQUE</t>
        </is>
      </c>
      <c r="B16" s="17" t="n">
        <v>0.51974</v>
      </c>
      <c r="C16" s="17" t="inlineStr">
        <is>
          <t>—</t>
        </is>
      </c>
      <c r="D16" s="17" t="inlineStr">
        <is>
          <t>Vigor moderado · clase 0.4976 - 0.6139</t>
        </is>
      </c>
      <c r="E16" s="17" t="inlineStr">
        <is>
          <t>Sobre umbral</t>
        </is>
      </c>
    </row>
    <row r="17" ht="72" customHeight="1"/>
    <row r="18">
      <c r="A18" s="9" t="inlineStr">
        <is>
          <t>NOTA METODOLÓGICA. La media del MSAVI 2024 del bloque procede del catálogo maestro de bloques V5/V6 y es dato oficial. La DISTRIBUCIÓN AREAL por clase se obtuvo por conteo de celdas sobre la cartografía temática MSAVI 2024 del bloque (carpeta Drive «MSAVI BLOQUES V6»), clasificada con la paleta RdYlGn de cinco clases y los mismos umbrales del proyecto. El reparto porcentual es el medido sobre el polígono del bloque; las hectáreas se obtienen aplicando ese reparto a la superficie de catálogo (V5/V6) declarada en la hoja «Resumen», de modo que el total por clase cuadra con la superficie oficial. Umbral de brecha 0.4976 conforme a la R.M. N.° 00213-2024-MINAM. CONTRASTE INDEPENDIENTE: la tabla de intersección vectorial «BLOQUES_V6_INTERSECC_MSAVI» reproduce el mismo ordenamiento de bloques (correlación de Pearson 0.949 sobre el porcentaje bajo umbral en los 117 bloques); no se usa para el metrado porque su campo AREA_M2 conserva el área del polígono padre y no la de cada pieza de intersección. El refrendo por estadística zonal directa sobre el ráster MSAVI 2024 recortado al polígono queda pendiente.</t>
        </is>
      </c>
      <c r="B18" s="38" t="n"/>
      <c r="C18" s="38" t="n"/>
      <c r="D18" s="38" t="n"/>
      <c r="E18" s="39" t="n"/>
    </row>
    <row r="19" ht="18" customHeight="1"/>
    <row r="20" ht="28" customHeight="1">
      <c r="A20" s="5" t="inlineStr">
        <is>
          <t>B. NDVI MEDIANA 2025 — DISTRIBUCIÓN AREAL (ESTADÍSTICA ZONAL)</t>
        </is>
      </c>
    </row>
    <row r="21">
      <c r="A21" s="10" t="inlineStr">
        <is>
          <t>Clase NDVI</t>
        </is>
      </c>
      <c r="B21" s="10" t="inlineStr">
        <is>
          <t>Superficie (ha)</t>
        </is>
      </c>
      <c r="C21" s="10" t="inlineStr">
        <is>
          <t>% del área clasificada</t>
        </is>
      </c>
      <c r="D21" s="10" t="inlineStr">
        <is>
          <t>Interpretación</t>
        </is>
      </c>
      <c r="E21" s="10" t="inlineStr">
        <is>
          <t>Observación</t>
        </is>
      </c>
    </row>
    <row r="22">
      <c r="A22" s="7" t="inlineStr">
        <is>
          <t>Vegetación alta</t>
        </is>
      </c>
      <c r="B22" s="18" t="n">
        <v>54.7331</v>
      </c>
      <c r="C22" s="19" t="n">
        <v>58.89</v>
      </c>
      <c r="D22" s="11" t="inlineStr">
        <is>
          <t>Dosel continuo, matorral denso o mosaico agroforestal</t>
        </is>
      </c>
      <c r="E22" s="11" t="inlineStr"/>
    </row>
    <row r="23">
      <c r="A23" s="14" t="inlineStr">
        <is>
          <t>Vegetación mediana</t>
        </is>
      </c>
      <c r="B23" s="20" t="n">
        <v>33.9957</v>
      </c>
      <c r="C23" s="21" t="n">
        <v>36.58</v>
      </c>
      <c r="D23" s="15" t="inlineStr">
        <is>
          <t>Pastizal cultivado, matorral ralo, parcelas agrícolas</t>
        </is>
      </c>
      <c r="E23" s="15" t="inlineStr"/>
    </row>
    <row r="24">
      <c r="A24" s="7" t="inlineStr">
        <is>
          <t>Vegetación ligera</t>
        </is>
      </c>
      <c r="B24" s="18" t="n">
        <v>4.2106</v>
      </c>
      <c r="C24" s="19" t="n">
        <v>4.53</v>
      </c>
      <c r="D24" s="11" t="inlineStr">
        <is>
          <t>Cobertura discontinua, suelo parcialmente expuesto</t>
        </is>
      </c>
      <c r="E24" s="11" t="inlineStr"/>
    </row>
    <row r="25">
      <c r="A25" s="14" t="inlineStr">
        <is>
          <t>Tierra desnuda</t>
        </is>
      </c>
      <c r="B25" s="20" t="n">
        <v>0.0043</v>
      </c>
      <c r="C25" s="21" t="n">
        <v>0</v>
      </c>
      <c r="D25" s="15" t="inlineStr">
        <is>
          <t>Suelo desnudo, afloramientos, plataformas y taludes</t>
        </is>
      </c>
      <c r="E25" s="15" t="inlineStr"/>
    </row>
    <row r="26">
      <c r="A26" s="16" t="inlineStr">
        <is>
          <t>TOTAL CLASIFICADO</t>
        </is>
      </c>
      <c r="B26" s="22">
        <f>SUM(B21:B24)</f>
        <v/>
      </c>
      <c r="C26" s="23">
        <f>SUM(C21:C24)</f>
        <v/>
      </c>
      <c r="D26" s="17" t="inlineStr"/>
      <c r="E26" s="17" t="inlineStr"/>
    </row>
    <row r="27">
      <c r="A27" s="24" t="inlineStr">
        <is>
          <t>Superficie de catálogo (V5/V6)</t>
        </is>
      </c>
      <c r="B27" s="25" t="n">
        <v>92.90000000000001</v>
      </c>
      <c r="C27" s="25" t="inlineStr">
        <is>
          <t>—</t>
        </is>
      </c>
      <c r="D27" s="25" t="inlineStr">
        <is>
          <t>Desviación planimétrica frente al catálogo</t>
        </is>
      </c>
      <c r="E27" s="25" t="inlineStr">
        <is>
          <t>+0.05 %</t>
        </is>
      </c>
    </row>
    <row r="28" ht="108" customHeight="1"/>
    <row r="29">
      <c r="A29"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65 % frente a un 58.89 % del polígono clasificado como «Vegetación alta» por el NDVI 2025; la observación de campo corresponde a una parcela o recorrido puntual y no es estadísticamente representativa de las 92.900 ha del bloque.</t>
        </is>
      </c>
      <c r="B29" s="38" t="n"/>
      <c r="C29" s="38" t="n"/>
      <c r="D29" s="38" t="n"/>
      <c r="E29" s="39" t="n"/>
    </row>
  </sheetData>
  <mergeCells count="10">
    <mergeCell ref="A29:E29"/>
    <mergeCell ref="A4:E4"/>
    <mergeCell ref="A20:E20"/>
    <mergeCell ref="A2:E2"/>
    <mergeCell ref="A5:E5"/>
    <mergeCell ref="A1:E1"/>
    <mergeCell ref="A8:E8"/>
    <mergeCell ref="A6:E6"/>
    <mergeCell ref="A18:E18"/>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3"/>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14</t>
        </is>
      </c>
    </row>
    <row r="6" ht="24" customHeight="1">
      <c r="A6" s="4" t="inlineStr">
        <is>
          <t>Levantamiento del 2026-06-03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624625</v>
      </c>
      <c r="D10" s="26" t="n">
        <v>9437569</v>
      </c>
      <c r="E10" s="11" t="n">
        <v>535</v>
      </c>
      <c r="F10" s="11" t="inlineStr"/>
      <c r="G10" s="11" t="inlineStr">
        <is>
          <t>Coordenada consignada en F-DT-01</t>
        </is>
      </c>
    </row>
    <row r="11">
      <c r="A11" s="14" t="inlineStr">
        <is>
          <t>C-01</t>
        </is>
      </c>
      <c r="B11" s="15" t="inlineStr">
        <is>
          <t>Rasgo erosivo — Cárcava somera (0.5-2 m)</t>
        </is>
      </c>
      <c r="C11" s="27" t="n">
        <v>624582</v>
      </c>
      <c r="D11" s="27" t="n">
        <v>9437598</v>
      </c>
      <c r="E11" s="15" t="n">
        <v>545.3</v>
      </c>
      <c r="F11" s="15" t="inlineStr">
        <is>
          <t>Activa</t>
        </is>
      </c>
      <c r="G11" s="15" t="inlineStr">
        <is>
          <t>Caminos / huellas de ganado</t>
        </is>
      </c>
    </row>
    <row r="12">
      <c r="A12" s="7" t="inlineStr">
        <is>
          <t>C-02</t>
        </is>
      </c>
      <c r="B12" s="11" t="inlineStr">
        <is>
          <t>Rasgo erosivo — Cárcava incipiente (30-50 cm)</t>
        </is>
      </c>
      <c r="C12" s="26" t="n">
        <v>624527</v>
      </c>
      <c r="D12" s="26" t="n">
        <v>9437653</v>
      </c>
      <c r="E12" s="11" t="n">
        <v>582.7</v>
      </c>
      <c r="F12" s="11" t="inlineStr">
        <is>
          <t>Activa</t>
        </is>
      </c>
      <c r="G12" s="11" t="inlineStr">
        <is>
          <t>Concentración natural de escorrentía</t>
        </is>
      </c>
    </row>
    <row r="13">
      <c r="A13" s="14" t="inlineStr">
        <is>
          <t>C-03</t>
        </is>
      </c>
      <c r="B13" s="15" t="inlineStr">
        <is>
          <t>Rasgo erosivo — Cárcava incipiente (30-50 cm)</t>
        </is>
      </c>
      <c r="C13" s="27" t="n">
        <v>624651</v>
      </c>
      <c r="D13" s="27" t="n">
        <v>9438013</v>
      </c>
      <c r="E13" s="15" t="n">
        <v>962.1</v>
      </c>
      <c r="F13" s="15" t="inlineStr">
        <is>
          <t>Activa</t>
        </is>
      </c>
      <c r="G13" s="15" t="inlineStr">
        <is>
          <t>Caminos / huellas de ganado</t>
        </is>
      </c>
    </row>
    <row r="14">
      <c r="A14" s="7" t="inlineStr">
        <is>
          <t>H-01</t>
        </is>
      </c>
      <c r="B14" s="11" t="inlineStr">
        <is>
          <t>Fuente de agua — Quebrada estacional</t>
        </is>
      </c>
      <c r="C14" s="26" t="n"/>
      <c r="D14" s="26" t="n"/>
      <c r="E14" s="11" t="inlineStr"/>
      <c r="F14" s="11" t="inlineStr">
        <is>
          <t>Estacional (lluvias)</t>
        </is>
      </c>
      <c r="G14" s="11" t="inlineStr">
        <is>
          <t>Drenaje natural del eje oeste</t>
        </is>
      </c>
    </row>
    <row r="15">
      <c r="A15" s="14" t="inlineStr">
        <is>
          <t>B-01</t>
        </is>
      </c>
      <c r="B15" s="15" t="inlineStr">
        <is>
          <t>Especie clave — Podocarpus sp. (Ulcumano/Galilea)</t>
        </is>
      </c>
      <c r="C15" s="27" t="n">
        <v>624625</v>
      </c>
      <c r="D15" s="27" t="n">
        <v>9437569</v>
      </c>
      <c r="E15" s="15" t="n">
        <v>535</v>
      </c>
      <c r="F15" s="15" t="inlineStr">
        <is>
          <t>Indicadora de buen estado</t>
        </is>
      </c>
      <c r="G15" s="15" t="inlineStr">
        <is>
          <t>NE</t>
        </is>
      </c>
    </row>
    <row r="16">
      <c r="A16" s="7" t="inlineStr">
        <is>
          <t>B-02</t>
        </is>
      </c>
      <c r="B16" s="11" t="inlineStr">
        <is>
          <t>Especie clave — Ficus sp. (Higuerón)</t>
        </is>
      </c>
      <c r="C16" s="26" t="n">
        <v>624658</v>
      </c>
      <c r="D16" s="26" t="n">
        <v>9438080</v>
      </c>
      <c r="E16" s="11" t="n">
        <v>1028.7</v>
      </c>
      <c r="F16" s="11" t="inlineStr">
        <is>
          <t>Indicadora de buen estado</t>
        </is>
      </c>
      <c r="G16" s="11" t="inlineStr">
        <is>
          <t>LC</t>
        </is>
      </c>
    </row>
    <row r="17">
      <c r="A17" s="14" t="inlineStr">
        <is>
          <t>B-03</t>
        </is>
      </c>
      <c r="B17" s="15" t="inlineStr">
        <is>
          <t>Especie clave — Vachellia macracantha (Faique)</t>
        </is>
      </c>
      <c r="C17" s="27" t="n">
        <v>624581</v>
      </c>
      <c r="D17" s="27" t="n">
        <v>9437615</v>
      </c>
      <c r="E17" s="15" t="n">
        <v>561</v>
      </c>
      <c r="F17" s="15" t="inlineStr">
        <is>
          <t>Amenazada D.S. 043</t>
        </is>
      </c>
      <c r="G17" s="15" t="inlineStr">
        <is>
          <t>NT — Casi Amenazado</t>
        </is>
      </c>
    </row>
    <row r="18">
      <c r="A18" s="16" t="inlineStr">
        <is>
          <t>TOTAL: 8 puntos</t>
        </is>
      </c>
      <c r="B18" s="17" t="inlineStr"/>
      <c r="C18" s="17" t="inlineStr"/>
      <c r="D18" s="17" t="inlineStr"/>
      <c r="E18" s="17" t="inlineStr"/>
      <c r="F18" s="17" t="inlineStr"/>
      <c r="G18" s="17" t="inlineStr"/>
    </row>
    <row r="20">
      <c r="A20" s="6" t="inlineStr">
        <is>
          <t>Centroide del bloque — UTM ESTE (m)</t>
        </is>
      </c>
      <c r="B20" s="7" t="n">
        <v>624397</v>
      </c>
      <c r="C20" s="6" t="inlineStr">
        <is>
          <t>Centroide del bloque — UTM NORTE (m)</t>
        </is>
      </c>
      <c r="D20" s="7" t="n">
        <v>9437085</v>
      </c>
      <c r="E20" s="8" t="n"/>
      <c r="F20" s="8" t="n"/>
      <c r="G20" s="8" t="n"/>
      <c r="H20" s="8" t="n"/>
    </row>
    <row r="21">
      <c r="A21" s="6" t="inlineStr">
        <is>
          <t>N.° de estaciones fotográficas declaradas</t>
        </is>
      </c>
      <c r="B21" s="7" t="n">
        <v>16</v>
      </c>
      <c r="C21" s="6" t="inlineStr">
        <is>
          <t>Estaciones dentro del polígono</t>
        </is>
      </c>
      <c r="D21" s="7" t="inlineStr">
        <is>
          <t>Por determinar</t>
        </is>
      </c>
      <c r="E21" s="8" t="n"/>
      <c r="F21" s="8" t="n"/>
      <c r="G21" s="8" t="n"/>
      <c r="H21" s="8" t="n"/>
    </row>
    <row r="23" ht="120" customHeight="1">
      <c r="A23"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Verificado el 02-03/06/2026. Acceso desde la carretera PI-805, empalme con trocha carrozable y camino de herradura. Pendiente media de transecto = 20.3% (máx 36.8%); altitud del transecto 1016-1197 msnm. Inestabilidad concentrada en taludes de corte del camino; deslizamiento localizado que volcó un faique. Discrepancia toponímica: los CC.PP. titulares en la tabla maestra son La Laja y Overazal, mientras la cartografía rotula «Brasal», «Las Velas/Las Vegas» y «Laguna La Román».</t>
        </is>
      </c>
      <c r="B23" s="38" t="n"/>
      <c r="C23" s="38" t="n"/>
      <c r="D23" s="38" t="n"/>
      <c r="E23" s="38" t="n"/>
      <c r="F23" s="38" t="n"/>
      <c r="G23" s="39" t="n"/>
    </row>
  </sheetData>
  <mergeCells count="8">
    <mergeCell ref="A1:G1"/>
    <mergeCell ref="A8:G8"/>
    <mergeCell ref="A3:G3"/>
    <mergeCell ref="A6:G6"/>
    <mergeCell ref="A4:G4"/>
    <mergeCell ref="A2:G2"/>
    <mergeCell ref="A5:G5"/>
    <mergeCell ref="A23:G2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6"/>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C1086-Q9570 — BLOQUE 14</t>
        </is>
      </c>
    </row>
    <row r="6" ht="24" customHeight="1">
      <c r="A6" s="4" t="inlineStr">
        <is>
          <t>Distrito de Santa Catalina de Mossa · Provincia de Morropon · Comparación de los bloques preliminares de intervención de la misma microcuenca</t>
        </is>
      </c>
    </row>
    <row r="8" ht="18" customHeight="1">
      <c r="A8" s="5" t="inlineStr">
        <is>
          <t>BLOQUES DE LA MICROCUENCA C1086-Q9570</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12</t>
        </is>
      </c>
      <c r="B10" s="28" t="n">
        <v>119.54</v>
      </c>
      <c r="C10" s="19" t="n">
        <v>14</v>
      </c>
      <c r="D10" s="11" t="inlineStr">
        <is>
          <t>672 – 2244</t>
        </is>
      </c>
      <c r="E10" s="11" t="n">
        <v>1572</v>
      </c>
      <c r="F10" s="11" t="n">
        <v>27.41</v>
      </c>
      <c r="G10" s="18" t="n">
        <v>0.7067</v>
      </c>
      <c r="H10" s="19" t="n">
        <v>99.93000000000001</v>
      </c>
    </row>
    <row r="11">
      <c r="A11" s="14" t="inlineStr">
        <is>
          <t>11</t>
        </is>
      </c>
      <c r="B11" s="29" t="n">
        <v>103.95</v>
      </c>
      <c r="C11" s="21" t="n">
        <v>12.17</v>
      </c>
      <c r="D11" s="15" t="inlineStr">
        <is>
          <t>1375 – 1928</t>
        </is>
      </c>
      <c r="E11" s="15" t="n">
        <v>553</v>
      </c>
      <c r="F11" s="15" t="n">
        <v>32.19</v>
      </c>
      <c r="G11" s="20" t="n">
        <v>0.6047</v>
      </c>
      <c r="H11" s="21" t="n">
        <v>75.28</v>
      </c>
    </row>
    <row r="12">
      <c r="A12" s="7" t="inlineStr">
        <is>
          <t>17</t>
        </is>
      </c>
      <c r="B12" s="28" t="n">
        <v>96.08</v>
      </c>
      <c r="C12" s="19" t="n">
        <v>11.25</v>
      </c>
      <c r="D12" s="11" t="inlineStr">
        <is>
          <t>1253 – 1880</t>
        </is>
      </c>
      <c r="E12" s="11" t="n">
        <v>627</v>
      </c>
      <c r="F12" s="11" t="n">
        <v>35.56</v>
      </c>
      <c r="G12" s="18" t="n">
        <v>0.6479</v>
      </c>
      <c r="H12" s="19" t="n">
        <v>88.68000000000001</v>
      </c>
    </row>
    <row r="13">
      <c r="A13" s="12" t="inlineStr">
        <is>
          <t>► 14</t>
        </is>
      </c>
      <c r="B13" s="30" t="n">
        <v>92.90000000000001</v>
      </c>
      <c r="C13" s="31" t="n">
        <v>10.88</v>
      </c>
      <c r="D13" s="13" t="inlineStr">
        <is>
          <t>87 – 1355</t>
        </is>
      </c>
      <c r="E13" s="13" t="n">
        <v>1268</v>
      </c>
      <c r="F13" s="13" t="n">
        <v>23.75</v>
      </c>
      <c r="G13" s="32" t="n">
        <v>0.5197000000000001</v>
      </c>
      <c r="H13" s="31" t="n">
        <v>58.89</v>
      </c>
    </row>
    <row r="14">
      <c r="A14" s="7" t="inlineStr">
        <is>
          <t>15</t>
        </is>
      </c>
      <c r="B14" s="28" t="n">
        <v>86.15000000000001</v>
      </c>
      <c r="C14" s="19" t="n">
        <v>10.09</v>
      </c>
      <c r="D14" s="11" t="inlineStr">
        <is>
          <t>1199 – 1655</t>
        </is>
      </c>
      <c r="E14" s="11" t="n">
        <v>456</v>
      </c>
      <c r="F14" s="11" t="n">
        <v>26.19</v>
      </c>
      <c r="G14" s="18" t="n">
        <v>0.5605</v>
      </c>
      <c r="H14" s="19" t="n">
        <v>56.47</v>
      </c>
    </row>
    <row r="15">
      <c r="A15" s="14" t="inlineStr">
        <is>
          <t>23</t>
        </is>
      </c>
      <c r="B15" s="29" t="n">
        <v>81.78</v>
      </c>
      <c r="C15" s="21" t="n">
        <v>9.58</v>
      </c>
      <c r="D15" s="15" t="inlineStr">
        <is>
          <t>521 – 973</t>
        </is>
      </c>
      <c r="E15" s="15" t="n">
        <v>452</v>
      </c>
      <c r="F15" s="15" t="n">
        <v>35.28</v>
      </c>
      <c r="G15" s="20" t="n">
        <v>0.5731000000000001</v>
      </c>
      <c r="H15" s="21" t="n">
        <v>47.99</v>
      </c>
    </row>
    <row r="16">
      <c r="A16" s="7" t="inlineStr">
        <is>
          <t>42</t>
        </is>
      </c>
      <c r="B16" s="28" t="n">
        <v>80.62</v>
      </c>
      <c r="C16" s="19" t="n">
        <v>9.44</v>
      </c>
      <c r="D16" s="11" t="inlineStr">
        <is>
          <t>1131 – 1548</t>
        </is>
      </c>
      <c r="E16" s="11" t="n">
        <v>417</v>
      </c>
      <c r="F16" s="11" t="n">
        <v>27.86</v>
      </c>
      <c r="G16" s="18" t="n">
        <v>0.6348</v>
      </c>
      <c r="H16" s="19" t="n">
        <v>88.83</v>
      </c>
    </row>
    <row r="17">
      <c r="A17" s="14" t="inlineStr">
        <is>
          <t>M19B2</t>
        </is>
      </c>
      <c r="B17" s="29" t="n">
        <v>74.37</v>
      </c>
      <c r="C17" s="21" t="n">
        <v>8.710000000000001</v>
      </c>
      <c r="D17" s="15" t="inlineStr">
        <is>
          <t>203 – 523</t>
        </is>
      </c>
      <c r="E17" s="15" t="n">
        <v>320</v>
      </c>
      <c r="F17" s="15" t="n">
        <v>21.71</v>
      </c>
      <c r="G17" s="20" t="n">
        <v>0.4012</v>
      </c>
      <c r="H17" s="21" t="n">
        <v>1.28</v>
      </c>
    </row>
    <row r="18">
      <c r="A18" s="7" t="inlineStr">
        <is>
          <t>82</t>
        </is>
      </c>
      <c r="B18" s="28" t="n">
        <v>35.66</v>
      </c>
      <c r="C18" s="19" t="n">
        <v>4.18</v>
      </c>
      <c r="D18" s="11" t="inlineStr">
        <is>
          <t>1796 – 2098</t>
        </is>
      </c>
      <c r="E18" s="11" t="n">
        <v>302</v>
      </c>
      <c r="F18" s="11" t="n">
        <v>23.55</v>
      </c>
      <c r="G18" s="18" t="n">
        <v>0.6283</v>
      </c>
      <c r="H18" s="19" t="n">
        <v>90.06999999999999</v>
      </c>
    </row>
    <row r="19">
      <c r="A19" s="14" t="inlineStr">
        <is>
          <t>78</t>
        </is>
      </c>
      <c r="B19" s="29" t="n">
        <v>35.1</v>
      </c>
      <c r="C19" s="21" t="n">
        <v>4.11</v>
      </c>
      <c r="D19" s="15" t="inlineStr">
        <is>
          <t>1908 – 2236</t>
        </is>
      </c>
      <c r="E19" s="15" t="n">
        <v>328</v>
      </c>
      <c r="F19" s="15" t="n">
        <v>30.64</v>
      </c>
      <c r="G19" s="20" t="n">
        <v>0.7074</v>
      </c>
      <c r="H19" s="21" t="n">
        <v>89.33</v>
      </c>
    </row>
    <row r="20">
      <c r="A20" s="7" t="inlineStr">
        <is>
          <t>M19B7</t>
        </is>
      </c>
      <c r="B20" s="28" t="n">
        <v>34.17</v>
      </c>
      <c r="C20" s="19" t="n">
        <v>4</v>
      </c>
      <c r="D20" s="11" t="inlineStr">
        <is>
          <t>1213 – 1578</t>
        </is>
      </c>
      <c r="E20" s="11" t="n">
        <v>365</v>
      </c>
      <c r="F20" s="11" t="n">
        <v>28.15</v>
      </c>
      <c r="G20" s="18" t="n">
        <v>0.5919</v>
      </c>
      <c r="H20" s="19" t="n">
        <v>78.52</v>
      </c>
    </row>
    <row r="21">
      <c r="A21" s="14" t="inlineStr">
        <is>
          <t>59</t>
        </is>
      </c>
      <c r="B21" s="29" t="n">
        <v>13.55</v>
      </c>
      <c r="C21" s="21" t="n">
        <v>1.59</v>
      </c>
      <c r="D21" s="15" t="inlineStr">
        <is>
          <t>2045 – 2218</t>
        </is>
      </c>
      <c r="E21" s="15" t="n">
        <v>173</v>
      </c>
      <c r="F21" s="15" t="n">
        <v>29.85</v>
      </c>
      <c r="G21" s="20" t="n">
        <v>0.6147</v>
      </c>
      <c r="H21" s="21" t="n">
        <v>86.56999999999999</v>
      </c>
    </row>
    <row r="22">
      <c r="A22" s="16" t="inlineStr">
        <is>
          <t>TOTAL / PROMEDIO</t>
        </is>
      </c>
      <c r="B22" s="33">
        <f>SUM(B10:B21)</f>
        <v/>
      </c>
      <c r="C22" s="23">
        <f>SUM(C10:C21)</f>
        <v/>
      </c>
      <c r="D22" s="17" t="inlineStr">
        <is>
          <t>87 – 2244</t>
        </is>
      </c>
      <c r="E22" s="17" t="inlineStr"/>
      <c r="F22" s="17">
        <f>ROUND(AVERAGE(F10:F21),2)</f>
        <v/>
      </c>
      <c r="G22" s="22">
        <f>ROUND(AVERAGE(G10:G21),4)</f>
        <v/>
      </c>
      <c r="H22" s="23">
        <f>ROUND(AVERAGE(H10:H21),2)</f>
        <v/>
      </c>
    </row>
    <row r="24" ht="84" customHeight="1">
      <c r="A24" s="9" t="inlineStr">
        <is>
          <t>LECTURA INTRAMICROCUENCA. El bloque 14 ocupa el puesto 4 de 12 por superficie dentro de la microcuenca C1086-Q9570 (10.88 % de las 853.87 ha preliminares de la microcuenca). Su pendiente promedio (23.75 %, clase «15-25% (Fuert. inclinado)») es la 3.ª más baja de 12 y se sitúa por debajo del promedio de la microcuenca (28.51 %). Su MSAVI 2024 (0.5197) es el 11.º de 12 y queda por debajo del promedio local (0.5993). Amplitud altitudinal del bloque: 1268 m (87–1355 msnm). El cuadro conserva todos los bloques catalogados en la microcuenca, incluidos los descartados en el tamizaje, para referencia del conjunto. Los bloques sin ficha DT figuran con sus parámetros de gabinete.</t>
        </is>
      </c>
      <c r="B24" s="38" t="n"/>
      <c r="C24" s="38" t="n"/>
      <c r="D24" s="38" t="n"/>
      <c r="E24" s="38" t="n"/>
      <c r="F24" s="38" t="n"/>
      <c r="G24" s="38" t="n"/>
      <c r="H24" s="39" t="n"/>
    </row>
    <row r="26" ht="60" customHeight="1">
      <c r="A26"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c r="B26" s="38" t="n"/>
      <c r="C26" s="38" t="n"/>
      <c r="D26" s="38" t="n"/>
      <c r="E26" s="38" t="n"/>
      <c r="F26" s="38" t="n"/>
      <c r="G26" s="38" t="n"/>
      <c r="H26" s="39" t="n"/>
    </row>
  </sheetData>
  <mergeCells count="9">
    <mergeCell ref="A1:H1"/>
    <mergeCell ref="A4:H4"/>
    <mergeCell ref="A3:H3"/>
    <mergeCell ref="A26:H26"/>
    <mergeCell ref="A24:H24"/>
    <mergeCell ref="A2:H2"/>
    <mergeCell ref="A5:H5"/>
    <mergeCell ref="A8:H8"/>
    <mergeCell ref="A6:H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5"/>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14</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«C1086-Q9570»</t>
        </is>
      </c>
      <c r="D10" s="35" t="inlineStr">
        <is>
          <t>CONFORME</t>
        </is>
      </c>
      <c r="E10" s="34" t="inlineStr">
        <is>
          <t>Sin acción.</t>
        </is>
      </c>
    </row>
    <row r="11" ht="48" customHeight="1">
      <c r="A11" s="36" t="inlineStr">
        <is>
          <t>D-02</t>
        </is>
      </c>
      <c r="B11" s="36" t="inlineStr">
        <is>
          <t>UTM del punto de muestreo</t>
        </is>
      </c>
      <c r="C11" s="36" t="inlineStr">
        <is>
          <t>El punto de muestreo declarado dista 535 m del centroide de catálogo, compatible con la extensión del bloque</t>
        </is>
      </c>
      <c r="D11" s="35" t="inlineStr">
        <is>
          <t>CONFORME</t>
        </is>
      </c>
      <c r="E11" s="36" t="inlineStr">
        <is>
          <t>Sin acción.</t>
        </is>
      </c>
    </row>
    <row r="12" ht="48" customHeight="1">
      <c r="A12" s="34" t="inlineStr">
        <is>
          <t>D-03</t>
        </is>
      </c>
      <c r="B12" s="34" t="inlineStr">
        <is>
          <t>Superficie del polígono</t>
        </is>
      </c>
      <c r="C12" s="34" t="inlineStr">
        <is>
          <t>La superficie clasificada por el NDVI 2025 (92.944 ha) coincide con la de catálogo (92.9 ha) dentro del ±2 % (+0.05 %)</t>
        </is>
      </c>
      <c r="D12" s="35" t="inlineStr">
        <is>
          <t>CONFORME</t>
        </is>
      </c>
      <c r="E12" s="34" t="inlineStr">
        <is>
          <t>Sin acción: la segmentación valida la geometría del bloque.</t>
        </is>
      </c>
    </row>
    <row r="13" ht="48" customHeight="1">
      <c r="A13" s="36" t="inlineStr">
        <is>
          <t>D-04</t>
        </is>
      </c>
      <c r="B13" s="36" t="inlineStr">
        <is>
          <t>Rango de pendiente dominante</t>
        </is>
      </c>
      <c r="C13" s="36" t="inlineStr">
        <is>
          <t>La ficha DT declara «25-50% (Mod. escarpado)»; la estadística zonal sobre el MDE arroja una pendiente promedio de 23.75 %, que corresponde a la clase «15-25% (Fuert. inclinado)»</t>
        </is>
      </c>
      <c r="D13" s="13" t="inlineStr">
        <is>
          <t>NO SUSTANTIVA</t>
        </is>
      </c>
      <c r="E13" s="36" t="inlineStr">
        <is>
          <t>Se conserva el registro de campo como observación de sector y se adopta el valor del MDE para el cálculo intramicrocuenca. La divergencia es esperable: el dato de campo es puntual y el del MDE es promedio del polígono.</t>
        </is>
      </c>
    </row>
    <row r="14" ht="48" customHeight="1">
      <c r="A14" s="34" t="inlineStr">
        <is>
          <t>D-05</t>
        </is>
      </c>
      <c r="B14" s="34" t="inlineStr">
        <is>
          <t>Rango altitudinal / piso ecológico</t>
        </is>
      </c>
      <c r="C14" s="34" t="inlineStr">
        <is>
          <t>La ficha DT declara «1000-1500 m (Quechua baja)»; el MDE sitúa el bloque entre 87 y 1355 msnm, cuyo punto medio corresponde a «&lt;1000 m (Yunga)»</t>
        </is>
      </c>
      <c r="D14" s="13" t="inlineStr">
        <is>
          <t>NO SUSTANTIVA</t>
        </is>
      </c>
      <c r="E14" s="34" t="inlineStr">
        <is>
          <t>Se declara la divergencia. El bloque abarca más de un piso altitudinal cuando la amplitud supera el ancho de la clase; el registro de campo corresponde al sector recorrido.</t>
        </is>
      </c>
    </row>
    <row r="15" ht="48" customHeight="1">
      <c r="A15" s="36" t="inlineStr">
        <is>
          <t>D-06</t>
        </is>
      </c>
      <c r="B15" s="36" t="inlineStr">
        <is>
          <t>Cobertura vegetal total</t>
        </is>
      </c>
      <c r="C15" s="36" t="inlineStr">
        <is>
          <t>La ficha DT estima 65 % de cobertura vegetal en campo; el NDVI mediana 2025 clasifica 100.00 % del polígono en clases de vegetación</t>
        </is>
      </c>
      <c r="D15" s="13" t="inlineStr">
        <is>
          <t>NO SUSTANTIVA</t>
        </is>
      </c>
      <c r="E15" s="36" t="inlineStr">
        <is>
          <t>Se declaran ambos valores. La observación de campo corresponde a una parcela o recorrido puntual y no es representativa de la totalidad del bloque; el índice espectral no discrimina composición ni integridad ecosistémica.</t>
        </is>
      </c>
    </row>
    <row r="16" ht="48" customHeight="1">
      <c r="A16" s="34" t="inlineStr">
        <is>
          <t>D-07</t>
        </is>
      </c>
      <c r="B16" s="34" t="inlineStr">
        <is>
          <t>Dimensiones del inventario de cárcavas</t>
        </is>
      </c>
      <c r="C16" s="34" t="inlineStr">
        <is>
          <t>Se registran 3 rasgos erosivos, pero longitud, profundidad y ancho no fueron medidos instrumentalmente</t>
        </is>
      </c>
      <c r="D16" s="13" t="inlineStr">
        <is>
          <t>NO SUSTANTIVA</t>
        </is>
      </c>
      <c r="E16" s="34" t="inlineStr">
        <is>
          <t>El conteo registrado no debe usarse para calcular densidad de cárcavas por hectárea. Pendiente de levantamiento con GPS submétrico.</t>
        </is>
      </c>
    </row>
    <row r="17" ht="48" customHeight="1">
      <c r="A17" s="36" t="inlineStr">
        <is>
          <t>D-08</t>
        </is>
      </c>
      <c r="B17" s="36" t="inlineStr">
        <is>
          <t>Elenco florístico</t>
        </is>
      </c>
      <c r="C17" s="36" t="inlineStr">
        <is>
          <t>La ficha registra 14 taxones, por debajo del mínimo de 15 que exige el formato V5</t>
        </is>
      </c>
      <c r="D17" s="37" t="inlineStr">
        <is>
          <t>SUSTANTIVA</t>
        </is>
      </c>
      <c r="E17" s="36" t="inlineStr">
        <is>
          <t>Registro florístico preliminar, sin colecta ni determinación botánica formal. Debe cerrarse con colecta botánica en la siguiente campaña.</t>
        </is>
      </c>
    </row>
    <row r="18" ht="48" customHeight="1">
      <c r="A18" s="34" t="inlineStr">
        <is>
          <t>D-09</t>
        </is>
      </c>
      <c r="B18" s="34" t="inlineStr">
        <is>
          <t>Centro poblado asociado</t>
        </is>
      </c>
      <c r="C18" s="34" t="inlineStr">
        <is>
          <t>La ficha DT declara «Overazal / La Laja (CC.PP. del bloque); caserío Las Vegas (próximo)»; el cruce INEI-Bloques V5 identifica 2 centro(s) poblado(s) en el bloque: LA LAJA, OVERAZAL</t>
        </is>
      </c>
      <c r="D18" s="35" t="inlineStr">
        <is>
          <t>CONFORME</t>
        </is>
      </c>
      <c r="E18" s="34" t="inlineStr">
        <is>
          <t>Se conserva el registro de campo como referencia y se adopta el listado INEI para el diagnóstico social y el cálculo de población beneficiaria.</t>
        </is>
      </c>
    </row>
    <row r="19" ht="48" customHeight="1">
      <c r="A19" s="36" t="inlineStr">
        <is>
          <t>D-10</t>
        </is>
      </c>
      <c r="B19" s="36" t="inlineStr">
        <is>
          <t>Peligro integrado (MCA-AHP)</t>
        </is>
      </c>
      <c r="C19" s="36" t="inlineStr">
        <is>
          <t>El nivel de peligro integrado no está disponible en los insumos de este entregable</t>
        </is>
      </c>
      <c r="D19" s="37" t="inlineStr">
        <is>
          <t>SUSTANTIVA</t>
        </is>
      </c>
      <c r="E19" s="36" t="inlineStr">
        <is>
          <t>Debe tomarse del modelamiento de mesolocalización (PMM + EPH + PGI ponderados por AHP) antes de fijar la prioridad definitiva de intervención del bloque.</t>
        </is>
      </c>
    </row>
    <row r="20" ht="48" customHeight="1">
      <c r="A20" s="36" t="inlineStr">
        <is>
          <t>D-11</t>
        </is>
      </c>
      <c r="B20" s="36" t="inlineStr">
        <is>
          <t>Distribución areal de clases MSAVI 2024</t>
        </is>
      </c>
      <c r="C20" s="36" t="inlineStr">
        <is>
          <t>La hoja «Cobertura MSAVI-NDVI» consignaba «Por determinar» en la distribución areal de clases MSAVI 2024; se incorpora el metrado por clase medido sobre la cartografía temática MSAVI 2024 del bloque: 39.43 % del bloque (36.630 ha) bajo el umbral 0.4976 y 60.57 % sobre el umbral; clase areal dominante «Vigor moderado».</t>
        </is>
      </c>
      <c r="D20" s="37" t="inlineStr">
        <is>
          <t>CORREGIDO</t>
        </is>
      </c>
      <c r="E20" s="36" t="inlineStr">
        <is>
          <t>Se sustituye «Por determinar» por el metrado por clase. Las hectáreas se derivan del reparto porcentual medido aplicado a la superficie de catálogo (V5/V6) del bloque, por lo que la suma de las cinco clases iguala dicha superficie. Pendiente de refrendo con estadística zonal directa sobre el ráster MSAVI 2024 cuando se disponga del insumo.</t>
        </is>
      </c>
    </row>
    <row r="21">
      <c r="A21" s="34" t="inlineStr">
        <is>
          <t>C-01</t>
        </is>
      </c>
      <c r="B21" s="34" t="inlineStr">
        <is>
          <t>Duplicidad parcial de fichas en el archivo DT</t>
        </is>
      </c>
      <c r="C21" s="34" t="inlineStr">
        <is>
          <t>El PDF del bloque 14 incluye un segundo juego parcial (F-DT-01, 02 y 05) fechado 2026-06-03 con microcuenca C1076-Q9584, C.P. Paltashaco y UTM 645575/9393500, que declara pendiente 50-75%, remociones en masa activas «Sí», erosión «Fuerte (cárcavas incipientes)» y 4 cárcavas someras medidas (14_01 a 14_04, prof. 0.60-0.81 m, ancho 1.65-1.92 m) en el entorno 624527-624651 E / 9437569-9438013 N</t>
        </is>
      </c>
      <c r="D21" s="37" t="inlineStr">
        <is>
          <t>SUSTANTIVA</t>
        </is>
      </c>
      <c r="E21" s="34" t="inlineStr">
        <is>
          <t>Se adopta el primer juego (DT-B14) como registro principal por estar completo. El segundo juego aporta el ÚNICO inventario de cárcavas con dimensiones medidas del bloque y se conserva como anexo; su cabecera (microcuenca, C.P. y UTM del punto de muestreo) es inconsistente con el bloque 14 y debe corregirse</t>
        </is>
      </c>
    </row>
    <row r="22"/>
    <row r="23">
      <c r="A23" s="16" t="inlineStr">
        <is>
          <t>RESUMEN</t>
        </is>
      </c>
      <c r="B23" s="17" t="inlineStr">
        <is>
          <t>11 verificaciones</t>
        </is>
      </c>
      <c r="C23" s="17" t="inlineStr">
        <is>
          <t>CONFORME: 4 · NO SUSTANTIVA: 4 · SUSTANTIVA: 2 · CORREGIDO: 1</t>
        </is>
      </c>
      <c r="D23" s="17" t="inlineStr"/>
      <c r="E23" s="17" t="inlineStr"/>
    </row>
    <row r="24" ht="60" customHeight="1"/>
    <row r="25">
      <c r="A25"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25" s="38" t="n"/>
      <c r="C25" s="38" t="n"/>
      <c r="D25" s="38" t="n"/>
      <c r="E25" s="39" t="n"/>
    </row>
  </sheetData>
  <mergeCells count="8">
    <mergeCell ref="A4:E4"/>
    <mergeCell ref="A2:E2"/>
    <mergeCell ref="A25:E25"/>
    <mergeCell ref="A5:E5"/>
    <mergeCell ref="A1:E1"/>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14 — IN Piura</dc:title>
  <dc:subject>Diagnóstico Territorial por bloque de intervención</dc:subject>
  <dcterms:created xsi:type="dcterms:W3CDTF">2026-09-08T03:39:55Z</dcterms:created>
  <dcterms:modified xsi:type="dcterms:W3CDTF">2026-09-09T14:49:41Z</dcterms:modified>
</cp:coreProperties>
</file>