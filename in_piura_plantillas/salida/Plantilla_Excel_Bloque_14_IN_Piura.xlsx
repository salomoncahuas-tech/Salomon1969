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14</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14</t>
        </is>
      </c>
      <c r="C9" s="6" t="inlineStr">
        <is>
          <t>Microcuenca (catálogo)</t>
        </is>
      </c>
      <c r="D9" s="7" t="inlineStr">
        <is>
          <t>C1086-Q9570</t>
        </is>
      </c>
      <c r="E9" s="8" t="n"/>
      <c r="F9" s="8" t="n"/>
    </row>
    <row r="10">
      <c r="A10" s="6" t="inlineStr">
        <is>
          <t>Zona de planificación</t>
        </is>
      </c>
      <c r="B10" s="7" t="inlineStr">
        <is>
          <t>Z04</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Santa Catalina de Mossa</t>
        </is>
      </c>
      <c r="C12" s="6" t="inlineStr">
        <is>
          <t>Capital distrital</t>
        </is>
      </c>
      <c r="D12" s="7" t="inlineStr">
        <is>
          <t>Santa Catalina de Mossa</t>
        </is>
      </c>
      <c r="E12" s="8" t="n"/>
      <c r="F12" s="8" t="n"/>
    </row>
    <row r="13">
      <c r="A13" s="6" t="inlineStr">
        <is>
          <t>Centro poblado asociado</t>
        </is>
      </c>
      <c r="B13" s="7" t="inlineStr">
        <is>
          <t>Overazal / La Laja (CC.PP. del bloque); caserío Las Vegas (próximo)</t>
        </is>
      </c>
      <c r="C13" s="6" t="inlineStr">
        <is>
          <t>Comunidad campesina</t>
        </is>
      </c>
      <c r="D13" s="7" t="inlineStr">
        <is>
          <t>Predios de propiedad privada, comunal y del Estado</t>
        </is>
      </c>
      <c r="E13" s="8" t="n"/>
      <c r="F13" s="8" t="n"/>
    </row>
    <row r="14">
      <c r="A14" s="6" t="inlineStr">
        <is>
          <t>Superficie de catálogo (V5/V6), ha</t>
        </is>
      </c>
      <c r="B14" s="7" t="n">
        <v>92.90000000000001</v>
      </c>
      <c r="C14" s="6" t="inlineStr">
        <is>
          <t>Fuente de superficie</t>
        </is>
      </c>
      <c r="D14" s="7" t="inlineStr">
        <is>
          <t>Catálogo maestro Bloques V5/V6</t>
        </is>
      </c>
      <c r="E14" s="8" t="n"/>
      <c r="F14" s="8" t="n"/>
    </row>
    <row r="15">
      <c r="A15" s="6" t="inlineStr">
        <is>
          <t>Centroide UTM ESTE (m)</t>
        </is>
      </c>
      <c r="B15" s="7" t="n">
        <v>624397</v>
      </c>
      <c r="C15" s="6" t="inlineStr">
        <is>
          <t>Centroide UTM NORTE (m)</t>
        </is>
      </c>
      <c r="D15" s="7" t="n">
        <v>9437085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87</v>
      </c>
      <c r="C19" s="6" t="inlineStr">
        <is>
          <t>Altitud máxima (msnm)</t>
        </is>
      </c>
      <c r="D19" s="7" t="n">
        <v>1355</v>
      </c>
      <c r="E19" s="8" t="n"/>
      <c r="F19" s="8" t="n"/>
    </row>
    <row r="20">
      <c r="A20" s="6" t="inlineStr">
        <is>
          <t>Amplitud altitudinal (m)</t>
        </is>
      </c>
      <c r="B20" s="7" t="n">
        <v>1268</v>
      </c>
      <c r="C20" s="6" t="inlineStr">
        <is>
          <t>Piso altitudinal dominante</t>
        </is>
      </c>
      <c r="D20" s="7" t="inlineStr">
        <is>
          <t>&lt;1000 m (Yunga)</t>
        </is>
      </c>
      <c r="E20" s="8" t="n"/>
      <c r="F20" s="8" t="n"/>
    </row>
    <row r="21">
      <c r="A21" s="6" t="inlineStr">
        <is>
          <t>Pendiente promedio (%)</t>
        </is>
      </c>
      <c r="B21" s="7" t="n">
        <v>23.75</v>
      </c>
      <c r="C21" s="6" t="inlineStr">
        <is>
          <t>Pendiente promedio (grados)</t>
        </is>
      </c>
      <c r="D21" s="7" t="n">
        <v>13.4</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0.5197000000000001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(58.89 %)</t>
        </is>
      </c>
      <c r="E29" s="8" t="n"/>
      <c r="F29" s="8" t="n"/>
    </row>
    <row r="30">
      <c r="A30" s="6" t="inlineStr">
        <is>
          <t>Superficie clasificada NDVI 2025 (ha)</t>
        </is>
      </c>
      <c r="B30" s="7" t="n">
        <v>92.944</v>
      </c>
      <c r="C30" s="6" t="inlineStr">
        <is>
          <t>Desviación frente al catálogo (%)</t>
        </is>
      </c>
      <c r="D30" s="7" t="n">
        <v>0.05</v>
      </c>
      <c r="E30" s="8" t="n"/>
      <c r="F30" s="8" t="n"/>
    </row>
    <row r="32" ht="18" customHeight="1">
      <c r="A32" s="5" t="inlineStr">
        <is>
          <t>4. ECOSISTEMA Y ESTADO DE CONSERVACIÓN</t>
        </is>
      </c>
    </row>
    <row r="33">
      <c r="A33" s="6" t="inlineStr">
        <is>
          <t>Tipo de ecosistema (UP)</t>
        </is>
      </c>
      <c r="B33" s="7" t="inlineStr">
        <is>
          <t>Matorral Andino semiárido</t>
        </is>
      </c>
      <c r="C33" s="6" t="inlineStr">
        <is>
          <t>Superficie de ecosistema (ha)</t>
        </is>
      </c>
      <c r="D33" s="7" t="inlineStr">
        <is>
          <t>69.66 ha Matorral andino (~75%) + 23.25 ha Zona agrícola (~25%); total 92.90 ha</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65</v>
      </c>
      <c r="E35" s="8" t="n"/>
      <c r="F35" s="8" t="n"/>
    </row>
    <row r="36">
      <c r="A36" s="6" t="inlineStr">
        <is>
          <t>Suelo desnudo — campo (%)</t>
        </is>
      </c>
      <c r="B36" s="7" t="n">
        <v>15</v>
      </c>
      <c r="C36" s="6" t="inlineStr">
        <is>
          <t>Regeneración natural</t>
        </is>
      </c>
      <c r="D36" s="7" t="inlineStr">
        <is>
          <t>Regular (10-50 pl./100m²)</t>
        </is>
      </c>
      <c r="E36" s="8" t="n"/>
      <c r="F36" s="8" t="n"/>
    </row>
    <row r="37">
      <c r="A37" s="6" t="inlineStr">
        <is>
          <t>Nivel general de erosión</t>
        </is>
      </c>
      <c r="B37" s="7" t="inlineStr">
        <is>
          <t>Moderada (surcos)</t>
        </is>
      </c>
      <c r="C37" s="6" t="inlineStr">
        <is>
          <t>N.° de cárcavas registradas</t>
        </is>
      </c>
      <c r="D37" s="7" t="n">
        <v>3</v>
      </c>
      <c r="E37" s="8" t="n"/>
      <c r="F37" s="8" t="n"/>
    </row>
    <row r="38">
      <c r="A38" s="6" t="inlineStr">
        <is>
          <t>Elenco florístico (n.° de taxones)</t>
        </is>
      </c>
      <c r="B38" s="7" t="n">
        <v>14</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 / Ing. Pedro Talledo Hernández</t>
        </is>
      </c>
      <c r="C41" s="6" t="inlineStr">
        <is>
          <t>Fecha de evaluación</t>
        </is>
      </c>
      <c r="D41" s="7" t="inlineStr">
        <is>
          <t>2026-06-03</t>
        </is>
      </c>
      <c r="E41" s="8" t="n"/>
      <c r="F41" s="8" t="n"/>
    </row>
    <row r="42">
      <c r="A42" s="6" t="inlineStr">
        <is>
          <t>Hora de registro</t>
        </is>
      </c>
      <c r="B42" s="7" t="inlineStr">
        <is>
          <t>10:00 a.m. (aprox.)</t>
        </is>
      </c>
      <c r="C42" s="6" t="inlineStr">
        <is>
          <t>Correlativo de ficha</t>
        </is>
      </c>
      <c r="D42" s="7" t="inlineStr">
        <is>
          <t>DT-B14</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Recorrido a pie del bloque (rápido)</t>
        </is>
      </c>
      <c r="E44" s="8" t="n"/>
      <c r="F44" s="8" t="n"/>
    </row>
    <row r="45">
      <c r="A45" s="6" t="inlineStr">
        <is>
          <t>Estaciones fotográficas georreferenciadas</t>
        </is>
      </c>
      <c r="B45" s="7" t="n">
        <v>16</v>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Economía de subsistencia familiar (ganadería + agricultura) sobre suelos frágiles, con débil ordenamiento del uso</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14</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0.51974</v>
      </c>
      <c r="C15" s="17" t="inlineStr">
        <is>
          <t>—</t>
        </is>
      </c>
      <c r="D15" s="17" t="inlineStr">
        <is>
          <t>Vigor moderado · clase 0.4976 - 0.6139</t>
        </is>
      </c>
      <c r="E15" s="17" t="inlineStr">
        <is>
          <t>Sobre umbral</t>
        </is>
      </c>
    </row>
    <row r="17" ht="72" customHeight="1">
      <c r="A17" s="9" t="inlineStr">
        <is>
          <t>NOTA METODOLÓGICA. La media del MSAVI 2024 del bloque (0.519740)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54.7331</v>
      </c>
      <c r="C21" s="19" t="n">
        <v>58.89</v>
      </c>
      <c r="D21" s="11" t="inlineStr">
        <is>
          <t>Dosel continuo, matorral denso o mosaico agroforestal</t>
        </is>
      </c>
      <c r="E21" s="11" t="inlineStr"/>
    </row>
    <row r="22">
      <c r="A22" s="14" t="inlineStr">
        <is>
          <t>Vegetación mediana</t>
        </is>
      </c>
      <c r="B22" s="20" t="n">
        <v>33.9957</v>
      </c>
      <c r="C22" s="21" t="n">
        <v>36.58</v>
      </c>
      <c r="D22" s="15" t="inlineStr">
        <is>
          <t>Pastizal cultivado, matorral ralo, parcelas agrícolas</t>
        </is>
      </c>
      <c r="E22" s="15" t="inlineStr"/>
    </row>
    <row r="23">
      <c r="A23" s="7" t="inlineStr">
        <is>
          <t>Vegetación ligera</t>
        </is>
      </c>
      <c r="B23" s="18" t="n">
        <v>4.2106</v>
      </c>
      <c r="C23" s="19" t="n">
        <v>4.53</v>
      </c>
      <c r="D23" s="11" t="inlineStr">
        <is>
          <t>Cobertura discontinua, suelo parcialmente expuesto</t>
        </is>
      </c>
      <c r="E23" s="11" t="inlineStr"/>
    </row>
    <row r="24">
      <c r="A24" s="14" t="inlineStr">
        <is>
          <t>Tierra desnuda</t>
        </is>
      </c>
      <c r="B24" s="20" t="n">
        <v>0.0043</v>
      </c>
      <c r="C24" s="21" t="n">
        <v>0</v>
      </c>
      <c r="D24" s="15" t="inlineStr">
        <is>
          <t>Suelo desnudo, afloramientos, plataformas y taludes</t>
        </is>
      </c>
      <c r="E24" s="15" t="inlineStr"/>
    </row>
    <row r="25">
      <c r="A25" s="16" t="inlineStr">
        <is>
          <t>TOTAL CLASIFICADO</t>
        </is>
      </c>
      <c r="B25" s="22">
        <f>SUM(B21:B24)</f>
        <v/>
      </c>
      <c r="C25" s="23">
        <f>SUM(C21:C24)</f>
        <v/>
      </c>
      <c r="D25" s="17" t="inlineStr"/>
      <c r="E25" s="17" t="inlineStr"/>
    </row>
    <row r="26">
      <c r="A26" s="24" t="inlineStr">
        <is>
          <t>Superficie de catálogo (V5/V6)</t>
        </is>
      </c>
      <c r="B26" s="25" t="n">
        <v>92.90000000000001</v>
      </c>
      <c r="C26" s="25" t="inlineStr">
        <is>
          <t>—</t>
        </is>
      </c>
      <c r="D26" s="25" t="inlineStr">
        <is>
          <t>Desviación planimétrica frente al catálogo</t>
        </is>
      </c>
      <c r="E26" s="25" t="inlineStr">
        <is>
          <t>+0.05 %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58.89 % del polígono clasificado como «Vegetación alta» por el NDVI 2025; la observación de campo corresponde a una parcela o recorrido puntual y no es estadísticamente representativa de las 92.900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14</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624625</v>
      </c>
      <c r="D10" s="26" t="n">
        <v>9437569</v>
      </c>
      <c r="E10" s="11" t="n">
        <v>535</v>
      </c>
      <c r="F10" s="11" t="inlineStr"/>
      <c r="G10" s="11" t="inlineStr">
        <is>
          <t>Coordenada consignada en F-DT-01</t>
        </is>
      </c>
    </row>
    <row r="11">
      <c r="A11" s="14" t="inlineStr">
        <is>
          <t>C-01</t>
        </is>
      </c>
      <c r="B11" s="15" t="inlineStr">
        <is>
          <t>Rasgo erosivo — Cárcava somera (0.5-2 m)</t>
        </is>
      </c>
      <c r="C11" s="27" t="n">
        <v>624582</v>
      </c>
      <c r="D11" s="27" t="n">
        <v>9437598</v>
      </c>
      <c r="E11" s="15" t="n">
        <v>545.3</v>
      </c>
      <c r="F11" s="15" t="inlineStr">
        <is>
          <t>Activa</t>
        </is>
      </c>
      <c r="G11" s="15" t="inlineStr">
        <is>
          <t>Caminos / huellas de ganado</t>
        </is>
      </c>
    </row>
    <row r="12">
      <c r="A12" s="7" t="inlineStr">
        <is>
          <t>C-02</t>
        </is>
      </c>
      <c r="B12" s="11" t="inlineStr">
        <is>
          <t>Rasgo erosivo — Cárcava incipiente (30-50 cm)</t>
        </is>
      </c>
      <c r="C12" s="26" t="n">
        <v>624527</v>
      </c>
      <c r="D12" s="26" t="n">
        <v>9437653</v>
      </c>
      <c r="E12" s="11" t="n">
        <v>582.7</v>
      </c>
      <c r="F12" s="11" t="inlineStr">
        <is>
          <t>Activa</t>
        </is>
      </c>
      <c r="G12" s="11" t="inlineStr">
        <is>
          <t>Concentración natural de escorrentía</t>
        </is>
      </c>
    </row>
    <row r="13">
      <c r="A13" s="14" t="inlineStr">
        <is>
          <t>C-03</t>
        </is>
      </c>
      <c r="B13" s="15" t="inlineStr">
        <is>
          <t>Rasgo erosivo — Cárcava incipiente (30-50 cm)</t>
        </is>
      </c>
      <c r="C13" s="27" t="n">
        <v>624651</v>
      </c>
      <c r="D13" s="27" t="n">
        <v>9438013</v>
      </c>
      <c r="E13" s="15" t="n">
        <v>962.1</v>
      </c>
      <c r="F13" s="15" t="inlineStr">
        <is>
          <t>Activa</t>
        </is>
      </c>
      <c r="G13" s="15" t="inlineStr">
        <is>
          <t>Caminos / huellas de ganado</t>
        </is>
      </c>
    </row>
    <row r="14">
      <c r="A14" s="7" t="inlineStr">
        <is>
          <t>H-01</t>
        </is>
      </c>
      <c r="B14" s="11" t="inlineStr">
        <is>
          <t>Fuente de agua — Quebrada estacional</t>
        </is>
      </c>
      <c r="C14" s="26" t="n"/>
      <c r="D14" s="26" t="n"/>
      <c r="E14" s="11" t="inlineStr"/>
      <c r="F14" s="11" t="inlineStr">
        <is>
          <t>Estacional (lluvias)</t>
        </is>
      </c>
      <c r="G14" s="11" t="inlineStr">
        <is>
          <t>Drenaje natural del eje oeste</t>
        </is>
      </c>
    </row>
    <row r="15">
      <c r="A15" s="14" t="inlineStr">
        <is>
          <t>B-01</t>
        </is>
      </c>
      <c r="B15" s="15" t="inlineStr">
        <is>
          <t>Especie clave — Podocarpus sp. (Ulcumano/Galilea)</t>
        </is>
      </c>
      <c r="C15" s="27" t="n">
        <v>624625</v>
      </c>
      <c r="D15" s="27" t="n">
        <v>9437569</v>
      </c>
      <c r="E15" s="15" t="n">
        <v>535</v>
      </c>
      <c r="F15" s="15" t="inlineStr">
        <is>
          <t>Indicadora de buen estado</t>
        </is>
      </c>
      <c r="G15" s="15" t="inlineStr">
        <is>
          <t>NE</t>
        </is>
      </c>
    </row>
    <row r="16">
      <c r="A16" s="7" t="inlineStr">
        <is>
          <t>B-02</t>
        </is>
      </c>
      <c r="B16" s="11" t="inlineStr">
        <is>
          <t>Especie clave — Ficus sp. (Higuerón)</t>
        </is>
      </c>
      <c r="C16" s="26" t="n">
        <v>624658</v>
      </c>
      <c r="D16" s="26" t="n">
        <v>9438080</v>
      </c>
      <c r="E16" s="11" t="n">
        <v>1028.7</v>
      </c>
      <c r="F16" s="11" t="inlineStr">
        <is>
          <t>Indicadora de buen estado</t>
        </is>
      </c>
      <c r="G16" s="11" t="inlineStr">
        <is>
          <t>LC</t>
        </is>
      </c>
    </row>
    <row r="17">
      <c r="A17" s="14" t="inlineStr">
        <is>
          <t>B-03</t>
        </is>
      </c>
      <c r="B17" s="15" t="inlineStr">
        <is>
          <t>Especie clave — Vachellia macracantha (Faique)</t>
        </is>
      </c>
      <c r="C17" s="27" t="n">
        <v>624581</v>
      </c>
      <c r="D17" s="27" t="n">
        <v>9437615</v>
      </c>
      <c r="E17" s="15" t="n">
        <v>561</v>
      </c>
      <c r="F17" s="15" t="inlineStr">
        <is>
          <t>Amenazada D.S. 043</t>
        </is>
      </c>
      <c r="G17" s="15" t="inlineStr">
        <is>
          <t>NT — Casi Amenazado</t>
        </is>
      </c>
    </row>
    <row r="18">
      <c r="A18" s="16" t="inlineStr">
        <is>
          <t>TOTAL: 8 puntos</t>
        </is>
      </c>
      <c r="B18" s="17" t="inlineStr"/>
      <c r="C18" s="17" t="inlineStr"/>
      <c r="D18" s="17" t="inlineStr"/>
      <c r="E18" s="17" t="inlineStr"/>
      <c r="F18" s="17" t="inlineStr"/>
      <c r="G18" s="17" t="inlineStr"/>
    </row>
    <row r="20">
      <c r="A20" s="6" t="inlineStr">
        <is>
          <t>Centroide del bloque — UTM ESTE (m)</t>
        </is>
      </c>
      <c r="B20" s="7" t="n">
        <v>624397</v>
      </c>
      <c r="C20" s="6" t="inlineStr">
        <is>
          <t>Centroide del bloque — UTM NORTE (m)</t>
        </is>
      </c>
      <c r="D20" s="7" t="n">
        <v>9437085</v>
      </c>
      <c r="E20" s="8" t="n"/>
      <c r="F20" s="8" t="n"/>
      <c r="G20" s="8" t="n"/>
      <c r="H20" s="8" t="n"/>
    </row>
    <row r="21">
      <c r="A21" s="6" t="inlineStr">
        <is>
          <t>N.° de estaciones fotográficas declaradas</t>
        </is>
      </c>
      <c r="B21" s="7" t="n">
        <v>16</v>
      </c>
      <c r="C21" s="6" t="inlineStr">
        <is>
          <t>Estaciones dentro del polígono</t>
        </is>
      </c>
      <c r="D21" s="7" t="inlineStr">
        <is>
          <t>Por determinar</t>
        </is>
      </c>
      <c r="E21" s="8" t="n"/>
      <c r="F21" s="8" t="n"/>
      <c r="G21" s="8" t="n"/>
      <c r="H21" s="8" t="n"/>
    </row>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Verificado el 02-03/06/2026. Acceso desde la carretera PI-805, empalme con trocha carrozable y camino de herradura. Pendiente media de transecto = 20.3% (máx 36.8%); altitud del transecto 1016-1197 msnm. Inestabilidad concentrada en taludes de corte del camino; deslizamiento localizado que volcó un faique. Discrepancia toponímica: los CC.PP. titulares en la tabla maestra son La Laja y Overazal, mientras la cartografía rotula «Brasal», «Las Velas/Las Vegas» y «Laguna La Román».</t>
        </is>
      </c>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14</t>
        </is>
      </c>
    </row>
    <row r="6" ht="24" customHeight="1">
      <c r="A6" s="4" t="inlineStr">
        <is>
          <t>Distrito de Santa Catalina de Mossa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12</t>
        </is>
      </c>
      <c r="B10" s="28" t="n">
        <v>119.54</v>
      </c>
      <c r="C10" s="19" t="n">
        <v>14</v>
      </c>
      <c r="D10" s="11" t="inlineStr">
        <is>
          <t>672 – 2244</t>
        </is>
      </c>
      <c r="E10" s="11" t="n">
        <v>1572</v>
      </c>
      <c r="F10" s="11" t="n">
        <v>27.41</v>
      </c>
      <c r="G10" s="18" t="n">
        <v>0.7067</v>
      </c>
      <c r="H10" s="19" t="n">
        <v>99.93000000000001</v>
      </c>
    </row>
    <row r="11">
      <c r="A11" s="14" t="inlineStr">
        <is>
          <t>11</t>
        </is>
      </c>
      <c r="B11" s="29" t="n">
        <v>103.95</v>
      </c>
      <c r="C11" s="21" t="n">
        <v>12.17</v>
      </c>
      <c r="D11" s="15" t="inlineStr">
        <is>
          <t>1375 – 1928</t>
        </is>
      </c>
      <c r="E11" s="15" t="n">
        <v>553</v>
      </c>
      <c r="F11" s="15" t="n">
        <v>32.19</v>
      </c>
      <c r="G11" s="20" t="n">
        <v>0.6047</v>
      </c>
      <c r="H11" s="21" t="n">
        <v>75.28</v>
      </c>
    </row>
    <row r="12">
      <c r="A12" s="7" t="inlineStr">
        <is>
          <t>17</t>
        </is>
      </c>
      <c r="B12" s="28" t="n">
        <v>96.08</v>
      </c>
      <c r="C12" s="19" t="n">
        <v>11.25</v>
      </c>
      <c r="D12" s="11" t="inlineStr">
        <is>
          <t>1253 – 1880</t>
        </is>
      </c>
      <c r="E12" s="11" t="n">
        <v>627</v>
      </c>
      <c r="F12" s="11" t="n">
        <v>35.56</v>
      </c>
      <c r="G12" s="18" t="n">
        <v>0.6479</v>
      </c>
      <c r="H12" s="19" t="n">
        <v>88.68000000000001</v>
      </c>
    </row>
    <row r="13">
      <c r="A13" s="12" t="inlineStr">
        <is>
          <t>► 14</t>
        </is>
      </c>
      <c r="B13" s="30" t="n">
        <v>92.90000000000001</v>
      </c>
      <c r="C13" s="31" t="n">
        <v>10.88</v>
      </c>
      <c r="D13" s="13" t="inlineStr">
        <is>
          <t>87 – 1355</t>
        </is>
      </c>
      <c r="E13" s="13" t="n">
        <v>1268</v>
      </c>
      <c r="F13" s="13" t="n">
        <v>23.75</v>
      </c>
      <c r="G13" s="32" t="n">
        <v>0.5197000000000001</v>
      </c>
      <c r="H13" s="31" t="n">
        <v>58.89</v>
      </c>
    </row>
    <row r="14">
      <c r="A14" s="7" t="inlineStr">
        <is>
          <t>15</t>
        </is>
      </c>
      <c r="B14" s="28" t="n">
        <v>86.15000000000001</v>
      </c>
      <c r="C14" s="19" t="n">
        <v>10.09</v>
      </c>
      <c r="D14" s="11" t="inlineStr">
        <is>
          <t>1199 – 1655</t>
        </is>
      </c>
      <c r="E14" s="11" t="n">
        <v>456</v>
      </c>
      <c r="F14" s="11" t="n">
        <v>26.19</v>
      </c>
      <c r="G14" s="18" t="n">
        <v>0.5605</v>
      </c>
      <c r="H14" s="19" t="n">
        <v>56.47</v>
      </c>
    </row>
    <row r="15">
      <c r="A15" s="14" t="inlineStr">
        <is>
          <t>23</t>
        </is>
      </c>
      <c r="B15" s="29" t="n">
        <v>81.78</v>
      </c>
      <c r="C15" s="21" t="n">
        <v>9.58</v>
      </c>
      <c r="D15" s="15" t="inlineStr">
        <is>
          <t>521 – 973</t>
        </is>
      </c>
      <c r="E15" s="15" t="n">
        <v>452</v>
      </c>
      <c r="F15" s="15" t="n">
        <v>35.28</v>
      </c>
      <c r="G15" s="20" t="n">
        <v>0.5731000000000001</v>
      </c>
      <c r="H15" s="21" t="n">
        <v>47.99</v>
      </c>
    </row>
    <row r="16">
      <c r="A16" s="7" t="inlineStr">
        <is>
          <t>42</t>
        </is>
      </c>
      <c r="B16" s="28" t="n">
        <v>80.62</v>
      </c>
      <c r="C16" s="19" t="n">
        <v>9.44</v>
      </c>
      <c r="D16" s="11" t="inlineStr">
        <is>
          <t>1131 – 1548</t>
        </is>
      </c>
      <c r="E16" s="11" t="n">
        <v>417</v>
      </c>
      <c r="F16" s="11" t="n">
        <v>27.86</v>
      </c>
      <c r="G16" s="18" t="n">
        <v>0.6348</v>
      </c>
      <c r="H16" s="19" t="n">
        <v>88.83</v>
      </c>
    </row>
    <row r="17">
      <c r="A17" s="14" t="inlineStr">
        <is>
          <t>M19B2</t>
        </is>
      </c>
      <c r="B17" s="29" t="n">
        <v>74.37</v>
      </c>
      <c r="C17" s="21" t="n">
        <v>8.710000000000001</v>
      </c>
      <c r="D17" s="15" t="inlineStr">
        <is>
          <t>203 – 523</t>
        </is>
      </c>
      <c r="E17" s="15" t="n">
        <v>320</v>
      </c>
      <c r="F17" s="15" t="n">
        <v>21.71</v>
      </c>
      <c r="G17" s="20" t="n">
        <v>0.4012</v>
      </c>
      <c r="H17" s="21" t="n">
        <v>1.28</v>
      </c>
    </row>
    <row r="18">
      <c r="A18" s="7" t="inlineStr">
        <is>
          <t>82</t>
        </is>
      </c>
      <c r="B18" s="28" t="n">
        <v>35.66</v>
      </c>
      <c r="C18" s="19" t="n">
        <v>4.18</v>
      </c>
      <c r="D18" s="11" t="inlineStr">
        <is>
          <t>1796 – 2098</t>
        </is>
      </c>
      <c r="E18" s="11" t="n">
        <v>302</v>
      </c>
      <c r="F18" s="11" t="n">
        <v>23.55</v>
      </c>
      <c r="G18" s="18" t="n">
        <v>0.6283</v>
      </c>
      <c r="H18" s="19" t="n">
        <v>90.06999999999999</v>
      </c>
    </row>
    <row r="19">
      <c r="A19" s="14" t="inlineStr">
        <is>
          <t>78</t>
        </is>
      </c>
      <c r="B19" s="29" t="n">
        <v>35.1</v>
      </c>
      <c r="C19" s="21" t="n">
        <v>4.11</v>
      </c>
      <c r="D19" s="15" t="inlineStr">
        <is>
          <t>1908 – 2236</t>
        </is>
      </c>
      <c r="E19" s="15" t="n">
        <v>328</v>
      </c>
      <c r="F19" s="15" t="n">
        <v>30.64</v>
      </c>
      <c r="G19" s="20" t="n">
        <v>0.7074</v>
      </c>
      <c r="H19" s="21" t="n">
        <v>89.33</v>
      </c>
    </row>
    <row r="20">
      <c r="A20" s="7" t="inlineStr">
        <is>
          <t>M19B7</t>
        </is>
      </c>
      <c r="B20" s="28" t="n">
        <v>34.17</v>
      </c>
      <c r="C20" s="19" t="n">
        <v>4</v>
      </c>
      <c r="D20" s="11" t="inlineStr">
        <is>
          <t>1213 – 1578</t>
        </is>
      </c>
      <c r="E20" s="11" t="n">
        <v>365</v>
      </c>
      <c r="F20" s="11" t="n">
        <v>28.15</v>
      </c>
      <c r="G20" s="18" t="n">
        <v>0.5919</v>
      </c>
      <c r="H20" s="19" t="n">
        <v>78.52</v>
      </c>
    </row>
    <row r="21">
      <c r="A21" s="14" t="inlineStr">
        <is>
          <t>59</t>
        </is>
      </c>
      <c r="B21" s="29" t="n">
        <v>13.55</v>
      </c>
      <c r="C21" s="21" t="n">
        <v>1.59</v>
      </c>
      <c r="D21" s="15" t="inlineStr">
        <is>
          <t>2045 – 2218</t>
        </is>
      </c>
      <c r="E21" s="15" t="n">
        <v>173</v>
      </c>
      <c r="F21" s="15" t="n">
        <v>29.85</v>
      </c>
      <c r="G21" s="20" t="n">
        <v>0.6147</v>
      </c>
      <c r="H21" s="21" t="n">
        <v>86.56999999999999</v>
      </c>
    </row>
    <row r="22">
      <c r="A22" s="16" t="inlineStr">
        <is>
          <t>TOTAL / PROMEDIO</t>
        </is>
      </c>
      <c r="B22" s="33">
        <f>SUM(B10:B21)</f>
        <v/>
      </c>
      <c r="C22" s="23">
        <f>SUM(C10:C21)</f>
        <v/>
      </c>
      <c r="D22" s="17" t="inlineStr">
        <is>
          <t>87 – 2244</t>
        </is>
      </c>
      <c r="E22" s="17" t="inlineStr"/>
      <c r="F22" s="17">
        <f>ROUND(AVERAGE(F10:F21),2)</f>
        <v/>
      </c>
      <c r="G22" s="22">
        <f>ROUND(AVERAGE(G10:G21),4)</f>
        <v/>
      </c>
      <c r="H22" s="23">
        <f>ROUND(AVERAGE(H10:H21),2)</f>
        <v/>
      </c>
    </row>
    <row r="24" ht="84" customHeight="1">
      <c r="A24" s="9" t="inlineStr">
        <is>
          <t>LECTURA INTRAMICROCUENCA. El bloque 14 ocupa el puesto 4 de 12 por superficie dentro de la microcuenca C1086-Q9570 (10.88 % de las 853.87 ha preliminares de la microcuenca). Su pendiente promedio (23.75 %, clase «15-25% (Fuert. inclinado)») es la 3.ª más baja de 12 y se sitúa por debajo del promedio de la microcuenca (28.51 %). Su MSAVI 2024 (0.5197) es el 11.º de 12 y queda por debajo del promedio local (0.5993). Amplitud altitudinal del bloque: 1268 m (87–1355 msnm). El cuadro conserva todos los bloques catalogados en la microcuenca, incluidos los descartados en el tamizaje, para referencia del conjunto. Los bloques sin ficha DT figuran con sus parámetros de gabinete.</t>
        </is>
      </c>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6:H26"/>
    <mergeCell ref="A24:H24"/>
    <mergeCell ref="A2:H2"/>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14</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«C1086-Q9570»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535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(92.944 ha) coincide con la de catálogo (92.9 ha) dentro del ±2 % (+0.05 %)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23.75 %, que corresponde a la clase «15-25% (Fuert. inclinado)»</t>
        </is>
      </c>
      <c r="D13" s="13"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Rango altitudinal / piso ecológico</t>
        </is>
      </c>
      <c r="C14" s="34" t="inlineStr">
        <is>
          <t>La ficha DT declara «1000-1500 m (Quechua baja)»; el MDE sitúa el bloque entre 87 y 1355 msnm, cuyo punto medio corresponde a «&lt;1000 m (Yunga)»</t>
        </is>
      </c>
      <c r="D14" s="13" t="inlineStr">
        <is>
          <t>NO SUSTANTIVA</t>
        </is>
      </c>
      <c r="E14" s="34" t="inlineStr">
        <is>
          <t>Se declara la divergencia. El bloque abarca más de un piso altitudinal cuando la amplitud supera el ancho de la clase; el registro de campo corresponde al sector recorrido.</t>
        </is>
      </c>
    </row>
    <row r="15" ht="48" customHeight="1">
      <c r="A15" s="36" t="inlineStr">
        <is>
          <t>D-06</t>
        </is>
      </c>
      <c r="B15" s="36" t="inlineStr">
        <is>
          <t>Cobertura vegetal total</t>
        </is>
      </c>
      <c r="C15" s="36" t="inlineStr">
        <is>
          <t>La ficha DT estima 65 % de cobertura vegetal en campo; el NDVI mediana 2025 clasifica 100.00 % del polígono en clases de vegetación</t>
        </is>
      </c>
      <c r="D15" s="13" t="inlineStr">
        <is>
          <t>NO SUSTANTIVA</t>
        </is>
      </c>
      <c r="E15" s="36" t="inlineStr">
        <is>
          <t>Se declaran ambos valores. La observación de campo corresponde a una parcela o recorrido puntual y no es representativa de la totalidad del bloque; el índice espectral no discrimina composición ni integridad ecosistémica.</t>
        </is>
      </c>
    </row>
    <row r="16" ht="48" customHeight="1">
      <c r="A16" s="34" t="inlineStr">
        <is>
          <t>D-07</t>
        </is>
      </c>
      <c r="B16" s="34" t="inlineStr">
        <is>
          <t>Dimensiones del inventario de cárcavas</t>
        </is>
      </c>
      <c r="C16" s="34" t="inlineStr">
        <is>
          <t>Se registran 3 rasgos erosivos, pero longitud, profundidad y ancho no fueron medidos instrumentalmente</t>
        </is>
      </c>
      <c r="D16" s="13" t="inlineStr">
        <is>
          <t>NO SUSTANTIVA</t>
        </is>
      </c>
      <c r="E16" s="34" t="inlineStr">
        <is>
          <t>El conteo registrado no debe usarse para calcular densidad de cárcavas por hectárea. Pendiente de levantamiento con GPS submétrico.</t>
        </is>
      </c>
    </row>
    <row r="17" ht="48" customHeight="1">
      <c r="A17" s="36" t="inlineStr">
        <is>
          <t>D-08</t>
        </is>
      </c>
      <c r="B17" s="36" t="inlineStr">
        <is>
          <t>Elenco florístico</t>
        </is>
      </c>
      <c r="C17" s="36" t="inlineStr">
        <is>
          <t>La ficha registra 14 taxones, por debajo del mínimo de 15 que exige el formato V5</t>
        </is>
      </c>
      <c r="D17" s="37" t="inlineStr">
        <is>
          <t>SUSTANTIVA</t>
        </is>
      </c>
      <c r="E17" s="36" t="inlineStr">
        <is>
          <t>Registro florístico preliminar, sin colecta ni determinación botánica formal. Debe cerrarse con colecta botánica en la siguiente campaña.</t>
        </is>
      </c>
    </row>
    <row r="18" ht="48" customHeight="1">
      <c r="A18" s="34" t="inlineStr">
        <is>
          <t>D-09</t>
        </is>
      </c>
      <c r="B18" s="34" t="inlineStr">
        <is>
          <t>Centro poblado asociado</t>
        </is>
      </c>
      <c r="C18" s="34" t="inlineStr">
        <is>
          <t>La ficha DT declara «Overazal / La Laja (CC.PP. del bloque); caserío Las Vegas (próximo)»; el cruce INEI-Bloques V5 identifica 2 centro(s) poblado(s) en el bloque: LA LAJA, OVERAZAL</t>
        </is>
      </c>
      <c r="D18" s="35" t="inlineStr">
        <is>
          <t>CONFORME</t>
        </is>
      </c>
      <c r="E18" s="34" t="inlineStr">
        <is>
          <t>Se conserva el registro de campo como referencia y se adopta el listado INEI para el diagnóstico social y el cálculo de población beneficiaria.</t>
        </is>
      </c>
    </row>
    <row r="19" ht="48" customHeight="1">
      <c r="A19" s="36" t="inlineStr">
        <is>
          <t>D-10</t>
        </is>
      </c>
      <c r="B19" s="36" t="inlineStr">
        <is>
          <t>Peligro integrado (MCA-AHP)</t>
        </is>
      </c>
      <c r="C19" s="36" t="inlineStr">
        <is>
          <t>El nivel de peligro integrado no está disponible en los insumos de este entregable</t>
        </is>
      </c>
      <c r="D19" s="37" t="inlineStr">
        <is>
          <t>SUSTANTIVA</t>
        </is>
      </c>
      <c r="E19" s="36" t="inlineStr">
        <is>
          <t>Debe tomarse del modelamiento de mesolocalización (PMM + EPH + PGI ponderados por AHP) antes de fijar la prioridad definitiva de intervención del bloque.</t>
        </is>
      </c>
    </row>
    <row r="20" ht="48" customHeight="1">
      <c r="A20" s="34" t="inlineStr">
        <is>
          <t>C-01</t>
        </is>
      </c>
      <c r="B20" s="34" t="inlineStr">
        <is>
          <t>Duplicidad parcial de fichas en el archivo DT</t>
        </is>
      </c>
      <c r="C20" s="34" t="inlineStr">
        <is>
          <t>El PDF del bloque 14 incluye un segundo juego parcial (F-DT-01, 02 y 05) fechado 2026-06-03 con microcuenca C1076-Q9584, C.P. Paltashaco y UTM 645575/9393500, que declara pendiente 50-75%, remociones en masa activas «Sí», erosión «Fuerte (cárcavas incipientes)» y 4 cárcavas someras medidas (14_01 a 14_04, prof. 0.60-0.81 m, ancho 1.65-1.92 m) en el entorno 624527-624651 E / 9437569-9438013 N</t>
        </is>
      </c>
      <c r="D20" s="37" t="inlineStr">
        <is>
          <t>SUSTANTIVA</t>
        </is>
      </c>
      <c r="E20" s="34" t="inlineStr">
        <is>
          <t>Se adopta el primer juego (DT-B14) como registro principal por estar completo. El segundo juego aporta el ÚNICO inventario de cárcavas con dimensiones medidas del bloque y se conserva como anexo; su cabecera (microcuenca, C.P. y UTM del punto de muestreo) es inconsistente con el bloque 14 y debe corregirse</t>
        </is>
      </c>
    </row>
    <row r="22">
      <c r="A22" s="16" t="inlineStr">
        <is>
          <t>RESUMEN</t>
        </is>
      </c>
      <c r="B22" s="17" t="inlineStr">
        <is>
          <t>11 verificaciones</t>
        </is>
      </c>
      <c r="C22" s="17" t="inlineStr">
        <is>
          <t>CONFORME: 4 · NO SUSTANTIVA: 4 · SUSTANTIVA: 3</t>
        </is>
      </c>
      <c r="D22" s="17" t="inlineStr"/>
      <c r="E22" s="17" t="inlineStr"/>
    </row>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4:E2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14 — IN Piura</dc:title>
  <dc:subject>Diagnóstico Territorial por bloque de intervención</dc:subject>
  <dcterms:created xsi:type="dcterms:W3CDTF">2026-09-08T03:39:55Z</dcterms:created>
  <dcterms:modified xsi:type="dcterms:W3CDTF">2026-09-08T03:39:55Z</dcterms:modified>
</cp:coreProperties>
</file>