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Laguna de Paltama</t>
        </is>
      </c>
      <c r="C13" s="6" t="inlineStr">
        <is>
          <t>Comunidad campesina</t>
        </is>
      </c>
      <c r="D13" s="7" t="inlineStr">
        <is>
          <t>Por determinar</t>
        </is>
      </c>
      <c r="E13" s="8" t="n"/>
      <c r="F13" s="8" t="n"/>
    </row>
    <row r="14">
      <c r="A14" s="6" t="inlineStr">
        <is>
          <t>Superficie de catálogo (V5/V6), ha</t>
        </is>
      </c>
      <c r="B14" s="7" t="n">
        <v>83.33</v>
      </c>
      <c r="C14" s="6" t="inlineStr">
        <is>
          <t>Fuente de superficie</t>
        </is>
      </c>
      <c r="D14" s="7" t="inlineStr">
        <is>
          <t>Catálogo maestro Bloques V5/V6</t>
        </is>
      </c>
      <c r="E14" s="8" t="n"/>
      <c r="F14" s="8" t="n"/>
    </row>
    <row r="15">
      <c r="A15" s="6" t="inlineStr">
        <is>
          <t>Centroide UTM ESTE (m)</t>
        </is>
      </c>
      <c r="B15" s="7" t="n">
        <v>652939</v>
      </c>
      <c r="C15" s="6" t="inlineStr">
        <is>
          <t>Centroide UTM NORTE (m)</t>
        </is>
      </c>
      <c r="D15" s="7" t="n">
        <v>9382105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1349</v>
      </c>
      <c r="C19" s="6" t="inlineStr">
        <is>
          <t>Altitud máxima (msnm)</t>
        </is>
      </c>
      <c r="D19" s="7" t="n">
        <v>1746</v>
      </c>
      <c r="E19" s="8" t="n"/>
      <c r="F19" s="8" t="n"/>
    </row>
    <row r="20">
      <c r="A20" s="6" t="inlineStr">
        <is>
          <t>Amplitud altitudinal (m)</t>
        </is>
      </c>
      <c r="B20" s="7" t="n">
        <v>397</v>
      </c>
      <c r="C20" s="6" t="inlineStr">
        <is>
          <t>Piso altitudinal dominante</t>
        </is>
      </c>
      <c r="D20" s="7" t="inlineStr">
        <is>
          <t>1500-2000 m (Quechua media)</t>
        </is>
      </c>
      <c r="E20" s="8" t="n"/>
      <c r="F20" s="8" t="n"/>
    </row>
    <row r="21">
      <c r="A21" s="6" t="inlineStr">
        <is>
          <t>Pendiente promedio (%)</t>
        </is>
      </c>
      <c r="B21" s="7" t="n">
        <v>22.34</v>
      </c>
      <c r="C21" s="6" t="inlineStr">
        <is>
          <t>Pendiente promedio (grados)</t>
        </is>
      </c>
      <c r="D21" s="7" t="n">
        <v>12.6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0.6284</v>
      </c>
      <c r="C28" s="6" t="inlineStr">
        <is>
          <t>MSAVI 2024 — clase de la media</t>
        </is>
      </c>
      <c r="D28" s="7" t="inlineStr">
        <is>
          <t>&gt; 0.6139 (Vigor alto)</t>
        </is>
      </c>
      <c r="E28" s="8" t="n"/>
      <c r="F28" s="8" t="n"/>
    </row>
    <row r="29">
      <c r="A29" s="6" t="inlineStr">
        <is>
          <t>Condición frente al umbral 0.4976</t>
        </is>
      </c>
      <c r="B29" s="7" t="inlineStr">
        <is>
          <t>Sobre umbral · distribución areal: 7.45 % del bloque BAJO el umbral (6.208 ha de 83.330 ha)</t>
        </is>
      </c>
      <c r="C29" s="6" t="inlineStr">
        <is>
          <t>NDVI mediana 2025 — clase modal</t>
        </is>
      </c>
      <c r="D29" s="7" t="inlineStr">
        <is>
          <t>Vegetación alta (94.13 %)</t>
        </is>
      </c>
      <c r="E29" s="8" t="n"/>
      <c r="F29" s="8" t="n"/>
    </row>
    <row r="30">
      <c r="A30" s="6" t="inlineStr">
        <is>
          <t>MSAVI 2024 — superficie BAJO el umbral 0.4976 (ha)</t>
        </is>
      </c>
      <c r="B30" s="7" t="n">
        <v>6.208</v>
      </c>
      <c r="C30" s="6" t="inlineStr">
        <is>
          <t>MSAVI 2024 — % del bloque BAJO el umbral</t>
        </is>
      </c>
      <c r="D30" s="7" t="n">
        <v>7.45</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(16.png)</t>
        </is>
      </c>
      <c r="E31" s="8" t="n"/>
      <c r="F31" s="8" t="n"/>
    </row>
    <row r="32" ht="18" customHeight="1">
      <c r="A32" s="6" t="inlineStr">
        <is>
          <t>Superficie clasificada NDVI 2025 (ha)</t>
        </is>
      </c>
      <c r="B32" s="7" t="n">
        <v>83.346</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Por determinar</t>
        </is>
      </c>
      <c r="E35" s="8" t="n"/>
      <c r="F35" s="8" t="n"/>
    </row>
    <row r="36">
      <c r="A36" s="6" t="inlineStr">
        <is>
          <t>Estado de conservación</t>
        </is>
      </c>
      <c r="B36" s="7" t="inlineStr">
        <is>
          <t>Medianamente alterado</t>
        </is>
      </c>
      <c r="C36" s="6" t="inlineStr">
        <is>
          <t>Uso actual dominante del suelo</t>
        </is>
      </c>
      <c r="D36" s="7" t="inlineStr">
        <is>
          <t>Forestal protección</t>
        </is>
      </c>
      <c r="E36" s="8" t="n"/>
      <c r="F36" s="8" t="n"/>
    </row>
    <row r="37">
      <c r="A37" s="6" t="inlineStr">
        <is>
          <t>Tipo de cobertura dominante</t>
        </is>
      </c>
      <c r="B37" s="7" t="inlineStr">
        <is>
          <t>Matorral denso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Por determinar</t>
        </is>
      </c>
      <c r="E38" s="8" t="n"/>
      <c r="F38" s="8" t="n"/>
    </row>
    <row r="39">
      <c r="A39" s="6" t="inlineStr">
        <is>
          <t>Nivel general de erosión</t>
        </is>
      </c>
      <c r="B39" s="7" t="inlineStr">
        <is>
          <t>Ligera (laminar)</t>
        </is>
      </c>
      <c r="C39" s="6" t="inlineStr">
        <is>
          <t>N.° de cárcavas registradas</t>
        </is>
      </c>
      <c r="D39" s="7" t="inlineStr">
        <is>
          <t>Por determinar</t>
        </is>
      </c>
      <c r="E39" s="8" t="n"/>
      <c r="F39" s="8" t="n"/>
    </row>
    <row r="40" ht="18" customHeight="1">
      <c r="A40" s="6" t="inlineStr">
        <is>
          <t>Elenco florístico (n.° de taxones)</t>
        </is>
      </c>
      <c r="B40" s="7" t="n">
        <v>7</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Brigada SESDI – IN Piura</t>
        </is>
      </c>
      <c r="C43" s="6" t="inlineStr">
        <is>
          <t>Fecha de evaluación</t>
        </is>
      </c>
      <c r="D43" s="7" t="inlineStr">
        <is>
          <t>2026-08-12</t>
        </is>
      </c>
      <c r="E43" s="8" t="n"/>
      <c r="F43" s="8" t="n"/>
    </row>
    <row r="44">
      <c r="A44" s="6" t="inlineStr">
        <is>
          <t>Hora de registro</t>
        </is>
      </c>
      <c r="B44" s="7" t="inlineStr">
        <is>
          <t>15:42 - 15:52 h</t>
        </is>
      </c>
      <c r="C44" s="6" t="inlineStr">
        <is>
          <t>Correlativo de ficha</t>
        </is>
      </c>
      <c r="D44" s="7" t="inlineStr">
        <is>
          <t>F-DT-01-B16-2026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6</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de borde asociada al corredor vial y al pastoreo extensivo del entorno del C.P. Laguna de Paltama</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48.2397</v>
      </c>
      <c r="C10" s="31" t="n">
        <v>57.89</v>
      </c>
      <c r="D10" s="12" t="inlineStr">
        <is>
          <t>Vigor alto</t>
        </is>
      </c>
      <c r="E10" s="12" t="inlineStr">
        <is>
          <t>Sobre umbral</t>
        </is>
      </c>
    </row>
    <row r="11">
      <c r="A11" s="13" t="inlineStr">
        <is>
          <t>0.4976 - 0.6139</t>
        </is>
      </c>
      <c r="B11" s="20" t="n">
        <v>28.8822</v>
      </c>
      <c r="C11" s="21" t="n">
        <v>34.66</v>
      </c>
      <c r="D11" s="14" t="inlineStr">
        <is>
          <t>Vigor moderado</t>
        </is>
      </c>
      <c r="E11" s="14" t="inlineStr">
        <is>
          <t>Sobre umbral</t>
        </is>
      </c>
    </row>
    <row r="12">
      <c r="A12" s="7" t="inlineStr">
        <is>
          <t>0.3813 - 0.4976</t>
        </is>
      </c>
      <c r="B12" s="18" t="n">
        <v>6.0248</v>
      </c>
      <c r="C12" s="19" t="n">
        <v>7.23</v>
      </c>
      <c r="D12" s="15" t="inlineStr">
        <is>
          <t>Vigor bajo</t>
        </is>
      </c>
      <c r="E12" s="15" t="inlineStr">
        <is>
          <t>BAJO umbral 0.4976</t>
        </is>
      </c>
    </row>
    <row r="13">
      <c r="A13" s="13" t="inlineStr">
        <is>
          <t>0.2650 - 0.3813</t>
        </is>
      </c>
      <c r="B13" s="20" t="n">
        <v>0.1833</v>
      </c>
      <c r="C13" s="21" t="n">
        <v>0.22</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0.628423</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78.4551</v>
      </c>
      <c r="C22" s="19" t="n">
        <v>94.13</v>
      </c>
      <c r="D22" s="15" t="inlineStr">
        <is>
          <t>Dosel continuo, matorral denso o mosaico agroforestal</t>
        </is>
      </c>
      <c r="E22" s="15" t="inlineStr"/>
    </row>
    <row r="23">
      <c r="A23" s="13" t="inlineStr">
        <is>
          <t>Vegetación mediana</t>
        </is>
      </c>
      <c r="B23" s="20" t="n">
        <v>4.8709</v>
      </c>
      <c r="C23" s="21" t="n">
        <v>5.84</v>
      </c>
      <c r="D23" s="14" t="inlineStr">
        <is>
          <t>Pastizal cultivado, matorral ralo, parcelas agrícolas</t>
        </is>
      </c>
      <c r="E23" s="14" t="inlineStr"/>
    </row>
    <row r="24">
      <c r="A24" s="7" t="inlineStr">
        <is>
          <t>Vegetación ligera</t>
        </is>
      </c>
      <c r="B24" s="18" t="n">
        <v>0.0199</v>
      </c>
      <c r="C24" s="19" t="n">
        <v>0.02</v>
      </c>
      <c r="D24" s="15" t="inlineStr">
        <is>
          <t>Cobertura discontinua, suelo parcialmente expuesto</t>
        </is>
      </c>
      <c r="E24" s="15" t="inlineStr"/>
    </row>
    <row r="25">
      <c r="A25" s="16" t="inlineStr">
        <is>
          <t>TOTAL CLASIFICADO</t>
        </is>
      </c>
      <c r="B25" s="22">
        <f>SUM(B21:B23)</f>
        <v/>
      </c>
      <c r="C25" s="23">
        <f>SUM(C21:C23)</f>
        <v/>
      </c>
      <c r="D25" s="17" t="inlineStr"/>
      <c r="E25" s="17" t="inlineStr"/>
    </row>
    <row r="26">
      <c r="A26" s="24" t="inlineStr">
        <is>
          <t>Superficie de catálogo (V5/V6)</t>
        </is>
      </c>
      <c r="B26" s="25" t="n">
        <v>83.33</v>
      </c>
      <c r="C26" s="25" t="inlineStr">
        <is>
          <t>—</t>
        </is>
      </c>
      <c r="D26" s="25" t="inlineStr">
        <is>
          <t>Desviación planimétrica frente al catálogo</t>
        </is>
      </c>
      <c r="E26" s="25" t="inlineStr">
        <is>
          <t>+0.02 %</t>
        </is>
      </c>
    </row>
    <row r="27" ht="72"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16</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652674</v>
      </c>
      <c r="D10" s="26" t="n">
        <v>9382061</v>
      </c>
      <c r="E10" s="15" t="n">
        <v>268.6</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Red de vaguadas tributarias</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652939</v>
      </c>
      <c r="C14" s="6" t="inlineStr">
        <is>
          <t>Centroide del bloque — UTM NORTE (m)</t>
        </is>
      </c>
      <c r="D14" s="7" t="n">
        <v>9382105</v>
      </c>
      <c r="E14" s="8" t="n"/>
      <c r="F14" s="8" t="n"/>
      <c r="G14" s="8" t="n"/>
      <c r="H14" s="8" t="n"/>
    </row>
    <row r="15">
      <c r="A15" s="6" t="inlineStr">
        <is>
          <t>N.° de estaciones fotográficas declaradas</t>
        </is>
      </c>
      <c r="B15" s="7" t="n">
        <v>6</v>
      </c>
      <c r="C15" s="6" t="inlineStr">
        <is>
          <t>Estaciones dentro del polígono</t>
        </is>
      </c>
      <c r="D15" s="7" t="n">
        <v>0</v>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LAS SEIS ESTACIONES SE UBICAN FUERA DEL POLÍGONO (de ~47 m a ~332 m del borde): el interior del bloque no ha sido verificado.</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16</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5" t="inlineStr">
        <is>
          <t>912 – 1510</t>
        </is>
      </c>
      <c r="E10" s="15" t="n">
        <v>598</v>
      </c>
      <c r="F10" s="15" t="n">
        <v>27.39</v>
      </c>
      <c r="G10" s="18" t="n">
        <v>0.5465</v>
      </c>
      <c r="H10" s="19" t="n">
        <v>85.18000000000001</v>
      </c>
    </row>
    <row r="11">
      <c r="A11" s="13" t="inlineStr">
        <is>
          <t>8</t>
        </is>
      </c>
      <c r="B11" s="29" t="n">
        <v>126.95</v>
      </c>
      <c r="C11" s="21" t="n">
        <v>24.23</v>
      </c>
      <c r="D11" s="14" t="inlineStr">
        <is>
          <t>1504 – 1970</t>
        </is>
      </c>
      <c r="E11" s="14" t="n">
        <v>466</v>
      </c>
      <c r="F11" s="14" t="n">
        <v>29.85</v>
      </c>
      <c r="G11" s="20" t="n">
        <v>0.5548</v>
      </c>
      <c r="H11" s="21" t="n">
        <v>72.25</v>
      </c>
    </row>
    <row r="12">
      <c r="A12" s="11" t="inlineStr">
        <is>
          <t>► 16</t>
        </is>
      </c>
      <c r="B12" s="30" t="n">
        <v>83.33</v>
      </c>
      <c r="C12" s="31" t="n">
        <v>15.91</v>
      </c>
      <c r="D12" s="12" t="inlineStr">
        <is>
          <t>1349 – 1746</t>
        </is>
      </c>
      <c r="E12" s="12" t="n">
        <v>397</v>
      </c>
      <c r="F12" s="12" t="n">
        <v>22.34</v>
      </c>
      <c r="G12" s="32" t="n">
        <v>0.6284</v>
      </c>
      <c r="H12" s="31" t="n">
        <v>94.13</v>
      </c>
    </row>
    <row r="13">
      <c r="A13" s="13" t="inlineStr">
        <is>
          <t>20</t>
        </is>
      </c>
      <c r="B13" s="29" t="n">
        <v>81.33</v>
      </c>
      <c r="C13" s="21" t="n">
        <v>15.52</v>
      </c>
      <c r="D13" s="14" t="inlineStr">
        <is>
          <t>1217 – 1607</t>
        </is>
      </c>
      <c r="E13" s="14" t="n">
        <v>390</v>
      </c>
      <c r="F13" s="14" t="n">
        <v>24.54</v>
      </c>
      <c r="G13" s="20" t="n">
        <v>0.4851</v>
      </c>
      <c r="H13" s="21" t="n">
        <v>52.44</v>
      </c>
    </row>
    <row r="14">
      <c r="A14" s="7" t="inlineStr">
        <is>
          <t>80</t>
        </is>
      </c>
      <c r="B14" s="28" t="n">
        <v>28.83</v>
      </c>
      <c r="C14" s="19" t="n">
        <v>5.5</v>
      </c>
      <c r="D14" s="15" t="inlineStr">
        <is>
          <t>2180 – 2491</t>
        </is>
      </c>
      <c r="E14" s="15" t="n">
        <v>311</v>
      </c>
      <c r="F14" s="15" t="n">
        <v>32.9</v>
      </c>
      <c r="G14" s="18" t="n">
        <v>0.5931</v>
      </c>
      <c r="H14" s="19" t="n">
        <v>78.73</v>
      </c>
    </row>
    <row r="15">
      <c r="A15" s="13" t="inlineStr">
        <is>
          <t>51</t>
        </is>
      </c>
      <c r="B15" s="29" t="n">
        <v>22.93</v>
      </c>
      <c r="C15" s="21" t="n">
        <v>4.38</v>
      </c>
      <c r="D15" s="14" t="inlineStr">
        <is>
          <t>1734 – 2018</t>
        </is>
      </c>
      <c r="E15" s="14" t="n">
        <v>284</v>
      </c>
      <c r="F15" s="14" t="n">
        <v>31.74</v>
      </c>
      <c r="G15" s="20" t="n">
        <v>0.5238</v>
      </c>
      <c r="H15" s="21" t="n">
        <v>69.45999999999999</v>
      </c>
    </row>
    <row r="16">
      <c r="A16" s="7" t="inlineStr">
        <is>
          <t>76</t>
        </is>
      </c>
      <c r="B16" s="28" t="n">
        <v>19.62</v>
      </c>
      <c r="C16" s="19" t="n">
        <v>3.75</v>
      </c>
      <c r="D16" s="15" t="inlineStr">
        <is>
          <t>1647 – 1838</t>
        </is>
      </c>
      <c r="E16" s="15" t="n">
        <v>191</v>
      </c>
      <c r="F16" s="15" t="n">
        <v>26.25</v>
      </c>
      <c r="G16" s="18" t="n">
        <v>0.4925</v>
      </c>
      <c r="H16" s="19" t="n">
        <v>46.27</v>
      </c>
    </row>
    <row r="17">
      <c r="A17" s="13" t="inlineStr">
        <is>
          <t>71</t>
        </is>
      </c>
      <c r="B17" s="29" t="n">
        <v>10.67</v>
      </c>
      <c r="C17" s="21" t="n">
        <v>2.04</v>
      </c>
      <c r="D17" s="14" t="inlineStr">
        <is>
          <t>1478 – 1609</t>
        </is>
      </c>
      <c r="E17" s="14" t="n">
        <v>131</v>
      </c>
      <c r="F17" s="14"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16 ocupa el puesto 3 de 8 por superficie dentro de la microcuenca C1076-Q9593 (15.91 % de las 523.87 ha preliminares de la microcuenca). Su pendiente promedio (22.34 %, clase «15-25% (Fuert. inclinado)») es la 1.ª más baja de 8 y se sitúa por debajo del promedio de la microcuenca (28.06 %). Su MSAVI 2024 (0.6284) es el 1.º de 8 y queda por encima del promedio local (0.5477). Amplitud altitudinal del bloque: 397 m (1349–1746 msnm). El cuadro conserva todos los bloques catalogados en la microcuenca, incluidos los descartados en el tamizaje, para referencia del conjunto. Los bloques sin ficha DT figuran con sus parámetros de gabinete.</t>
        </is>
      </c>
      <c r="B20" s="38" t="n"/>
      <c r="C20" s="38" t="n"/>
      <c r="D20" s="38" t="n"/>
      <c r="E20" s="38" t="n"/>
      <c r="F20" s="38" t="n"/>
      <c r="G20" s="38" t="n"/>
      <c r="H20" s="39"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2" s="38" t="n"/>
      <c r="C22" s="38" t="n"/>
      <c r="D22" s="38" t="n"/>
      <c r="E22" s="38" t="n"/>
      <c r="F22" s="38" t="n"/>
      <c r="G22" s="38" t="n"/>
      <c r="H22" s="39" t="n"/>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269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(83.346 ha) coincide con la de catálogo (83.33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1349 y 1746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(1349–1746 msnm) y la pendiente promedio (22.34 %) se toman de la estadística zonal sobre el MDE, no de medición de campo. Se declara la fuente.</t>
        </is>
      </c>
    </row>
    <row r="15" ht="48" customHeight="1">
      <c r="A15" s="36" t="inlineStr">
        <is>
          <t>D-06</t>
        </is>
      </c>
      <c r="B15" s="36" t="inlineStr">
        <is>
          <t>Inventario georreferenciado de cárcavas</t>
        </is>
      </c>
      <c r="C15" s="36" t="inlineStr">
        <is>
          <t>El inventario de cárcavas no fue ejecutado o no consta en la ficha DT</t>
        </is>
      </c>
      <c r="D15" s="35" t="inlineStr">
        <is>
          <t>SUSTANTIVA</t>
        </is>
      </c>
      <c r="E15" s="36"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4" t="inlineStr">
        <is>
          <t>D-07</t>
        </is>
      </c>
      <c r="B16" s="34" t="inlineStr">
        <is>
          <t>Elenco florístico</t>
        </is>
      </c>
      <c r="C16" s="34" t="inlineStr">
        <is>
          <t>La ficha registra 7 taxones, por debajo del mínimo de 15 que exige el formato V5</t>
        </is>
      </c>
      <c r="D16" s="35"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5"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«Laguna de Paltama»; el cruce INEI-Bloques V5 identifica 1 centro(s) poblado(s) en el bloque: LAGUNA DE PALTAMA</t>
        </is>
      </c>
      <c r="D18" s="37"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5" t="inlineStr">
        <is>
          <t>SUSTANTIVA</t>
        </is>
      </c>
      <c r="E19" s="36" t="inlineStr">
        <is>
          <t>Debe tomarse del modelamiento de mesolocalización (PMM + EPH + PGI ponderados por AHP) antes de fijar la prioridad definitiva de intervención del bloque.</t>
        </is>
      </c>
    </row>
    <row r="20">
      <c r="A20" s="36" t="inlineStr">
        <is>
          <t>D-11</t>
        </is>
      </c>
      <c r="B20" s="36" t="inlineStr">
        <is>
          <t>Distribución areal de clases MSAVI 2024</t>
        </is>
      </c>
      <c r="C20" s="36" t="inlineStr">
        <is>
          <t>La hoja «Cobertura MSAVI-NDVI» consignaba «Por determinar» en la distribución areal de clases MSAVI 2024; se incorpora el metrado por clase medido sobre la cartografía temática MSAVI 2024 del bloque: 7.45 % del bloque (6.208 ha) bajo el umbral 0.4976 y 92.55 % sobre el umbral; clase areal dominante «Vigor alto».</t>
        </is>
      </c>
      <c r="D20" s="35" t="inlineStr">
        <is>
          <t>CORREGIDO</t>
        </is>
      </c>
      <c r="E20"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1"/>
    <row r="22">
      <c r="A22" s="16" t="inlineStr">
        <is>
          <t>RESUMEN</t>
        </is>
      </c>
      <c r="B22" s="17" t="inlineStr">
        <is>
          <t>11 verificaciones</t>
        </is>
      </c>
      <c r="C22" s="17" t="inlineStr">
        <is>
          <t>CONFORME: 3 · NO SUSTANTIVA: 2 · SUSTANTIVA: 5 · CORREGIDO: 1</t>
        </is>
      </c>
      <c r="D22" s="17" t="inlineStr"/>
      <c r="E22" s="17" t="inlineStr"/>
    </row>
    <row r="23" ht="60" customHeight="1"/>
    <row r="24">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38" t="n"/>
      <c r="C24" s="38" t="n"/>
      <c r="D24" s="38" t="n"/>
      <c r="E24" s="39"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16 — IN Piura</dc:title>
  <dc:subject>Diagnóstico Territorial por bloque de intervención</dc:subject>
  <dcterms:created xsi:type="dcterms:W3CDTF">2026-09-08T03:39:59Z</dcterms:created>
  <dcterms:modified xsi:type="dcterms:W3CDTF">2026-09-09T14:49:41Z</dcterms:modified>
</cp:coreProperties>
</file>