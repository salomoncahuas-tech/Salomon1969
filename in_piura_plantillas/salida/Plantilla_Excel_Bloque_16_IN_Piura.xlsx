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16</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16</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Laguna de Paltama</t>
        </is>
      </c>
      <c r="C13" s="6" t="inlineStr">
        <is>
          <t>Comunidad campesina</t>
        </is>
      </c>
      <c r="D13" s="7" t="inlineStr">
        <is>
          <t>Por determinar</t>
        </is>
      </c>
      <c r="E13" s="8" t="n"/>
      <c r="F13" s="8" t="n"/>
    </row>
    <row r="14">
      <c r="A14" s="6" t="inlineStr">
        <is>
          <t>Superficie de catálogo (V5/V6), ha</t>
        </is>
      </c>
      <c r="B14" s="7" t="n">
        <v>83.33</v>
      </c>
      <c r="C14" s="6" t="inlineStr">
        <is>
          <t>Fuente de superficie</t>
        </is>
      </c>
      <c r="D14" s="7" t="inlineStr">
        <is>
          <t>Catálogo maestro Bloques V5/V6</t>
        </is>
      </c>
      <c r="E14" s="8" t="n"/>
      <c r="F14" s="8" t="n"/>
    </row>
    <row r="15">
      <c r="A15" s="6" t="inlineStr">
        <is>
          <t>Centroide UTM ESTE (m)</t>
        </is>
      </c>
      <c r="B15" s="7" t="n">
        <v>652939</v>
      </c>
      <c r="C15" s="6" t="inlineStr">
        <is>
          <t>Centroide UTM NORTE (m)</t>
        </is>
      </c>
      <c r="D15" s="7" t="n">
        <v>9382105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1349</v>
      </c>
      <c r="C19" s="6" t="inlineStr">
        <is>
          <t>Altitud máxima (msnm)</t>
        </is>
      </c>
      <c r="D19" s="7" t="n">
        <v>1746</v>
      </c>
      <c r="E19" s="8" t="n"/>
      <c r="F19" s="8" t="n"/>
    </row>
    <row r="20">
      <c r="A20" s="6" t="inlineStr">
        <is>
          <t>Amplitud altitudinal (m)</t>
        </is>
      </c>
      <c r="B20" s="7" t="n">
        <v>397</v>
      </c>
      <c r="C20" s="6" t="inlineStr">
        <is>
          <t>Piso altitudinal dominante</t>
        </is>
      </c>
      <c r="D20" s="7" t="inlineStr">
        <is>
          <t>1500-2000 m (Quechua media)</t>
        </is>
      </c>
      <c r="E20" s="8" t="n"/>
      <c r="F20" s="8" t="n"/>
    </row>
    <row r="21">
      <c r="A21" s="6" t="inlineStr">
        <is>
          <t>Pendiente promedio (%)</t>
        </is>
      </c>
      <c r="B21" s="7" t="n">
        <v>22.34</v>
      </c>
      <c r="C21" s="6" t="inlineStr">
        <is>
          <t>Pendiente promedio (grados)</t>
        </is>
      </c>
      <c r="D21" s="7" t="n">
        <v>12.6</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0.6284</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(94.13 %)</t>
        </is>
      </c>
      <c r="E29" s="8" t="n"/>
      <c r="F29" s="8" t="n"/>
    </row>
    <row r="30">
      <c r="A30" s="6" t="inlineStr">
        <is>
          <t>Superficie clasificada NDVI 2025 (ha)</t>
        </is>
      </c>
      <c r="B30" s="7" t="n">
        <v>83.346</v>
      </c>
      <c r="C30" s="6" t="inlineStr">
        <is>
          <t>Desviación frente al catálogo (%)</t>
        </is>
      </c>
      <c r="D30" s="7" t="n">
        <v>0.02</v>
      </c>
      <c r="E30" s="8" t="n"/>
      <c r="F30" s="8" t="n"/>
    </row>
    <row r="32" ht="18" customHeight="1">
      <c r="A32" s="5" t="inlineStr">
        <is>
          <t>4. ECOSISTEMA Y ESTADO DE CONSERVACIÓN</t>
        </is>
      </c>
    </row>
    <row r="33">
      <c r="A33" s="6" t="inlineStr">
        <is>
          <t>Tipo de ecosistema (UP)</t>
        </is>
      </c>
      <c r="B33" s="7" t="inlineStr">
        <is>
          <t>Bosque Estacionalmente Seco Colina/Montaña (Bes-cm)</t>
        </is>
      </c>
      <c r="C33" s="6" t="inlineStr">
        <is>
          <t>Superficie de ecosistema (ha)</t>
        </is>
      </c>
      <c r="D33" s="7" t="inlineStr">
        <is>
          <t>Por determinar</t>
        </is>
      </c>
      <c r="E33" s="8" t="n"/>
      <c r="F33" s="8" t="n"/>
    </row>
    <row r="34">
      <c r="A34" s="6" t="inlineStr">
        <is>
          <t>Estado de conservación</t>
        </is>
      </c>
      <c r="B34" s="7" t="inlineStr">
        <is>
          <t>Medianamente alterado</t>
        </is>
      </c>
      <c r="C34" s="6" t="inlineStr">
        <is>
          <t>Uso actual dominante del suelo</t>
        </is>
      </c>
      <c r="D34" s="7" t="inlineStr">
        <is>
          <t>Forestal protección</t>
        </is>
      </c>
      <c r="E34" s="8" t="n"/>
      <c r="F34" s="8" t="n"/>
    </row>
    <row r="35">
      <c r="A35" s="6" t="inlineStr">
        <is>
          <t>Tipo de cobertura dominante</t>
        </is>
      </c>
      <c r="B35" s="7" t="inlineStr">
        <is>
          <t>Matorral denso</t>
        </is>
      </c>
      <c r="C35" s="6" t="inlineStr">
        <is>
          <t>Cobertura vegetal total — campo (%)</t>
        </is>
      </c>
      <c r="D35" s="7" t="inlineStr">
        <is>
          <t>Por determinar</t>
        </is>
      </c>
      <c r="E35" s="8" t="n"/>
      <c r="F35" s="8" t="n"/>
    </row>
    <row r="36">
      <c r="A36" s="6" t="inlineStr">
        <is>
          <t>Suelo desnudo — campo (%)</t>
        </is>
      </c>
      <c r="B36" s="7" t="inlineStr">
        <is>
          <t>Por determinar</t>
        </is>
      </c>
      <c r="C36" s="6" t="inlineStr">
        <is>
          <t>Regeneración natural</t>
        </is>
      </c>
      <c r="D36" s="7" t="inlineStr">
        <is>
          <t>Por determinar</t>
        </is>
      </c>
      <c r="E36" s="8" t="n"/>
      <c r="F36" s="8" t="n"/>
    </row>
    <row r="37">
      <c r="A37" s="6" t="inlineStr">
        <is>
          <t>Nivel general de erosión</t>
        </is>
      </c>
      <c r="B37" s="7" t="inlineStr">
        <is>
          <t>Ligera (laminar)</t>
        </is>
      </c>
      <c r="C37" s="6" t="inlineStr">
        <is>
          <t>N.° de cárcavas registradas</t>
        </is>
      </c>
      <c r="D37" s="7" t="inlineStr">
        <is>
          <t>Por determinar</t>
        </is>
      </c>
      <c r="E37" s="8" t="n"/>
      <c r="F37" s="8" t="n"/>
    </row>
    <row r="38">
      <c r="A38" s="6" t="inlineStr">
        <is>
          <t>Elenco florístico (n.° de taxones)</t>
        </is>
      </c>
      <c r="B38" s="7" t="n">
        <v>7</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Brigada SESDI – IN Piura</t>
        </is>
      </c>
      <c r="C41" s="6" t="inlineStr">
        <is>
          <t>Fecha de evaluación</t>
        </is>
      </c>
      <c r="D41" s="7" t="inlineStr">
        <is>
          <t>2026-08-12</t>
        </is>
      </c>
      <c r="E41" s="8" t="n"/>
      <c r="F41" s="8" t="n"/>
    </row>
    <row r="42">
      <c r="A42" s="6" t="inlineStr">
        <is>
          <t>Hora de registro</t>
        </is>
      </c>
      <c r="B42" s="7" t="inlineStr">
        <is>
          <t>15:42 - 15:52 h</t>
        </is>
      </c>
      <c r="C42" s="6" t="inlineStr">
        <is>
          <t>Correlativo de ficha</t>
        </is>
      </c>
      <c r="D42" s="7" t="inlineStr">
        <is>
          <t>F-DT-01-B16-2026</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instalada</t>
        </is>
      </c>
      <c r="E44" s="8" t="n"/>
      <c r="F44" s="8" t="n"/>
    </row>
    <row r="45">
      <c r="A45" s="6" t="inlineStr">
        <is>
          <t>Estaciones fotográficas georreferenciadas</t>
        </is>
      </c>
      <c r="B45" s="7" t="n">
        <v>6</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Presión de borde asociada al corredor vial y al pastoreo extensivo del entorno del C.P. Laguna de Paltama</t>
        </is>
      </c>
      <c r="C48" s="6" t="inlineStr">
        <is>
          <t>Velocidad de degradación</t>
        </is>
      </c>
      <c r="D48" s="7" t="inlineStr">
        <is>
          <t>Lenta</t>
        </is>
      </c>
      <c r="E48" s="8" t="n"/>
      <c r="F48" s="8" t="n"/>
    </row>
    <row r="49">
      <c r="A49" s="6" t="inlineStr">
        <is>
          <t>Reversibilidad técnica</t>
        </is>
      </c>
      <c r="B49" s="7" t="inlineStr">
        <is>
          <t>Totalmente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16</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12" t="inlineStr">
        <is>
          <t>Por determinar</t>
        </is>
      </c>
      <c r="C10" s="12" t="inlineStr">
        <is>
          <t>Por determinar</t>
        </is>
      </c>
      <c r="D10" s="12" t="inlineStr">
        <is>
          <t>Vigor alto</t>
        </is>
      </c>
      <c r="E10" s="12" t="inlineStr">
        <is>
          <t>Sobre umbral</t>
        </is>
      </c>
    </row>
    <row r="11">
      <c r="A11" s="13" t="inlineStr">
        <is>
          <t>0.4976 - 0.6139</t>
        </is>
      </c>
      <c r="B11" s="14" t="inlineStr">
        <is>
          <t>Por determinar</t>
        </is>
      </c>
      <c r="C11" s="14" t="inlineStr">
        <is>
          <t>Por determinar</t>
        </is>
      </c>
      <c r="D11" s="14" t="inlineStr">
        <is>
          <t>Vigor moderado</t>
        </is>
      </c>
      <c r="E11" s="14" t="inlineStr">
        <is>
          <t>Sobre umbral</t>
        </is>
      </c>
    </row>
    <row r="12">
      <c r="A12" s="7" t="inlineStr">
        <is>
          <t>0.3813 - 0.4976</t>
        </is>
      </c>
      <c r="B12" s="15" t="inlineStr">
        <is>
          <t>Por determinar</t>
        </is>
      </c>
      <c r="C12" s="15" t="inlineStr">
        <is>
          <t>Por determinar</t>
        </is>
      </c>
      <c r="D12" s="15" t="inlineStr">
        <is>
          <t>Vigor bajo</t>
        </is>
      </c>
      <c r="E12" s="15" t="inlineStr">
        <is>
          <t>BAJO umbral 0.4976</t>
        </is>
      </c>
    </row>
    <row r="13">
      <c r="A13" s="13" t="inlineStr">
        <is>
          <t>0.2650 - 0.3813</t>
        </is>
      </c>
      <c r="B13" s="14" t="inlineStr">
        <is>
          <t>Por determinar</t>
        </is>
      </c>
      <c r="C13" s="14" t="inlineStr">
        <is>
          <t>Por determinar</t>
        </is>
      </c>
      <c r="D13" s="14" t="inlineStr">
        <is>
          <t>Vigor muy bajo</t>
        </is>
      </c>
      <c r="E13" s="14" t="inlineStr">
        <is>
          <t>BAJO umbral 0.4976</t>
        </is>
      </c>
    </row>
    <row r="14">
      <c r="A14" s="7" t="inlineStr">
        <is>
          <t>&lt;= 0.2650</t>
        </is>
      </c>
      <c r="B14" s="15" t="inlineStr">
        <is>
          <t>Por determinar</t>
        </is>
      </c>
      <c r="C14" s="15" t="inlineStr">
        <is>
          <t>Por determinar</t>
        </is>
      </c>
      <c r="D14" s="15" t="inlineStr">
        <is>
          <t>Suelo desnudo / no vegetal</t>
        </is>
      </c>
      <c r="E14" s="15" t="inlineStr">
        <is>
          <t>BAJO umbral 0.4976</t>
        </is>
      </c>
    </row>
    <row r="15">
      <c r="A15" s="16" t="inlineStr">
        <is>
          <t>MSAVI 2024 — MEDIA DEL BLOQUE</t>
        </is>
      </c>
      <c r="B15" s="17" t="n">
        <v>0.628423</v>
      </c>
      <c r="C15" s="17" t="inlineStr">
        <is>
          <t>—</t>
        </is>
      </c>
      <c r="D15" s="17" t="inlineStr">
        <is>
          <t>Vigor alto · clase &gt; 0.6139</t>
        </is>
      </c>
      <c r="E15" s="17" t="inlineStr">
        <is>
          <t>Sobre umbral</t>
        </is>
      </c>
    </row>
    <row r="17" ht="72" customHeight="1">
      <c r="A17" s="9" t="inlineStr">
        <is>
          <t>NOTA METODOLÓGICA. La media del MSAVI 2024 del bloque (0.628423)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78.4551</v>
      </c>
      <c r="C21" s="19" t="n">
        <v>94.13</v>
      </c>
      <c r="D21" s="15" t="inlineStr">
        <is>
          <t>Dosel continuo, matorral denso o mosaico agroforestal</t>
        </is>
      </c>
      <c r="E21" s="15" t="inlineStr"/>
    </row>
    <row r="22">
      <c r="A22" s="13" t="inlineStr">
        <is>
          <t>Vegetación mediana</t>
        </is>
      </c>
      <c r="B22" s="20" t="n">
        <v>4.8709</v>
      </c>
      <c r="C22" s="21" t="n">
        <v>5.84</v>
      </c>
      <c r="D22" s="14" t="inlineStr">
        <is>
          <t>Pastizal cultivado, matorral ralo, parcelas agrícolas</t>
        </is>
      </c>
      <c r="E22" s="14" t="inlineStr"/>
    </row>
    <row r="23">
      <c r="A23" s="7" t="inlineStr">
        <is>
          <t>Vegetación ligera</t>
        </is>
      </c>
      <c r="B23" s="18" t="n">
        <v>0.0199</v>
      </c>
      <c r="C23" s="19" t="n">
        <v>0.02</v>
      </c>
      <c r="D23" s="15" t="inlineStr">
        <is>
          <t>Cobertura discontinua, suelo parcialmente expuesto</t>
        </is>
      </c>
      <c r="E23" s="15" t="inlineStr"/>
    </row>
    <row r="24">
      <c r="A24" s="16" t="inlineStr">
        <is>
          <t>TOTAL CLASIFICADO</t>
        </is>
      </c>
      <c r="B24" s="22">
        <f>SUM(B21:B23)</f>
        <v/>
      </c>
      <c r="C24" s="23">
        <f>SUM(C21:C23)</f>
        <v/>
      </c>
      <c r="D24" s="17" t="inlineStr"/>
      <c r="E24" s="17" t="inlineStr"/>
    </row>
    <row r="25">
      <c r="A25" s="24" t="inlineStr">
        <is>
          <t>Superficie de catálogo (V5/V6)</t>
        </is>
      </c>
      <c r="B25" s="25" t="n">
        <v>83.33</v>
      </c>
      <c r="C25" s="25" t="inlineStr">
        <is>
          <t>—</t>
        </is>
      </c>
      <c r="D25" s="25" t="inlineStr">
        <is>
          <t>Desviación planimétrica frente al catálogo</t>
        </is>
      </c>
      <c r="E25" s="25" t="inlineStr">
        <is>
          <t>+0.02 %</t>
        </is>
      </c>
    </row>
    <row r="27" ht="72"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16</t>
        </is>
      </c>
    </row>
    <row r="6" ht="24" customHeight="1">
      <c r="A6" s="4" t="inlineStr">
        <is>
          <t>Levantamiento del 2026-08-12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652674</v>
      </c>
      <c r="D10" s="26" t="n">
        <v>9382061</v>
      </c>
      <c r="E10" s="15" t="n">
        <v>268.6</v>
      </c>
      <c r="F10" s="15" t="inlineStr"/>
      <c r="G10" s="15" t="inlineStr">
        <is>
          <t>Coordenada consignada en F-DT-01</t>
        </is>
      </c>
    </row>
    <row r="11">
      <c r="A11" s="13" t="inlineStr">
        <is>
          <t>H-01</t>
        </is>
      </c>
      <c r="B11" s="14" t="inlineStr">
        <is>
          <t>Fuente de agua — Quebrada estacional</t>
        </is>
      </c>
      <c r="C11" s="27" t="inlineStr">
        <is>
          <t>Por determinar</t>
        </is>
      </c>
      <c r="D11" s="27" t="inlineStr">
        <is>
          <t>Por determinar</t>
        </is>
      </c>
      <c r="E11" s="14" t="inlineStr"/>
      <c r="F11" s="14" t="inlineStr">
        <is>
          <t>Estacional</t>
        </is>
      </c>
      <c r="G11" s="14" t="inlineStr">
        <is>
          <t>Red de vaguadas tributarias</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652939</v>
      </c>
      <c r="C14" s="6" t="inlineStr">
        <is>
          <t>Centroide del bloque — UTM NORTE (m)</t>
        </is>
      </c>
      <c r="D14" s="7" t="n">
        <v>9382105</v>
      </c>
      <c r="E14" s="8" t="n"/>
      <c r="F14" s="8" t="n"/>
      <c r="G14" s="8" t="n"/>
      <c r="H14" s="8" t="n"/>
    </row>
    <row r="15">
      <c r="A15" s="6" t="inlineStr">
        <is>
          <t>N.° de estaciones fotográficas declaradas</t>
        </is>
      </c>
      <c r="B15" s="7" t="n">
        <v>6</v>
      </c>
      <c r="C15" s="6" t="inlineStr">
        <is>
          <t>Estaciones dentro del polígono</t>
        </is>
      </c>
      <c r="D15" s="7" t="n">
        <v>0</v>
      </c>
      <c r="E15" s="8" t="n"/>
      <c r="F15" s="8" t="n"/>
      <c r="G15" s="8" t="n"/>
      <c r="H15" s="8" t="n"/>
    </row>
    <row r="17" ht="96"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PRELLENADO DE GABINETE. Reconocimiento del 12-08-2026 por recorrido vehicular con registro fotográfico georreferenciado; la ficha NO fue diligenciada en campo. LAS SEIS ESTACIONES SE UBICAN FUERA DEL POLÍGONO (de ~47 m a ~332 m del borde): el interior del bloque no ha sido verificado.</t>
        </is>
      </c>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16</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10</t>
        </is>
      </c>
      <c r="B10" s="28" t="n">
        <v>150.21</v>
      </c>
      <c r="C10" s="19" t="n">
        <v>28.67</v>
      </c>
      <c r="D10" s="15" t="inlineStr">
        <is>
          <t>912 – 1510</t>
        </is>
      </c>
      <c r="E10" s="15" t="n">
        <v>598</v>
      </c>
      <c r="F10" s="15" t="n">
        <v>27.39</v>
      </c>
      <c r="G10" s="18" t="n">
        <v>0.5465</v>
      </c>
      <c r="H10" s="19" t="n">
        <v>85.18000000000001</v>
      </c>
    </row>
    <row r="11">
      <c r="A11" s="13" t="inlineStr">
        <is>
          <t>8</t>
        </is>
      </c>
      <c r="B11" s="29" t="n">
        <v>126.95</v>
      </c>
      <c r="C11" s="21" t="n">
        <v>24.23</v>
      </c>
      <c r="D11" s="14" t="inlineStr">
        <is>
          <t>1504 – 1970</t>
        </is>
      </c>
      <c r="E11" s="14" t="n">
        <v>466</v>
      </c>
      <c r="F11" s="14" t="n">
        <v>29.85</v>
      </c>
      <c r="G11" s="20" t="n">
        <v>0.5548</v>
      </c>
      <c r="H11" s="21" t="n">
        <v>72.25</v>
      </c>
    </row>
    <row r="12">
      <c r="A12" s="11" t="inlineStr">
        <is>
          <t>► 16</t>
        </is>
      </c>
      <c r="B12" s="30" t="n">
        <v>83.33</v>
      </c>
      <c r="C12" s="31" t="n">
        <v>15.91</v>
      </c>
      <c r="D12" s="12" t="inlineStr">
        <is>
          <t>1349 – 1746</t>
        </is>
      </c>
      <c r="E12" s="12" t="n">
        <v>397</v>
      </c>
      <c r="F12" s="12" t="n">
        <v>22.34</v>
      </c>
      <c r="G12" s="32" t="n">
        <v>0.6284</v>
      </c>
      <c r="H12" s="31" t="n">
        <v>94.13</v>
      </c>
    </row>
    <row r="13">
      <c r="A13" s="13" t="inlineStr">
        <is>
          <t>20</t>
        </is>
      </c>
      <c r="B13" s="29" t="n">
        <v>81.33</v>
      </c>
      <c r="C13" s="21" t="n">
        <v>15.52</v>
      </c>
      <c r="D13" s="14" t="inlineStr">
        <is>
          <t>1217 – 1607</t>
        </is>
      </c>
      <c r="E13" s="14" t="n">
        <v>390</v>
      </c>
      <c r="F13" s="14" t="n">
        <v>24.54</v>
      </c>
      <c r="G13" s="20" t="n">
        <v>0.4851</v>
      </c>
      <c r="H13" s="21" t="n">
        <v>52.44</v>
      </c>
    </row>
    <row r="14">
      <c r="A14" s="7" t="inlineStr">
        <is>
          <t>80</t>
        </is>
      </c>
      <c r="B14" s="28" t="n">
        <v>28.83</v>
      </c>
      <c r="C14" s="19" t="n">
        <v>5.5</v>
      </c>
      <c r="D14" s="15" t="inlineStr">
        <is>
          <t>2180 – 2491</t>
        </is>
      </c>
      <c r="E14" s="15" t="n">
        <v>311</v>
      </c>
      <c r="F14" s="15" t="n">
        <v>32.9</v>
      </c>
      <c r="G14" s="18" t="n">
        <v>0.5931</v>
      </c>
      <c r="H14" s="19" t="n">
        <v>78.73</v>
      </c>
    </row>
    <row r="15">
      <c r="A15" s="13" t="inlineStr">
        <is>
          <t>51</t>
        </is>
      </c>
      <c r="B15" s="29" t="n">
        <v>22.93</v>
      </c>
      <c r="C15" s="21" t="n">
        <v>4.38</v>
      </c>
      <c r="D15" s="14" t="inlineStr">
        <is>
          <t>1734 – 2018</t>
        </is>
      </c>
      <c r="E15" s="14" t="n">
        <v>284</v>
      </c>
      <c r="F15" s="14" t="n">
        <v>31.74</v>
      </c>
      <c r="G15" s="20" t="n">
        <v>0.5238</v>
      </c>
      <c r="H15" s="21" t="n">
        <v>69.45999999999999</v>
      </c>
    </row>
    <row r="16">
      <c r="A16" s="7" t="inlineStr">
        <is>
          <t>76</t>
        </is>
      </c>
      <c r="B16" s="28" t="n">
        <v>19.62</v>
      </c>
      <c r="C16" s="19" t="n">
        <v>3.75</v>
      </c>
      <c r="D16" s="15" t="inlineStr">
        <is>
          <t>1647 – 1838</t>
        </is>
      </c>
      <c r="E16" s="15" t="n">
        <v>191</v>
      </c>
      <c r="F16" s="15" t="n">
        <v>26.25</v>
      </c>
      <c r="G16" s="18" t="n">
        <v>0.4925</v>
      </c>
      <c r="H16" s="19" t="n">
        <v>46.27</v>
      </c>
    </row>
    <row r="17">
      <c r="A17" s="13" t="inlineStr">
        <is>
          <t>71</t>
        </is>
      </c>
      <c r="B17" s="29" t="n">
        <v>10.67</v>
      </c>
      <c r="C17" s="21" t="n">
        <v>2.04</v>
      </c>
      <c r="D17" s="14" t="inlineStr">
        <is>
          <t>1478 – 1609</t>
        </is>
      </c>
      <c r="E17" s="14" t="n">
        <v>131</v>
      </c>
      <c r="F17" s="14" t="n">
        <v>29.45</v>
      </c>
      <c r="G17" s="20" t="n">
        <v>0.5571</v>
      </c>
      <c r="H17" s="21" t="n">
        <v>81.37</v>
      </c>
    </row>
    <row r="18">
      <c r="A18" s="16" t="inlineStr">
        <is>
          <t>TOTAL / PROMEDIO</t>
        </is>
      </c>
      <c r="B18" s="33">
        <f>SUM(B10:B17)</f>
        <v/>
      </c>
      <c r="C18" s="23">
        <f>SUM(C10:C17)</f>
        <v/>
      </c>
      <c r="D18" s="17" t="inlineStr">
        <is>
          <t>912 – 2491</t>
        </is>
      </c>
      <c r="E18" s="17" t="inlineStr"/>
      <c r="F18" s="17">
        <f>ROUND(AVERAGE(F10:F17),2)</f>
        <v/>
      </c>
      <c r="G18" s="22">
        <f>ROUND(AVERAGE(G10:G17),4)</f>
        <v/>
      </c>
      <c r="H18" s="23">
        <f>ROUND(AVERAGE(H10:H17),2)</f>
        <v/>
      </c>
    </row>
    <row r="20" ht="84" customHeight="1">
      <c r="A20" s="9" t="inlineStr">
        <is>
          <t>LECTURA INTRAMICROCUENCA. El bloque 16 ocupa el puesto 3 de 8 por superficie dentro de la microcuenca C1076-Q9593 (15.91 % de las 523.87 ha preliminares de la microcuenca). Su pendiente promedio (22.34 %, clase «15-25% (Fuert. inclinado)») es la 1.ª más baja de 8 y se sitúa por debajo del promedio de la microcuenca (28.06 %). Su MSAVI 2024 (0.6284) es el 1.º de 8 y queda por encima del promedio local (0.5477). Amplitud altitudinal del bloque: 397 m (1349–1746 msnm). El cuadro conserva todos los bloques catalogados en la microcuenca, incluidos los descartados en el tamizaje, para referencia del conjunto. Los bloques sin ficha DT figuran con sus parámetros de gabinete.</t>
        </is>
      </c>
    </row>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0:H20"/>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16</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el catálogo maestro V5/V6 asigna el bloque a «C1076-Q9593»</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269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(83.346 ha) coincide con la de catálogo (83.33 ha) dentro del ±2 % (+0.02 %)</t>
        </is>
      </c>
      <c r="D12" s="37" t="inlineStr">
        <is>
          <t>CONFORME</t>
        </is>
      </c>
      <c r="E12" s="34" t="inlineStr">
        <is>
          <t>Sin acción: la segmentación valida la geometría del bloque.</t>
        </is>
      </c>
    </row>
    <row r="13" ht="48" customHeight="1">
      <c r="A13" s="36" t="inlineStr">
        <is>
          <t>D-04</t>
        </is>
      </c>
      <c r="B13" s="36" t="inlineStr">
        <is>
          <t>Rango altitudinal / piso ecológico</t>
        </is>
      </c>
      <c r="C13" s="36" t="inlineStr">
        <is>
          <t>La ficha DT declara «1000-1500 m (Quechua baja)»; el MDE sitúa el bloque entre 1349 y 1746 msnm, cuyo punto medio corresponde a «1500-2000 m (Quechua media)»</t>
        </is>
      </c>
      <c r="D13" s="12" t="inlineStr">
        <is>
          <t>NO SUSTANTIVA</t>
        </is>
      </c>
      <c r="E13" s="36" t="inlineStr">
        <is>
          <t>Se declara la divergencia. El bloque abarca más de un piso altitudinal cuando la amplitud supera el ancho de la clase; el registro de campo corresponde al sector recorrido.</t>
        </is>
      </c>
    </row>
    <row r="14" ht="48" customHeight="1">
      <c r="A14" s="34" t="inlineStr">
        <is>
          <t>D-05</t>
        </is>
      </c>
      <c r="B14" s="34" t="inlineStr">
        <is>
          <t>Altitud GPS del punto de muestreo</t>
        </is>
      </c>
      <c r="C14" s="34" t="inlineStr">
        <is>
          <t>La aplicación de captura no registró altitud GPS en campo</t>
        </is>
      </c>
      <c r="D14" s="12" t="inlineStr">
        <is>
          <t>NO SUSTANTIVA</t>
        </is>
      </c>
      <c r="E14" s="34" t="inlineStr">
        <is>
          <t>El rango altitudinal del bloque (1349–1746 msnm) y la pendiente promedio (22.34 %) se toman de la estadística zonal sobre el MDE, no de medición de campo. Se declara la fuente.</t>
        </is>
      </c>
    </row>
    <row r="15" ht="48" customHeight="1">
      <c r="A15" s="36" t="inlineStr">
        <is>
          <t>D-06</t>
        </is>
      </c>
      <c r="B15" s="36" t="inlineStr">
        <is>
          <t>Inventario georreferenciado de cárcavas</t>
        </is>
      </c>
      <c r="C15" s="36" t="inlineStr">
        <is>
          <t>El inventario de cárcavas no fue ejecutado o no consta en la ficha DT</t>
        </is>
      </c>
      <c r="D15" s="35" t="inlineStr">
        <is>
          <t>SUSTANTIVA</t>
        </is>
      </c>
      <c r="E15" s="36" t="inlineStr">
        <is>
          <t>La ausencia de registros NO equivale a ausencia verificada de cárcavas. Queda pendiente el levantamiento instrumental a cargo del especialista de Infraestructura Marrón antes de fijar metas físicas de infraestructura gris.</t>
        </is>
      </c>
    </row>
    <row r="16" ht="48" customHeight="1">
      <c r="A16" s="34" t="inlineStr">
        <is>
          <t>D-07</t>
        </is>
      </c>
      <c r="B16" s="34" t="inlineStr">
        <is>
          <t>Elenco florístico</t>
        </is>
      </c>
      <c r="C16" s="34" t="inlineStr">
        <is>
          <t>La ficha registra 7 taxones, por debajo del mínimo de 15 que exige el formato V5</t>
        </is>
      </c>
      <c r="D16" s="35" t="inlineStr">
        <is>
          <t>SUSTANTIVA</t>
        </is>
      </c>
      <c r="E16" s="34" t="inlineStr">
        <is>
          <t>Registro florístico preliminar, sin colecta ni determinación botánica formal. Debe cerrarse con colecta botánica en la siguiente campaña.</t>
        </is>
      </c>
    </row>
    <row r="17" ht="48" customHeight="1">
      <c r="A17" s="36" t="inlineStr">
        <is>
          <t>D-08</t>
        </is>
      </c>
      <c r="B17" s="36" t="inlineStr">
        <is>
          <t>Representatividad del levantamiento</t>
        </is>
      </c>
      <c r="C17" s="36" t="inlineStr">
        <is>
          <t>Ninguna de las estaciones fotográficas georreferenciadas se localiza dentro del polígono del bloque</t>
        </is>
      </c>
      <c r="D17" s="35" t="inlineStr">
        <is>
          <t>SUSTANTIVA</t>
        </is>
      </c>
      <c r="E17" s="36" t="inlineStr">
        <is>
          <t>La verificación documenta el perímetro y la vista panorámica del bloque, no su interior. Los parámetros que exigen recorrido interno se consignan «Por determinar».</t>
        </is>
      </c>
    </row>
    <row r="18" ht="48" customHeight="1">
      <c r="A18" s="34" t="inlineStr">
        <is>
          <t>D-09</t>
        </is>
      </c>
      <c r="B18" s="34" t="inlineStr">
        <is>
          <t>Centro poblado asociado</t>
        </is>
      </c>
      <c r="C18" s="34" t="inlineStr">
        <is>
          <t>La ficha DT declara «Laguna de Paltama»; el cruce INEI-Bloques V5 identifica 1 centro(s) poblado(s) en el bloque: LAGUNA DE PALTAMA</t>
        </is>
      </c>
      <c r="D18" s="37" t="inlineStr">
        <is>
          <t>CONFORME</t>
        </is>
      </c>
      <c r="E18" s="34" t="inlineStr">
        <is>
          <t>Se conserva el registro de campo como referencia y se adopta el listado INEI para el diagnóstico social y el cálculo de población beneficiaria.</t>
        </is>
      </c>
    </row>
    <row r="19" ht="48" customHeight="1">
      <c r="A19" s="36" t="inlineStr">
        <is>
          <t>D-10</t>
        </is>
      </c>
      <c r="B19" s="36" t="inlineStr">
        <is>
          <t>Peligro integrado (MCA-AHP)</t>
        </is>
      </c>
      <c r="C19" s="36" t="inlineStr">
        <is>
          <t>El nivel de peligro integrado no está disponible en los insumos de este entregable</t>
        </is>
      </c>
      <c r="D19" s="35" t="inlineStr">
        <is>
          <t>SUSTANTIVA</t>
        </is>
      </c>
      <c r="E19" s="36" t="inlineStr">
        <is>
          <t>Debe tomarse del modelamiento de mesolocalización (PMM + EPH + PGI ponderados por AHP) antes de fijar la prioridad definitiva de intervención del bloque.</t>
        </is>
      </c>
    </row>
    <row r="21">
      <c r="A21" s="16" t="inlineStr">
        <is>
          <t>RESUMEN</t>
        </is>
      </c>
      <c r="B21" s="17" t="inlineStr">
        <is>
          <t>10 verificaciones</t>
        </is>
      </c>
      <c r="C21" s="17" t="inlineStr">
        <is>
          <t>CONFORME: 3 · NO SUSTANTIVA: 2 · SUSTANTIVA: 5</t>
        </is>
      </c>
      <c r="D21" s="17" t="inlineStr"/>
      <c r="E21" s="17" t="inlineStr"/>
    </row>
    <row r="23" ht="60" customHeight="1">
      <c r="A2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E1"/>
    <mergeCell ref="A5:E5"/>
    <mergeCell ref="A23:E23"/>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16 — IN Piura</dc:title>
  <dc:subject>Diagnóstico Territorial por bloque de intervención</dc:subject>
  <dcterms:created xsi:type="dcterms:W3CDTF">2026-09-08T03:39:59Z</dcterms:created>
  <dcterms:modified xsi:type="dcterms:W3CDTF">2026-09-08T03:39:59Z</dcterms:modified>
</cp:coreProperties>
</file>