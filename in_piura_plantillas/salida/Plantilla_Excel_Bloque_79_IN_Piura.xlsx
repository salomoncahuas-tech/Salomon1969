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79</t>
        </is>
      </c>
      <c r="C9" s="6" t="inlineStr">
        <is>
          <t>Microcuenca (catálogo)</t>
        </is>
      </c>
      <c r="D9" s="7" t="inlineStr">
        <is>
          <t>C1076-Q9587</t>
        </is>
      </c>
      <c r="E9" s="8" t="n"/>
      <c r="F9" s="8" t="n"/>
    </row>
    <row r="10">
      <c r="A10" s="6" t="inlineStr">
        <is>
          <t>Zona de planificación</t>
        </is>
      </c>
      <c r="B10" s="7" t="inlineStr">
        <is>
          <t>Z11</t>
        </is>
      </c>
      <c r="C10" s="6" t="inlineStr">
        <is>
          <t>Microcuenca declarada en ficha DT</t>
        </is>
      </c>
      <c r="D10" s="7" t="inlineStr">
        <is>
          <t>C1076-Q9587</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Almirante Miguel Grau (también Huabal)</t>
        </is>
      </c>
      <c r="C13" s="6" t="inlineStr">
        <is>
          <t>Comunidad campesina</t>
        </is>
      </c>
      <c r="D13" s="7" t="inlineStr">
        <is>
          <t>Por verificar</t>
        </is>
      </c>
      <c r="E13" s="8" t="n"/>
      <c r="F13" s="8" t="n"/>
    </row>
    <row r="14">
      <c r="A14" s="6" t="inlineStr">
        <is>
          <t>Superficie de catálogo (V5/V6), ha</t>
        </is>
      </c>
      <c r="B14" s="7" t="n">
        <v>94.81</v>
      </c>
      <c r="C14" s="6" t="inlineStr">
        <is>
          <t>Fuente de superficie</t>
        </is>
      </c>
      <c r="D14" s="7" t="inlineStr">
        <is>
          <t>Catálogo maestro Bloques V5/V6</t>
        </is>
      </c>
      <c r="E14" s="8" t="n"/>
      <c r="F14" s="8" t="n"/>
    </row>
    <row r="15">
      <c r="A15" s="6" t="inlineStr">
        <is>
          <t>Centroide UTM ESTE (m)</t>
        </is>
      </c>
      <c r="B15" s="7" t="n">
        <v>650305</v>
      </c>
      <c r="C15" s="6" t="inlineStr">
        <is>
          <t>Centroide UTM NORTE (m)</t>
        </is>
      </c>
      <c r="D15" s="7" t="n">
        <v>9402785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681</v>
      </c>
      <c r="C19" s="6" t="inlineStr">
        <is>
          <t>Altitud máxima (msnm)</t>
        </is>
      </c>
      <c r="D19" s="7" t="n">
        <v>1114</v>
      </c>
      <c r="E19" s="8" t="n"/>
      <c r="F19" s="8" t="n"/>
    </row>
    <row r="20">
      <c r="A20" s="6" t="inlineStr">
        <is>
          <t>Amplitud altitudinal (m)</t>
        </is>
      </c>
      <c r="B20" s="7" t="n">
        <v>433</v>
      </c>
      <c r="C20" s="6" t="inlineStr">
        <is>
          <t>Piso altitudinal dominante</t>
        </is>
      </c>
      <c r="D20" s="7" t="inlineStr">
        <is>
          <t>&lt;1000 m (Yunga)</t>
        </is>
      </c>
      <c r="E20" s="8" t="n"/>
      <c r="F20" s="8" t="n"/>
    </row>
    <row r="21">
      <c r="A21" s="6" t="inlineStr">
        <is>
          <t>Pendiente promedio (%)</t>
        </is>
      </c>
      <c r="B21" s="7" t="n">
        <v>17.59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Sin registro en ficha</t>
        </is>
      </c>
      <c r="E24" s="8" t="n"/>
      <c r="F24" s="8" t="n"/>
    </row>
    <row r="25">
      <c r="A25" s="6" t="inlineStr">
        <is>
          <t>Escarpes activos</t>
        </is>
      </c>
      <c r="B25" s="7" t="inlineStr">
        <is>
          <t>Sin registro en ficha</t>
        </is>
      </c>
      <c r="C25" s="6" t="inlineStr">
        <is>
          <t>Remociones en masa activas</t>
        </is>
      </c>
      <c r="D25" s="7" t="inlineStr">
        <is>
          <t>Sin registro en ficha</t>
        </is>
      </c>
      <c r="E25" s="8" t="n"/>
      <c r="F25" s="8" t="n"/>
    </row>
    <row r="27" ht="18" customHeight="1">
      <c r="A27" s="5" t="inlineStr">
        <is>
          <t>3. ÍNDICES DE VEGETACIÓN (SENTINEL-2)</t>
        </is>
      </c>
    </row>
    <row r="28">
      <c r="A28" s="6" t="inlineStr">
        <is>
          <t>MSAVI 2024 — media del bloque</t>
        </is>
      </c>
      <c r="B28" s="7" t="n">
        <v>0.5479000000000001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(82.36 %)</t>
        </is>
      </c>
      <c r="E29" s="8" t="n"/>
      <c r="F29" s="8" t="n"/>
    </row>
    <row r="30">
      <c r="A30" s="6" t="inlineStr">
        <is>
          <t>Superficie clasificada NDVI 2025 (ha)</t>
        </is>
      </c>
      <c r="B30" s="7" t="n">
        <v>94.83499999999999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Por determinar</t>
        </is>
      </c>
      <c r="E36" s="8" t="n"/>
      <c r="F36" s="8" t="n"/>
    </row>
    <row r="37">
      <c r="A37" s="6" t="inlineStr">
        <is>
          <t>Nivel general de erosión</t>
        </is>
      </c>
      <c r="B37" s="7" t="inlineStr">
        <is>
          <t>Sin registro en ficha</t>
        </is>
      </c>
      <c r="C37" s="6" t="inlineStr">
        <is>
          <t>N.° de cárcavas registradas</t>
        </is>
      </c>
      <c r="D37" s="7" t="inlineStr">
        <is>
          <t>0 = no inventariadas</t>
        </is>
      </c>
      <c r="E37" s="8" t="n"/>
      <c r="F37" s="8" t="n"/>
    </row>
    <row r="38">
      <c r="A38" s="6" t="inlineStr">
        <is>
          <t>Elenco florístico (n.° de taxones)</t>
        </is>
      </c>
      <c r="B38" s="7" t="n">
        <v>10</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2026-07-20</t>
        </is>
      </c>
      <c r="E41" s="8" t="n"/>
      <c r="F41" s="8" t="n"/>
    </row>
    <row r="42">
      <c r="A42" s="6" t="inlineStr">
        <is>
          <t>Hora de registro</t>
        </is>
      </c>
      <c r="B42" s="7" t="inlineStr">
        <is>
          <t>Sin registro en ficha</t>
        </is>
      </c>
      <c r="C42" s="6" t="inlineStr">
        <is>
          <t>Correlativo de ficha</t>
        </is>
      </c>
      <c r="D42" s="7" t="inlineStr">
        <is>
          <t>F-DT-01-79</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0.547879</v>
      </c>
      <c r="C15" s="17" t="inlineStr">
        <is>
          <t>—</t>
        </is>
      </c>
      <c r="D15" s="17" t="inlineStr">
        <is>
          <t>Vigor moderado · clase 0.4976 - 0.6139</t>
        </is>
      </c>
      <c r="E15" s="17" t="inlineStr">
        <is>
          <t>Sobre umbral</t>
        </is>
      </c>
    </row>
    <row r="17" ht="72" customHeight="1">
      <c r="A17" s="9" t="inlineStr">
        <is>
          <t>NOTA METODOLÓGICA. La media del MSAVI 2024 del bloque (0.547879)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78.1103</v>
      </c>
      <c r="C21" s="19" t="n">
        <v>82.36</v>
      </c>
      <c r="D21" s="11" t="inlineStr">
        <is>
          <t>Dosel continuo, matorral denso o mosaico agroforestal</t>
        </is>
      </c>
      <c r="E21" s="11" t="inlineStr"/>
    </row>
    <row r="22">
      <c r="A22" s="14" t="inlineStr">
        <is>
          <t>Vegetación mediana</t>
        </is>
      </c>
      <c r="B22" s="20" t="n">
        <v>16.7133</v>
      </c>
      <c r="C22" s="21" t="n">
        <v>17.62</v>
      </c>
      <c r="D22" s="15" t="inlineStr">
        <is>
          <t>Pastizal cultivado, matorral ralo, parcelas agrícolas</t>
        </is>
      </c>
      <c r="E22" s="15" t="inlineStr"/>
    </row>
    <row r="23">
      <c r="A23" s="7" t="inlineStr">
        <is>
          <t>Vegetación ligera</t>
        </is>
      </c>
      <c r="B23" s="18" t="n">
        <v>0.0109</v>
      </c>
      <c r="C23" s="19" t="n">
        <v>0.01</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94.81</v>
      </c>
      <c r="C25" s="25" t="inlineStr">
        <is>
          <t>—</t>
        </is>
      </c>
      <c r="D25" s="25" t="inlineStr">
        <is>
          <t>Desviación planimétrica frente al catálogo</t>
        </is>
      </c>
      <c r="E25" s="25" t="inlineStr">
        <is>
          <t>+0.03 %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79</t>
        </is>
      </c>
    </row>
    <row r="6" ht="24" customHeight="1">
      <c r="A6" s="4" t="inlineStr">
        <is>
          <t>Levantamiento del 2026-07-20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650305</v>
      </c>
      <c r="D10" s="26" t="n">
        <v>9402785</v>
      </c>
      <c r="E10" s="11" t="n">
        <v>0</v>
      </c>
      <c r="F10" s="11" t="inlineStr"/>
      <c r="G10" s="11" t="inlineStr">
        <is>
          <t>Coordenada consignada en F-DT-01</t>
        </is>
      </c>
    </row>
    <row r="11">
      <c r="A11" s="14" t="inlineStr">
        <is>
          <t>H-01</t>
        </is>
      </c>
      <c r="B11" s="15" t="inlineStr">
        <is>
          <t>Fuente de agua — Río</t>
        </is>
      </c>
      <c r="C11" s="27" t="inlineStr">
        <is>
          <t>Por determinar</t>
        </is>
      </c>
      <c r="D11" s="27" t="inlineStr">
        <is>
          <t>Por determinar</t>
        </is>
      </c>
      <c r="E11" s="15" t="inlineStr"/>
      <c r="F11" s="15" t="inlineStr">
        <is>
          <t>Permanente</t>
        </is>
      </c>
      <c r="G11" s="15" t="inlineStr">
        <is>
          <t>Río Pusmalca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650305</v>
      </c>
      <c r="C14" s="6" t="inlineStr">
        <is>
          <t>Centroide del bloque — UTM NORTE (m)</t>
        </is>
      </c>
      <c r="D14" s="7" t="n">
        <v>9402785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consignada: COTA MEDIA DE GABINETE 898 msnm (sin registro GPS de campo). Rango altitudinal según MDE: 681-1 114 msnm (amplitud 433 m); pendiente promedio 17.59%. Centros poblados asociados: Almirante Miguel Grau y Huabal. Acceso: vía nacional asfaltada Piura – Canchaque, margen izquierda del río Pusmalca.</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C1076-Q9587 — BLOQUE 79</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C1076-Q9587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79</t>
        </is>
      </c>
      <c r="B10" s="28" t="n">
        <v>94.81</v>
      </c>
      <c r="C10" s="29" t="n">
        <v>86.2</v>
      </c>
      <c r="D10" s="13" t="inlineStr">
        <is>
          <t>681 – 1114</t>
        </is>
      </c>
      <c r="E10" s="13" t="n">
        <v>433</v>
      </c>
      <c r="F10" s="13" t="n">
        <v>17.59</v>
      </c>
      <c r="G10" s="30" t="n">
        <v>0.5479000000000001</v>
      </c>
      <c r="H10" s="29" t="n">
        <v>82.36</v>
      </c>
    </row>
    <row r="11">
      <c r="A11" s="14" t="inlineStr">
        <is>
          <t>75</t>
        </is>
      </c>
      <c r="B11" s="31" t="n">
        <v>15.18</v>
      </c>
      <c r="C11" s="21" t="n">
        <v>13.8</v>
      </c>
      <c r="D11" s="15" t="inlineStr">
        <is>
          <t>1912 – 2237</t>
        </is>
      </c>
      <c r="E11" s="15" t="n">
        <v>325</v>
      </c>
      <c r="F11" s="15" t="n">
        <v>39.19</v>
      </c>
      <c r="G11" s="20" t="n">
        <v>0.6309</v>
      </c>
      <c r="H11" s="21" t="n">
        <v>88.88</v>
      </c>
    </row>
    <row r="12">
      <c r="A12" s="16" t="inlineStr">
        <is>
          <t>TOTAL / PROMEDIO</t>
        </is>
      </c>
      <c r="B12" s="32">
        <f>SUM(B10:B11)</f>
        <v/>
      </c>
      <c r="C12" s="23">
        <f>SUM(C10:C11)</f>
        <v/>
      </c>
      <c r="D12" s="17" t="inlineStr">
        <is>
          <t>681 – 2237</t>
        </is>
      </c>
      <c r="E12" s="17" t="inlineStr"/>
      <c r="F12" s="17">
        <f>ROUND(AVERAGE(F10:F11),2)</f>
        <v/>
      </c>
      <c r="G12" s="22">
        <f>ROUND(AVERAGE(G10:G11),4)</f>
        <v/>
      </c>
      <c r="H12" s="23">
        <f>ROUND(AVERAGE(H10:H11),2)</f>
        <v/>
      </c>
    </row>
    <row r="14" ht="84" customHeight="1">
      <c r="A14" s="9" t="inlineStr">
        <is>
          <t>LECTURA INTRAMICROCUENCA. El bloque 79 ocupa el puesto 1 de 2 por superficie dentro de la microcuenca C1076-Q9587 (86.20 % de las 109.99 ha preliminares de la microcuenca). Su pendiente promedio (17.59 %, clase «15-25% (Fuert. inclinado)») es la 1.ª más baja de 2 y se sitúa por debajo del promedio de la microcuenca (28.39 %). Su MSAVI 2024 (0.5479) es el 2.º de 2 y queda por debajo del promedio local (0.5894). Amplitud altitudinal del bloque: 433 m (681–1114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«C1076-Q9587»</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0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(94.835 ha) coincide con la de catálogo (94.81 ha) dentro del ±2 % (+0.03 %)</t>
        </is>
      </c>
      <c r="D12" s="34" t="inlineStr">
        <is>
          <t>CONFORME</t>
        </is>
      </c>
      <c r="E12" s="33" t="inlineStr">
        <is>
          <t>Sin acción: la segmentación valida la geometría del bloque.</t>
        </is>
      </c>
    </row>
    <row r="13" ht="48" customHeight="1">
      <c r="A13" s="35" t="inlineStr">
        <is>
          <t>D-04</t>
        </is>
      </c>
      <c r="B13" s="35" t="inlineStr">
        <is>
          <t>Elenco florístico</t>
        </is>
      </c>
      <c r="C13" s="35" t="inlineStr">
        <is>
          <t>La ficha registra 10 taxones, por debajo del mínimo de 15 que exige el formato V5</t>
        </is>
      </c>
      <c r="D13" s="36" t="inlineStr">
        <is>
          <t>SUSTANTIVA</t>
        </is>
      </c>
      <c r="E13" s="35" t="inlineStr">
        <is>
          <t>Registro florístico preliminar, sin colecta ni determinación botánica formal. Debe cerrarse con colecta botánica en la siguiente campaña.</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«Almirante Miguel Grau (también Huabal)»; el cruce INEI-Bloques V5 identifica 2 centro(s) poblado(s) en el bloque: ALMIRANTE MIGUEL GRAU, HUABAL</t>
        </is>
      </c>
      <c r="D15" s="34" t="inlineStr">
        <is>
          <t>CONFORME</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F-DT-02</t>
        </is>
      </c>
      <c r="C17" s="35" t="inlineStr">
        <is>
          <t>La descripción física y de procesos erosivos NO fue transcrita en el Segundo Entregable (acápite 4.1.3.1.1 incompleto)</t>
        </is>
      </c>
      <c r="D17" s="36" t="inlineStr">
        <is>
          <t>SUSTANTIVA</t>
        </is>
      </c>
      <c r="E17" s="35" t="inlineStr">
        <is>
          <t>Completar con el formato de campo original del ANEXO 01</t>
        </is>
      </c>
    </row>
    <row r="18" ht="48" customHeight="1">
      <c r="A18" s="33" t="inlineStr">
        <is>
          <t>D-09</t>
        </is>
      </c>
      <c r="B18" s="33" t="inlineStr">
        <is>
          <t>F-DT-01</t>
        </is>
      </c>
      <c r="C18" s="33" t="inlineStr">
        <is>
          <t>Coordenadas = centroide del polígono; altitud = cota media de gabinete, sin registro GPS de campo</t>
        </is>
      </c>
      <c r="D18" s="13" t="inlineStr">
        <is>
          <t>NO SUSTANTIVA</t>
        </is>
      </c>
      <c r="E18" s="33" t="inlineStr">
        <is>
          <t>Declarado en la propia ficha</t>
        </is>
      </c>
    </row>
    <row r="19" ht="48" customHeight="1">
      <c r="A19" s="35" t="inlineStr">
        <is>
          <t>D-10</t>
        </is>
      </c>
      <c r="B19" s="35" t="inlineStr">
        <is>
          <t>F-DT-02</t>
        </is>
      </c>
      <c r="C19" s="35" t="inlineStr">
        <is>
          <t>0 cárcavas registradas sin inventario georreferenciado</t>
        </is>
      </c>
      <c r="D19" s="36" t="inlineStr">
        <is>
          <t>SUSTANTIVA</t>
        </is>
      </c>
      <c r="E19" s="35" t="inlineStr">
        <is>
          <t>No equivale a ausencia verificada</t>
        </is>
      </c>
    </row>
    <row r="20" ht="48" customHeight="1">
      <c r="A20" s="33" t="inlineStr">
        <is>
          <t>D-11</t>
        </is>
      </c>
      <c r="B20" s="33" t="inlineStr">
        <is>
          <t>F-DT-03</t>
        </is>
      </c>
      <c r="C20" s="33" t="inlineStr">
        <is>
          <t>Sin registro florístico transcrito; 10 entradas, varias sin nombre científico ni familia</t>
        </is>
      </c>
      <c r="D20" s="36" t="inlineStr">
        <is>
          <t>SUSTANTIVA</t>
        </is>
      </c>
      <c r="E20" s="33" t="inlineStr">
        <is>
          <t>Colecta botánica pendiente</t>
        </is>
      </c>
    </row>
    <row r="21" ht="48" customHeight="1">
      <c r="A21" s="35" t="inlineStr">
        <is>
          <t>D-12</t>
        </is>
      </c>
      <c r="B21" s="35" t="inlineStr">
        <is>
          <t>F-DT-03</t>
        </is>
      </c>
      <c r="C21" s="35" t="inlineStr">
        <is>
          <t>Cobertura vegetal total, superficie de ecosistema, coberturas por estrato, alturas y DAP sin medición</t>
        </is>
      </c>
      <c r="D21" s="36" t="inlineStr">
        <is>
          <t>SUSTANTIVA</t>
        </is>
      </c>
      <c r="E21" s="35" t="inlineStr">
        <is>
          <t>Levantamiento pendiente</t>
        </is>
      </c>
    </row>
    <row r="22" ht="48" customHeight="1">
      <c r="A22" s="33" t="inlineStr">
        <is>
          <t>D-13</t>
        </is>
      </c>
      <c r="B22" s="33" t="inlineStr">
        <is>
          <t>F-DT-04</t>
        </is>
      </c>
      <c r="C22" s="33" t="inlineStr">
        <is>
          <t>Indicadores 3 a 7 sin cuantificar</t>
        </is>
      </c>
      <c r="D22" s="13" t="inlineStr">
        <is>
          <t>NO SUSTANTIVA</t>
        </is>
      </c>
      <c r="E22" s="33" t="inlineStr">
        <is>
          <t>No fueron estimados ni inferidos</t>
        </is>
      </c>
    </row>
    <row r="24">
      <c r="A24" s="16" t="inlineStr">
        <is>
          <t>RESUMEN</t>
        </is>
      </c>
      <c r="B24" s="17" t="inlineStr">
        <is>
          <t>13 verificaciones</t>
        </is>
      </c>
      <c r="C24" s="17" t="inlineStr">
        <is>
          <t>CONFORME: 4 · NO SUSTANTIVA: 2 · SUSTANTIVA: 7</t>
        </is>
      </c>
      <c r="D24" s="17" t="inlineStr"/>
      <c r="E24" s="17" t="inlineStr"/>
    </row>
    <row r="26" ht="60" customHeight="1">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79 — IN Piura</dc:title>
  <dc:subject>Diagnóstico Territorial por bloque de intervención</dc:subject>
  <dcterms:created xsi:type="dcterms:W3CDTF">2026-09-08T03:39:54Z</dcterms:created>
  <dcterms:modified xsi:type="dcterms:W3CDTF">2026-09-08T03:39:54Z</dcterms:modified>
</cp:coreProperties>
</file>