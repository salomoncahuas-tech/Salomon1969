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67</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67</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Quitahuajara</t>
        </is>
      </c>
      <c r="C13" s="6" t="inlineStr">
        <is>
          <t>Comunidad campesina</t>
        </is>
      </c>
      <c r="D13" s="7" t="inlineStr">
        <is>
          <t>Por verificar</t>
        </is>
      </c>
      <c r="E13" s="8" t="n"/>
      <c r="F13" s="8" t="n"/>
    </row>
    <row r="14">
      <c r="A14" s="6" t="inlineStr">
        <is>
          <t>Superficie de catálogo (V5/V6), ha</t>
        </is>
      </c>
      <c r="B14" s="7" t="n">
        <v>13.18</v>
      </c>
      <c r="C14" s="6" t="inlineStr">
        <is>
          <t>Fuente de superficie</t>
        </is>
      </c>
      <c r="D14" s="7" t="inlineStr">
        <is>
          <t>Catálogo maestro Bloques V5/V6</t>
        </is>
      </c>
      <c r="E14" s="8" t="n"/>
      <c r="F14" s="8" t="n"/>
    </row>
    <row r="15">
      <c r="A15" s="6" t="inlineStr">
        <is>
          <t>Centroide UTM ESTE (m)</t>
        </is>
      </c>
      <c r="B15" s="7" t="n">
        <v>654207</v>
      </c>
      <c r="C15" s="6" t="inlineStr">
        <is>
          <t>Centroide UTM NORTE (m)</t>
        </is>
      </c>
      <c r="D15" s="7" t="n">
        <v>9394210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1575</v>
      </c>
      <c r="C19" s="6" t="inlineStr">
        <is>
          <t>Altitud máxima (msnm)</t>
        </is>
      </c>
      <c r="D19" s="7" t="n">
        <v>1770</v>
      </c>
      <c r="E19" s="8" t="n"/>
      <c r="F19" s="8" t="n"/>
    </row>
    <row r="20">
      <c r="A20" s="6" t="inlineStr">
        <is>
          <t>Amplitud altitudinal (m)</t>
        </is>
      </c>
      <c r="B20" s="7" t="n">
        <v>195</v>
      </c>
      <c r="C20" s="6" t="inlineStr">
        <is>
          <t>Piso altitudinal dominante</t>
        </is>
      </c>
      <c r="D20" s="7" t="inlineStr">
        <is>
          <t>1500-2000 m (Quechua media)</t>
        </is>
      </c>
      <c r="E20" s="8" t="n"/>
      <c r="F20" s="8" t="n"/>
    </row>
    <row r="21">
      <c r="A21" s="6" t="inlineStr">
        <is>
          <t>Pendiente promedio (%)</t>
        </is>
      </c>
      <c r="B21" s="7" t="n">
        <v>30.33</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Sin registro en ficha</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0.6052999999999999</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(97.50 %)</t>
        </is>
      </c>
      <c r="E29" s="8" t="n"/>
      <c r="F29" s="8" t="n"/>
    </row>
    <row r="30">
      <c r="A30" s="6" t="inlineStr">
        <is>
          <t>Superficie clasificada NDVI 2025 (ha)</t>
        </is>
      </c>
      <c r="B30" s="7" t="n">
        <v>13.187</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Bosque y matorral montano en recuperación bajo neblina (tipo MINAM no consignado)</t>
        </is>
      </c>
      <c r="C33" s="6" t="inlineStr">
        <is>
          <t>Superficie de ecosistema (ha)</t>
        </is>
      </c>
      <c r="D33" s="7" t="inlineStr">
        <is>
          <t>Por determinar</t>
        </is>
      </c>
      <c r="E33" s="8" t="n"/>
      <c r="F33" s="8" t="n"/>
    </row>
    <row r="34">
      <c r="A34" s="6" t="inlineStr">
        <is>
          <t>Estado de conservación</t>
        </is>
      </c>
      <c r="B34" s="7" t="inlineStr">
        <is>
          <t>Sin registro en ficha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Por verificar</t>
        </is>
      </c>
      <c r="E35" s="8" t="n"/>
      <c r="F35" s="8" t="n"/>
    </row>
    <row r="36">
      <c r="A36" s="6" t="inlineStr">
        <is>
          <t>Suelo desnudo — campo (%)</t>
        </is>
      </c>
      <c r="B36" s="7" t="inlineStr">
        <is>
          <t>Por determinar</t>
        </is>
      </c>
      <c r="C36" s="6" t="inlineStr">
        <is>
          <t>Regeneración natural</t>
        </is>
      </c>
      <c r="D36" s="7" t="inlineStr">
        <is>
          <t>Sin registro en ficha</t>
        </is>
      </c>
      <c r="E36" s="8" t="n"/>
      <c r="F36" s="8" t="n"/>
    </row>
    <row r="37">
      <c r="A37" s="6" t="inlineStr">
        <is>
          <t>Nivel general de erosión</t>
        </is>
      </c>
      <c r="B37" s="7" t="inlineStr">
        <is>
          <t>Moderada (surcos)</t>
        </is>
      </c>
      <c r="C37" s="6" t="inlineStr">
        <is>
          <t>N.° de cárcavas registradas</t>
        </is>
      </c>
      <c r="D37" s="7" t="inlineStr">
        <is>
          <t>No inventariadas</t>
        </is>
      </c>
      <c r="E37" s="8" t="n"/>
      <c r="F37" s="8" t="n"/>
    </row>
    <row r="38">
      <c r="A38" s="6" t="inlineStr">
        <is>
          <t>Elenco florístico (n.° de taxones)</t>
        </is>
      </c>
      <c r="B38" s="7" t="n">
        <v>14</v>
      </c>
      <c r="C38" s="6" t="inlineStr">
        <is>
          <t>Estado sanitario</t>
        </is>
      </c>
      <c r="D38" s="7" t="inlineStr">
        <is>
          <t>Sin registro en ficha</t>
        </is>
      </c>
      <c r="E38" s="8" t="n"/>
      <c r="F38" s="8" t="n"/>
    </row>
    <row r="40" ht="18" customHeight="1">
      <c r="A40" s="5" t="inlineStr">
        <is>
          <t>5. RESPONSABLE Y MODALIDAD DE LA EVALUACIÓN</t>
        </is>
      </c>
    </row>
    <row r="41">
      <c r="A41" s="6" t="inlineStr">
        <is>
          <t>Responsable de la evaluación</t>
        </is>
      </c>
      <c r="B41" s="7" t="inlineStr">
        <is>
          <t>Ing. Héctor Salomón Cahuas Miller</t>
        </is>
      </c>
      <c r="C41" s="6" t="inlineStr">
        <is>
          <t>Fecha de evaluación</t>
        </is>
      </c>
      <c r="D41" s="7" t="inlineStr">
        <is>
          <t>2026-07-21</t>
        </is>
      </c>
      <c r="E41" s="8" t="n"/>
      <c r="F41" s="8" t="n"/>
    </row>
    <row r="42">
      <c r="A42" s="6" t="inlineStr">
        <is>
          <t>Hora de registro</t>
        </is>
      </c>
      <c r="B42" s="7" t="inlineStr">
        <is>
          <t>16:50 h</t>
        </is>
      </c>
      <c r="C42" s="6" t="inlineStr">
        <is>
          <t>Correlativo de ficha</t>
        </is>
      </c>
      <c r="D42" s="7" t="inlineStr">
        <is>
          <t>F-DT-01..05/B67/2026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Por completar en gabinete/campo</t>
        </is>
      </c>
      <c r="E44" s="8" t="n"/>
      <c r="F44" s="8" t="n"/>
    </row>
    <row r="45">
      <c r="A45" s="6" t="inlineStr">
        <is>
          <t>Estaciones fotográficas georreferenciadas</t>
        </is>
      </c>
      <c r="B45" s="7" t="n">
        <v>0</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Apertura y mantenimiento de vía en ladera inestable, sumado a la presión agrícola sobre laderas</t>
        </is>
      </c>
      <c r="C48" s="6" t="inlineStr">
        <is>
          <t>Velocidad de degradación</t>
        </is>
      </c>
      <c r="D48" s="7" t="inlineStr">
        <is>
          <t>Sin registro en ficha</t>
        </is>
      </c>
      <c r="E48" s="8" t="n"/>
      <c r="F48" s="8" t="n"/>
    </row>
    <row r="49">
      <c r="A49" s="6" t="inlineStr">
        <is>
          <t>Reversibilidad técnica</t>
        </is>
      </c>
      <c r="B49" s="7" t="inlineStr">
        <is>
          <t>Sin registro en ficha</t>
        </is>
      </c>
      <c r="C49" s="6" t="inlineStr">
        <is>
          <t>Urgencia de intervención</t>
        </is>
      </c>
      <c r="D49" s="7" t="inlineStr">
        <is>
          <t>Sin registro en ficha</t>
        </is>
      </c>
      <c r="E49" s="8" t="n"/>
      <c r="F49" s="8" t="n"/>
    </row>
    <row r="50">
      <c r="A50" s="6" t="inlineStr">
        <is>
          <t>Urgencia de control de erosión</t>
        </is>
      </c>
      <c r="B50" s="7" t="inlineStr">
        <is>
          <t>Sin registro en ficha</t>
        </is>
      </c>
      <c r="C50" s="6" t="inlineStr">
        <is>
          <t>Zona de recarga hídrica</t>
        </is>
      </c>
      <c r="D50" s="7" t="inlineStr">
        <is>
          <t>Sin registro en ficha</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0.605293</v>
      </c>
      <c r="C15" s="17" t="inlineStr">
        <is>
          <t>—</t>
        </is>
      </c>
      <c r="D15" s="17" t="inlineStr">
        <is>
          <t>Vigor moderado · clase 0.4976 - 0.6139</t>
        </is>
      </c>
      <c r="E15" s="17" t="inlineStr">
        <is>
          <t>Sobre umbral</t>
        </is>
      </c>
    </row>
    <row r="17" ht="72" customHeight="1">
      <c r="A17" s="9" t="inlineStr">
        <is>
          <t>NOTA METODOLÓGICA. La media del MSAVI 2024 del bloque (0.605293)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12.8574</v>
      </c>
      <c r="C21" s="19" t="n">
        <v>97.5</v>
      </c>
      <c r="D21" s="11" t="inlineStr">
        <is>
          <t>Dosel continuo, matorral denso o mosaico agroforestal</t>
        </is>
      </c>
      <c r="E21" s="11" t="inlineStr"/>
    </row>
    <row r="22">
      <c r="A22" s="14" t="inlineStr">
        <is>
          <t>Vegetación mediana</t>
        </is>
      </c>
      <c r="B22" s="20" t="n">
        <v>0.3291</v>
      </c>
      <c r="C22" s="21" t="n">
        <v>2.5</v>
      </c>
      <c r="D22" s="15" t="inlineStr">
        <is>
          <t>Pastizal cultivado, matorral ralo, parcelas agrícolas</t>
        </is>
      </c>
      <c r="E22" s="15" t="inlineStr"/>
    </row>
    <row r="23">
      <c r="A23" s="16" t="inlineStr">
        <is>
          <t>TOTAL CLASIFICADO</t>
        </is>
      </c>
      <c r="B23" s="22">
        <f>SUM(B21:B22)</f>
        <v/>
      </c>
      <c r="C23" s="23">
        <f>SUM(C21:C22)</f>
        <v/>
      </c>
      <c r="D23" s="17" t="inlineStr"/>
      <c r="E23" s="17" t="inlineStr"/>
    </row>
    <row r="24">
      <c r="A24" s="24" t="inlineStr">
        <is>
          <t>Superficie de catálogo (V5/V6)</t>
        </is>
      </c>
      <c r="B24" s="25" t="n">
        <v>13.18</v>
      </c>
      <c r="C24" s="25" t="inlineStr">
        <is>
          <t>—</t>
        </is>
      </c>
      <c r="D24" s="25" t="inlineStr">
        <is>
          <t>Desviación planimétrica frente al catálogo</t>
        </is>
      </c>
      <c r="E24" s="25" t="inlineStr">
        <is>
          <t>+0.05 %</t>
        </is>
      </c>
    </row>
    <row r="26" ht="72"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67</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8661.200000000001</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654207</v>
      </c>
      <c r="C13" s="6" t="inlineStr">
        <is>
          <t>Centroide del bloque — UTM NORTE (m)</t>
        </is>
      </c>
      <c r="D13" s="7" t="n">
        <v>9394210</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del 21/07/2026 con GPS Garmin GPSMAP 66sr (track sobre Google Earth). FUERTE PENDIENTE (perfil GE: media 35.4%, máx. 54.3%; desnivel 204 m en 567 m). Rango altitudinal referencial GE 1 480-1 740 m (altitud puntual por completar desde el track). EVIDENCIAS DIRECTAS DE INESTABILIDAD: derrumbe de talud de corte sobre la vía y fractura/agrietamiento del suelo en el borde de la plataforma. Alcantarillas tipo arco de la vía con represamiento/empozamiento aguas arriba. ATENCIÓN: la ficha consigna UTM del punto de muestreo 645 575 E · 9 393 500 N, valor por defecto de la plantilla, distinto del centroide de catálogo (654 207 E · 9 394 210 N).</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67</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9</t>
        </is>
      </c>
      <c r="B10" s="27" t="n">
        <v>109.86</v>
      </c>
      <c r="C10" s="19" t="n">
        <v>40.1</v>
      </c>
      <c r="D10" s="11" t="inlineStr">
        <is>
          <t>1529 – 2264</t>
        </is>
      </c>
      <c r="E10" s="11" t="n">
        <v>735</v>
      </c>
      <c r="F10" s="11" t="n">
        <v>34.82</v>
      </c>
      <c r="G10" s="18" t="n">
        <v>0.5745</v>
      </c>
      <c r="H10" s="19" t="n">
        <v>90.23999999999999</v>
      </c>
    </row>
    <row r="11">
      <c r="A11" s="14" t="inlineStr">
        <is>
          <t>M22B1</t>
        </is>
      </c>
      <c r="B11" s="28" t="n">
        <v>55.17</v>
      </c>
      <c r="C11" s="21" t="n">
        <v>20.14</v>
      </c>
      <c r="D11" s="15" t="inlineStr">
        <is>
          <t>3216 – 3436</t>
        </is>
      </c>
      <c r="E11" s="15" t="n">
        <v>220</v>
      </c>
      <c r="F11" s="15" t="n">
        <v>19.98</v>
      </c>
      <c r="G11" s="20" t="n">
        <v>0.594</v>
      </c>
      <c r="H11" s="21" t="n">
        <v>91.05</v>
      </c>
    </row>
    <row r="12">
      <c r="A12" s="7" t="inlineStr">
        <is>
          <t>35</t>
        </is>
      </c>
      <c r="B12" s="27" t="n">
        <v>30.8</v>
      </c>
      <c r="C12" s="19" t="n">
        <v>11.24</v>
      </c>
      <c r="D12" s="11" t="inlineStr">
        <is>
          <t>1376 – 1621</t>
        </is>
      </c>
      <c r="E12" s="11" t="n">
        <v>245</v>
      </c>
      <c r="F12" s="11" t="n">
        <v>33.66</v>
      </c>
      <c r="G12" s="18" t="n">
        <v>0.6245000000000001</v>
      </c>
      <c r="H12" s="19" t="n">
        <v>98.17</v>
      </c>
    </row>
    <row r="13">
      <c r="A13" s="14" t="inlineStr">
        <is>
          <t>44</t>
        </is>
      </c>
      <c r="B13" s="28" t="n">
        <v>28.23</v>
      </c>
      <c r="C13" s="21" t="n">
        <v>10.3</v>
      </c>
      <c r="D13" s="15" t="inlineStr">
        <is>
          <t>3091 – 3277</t>
        </is>
      </c>
      <c r="E13" s="15" t="n">
        <v>186</v>
      </c>
      <c r="F13" s="15" t="n">
        <v>22.21</v>
      </c>
      <c r="G13" s="20" t="n">
        <v>0.5113</v>
      </c>
      <c r="H13" s="21" t="n">
        <v>83.84999999999999</v>
      </c>
    </row>
    <row r="14">
      <c r="A14" s="7" t="inlineStr">
        <is>
          <t>43</t>
        </is>
      </c>
      <c r="B14" s="27" t="n">
        <v>23.17</v>
      </c>
      <c r="C14" s="19" t="n">
        <v>8.460000000000001</v>
      </c>
      <c r="D14" s="11" t="inlineStr">
        <is>
          <t>251 – 811</t>
        </is>
      </c>
      <c r="E14" s="11" t="n">
        <v>560</v>
      </c>
      <c r="F14" s="11" t="n">
        <v>31.39</v>
      </c>
      <c r="G14" s="18" t="n">
        <v>0.5515</v>
      </c>
      <c r="H14" s="19" t="n">
        <v>78.91</v>
      </c>
    </row>
    <row r="15">
      <c r="A15" s="14" t="inlineStr">
        <is>
          <t>47</t>
        </is>
      </c>
      <c r="B15" s="28" t="n">
        <v>13.55</v>
      </c>
      <c r="C15" s="21" t="n">
        <v>4.95</v>
      </c>
      <c r="D15" s="15" t="inlineStr">
        <is>
          <t>2105 – 2333</t>
        </is>
      </c>
      <c r="E15" s="15" t="n">
        <v>228</v>
      </c>
      <c r="F15" s="15" t="n">
        <v>32.43</v>
      </c>
      <c r="G15" s="20" t="n">
        <v>0.5936</v>
      </c>
      <c r="H15" s="21" t="n">
        <v>91.26000000000001</v>
      </c>
    </row>
    <row r="16">
      <c r="A16" s="12" t="inlineStr">
        <is>
          <t>► 67</t>
        </is>
      </c>
      <c r="B16" s="29" t="n">
        <v>13.18</v>
      </c>
      <c r="C16" s="30" t="n">
        <v>4.81</v>
      </c>
      <c r="D16" s="13" t="inlineStr">
        <is>
          <t>1575 – 1770</t>
        </is>
      </c>
      <c r="E16" s="13" t="n">
        <v>195</v>
      </c>
      <c r="F16" s="13" t="n">
        <v>30.33</v>
      </c>
      <c r="G16" s="31" t="n">
        <v>0.6052999999999999</v>
      </c>
      <c r="H16" s="30" t="n">
        <v>97.5</v>
      </c>
    </row>
    <row r="17">
      <c r="A17" s="16" t="inlineStr">
        <is>
          <t>TOTAL / PROMEDIO</t>
        </is>
      </c>
      <c r="B17" s="32">
        <f>SUM(B10:B16)</f>
        <v/>
      </c>
      <c r="C17" s="23">
        <f>SUM(C10:C16)</f>
        <v/>
      </c>
      <c r="D17" s="17" t="inlineStr">
        <is>
          <t>251 – 3436</t>
        </is>
      </c>
      <c r="E17" s="17" t="inlineStr"/>
      <c r="F17" s="17">
        <f>ROUND(AVERAGE(F10:F16),2)</f>
        <v/>
      </c>
      <c r="G17" s="22">
        <f>ROUND(AVERAGE(G10:G16),4)</f>
        <v/>
      </c>
      <c r="H17" s="23">
        <f>ROUND(AVERAGE(H10:H16),2)</f>
        <v/>
      </c>
    </row>
    <row r="19" ht="84" customHeight="1">
      <c r="A19" s="9" t="inlineStr">
        <is>
          <t>LECTURA INTRAMICROCUENCA. El bloque 67 ocupa el puesto 7 de 7 por superficie dentro de la microcuenca C1076-Q9586 (4.81 % de las 273.96 ha preliminares de la microcuenca). Su pendiente promedio (30.33 %, clase «25-50% (Mod. escarpado)») es la 3.ª más baja de 7 y se sitúa por encima del promedio de la microcuenca (29.26 %). Su MSAVI 2024 (0.6053) es el 2.º de 7 y queda por encima del promedio local (0.5793). Amplitud altitudinal del bloque: 195 m (1575–1770 msnm). El cuadro conserva todos los bloques catalogados en la microcuenca, incluidos los descartados en el tamizaje, para referencia del conjunto. Los bloques sin ficha DT figuran con sus parámetros de gabinete.</t>
        </is>
      </c>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67</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«C1076-Q9586»</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9393500 N) dista 8,661 m del centroide de catálogo (654207 E / 9394210 N), distancia incompatible con la superficie del bloque (13.18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(13.187 ha) coincide con la de catálogo (13.18 ha) dentro del ±2 % (+0.05 %)</t>
        </is>
      </c>
      <c r="D12" s="34" t="inlineStr">
        <is>
          <t>CONFORME</t>
        </is>
      </c>
      <c r="E12" s="33" t="inlineStr">
        <is>
          <t>Sin acción: la segmentación valida la geometría del bloque.</t>
        </is>
      </c>
    </row>
    <row r="13" ht="48" customHeight="1">
      <c r="A13" s="35" t="inlineStr">
        <is>
          <t>D-04</t>
        </is>
      </c>
      <c r="B13" s="35" t="inlineStr">
        <is>
          <t>Altitud GPS del punto de muestreo</t>
        </is>
      </c>
      <c r="C13" s="35" t="inlineStr">
        <is>
          <t>La aplicación de captura no registró altitud GPS en campo</t>
        </is>
      </c>
      <c r="D13" s="13" t="inlineStr">
        <is>
          <t>NO SUSTANTIVA</t>
        </is>
      </c>
      <c r="E13" s="35" t="inlineStr">
        <is>
          <t>El rango altitudinal del bloque (1575–1770 msnm) y la pendiente promedio (30.33 %) se toman de la estadística zonal sobre el MDE, no de medición de campo. Se declara la fuente.</t>
        </is>
      </c>
    </row>
    <row r="14" ht="48" customHeight="1">
      <c r="A14" s="33" t="inlineStr">
        <is>
          <t>D-05</t>
        </is>
      </c>
      <c r="B14" s="33" t="inlineStr">
        <is>
          <t>Dimensiones del inventario de cárcavas</t>
        </is>
      </c>
      <c r="C14" s="33" t="inlineStr">
        <is>
          <t>Se registran No inventariadas rasgos erosivos, pero longitud, profundidad y ancho no fueron medidos instrumentalmente</t>
        </is>
      </c>
      <c r="D14" s="13"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14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«Quitahuajara»; el cruce INEI-Bloques V5 identifica 1 centro(s) poblado(s) en el bloque: PIEDRA GRANDE</t>
        </is>
      </c>
      <c r="D17" s="13" t="inlineStr">
        <is>
          <t>NO SUSTANTIVA</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Ficha DT</t>
        </is>
      </c>
      <c r="C19" s="35" t="inlineStr">
        <is>
          <t>UTM del punto de muestreo 645 575 E · 9 393 500 N corresponde al valor por defecto de la plantilla; el centroide de catálogo es 654 207 E · 9 394 210 N</t>
        </is>
      </c>
      <c r="D19" s="36" t="inlineStr">
        <is>
          <t>SUSTANTIVA</t>
        </is>
      </c>
      <c r="E19" s="35" t="inlineStr">
        <is>
          <t>Georreferencia por reponer desde el track GPS del 21/07/2026</t>
        </is>
      </c>
    </row>
    <row r="20" ht="48" customHeight="1">
      <c r="A20" s="33" t="inlineStr">
        <is>
          <t>D-11</t>
        </is>
      </c>
      <c r="B20" s="33" t="inlineStr">
        <is>
          <t>Plan de Ingreso</t>
        </is>
      </c>
      <c r="C20" s="33" t="inlineStr">
        <is>
          <t>Altitud = 0 msnm (captura por defecto del aplicativo)</t>
        </is>
      </c>
      <c r="D20" s="13" t="inlineStr">
        <is>
          <t>NO SUSTANTIVA</t>
        </is>
      </c>
      <c r="E20" s="33" t="inlineStr">
        <is>
          <t>Se sustituye por el rango del MDE</t>
        </is>
      </c>
    </row>
    <row r="21" ht="48" customHeight="1">
      <c r="A21" s="35" t="inlineStr">
        <is>
          <t>D-12</t>
        </is>
      </c>
      <c r="B21" s="35" t="inlineStr">
        <is>
          <t>F-DT-02</t>
        </is>
      </c>
      <c r="C21" s="35" t="inlineStr">
        <is>
          <t>Inventario formal de cárcavas no realizado; el nivel de erosión es apreciación preliminar</t>
        </is>
      </c>
      <c r="D21" s="36" t="inlineStr">
        <is>
          <t>SUSTANTIVA</t>
        </is>
      </c>
      <c r="E21" s="35" t="inlineStr">
        <is>
          <t>Levantamiento pendiente</t>
        </is>
      </c>
    </row>
    <row r="22" ht="48" customHeight="1">
      <c r="A22" s="33" t="inlineStr">
        <is>
          <t>D-13</t>
        </is>
      </c>
      <c r="B22" s="33" t="inlineStr">
        <is>
          <t>F-DT-03</t>
        </is>
      </c>
      <c r="C22" s="33" t="inlineStr">
        <is>
          <t>Cobertura vegetal total, coberturas por estrato, alturas, DAP y parcela sin registrar</t>
        </is>
      </c>
      <c r="D22" s="36" t="inlineStr">
        <is>
          <t>SUSTANTIVA</t>
        </is>
      </c>
      <c r="E22" s="33" t="inlineStr">
        <is>
          <t>Pendientes de completar en gabinete/campo</t>
        </is>
      </c>
    </row>
    <row r="23" ht="48" customHeight="1">
      <c r="A23" s="35" t="inlineStr">
        <is>
          <t>D-14</t>
        </is>
      </c>
      <c r="B23" s="35" t="inlineStr">
        <is>
          <t>F-DT-04</t>
        </is>
      </c>
      <c r="C23" s="35" t="inlineStr">
        <is>
          <t>Ningún indicador cuantitativo diligenciado (8/8 vacíos); velocidad, reversibilidad y urgencia no consignadas</t>
        </is>
      </c>
      <c r="D23" s="36" t="inlineStr">
        <is>
          <t>SUSTANTIVA</t>
        </is>
      </c>
      <c r="E23" s="35" t="inlineStr">
        <is>
          <t>Cuantificación y calificación pendientes</t>
        </is>
      </c>
    </row>
    <row r="24" ht="48" customHeight="1">
      <c r="A24" s="33" t="inlineStr">
        <is>
          <t>D-15</t>
        </is>
      </c>
      <c r="B24" s="33" t="inlineStr">
        <is>
          <t>F-DT-05</t>
        </is>
      </c>
      <c r="C24" s="33" t="inlineStr">
        <is>
          <t>Inventario de fuentes de agua vacío; los cuerpos de agua observados son artificiales (drenaje vial)</t>
        </is>
      </c>
      <c r="D24" s="13" t="inlineStr">
        <is>
          <t>NO SUSTANTIVA</t>
        </is>
      </c>
      <c r="E24" s="33" t="inlineStr">
        <is>
          <t>Declarado en la propia ficha</t>
        </is>
      </c>
    </row>
    <row r="26">
      <c r="A26" s="16" t="inlineStr">
        <is>
          <t>RESUMEN</t>
        </is>
      </c>
      <c r="B26" s="17" t="inlineStr">
        <is>
          <t>15 verificaciones</t>
        </is>
      </c>
      <c r="C26" s="17" t="inlineStr">
        <is>
          <t>CONFORME: 2 · NO SUSTANTIVA: 5 · SUSTANTIVA: 8</t>
        </is>
      </c>
      <c r="D26" s="17" t="inlineStr"/>
      <c r="E26" s="17" t="inlineStr"/>
    </row>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28:E28"/>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67 — IN Piura</dc:title>
  <dc:subject>Diagnóstico Territorial por bloque de intervención</dc:subject>
  <dcterms:created xsi:type="dcterms:W3CDTF">2026-09-08T03:39:57Z</dcterms:created>
  <dcterms:modified xsi:type="dcterms:W3CDTF">2026-09-08T03:39:57Z</dcterms:modified>
</cp:coreProperties>
</file>