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Quitahuajara</t>
        </is>
      </c>
      <c r="C13" s="6" t="inlineStr">
        <is>
          <t>Comunidad campesina</t>
        </is>
      </c>
      <c r="D13" s="7" t="inlineStr">
        <is>
          <t>Por verificar</t>
        </is>
      </c>
      <c r="E13" s="8" t="n"/>
      <c r="F13" s="8" t="n"/>
    </row>
    <row r="14">
      <c r="A14" s="6" t="inlineStr">
        <is>
          <t>Superficie de catálogo (V5/V6), ha</t>
        </is>
      </c>
      <c r="B14" s="7" t="n">
        <v>13.18</v>
      </c>
      <c r="C14" s="6" t="inlineStr">
        <is>
          <t>Fuente de superficie</t>
        </is>
      </c>
      <c r="D14" s="7" t="inlineStr">
        <is>
          <t>Catálogo maestro Bloques V5/V6</t>
        </is>
      </c>
      <c r="E14" s="8" t="n"/>
      <c r="F14" s="8" t="n"/>
    </row>
    <row r="15">
      <c r="A15" s="6" t="inlineStr">
        <is>
          <t>Centroide UTM ESTE (m)</t>
        </is>
      </c>
      <c r="B15" s="7" t="n">
        <v>654207</v>
      </c>
      <c r="C15" s="6" t="inlineStr">
        <is>
          <t>Centroide UTM NORTE (m)</t>
        </is>
      </c>
      <c r="D15" s="7" t="n">
        <v>9394210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1575</v>
      </c>
      <c r="C19" s="6" t="inlineStr">
        <is>
          <t>Altitud máxima (msnm)</t>
        </is>
      </c>
      <c r="D19" s="7" t="n">
        <v>1770</v>
      </c>
      <c r="E19" s="8" t="n"/>
      <c r="F19" s="8" t="n"/>
    </row>
    <row r="20">
      <c r="A20" s="6" t="inlineStr">
        <is>
          <t>Amplitud altitudinal (m)</t>
        </is>
      </c>
      <c r="B20" s="7" t="n">
        <v>195</v>
      </c>
      <c r="C20" s="6" t="inlineStr">
        <is>
          <t>Piso altitudinal dominante</t>
        </is>
      </c>
      <c r="D20" s="7" t="inlineStr">
        <is>
          <t>1500-2000 m (Quechua media)</t>
        </is>
      </c>
      <c r="E20" s="8" t="n"/>
      <c r="F20" s="8" t="n"/>
    </row>
    <row r="21">
      <c r="A21" s="6" t="inlineStr">
        <is>
          <t>Pendiente promedio (%)</t>
        </is>
      </c>
      <c r="B21" s="7" t="n">
        <v>30.33</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Sin registro en ficha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0.6052999999999999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(97.50 %)</t>
        </is>
      </c>
      <c r="E29" s="8" t="n"/>
      <c r="F29" s="8" t="n"/>
    </row>
    <row r="30">
      <c r="A30" s="6" t="inlineStr">
        <is>
          <t>Superficie clasificada NDVI 2025 (ha)</t>
        </is>
      </c>
      <c r="B30" s="7" t="n">
        <v>13.187</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y matorral montano en recuperación bajo neblina (tipo MINAM no consignado)</t>
        </is>
      </c>
      <c r="C33" s="6" t="inlineStr">
        <is>
          <t>Superficie de ecosistema (ha)</t>
        </is>
      </c>
      <c r="D33" s="7" t="inlineStr">
        <is>
          <t>Por determinar</t>
        </is>
      </c>
      <c r="E33" s="8" t="n"/>
      <c r="F33" s="8" t="n"/>
    </row>
    <row r="34">
      <c r="A34" s="6" t="inlineStr">
        <is>
          <t>Estado de conservación</t>
        </is>
      </c>
      <c r="B34" s="7" t="inlineStr">
        <is>
          <t>Sin registro en ficha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verificar</t>
        </is>
      </c>
      <c r="E35" s="8" t="n"/>
      <c r="F35" s="8" t="n"/>
    </row>
    <row r="36">
      <c r="A36" s="6" t="inlineStr">
        <is>
          <t>Suelo desnudo — campo (%)</t>
        </is>
      </c>
      <c r="B36" s="7" t="inlineStr">
        <is>
          <t>Por determinar</t>
        </is>
      </c>
      <c r="C36" s="6" t="inlineStr">
        <is>
          <t>Regeneración natural</t>
        </is>
      </c>
      <c r="D36" s="7" t="inlineStr">
        <is>
          <t>Sin registro en ficha</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14</v>
      </c>
      <c r="C38" s="6" t="inlineStr">
        <is>
          <t>Estado sanitario</t>
        </is>
      </c>
      <c r="D38" s="7" t="inlineStr">
        <is>
          <t>Sin registro en ficha</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16:50 h</t>
        </is>
      </c>
      <c r="C42" s="6" t="inlineStr">
        <is>
          <t>Correlativo de ficha</t>
        </is>
      </c>
      <c r="D42" s="7" t="inlineStr">
        <is>
          <t>F-DT-01..05/B67/2026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completar en gabinete/campo</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Apertura y mantenimiento de vía en ladera inestable, sumado a la presión agrícola sobre laderas</t>
        </is>
      </c>
      <c r="C48" s="6" t="inlineStr">
        <is>
          <t>Velocidad de degradación</t>
        </is>
      </c>
      <c r="D48" s="7" t="inlineStr">
        <is>
          <t>Sin registro en ficha</t>
        </is>
      </c>
      <c r="E48" s="8" t="n"/>
      <c r="F48" s="8" t="n"/>
    </row>
    <row r="49">
      <c r="A49" s="6" t="inlineStr">
        <is>
          <t>Reversibilidad técnica</t>
        </is>
      </c>
      <c r="B49" s="7" t="inlineStr">
        <is>
          <t>Sin registro en ficha</t>
        </is>
      </c>
      <c r="C49" s="6" t="inlineStr">
        <is>
          <t>Urgencia de intervención</t>
        </is>
      </c>
      <c r="D49" s="7" t="inlineStr">
        <is>
          <t>Sin registro en ficha</t>
        </is>
      </c>
      <c r="E49" s="8" t="n"/>
      <c r="F49" s="8" t="n"/>
    </row>
    <row r="50">
      <c r="A50" s="6" t="inlineStr">
        <is>
          <t>Urgencia de control de erosión</t>
        </is>
      </c>
      <c r="B50" s="7" t="inlineStr">
        <is>
          <t>Sin registro en ficha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0.605293</v>
      </c>
      <c r="C15" s="17" t="inlineStr">
        <is>
          <t>—</t>
        </is>
      </c>
      <c r="D15" s="17" t="inlineStr">
        <is>
          <t>Vigor moderado · clase 0.4976 - 0.6139</t>
        </is>
      </c>
      <c r="E15" s="17" t="inlineStr">
        <is>
          <t>Sobre umbral</t>
        </is>
      </c>
    </row>
    <row r="17" ht="72" customHeight="1">
      <c r="A17" s="9" t="inlineStr">
        <is>
          <t>NOTA METODOLÓGICA. La media del MSAVI 2024 del bloque (0.605293)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12.8574</v>
      </c>
      <c r="C21" s="19" t="n">
        <v>97.5</v>
      </c>
      <c r="D21" s="11" t="inlineStr">
        <is>
          <t>Dosel continuo, matorral denso o mosaico agroforestal</t>
        </is>
      </c>
      <c r="E21" s="11" t="inlineStr"/>
    </row>
    <row r="22">
      <c r="A22" s="14" t="inlineStr">
        <is>
          <t>Vegetación mediana</t>
        </is>
      </c>
      <c r="B22" s="20" t="n">
        <v>0.3291</v>
      </c>
      <c r="C22" s="21" t="n">
        <v>2.5</v>
      </c>
      <c r="D22" s="15" t="inlineStr">
        <is>
          <t>Pastizal cultivado, matorral ralo, parcelas agrícolas</t>
        </is>
      </c>
      <c r="E22" s="15" t="inlineStr"/>
    </row>
    <row r="23">
      <c r="A23" s="16" t="inlineStr">
        <is>
          <t>TOTAL CLASIFICADO</t>
        </is>
      </c>
      <c r="B23" s="22">
        <f>SUM(B21:B22)</f>
        <v/>
      </c>
      <c r="C23" s="23">
        <f>SUM(C21:C22)</f>
        <v/>
      </c>
      <c r="D23" s="17" t="inlineStr"/>
      <c r="E23" s="17" t="inlineStr"/>
    </row>
    <row r="24">
      <c r="A24" s="24" t="inlineStr">
        <is>
          <t>Superficie de catálogo (V5/V6)</t>
        </is>
      </c>
      <c r="B24" s="25" t="n">
        <v>13.18</v>
      </c>
      <c r="C24" s="25" t="inlineStr">
        <is>
          <t>—</t>
        </is>
      </c>
      <c r="D24" s="25" t="inlineStr">
        <is>
          <t>Desviación planimétrica frente al catálogo</t>
        </is>
      </c>
      <c r="E24" s="25" t="inlineStr">
        <is>
          <t>+0.05 %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67</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8661.200000000001</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654207</v>
      </c>
      <c r="C13" s="6" t="inlineStr">
        <is>
          <t>Centroide del bloque — UTM NORTE (m)</t>
        </is>
      </c>
      <c r="D13" s="7" t="n">
        <v>9394210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21/07/2026 con GPS Garmin GPSMAP 66sr (track sobre Google Earth). FUERTE PENDIENTE (perfil GE: media 35.4%, máx. 54.3%; desnivel 204 m en 567 m). Rango altitudinal referencial GE 1 480-1 740 m (altitud puntual por completar desde el track). EVIDENCIAS DIRECTAS DE INESTABILIDAD: derrumbe de talud de corte sobre la vía y fractura/agrietamiento del suelo en el borde de la plataforma. Alcantarillas tipo arco de la vía con represamiento/empozamiento aguas arriba. ATENCIÓN: la ficha consigna UTM del punto de muestreo 645 575 E · 9 393 500 N, valor por defecto de la plantilla, distinto del centroide de catálogo (654 207 E · 9 394 210 N).</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67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7" t="n">
        <v>109.86</v>
      </c>
      <c r="C10" s="19" t="n">
        <v>40.1</v>
      </c>
      <c r="D10" s="11" t="inlineStr">
        <is>
          <t>1529 – 2264</t>
        </is>
      </c>
      <c r="E10" s="11" t="n">
        <v>735</v>
      </c>
      <c r="F10" s="11" t="n">
        <v>34.82</v>
      </c>
      <c r="G10" s="18" t="n">
        <v>0.5745</v>
      </c>
      <c r="H10" s="19" t="n">
        <v>90.23999999999999</v>
      </c>
    </row>
    <row r="11">
      <c r="A11" s="14" t="inlineStr">
        <is>
          <t>M22B1</t>
        </is>
      </c>
      <c r="B11" s="28" t="n">
        <v>55.17</v>
      </c>
      <c r="C11" s="21" t="n">
        <v>20.14</v>
      </c>
      <c r="D11" s="15" t="inlineStr">
        <is>
          <t>3216 – 3436</t>
        </is>
      </c>
      <c r="E11" s="15" t="n">
        <v>220</v>
      </c>
      <c r="F11" s="15" t="n">
        <v>19.98</v>
      </c>
      <c r="G11" s="20" t="n">
        <v>0.594</v>
      </c>
      <c r="H11" s="21" t="n">
        <v>91.05</v>
      </c>
    </row>
    <row r="12">
      <c r="A12" s="7" t="inlineStr">
        <is>
          <t>35</t>
        </is>
      </c>
      <c r="B12" s="27" t="n">
        <v>30.8</v>
      </c>
      <c r="C12" s="19" t="n">
        <v>11.24</v>
      </c>
      <c r="D12" s="11" t="inlineStr">
        <is>
          <t>1376 – 1621</t>
        </is>
      </c>
      <c r="E12" s="11" t="n">
        <v>245</v>
      </c>
      <c r="F12" s="11" t="n">
        <v>33.66</v>
      </c>
      <c r="G12" s="18" t="n">
        <v>0.6245000000000001</v>
      </c>
      <c r="H12" s="19" t="n">
        <v>98.17</v>
      </c>
    </row>
    <row r="13">
      <c r="A13" s="14" t="inlineStr">
        <is>
          <t>44</t>
        </is>
      </c>
      <c r="B13" s="28" t="n">
        <v>28.23</v>
      </c>
      <c r="C13" s="21" t="n">
        <v>10.3</v>
      </c>
      <c r="D13" s="15" t="inlineStr">
        <is>
          <t>3091 – 3277</t>
        </is>
      </c>
      <c r="E13" s="15" t="n">
        <v>186</v>
      </c>
      <c r="F13" s="15" t="n">
        <v>22.21</v>
      </c>
      <c r="G13" s="20" t="n">
        <v>0.5113</v>
      </c>
      <c r="H13" s="21" t="n">
        <v>83.84999999999999</v>
      </c>
    </row>
    <row r="14">
      <c r="A14" s="7" t="inlineStr">
        <is>
          <t>43</t>
        </is>
      </c>
      <c r="B14" s="27" t="n">
        <v>23.17</v>
      </c>
      <c r="C14" s="19" t="n">
        <v>8.460000000000001</v>
      </c>
      <c r="D14" s="11" t="inlineStr">
        <is>
          <t>251 – 811</t>
        </is>
      </c>
      <c r="E14" s="11" t="n">
        <v>560</v>
      </c>
      <c r="F14" s="11" t="n">
        <v>31.39</v>
      </c>
      <c r="G14" s="18" t="n">
        <v>0.5515</v>
      </c>
      <c r="H14" s="19" t="n">
        <v>78.91</v>
      </c>
    </row>
    <row r="15">
      <c r="A15" s="14" t="inlineStr">
        <is>
          <t>47</t>
        </is>
      </c>
      <c r="B15" s="28" t="n">
        <v>13.55</v>
      </c>
      <c r="C15" s="21" t="n">
        <v>4.95</v>
      </c>
      <c r="D15" s="15" t="inlineStr">
        <is>
          <t>2105 – 2333</t>
        </is>
      </c>
      <c r="E15" s="15" t="n">
        <v>228</v>
      </c>
      <c r="F15" s="15" t="n">
        <v>32.43</v>
      </c>
      <c r="G15" s="20" t="n">
        <v>0.5936</v>
      </c>
      <c r="H15" s="21" t="n">
        <v>91.26000000000001</v>
      </c>
    </row>
    <row r="16">
      <c r="A16" s="12" t="inlineStr">
        <is>
          <t>► 67</t>
        </is>
      </c>
      <c r="B16" s="29" t="n">
        <v>13.18</v>
      </c>
      <c r="C16" s="30" t="n">
        <v>4.81</v>
      </c>
      <c r="D16" s="13" t="inlineStr">
        <is>
          <t>1575 – 1770</t>
        </is>
      </c>
      <c r="E16" s="13" t="n">
        <v>195</v>
      </c>
      <c r="F16" s="13" t="n">
        <v>30.33</v>
      </c>
      <c r="G16" s="31" t="n">
        <v>0.6052999999999999</v>
      </c>
      <c r="H16" s="30" t="n">
        <v>97.5</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67 ocupa el puesto 7 de 7 por superficie dentro de la microcuenca C1076-Q9586 (4.81 % de las 273.96 ha preliminares de la microcuenca). Su pendiente promedio (30.33 %, clase «25-50% (Mod. escarpado)») es la 3.ª más baja de 7 y se sitúa por encima del promedio de la microcuenca (29.26 %). Su MSAVI 2024 (0.6053) es el 2.º de 7 y queda por encima del promedio local (0.5793). Amplitud altitudinal del bloque: 195 m (1575–1770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8,661 m del centroide de catálogo (654207 E / 9394210 N), distancia incompatible con la superficie del bloque (13.18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(13.187 ha) coincide con la de catálogo (13.18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(1575–1770 msnm) y la pendiente promedio (30.33 %) se toman de la estadística zonal sobre el MDE, no de medición de campo. Se declara la fuente.</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«Quitahuajara»; el cruce INEI-Bloques V5 identifica 1 centro(s) poblado(s) en el bloque: PIEDRA GRANDE</t>
        </is>
      </c>
      <c r="D17" s="13"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UTM del punto de muestreo 645 575 E · 9 393 500 N corresponde al valor por defecto de la plantilla; el centroide de catálogo es 654 207 E · 9 394 210 N</t>
        </is>
      </c>
      <c r="D19" s="36" t="inlineStr">
        <is>
          <t>SUSTANTIVA</t>
        </is>
      </c>
      <c r="E19" s="35" t="inlineStr">
        <is>
          <t>Georreferencia por reponer desde el track GPS del 21/07/2026</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t>
        </is>
      </c>
    </row>
    <row r="21" ht="48" customHeight="1">
      <c r="A21" s="35" t="inlineStr">
        <is>
          <t>D-12</t>
        </is>
      </c>
      <c r="B21" s="35" t="inlineStr">
        <is>
          <t>F-DT-02</t>
        </is>
      </c>
      <c r="C21" s="35" t="inlineStr">
        <is>
          <t>Inventario formal de cárcavas no realizado; el nivel de erosión es apreciación preliminar</t>
        </is>
      </c>
      <c r="D21" s="36" t="inlineStr">
        <is>
          <t>SUSTANTIVA</t>
        </is>
      </c>
      <c r="E21" s="35" t="inlineStr">
        <is>
          <t>Levantamiento pendiente</t>
        </is>
      </c>
    </row>
    <row r="22" ht="48" customHeight="1">
      <c r="A22" s="33" t="inlineStr">
        <is>
          <t>D-13</t>
        </is>
      </c>
      <c r="B22" s="33" t="inlineStr">
        <is>
          <t>F-DT-03</t>
        </is>
      </c>
      <c r="C22" s="33" t="inlineStr">
        <is>
          <t>Cobertura vegetal total, coberturas por estrato, alturas, DAP y parcela sin registrar</t>
        </is>
      </c>
      <c r="D22" s="36" t="inlineStr">
        <is>
          <t>SUSTANTIVA</t>
        </is>
      </c>
      <c r="E22" s="33" t="inlineStr">
        <is>
          <t>Pendientes de completar en gabinete/campo</t>
        </is>
      </c>
    </row>
    <row r="23" ht="48" customHeight="1">
      <c r="A23" s="35" t="inlineStr">
        <is>
          <t>D-14</t>
        </is>
      </c>
      <c r="B23" s="35" t="inlineStr">
        <is>
          <t>F-DT-04</t>
        </is>
      </c>
      <c r="C23" s="35" t="inlineStr">
        <is>
          <t>Ningún indicador cuantitativo diligenciado (8/8 vacíos); velocidad, reversibilidad y urgencia no consignadas</t>
        </is>
      </c>
      <c r="D23" s="36" t="inlineStr">
        <is>
          <t>SUSTANTIVA</t>
        </is>
      </c>
      <c r="E23" s="35" t="inlineStr">
        <is>
          <t>Cuantificación y calificación pendientes</t>
        </is>
      </c>
    </row>
    <row r="24" ht="48" customHeight="1">
      <c r="A24" s="33" t="inlineStr">
        <is>
          <t>D-15</t>
        </is>
      </c>
      <c r="B24" s="33" t="inlineStr">
        <is>
          <t>F-DT-05</t>
        </is>
      </c>
      <c r="C24" s="33" t="inlineStr">
        <is>
          <t>Inventario de fuentes de agua vacío; los cuerpos de agua observados son artificiales (drenaje vial)</t>
        </is>
      </c>
      <c r="D24" s="13" t="inlineStr">
        <is>
          <t>NO SUSTANTIVA</t>
        </is>
      </c>
      <c r="E24" s="33" t="inlineStr">
        <is>
          <t>Declarado en la propia ficha</t>
        </is>
      </c>
    </row>
    <row r="26">
      <c r="A26" s="16" t="inlineStr">
        <is>
          <t>RESUMEN</t>
        </is>
      </c>
      <c r="B26" s="17" t="inlineStr">
        <is>
          <t>15 verificaciones</t>
        </is>
      </c>
      <c r="C26" s="17" t="inlineStr">
        <is>
          <t>CONFORME: 2 · NO SUSTANTIVA: 5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67 — IN Piura</dc:title>
  <dc:subject>Diagnóstico Territorial por bloque de intervención</dc:subject>
  <dcterms:created xsi:type="dcterms:W3CDTF">2026-09-08T02:45:05Z</dcterms:created>
  <dcterms:modified xsi:type="dcterms:W3CDTF">2026-09-08T02:45:05Z</dcterms:modified>
</cp:coreProperties>
</file>