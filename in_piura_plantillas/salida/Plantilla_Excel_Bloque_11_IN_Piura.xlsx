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11</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11</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Taylin de Tuñalí</t>
        </is>
      </c>
      <c r="C13" s="6" t="inlineStr">
        <is>
          <t>Comunidad campesina</t>
        </is>
      </c>
      <c r="D13" s="7" t="inlineStr">
        <is>
          <t>Predios de propiedad privada (por verificar comunidad)</t>
        </is>
      </c>
      <c r="E13" s="8" t="n"/>
      <c r="F13" s="8" t="n"/>
    </row>
    <row r="14">
      <c r="A14" s="6" t="inlineStr">
        <is>
          <t>Superficie de catálogo (V5/V6), ha</t>
        </is>
      </c>
      <c r="B14" s="7" t="n">
        <v>103.95</v>
      </c>
      <c r="C14" s="6" t="inlineStr">
        <is>
          <t>Fuente de superficie</t>
        </is>
      </c>
      <c r="D14" s="7" t="inlineStr">
        <is>
          <t>Catálogo maestro Bloques V5/V6</t>
        </is>
      </c>
      <c r="E14" s="8" t="n"/>
      <c r="F14" s="8" t="n"/>
    </row>
    <row r="15">
      <c r="A15" s="6" t="inlineStr">
        <is>
          <t>Centroide UTM ESTE (m)</t>
        </is>
      </c>
      <c r="B15" s="7" t="n">
        <v>620759</v>
      </c>
      <c r="C15" s="6" t="inlineStr">
        <is>
          <t>Centroide UTM NORTE (m)</t>
        </is>
      </c>
      <c r="D15" s="7" t="n">
        <v>9439988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1375</v>
      </c>
      <c r="C19" s="6" t="inlineStr">
        <is>
          <t>Altitud máxima (msnm)</t>
        </is>
      </c>
      <c r="D19" s="7" t="n">
        <v>1928</v>
      </c>
      <c r="E19" s="8" t="n"/>
      <c r="F19" s="8" t="n"/>
    </row>
    <row r="20">
      <c r="A20" s="6" t="inlineStr">
        <is>
          <t>Amplitud altitudinal (m)</t>
        </is>
      </c>
      <c r="B20" s="7" t="n">
        <v>553</v>
      </c>
      <c r="C20" s="6" t="inlineStr">
        <is>
          <t>Piso altitudinal dominante</t>
        </is>
      </c>
      <c r="D20" s="7" t="inlineStr">
        <is>
          <t>1500-2000 m (Quechua media)</t>
        </is>
      </c>
      <c r="E20" s="8" t="n"/>
      <c r="F20" s="8" t="n"/>
    </row>
    <row r="21">
      <c r="A21" s="6" t="inlineStr">
        <is>
          <t>Pendiente promedio (%)</t>
        </is>
      </c>
      <c r="B21" s="7" t="n">
        <v>32.19</v>
      </c>
      <c r="C21" s="6" t="inlineStr">
        <is>
          <t>Pendiente promedio (grados)</t>
        </is>
      </c>
      <c r="D21" s="7" t="n">
        <v>17.8</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0.6047</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(75.28 %)</t>
        </is>
      </c>
      <c r="E29" s="8" t="n"/>
      <c r="F29" s="8" t="n"/>
    </row>
    <row r="30">
      <c r="A30" s="6" t="inlineStr">
        <is>
          <t>Superficie clasificada NDVI 2025 (ha)</t>
        </is>
      </c>
      <c r="B30" s="7" t="n">
        <v>103.993</v>
      </c>
      <c r="C30" s="6" t="inlineStr">
        <is>
          <t>Desviación frente al catálogo (%)</t>
        </is>
      </c>
      <c r="D30" s="7" t="n">
        <v>0.04</v>
      </c>
      <c r="E30" s="8" t="n"/>
      <c r="F30" s="8" t="n"/>
    </row>
    <row r="32" ht="18" customHeight="1">
      <c r="A32" s="5" t="inlineStr">
        <is>
          <t>4. ECOSISTEMA Y ESTADO DE CONSERVACIÓN</t>
        </is>
      </c>
    </row>
    <row r="33">
      <c r="A33" s="6" t="inlineStr">
        <is>
          <t>Tipo de ecosistema (UP)</t>
        </is>
      </c>
      <c r="B33" s="7" t="inlineStr">
        <is>
          <t>Agroecosistema / Mosaico</t>
        </is>
      </c>
      <c r="C33" s="6" t="inlineStr">
        <is>
          <t>Superficie de ecosistema (ha)</t>
        </is>
      </c>
      <c r="D33" s="7" t="inlineStr">
        <is>
          <t>Por determinar</t>
        </is>
      </c>
      <c r="E33" s="8" t="n"/>
      <c r="F33" s="8" t="n"/>
    </row>
    <row r="34">
      <c r="A34" s="6" t="inlineStr">
        <is>
          <t>Estado de conservación</t>
        </is>
      </c>
      <c r="B34" s="7" t="inlineStr">
        <is>
          <t>Medianamente alterado</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n">
        <v>70</v>
      </c>
      <c r="E35" s="8" t="n"/>
      <c r="F35" s="8" t="n"/>
    </row>
    <row r="36">
      <c r="A36" s="6" t="inlineStr">
        <is>
          <t>Suelo desnudo — campo (%)</t>
        </is>
      </c>
      <c r="B36" s="7" t="n">
        <v>10</v>
      </c>
      <c r="C36" s="6" t="inlineStr">
        <is>
          <t>Regeneración natural</t>
        </is>
      </c>
      <c r="D36" s="7" t="inlineStr">
        <is>
          <t>Regular (10-50 pl./100m²)</t>
        </is>
      </c>
      <c r="E36" s="8" t="n"/>
      <c r="F36" s="8" t="n"/>
    </row>
    <row r="37">
      <c r="A37" s="6" t="inlineStr">
        <is>
          <t>Nivel general de erosión</t>
        </is>
      </c>
      <c r="B37" s="7" t="inlineStr">
        <is>
          <t>Moderada (surcos)</t>
        </is>
      </c>
      <c r="C37" s="6" t="inlineStr">
        <is>
          <t>N.° de cárcavas registradas</t>
        </is>
      </c>
      <c r="D37" s="7" t="n">
        <v>0</v>
      </c>
      <c r="E37" s="8" t="n"/>
      <c r="F37" s="8" t="n"/>
    </row>
    <row r="38">
      <c r="A38" s="6" t="inlineStr">
        <is>
          <t>Elenco florístico (n.° de taxones)</t>
        </is>
      </c>
      <c r="B38" s="7" t="n">
        <v>15</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 Cahuas Miller / P. Talledo H. / J.C. Domínguez V.</t>
        </is>
      </c>
      <c r="C41" s="6" t="inlineStr">
        <is>
          <t>Fecha de evaluación</t>
        </is>
      </c>
      <c r="D41" s="7" t="inlineStr">
        <is>
          <t>2026-06-11</t>
        </is>
      </c>
      <c r="E41" s="8" t="n"/>
      <c r="F41" s="8" t="n"/>
    </row>
    <row r="42">
      <c r="A42" s="6" t="inlineStr">
        <is>
          <t>Hora de registro</t>
        </is>
      </c>
      <c r="B42" s="7" t="inlineStr">
        <is>
          <t>10:05</t>
        </is>
      </c>
      <c r="C42" s="6" t="inlineStr">
        <is>
          <t>Correlativo de ficha</t>
        </is>
      </c>
      <c r="D42" s="7" t="inlineStr">
        <is>
          <t>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Inspección rápida</t>
        </is>
      </c>
      <c r="E44" s="8" t="n"/>
      <c r="F44" s="8" t="n"/>
    </row>
    <row r="45">
      <c r="A45" s="6" t="inlineStr">
        <is>
          <t>Estaciones fotográficas georreferenciadas</t>
        </is>
      </c>
      <c r="B45" s="7" t="inlineStr">
        <is>
          <t>Sin registro en la ficha DT</t>
        </is>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Presión agropecuaria sobre laderas de fuerte pendiente sin prácticas de conservación de suelos.</t>
        </is>
      </c>
      <c r="C48" s="6" t="inlineStr">
        <is>
          <t>Velocidad de degradación</t>
        </is>
      </c>
      <c r="D48" s="7" t="inlineStr">
        <is>
          <t>Lenta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0.604743</v>
      </c>
      <c r="C15" s="17" t="inlineStr">
        <is>
          <t>—</t>
        </is>
      </c>
      <c r="D15" s="17" t="inlineStr">
        <is>
          <t>Vigor moderado · clase 0.4976 - 0.6139</t>
        </is>
      </c>
      <c r="E15" s="17" t="inlineStr">
        <is>
          <t>Sobre umbral</t>
        </is>
      </c>
    </row>
    <row r="17" ht="72" customHeight="1">
      <c r="A17" s="9" t="inlineStr">
        <is>
          <t>NOTA METODOLÓGICA. La media del MSAVI 2024 del bloque (0.604743)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78.2869</v>
      </c>
      <c r="C21" s="19" t="n">
        <v>75.28</v>
      </c>
      <c r="D21" s="11" t="inlineStr">
        <is>
          <t>Dosel continuo, matorral denso o mosaico agroforestal</t>
        </is>
      </c>
      <c r="E21" s="11" t="inlineStr"/>
    </row>
    <row r="22">
      <c r="A22" s="14" t="inlineStr">
        <is>
          <t>Vegetación mediana</t>
        </is>
      </c>
      <c r="B22" s="20" t="n">
        <v>25.102</v>
      </c>
      <c r="C22" s="21" t="n">
        <v>24.14</v>
      </c>
      <c r="D22" s="15" t="inlineStr">
        <is>
          <t>Pastizal cultivado, matorral ralo, parcelas agrícolas</t>
        </is>
      </c>
      <c r="E22" s="15" t="inlineStr"/>
    </row>
    <row r="23">
      <c r="A23" s="7" t="inlineStr">
        <is>
          <t>Vegetación ligera</t>
        </is>
      </c>
      <c r="B23" s="18" t="n">
        <v>0.6042999999999999</v>
      </c>
      <c r="C23" s="19" t="n">
        <v>0.58</v>
      </c>
      <c r="D23" s="11" t="inlineStr">
        <is>
          <t>Cobertura discontinua, suelo parcialmente expuesto</t>
        </is>
      </c>
      <c r="E23" s="11" t="inlineStr"/>
    </row>
    <row r="24">
      <c r="A24" s="16" t="inlineStr">
        <is>
          <t>TOTAL CLASIFICADO</t>
        </is>
      </c>
      <c r="B24" s="22">
        <f>SUM(B21:B23)</f>
        <v/>
      </c>
      <c r="C24" s="23">
        <f>SUM(C21:C23)</f>
        <v/>
      </c>
      <c r="D24" s="17" t="inlineStr"/>
      <c r="E24" s="17" t="inlineStr"/>
    </row>
    <row r="25">
      <c r="A25" s="24" t="inlineStr">
        <is>
          <t>Superficie de catálogo (V5/V6)</t>
        </is>
      </c>
      <c r="B25" s="25" t="n">
        <v>103.95</v>
      </c>
      <c r="C25" s="25" t="inlineStr">
        <is>
          <t>—</t>
        </is>
      </c>
      <c r="D25" s="25" t="inlineStr">
        <is>
          <t>Desviación planimétrica frente al catálogo</t>
        </is>
      </c>
      <c r="E25" s="25" t="inlineStr">
        <is>
          <t>+0.04 %</t>
        </is>
      </c>
    </row>
    <row r="27" ht="108"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75.28 % del polígono clasificado como «Vegetación alta» por el NDVI 2025; la observación de campo corresponde a una parcela o recorrido puntual y no es estadísticamente representativa de las 103.950 ha del bloque.</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11</t>
        </is>
      </c>
    </row>
    <row r="6" ht="24" customHeight="1">
      <c r="A6" s="4" t="inlineStr">
        <is>
          <t>Levantamiento del 2026-06-11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52696.9</v>
      </c>
      <c r="F10" s="11" t="inlineStr"/>
      <c r="G10" s="11" t="inlineStr">
        <is>
          <t>Coordenada consignada en F-DT-01</t>
        </is>
      </c>
    </row>
    <row r="11">
      <c r="A11" s="14" t="inlineStr">
        <is>
          <t>H-01</t>
        </is>
      </c>
      <c r="B11" s="15" t="inlineStr">
        <is>
          <t>Fuente de agua — Quebrada estacional</t>
        </is>
      </c>
      <c r="C11" s="27" t="n">
        <v>621116</v>
      </c>
      <c r="D11" s="27" t="n">
        <v>9439798</v>
      </c>
      <c r="E11" s="15" t="n">
        <v>404.4</v>
      </c>
      <c r="F11" s="15" t="inlineStr">
        <is>
          <t>Estacional (lluvias)</t>
        </is>
      </c>
      <c r="G11" s="15" t="inlineStr">
        <is>
          <t>Quebrada con lecho rocoso</t>
        </is>
      </c>
    </row>
    <row r="12">
      <c r="A12" s="7" t="inlineStr">
        <is>
          <t>H-02</t>
        </is>
      </c>
      <c r="B12" s="11" t="inlineStr">
        <is>
          <t>Fuente de agua — Quebrada estacional</t>
        </is>
      </c>
      <c r="C12" s="26" t="n">
        <v>621204</v>
      </c>
      <c r="D12" s="26" t="n">
        <v>9440026</v>
      </c>
      <c r="E12" s="11" t="n">
        <v>446.6</v>
      </c>
      <c r="F12" s="11" t="inlineStr">
        <is>
          <t>Estacional (lluvias)</t>
        </is>
      </c>
      <c r="G12" s="11" t="inlineStr">
        <is>
          <t>Quebrada con vegetación</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620759</v>
      </c>
      <c r="C15" s="6" t="inlineStr">
        <is>
          <t>Centroide del bloque — UTM NORTE (m)</t>
        </is>
      </c>
      <c r="D15" s="7" t="n">
        <v>9439988</v>
      </c>
      <c r="E15" s="8" t="n"/>
      <c r="F15" s="8" t="n"/>
      <c r="G15" s="8" t="n"/>
      <c r="H15" s="8" t="n"/>
    </row>
    <row r="16">
      <c r="A16" s="6" t="inlineStr">
        <is>
          <t>N.° de estaciones fotográficas declaradas</t>
        </is>
      </c>
      <c r="B16" s="7" t="inlineStr">
        <is>
          <t>Sin registro en la ficha DT</t>
        </is>
      </c>
      <c r="C16" s="6" t="inlineStr">
        <is>
          <t>Estaciones dentro del polígono</t>
        </is>
      </c>
      <c r="D16" s="7" t="inlineStr">
        <is>
          <t>Por determinar</t>
        </is>
      </c>
      <c r="E16" s="8" t="n"/>
      <c r="F16" s="8" t="n"/>
      <c r="G16" s="8" t="n"/>
      <c r="H16" s="8" t="n"/>
    </row>
    <row r="18" ht="108"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del 11/06/2026 con track GPS Garmin 66sr; ingreso por vía vecinal PI-799. El sector verificado corresponde al margen este/sureste (cota ≈1328 msnm); el sector norte y de mayor altitud (hasta ≈2150 msnm) quedó caracterizado por teledetección y pendiente de acceso a pie/dron. Escarpes activos = taludes de corte de la trocha. Reptación posible en laderas de pastoreo, por confirmar.</t>
        </is>
      </c>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11</t>
        </is>
      </c>
    </row>
    <row r="6" ht="24" customHeight="1">
      <c r="A6" s="4" t="inlineStr">
        <is>
          <t>Distrito de Santo Domingo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12</t>
        </is>
      </c>
      <c r="B10" s="28" t="n">
        <v>119.54</v>
      </c>
      <c r="C10" s="19" t="n">
        <v>14</v>
      </c>
      <c r="D10" s="11" t="inlineStr">
        <is>
          <t>672 – 2244</t>
        </is>
      </c>
      <c r="E10" s="11" t="n">
        <v>1572</v>
      </c>
      <c r="F10" s="11" t="n">
        <v>27.41</v>
      </c>
      <c r="G10" s="18" t="n">
        <v>0.7067</v>
      </c>
      <c r="H10" s="19" t="n">
        <v>99.93000000000001</v>
      </c>
    </row>
    <row r="11">
      <c r="A11" s="12" t="inlineStr">
        <is>
          <t>► 11</t>
        </is>
      </c>
      <c r="B11" s="29" t="n">
        <v>103.95</v>
      </c>
      <c r="C11" s="30" t="n">
        <v>12.17</v>
      </c>
      <c r="D11" s="13" t="inlineStr">
        <is>
          <t>1375 – 1928</t>
        </is>
      </c>
      <c r="E11" s="13" t="n">
        <v>553</v>
      </c>
      <c r="F11" s="13" t="n">
        <v>32.19</v>
      </c>
      <c r="G11" s="31" t="n">
        <v>0.6047</v>
      </c>
      <c r="H11" s="30" t="n">
        <v>75.28</v>
      </c>
    </row>
    <row r="12">
      <c r="A12" s="7" t="inlineStr">
        <is>
          <t>17</t>
        </is>
      </c>
      <c r="B12" s="28" t="n">
        <v>96.08</v>
      </c>
      <c r="C12" s="19" t="n">
        <v>11.25</v>
      </c>
      <c r="D12" s="11" t="inlineStr">
        <is>
          <t>1253 – 1880</t>
        </is>
      </c>
      <c r="E12" s="11" t="n">
        <v>627</v>
      </c>
      <c r="F12" s="11" t="n">
        <v>35.56</v>
      </c>
      <c r="G12" s="18" t="n">
        <v>0.6479</v>
      </c>
      <c r="H12" s="19" t="n">
        <v>88.68000000000001</v>
      </c>
    </row>
    <row r="13">
      <c r="A13" s="14" t="inlineStr">
        <is>
          <t>14</t>
        </is>
      </c>
      <c r="B13" s="32" t="n">
        <v>92.90000000000001</v>
      </c>
      <c r="C13" s="21" t="n">
        <v>10.88</v>
      </c>
      <c r="D13" s="15" t="inlineStr">
        <is>
          <t>87 – 1355</t>
        </is>
      </c>
      <c r="E13" s="15" t="n">
        <v>1268</v>
      </c>
      <c r="F13" s="15" t="n">
        <v>23.75</v>
      </c>
      <c r="G13" s="20" t="n">
        <v>0.5197000000000001</v>
      </c>
      <c r="H13" s="21" t="n">
        <v>58.89</v>
      </c>
    </row>
    <row r="14">
      <c r="A14" s="7" t="inlineStr">
        <is>
          <t>15</t>
        </is>
      </c>
      <c r="B14" s="28" t="n">
        <v>86.15000000000001</v>
      </c>
      <c r="C14" s="19" t="n">
        <v>10.09</v>
      </c>
      <c r="D14" s="11" t="inlineStr">
        <is>
          <t>1199 – 1655</t>
        </is>
      </c>
      <c r="E14" s="11" t="n">
        <v>456</v>
      </c>
      <c r="F14" s="11" t="n">
        <v>26.19</v>
      </c>
      <c r="G14" s="18" t="n">
        <v>0.5605</v>
      </c>
      <c r="H14" s="19" t="n">
        <v>56.47</v>
      </c>
    </row>
    <row r="15">
      <c r="A15" s="14" t="inlineStr">
        <is>
          <t>23</t>
        </is>
      </c>
      <c r="B15" s="32" t="n">
        <v>81.78</v>
      </c>
      <c r="C15" s="21" t="n">
        <v>9.58</v>
      </c>
      <c r="D15" s="15" t="inlineStr">
        <is>
          <t>521 – 973</t>
        </is>
      </c>
      <c r="E15" s="15" t="n">
        <v>452</v>
      </c>
      <c r="F15" s="15" t="n">
        <v>35.28</v>
      </c>
      <c r="G15" s="20" t="n">
        <v>0.5731000000000001</v>
      </c>
      <c r="H15" s="21" t="n">
        <v>47.99</v>
      </c>
    </row>
    <row r="16">
      <c r="A16" s="7" t="inlineStr">
        <is>
          <t>42</t>
        </is>
      </c>
      <c r="B16" s="28" t="n">
        <v>80.62</v>
      </c>
      <c r="C16" s="19" t="n">
        <v>9.44</v>
      </c>
      <c r="D16" s="11" t="inlineStr">
        <is>
          <t>1131 – 1548</t>
        </is>
      </c>
      <c r="E16" s="11" t="n">
        <v>417</v>
      </c>
      <c r="F16" s="11" t="n">
        <v>27.86</v>
      </c>
      <c r="G16" s="18" t="n">
        <v>0.6348</v>
      </c>
      <c r="H16" s="19" t="n">
        <v>88.83</v>
      </c>
    </row>
    <row r="17">
      <c r="A17" s="14" t="inlineStr">
        <is>
          <t>M19B2</t>
        </is>
      </c>
      <c r="B17" s="32" t="n">
        <v>74.37</v>
      </c>
      <c r="C17" s="21" t="n">
        <v>8.710000000000001</v>
      </c>
      <c r="D17" s="15" t="inlineStr">
        <is>
          <t>203 – 523</t>
        </is>
      </c>
      <c r="E17" s="15" t="n">
        <v>320</v>
      </c>
      <c r="F17" s="15" t="n">
        <v>21.71</v>
      </c>
      <c r="G17" s="20" t="n">
        <v>0.4012</v>
      </c>
      <c r="H17" s="21" t="n">
        <v>1.28</v>
      </c>
    </row>
    <row r="18">
      <c r="A18" s="7" t="inlineStr">
        <is>
          <t>82</t>
        </is>
      </c>
      <c r="B18" s="28" t="n">
        <v>35.66</v>
      </c>
      <c r="C18" s="19" t="n">
        <v>4.18</v>
      </c>
      <c r="D18" s="11" t="inlineStr">
        <is>
          <t>1796 – 2098</t>
        </is>
      </c>
      <c r="E18" s="11" t="n">
        <v>302</v>
      </c>
      <c r="F18" s="11" t="n">
        <v>23.55</v>
      </c>
      <c r="G18" s="18" t="n">
        <v>0.6283</v>
      </c>
      <c r="H18" s="19" t="n">
        <v>90.06999999999999</v>
      </c>
    </row>
    <row r="19">
      <c r="A19" s="14" t="inlineStr">
        <is>
          <t>78</t>
        </is>
      </c>
      <c r="B19" s="32" t="n">
        <v>35.1</v>
      </c>
      <c r="C19" s="21" t="n">
        <v>4.11</v>
      </c>
      <c r="D19" s="15" t="inlineStr">
        <is>
          <t>1908 – 2236</t>
        </is>
      </c>
      <c r="E19" s="15" t="n">
        <v>328</v>
      </c>
      <c r="F19" s="15" t="n">
        <v>30.64</v>
      </c>
      <c r="G19" s="20" t="n">
        <v>0.7074</v>
      </c>
      <c r="H19" s="21" t="n">
        <v>89.33</v>
      </c>
    </row>
    <row r="20">
      <c r="A20" s="7" t="inlineStr">
        <is>
          <t>M19B7</t>
        </is>
      </c>
      <c r="B20" s="28" t="n">
        <v>34.17</v>
      </c>
      <c r="C20" s="19" t="n">
        <v>4</v>
      </c>
      <c r="D20" s="11" t="inlineStr">
        <is>
          <t>1213 – 1578</t>
        </is>
      </c>
      <c r="E20" s="11" t="n">
        <v>365</v>
      </c>
      <c r="F20" s="11" t="n">
        <v>28.15</v>
      </c>
      <c r="G20" s="18" t="n">
        <v>0.5919</v>
      </c>
      <c r="H20" s="19" t="n">
        <v>78.52</v>
      </c>
    </row>
    <row r="21">
      <c r="A21" s="14" t="inlineStr">
        <is>
          <t>59</t>
        </is>
      </c>
      <c r="B21" s="32" t="n">
        <v>13.55</v>
      </c>
      <c r="C21" s="21" t="n">
        <v>1.59</v>
      </c>
      <c r="D21" s="15" t="inlineStr">
        <is>
          <t>2045 – 2218</t>
        </is>
      </c>
      <c r="E21" s="15" t="n">
        <v>173</v>
      </c>
      <c r="F21" s="15" t="n">
        <v>29.85</v>
      </c>
      <c r="G21" s="20" t="n">
        <v>0.6147</v>
      </c>
      <c r="H21" s="21" t="n">
        <v>86.56999999999999</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row>
    <row r="24" ht="84" customHeight="1">
      <c r="A24" s="9" t="inlineStr">
        <is>
          <t>LECTURA INTRAMICROCUENCA. El bloque 11 ocupa el puesto 2 de 12 por superficie dentro de la microcuenca C1086-Q9570 (12.17 % de las 853.87 ha preliminares de la microcuenca). Su pendiente promedio (32.19 %, clase «25-50% (Mod. escarpado)») es la 10.ª más baja de 12 y se sitúa por encima del promedio de la microcuenca (28.51 %). Su MSAVI 2024 (0.6047) es el 7.º de 12 y queda por encima del promedio local (0.5993). Amplitud altitudinal del bloque: 553 m (1375–1928 msnm). El cuadro conserva todos los bloques catalogados en la microcuenca, incluidos los descartados en el tamizaje, para referencia del conjunto. Los bloques sin ficha DT figuran con sus parámetros de gabinete.</t>
        </is>
      </c>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6:H26"/>
    <mergeCell ref="A24:H24"/>
    <mergeCell ref="A2:H2"/>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11</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«C1086-Q9570»</t>
        </is>
      </c>
      <c r="D10" s="35" t="inlineStr">
        <is>
          <t>CONFORME</t>
        </is>
      </c>
      <c r="E10" s="34" t="inlineStr">
        <is>
          <t>Sin acción.</t>
        </is>
      </c>
    </row>
    <row r="11" ht="48" customHeight="1">
      <c r="A11" s="36" t="inlineStr">
        <is>
          <t>D-02</t>
        </is>
      </c>
      <c r="B11" s="36" t="inlineStr">
        <is>
          <t>UTM del punto de muestreo</t>
        </is>
      </c>
      <c r="C11" s="36" t="inlineStr">
        <is>
          <t>El punto de muestreo declarado (645575 E / 9393500 N) dista 52,697 m del centroide de catálogo (620759 E / 9439988 N), distancia incompatible con la superficie del bloque (103.95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(103.993 ha) coincide con la de catálogo (103.95 ha) dentro del ±2 % (+0.04 %)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70 % de cobertura vegetal en campo; el NDVI mediana 2025 clasifica 100.00 % del polígono en clases de vegetación</t>
        </is>
      </c>
      <c r="D13" s="13"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Dimensiones del inventario de cárcavas</t>
        </is>
      </c>
      <c r="C14" s="34" t="inlineStr">
        <is>
          <t>Se registran 0 rasgos erosivos, pero longitud, profundidad y ancho no fueron medidos instrumentalmente</t>
        </is>
      </c>
      <c r="D14" s="13" t="inlineStr">
        <is>
          <t>NO SUSTANTIVA</t>
        </is>
      </c>
      <c r="E14" s="34" t="inlineStr">
        <is>
          <t>El conteo registrado no debe usarse para calcular densidad de cárcavas por hectárea. Pendiente de levantamiento con GPS submétrico.</t>
        </is>
      </c>
    </row>
    <row r="15" ht="48" customHeight="1">
      <c r="A15" s="36" t="inlineStr">
        <is>
          <t>D-06</t>
        </is>
      </c>
      <c r="B15" s="36" t="inlineStr">
        <is>
          <t>Centro poblado asociado</t>
        </is>
      </c>
      <c r="C15" s="36" t="inlineStr">
        <is>
          <t>La ficha DT declara «Taylin de Tuñalí»; el cruce INEI-Bloques V5 identifica 1 centro(s) poblado(s) en el bloque: TAYLIN DE TUÑALI</t>
        </is>
      </c>
      <c r="D15" s="35" t="inlineStr">
        <is>
          <t>CONFORME</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8">
      <c r="A18" s="16" t="inlineStr">
        <is>
          <t>RESUMEN</t>
        </is>
      </c>
      <c r="B18" s="17" t="inlineStr">
        <is>
          <t>7 verificaciones</t>
        </is>
      </c>
      <c r="C18" s="17" t="inlineStr">
        <is>
          <t>CONFORME: 3 · NO SUSTANTIVA: 2 · SUSTANTIVA: 2</t>
        </is>
      </c>
      <c r="D18" s="17" t="inlineStr"/>
      <c r="E18" s="17" t="inlineStr"/>
    </row>
    <row r="20" ht="60" customHeight="1">
      <c r="A2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0:E20"/>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11 — IN Piura</dc:title>
  <dc:subject>Diagnóstico Territorial por bloque de intervención</dc:subject>
  <dcterms:created xsi:type="dcterms:W3CDTF">2026-09-08T02:45:03Z</dcterms:created>
  <dcterms:modified xsi:type="dcterms:W3CDTF">2026-09-08T02:45:03Z</dcterms:modified>
</cp:coreProperties>
</file>