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72</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Ramón Castilla</t>
        </is>
      </c>
      <c r="C13" s="6" t="inlineStr">
        <is>
          <t>Comunidad campesina</t>
        </is>
      </c>
      <c r="D13" s="7" t="inlineStr">
        <is>
          <t>Por verificar</t>
        </is>
      </c>
      <c r="E13" s="8" t="n"/>
      <c r="F13" s="8" t="n"/>
    </row>
    <row r="14">
      <c r="A14" s="6" t="inlineStr">
        <is>
          <t>Superficie de catálogo (V5/V6), ha</t>
        </is>
      </c>
      <c r="B14" s="7" t="n">
        <v>12.4</v>
      </c>
      <c r="C14" s="6" t="inlineStr">
        <is>
          <t>Fuente de superficie</t>
        </is>
      </c>
      <c r="D14" s="7" t="inlineStr">
        <is>
          <t>Catálogo maestro Bloques V5/V6</t>
        </is>
      </c>
      <c r="E14" s="8" t="n"/>
      <c r="F14" s="8" t="n"/>
    </row>
    <row r="15">
      <c r="A15" s="6" t="inlineStr">
        <is>
          <t>Centroide UTM ESTE (m)</t>
        </is>
      </c>
      <c r="B15" s="7" t="n">
        <v>662236</v>
      </c>
      <c r="C15" s="6" t="inlineStr">
        <is>
          <t>Centroide UTM NORTE (m)</t>
        </is>
      </c>
      <c r="D15" s="7" t="n">
        <v>9391211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1538</v>
      </c>
      <c r="C19" s="6" t="inlineStr">
        <is>
          <t>Altitud máxima (msnm)</t>
        </is>
      </c>
      <c r="D19" s="7" t="n">
        <v>1742</v>
      </c>
      <c r="E19" s="8" t="n"/>
      <c r="F19" s="8" t="n"/>
    </row>
    <row r="20">
      <c r="A20" s="6" t="inlineStr">
        <is>
          <t>Amplitud altitudinal (m)</t>
        </is>
      </c>
      <c r="B20" s="7" t="n">
        <v>204</v>
      </c>
      <c r="C20" s="6" t="inlineStr">
        <is>
          <t>Piso altitudinal dominante</t>
        </is>
      </c>
      <c r="D20" s="7" t="inlineStr">
        <is>
          <t>1500-2000 m (Quechua media)</t>
        </is>
      </c>
      <c r="E20" s="8" t="n"/>
      <c r="F20" s="8" t="n"/>
    </row>
    <row r="21">
      <c r="A21" s="6" t="inlineStr">
        <is>
          <t>Pendiente promedio (%)</t>
        </is>
      </c>
      <c r="B21" s="7" t="n">
        <v>28.25</v>
      </c>
      <c r="C21" s="6" t="inlineStr">
        <is>
          <t>Pendiente promedio (grados)</t>
        </is>
      </c>
      <c r="D21" s="7" t="n">
        <v>15.8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0.5185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(92.44 %)</t>
        </is>
      </c>
      <c r="E29" s="8" t="n"/>
      <c r="F29" s="8" t="n"/>
    </row>
    <row r="30">
      <c r="A30" s="6" t="inlineStr">
        <is>
          <t>Superficie clasificada NDVI 2025 (ha)</t>
        </is>
      </c>
      <c r="B30" s="7" t="n">
        <v>12.4</v>
      </c>
      <c r="C30" s="6" t="inlineStr">
        <is>
          <t>Desviación frente al catálogo (%)</t>
        </is>
      </c>
      <c r="D30" s="7" t="n">
        <v>0</v>
      </c>
      <c r="E30" s="8" t="n"/>
      <c r="F30" s="8" t="n"/>
    </row>
    <row r="32" ht="18" customHeight="1">
      <c r="A32" s="5" t="inlineStr">
        <is>
          <t>4. ECOSISTEMA Y ESTADO DE CONSERVACIÓN</t>
        </is>
      </c>
    </row>
    <row r="33">
      <c r="A33" s="6" t="inlineStr">
        <is>
          <t>Tipo de ecosistema (UP)</t>
        </is>
      </c>
      <c r="B33" s="7" t="inlineStr">
        <is>
          <t>Matorral Andino semiárido (lectura de campo; ver D-04)</t>
        </is>
      </c>
      <c r="C33" s="6" t="inlineStr">
        <is>
          <t>Superficie de ecosistema (ha)</t>
        </is>
      </c>
      <c r="D33" s="7" t="inlineStr">
        <is>
          <t>Por verificar — Reporte de Ecosistemas por Bloques V5 no disponible para el Bloque 72</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8</v>
      </c>
      <c r="C36" s="6" t="inlineStr">
        <is>
          <t>Regeneración natural</t>
        </is>
      </c>
      <c r="D36" s="7" t="inlineStr">
        <is>
          <t>No evaluable desde vuelo de dron</t>
        </is>
      </c>
      <c r="E36" s="8" t="n"/>
      <c r="F36" s="8" t="n"/>
    </row>
    <row r="37">
      <c r="A37" s="6" t="inlineStr">
        <is>
          <t>Nivel general de erosión</t>
        </is>
      </c>
      <c r="B37" s="7" t="inlineStr">
        <is>
          <t>Fuerte (cárcavas incipientes)</t>
        </is>
      </c>
      <c r="C37" s="6" t="inlineStr">
        <is>
          <t>N.° de cárcavas registradas</t>
        </is>
      </c>
      <c r="D37" s="7" t="n">
        <v>4</v>
      </c>
      <c r="E37" s="8" t="n"/>
      <c r="F37" s="8" t="n"/>
    </row>
    <row r="38">
      <c r="A38" s="6" t="inlineStr">
        <is>
          <t>Elenco florístico (n.° de taxones)</t>
        </is>
      </c>
      <c r="B38" s="7" t="n">
        <v>10</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t>
        </is>
      </c>
      <c r="C41" s="6" t="inlineStr">
        <is>
          <t>Fecha de evaluación</t>
        </is>
      </c>
      <c r="D41" s="7" t="inlineStr">
        <is>
          <t>2026-08-01</t>
        </is>
      </c>
      <c r="E41" s="8" t="n"/>
      <c r="F41" s="8" t="n"/>
    </row>
    <row r="42">
      <c r="A42" s="6" t="inlineStr">
        <is>
          <t>Hora de registro</t>
        </is>
      </c>
      <c r="B42" s="7" t="inlineStr">
        <is>
          <t>11:20 - 12:05 h (aprox.)</t>
        </is>
      </c>
      <c r="C42" s="6" t="inlineStr">
        <is>
          <t>Correlativo de ficha</t>
        </is>
      </c>
      <c r="D42" s="7" t="inlineStr">
        <is>
          <t>F-DT-01/B72-2026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aplica — verificación por vuelo de dron (sin parcela instalada)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demográfica y dependencia de la agricultura de subsistencia en un caserío sin alternativas productivas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0.518477</v>
      </c>
      <c r="C15" s="17" t="inlineStr">
        <is>
          <t>—</t>
        </is>
      </c>
      <c r="D15" s="17" t="inlineStr">
        <is>
          <t>Vigor moderado · clase 0.4976 - 0.6139</t>
        </is>
      </c>
      <c r="E15" s="17" t="inlineStr">
        <is>
          <t>Sobre umbral</t>
        </is>
      </c>
    </row>
    <row r="17" ht="72" customHeight="1">
      <c r="A17" s="9" t="inlineStr">
        <is>
          <t>NOTA METODOLÓGICA. La media del MSAVI 2024 del bloque (0.518477)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11.4633</v>
      </c>
      <c r="C21" s="19" t="n">
        <v>92.44</v>
      </c>
      <c r="D21" s="11" t="inlineStr">
        <is>
          <t>Dosel continuo, matorral denso o mosaico agroforestal</t>
        </is>
      </c>
      <c r="E21" s="11" t="inlineStr"/>
    </row>
    <row r="22">
      <c r="A22" s="14" t="inlineStr">
        <is>
          <t>Vegetación mediana</t>
        </is>
      </c>
      <c r="B22" s="20" t="n">
        <v>0.9369</v>
      </c>
      <c r="C22" s="21" t="n">
        <v>7.56</v>
      </c>
      <c r="D22" s="15" t="inlineStr">
        <is>
          <t>Pastizal cultivado, matorral ralo, parcelas agrícolas</t>
        </is>
      </c>
      <c r="E22" s="15" t="inlineStr"/>
    </row>
    <row r="23">
      <c r="A23" s="16" t="inlineStr">
        <is>
          <t>TOTAL CLASIFICADO</t>
        </is>
      </c>
      <c r="B23" s="22">
        <f>SUM(B21:B22)</f>
        <v/>
      </c>
      <c r="C23" s="23">
        <f>SUM(C21:C22)</f>
        <v/>
      </c>
      <c r="D23" s="17" t="inlineStr"/>
      <c r="E23" s="17" t="inlineStr"/>
    </row>
    <row r="24">
      <c r="A24" s="24" t="inlineStr">
        <is>
          <t>Superficie de catálogo (V5/V6)</t>
        </is>
      </c>
      <c r="B24" s="25" t="n">
        <v>12.4</v>
      </c>
      <c r="C24" s="25" t="inlineStr">
        <is>
          <t>—</t>
        </is>
      </c>
      <c r="D24" s="25" t="inlineStr">
        <is>
          <t>Desviación planimétrica frente al catálogo</t>
        </is>
      </c>
      <c r="E24" s="25" t="inlineStr">
        <is>
          <t>+0.00 %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92.44 % del polígono clasificado como «Vegetación alta» por el NDVI 2025; la observación de campo corresponde a una parcela o recorrido puntual y no es estadísticamente representativa de las 12.400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72</t>
        </is>
      </c>
    </row>
    <row r="6" ht="24" customHeight="1">
      <c r="A6" s="4" t="inlineStr">
        <is>
          <t>Levantamiento del 2026-08-01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662236</v>
      </c>
      <c r="D10" s="26" t="n">
        <v>9391211</v>
      </c>
      <c r="E10" s="11" t="n">
        <v>0</v>
      </c>
      <c r="F10" s="11" t="inlineStr"/>
      <c r="G10" s="11" t="inlineStr">
        <is>
          <t>Coordenada consignada en F-DT-01</t>
        </is>
      </c>
    </row>
    <row r="11">
      <c r="A11" s="14" t="inlineStr">
        <is>
          <t>C-01</t>
        </is>
      </c>
      <c r="B11" s="15" t="inlineStr">
        <is>
          <t>Rasgo erosivo — Cárcava incipiente</t>
        </is>
      </c>
      <c r="C11" s="27" t="inlineStr">
        <is>
          <t>Por determinar</t>
        </is>
      </c>
      <c r="D11" s="27" t="inlineStr">
        <is>
          <t>Por determinar</t>
        </is>
      </c>
      <c r="E11" s="15" t="inlineStr"/>
      <c r="F11" s="15" t="inlineStr">
        <is>
          <t>Activa</t>
        </is>
      </c>
      <c r="G11" s="15" t="inlineStr">
        <is>
          <t>Caminos / huellas de ganado</t>
        </is>
      </c>
    </row>
    <row r="12">
      <c r="A12" s="7" t="inlineStr">
        <is>
          <t>C-02</t>
        </is>
      </c>
      <c r="B12" s="11" t="inlineStr">
        <is>
          <t>Rasgo erosivo — Cárcava somera (0.5-2 m)</t>
        </is>
      </c>
      <c r="C12" s="26" t="inlineStr">
        <is>
          <t>Por determinar</t>
        </is>
      </c>
      <c r="D12" s="26" t="inlineStr">
        <is>
          <t>Por determinar</t>
        </is>
      </c>
      <c r="E12" s="11" t="inlineStr"/>
      <c r="F12" s="11" t="inlineStr">
        <is>
          <t>Semi-activa</t>
        </is>
      </c>
      <c r="G12" s="11" t="inlineStr">
        <is>
          <t>Socavamiento de cauce</t>
        </is>
      </c>
    </row>
    <row r="13">
      <c r="A13" s="14" t="inlineStr">
        <is>
          <t>C-03</t>
        </is>
      </c>
      <c r="B13" s="15" t="inlineStr">
        <is>
          <t>Rasgo erosivo — Cárcava incipiente</t>
        </is>
      </c>
      <c r="C13" s="27" t="inlineStr">
        <is>
          <t>Por determinar</t>
        </is>
      </c>
      <c r="D13" s="27" t="inlineStr">
        <is>
          <t>Por determinar</t>
        </is>
      </c>
      <c r="E13" s="15" t="inlineStr"/>
      <c r="F13" s="15" t="inlineStr">
        <is>
          <t>Activa</t>
        </is>
      </c>
      <c r="G13" s="15" t="inlineStr">
        <is>
          <t>Concentración natural de escorrentía</t>
        </is>
      </c>
    </row>
    <row r="14">
      <c r="A14" s="7" t="inlineStr">
        <is>
          <t>C-04</t>
        </is>
      </c>
      <c r="B14" s="11" t="inlineStr">
        <is>
          <t>Rasgo erosivo — Surco (&lt;30 cm)</t>
        </is>
      </c>
      <c r="C14" s="26" t="inlineStr">
        <is>
          <t>Por determinar</t>
        </is>
      </c>
      <c r="D14" s="26" t="inlineStr">
        <is>
          <t>Por determinar</t>
        </is>
      </c>
      <c r="E14" s="11" t="inlineStr"/>
      <c r="F14" s="11" t="inlineStr">
        <is>
          <t>Activa</t>
        </is>
      </c>
      <c r="G14" s="11" t="inlineStr">
        <is>
          <t>Caminos / huellas de ganado</t>
        </is>
      </c>
    </row>
    <row r="15">
      <c r="A15" s="14" t="inlineStr">
        <is>
          <t>H-01</t>
        </is>
      </c>
      <c r="B15" s="15" t="inlineStr">
        <is>
          <t>Fuente de agua — Quebrada estacional</t>
        </is>
      </c>
      <c r="C15" s="27" t="inlineStr">
        <is>
          <t>Por determinar</t>
        </is>
      </c>
      <c r="D15" s="27" t="inlineStr">
        <is>
          <t>Por determinar</t>
        </is>
      </c>
      <c r="E15" s="15" t="inlineStr"/>
      <c r="F15" s="15" t="inlineStr">
        <is>
          <t>Estacional</t>
        </is>
      </c>
      <c r="G15" s="15" t="inlineStr">
        <is>
          <t>Quebrada tributaria</t>
        </is>
      </c>
    </row>
    <row r="16">
      <c r="A16" s="7" t="inlineStr">
        <is>
          <t>H-02</t>
        </is>
      </c>
      <c r="B16" s="11" t="inlineStr">
        <is>
          <t>Fuente de agua — Otro (zonas de humedad edáfica)</t>
        </is>
      </c>
      <c r="C16" s="26" t="inlineStr">
        <is>
          <t>Por determinar</t>
        </is>
      </c>
      <c r="D16" s="26" t="inlineStr">
        <is>
          <t>Por determinar</t>
        </is>
      </c>
      <c r="E16" s="11" t="inlineStr"/>
      <c r="F16" s="11" t="inlineStr">
        <is>
          <t>Permanente</t>
        </is>
      </c>
      <c r="G16" s="11" t="inlineStr">
        <is>
          <t>Zonas de humedad edáfica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662236</v>
      </c>
      <c r="C19" s="6" t="inlineStr">
        <is>
          <t>Centroide del bloque — UTM NORTE (m)</t>
        </is>
      </c>
      <c r="D19" s="7" t="n">
        <v>9391211</v>
      </c>
      <c r="E19" s="8" t="n"/>
      <c r="F19" s="8" t="n"/>
      <c r="G19" s="8" t="n"/>
      <c r="H19" s="8" t="n"/>
    </row>
    <row r="20">
      <c r="A20" s="6" t="inlineStr">
        <is>
          <t>N.° de estaciones fotográficas declaradas</t>
        </is>
      </c>
      <c r="B20" s="7" t="n">
        <v>0</v>
      </c>
      <c r="C20" s="6" t="inlineStr">
        <is>
          <t>Estaciones dentro del polígono</t>
        </is>
      </c>
      <c r="D20" s="7" t="n">
        <v>0</v>
      </c>
      <c r="E20" s="8" t="n"/>
      <c r="F20" s="8" t="n"/>
      <c r="G20" s="8" t="n"/>
      <c r="H20" s="8" t="n"/>
    </row>
    <row r="22" ht="168"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PARÁMETROS DE GABINETE (DEM): rango altitudinal 1 538-1 742 msnm (amplitud 204 m); pendiente promedio 28.25%; área 12.398 ha; MSAVI 2024 medio 0.5185; microcuenca C1076-Q9592, Zona Z13; centroide (Bloques V4) 662 236 E · 9 391 211 N. MODALIDAD DE VERIFICACIÓN: VUELO DE DRON del 01-08-2026 (SIN RECORRIDO PEDESTRE INTERIOR). COMPLETITUD FÍSICA ESTIMADA &lt;10%. POR VERIFICAR: altitud GPS instrumental; nombre de la comunidad campesina; origen de las lineaciones subhorizontales tipo terraceta observadas en ladera (reptación vs. pisoteo de ganado vs. terraceo agrícola antiguo). D-01: el Bloque 72 NO figura en Centroides_Bloques.xls (catálogo restringido a bloques de código M); el centroide se toma de la tabla auxiliar «Bloques V4». D-05: LAS FOTOGRAFÍAS DE DRON CARECEN DE METADATOS EXIF/GPS, por lo que no es posible asignar cada fotograma al polígono ni georreferenciar rasgos; el panel fotográfico se trata como registro de SECTOR, no de punto.</t>
        </is>
      </c>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72</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8" t="n">
        <v>103.62</v>
      </c>
      <c r="C10" s="19" t="n">
        <v>21.54</v>
      </c>
      <c r="D10" s="11" t="inlineStr">
        <is>
          <t>1218 – 1904</t>
        </is>
      </c>
      <c r="E10" s="11" t="n">
        <v>686</v>
      </c>
      <c r="F10" s="11" t="n">
        <v>28.7</v>
      </c>
      <c r="G10" s="18" t="n">
        <v>0.6402</v>
      </c>
      <c r="H10" s="19" t="n">
        <v>96.64</v>
      </c>
    </row>
    <row r="11">
      <c r="A11" s="14" t="inlineStr">
        <is>
          <t>19</t>
        </is>
      </c>
      <c r="B11" s="29" t="n">
        <v>82.09</v>
      </c>
      <c r="C11" s="21" t="n">
        <v>17.06</v>
      </c>
      <c r="D11" s="15" t="inlineStr">
        <is>
          <t>2064 – 2503</t>
        </is>
      </c>
      <c r="E11" s="15" t="n">
        <v>439</v>
      </c>
      <c r="F11" s="15" t="n">
        <v>31.01</v>
      </c>
      <c r="G11" s="20" t="n">
        <v>0.5372</v>
      </c>
      <c r="H11" s="21" t="n">
        <v>60.33</v>
      </c>
    </row>
    <row r="12">
      <c r="A12" s="7" t="inlineStr">
        <is>
          <t>41</t>
        </is>
      </c>
      <c r="B12" s="28" t="n">
        <v>64.92</v>
      </c>
      <c r="C12" s="19" t="n">
        <v>13.49</v>
      </c>
      <c r="D12" s="11" t="inlineStr">
        <is>
          <t>1536 – 1818</t>
        </is>
      </c>
      <c r="E12" s="11" t="n">
        <v>282</v>
      </c>
      <c r="F12" s="11" t="n">
        <v>25.53</v>
      </c>
      <c r="G12" s="18" t="n">
        <v>0.5927</v>
      </c>
      <c r="H12" s="19" t="n">
        <v>98.02</v>
      </c>
    </row>
    <row r="13">
      <c r="A13" s="14" t="inlineStr">
        <is>
          <t>73</t>
        </is>
      </c>
      <c r="B13" s="29" t="n">
        <v>54.29</v>
      </c>
      <c r="C13" s="21" t="n">
        <v>11.28</v>
      </c>
      <c r="D13" s="15" t="inlineStr">
        <is>
          <t>1845 – 2305</t>
        </is>
      </c>
      <c r="E13" s="15" t="n">
        <v>460</v>
      </c>
      <c r="F13" s="15" t="n">
        <v>36.34</v>
      </c>
      <c r="G13" s="20" t="n">
        <v>0.555</v>
      </c>
      <c r="H13" s="21" t="n">
        <v>88.8</v>
      </c>
    </row>
    <row r="14">
      <c r="A14" s="7" t="inlineStr">
        <is>
          <t>31</t>
        </is>
      </c>
      <c r="B14" s="28" t="n">
        <v>47.58</v>
      </c>
      <c r="C14" s="19" t="n">
        <v>9.890000000000001</v>
      </c>
      <c r="D14" s="11" t="inlineStr">
        <is>
          <t>1741 – 2234</t>
        </is>
      </c>
      <c r="E14" s="11" t="n">
        <v>493</v>
      </c>
      <c r="F14" s="11" t="n">
        <v>27.08</v>
      </c>
      <c r="G14" s="18" t="n">
        <v>0.4358</v>
      </c>
      <c r="H14" s="19" t="n">
        <v>18.56</v>
      </c>
    </row>
    <row r="15">
      <c r="A15" s="14" t="inlineStr">
        <is>
          <t>29</t>
        </is>
      </c>
      <c r="B15" s="29" t="n">
        <v>40.1</v>
      </c>
      <c r="C15" s="21" t="n">
        <v>8.33</v>
      </c>
      <c r="D15" s="15" t="inlineStr">
        <is>
          <t>2142 – 2391</t>
        </is>
      </c>
      <c r="E15" s="15" t="n">
        <v>249</v>
      </c>
      <c r="F15" s="15" t="n">
        <v>31.54</v>
      </c>
      <c r="G15" s="20" t="n">
        <v>0.5482</v>
      </c>
      <c r="H15" s="21" t="inlineStr">
        <is>
          <t>Por determinar</t>
        </is>
      </c>
    </row>
    <row r="16">
      <c r="A16" s="7" t="inlineStr">
        <is>
          <t>70</t>
        </is>
      </c>
      <c r="B16" s="28" t="n">
        <v>22.39</v>
      </c>
      <c r="C16" s="19" t="n">
        <v>4.65</v>
      </c>
      <c r="D16" s="11" t="inlineStr">
        <is>
          <t>2326 – 2536</t>
        </is>
      </c>
      <c r="E16" s="11" t="n">
        <v>210</v>
      </c>
      <c r="F16" s="11" t="n">
        <v>23.2</v>
      </c>
      <c r="G16" s="18" t="n">
        <v>0.6223</v>
      </c>
      <c r="H16" s="19" t="n">
        <v>98.39</v>
      </c>
    </row>
    <row r="17">
      <c r="A17" s="14" t="inlineStr">
        <is>
          <t>68</t>
        </is>
      </c>
      <c r="B17" s="29" t="n">
        <v>21.29</v>
      </c>
      <c r="C17" s="21" t="n">
        <v>4.42</v>
      </c>
      <c r="D17" s="15" t="inlineStr">
        <is>
          <t>2086 – 2374</t>
        </is>
      </c>
      <c r="E17" s="15" t="n">
        <v>288</v>
      </c>
      <c r="F17" s="15" t="n">
        <v>36.81</v>
      </c>
      <c r="G17" s="20" t="n">
        <v>0.483</v>
      </c>
      <c r="H17" s="21" t="inlineStr">
        <is>
          <t>Por determinar</t>
        </is>
      </c>
    </row>
    <row r="18">
      <c r="A18" s="7" t="inlineStr">
        <is>
          <t>69</t>
        </is>
      </c>
      <c r="B18" s="28" t="n">
        <v>19.43</v>
      </c>
      <c r="C18" s="19" t="n">
        <v>4.04</v>
      </c>
      <c r="D18" s="11" t="inlineStr">
        <is>
          <t>1931 – 2205</t>
        </is>
      </c>
      <c r="E18" s="11" t="n">
        <v>274</v>
      </c>
      <c r="F18" s="11" t="n">
        <v>27.95</v>
      </c>
      <c r="G18" s="18" t="n">
        <v>0.4489</v>
      </c>
      <c r="H18" s="19" t="n">
        <v>22.92</v>
      </c>
    </row>
    <row r="19">
      <c r="A19" s="14" t="inlineStr">
        <is>
          <t>53</t>
        </is>
      </c>
      <c r="B19" s="29" t="n">
        <v>13.06</v>
      </c>
      <c r="C19" s="21" t="n">
        <v>2.71</v>
      </c>
      <c r="D19" s="15" t="inlineStr">
        <is>
          <t>2235 – 2540</t>
        </is>
      </c>
      <c r="E19" s="15" t="n">
        <v>305</v>
      </c>
      <c r="F19" s="15" t="n">
        <v>26.89</v>
      </c>
      <c r="G19" s="20" t="n">
        <v>0.5963000000000001</v>
      </c>
      <c r="H19" s="21" t="n">
        <v>86.15000000000001</v>
      </c>
    </row>
    <row r="20">
      <c r="A20" s="12" t="inlineStr">
        <is>
          <t>► 72</t>
        </is>
      </c>
      <c r="B20" s="30" t="n">
        <v>12.4</v>
      </c>
      <c r="C20" s="31" t="n">
        <v>2.58</v>
      </c>
      <c r="D20" s="13" t="inlineStr">
        <is>
          <t>1538 – 1742</t>
        </is>
      </c>
      <c r="E20" s="13" t="n">
        <v>204</v>
      </c>
      <c r="F20" s="13" t="n">
        <v>28.25</v>
      </c>
      <c r="G20" s="32" t="n">
        <v>0.5185</v>
      </c>
      <c r="H20" s="31" t="n">
        <v>92.44</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row>
    <row r="24" ht="84" customHeight="1">
      <c r="A24" s="9" t="inlineStr">
        <is>
          <t>LECTURA INTRAMICROCUENCA. El bloque 72 ocupa el puesto 11 de 11 por superficie dentro de la microcuenca C1076-Q9592 (2.58 % de las 481.17 ha preliminares de la microcuenca). Su pendiente promedio (28.25 %, clase «25-50% (Mod. escarpado)») es la 6.ª más baja de 11 y se sitúa por debajo del promedio de la microcuenca (29.39 %). Su MSAVI 2024 (0.5185) es el 8.º de 11 y queda por debajo del promedio local (0.5435). Amplitud altitudinal del bloque: 204 m (1538–1742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6:H26"/>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(12.400 ha) coincide con la de catálogo (12.4 ha) dentro del ±2 % (+0.00 %)</t>
        </is>
      </c>
      <c r="D12" s="35"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4 rasgos erosivos, pero longitud, profundidad y ancho no fueron medidos instrumentalmente</t>
        </is>
      </c>
      <c r="D13" s="13"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Elenco florístico</t>
        </is>
      </c>
      <c r="C14" s="34" t="inlineStr">
        <is>
          <t>La ficha registra 10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«Ramón Castilla»; el cruce INEI-Bloques V5 identifica 1 centro(s) poblado(s) en el bloque: RAMON CASTILLA</t>
        </is>
      </c>
      <c r="D16" s="13" t="inlineStr">
        <is>
          <t>NO SUSTANTIVA</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D-01: el Bloque 72 no figura en Centroides_Bloques.xls; el centroide se toma de la tabla auxiliar «Bloques V4»</t>
        </is>
      </c>
      <c r="D18" s="13" t="inlineStr">
        <is>
          <t>NO SUSTANTIVA</t>
        </is>
      </c>
      <c r="E18" s="34" t="inlineStr">
        <is>
          <t>Conciliar catálogos de centroides</t>
        </is>
      </c>
    </row>
    <row r="19" ht="48" customHeight="1">
      <c r="A19" s="36" t="inlineStr">
        <is>
          <t>D-10</t>
        </is>
      </c>
      <c r="B19" s="36" t="inlineStr">
        <is>
          <t>F-DT-01 / F-DT-02 / F-DT-05</t>
        </is>
      </c>
      <c r="C19" s="36" t="inlineStr">
        <is>
          <t>D-05: las fotografías de dron carecen de metadatos EXIF/GPS; no es posible georreferenciar rasgos ni fuentes</t>
        </is>
      </c>
      <c r="D19" s="37" t="inlineStr">
        <is>
          <t>SUSTANTIVA</t>
        </is>
      </c>
      <c r="E19" s="36" t="inlineStr">
        <is>
          <t>El panel fotográfico se trata como registro de SECTOR, no de punto; coordenadas en blanco</t>
        </is>
      </c>
    </row>
    <row r="20" ht="48" customHeight="1">
      <c r="A20" s="34" t="inlineStr">
        <is>
          <t>D-11</t>
        </is>
      </c>
      <c r="B20" s="34" t="inlineStr">
        <is>
          <t>F-DT-01</t>
        </is>
      </c>
      <c r="C20" s="34" t="inlineStr">
        <is>
          <t>Completitud física de la verificación estimada &lt;10% (solo vuelo de dron, sin recorrido pedestre interior)</t>
        </is>
      </c>
      <c r="D20" s="37" t="inlineStr">
        <is>
          <t>SUSTANTIVA</t>
        </is>
      </c>
      <c r="E20" s="34" t="inlineStr">
        <is>
          <t>Verificación pedestre pendiente</t>
        </is>
      </c>
    </row>
    <row r="21" ht="48" customHeight="1">
      <c r="A21" s="36" t="inlineStr">
        <is>
          <t>D-12</t>
        </is>
      </c>
      <c r="B21" s="36" t="inlineStr">
        <is>
          <t>F-DT-03</t>
        </is>
      </c>
      <c r="C21" s="36" t="inlineStr">
        <is>
          <t>D-04: ecosistema asignado «Matorral Andino semiárido» frente a Bes-cm en bloques vecinos de la misma microcuenca</t>
        </is>
      </c>
      <c r="D21" s="37" t="inlineStr">
        <is>
          <t>SUSTANTIVA</t>
        </is>
      </c>
      <c r="E21" s="36" t="inlineStr">
        <is>
          <t>Requiere consulta al Reporte de Ecosistemas V5 y decisión de la Subdirección</t>
        </is>
      </c>
    </row>
    <row r="22" ht="48" customHeight="1">
      <c r="A22" s="34" t="inlineStr">
        <is>
          <t>D-13</t>
        </is>
      </c>
      <c r="B22" s="34" t="inlineStr">
        <is>
          <t>F-DT-03</t>
        </is>
      </c>
      <c r="C22" s="34" t="inlineStr">
        <is>
          <t>D-02: divergencia MSAVI 2024 (0.5185, clases bajas) vs. NDVI mediana 2025 («Vegetación alta» casi total)</t>
        </is>
      </c>
      <c r="D22" s="37" t="inlineStr">
        <is>
          <t>SUSTANTIVA</t>
        </is>
      </c>
      <c r="E22" s="34" t="inlineStr">
        <is>
          <t>No interpretar como recuperación de cobertura sin verificación adicional</t>
        </is>
      </c>
    </row>
    <row r="23" ht="48" customHeight="1">
      <c r="A23" s="36" t="inlineStr">
        <is>
          <t>D-14</t>
        </is>
      </c>
      <c r="B23" s="36" t="inlineStr">
        <is>
          <t>F-DT-03</t>
        </is>
      </c>
      <c r="C23" s="36" t="inlineStr">
        <is>
          <t>Inventario florístico de 10 taxones frente al mínimo de 15</t>
        </is>
      </c>
      <c r="D23" s="37" t="inlineStr">
        <is>
          <t>SUSTANTIVA</t>
        </is>
      </c>
      <c r="E23" s="36" t="inlineStr">
        <is>
          <t>Colecta y determinación botánica pendientes</t>
        </is>
      </c>
    </row>
    <row r="24" ht="48" customHeight="1">
      <c r="A24" s="34" t="inlineStr">
        <is>
          <t>D-15</t>
        </is>
      </c>
      <c r="B24" s="34" t="inlineStr">
        <is>
          <t>F-DT-04</t>
        </is>
      </c>
      <c r="C24" s="34" t="inlineStr">
        <is>
          <t>D-06: viviendas, trocha carrozable y cultivos permanentes en el polígono y su entorno</t>
        </is>
      </c>
      <c r="D24" s="37" t="inlineStr">
        <is>
          <t>SUSTANTIVA</t>
        </is>
      </c>
      <c r="E24" s="34" t="inlineStr">
        <is>
          <t>Verificar exclusión de áreas agrícolas (Paso 5) y calificación como ecosistema degradado (R.M. 00213-2024-MINAM); posible redelimitación</t>
        </is>
      </c>
    </row>
    <row r="26">
      <c r="A26" s="16" t="inlineStr">
        <is>
          <t>RESUMEN</t>
        </is>
      </c>
      <c r="B26" s="17" t="inlineStr">
        <is>
          <t>15 verificaciones</t>
        </is>
      </c>
      <c r="C26" s="17" t="inlineStr">
        <is>
          <t>CONFORME: 3 · NO SUSTANTIVA: 3 · SUSTANTIVA: 9</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72 — IN Piura</dc:title>
  <dc:subject>Diagnóstico Territorial por bloque de intervención</dc:subject>
  <dcterms:created xsi:type="dcterms:W3CDTF">2026-09-08T03:39:57Z</dcterms:created>
  <dcterms:modified xsi:type="dcterms:W3CDTF">2026-09-08T03:39:57Z</dcterms:modified>
</cp:coreProperties>
</file>