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72</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72</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Ramón Castilla</t>
        </is>
      </c>
      <c r="C13" s="6" t="inlineStr">
        <is>
          <t>Comunidad campesina</t>
        </is>
      </c>
      <c r="D13" s="7" t="inlineStr">
        <is>
          <t>Por verificar</t>
        </is>
      </c>
      <c r="E13" s="8" t="n"/>
      <c r="F13" s="8" t="n"/>
    </row>
    <row r="14">
      <c r="A14" s="6" t="inlineStr">
        <is>
          <t>Superficie de catálogo (V5/V6), ha</t>
        </is>
      </c>
      <c r="B14" s="7" t="n">
        <v>12.4</v>
      </c>
      <c r="C14" s="6" t="inlineStr">
        <is>
          <t>Fuente de superficie</t>
        </is>
      </c>
      <c r="D14" s="7" t="inlineStr">
        <is>
          <t>Catálogo maestro Bloques V5/V6</t>
        </is>
      </c>
      <c r="E14" s="8" t="n"/>
      <c r="F14" s="8" t="n"/>
    </row>
    <row r="15">
      <c r="A15" s="6" t="inlineStr">
        <is>
          <t>Centroide UTM ESTE (m)</t>
        </is>
      </c>
      <c r="B15" s="7" t="n">
        <v>662236</v>
      </c>
      <c r="C15" s="6" t="inlineStr">
        <is>
          <t>Centroide UTM NORTE (m)</t>
        </is>
      </c>
      <c r="D15" s="7" t="n">
        <v>9391211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1538</v>
      </c>
      <c r="C19" s="6" t="inlineStr">
        <is>
          <t>Altitud máxima (msnm)</t>
        </is>
      </c>
      <c r="D19" s="7" t="n">
        <v>1742</v>
      </c>
      <c r="E19" s="8" t="n"/>
      <c r="F19" s="8" t="n"/>
    </row>
    <row r="20">
      <c r="A20" s="6" t="inlineStr">
        <is>
          <t>Amplitud altitudinal (m)</t>
        </is>
      </c>
      <c r="B20" s="7" t="n">
        <v>204</v>
      </c>
      <c r="C20" s="6" t="inlineStr">
        <is>
          <t>Piso altitudinal dominante</t>
        </is>
      </c>
      <c r="D20" s="7" t="inlineStr">
        <is>
          <t>1500-2000 m (Quechua media)</t>
        </is>
      </c>
      <c r="E20" s="8" t="n"/>
      <c r="F20" s="8" t="n"/>
    </row>
    <row r="21">
      <c r="A21" s="6" t="inlineStr">
        <is>
          <t>Pendiente promedio (%)</t>
        </is>
      </c>
      <c r="B21" s="7" t="n">
        <v>28.25</v>
      </c>
      <c r="C21" s="6" t="inlineStr">
        <is>
          <t>Pendiente promedio (grados)</t>
        </is>
      </c>
      <c r="D21" s="7" t="n">
        <v>15.8</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0.5185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(92.44 %)</t>
        </is>
      </c>
      <c r="E29" s="8" t="n"/>
      <c r="F29" s="8" t="n"/>
    </row>
    <row r="30">
      <c r="A30" s="6" t="inlineStr">
        <is>
          <t>Superficie clasificada NDVI 2025 (ha)</t>
        </is>
      </c>
      <c r="B30" s="7" t="n">
        <v>12.4</v>
      </c>
      <c r="C30" s="6" t="inlineStr">
        <is>
          <t>Desviación frente al catálogo (%)</t>
        </is>
      </c>
      <c r="D30" s="7" t="n">
        <v>0</v>
      </c>
      <c r="E30" s="8" t="n"/>
      <c r="F30" s="8" t="n"/>
    </row>
    <row r="32" ht="18" customHeight="1">
      <c r="A32" s="5" t="inlineStr">
        <is>
          <t>4. ECOSISTEMA Y ESTADO DE CONSERVACIÓN</t>
        </is>
      </c>
    </row>
    <row r="33">
      <c r="A33" s="6" t="inlineStr">
        <is>
          <t>Tipo de ecosistema (UP)</t>
        </is>
      </c>
      <c r="B33" s="7" t="inlineStr">
        <is>
          <t>Matorral Andino semiárido (lectura de campo; ver D-04)</t>
        </is>
      </c>
      <c r="C33" s="6" t="inlineStr">
        <is>
          <t>Superficie de ecosistema (ha)</t>
        </is>
      </c>
      <c r="D33" s="7" t="inlineStr">
        <is>
          <t>Por verificar — Reporte de Ecosistemas por Bloques V5 no disponible para el Bloque 72</t>
        </is>
      </c>
      <c r="E33" s="8" t="n"/>
      <c r="F33" s="8" t="n"/>
    </row>
    <row r="34">
      <c r="A34" s="6" t="inlineStr">
        <is>
          <t>Estado de conservación</t>
        </is>
      </c>
      <c r="B34" s="7" t="inlineStr">
        <is>
          <t>Medianamente alterado</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n">
        <v>85</v>
      </c>
      <c r="E35" s="8" t="n"/>
      <c r="F35" s="8" t="n"/>
    </row>
    <row r="36">
      <c r="A36" s="6" t="inlineStr">
        <is>
          <t>Suelo desnudo — campo (%)</t>
        </is>
      </c>
      <c r="B36" s="7" t="n">
        <v>8</v>
      </c>
      <c r="C36" s="6" t="inlineStr">
        <is>
          <t>Regeneración natural</t>
        </is>
      </c>
      <c r="D36" s="7" t="inlineStr">
        <is>
          <t>No evaluable desde vuelo de dron</t>
        </is>
      </c>
      <c r="E36" s="8" t="n"/>
      <c r="F36" s="8" t="n"/>
    </row>
    <row r="37">
      <c r="A37" s="6" t="inlineStr">
        <is>
          <t>Nivel general de erosión</t>
        </is>
      </c>
      <c r="B37" s="7" t="inlineStr">
        <is>
          <t>Fuerte (cárcavas incipientes)</t>
        </is>
      </c>
      <c r="C37" s="6" t="inlineStr">
        <is>
          <t>N.° de cárcavas registradas</t>
        </is>
      </c>
      <c r="D37" s="7" t="n">
        <v>4</v>
      </c>
      <c r="E37" s="8" t="n"/>
      <c r="F37" s="8" t="n"/>
    </row>
    <row r="38">
      <c r="A38" s="6" t="inlineStr">
        <is>
          <t>Elenco florístico (n.° de taxones)</t>
        </is>
      </c>
      <c r="B38" s="7" t="n">
        <v>10</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Héctor S. Cahuas Miller</t>
        </is>
      </c>
      <c r="C41" s="6" t="inlineStr">
        <is>
          <t>Fecha de evaluación</t>
        </is>
      </c>
      <c r="D41" s="7" t="inlineStr">
        <is>
          <t>2026-08-01</t>
        </is>
      </c>
      <c r="E41" s="8" t="n"/>
      <c r="F41" s="8" t="n"/>
    </row>
    <row r="42">
      <c r="A42" s="6" t="inlineStr">
        <is>
          <t>Hora de registro</t>
        </is>
      </c>
      <c r="B42" s="7" t="inlineStr">
        <is>
          <t>11:20 - 12:05 h (aprox.)</t>
        </is>
      </c>
      <c r="C42" s="6" t="inlineStr">
        <is>
          <t>Correlativo de ficha</t>
        </is>
      </c>
      <c r="D42" s="7" t="inlineStr">
        <is>
          <t>F-DT-01/B72-2026</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aplica — verificación por vuelo de dron (sin parcela instalada)</t>
        </is>
      </c>
      <c r="E44" s="8" t="n"/>
      <c r="F44" s="8" t="n"/>
    </row>
    <row r="45">
      <c r="A45" s="6" t="inlineStr">
        <is>
          <t>Estaciones fotográficas georreferenciadas</t>
        </is>
      </c>
      <c r="B45" s="7" t="n">
        <v>0</v>
      </c>
      <c r="C45" s="6" t="inlineStr">
        <is>
          <t>Modalidad de acceso</t>
        </is>
      </c>
      <c r="D45" s="7" t="inlineStr">
        <is>
          <t>Vehicular + caminata &lt;30 min</t>
        </is>
      </c>
      <c r="E45" s="8" t="n"/>
      <c r="F45" s="8" t="n"/>
    </row>
    <row r="47" ht="18" customHeight="1">
      <c r="A47" s="5" t="inlineStr">
        <is>
          <t>6. SÍNTESIS PARA LA GESTIÓN DEL RIESGO EN CONTEXTO DE CAMBIO CLIMÁTICO</t>
        </is>
      </c>
    </row>
    <row r="48">
      <c r="A48" s="6" t="inlineStr">
        <is>
          <t>Causa subyacente principal</t>
        </is>
      </c>
      <c r="B48" s="7" t="inlineStr">
        <is>
          <t>Presión demográfica y dependencia de la agricultura de subsistencia en un caserío sin alternativas productivas</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Media</t>
        </is>
      </c>
      <c r="E49" s="8" t="n"/>
      <c r="F49" s="8" t="n"/>
    </row>
    <row r="50">
      <c r="A50" s="6" t="inlineStr">
        <is>
          <t>Urgencia de control de erosión</t>
        </is>
      </c>
      <c r="B50" s="7" t="inlineStr">
        <is>
          <t>Media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72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0.518477</v>
      </c>
      <c r="C15" s="17" t="inlineStr">
        <is>
          <t>—</t>
        </is>
      </c>
      <c r="D15" s="17" t="inlineStr">
        <is>
          <t>Vigor moderado · clase 0.4976 - 0.6139</t>
        </is>
      </c>
      <c r="E15" s="17" t="inlineStr">
        <is>
          <t>Sobre umbral</t>
        </is>
      </c>
    </row>
    <row r="17" ht="72" customHeight="1">
      <c r="A17" s="9" t="inlineStr">
        <is>
          <t>NOTA METODOLÓGICA. La media del MSAVI 2024 del bloque (0.518477)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11.4633</v>
      </c>
      <c r="C21" s="19" t="n">
        <v>92.44</v>
      </c>
      <c r="D21" s="11" t="inlineStr">
        <is>
          <t>Dosel continuo, matorral denso o mosaico agroforestal</t>
        </is>
      </c>
      <c r="E21" s="11" t="inlineStr"/>
    </row>
    <row r="22">
      <c r="A22" s="14" t="inlineStr">
        <is>
          <t>Vegetación mediana</t>
        </is>
      </c>
      <c r="B22" s="20" t="n">
        <v>0.9369</v>
      </c>
      <c r="C22" s="21" t="n">
        <v>7.56</v>
      </c>
      <c r="D22" s="15" t="inlineStr">
        <is>
          <t>Pastizal cultivado, matorral ralo, parcelas agrícolas</t>
        </is>
      </c>
      <c r="E22" s="15" t="inlineStr"/>
    </row>
    <row r="23">
      <c r="A23" s="16" t="inlineStr">
        <is>
          <t>TOTAL CLASIFICADO</t>
        </is>
      </c>
      <c r="B23" s="22">
        <f>SUM(B21:B22)</f>
        <v/>
      </c>
      <c r="C23" s="23">
        <f>SUM(C21:C22)</f>
        <v/>
      </c>
      <c r="D23" s="17" t="inlineStr"/>
      <c r="E23" s="17" t="inlineStr"/>
    </row>
    <row r="24">
      <c r="A24" s="24" t="inlineStr">
        <is>
          <t>Superficie de catálogo (V5/V6)</t>
        </is>
      </c>
      <c r="B24" s="25" t="n">
        <v>12.4</v>
      </c>
      <c r="C24" s="25" t="inlineStr">
        <is>
          <t>—</t>
        </is>
      </c>
      <c r="D24" s="25" t="inlineStr">
        <is>
          <t>Desviación planimétrica frente al catálogo</t>
        </is>
      </c>
      <c r="E24" s="25" t="inlineStr">
        <is>
          <t>+0.00 %</t>
        </is>
      </c>
    </row>
    <row r="26" ht="108" customHeight="1">
      <c r="A26"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92.44 % del polígono clasificado como «Vegetación alta» por el NDVI 2025; la observación de campo corresponde a una parcela o recorrido puntual y no es estadísticamente representativa de las 12.400 ha del bloque.</t>
        </is>
      </c>
    </row>
  </sheetData>
  <mergeCells count="10">
    <mergeCell ref="A4:E4"/>
    <mergeCell ref="A26:E26"/>
    <mergeCell ref="A2:E2"/>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72</t>
        </is>
      </c>
    </row>
    <row r="6" ht="24" customHeight="1">
      <c r="A6" s="4" t="inlineStr">
        <is>
          <t>Levantamiento del 2026-08-01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662236</v>
      </c>
      <c r="D10" s="26" t="n">
        <v>9391211</v>
      </c>
      <c r="E10" s="11" t="n">
        <v>0</v>
      </c>
      <c r="F10" s="11" t="inlineStr"/>
      <c r="G10" s="11" t="inlineStr">
        <is>
          <t>Coordenada consignada en F-DT-01</t>
        </is>
      </c>
    </row>
    <row r="11">
      <c r="A11" s="14" t="inlineStr">
        <is>
          <t>C-01</t>
        </is>
      </c>
      <c r="B11" s="15" t="inlineStr">
        <is>
          <t>Rasgo erosivo — Cárcava incipiente</t>
        </is>
      </c>
      <c r="C11" s="27" t="inlineStr">
        <is>
          <t>Por determinar</t>
        </is>
      </c>
      <c r="D11" s="27" t="inlineStr">
        <is>
          <t>Por determinar</t>
        </is>
      </c>
      <c r="E11" s="15" t="inlineStr"/>
      <c r="F11" s="15" t="inlineStr">
        <is>
          <t>Activa</t>
        </is>
      </c>
      <c r="G11" s="15" t="inlineStr">
        <is>
          <t>Caminos / huellas de ganado</t>
        </is>
      </c>
    </row>
    <row r="12">
      <c r="A12" s="7" t="inlineStr">
        <is>
          <t>C-02</t>
        </is>
      </c>
      <c r="B12" s="11" t="inlineStr">
        <is>
          <t>Rasgo erosivo — Cárcava somera (0.5-2 m)</t>
        </is>
      </c>
      <c r="C12" s="26" t="inlineStr">
        <is>
          <t>Por determinar</t>
        </is>
      </c>
      <c r="D12" s="26" t="inlineStr">
        <is>
          <t>Por determinar</t>
        </is>
      </c>
      <c r="E12" s="11" t="inlineStr"/>
      <c r="F12" s="11" t="inlineStr">
        <is>
          <t>Semi-activa</t>
        </is>
      </c>
      <c r="G12" s="11" t="inlineStr">
        <is>
          <t>Socavamiento de cauce</t>
        </is>
      </c>
    </row>
    <row r="13">
      <c r="A13" s="14" t="inlineStr">
        <is>
          <t>C-03</t>
        </is>
      </c>
      <c r="B13" s="15" t="inlineStr">
        <is>
          <t>Rasgo erosivo — Cárcava incipiente</t>
        </is>
      </c>
      <c r="C13" s="27" t="inlineStr">
        <is>
          <t>Por determinar</t>
        </is>
      </c>
      <c r="D13" s="27" t="inlineStr">
        <is>
          <t>Por determinar</t>
        </is>
      </c>
      <c r="E13" s="15" t="inlineStr"/>
      <c r="F13" s="15" t="inlineStr">
        <is>
          <t>Activa</t>
        </is>
      </c>
      <c r="G13" s="15" t="inlineStr">
        <is>
          <t>Concentración natural de escorrentía</t>
        </is>
      </c>
    </row>
    <row r="14">
      <c r="A14" s="7" t="inlineStr">
        <is>
          <t>C-04</t>
        </is>
      </c>
      <c r="B14" s="11" t="inlineStr">
        <is>
          <t>Rasgo erosivo — Surco (&lt;30 cm)</t>
        </is>
      </c>
      <c r="C14" s="26" t="inlineStr">
        <is>
          <t>Por determinar</t>
        </is>
      </c>
      <c r="D14" s="26" t="inlineStr">
        <is>
          <t>Por determinar</t>
        </is>
      </c>
      <c r="E14" s="11" t="inlineStr"/>
      <c r="F14" s="11" t="inlineStr">
        <is>
          <t>Activa</t>
        </is>
      </c>
      <c r="G14" s="11" t="inlineStr">
        <is>
          <t>Caminos / huellas de ganado</t>
        </is>
      </c>
    </row>
    <row r="15">
      <c r="A15" s="14" t="inlineStr">
        <is>
          <t>H-01</t>
        </is>
      </c>
      <c r="B15" s="15" t="inlineStr">
        <is>
          <t>Fuente de agua — Quebrada estacional</t>
        </is>
      </c>
      <c r="C15" s="27" t="inlineStr">
        <is>
          <t>Por determinar</t>
        </is>
      </c>
      <c r="D15" s="27" t="inlineStr">
        <is>
          <t>Por determinar</t>
        </is>
      </c>
      <c r="E15" s="15" t="inlineStr"/>
      <c r="F15" s="15" t="inlineStr">
        <is>
          <t>Estacional</t>
        </is>
      </c>
      <c r="G15" s="15" t="inlineStr">
        <is>
          <t>Quebrada tributaria</t>
        </is>
      </c>
    </row>
    <row r="16">
      <c r="A16" s="7" t="inlineStr">
        <is>
          <t>H-02</t>
        </is>
      </c>
      <c r="B16" s="11" t="inlineStr">
        <is>
          <t>Fuente de agua — Otro (zonas de humedad edáfica)</t>
        </is>
      </c>
      <c r="C16" s="26" t="inlineStr">
        <is>
          <t>Por determinar</t>
        </is>
      </c>
      <c r="D16" s="26" t="inlineStr">
        <is>
          <t>Por determinar</t>
        </is>
      </c>
      <c r="E16" s="11" t="inlineStr"/>
      <c r="F16" s="11" t="inlineStr">
        <is>
          <t>Permanente</t>
        </is>
      </c>
      <c r="G16" s="11" t="inlineStr">
        <is>
          <t>Zonas de humedad edáfica</t>
        </is>
      </c>
    </row>
    <row r="17">
      <c r="A17" s="16" t="inlineStr">
        <is>
          <t>TOTAL: 7 puntos</t>
        </is>
      </c>
      <c r="B17" s="17" t="inlineStr"/>
      <c r="C17" s="17" t="inlineStr"/>
      <c r="D17" s="17" t="inlineStr"/>
      <c r="E17" s="17" t="inlineStr"/>
      <c r="F17" s="17" t="inlineStr"/>
      <c r="G17" s="17" t="inlineStr"/>
    </row>
    <row r="19">
      <c r="A19" s="6" t="inlineStr">
        <is>
          <t>Centroide del bloque — UTM ESTE (m)</t>
        </is>
      </c>
      <c r="B19" s="7" t="n">
        <v>662236</v>
      </c>
      <c r="C19" s="6" t="inlineStr">
        <is>
          <t>Centroide del bloque — UTM NORTE (m)</t>
        </is>
      </c>
      <c r="D19" s="7" t="n">
        <v>9391211</v>
      </c>
      <c r="E19" s="8" t="n"/>
      <c r="F19" s="8" t="n"/>
      <c r="G19" s="8" t="n"/>
      <c r="H19" s="8" t="n"/>
    </row>
    <row r="20">
      <c r="A20" s="6" t="inlineStr">
        <is>
          <t>N.° de estaciones fotográficas declaradas</t>
        </is>
      </c>
      <c r="B20" s="7" t="n">
        <v>0</v>
      </c>
      <c r="C20" s="6" t="inlineStr">
        <is>
          <t>Estaciones dentro del polígono</t>
        </is>
      </c>
      <c r="D20" s="7" t="n">
        <v>0</v>
      </c>
      <c r="E20" s="8" t="n"/>
      <c r="F20" s="8" t="n"/>
      <c r="G20" s="8" t="n"/>
      <c r="H20" s="8" t="n"/>
    </row>
    <row r="22" ht="168" customHeight="1">
      <c r="A22"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PARÁMETROS DE GABINETE (DEM): rango altitudinal 1 538-1 742 msnm (amplitud 204 m); pendiente promedio 28.25%; área 12.398 ha; MSAVI 2024 medio 0.5185; microcuenca C1076-Q9592, Zona Z13; centroide (Bloques V4) 662 236 E · 9 391 211 N. MODALIDAD DE VERIFICACIÓN: VUELO DE DRON del 01-08-2026 (SIN RECORRIDO PEDESTRE INTERIOR). COMPLETITUD FÍSICA ESTIMADA &lt;10%. POR VERIFICAR: altitud GPS instrumental; nombre de la comunidad campesina; origen de las lineaciones subhorizontales tipo terraceta observadas en ladera (reptación vs. pisoteo de ganado vs. terraceo agrícola antiguo). D-01: el Bloque 72 NO figura en Centroides_Bloques.xls (catálogo restringido a bloques de código M); el centroide se toma de la tabla auxiliar «Bloques V4». D-05: LAS FOTOGRAFÍAS DE DRON CARECEN DE METADATOS EXIF/GPS, por lo que no es posible asignar cada fotograma al polígono ni georreferenciar rasgos; el panel fotográfico se trata como registro de SECTOR, no de punto.</t>
        </is>
      </c>
    </row>
  </sheetData>
  <mergeCells count="8">
    <mergeCell ref="A1:G1"/>
    <mergeCell ref="A8:G8"/>
    <mergeCell ref="A3:G3"/>
    <mergeCell ref="A6:G6"/>
    <mergeCell ref="A22:G22"/>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72</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18</t>
        </is>
      </c>
      <c r="B10" s="28" t="n">
        <v>103.62</v>
      </c>
      <c r="C10" s="19" t="n">
        <v>21.54</v>
      </c>
      <c r="D10" s="11" t="inlineStr">
        <is>
          <t>1218 – 1904</t>
        </is>
      </c>
      <c r="E10" s="11" t="n">
        <v>686</v>
      </c>
      <c r="F10" s="11" t="n">
        <v>28.7</v>
      </c>
      <c r="G10" s="18" t="n">
        <v>0.6402</v>
      </c>
      <c r="H10" s="19" t="n">
        <v>96.64</v>
      </c>
    </row>
    <row r="11">
      <c r="A11" s="14" t="inlineStr">
        <is>
          <t>19</t>
        </is>
      </c>
      <c r="B11" s="29" t="n">
        <v>82.09</v>
      </c>
      <c r="C11" s="21" t="n">
        <v>17.06</v>
      </c>
      <c r="D11" s="15" t="inlineStr">
        <is>
          <t>2064 – 2503</t>
        </is>
      </c>
      <c r="E11" s="15" t="n">
        <v>439</v>
      </c>
      <c r="F11" s="15" t="n">
        <v>31.01</v>
      </c>
      <c r="G11" s="20" t="n">
        <v>0.5372</v>
      </c>
      <c r="H11" s="21" t="n">
        <v>60.33</v>
      </c>
    </row>
    <row r="12">
      <c r="A12" s="7" t="inlineStr">
        <is>
          <t>41</t>
        </is>
      </c>
      <c r="B12" s="28" t="n">
        <v>64.92</v>
      </c>
      <c r="C12" s="19" t="n">
        <v>13.49</v>
      </c>
      <c r="D12" s="11" t="inlineStr">
        <is>
          <t>1536 – 1818</t>
        </is>
      </c>
      <c r="E12" s="11" t="n">
        <v>282</v>
      </c>
      <c r="F12" s="11" t="n">
        <v>25.53</v>
      </c>
      <c r="G12" s="18" t="n">
        <v>0.5927</v>
      </c>
      <c r="H12" s="19" t="n">
        <v>98.02</v>
      </c>
    </row>
    <row r="13">
      <c r="A13" s="14" t="inlineStr">
        <is>
          <t>73</t>
        </is>
      </c>
      <c r="B13" s="29" t="n">
        <v>54.29</v>
      </c>
      <c r="C13" s="21" t="n">
        <v>11.28</v>
      </c>
      <c r="D13" s="15" t="inlineStr">
        <is>
          <t>1845 – 2305</t>
        </is>
      </c>
      <c r="E13" s="15" t="n">
        <v>460</v>
      </c>
      <c r="F13" s="15" t="n">
        <v>36.34</v>
      </c>
      <c r="G13" s="20" t="n">
        <v>0.555</v>
      </c>
      <c r="H13" s="21" t="n">
        <v>88.8</v>
      </c>
    </row>
    <row r="14">
      <c r="A14" s="7" t="inlineStr">
        <is>
          <t>31</t>
        </is>
      </c>
      <c r="B14" s="28" t="n">
        <v>47.58</v>
      </c>
      <c r="C14" s="19" t="n">
        <v>9.890000000000001</v>
      </c>
      <c r="D14" s="11" t="inlineStr">
        <is>
          <t>1741 – 2234</t>
        </is>
      </c>
      <c r="E14" s="11" t="n">
        <v>493</v>
      </c>
      <c r="F14" s="11" t="n">
        <v>27.08</v>
      </c>
      <c r="G14" s="18" t="n">
        <v>0.4358</v>
      </c>
      <c r="H14" s="19" t="n">
        <v>18.56</v>
      </c>
    </row>
    <row r="15">
      <c r="A15" s="14" t="inlineStr">
        <is>
          <t>29</t>
        </is>
      </c>
      <c r="B15" s="29" t="n">
        <v>40.1</v>
      </c>
      <c r="C15" s="21" t="n">
        <v>8.33</v>
      </c>
      <c r="D15" s="15" t="inlineStr">
        <is>
          <t>2142 – 2391</t>
        </is>
      </c>
      <c r="E15" s="15" t="n">
        <v>249</v>
      </c>
      <c r="F15" s="15" t="n">
        <v>31.54</v>
      </c>
      <c r="G15" s="20" t="n">
        <v>0.5482</v>
      </c>
      <c r="H15" s="21" t="inlineStr">
        <is>
          <t>Por determinar</t>
        </is>
      </c>
    </row>
    <row r="16">
      <c r="A16" s="7" t="inlineStr">
        <is>
          <t>70</t>
        </is>
      </c>
      <c r="B16" s="28" t="n">
        <v>22.39</v>
      </c>
      <c r="C16" s="19" t="n">
        <v>4.65</v>
      </c>
      <c r="D16" s="11" t="inlineStr">
        <is>
          <t>2326 – 2536</t>
        </is>
      </c>
      <c r="E16" s="11" t="n">
        <v>210</v>
      </c>
      <c r="F16" s="11" t="n">
        <v>23.2</v>
      </c>
      <c r="G16" s="18" t="n">
        <v>0.6223</v>
      </c>
      <c r="H16" s="19" t="n">
        <v>98.39</v>
      </c>
    </row>
    <row r="17">
      <c r="A17" s="14" t="inlineStr">
        <is>
          <t>68</t>
        </is>
      </c>
      <c r="B17" s="29" t="n">
        <v>21.29</v>
      </c>
      <c r="C17" s="21" t="n">
        <v>4.42</v>
      </c>
      <c r="D17" s="15" t="inlineStr">
        <is>
          <t>2086 – 2374</t>
        </is>
      </c>
      <c r="E17" s="15" t="n">
        <v>288</v>
      </c>
      <c r="F17" s="15" t="n">
        <v>36.81</v>
      </c>
      <c r="G17" s="20" t="n">
        <v>0.483</v>
      </c>
      <c r="H17" s="21" t="inlineStr">
        <is>
          <t>Por determinar</t>
        </is>
      </c>
    </row>
    <row r="18">
      <c r="A18" s="7" t="inlineStr">
        <is>
          <t>69</t>
        </is>
      </c>
      <c r="B18" s="28" t="n">
        <v>19.43</v>
      </c>
      <c r="C18" s="19" t="n">
        <v>4.04</v>
      </c>
      <c r="D18" s="11" t="inlineStr">
        <is>
          <t>1931 – 2205</t>
        </is>
      </c>
      <c r="E18" s="11" t="n">
        <v>274</v>
      </c>
      <c r="F18" s="11" t="n">
        <v>27.95</v>
      </c>
      <c r="G18" s="18" t="n">
        <v>0.4489</v>
      </c>
      <c r="H18" s="19" t="n">
        <v>22.92</v>
      </c>
    </row>
    <row r="19">
      <c r="A19" s="14" t="inlineStr">
        <is>
          <t>53</t>
        </is>
      </c>
      <c r="B19" s="29" t="n">
        <v>13.06</v>
      </c>
      <c r="C19" s="21" t="n">
        <v>2.71</v>
      </c>
      <c r="D19" s="15" t="inlineStr">
        <is>
          <t>2235 – 2540</t>
        </is>
      </c>
      <c r="E19" s="15" t="n">
        <v>305</v>
      </c>
      <c r="F19" s="15" t="n">
        <v>26.89</v>
      </c>
      <c r="G19" s="20" t="n">
        <v>0.5963000000000001</v>
      </c>
      <c r="H19" s="21" t="n">
        <v>86.15000000000001</v>
      </c>
    </row>
    <row r="20">
      <c r="A20" s="12" t="inlineStr">
        <is>
          <t>► 72</t>
        </is>
      </c>
      <c r="B20" s="30" t="n">
        <v>12.4</v>
      </c>
      <c r="C20" s="31" t="n">
        <v>2.58</v>
      </c>
      <c r="D20" s="13" t="inlineStr">
        <is>
          <t>1538 – 1742</t>
        </is>
      </c>
      <c r="E20" s="13" t="n">
        <v>204</v>
      </c>
      <c r="F20" s="13" t="n">
        <v>28.25</v>
      </c>
      <c r="G20" s="32" t="n">
        <v>0.5185</v>
      </c>
      <c r="H20" s="31" t="n">
        <v>92.44</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row>
    <row r="23" ht="84" customHeight="1">
      <c r="A23" s="9" t="inlineStr">
        <is>
          <t>LECTURA INTRAMICROCUENCA. El bloque 72 ocupa el puesto 11 de 11 por superficie dentro de la microcuenca C1076-Q9592 (2.58 % de las 481.17 ha preliminares de la microcuenca). Su pendiente promedio (28.25 %, clase «25-50% (Mod. escarpado)») es la 6.ª más baja de 11 y se sitúa por debajo del promedio de la microcuenca (29.39 %). Su MSAVI 2024 (0.5185) es el 8.º de 11 y queda por debajo del promedio local (0.5435). Amplitud altitudinal del bloque: 204 m (1538–1742 msnm). El cuadro conserva todos los bloques catalogados en la microcuenca, incluidos los descartados en el tamizaje, para referencia del conjunto. Los bloques sin ficha DT figuran con sus parámetros de gabinete.</t>
        </is>
      </c>
    </row>
    <row r="25" ht="60" customHeight="1">
      <c r="A25"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5:H25"/>
    <mergeCell ref="A2:H2"/>
    <mergeCell ref="A5:H5"/>
    <mergeCell ref="A23:H23"/>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72</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«C1076-Q9592»</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(12.400 ha) coincide con la de catálogo (12.4 ha) dentro del ±2 % (+0.00 %)</t>
        </is>
      </c>
      <c r="D12" s="35" t="inlineStr">
        <is>
          <t>CONFORME</t>
        </is>
      </c>
      <c r="E12" s="34" t="inlineStr">
        <is>
          <t>Sin acción: la segmentación valida la geometría del bloque.</t>
        </is>
      </c>
    </row>
    <row r="13" ht="48" customHeight="1">
      <c r="A13" s="36" t="inlineStr">
        <is>
          <t>D-04</t>
        </is>
      </c>
      <c r="B13" s="36" t="inlineStr">
        <is>
          <t>Dimensiones del inventario de cárcavas</t>
        </is>
      </c>
      <c r="C13" s="36" t="inlineStr">
        <is>
          <t>Se registran 4 rasgos erosivos, pero longitud, profundidad y ancho no fueron medidos instrumentalmente</t>
        </is>
      </c>
      <c r="D13" s="13" t="inlineStr">
        <is>
          <t>NO SUSTANTIVA</t>
        </is>
      </c>
      <c r="E13" s="36" t="inlineStr">
        <is>
          <t>El conteo registrado no debe usarse para calcular densidad de cárcavas por hectárea. Pendiente de levantamiento con GPS submétrico.</t>
        </is>
      </c>
    </row>
    <row r="14" ht="48" customHeight="1">
      <c r="A14" s="34" t="inlineStr">
        <is>
          <t>D-05</t>
        </is>
      </c>
      <c r="B14" s="34" t="inlineStr">
        <is>
          <t>Elenco florístico</t>
        </is>
      </c>
      <c r="C14" s="34" t="inlineStr">
        <is>
          <t>La ficha registra 10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«Ramón Castilla»; el cruce INEI-Bloques V5 identifica 1 centro(s) poblado(s) en el bloque: RAMON CASTILLA</t>
        </is>
      </c>
      <c r="D16" s="13" t="inlineStr">
        <is>
          <t>NO SUSTANTIVA</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F-DT-01</t>
        </is>
      </c>
      <c r="C18" s="34" t="inlineStr">
        <is>
          <t>D-01: el Bloque 72 no figura en Centroides_Bloques.xls; el centroide se toma de la tabla auxiliar «Bloques V4»</t>
        </is>
      </c>
      <c r="D18" s="13" t="inlineStr">
        <is>
          <t>NO SUSTANTIVA</t>
        </is>
      </c>
      <c r="E18" s="34" t="inlineStr">
        <is>
          <t>Conciliar catálogos de centroides</t>
        </is>
      </c>
    </row>
    <row r="19" ht="48" customHeight="1">
      <c r="A19" s="36" t="inlineStr">
        <is>
          <t>D-10</t>
        </is>
      </c>
      <c r="B19" s="36" t="inlineStr">
        <is>
          <t>F-DT-01 / F-DT-02 / F-DT-05</t>
        </is>
      </c>
      <c r="C19" s="36" t="inlineStr">
        <is>
          <t>D-05: las fotografías de dron carecen de metadatos EXIF/GPS; no es posible georreferenciar rasgos ni fuentes</t>
        </is>
      </c>
      <c r="D19" s="37" t="inlineStr">
        <is>
          <t>SUSTANTIVA</t>
        </is>
      </c>
      <c r="E19" s="36" t="inlineStr">
        <is>
          <t>El panel fotográfico se trata como registro de SECTOR, no de punto; coordenadas en blanco</t>
        </is>
      </c>
    </row>
    <row r="20" ht="48" customHeight="1">
      <c r="A20" s="34" t="inlineStr">
        <is>
          <t>D-11</t>
        </is>
      </c>
      <c r="B20" s="34" t="inlineStr">
        <is>
          <t>F-DT-01</t>
        </is>
      </c>
      <c r="C20" s="34" t="inlineStr">
        <is>
          <t>Completitud física de la verificación estimada &lt;10% (solo vuelo de dron, sin recorrido pedestre interior)</t>
        </is>
      </c>
      <c r="D20" s="37" t="inlineStr">
        <is>
          <t>SUSTANTIVA</t>
        </is>
      </c>
      <c r="E20" s="34" t="inlineStr">
        <is>
          <t>Verificación pedestre pendiente</t>
        </is>
      </c>
    </row>
    <row r="21" ht="48" customHeight="1">
      <c r="A21" s="36" t="inlineStr">
        <is>
          <t>D-12</t>
        </is>
      </c>
      <c r="B21" s="36" t="inlineStr">
        <is>
          <t>F-DT-03</t>
        </is>
      </c>
      <c r="C21" s="36" t="inlineStr">
        <is>
          <t>D-04: ecosistema asignado «Matorral Andino semiárido» frente a Bes-cm en bloques vecinos de la misma microcuenca</t>
        </is>
      </c>
      <c r="D21" s="37" t="inlineStr">
        <is>
          <t>SUSTANTIVA</t>
        </is>
      </c>
      <c r="E21" s="36" t="inlineStr">
        <is>
          <t>Requiere consulta al Reporte de Ecosistemas V5 y decisión de la Subdirección</t>
        </is>
      </c>
    </row>
    <row r="22" ht="48" customHeight="1">
      <c r="A22" s="34" t="inlineStr">
        <is>
          <t>D-13</t>
        </is>
      </c>
      <c r="B22" s="34" t="inlineStr">
        <is>
          <t>F-DT-03</t>
        </is>
      </c>
      <c r="C22" s="34" t="inlineStr">
        <is>
          <t>D-02: divergencia MSAVI 2024 (0.5185, clases bajas) vs. NDVI mediana 2025 («Vegetación alta» casi total)</t>
        </is>
      </c>
      <c r="D22" s="37" t="inlineStr">
        <is>
          <t>SUSTANTIVA</t>
        </is>
      </c>
      <c r="E22" s="34" t="inlineStr">
        <is>
          <t>No interpretar como recuperación de cobertura sin verificación adicional</t>
        </is>
      </c>
    </row>
    <row r="23" ht="48" customHeight="1">
      <c r="A23" s="36" t="inlineStr">
        <is>
          <t>D-14</t>
        </is>
      </c>
      <c r="B23" s="36" t="inlineStr">
        <is>
          <t>F-DT-03</t>
        </is>
      </c>
      <c r="C23" s="36" t="inlineStr">
        <is>
          <t>Inventario florístico de 10 taxones frente al mínimo de 15</t>
        </is>
      </c>
      <c r="D23" s="37" t="inlineStr">
        <is>
          <t>SUSTANTIVA</t>
        </is>
      </c>
      <c r="E23" s="36" t="inlineStr">
        <is>
          <t>Colecta y determinación botánica pendientes</t>
        </is>
      </c>
    </row>
    <row r="24" ht="48" customHeight="1">
      <c r="A24" s="34" t="inlineStr">
        <is>
          <t>D-15</t>
        </is>
      </c>
      <c r="B24" s="34" t="inlineStr">
        <is>
          <t>F-DT-04</t>
        </is>
      </c>
      <c r="C24" s="34" t="inlineStr">
        <is>
          <t>D-06: viviendas, trocha carrozable y cultivos permanentes en el polígono y su entorno</t>
        </is>
      </c>
      <c r="D24" s="37" t="inlineStr">
        <is>
          <t>SUSTANTIVA</t>
        </is>
      </c>
      <c r="E24" s="34" t="inlineStr">
        <is>
          <t>Verificar exclusión de áreas agrícolas (Paso 5) y calificación como ecosistema degradado (R.M. 00213-2024-MINAM); posible redelimitación</t>
        </is>
      </c>
    </row>
    <row r="26">
      <c r="A26" s="16" t="inlineStr">
        <is>
          <t>RESUMEN</t>
        </is>
      </c>
      <c r="B26" s="17" t="inlineStr">
        <is>
          <t>15 verificaciones</t>
        </is>
      </c>
      <c r="C26" s="17" t="inlineStr">
        <is>
          <t>CONFORME: 3 · NO SUSTANTIVA: 3 · SUSTANTIVA: 9</t>
        </is>
      </c>
      <c r="D26" s="17" t="inlineStr"/>
      <c r="E26" s="17" t="inlineStr"/>
    </row>
    <row r="28" ht="60" customHeight="1">
      <c r="A28"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4:E4"/>
    <mergeCell ref="A2:E2"/>
    <mergeCell ref="A28:E28"/>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72 — IN Piura</dc:title>
  <dc:subject>Diagnóstico Territorial por bloque de intervención</dc:subject>
  <dcterms:created xsi:type="dcterms:W3CDTF">2026-09-08T02:45:05Z</dcterms:created>
  <dcterms:modified xsi:type="dcterms:W3CDTF">2026-09-08T02:45:05Z</dcterms:modified>
</cp:coreProperties>
</file>