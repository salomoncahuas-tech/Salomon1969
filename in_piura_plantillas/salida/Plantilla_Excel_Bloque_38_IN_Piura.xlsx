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38</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38</t>
        </is>
      </c>
      <c r="C9" s="6" t="inlineStr">
        <is>
          <t>Microcuenca (catálogo)</t>
        </is>
      </c>
      <c r="D9" s="7" t="inlineStr">
        <is>
          <t>C1081-Q9590</t>
        </is>
      </c>
      <c r="E9" s="8" t="n"/>
      <c r="F9" s="8" t="n"/>
    </row>
    <row r="10">
      <c r="A10" s="6" t="inlineStr">
        <is>
          <t>Zona de planificación</t>
        </is>
      </c>
      <c r="B10" s="7" t="inlineStr">
        <is>
          <t>Z10</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Lalaquiz</t>
        </is>
      </c>
      <c r="C12" s="6" t="inlineStr">
        <is>
          <t>Capital distrital</t>
        </is>
      </c>
      <c r="D12" s="7" t="inlineStr">
        <is>
          <t>Lalaquiz</t>
        </is>
      </c>
      <c r="E12" s="8" t="n"/>
      <c r="F12" s="8" t="n"/>
    </row>
    <row r="13">
      <c r="A13" s="6" t="inlineStr">
        <is>
          <t>Centro poblado asociado</t>
        </is>
      </c>
      <c r="B13" s="7" t="inlineStr">
        <is>
          <t>Ullma (646 976 E · 9 428 519 N; 157 hab.) — a ≈0.93 km al N del centroide</t>
        </is>
      </c>
      <c r="C13" s="6" t="inlineStr">
        <is>
          <t>Comunidad campesina</t>
        </is>
      </c>
      <c r="D13" s="7" t="inlineStr">
        <is>
          <t>Por verificar</t>
        </is>
      </c>
      <c r="E13" s="8" t="n"/>
      <c r="F13" s="8" t="n"/>
    </row>
    <row r="14">
      <c r="A14" s="6" t="inlineStr">
        <is>
          <t>Superficie de catálogo (V5/V6), ha</t>
        </is>
      </c>
      <c r="B14" s="7" t="n">
        <v>44.2</v>
      </c>
      <c r="C14" s="6" t="inlineStr">
        <is>
          <t>Fuente de superficie</t>
        </is>
      </c>
      <c r="D14" s="7" t="inlineStr">
        <is>
          <t>Catálogo maestro Bloques V5/V6</t>
        </is>
      </c>
      <c r="E14" s="8" t="n"/>
      <c r="F14" s="8" t="n"/>
    </row>
    <row r="15">
      <c r="A15" s="6" t="inlineStr">
        <is>
          <t>Centroide UTM ESTE (m)</t>
        </is>
      </c>
      <c r="B15" s="7" t="n">
        <v>647123</v>
      </c>
      <c r="C15" s="6" t="inlineStr">
        <is>
          <t>Centroide UTM NORTE (m)</t>
        </is>
      </c>
      <c r="D15" s="7" t="n">
        <v>9427602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1302</v>
      </c>
      <c r="C19" s="6" t="inlineStr">
        <is>
          <t>Altitud máxima (msnm)</t>
        </is>
      </c>
      <c r="D19" s="7" t="n">
        <v>1533</v>
      </c>
      <c r="E19" s="8" t="n"/>
      <c r="F19" s="8" t="n"/>
    </row>
    <row r="20">
      <c r="A20" s="6" t="inlineStr">
        <is>
          <t>Amplitud altitudinal (m)</t>
        </is>
      </c>
      <c r="B20" s="7" t="n">
        <v>231</v>
      </c>
      <c r="C20" s="6" t="inlineStr">
        <is>
          <t>Piso altitudinal dominante</t>
        </is>
      </c>
      <c r="D20" s="7" t="inlineStr">
        <is>
          <t>1000-1500 m (Quechua baja)</t>
        </is>
      </c>
      <c r="E20" s="8" t="n"/>
      <c r="F20" s="8" t="n"/>
    </row>
    <row r="21">
      <c r="A21" s="6" t="inlineStr">
        <is>
          <t>Pendiente promedio (%)</t>
        </is>
      </c>
      <c r="B21" s="7" t="n">
        <v>24.25</v>
      </c>
      <c r="C21" s="6" t="inlineStr">
        <is>
          <t>Pendiente promedio (grados)</t>
        </is>
      </c>
      <c r="D21" s="7" t="n">
        <v>13.6</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0.6725</v>
      </c>
      <c r="C28" s="6" t="inlineStr">
        <is>
          <t>MSAVI 2024 — clase de la media</t>
        </is>
      </c>
      <c r="D28" s="7" t="inlineStr">
        <is>
          <t>&gt; 0.6139 (Vigor alto)</t>
        </is>
      </c>
      <c r="E28" s="8" t="n"/>
      <c r="F28" s="8" t="n"/>
    </row>
    <row r="29">
      <c r="A29" s="6" t="inlineStr">
        <is>
          <t>Condición frente al umbral 0.4976</t>
        </is>
      </c>
      <c r="B29" s="7" t="inlineStr">
        <is>
          <t>Sobre umbral · distribución areal: 0.45 % del bloque BAJO el umbral (0.199 ha de 44.200 ha)</t>
        </is>
      </c>
      <c r="C29" s="6" t="inlineStr">
        <is>
          <t>NDVI mediana 2025 — clase modal</t>
        </is>
      </c>
      <c r="D29" s="7" t="inlineStr">
        <is>
          <t>Vegetación alta (99.30 %)</t>
        </is>
      </c>
      <c r="E29" s="8" t="n"/>
      <c r="F29" s="8" t="n"/>
    </row>
    <row r="30">
      <c r="A30" s="6" t="inlineStr">
        <is>
          <t>MSAVI 2024 — superficie BAJO el umbral 0.4976 (ha)</t>
        </is>
      </c>
      <c r="B30" s="7" t="n">
        <v>0.199</v>
      </c>
      <c r="C30" s="6" t="inlineStr">
        <is>
          <t>MSAVI 2024 — % del bloque BAJO el umbral</t>
        </is>
      </c>
      <c r="D30" s="7" t="n">
        <v>0.45</v>
      </c>
      <c r="E30" s="8" t="n"/>
      <c r="F30" s="8" t="n"/>
    </row>
    <row r="31">
      <c r="A31" s="6" t="inlineStr">
        <is>
          <t>MSAVI 2024 — clase areal dominante</t>
        </is>
      </c>
      <c r="B31" s="7" t="inlineStr">
        <is>
          <t>Vigor alto</t>
        </is>
      </c>
      <c r="C31" s="6" t="inlineStr">
        <is>
          <t>MSAVI 2024 — fuente de la distribución areal</t>
        </is>
      </c>
      <c r="D31" s="7" t="inlineStr">
        <is>
          <t>Conteo de celdas sobre la cartografía MSAVI 2024 del bloque (38.png)</t>
        </is>
      </c>
      <c r="E31" s="8" t="n"/>
      <c r="F31" s="8" t="n"/>
    </row>
    <row r="32" ht="18" customHeight="1">
      <c r="A32" s="6" t="inlineStr">
        <is>
          <t>Superficie clasificada NDVI 2025 (ha)</t>
        </is>
      </c>
      <c r="B32" s="7" t="n">
        <v>44.212</v>
      </c>
      <c r="C32" s="6" t="inlineStr">
        <is>
          <t>Desviación frente al catálogo (%)</t>
        </is>
      </c>
      <c r="D32" s="7" t="n">
        <v>0.03</v>
      </c>
      <c r="E32" s="8" t="n"/>
      <c r="F32" s="8" t="n"/>
    </row>
    <row r="33"/>
    <row r="34">
      <c r="A34" s="5" t="inlineStr">
        <is>
          <t>4. ECOSISTEMA Y ESTADO DE CONSERVACIÓN</t>
        </is>
      </c>
    </row>
    <row r="35">
      <c r="A35" s="6" t="inlineStr">
        <is>
          <t>Tipo de ecosistema (UP)</t>
        </is>
      </c>
      <c r="B35" s="7" t="inlineStr">
        <is>
          <t>Agroecosistema / Mosaico</t>
        </is>
      </c>
      <c r="C35" s="6" t="inlineStr">
        <is>
          <t>Superficie de ecosistema (ha)</t>
        </is>
      </c>
      <c r="D35" s="7" t="inlineStr">
        <is>
          <t>44.20 ha totales — Zona agrícola 39.69 ha (89.8%); Bes-cm 3.89 ha (8.8%); Matorral andino 0.62 ha (1.4%)</t>
        </is>
      </c>
      <c r="E35" s="8" t="n"/>
      <c r="F35" s="8" t="n"/>
    </row>
    <row r="36">
      <c r="A36" s="6" t="inlineStr">
        <is>
          <t>Estado de conservación</t>
        </is>
      </c>
      <c r="B36" s="7" t="inlineStr">
        <is>
          <t>Alterado (intervención marcada)</t>
        </is>
      </c>
      <c r="C36" s="6" t="inlineStr">
        <is>
          <t>Uso actual dominante del suelo</t>
        </is>
      </c>
      <c r="D36" s="7" t="inlineStr">
        <is>
          <t>Uso mixto</t>
        </is>
      </c>
      <c r="E36" s="8" t="n"/>
      <c r="F36" s="8" t="n"/>
    </row>
    <row r="37">
      <c r="A37" s="6" t="inlineStr">
        <is>
          <t>Tipo de cobertura dominante</t>
        </is>
      </c>
      <c r="B37" s="7" t="inlineStr">
        <is>
          <t>Mixto / Mosaico</t>
        </is>
      </c>
      <c r="C37" s="6" t="inlineStr">
        <is>
          <t>Cobertura vegetal total — campo (%)</t>
        </is>
      </c>
      <c r="D37" s="7" t="n">
        <v>90</v>
      </c>
      <c r="E37" s="8" t="n"/>
      <c r="F37" s="8" t="n"/>
    </row>
    <row r="38">
      <c r="A38" s="6" t="inlineStr">
        <is>
          <t>Suelo desnudo — campo (%)</t>
        </is>
      </c>
      <c r="B38" s="7" t="n">
        <v>8</v>
      </c>
      <c r="C38" s="6" t="inlineStr">
        <is>
          <t>Regeneración natural</t>
        </is>
      </c>
      <c r="D38" s="7" t="inlineStr">
        <is>
          <t>Regular (10-50 pl./100m²)</t>
        </is>
      </c>
      <c r="E38" s="8" t="n"/>
      <c r="F38" s="8" t="n"/>
    </row>
    <row r="39">
      <c r="A39" s="6" t="inlineStr">
        <is>
          <t>Nivel general de erosión</t>
        </is>
      </c>
      <c r="B39" s="7" t="inlineStr">
        <is>
          <t>Moderada (surcos)</t>
        </is>
      </c>
      <c r="C39" s="6" t="inlineStr">
        <is>
          <t>N.° de cárcavas registradas</t>
        </is>
      </c>
      <c r="D39" s="7" t="n">
        <v>3</v>
      </c>
      <c r="E39" s="8" t="n"/>
      <c r="F39" s="8" t="n"/>
    </row>
    <row r="40" ht="18" customHeight="1">
      <c r="A40" s="6" t="inlineStr">
        <is>
          <t>Elenco florístico (n.° de taxones)</t>
        </is>
      </c>
      <c r="B40" s="7" t="n">
        <v>15</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Salomón Cahuas Miller</t>
        </is>
      </c>
      <c r="C43" s="6" t="inlineStr">
        <is>
          <t>Fecha de evaluación</t>
        </is>
      </c>
      <c r="D43" s="7" t="inlineStr">
        <is>
          <t>2026-07-08</t>
        </is>
      </c>
      <c r="E43" s="8" t="n"/>
      <c r="F43" s="8" t="n"/>
    </row>
    <row r="44">
      <c r="A44" s="6" t="inlineStr">
        <is>
          <t>Hora de registro</t>
        </is>
      </c>
      <c r="B44" s="7" t="inlineStr">
        <is>
          <t>08:55 - 10:03 h</t>
        </is>
      </c>
      <c r="C44" s="6" t="inlineStr">
        <is>
          <t>Correlativo de ficha</t>
        </is>
      </c>
      <c r="D44" s="7" t="inlineStr">
        <is>
          <t>F-DT-01/B38/2026</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instalada (reconocimiento perimetral)</t>
        </is>
      </c>
      <c r="E46" s="8" t="n"/>
      <c r="F46" s="8" t="n"/>
    </row>
    <row r="47" ht="18" customHeight="1">
      <c r="A47" s="6" t="inlineStr">
        <is>
          <t>Estaciones fotográficas georreferenciadas</t>
        </is>
      </c>
      <c r="B47" s="7" t="n">
        <v>10</v>
      </c>
      <c r="C47" s="6" t="inlineStr">
        <is>
          <t>Modalidad de acceso</t>
        </is>
      </c>
      <c r="D47" s="7" t="inlineStr">
        <is>
          <t>Perimetral: vehicular + camino de herradura (Vehicular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Economía agropecuaria de subsistencia sobre laderas de fuerte inclinación sin prácticas de conservación de suelo</t>
        </is>
      </c>
      <c r="C50" s="6" t="inlineStr">
        <is>
          <t>Velocidad de degradación</t>
        </is>
      </c>
      <c r="D50" s="7" t="inlineStr">
        <is>
          <t>Lenta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38</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30" t="n">
        <v>32.403</v>
      </c>
      <c r="C10" s="29" t="n">
        <v>73.31</v>
      </c>
      <c r="D10" s="12" t="inlineStr">
        <is>
          <t>Vigor alto</t>
        </is>
      </c>
      <c r="E10" s="12" t="inlineStr">
        <is>
          <t>Sobre umbral</t>
        </is>
      </c>
    </row>
    <row r="11">
      <c r="A11" s="13" t="inlineStr">
        <is>
          <t>0.4976 - 0.6139</t>
        </is>
      </c>
      <c r="B11" s="20" t="n">
        <v>11.5981</v>
      </c>
      <c r="C11" s="21" t="n">
        <v>26.24</v>
      </c>
      <c r="D11" s="14" t="inlineStr">
        <is>
          <t>Vigor moderado</t>
        </is>
      </c>
      <c r="E11" s="14" t="inlineStr">
        <is>
          <t>Sobre umbral</t>
        </is>
      </c>
    </row>
    <row r="12">
      <c r="A12" s="7" t="inlineStr">
        <is>
          <t>0.3813 - 0.4976</t>
        </is>
      </c>
      <c r="B12" s="18" t="n">
        <v>0.1989</v>
      </c>
      <c r="C12" s="19" t="n">
        <v>0.45</v>
      </c>
      <c r="D12" s="15" t="inlineStr">
        <is>
          <t>Vigor bajo</t>
        </is>
      </c>
      <c r="E12" s="15" t="inlineStr">
        <is>
          <t>BAJO umbral 0.4976</t>
        </is>
      </c>
    </row>
    <row r="13">
      <c r="A13" s="13" t="inlineStr">
        <is>
          <t>0.2650 - 0.3813</t>
        </is>
      </c>
      <c r="B13" s="20" t="n">
        <v>0</v>
      </c>
      <c r="C13" s="21" t="n">
        <v>0</v>
      </c>
      <c r="D13" s="14" t="inlineStr">
        <is>
          <t>Vigor muy bajo</t>
        </is>
      </c>
      <c r="E13" s="14" t="inlineStr">
        <is>
          <t>BAJO umbral 0.4976</t>
        </is>
      </c>
    </row>
    <row r="14">
      <c r="A14" s="7" t="inlineStr">
        <is>
          <t>&lt;= 0.2650</t>
        </is>
      </c>
      <c r="B14" s="18" t="n">
        <v>0</v>
      </c>
      <c r="C14" s="19" t="n">
        <v>0</v>
      </c>
      <c r="D14" s="15" t="inlineStr">
        <is>
          <t>Suelo desnudo / no vegetal</t>
        </is>
      </c>
      <c r="E14" s="15" t="inlineStr">
        <is>
          <t>BAJO umbral 0.4976</t>
        </is>
      </c>
    </row>
    <row r="15">
      <c r="A15" s="7" t="inlineStr">
        <is>
          <t>TOTAL CLASIFICADO</t>
        </is>
      </c>
      <c r="B15" s="18">
        <f>SUM(B10:B14)</f>
        <v/>
      </c>
      <c r="C15" s="19">
        <f>SUM(C10:C14)</f>
        <v/>
      </c>
      <c r="D15" s="15" t="inlineStr">
        <is>
          <t>Suma de las cinco clases MSAVI 2024</t>
        </is>
      </c>
      <c r="E15" s="15" t="inlineStr">
        <is>
          <t>Iguala la superficie de catálogo (V5/V6)</t>
        </is>
      </c>
    </row>
    <row r="16">
      <c r="A16" s="16" t="inlineStr">
        <is>
          <t>MSAVI 2024 — MEDIA DEL BLOQUE</t>
        </is>
      </c>
      <c r="B16" s="17" t="n">
        <v>0.6724869999999999</v>
      </c>
      <c r="C16" s="17" t="inlineStr">
        <is>
          <t>—</t>
        </is>
      </c>
      <c r="D16" s="17" t="inlineStr">
        <is>
          <t>Vigor alto · clase &gt;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43.9024</v>
      </c>
      <c r="C22" s="19" t="n">
        <v>99.3</v>
      </c>
      <c r="D22" s="15" t="inlineStr">
        <is>
          <t>Dosel continuo, matorral denso o mosaico agroforestal</t>
        </is>
      </c>
      <c r="E22" s="15" t="inlineStr"/>
    </row>
    <row r="23">
      <c r="A23" s="13" t="inlineStr">
        <is>
          <t>Vegetación mediana</t>
        </is>
      </c>
      <c r="B23" s="20" t="n">
        <v>0.3099</v>
      </c>
      <c r="C23" s="21" t="n">
        <v>0.7</v>
      </c>
      <c r="D23" s="14" t="inlineStr">
        <is>
          <t>Pastizal cultivado, matorral ralo, parcelas agrícolas</t>
        </is>
      </c>
      <c r="E23" s="14" t="inlineStr"/>
    </row>
    <row r="24">
      <c r="A24" s="16" t="inlineStr">
        <is>
          <t>TOTAL CLASIFICADO</t>
        </is>
      </c>
      <c r="B24" s="22">
        <f>SUM(B21:B22)</f>
        <v/>
      </c>
      <c r="C24" s="23">
        <f>SUM(C21:C22)</f>
        <v/>
      </c>
      <c r="D24" s="17" t="inlineStr"/>
      <c r="E24" s="17" t="inlineStr"/>
    </row>
    <row r="25">
      <c r="A25" s="24" t="inlineStr">
        <is>
          <t>Superficie de catálogo (V5/V6)</t>
        </is>
      </c>
      <c r="B25" s="25" t="n">
        <v>44.2</v>
      </c>
      <c r="C25" s="25" t="inlineStr">
        <is>
          <t>—</t>
        </is>
      </c>
      <c r="D25" s="25" t="inlineStr">
        <is>
          <t>Desviación planimétrica frente al catálogo</t>
        </is>
      </c>
      <c r="E25" s="25" t="inlineStr">
        <is>
          <t>+0.03 %</t>
        </is>
      </c>
    </row>
    <row r="26" ht="108" customHeight="1"/>
    <row r="27">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99.30 % del polígono clasificado como «Vegetación alta» por el NDVI 2025; la observación de campo corresponde a una parcela o recorrido puntual y no es estadísticamente representativa de las 44.200 ha del bloque.</t>
        </is>
      </c>
      <c r="B27" s="38" t="n"/>
      <c r="C27" s="38" t="n"/>
      <c r="D27" s="38" t="n"/>
      <c r="E27" s="39" t="n"/>
    </row>
  </sheetData>
  <mergeCells count="10">
    <mergeCell ref="A4:E4"/>
    <mergeCell ref="A20:E20"/>
    <mergeCell ref="A2:E2"/>
    <mergeCell ref="A5:E5"/>
    <mergeCell ref="A1:E1"/>
    <mergeCell ref="A8:E8"/>
    <mergeCell ref="A6:E6"/>
    <mergeCell ref="A18:E18"/>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38</t>
        </is>
      </c>
    </row>
    <row r="6" ht="24" customHeight="1">
      <c r="A6" s="4" t="inlineStr">
        <is>
          <t>Levantamiento del 2026-07-08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647123</v>
      </c>
      <c r="D10" s="26" t="n">
        <v>9427602</v>
      </c>
      <c r="E10" s="15" t="n">
        <v>0</v>
      </c>
      <c r="F10" s="15" t="inlineStr"/>
      <c r="G10" s="15" t="inlineStr">
        <is>
          <t>Coordenada consignada en F-DT-01</t>
        </is>
      </c>
    </row>
    <row r="11">
      <c r="A11" s="13" t="inlineStr">
        <is>
          <t>F-01</t>
        </is>
      </c>
      <c r="B11" s="14" t="inlineStr">
        <is>
          <t>Estación fotográfica</t>
        </is>
      </c>
      <c r="C11" s="27" t="n">
        <v>646833</v>
      </c>
      <c r="D11" s="27" t="n">
        <v>9426997</v>
      </c>
      <c r="E11" s="14" t="n">
        <v>670.9</v>
      </c>
      <c r="F11" s="14" t="inlineStr"/>
      <c r="G11" s="14" t="inlineStr">
        <is>
          <t>Registro fotográfico georreferenciado</t>
        </is>
      </c>
    </row>
    <row r="12">
      <c r="A12" s="7" t="inlineStr">
        <is>
          <t>F-02</t>
        </is>
      </c>
      <c r="B12" s="15" t="inlineStr">
        <is>
          <t>Estación fotográfica</t>
        </is>
      </c>
      <c r="C12" s="26" t="n">
        <v>646751</v>
      </c>
      <c r="D12" s="26" t="n">
        <v>9427128</v>
      </c>
      <c r="E12" s="15" t="n">
        <v>602.5</v>
      </c>
      <c r="F12" s="15" t="inlineStr"/>
      <c r="G12" s="15" t="inlineStr">
        <is>
          <t>Registro fotográfico georreferenciado</t>
        </is>
      </c>
    </row>
    <row r="13">
      <c r="A13" s="13" t="inlineStr">
        <is>
          <t>F-03</t>
        </is>
      </c>
      <c r="B13" s="14" t="inlineStr">
        <is>
          <t>Estación fotográfica</t>
        </is>
      </c>
      <c r="C13" s="27" t="n">
        <v>647606</v>
      </c>
      <c r="D13" s="27" t="n">
        <v>9427393</v>
      </c>
      <c r="E13" s="14" t="n">
        <v>526.3</v>
      </c>
      <c r="F13" s="14" t="inlineStr"/>
      <c r="G13" s="14" t="inlineStr">
        <is>
          <t>Registro fotográfico georreferenciado</t>
        </is>
      </c>
    </row>
    <row r="14">
      <c r="A14" s="7" t="inlineStr">
        <is>
          <t>F-04</t>
        </is>
      </c>
      <c r="B14" s="15" t="inlineStr">
        <is>
          <t>Estación fotográfica</t>
        </is>
      </c>
      <c r="C14" s="26" t="n">
        <v>647574</v>
      </c>
      <c r="D14" s="26" t="n">
        <v>9427474</v>
      </c>
      <c r="E14" s="15" t="n">
        <v>468.8</v>
      </c>
      <c r="F14" s="15" t="inlineStr"/>
      <c r="G14" s="15" t="inlineStr">
        <is>
          <t>Registro fotográfico georreferenciado</t>
        </is>
      </c>
    </row>
    <row r="15">
      <c r="A15" s="13" t="inlineStr">
        <is>
          <t>F-05</t>
        </is>
      </c>
      <c r="B15" s="14" t="inlineStr">
        <is>
          <t>Estación fotográfica</t>
        </is>
      </c>
      <c r="C15" s="27" t="n">
        <v>647571</v>
      </c>
      <c r="D15" s="27" t="n">
        <v>9427474</v>
      </c>
      <c r="E15" s="14" t="n">
        <v>465.9</v>
      </c>
      <c r="F15" s="14" t="inlineStr"/>
      <c r="G15" s="14" t="inlineStr">
        <is>
          <t>Registro fotográfico georreferenciado</t>
        </is>
      </c>
    </row>
    <row r="16">
      <c r="A16" s="7" t="inlineStr">
        <is>
          <t>F-06</t>
        </is>
      </c>
      <c r="B16" s="15" t="inlineStr">
        <is>
          <t>Estación fotográfica</t>
        </is>
      </c>
      <c r="C16" s="26" t="n">
        <v>647569</v>
      </c>
      <c r="D16" s="26" t="n">
        <v>9427482</v>
      </c>
      <c r="E16" s="15" t="n">
        <v>461.9</v>
      </c>
      <c r="F16" s="15" t="inlineStr"/>
      <c r="G16" s="15" t="inlineStr">
        <is>
          <t>Registro fotográfico georreferenciado</t>
        </is>
      </c>
    </row>
    <row r="17">
      <c r="A17" s="13" t="inlineStr">
        <is>
          <t>F-07</t>
        </is>
      </c>
      <c r="B17" s="14" t="inlineStr">
        <is>
          <t>Estación fotográfica</t>
        </is>
      </c>
      <c r="C17" s="27" t="n">
        <v>647428</v>
      </c>
      <c r="D17" s="27" t="n">
        <v>9427512</v>
      </c>
      <c r="E17" s="14" t="n">
        <v>318</v>
      </c>
      <c r="F17" s="14" t="inlineStr"/>
      <c r="G17" s="14" t="inlineStr">
        <is>
          <t>Registro fotográfico georreferenciado</t>
        </is>
      </c>
    </row>
    <row r="18">
      <c r="A18" s="7" t="inlineStr">
        <is>
          <t>F-08</t>
        </is>
      </c>
      <c r="B18" s="15" t="inlineStr">
        <is>
          <t>Estación fotográfica</t>
        </is>
      </c>
      <c r="C18" s="26" t="n">
        <v>647197</v>
      </c>
      <c r="D18" s="26" t="n">
        <v>9427275</v>
      </c>
      <c r="E18" s="15" t="n">
        <v>335.3</v>
      </c>
      <c r="F18" s="15" t="inlineStr"/>
      <c r="G18" s="15" t="inlineStr">
        <is>
          <t>Registro fotográfico georreferenciado</t>
        </is>
      </c>
    </row>
    <row r="19">
      <c r="A19" s="13" t="inlineStr">
        <is>
          <t>F-09</t>
        </is>
      </c>
      <c r="B19" s="14" t="inlineStr">
        <is>
          <t>Estación fotográfica</t>
        </is>
      </c>
      <c r="C19" s="27" t="n">
        <v>647147</v>
      </c>
      <c r="D19" s="27" t="n">
        <v>9427248</v>
      </c>
      <c r="E19" s="14" t="n">
        <v>354.8</v>
      </c>
      <c r="F19" s="14" t="inlineStr"/>
      <c r="G19" s="14" t="inlineStr">
        <is>
          <t>Registro fotográfico georreferenciado</t>
        </is>
      </c>
    </row>
    <row r="20">
      <c r="A20" s="7" t="inlineStr">
        <is>
          <t>F-10</t>
        </is>
      </c>
      <c r="B20" s="15" t="inlineStr">
        <is>
          <t>Estación fotográfica</t>
        </is>
      </c>
      <c r="C20" s="26" t="n">
        <v>647117</v>
      </c>
      <c r="D20" s="26" t="n">
        <v>9427226</v>
      </c>
      <c r="E20" s="15" t="n">
        <v>376</v>
      </c>
      <c r="F20" s="15" t="inlineStr"/>
      <c r="G20" s="15" t="inlineStr">
        <is>
          <t>Registro fotográfico georreferenciado</t>
        </is>
      </c>
    </row>
    <row r="21">
      <c r="A21" s="13" t="inlineStr">
        <is>
          <t>R-01</t>
        </is>
      </c>
      <c r="B21" s="14" t="inlineStr">
        <is>
          <t>Rasgo erosivo — Surco (&lt;30 cm)</t>
        </is>
      </c>
      <c r="C21" s="27" t="n">
        <v>646833</v>
      </c>
      <c r="D21" s="27" t="n">
        <v>9426997</v>
      </c>
      <c r="E21" s="14" t="n">
        <v>670.9</v>
      </c>
      <c r="F21" s="14" t="inlineStr">
        <is>
          <t>Activa</t>
        </is>
      </c>
      <c r="G21" s="14" t="inlineStr">
        <is>
          <t>Caminos / huellas de ganado</t>
        </is>
      </c>
    </row>
    <row r="22">
      <c r="A22" s="7" t="inlineStr">
        <is>
          <t>R-02</t>
        </is>
      </c>
      <c r="B22" s="15" t="inlineStr">
        <is>
          <t>Rasgo erosivo — Surco (&lt;30 cm)</t>
        </is>
      </c>
      <c r="C22" s="26" t="n">
        <v>647571</v>
      </c>
      <c r="D22" s="26" t="n">
        <v>9427474</v>
      </c>
      <c r="E22" s="15" t="n">
        <v>465.9</v>
      </c>
      <c r="F22" s="15" t="inlineStr">
        <is>
          <t>Activa</t>
        </is>
      </c>
      <c r="G22" s="15" t="inlineStr">
        <is>
          <t>Caminos / huellas de ganado</t>
        </is>
      </c>
    </row>
    <row r="23">
      <c r="A23" s="13" t="inlineStr">
        <is>
          <t>R-03</t>
        </is>
      </c>
      <c r="B23" s="14" t="inlineStr">
        <is>
          <t>Rasgo erosivo — Cárcava somera (0.5-2 m)</t>
        </is>
      </c>
      <c r="C23" s="27" t="n">
        <v>647201</v>
      </c>
      <c r="D23" s="27" t="n">
        <v>9427237</v>
      </c>
      <c r="E23" s="14" t="n">
        <v>373.2</v>
      </c>
      <c r="F23" s="14" t="inlineStr">
        <is>
          <t>Activa</t>
        </is>
      </c>
      <c r="G23" s="14" t="inlineStr">
        <is>
          <t>Socavamiento de cauce</t>
        </is>
      </c>
    </row>
    <row r="24">
      <c r="A24" s="7" t="inlineStr">
        <is>
          <t>H-01</t>
        </is>
      </c>
      <c r="B24" s="15" t="inlineStr">
        <is>
          <t>Fuente de agua — Quebrada permanente</t>
        </is>
      </c>
      <c r="C24" s="26" t="n">
        <v>647201</v>
      </c>
      <c r="D24" s="26" t="n">
        <v>9427237</v>
      </c>
      <c r="E24" s="15" t="n">
        <v>373.2</v>
      </c>
      <c r="F24" s="15" t="inlineStr">
        <is>
          <t>Permanente</t>
        </is>
      </c>
      <c r="G24" s="15" t="inlineStr">
        <is>
          <t>Delimita el flanco SE</t>
        </is>
      </c>
    </row>
    <row r="25">
      <c r="A25" s="16" t="inlineStr">
        <is>
          <t>TOTAL: 15 puntos</t>
        </is>
      </c>
      <c r="B25" s="17" t="inlineStr"/>
      <c r="C25" s="17" t="inlineStr"/>
      <c r="D25" s="17" t="inlineStr"/>
      <c r="E25" s="17" t="inlineStr"/>
      <c r="F25" s="17" t="inlineStr"/>
      <c r="G25" s="17" t="inlineStr"/>
    </row>
    <row r="27">
      <c r="A27" s="6" t="inlineStr">
        <is>
          <t>Centroide del bloque — UTM ESTE (m)</t>
        </is>
      </c>
      <c r="B27" s="7" t="n">
        <v>647123</v>
      </c>
      <c r="C27" s="6" t="inlineStr">
        <is>
          <t>Centroide del bloque — UTM NORTE (m)</t>
        </is>
      </c>
      <c r="D27" s="7" t="n">
        <v>9427602</v>
      </c>
      <c r="E27" s="8" t="n"/>
      <c r="F27" s="8" t="n"/>
      <c r="G27" s="8" t="n"/>
      <c r="H27" s="8" t="n"/>
    </row>
    <row r="28">
      <c r="A28" s="6" t="inlineStr">
        <is>
          <t>N.° de estaciones fotográficas declaradas</t>
        </is>
      </c>
      <c r="B28" s="7" t="n">
        <v>10</v>
      </c>
      <c r="C28" s="6" t="inlineStr">
        <is>
          <t>Estaciones dentro del polígono</t>
        </is>
      </c>
      <c r="D28" s="7" t="n">
        <v>0</v>
      </c>
      <c r="E28" s="8" t="n"/>
      <c r="F28" s="8" t="n"/>
      <c r="G28" s="8" t="n"/>
      <c r="H28" s="8" t="n"/>
    </row>
    <row r="30" ht="120" customHeight="1">
      <c r="A3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PERIMETRAL. Las 10 estaciones fotográficas del 08-07-2026 se ubican entre 17 y 146 m POR FUERA del polígono (control geométrico sobre la cartografía MSAVI georreferenciada); el interior no fue recorrido. El punto de muestreo corresponde al CENTROIDE de catálogo, no a un punto GPS de campo. ALTITUD GPS NO REGISTRADA: el rango 1302-1533 msnm y la pendiente 24.25% provienen de estadística zonal del MDE. Escarpes activos se consignan por los taludes de corte de la trocha y las márgenes encajonadas de la quebrada.</t>
        </is>
      </c>
      <c r="B30" s="38" t="n"/>
      <c r="C30" s="38" t="n"/>
      <c r="D30" s="38" t="n"/>
      <c r="E30" s="38" t="n"/>
      <c r="F30" s="38" t="n"/>
      <c r="G30" s="39" t="n"/>
    </row>
  </sheetData>
  <mergeCells count="8">
    <mergeCell ref="A1:G1"/>
    <mergeCell ref="A8:G8"/>
    <mergeCell ref="A3:G3"/>
    <mergeCell ref="A6:G6"/>
    <mergeCell ref="A4:G4"/>
    <mergeCell ref="A30:G3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C1081-Q9590 — BLOQUE 38</t>
        </is>
      </c>
    </row>
    <row r="6" ht="24" customHeight="1">
      <c r="A6" s="4" t="inlineStr">
        <is>
          <t>Distrito de Lalaquiz · Provincia de Huancabamba · Comparación de los bloques preliminares de intervención de la misma microcuenca</t>
        </is>
      </c>
    </row>
    <row r="8" ht="18" customHeight="1">
      <c r="A8" s="5" t="inlineStr">
        <is>
          <t>BLOQUES DE LA MICROCUENCA C1081-Q9590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1" t="inlineStr">
        <is>
          <t>► 38</t>
        </is>
      </c>
      <c r="B10" s="28" t="n">
        <v>44.2</v>
      </c>
      <c r="C10" s="29" t="n">
        <v>29.78</v>
      </c>
      <c r="D10" s="12" t="inlineStr">
        <is>
          <t>1302 – 1533</t>
        </is>
      </c>
      <c r="E10" s="12" t="n">
        <v>231</v>
      </c>
      <c r="F10" s="12" t="n">
        <v>24.25</v>
      </c>
      <c r="G10" s="30" t="n">
        <v>0.6725</v>
      </c>
      <c r="H10" s="29" t="n">
        <v>99.3</v>
      </c>
    </row>
    <row r="11">
      <c r="A11" s="13" t="inlineStr">
        <is>
          <t>33</t>
        </is>
      </c>
      <c r="B11" s="31" t="n">
        <v>29.68</v>
      </c>
      <c r="C11" s="21" t="n">
        <v>20</v>
      </c>
      <c r="D11" s="14" t="inlineStr">
        <is>
          <t>1841 – 2226</t>
        </is>
      </c>
      <c r="E11" s="14" t="n">
        <v>385</v>
      </c>
      <c r="F11" s="14" t="n">
        <v>36.6</v>
      </c>
      <c r="G11" s="20" t="n">
        <v>0.7192</v>
      </c>
      <c r="H11" s="21" t="inlineStr">
        <is>
          <t>Por determinar</t>
        </is>
      </c>
    </row>
    <row r="12">
      <c r="A12" s="7" t="inlineStr">
        <is>
          <t>34</t>
        </is>
      </c>
      <c r="B12" s="32" t="n">
        <v>28.45</v>
      </c>
      <c r="C12" s="19" t="n">
        <v>19.17</v>
      </c>
      <c r="D12" s="15" t="inlineStr">
        <is>
          <t>1286 – 1514</t>
        </is>
      </c>
      <c r="E12" s="15" t="n">
        <v>228</v>
      </c>
      <c r="F12" s="15" t="n">
        <v>26.78</v>
      </c>
      <c r="G12" s="18" t="n">
        <v>0.649</v>
      </c>
      <c r="H12" s="19" t="n">
        <v>99.42</v>
      </c>
    </row>
    <row r="13">
      <c r="A13" s="13" t="inlineStr">
        <is>
          <t>61</t>
        </is>
      </c>
      <c r="B13" s="31" t="n">
        <v>26.83</v>
      </c>
      <c r="C13" s="21" t="n">
        <v>18.08</v>
      </c>
      <c r="D13" s="14" t="inlineStr">
        <is>
          <t>1098 – 1336</t>
        </is>
      </c>
      <c r="E13" s="14" t="n">
        <v>238</v>
      </c>
      <c r="F13" s="14" t="n">
        <v>22.61</v>
      </c>
      <c r="G13" s="20" t="n">
        <v>0.6112</v>
      </c>
      <c r="H13" s="21" t="n">
        <v>80.15000000000001</v>
      </c>
    </row>
    <row r="14">
      <c r="A14" s="7" t="inlineStr">
        <is>
          <t>50</t>
        </is>
      </c>
      <c r="B14" s="32" t="n">
        <v>19.27</v>
      </c>
      <c r="C14" s="19" t="n">
        <v>12.98</v>
      </c>
      <c r="D14" s="15" t="inlineStr">
        <is>
          <t>1468 – 1725</t>
        </is>
      </c>
      <c r="E14" s="15" t="n">
        <v>257</v>
      </c>
      <c r="F14" s="15" t="n">
        <v>30.47</v>
      </c>
      <c r="G14" s="18" t="n">
        <v>0.6831</v>
      </c>
      <c r="H14" s="19" t="n">
        <v>99.56999999999999</v>
      </c>
    </row>
    <row r="15">
      <c r="A15" s="16" t="inlineStr">
        <is>
          <t>TOTAL / PROMEDIO</t>
        </is>
      </c>
      <c r="B15" s="33">
        <f>SUM(B10:B14)</f>
        <v/>
      </c>
      <c r="C15" s="23">
        <f>SUM(C10:C14)</f>
        <v/>
      </c>
      <c r="D15" s="17" t="inlineStr">
        <is>
          <t>1098 – 2226</t>
        </is>
      </c>
      <c r="E15" s="17" t="inlineStr"/>
      <c r="F15" s="17">
        <f>ROUND(AVERAGE(F10:F14),2)</f>
        <v/>
      </c>
      <c r="G15" s="22">
        <f>ROUND(AVERAGE(G10:G14),4)</f>
        <v/>
      </c>
      <c r="H15" s="23">
        <f>ROUND(AVERAGE(H10:H14),2)</f>
        <v/>
      </c>
    </row>
    <row r="16" ht="48" customHeight="1">
      <c r="A16" s="9" t="inlineStr">
        <is>
          <t>ALCANCE DE LOS PROMEDIOS. La fila TOTAL / PROMEDIO omite las celdas «Por determinar»: el promedio de VEGETACIÓN ALTA (NDVI 2025) se calcula sobre 4 de los 5 bloques; el bloque restante carece de estadística zonal de NDVI. Los totales de ÁREA y % de microcuenca sí comprenden la totalidad de los 5 bloques. No se estima ningún valor ausente.</t>
        </is>
      </c>
      <c r="B16" s="38" t="n"/>
      <c r="C16" s="38" t="n"/>
      <c r="D16" s="38" t="n"/>
      <c r="E16" s="38" t="n"/>
      <c r="F16" s="38" t="n"/>
      <c r="G16" s="38" t="n"/>
      <c r="H16" s="39" t="n"/>
    </row>
    <row r="18" ht="84" customHeight="1">
      <c r="A18" s="9" t="inlineStr">
        <is>
          <t>LECTURA INTRAMICROCUENCA. El bloque 38 ocupa el puesto 1 de 5 por superficie dentro de la microcuenca C1081-Q9590 (29.78 % de las 148.43 ha preliminares de la microcuenca). Su pendiente promedio (24.25 %, clase «15-25% (Fuert. inclinado)») es la 2.ª más baja de 5 y se sitúa por debajo del promedio de la microcuenca (28.14 %). Su MSAVI 2024 (0.6725) es el 3.º de 5 y queda por encima del promedio local (0.6670). Amplitud altitudinal del bloque: 231 m (1302–1533 msnm). El cuadro conserva todos los bloques catalogados en la microcuenca, incluidos los descartados en el tamizaje, para referencia del conjunto. Los bloques sin ficha DT figuran con sus parámetros de gabinete.</t>
        </is>
      </c>
      <c r="B18" s="38" t="n"/>
      <c r="C18" s="38" t="n"/>
      <c r="D18" s="38" t="n"/>
      <c r="E18" s="38" t="n"/>
      <c r="F18" s="38" t="n"/>
      <c r="G18" s="38" t="n"/>
      <c r="H18" s="39" t="n"/>
    </row>
    <row r="20" ht="60" customHeight="1">
      <c r="A20"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0" s="38" t="n"/>
      <c r="C20" s="38" t="n"/>
      <c r="D20" s="38" t="n"/>
      <c r="E20" s="38" t="n"/>
      <c r="F20" s="38" t="n"/>
      <c r="G20" s="38" t="n"/>
      <c r="H20" s="39" t="n"/>
    </row>
  </sheetData>
  <mergeCells count="10">
    <mergeCell ref="A18:H18"/>
    <mergeCell ref="A4:H4"/>
    <mergeCell ref="A1:H1"/>
    <mergeCell ref="A3:H3"/>
    <mergeCell ref="A20:H20"/>
    <mergeCell ref="A2:H2"/>
    <mergeCell ref="A16:H16"/>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38</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«C1081-Q9590»</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(44.212 ha) coincide con la de catálogo (44.2 ha) dentro del ±2 % (+0.03 %)</t>
        </is>
      </c>
      <c r="D12" s="37" t="inlineStr">
        <is>
          <t>CONFORME</t>
        </is>
      </c>
      <c r="E12" s="34" t="inlineStr">
        <is>
          <t>Sin acción: la segmentación valida la geometría del bloque.</t>
        </is>
      </c>
    </row>
    <row r="13" ht="48" customHeight="1">
      <c r="A13" s="36" t="inlineStr">
        <is>
          <t>D-04</t>
        </is>
      </c>
      <c r="B13" s="36" t="inlineStr">
        <is>
          <t>Dimensiones del inventario de cárcavas</t>
        </is>
      </c>
      <c r="C13" s="36" t="inlineStr">
        <is>
          <t>Se registran 3 rasgos erosivos, pero longitud, profundidad y ancho no fueron medidos instrumentalmente</t>
        </is>
      </c>
      <c r="D13" s="12" t="inlineStr">
        <is>
          <t>NO SUSTANTIVA</t>
        </is>
      </c>
      <c r="E13" s="36" t="inlineStr">
        <is>
          <t>El conteo registrado no debe usarse para calcular densidad de cárcavas por hectárea. Pendiente de levantamiento con GPS submétrico.</t>
        </is>
      </c>
    </row>
    <row r="14" ht="48" customHeight="1">
      <c r="A14" s="34" t="inlineStr">
        <is>
          <t>D-05</t>
        </is>
      </c>
      <c r="B14" s="34" t="inlineStr">
        <is>
          <t>Representatividad del levantamiento</t>
        </is>
      </c>
      <c r="C14" s="34" t="inlineStr">
        <is>
          <t>Ninguna de las estaciones fotográficas georreferenciadas se localiza dentro del polígono del bloque</t>
        </is>
      </c>
      <c r="D14" s="35" t="inlineStr">
        <is>
          <t>SUSTANTIVA</t>
        </is>
      </c>
      <c r="E14" s="34" t="inlineStr">
        <is>
          <t>La verificación documenta el perímetro y la vista panorámica del bloque, no su interior. Los parámetros que exigen recorrido interno se consignan «Por determinar».</t>
        </is>
      </c>
    </row>
    <row r="15" ht="48" customHeight="1">
      <c r="A15" s="36" t="inlineStr">
        <is>
          <t>D-06</t>
        </is>
      </c>
      <c r="B15" s="36" t="inlineStr">
        <is>
          <t>Centro poblado asociado</t>
        </is>
      </c>
      <c r="C15" s="36" t="inlineStr">
        <is>
          <t>La ficha DT declara «Ullma (646 976 E · 9 428 519 N; 157 hab.) — a ≈0.93 km al N del centroide»; el cruce INEI-Bloques V5 identifica 1 centro(s) poblado(s) en el bloque: ULLMA</t>
        </is>
      </c>
      <c r="D15" s="37"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5" t="inlineStr">
        <is>
          <t>SUSTANTIVA</t>
        </is>
      </c>
      <c r="E16" s="34" t="inlineStr">
        <is>
          <t>Debe tomarse del modelamiento de mesolocalización (PMM + EPH + PGI ponderados por AHP) antes de fijar la prioridad definitiva de intervención del bloque.</t>
        </is>
      </c>
    </row>
    <row r="17">
      <c r="A17" s="34" t="inlineStr">
        <is>
          <t>D-08</t>
        </is>
      </c>
      <c r="B17" s="34" t="inlineStr">
        <is>
          <t>Distribución areal de clases MSAVI 2024</t>
        </is>
      </c>
      <c r="C17" s="34" t="inlineStr">
        <is>
          <t>La hoja «Cobertura MSAVI-NDVI» consignaba «Por determinar» en la distribución areal de clases MSAVI 2024; se incorpora el metrado por clase medido sobre la cartografía temática MSAVI 2024 del bloque: 0.45 % del bloque (0.199 ha) bajo el umbral 0.4976 y 99.55 % sobre el umbral; clase areal dominante «Vigor alto».</t>
        </is>
      </c>
      <c r="D17" s="35" t="inlineStr">
        <is>
          <t>CORREGIDO</t>
        </is>
      </c>
      <c r="E17"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18"/>
    <row r="19">
      <c r="A19" s="16" t="inlineStr">
        <is>
          <t>RESUMEN</t>
        </is>
      </c>
      <c r="B19" s="17" t="inlineStr">
        <is>
          <t>8 verificaciones</t>
        </is>
      </c>
      <c r="C19" s="17" t="inlineStr">
        <is>
          <t>CONFORME: 3 · NO SUSTANTIVA: 1 · SUSTANTIVA: 3 · CORREGIDO: 1</t>
        </is>
      </c>
      <c r="D19" s="17" t="inlineStr"/>
      <c r="E19" s="17" t="inlineStr"/>
    </row>
    <row r="20" ht="60" customHeight="1"/>
    <row r="21">
      <c r="A2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1" s="38" t="n"/>
      <c r="C21" s="38" t="n"/>
      <c r="D21" s="38" t="n"/>
      <c r="E21" s="39" t="n"/>
    </row>
  </sheetData>
  <mergeCells count="8">
    <mergeCell ref="A21:E21"/>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38 — IN Piura</dc:title>
  <dc:subject>Diagnóstico Territorial por bloque de intervención</dc:subject>
  <dcterms:created xsi:type="dcterms:W3CDTF">2026-09-08T03:39:54Z</dcterms:created>
  <dcterms:modified xsi:type="dcterms:W3CDTF">2026-09-09T14:49:42Z</dcterms:modified>
</cp:coreProperties>
</file>