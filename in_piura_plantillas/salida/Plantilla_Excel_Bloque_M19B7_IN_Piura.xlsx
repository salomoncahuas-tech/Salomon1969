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M19B7</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M19B7</t>
        </is>
      </c>
      <c r="C9" s="6" t="inlineStr">
        <is>
          <t>Microcuenca (catálogo)</t>
        </is>
      </c>
      <c r="D9" s="7" t="inlineStr">
        <is>
          <t>C1086-Q9570</t>
        </is>
      </c>
      <c r="E9" s="8" t="n"/>
      <c r="F9" s="8" t="n"/>
    </row>
    <row r="10">
      <c r="A10" s="6" t="inlineStr">
        <is>
          <t>Zona de planificación</t>
        </is>
      </c>
      <c r="B10" s="7" t="inlineStr">
        <is>
          <t>Z03</t>
        </is>
      </c>
      <c r="C10" s="6" t="inlineStr">
        <is>
          <t>Microcuenca declarada en ficha DT</t>
        </is>
      </c>
      <c r="D10" s="7" t="inlineStr">
        <is>
          <t>C1086-Q9570</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Santo Domingo</t>
        </is>
      </c>
      <c r="C12" s="6" t="inlineStr">
        <is>
          <t>Capital distrital</t>
        </is>
      </c>
      <c r="D12" s="7" t="inlineStr">
        <is>
          <t>Santo Domingo</t>
        </is>
      </c>
      <c r="E12" s="8" t="n"/>
      <c r="F12" s="8" t="n"/>
    </row>
    <row r="13">
      <c r="A13" s="6" t="inlineStr">
        <is>
          <t>Centro poblado asociado</t>
        </is>
      </c>
      <c r="B13" s="7" t="inlineStr">
        <is>
          <t>El Faique</t>
        </is>
      </c>
      <c r="C13" s="6" t="inlineStr">
        <is>
          <t>Comunidad campesina</t>
        </is>
      </c>
      <c r="D13" s="7" t="inlineStr">
        <is>
          <t>Propiedad privada; caserío y predios dispersos</t>
        </is>
      </c>
      <c r="E13" s="8" t="n"/>
      <c r="F13" s="8" t="n"/>
    </row>
    <row r="14">
      <c r="A14" s="6" t="inlineStr">
        <is>
          <t>Superficie de catálogo (V5/V6), ha</t>
        </is>
      </c>
      <c r="B14" s="7" t="n">
        <v>34.17</v>
      </c>
      <c r="C14" s="6" t="inlineStr">
        <is>
          <t>Fuente de superficie</t>
        </is>
      </c>
      <c r="D14" s="7" t="inlineStr">
        <is>
          <t>Catálogo maestro Bloques V5/V6</t>
        </is>
      </c>
      <c r="E14" s="8" t="n"/>
      <c r="F14" s="8" t="n"/>
    </row>
    <row r="15">
      <c r="A15" s="6" t="inlineStr">
        <is>
          <t>Centroide UTM ESTE (m)</t>
        </is>
      </c>
      <c r="B15" s="7" t="n">
        <v>620770</v>
      </c>
      <c r="C15" s="6" t="inlineStr">
        <is>
          <t>Centroide UTM NORTE (m)</t>
        </is>
      </c>
      <c r="D15" s="7" t="n">
        <v>9436562</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1213</v>
      </c>
      <c r="C19" s="6" t="inlineStr">
        <is>
          <t>Altitud máxima (msnm)</t>
        </is>
      </c>
      <c r="D19" s="7" t="n">
        <v>1578</v>
      </c>
      <c r="E19" s="8" t="n"/>
      <c r="F19" s="8" t="n"/>
    </row>
    <row r="20">
      <c r="A20" s="6" t="inlineStr">
        <is>
          <t>Amplitud altitudinal (m)</t>
        </is>
      </c>
      <c r="B20" s="7" t="n">
        <v>365</v>
      </c>
      <c r="C20" s="6" t="inlineStr">
        <is>
          <t>Piso altitudinal dominante</t>
        </is>
      </c>
      <c r="D20" s="7" t="inlineStr">
        <is>
          <t>1000-1500 m (Quechua baja)</t>
        </is>
      </c>
      <c r="E20" s="8" t="n"/>
      <c r="F20" s="8" t="n"/>
    </row>
    <row r="21">
      <c r="A21" s="6" t="inlineStr">
        <is>
          <t>Pendiente promedio (%)</t>
        </is>
      </c>
      <c r="B21" s="7" t="n">
        <v>28.15</v>
      </c>
      <c r="C21" s="6" t="inlineStr">
        <is>
          <t>Pendiente promedio (grados)</t>
        </is>
      </c>
      <c r="D21" s="7" t="n">
        <v>15.7</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Sureste</t>
        </is>
      </c>
      <c r="C24" s="6" t="inlineStr">
        <is>
          <t>Afloramientos rocosos</t>
        </is>
      </c>
      <c r="D24" s="7" t="inlineStr">
        <is>
          <t>Sí</t>
        </is>
      </c>
      <c r="E24" s="8" t="n"/>
      <c r="F24" s="8" t="n"/>
    </row>
    <row r="25">
      <c r="A25" s="6" t="inlineStr">
        <is>
          <t>Escarpes activos</t>
        </is>
      </c>
      <c r="B25" s="7" t="inlineStr">
        <is>
          <t>Sí (reportado como posible, no concluyente)</t>
        </is>
      </c>
      <c r="C25" s="6" t="inlineStr">
        <is>
          <t>Remociones en masa activas</t>
        </is>
      </c>
      <c r="D25" s="7" t="inlineStr">
        <is>
          <t>No</t>
        </is>
      </c>
      <c r="E25" s="8" t="n"/>
      <c r="F25" s="8" t="n"/>
    </row>
    <row r="27" ht="18" customHeight="1">
      <c r="A27" s="5" t="inlineStr">
        <is>
          <t>3. ÍNDICES DE VEGETACIÓN (SENTINEL-2)</t>
        </is>
      </c>
    </row>
    <row r="28">
      <c r="A28" s="6" t="inlineStr">
        <is>
          <t>MSAVI 2024 — media del bloque</t>
        </is>
      </c>
      <c r="B28" s="7" t="n">
        <v>0.5919</v>
      </c>
      <c r="C28" s="6" t="inlineStr">
        <is>
          <t>MSAVI 2024 — clase de la media</t>
        </is>
      </c>
      <c r="D28" s="7" t="inlineStr">
        <is>
          <t>0.4976 - 0.6139 (Vigor moderado)</t>
        </is>
      </c>
      <c r="E28" s="8" t="n"/>
      <c r="F28" s="8" t="n"/>
    </row>
    <row r="29">
      <c r="A29" s="6" t="inlineStr">
        <is>
          <t>Condición frente al umbral 0.4976</t>
        </is>
      </c>
      <c r="B29" s="7" t="inlineStr">
        <is>
          <t>Sobre umbral</t>
        </is>
      </c>
      <c r="C29" s="6" t="inlineStr">
        <is>
          <t>NDVI mediana 2025 — clase modal</t>
        </is>
      </c>
      <c r="D29" s="7" t="inlineStr">
        <is>
          <t>Vegetación alta (78.52 %)</t>
        </is>
      </c>
      <c r="E29" s="8" t="n"/>
      <c r="F29" s="8" t="n"/>
    </row>
    <row r="30">
      <c r="A30" s="6" t="inlineStr">
        <is>
          <t>Superficie clasificada NDVI 2025 (ha)</t>
        </is>
      </c>
      <c r="B30" s="7" t="n">
        <v>34.186</v>
      </c>
      <c r="C30" s="6" t="inlineStr">
        <is>
          <t>Desviación frente al catálogo (%)</t>
        </is>
      </c>
      <c r="D30" s="7" t="n">
        <v>0.05</v>
      </c>
      <c r="E30" s="8" t="n"/>
      <c r="F30" s="8" t="n"/>
    </row>
    <row r="32" ht="18" customHeight="1">
      <c r="A32" s="5" t="inlineStr">
        <is>
          <t>4. ECOSISTEMA Y ESTADO DE CONSERVACIÓN</t>
        </is>
      </c>
    </row>
    <row r="33">
      <c r="A33" s="6" t="inlineStr">
        <is>
          <t>Tipo de ecosistema (UP)</t>
        </is>
      </c>
      <c r="B33" s="7" t="inlineStr">
        <is>
          <t>Agroecosistema / Mosaico (con relicto de Bes-cm como ecosistema secundario)</t>
        </is>
      </c>
      <c r="C33" s="6" t="inlineStr">
        <is>
          <t>Superficie de ecosistema (ha)</t>
        </is>
      </c>
      <c r="D33" s="7" t="inlineStr">
        <is>
          <t>Por determinar</t>
        </is>
      </c>
      <c r="E33" s="8" t="n"/>
      <c r="F33" s="8" t="n"/>
    </row>
    <row r="34">
      <c r="A34" s="6" t="inlineStr">
        <is>
          <t>Estado de conservación</t>
        </is>
      </c>
      <c r="B34" s="7" t="inlineStr">
        <is>
          <t>Alterado (intervención marcada)</t>
        </is>
      </c>
      <c r="C34" s="6" t="inlineStr">
        <is>
          <t>Uso actual dominante del suelo</t>
        </is>
      </c>
      <c r="D34" s="7" t="inlineStr">
        <is>
          <t>Uso mixto</t>
        </is>
      </c>
      <c r="E34" s="8" t="n"/>
      <c r="F34" s="8" t="n"/>
    </row>
    <row r="35">
      <c r="A35" s="6" t="inlineStr">
        <is>
          <t>Tipo de cobertura dominante</t>
        </is>
      </c>
      <c r="B35" s="7" t="inlineStr">
        <is>
          <t>Mixto / Mosaico</t>
        </is>
      </c>
      <c r="C35" s="6" t="inlineStr">
        <is>
          <t>Cobertura vegetal total — campo (%)</t>
        </is>
      </c>
      <c r="D35" s="7" t="inlineStr">
        <is>
          <t>60 - 80 (estimación)</t>
        </is>
      </c>
      <c r="E35" s="8" t="n"/>
      <c r="F35" s="8" t="n"/>
    </row>
    <row r="36">
      <c r="A36" s="6" t="inlineStr">
        <is>
          <t>Suelo desnudo — campo (%)</t>
        </is>
      </c>
      <c r="B36" s="7" t="inlineStr">
        <is>
          <t>Por determinar</t>
        </is>
      </c>
      <c r="C36" s="6" t="inlineStr">
        <is>
          <t>Regeneración natural</t>
        </is>
      </c>
      <c r="D36" s="7" t="inlineStr">
        <is>
          <t>Regular (10-50 pl./100m²)</t>
        </is>
      </c>
      <c r="E36" s="8" t="n"/>
      <c r="F36" s="8" t="n"/>
    </row>
    <row r="37">
      <c r="A37" s="6" t="inlineStr">
        <is>
          <t>Nivel general de erosión</t>
        </is>
      </c>
      <c r="B37" s="7" t="inlineStr">
        <is>
          <t>Moderada (surcos)</t>
        </is>
      </c>
      <c r="C37" s="6" t="inlineStr">
        <is>
          <t>N.° de cárcavas registradas</t>
        </is>
      </c>
      <c r="D37" s="7" t="inlineStr">
        <is>
          <t>No inventariadas</t>
        </is>
      </c>
      <c r="E37" s="8" t="n"/>
      <c r="F37" s="8" t="n"/>
    </row>
    <row r="38">
      <c r="A38" s="6" t="inlineStr">
        <is>
          <t>Elenco florístico (n.° de taxones)</t>
        </is>
      </c>
      <c r="B38" s="7" t="n">
        <v>9</v>
      </c>
      <c r="C38" s="6" t="inlineStr">
        <is>
          <t>Estado sanitario</t>
        </is>
      </c>
      <c r="D38" s="7" t="inlineStr">
        <is>
          <t>Sin registro en ficha</t>
        </is>
      </c>
      <c r="E38" s="8" t="n"/>
      <c r="F38" s="8" t="n"/>
    </row>
    <row r="40" ht="18" customHeight="1">
      <c r="A40" s="5" t="inlineStr">
        <is>
          <t>5. RESPONSABLE Y MODALIDAD DE LA EVALUACIÓN</t>
        </is>
      </c>
    </row>
    <row r="41">
      <c r="A41" s="6" t="inlineStr">
        <is>
          <t>Responsable de la evaluación</t>
        </is>
      </c>
      <c r="B41" s="7" t="inlineStr">
        <is>
          <t>Ing. Héctor Salomón Cahuas Miller — Especialista en Infraestructura Verde, ANIN/DIME-SESDI</t>
        </is>
      </c>
      <c r="C41" s="6" t="inlineStr">
        <is>
          <t>Fecha de evaluación</t>
        </is>
      </c>
      <c r="D41" s="7" t="inlineStr">
        <is>
          <t>2026-06-17</t>
        </is>
      </c>
      <c r="E41" s="8" t="n"/>
      <c r="F41" s="8" t="n"/>
    </row>
    <row r="42">
      <c r="A42" s="6" t="inlineStr">
        <is>
          <t>Hora de registro</t>
        </is>
      </c>
      <c r="B42" s="7" t="inlineStr">
        <is>
          <t>16:52 h</t>
        </is>
      </c>
      <c r="C42" s="6" t="inlineStr">
        <is>
          <t>Correlativo de ficha</t>
        </is>
      </c>
      <c r="D42" s="7" t="inlineStr">
        <is>
          <t>F-DT/M19B7/2026</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Sin registro en ficha</t>
        </is>
      </c>
      <c r="E44" s="8" t="n"/>
      <c r="F44" s="8" t="n"/>
    </row>
    <row r="45">
      <c r="A45" s="6" t="inlineStr">
        <is>
          <t>Estaciones fotográficas georreferenciadas</t>
        </is>
      </c>
      <c r="B45" s="7" t="n">
        <v>0</v>
      </c>
      <c r="C45" s="6" t="inlineStr">
        <is>
          <t>Modalidad de acceso</t>
        </is>
      </c>
      <c r="D45" s="7" t="inlineStr">
        <is>
          <t>Vehicular 4x4 hasta el bloque</t>
        </is>
      </c>
      <c r="E45" s="8" t="n"/>
      <c r="F45" s="8" t="n"/>
    </row>
    <row r="47" ht="18" customHeight="1">
      <c r="A47" s="5" t="inlineStr">
        <is>
          <t>6. SÍNTESIS PARA LA GESTIÓN DEL RIESGO EN CONTEXTO DE CAMBIO CLIMÁTICO</t>
        </is>
      </c>
    </row>
    <row r="48">
      <c r="A48" s="6" t="inlineStr">
        <is>
          <t>Causa subyacente principal</t>
        </is>
      </c>
      <c r="B48" s="7" t="inlineStr">
        <is>
          <t>Presión agropecuaria sobre laderas y apertura/expansión vial sin medidas de control</t>
        </is>
      </c>
      <c r="C48" s="6" t="inlineStr">
        <is>
          <t>Velocidad de degradación</t>
        </is>
      </c>
      <c r="D48" s="7" t="inlineStr">
        <is>
          <t>Moderada</t>
        </is>
      </c>
      <c r="E48" s="8" t="n"/>
      <c r="F48" s="8" t="n"/>
    </row>
    <row r="49">
      <c r="A49" s="6" t="inlineStr">
        <is>
          <t>Reversibilidad técnica</t>
        </is>
      </c>
      <c r="B49" s="7" t="inlineStr">
        <is>
          <t>Parcialmente reversible</t>
        </is>
      </c>
      <c r="C49" s="6" t="inlineStr">
        <is>
          <t>Urgencia de intervención</t>
        </is>
      </c>
      <c r="D49" s="7" t="inlineStr">
        <is>
          <t>Alta</t>
        </is>
      </c>
      <c r="E49" s="8" t="n"/>
      <c r="F49" s="8" t="n"/>
    </row>
    <row r="50">
      <c r="A50" s="6" t="inlineStr">
        <is>
          <t>Urgencia de control de erosión</t>
        </is>
      </c>
      <c r="B50" s="7" t="inlineStr">
        <is>
          <t>Alta</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7"/>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M19B7</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1" t="inlineStr">
        <is>
          <t>Por determinar</t>
        </is>
      </c>
      <c r="C10" s="11" t="inlineStr">
        <is>
          <t>Por determinar</t>
        </is>
      </c>
      <c r="D10" s="11" t="inlineStr">
        <is>
          <t>Vigor alto</t>
        </is>
      </c>
      <c r="E10" s="11" t="inlineStr">
        <is>
          <t>Sobre umbral</t>
        </is>
      </c>
    </row>
    <row r="11">
      <c r="A11" s="12" t="inlineStr">
        <is>
          <t>0.4976 - 0.6139</t>
        </is>
      </c>
      <c r="B11" s="13" t="inlineStr">
        <is>
          <t>Por determinar</t>
        </is>
      </c>
      <c r="C11" s="13" t="inlineStr">
        <is>
          <t>Por determinar</t>
        </is>
      </c>
      <c r="D11" s="13" t="inlineStr">
        <is>
          <t>Vigor moderado</t>
        </is>
      </c>
      <c r="E11" s="13" t="inlineStr">
        <is>
          <t>Sobre umbral</t>
        </is>
      </c>
    </row>
    <row r="12">
      <c r="A12" s="7" t="inlineStr">
        <is>
          <t>0.3813 - 0.4976</t>
        </is>
      </c>
      <c r="B12" s="11" t="inlineStr">
        <is>
          <t>Por determinar</t>
        </is>
      </c>
      <c r="C12" s="11" t="inlineStr">
        <is>
          <t>Por determinar</t>
        </is>
      </c>
      <c r="D12" s="11" t="inlineStr">
        <is>
          <t>Vigor bajo</t>
        </is>
      </c>
      <c r="E12" s="11" t="inlineStr">
        <is>
          <t>BAJO umbral 0.4976</t>
        </is>
      </c>
    </row>
    <row r="13">
      <c r="A13" s="14" t="inlineStr">
        <is>
          <t>0.2650 - 0.3813</t>
        </is>
      </c>
      <c r="B13" s="15" t="inlineStr">
        <is>
          <t>Por determinar</t>
        </is>
      </c>
      <c r="C13" s="15" t="inlineStr">
        <is>
          <t>Por determinar</t>
        </is>
      </c>
      <c r="D13" s="15" t="inlineStr">
        <is>
          <t>Vigor muy bajo</t>
        </is>
      </c>
      <c r="E13" s="15" t="inlineStr">
        <is>
          <t>BAJO umbral 0.4976</t>
        </is>
      </c>
    </row>
    <row r="14">
      <c r="A14" s="7" t="inlineStr">
        <is>
          <t>&lt;= 0.2650</t>
        </is>
      </c>
      <c r="B14" s="11" t="inlineStr">
        <is>
          <t>Por determinar</t>
        </is>
      </c>
      <c r="C14" s="11" t="inlineStr">
        <is>
          <t>Por determinar</t>
        </is>
      </c>
      <c r="D14" s="11" t="inlineStr">
        <is>
          <t>Suelo desnudo / no vegetal</t>
        </is>
      </c>
      <c r="E14" s="11" t="inlineStr">
        <is>
          <t>BAJO umbral 0.4976</t>
        </is>
      </c>
    </row>
    <row r="15">
      <c r="A15" s="16" t="inlineStr">
        <is>
          <t>MSAVI 2024 — MEDIA DEL BLOQUE</t>
        </is>
      </c>
      <c r="B15" s="17" t="n">
        <v>0.591921</v>
      </c>
      <c r="C15" s="17" t="inlineStr">
        <is>
          <t>—</t>
        </is>
      </c>
      <c r="D15" s="17" t="inlineStr">
        <is>
          <t>Vigor moderado · clase 0.4976 - 0.6139</t>
        </is>
      </c>
      <c r="E15" s="17" t="inlineStr">
        <is>
          <t>Sobre umbral</t>
        </is>
      </c>
    </row>
    <row r="17" ht="72" customHeight="1">
      <c r="A17" s="9" t="inlineStr">
        <is>
          <t>NOTA METODOLÓGICA. La media del MSAVI 2024 del bloque (0.591921)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26.8444</v>
      </c>
      <c r="C21" s="19" t="n">
        <v>78.52</v>
      </c>
      <c r="D21" s="11" t="inlineStr">
        <is>
          <t>Dosel continuo, matorral denso o mosaico agroforestal</t>
        </is>
      </c>
      <c r="E21" s="11" t="inlineStr"/>
    </row>
    <row r="22">
      <c r="A22" s="14" t="inlineStr">
        <is>
          <t>Vegetación mediana</t>
        </is>
      </c>
      <c r="B22" s="20" t="n">
        <v>6.8651</v>
      </c>
      <c r="C22" s="21" t="n">
        <v>20.08</v>
      </c>
      <c r="D22" s="15" t="inlineStr">
        <is>
          <t>Pastizal cultivado, matorral ralo, parcelas agrícolas</t>
        </is>
      </c>
      <c r="E22" s="15" t="inlineStr"/>
    </row>
    <row r="23">
      <c r="A23" s="7" t="inlineStr">
        <is>
          <t>Vegetación ligera</t>
        </is>
      </c>
      <c r="B23" s="18" t="n">
        <v>0.4763</v>
      </c>
      <c r="C23" s="19" t="n">
        <v>1.39</v>
      </c>
      <c r="D23" s="11" t="inlineStr">
        <is>
          <t>Cobertura discontinua, suelo parcialmente expuesto</t>
        </is>
      </c>
      <c r="E23" s="11" t="inlineStr"/>
    </row>
    <row r="24">
      <c r="A24" s="16" t="inlineStr">
        <is>
          <t>TOTAL CLASIFICADO</t>
        </is>
      </c>
      <c r="B24" s="22">
        <f>SUM(B21:B23)</f>
        <v/>
      </c>
      <c r="C24" s="23">
        <f>SUM(C21:C23)</f>
        <v/>
      </c>
      <c r="D24" s="17" t="inlineStr"/>
      <c r="E24" s="17" t="inlineStr"/>
    </row>
    <row r="25">
      <c r="A25" s="24" t="inlineStr">
        <is>
          <t>Superficie de catálogo (V5/V6)</t>
        </is>
      </c>
      <c r="B25" s="25" t="n">
        <v>34.17</v>
      </c>
      <c r="C25" s="25" t="inlineStr">
        <is>
          <t>—</t>
        </is>
      </c>
      <c r="D25" s="25" t="inlineStr">
        <is>
          <t>Desviación planimétrica frente al catálogo</t>
        </is>
      </c>
      <c r="E25" s="25" t="inlineStr">
        <is>
          <t>+0.05 %</t>
        </is>
      </c>
    </row>
    <row r="27" ht="72" customHeight="1">
      <c r="A27"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row>
  </sheetData>
  <mergeCells count="10">
    <mergeCell ref="A4:E4"/>
    <mergeCell ref="A2:E2"/>
    <mergeCell ref="A19:E19"/>
    <mergeCell ref="A1:E1"/>
    <mergeCell ref="A5:E5"/>
    <mergeCell ref="A8:E8"/>
    <mergeCell ref="A6:E6"/>
    <mergeCell ref="A17:E17"/>
    <mergeCell ref="A27:E2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7"/>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M19B7</t>
        </is>
      </c>
    </row>
    <row r="6" ht="24" customHeight="1">
      <c r="A6" s="4" t="inlineStr">
        <is>
          <t>Levantamiento del 2026-06-17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620775</v>
      </c>
      <c r="D10" s="26" t="n">
        <v>9436581</v>
      </c>
      <c r="E10" s="11" t="n">
        <v>19.6</v>
      </c>
      <c r="F10" s="11" t="inlineStr"/>
      <c r="G10" s="11" t="inlineStr">
        <is>
          <t>Coordenada consignada en F-DT-01</t>
        </is>
      </c>
    </row>
    <row r="11">
      <c r="A11" s="14" t="inlineStr">
        <is>
          <t>H-01</t>
        </is>
      </c>
      <c r="B11" s="15" t="inlineStr">
        <is>
          <t>Fuente de agua — Quebrada estacional</t>
        </is>
      </c>
      <c r="C11" s="27" t="n">
        <v>620458</v>
      </c>
      <c r="D11" s="27" t="n">
        <v>9436638</v>
      </c>
      <c r="E11" s="15" t="n">
        <v>321.1</v>
      </c>
      <c r="F11" s="15" t="inlineStr">
        <is>
          <t>Estacional</t>
        </is>
      </c>
      <c r="G11" s="15" t="inlineStr">
        <is>
          <t>Quebrada que diseca el bloque; vegetación riparia densa en cauce</t>
        </is>
      </c>
    </row>
    <row r="12">
      <c r="A12" s="16" t="inlineStr">
        <is>
          <t>TOTAL: 2 puntos</t>
        </is>
      </c>
      <c r="B12" s="17" t="inlineStr"/>
      <c r="C12" s="17" t="inlineStr"/>
      <c r="D12" s="17" t="inlineStr"/>
      <c r="E12" s="17" t="inlineStr"/>
      <c r="F12" s="17" t="inlineStr"/>
      <c r="G12" s="17" t="inlineStr"/>
    </row>
    <row r="14">
      <c r="A14" s="6" t="inlineStr">
        <is>
          <t>Centroide del bloque — UTM ESTE (m)</t>
        </is>
      </c>
      <c r="B14" s="7" t="n">
        <v>620770</v>
      </c>
      <c r="C14" s="6" t="inlineStr">
        <is>
          <t>Centroide del bloque — UTM NORTE (m)</t>
        </is>
      </c>
      <c r="D14" s="7" t="n">
        <v>9436562</v>
      </c>
      <c r="E14" s="8" t="n"/>
      <c r="F14" s="8" t="n"/>
      <c r="G14" s="8" t="n"/>
      <c r="H14" s="8" t="n"/>
    </row>
    <row r="15">
      <c r="A15" s="6" t="inlineStr">
        <is>
          <t>N.° de estaciones fotográficas declaradas</t>
        </is>
      </c>
      <c r="B15" s="7" t="n">
        <v>0</v>
      </c>
      <c r="C15" s="6" t="inlineStr">
        <is>
          <t>Estaciones dentro del polígono</t>
        </is>
      </c>
      <c r="D15" s="7" t="n">
        <v>0</v>
      </c>
      <c r="E15" s="8" t="n"/>
      <c r="F15" s="8" t="n"/>
      <c r="G15" s="8" t="n"/>
      <c r="H15" s="8" t="n"/>
    </row>
    <row r="17" ht="108" customHeight="1">
      <c r="A17"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Bloque colinoso a montañoso en el C.P. El Faique (Santo Domingo). MATERIAL PARENTAL: ROCA INTRUSIVA PROFUNDAMENTE METEORIZADA (SAPROLITO/GRUS) CON BLOQUES GRANÍTICOS POR EXFOLIACIÓN. PENDIENTE MEDIA 42.8% / MÁXIMA 65.6%. CAÍDA DE BLOQUES/ROCAS CONFIRMADA; escarpes activos y reptación reportados como «POSIBLES, NO CONCLUYENTES» (por verificar en campo profundizado).</t>
        </is>
      </c>
    </row>
  </sheetData>
  <mergeCells count="8">
    <mergeCell ref="A1:G1"/>
    <mergeCell ref="A17:G17"/>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C1086-Q9570 — BLOQUE M19B7</t>
        </is>
      </c>
    </row>
    <row r="6" ht="24" customHeight="1">
      <c r="A6" s="4" t="inlineStr">
        <is>
          <t>Distrito de Santo Domingo · Provincia de Morropon · Comparación de los bloques preliminares de intervención de la misma microcuenca</t>
        </is>
      </c>
    </row>
    <row r="8" ht="18" customHeight="1">
      <c r="A8" s="5" t="inlineStr">
        <is>
          <t>BLOQUES DE LA MICROCUENCA C1086-Q9570</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12</t>
        </is>
      </c>
      <c r="B10" s="28" t="n">
        <v>119.54</v>
      </c>
      <c r="C10" s="19" t="n">
        <v>14</v>
      </c>
      <c r="D10" s="11" t="inlineStr">
        <is>
          <t>672 – 2244</t>
        </is>
      </c>
      <c r="E10" s="11" t="n">
        <v>1572</v>
      </c>
      <c r="F10" s="11" t="n">
        <v>27.41</v>
      </c>
      <c r="G10" s="18" t="n">
        <v>0.7067</v>
      </c>
      <c r="H10" s="19" t="n">
        <v>99.93000000000001</v>
      </c>
    </row>
    <row r="11">
      <c r="A11" s="14" t="inlineStr">
        <is>
          <t>11</t>
        </is>
      </c>
      <c r="B11" s="29" t="n">
        <v>103.95</v>
      </c>
      <c r="C11" s="21" t="n">
        <v>12.17</v>
      </c>
      <c r="D11" s="15" t="inlineStr">
        <is>
          <t>1375 – 1928</t>
        </is>
      </c>
      <c r="E11" s="15" t="n">
        <v>553</v>
      </c>
      <c r="F11" s="15" t="n">
        <v>32.19</v>
      </c>
      <c r="G11" s="20" t="n">
        <v>0.6047</v>
      </c>
      <c r="H11" s="21" t="n">
        <v>75.28</v>
      </c>
    </row>
    <row r="12">
      <c r="A12" s="7" t="inlineStr">
        <is>
          <t>17</t>
        </is>
      </c>
      <c r="B12" s="28" t="n">
        <v>96.08</v>
      </c>
      <c r="C12" s="19" t="n">
        <v>11.25</v>
      </c>
      <c r="D12" s="11" t="inlineStr">
        <is>
          <t>1253 – 1880</t>
        </is>
      </c>
      <c r="E12" s="11" t="n">
        <v>627</v>
      </c>
      <c r="F12" s="11" t="n">
        <v>35.56</v>
      </c>
      <c r="G12" s="18" t="n">
        <v>0.6479</v>
      </c>
      <c r="H12" s="19" t="n">
        <v>88.68000000000001</v>
      </c>
    </row>
    <row r="13">
      <c r="A13" s="14" t="inlineStr">
        <is>
          <t>14</t>
        </is>
      </c>
      <c r="B13" s="29" t="n">
        <v>92.90000000000001</v>
      </c>
      <c r="C13" s="21" t="n">
        <v>10.88</v>
      </c>
      <c r="D13" s="15" t="inlineStr">
        <is>
          <t>87 – 1355</t>
        </is>
      </c>
      <c r="E13" s="15" t="n">
        <v>1268</v>
      </c>
      <c r="F13" s="15" t="n">
        <v>23.75</v>
      </c>
      <c r="G13" s="20" t="n">
        <v>0.5197000000000001</v>
      </c>
      <c r="H13" s="21" t="n">
        <v>58.89</v>
      </c>
    </row>
    <row r="14">
      <c r="A14" s="7" t="inlineStr">
        <is>
          <t>15</t>
        </is>
      </c>
      <c r="B14" s="28" t="n">
        <v>86.15000000000001</v>
      </c>
      <c r="C14" s="19" t="n">
        <v>10.09</v>
      </c>
      <c r="D14" s="11" t="inlineStr">
        <is>
          <t>1199 – 1655</t>
        </is>
      </c>
      <c r="E14" s="11" t="n">
        <v>456</v>
      </c>
      <c r="F14" s="11" t="n">
        <v>26.19</v>
      </c>
      <c r="G14" s="18" t="n">
        <v>0.5605</v>
      </c>
      <c r="H14" s="19" t="n">
        <v>56.47</v>
      </c>
    </row>
    <row r="15">
      <c r="A15" s="14" t="inlineStr">
        <is>
          <t>23</t>
        </is>
      </c>
      <c r="B15" s="29" t="n">
        <v>81.78</v>
      </c>
      <c r="C15" s="21" t="n">
        <v>9.58</v>
      </c>
      <c r="D15" s="15" t="inlineStr">
        <is>
          <t>521 – 973</t>
        </is>
      </c>
      <c r="E15" s="15" t="n">
        <v>452</v>
      </c>
      <c r="F15" s="15" t="n">
        <v>35.28</v>
      </c>
      <c r="G15" s="20" t="n">
        <v>0.5731000000000001</v>
      </c>
      <c r="H15" s="21" t="n">
        <v>47.99</v>
      </c>
    </row>
    <row r="16">
      <c r="A16" s="7" t="inlineStr">
        <is>
          <t>42</t>
        </is>
      </c>
      <c r="B16" s="28" t="n">
        <v>80.62</v>
      </c>
      <c r="C16" s="19" t="n">
        <v>9.44</v>
      </c>
      <c r="D16" s="11" t="inlineStr">
        <is>
          <t>1131 – 1548</t>
        </is>
      </c>
      <c r="E16" s="11" t="n">
        <v>417</v>
      </c>
      <c r="F16" s="11" t="n">
        <v>27.86</v>
      </c>
      <c r="G16" s="18" t="n">
        <v>0.6348</v>
      </c>
      <c r="H16" s="19" t="n">
        <v>88.83</v>
      </c>
    </row>
    <row r="17">
      <c r="A17" s="14" t="inlineStr">
        <is>
          <t>M19B2</t>
        </is>
      </c>
      <c r="B17" s="29" t="n">
        <v>74.37</v>
      </c>
      <c r="C17" s="21" t="n">
        <v>8.710000000000001</v>
      </c>
      <c r="D17" s="15" t="inlineStr">
        <is>
          <t>203 – 523</t>
        </is>
      </c>
      <c r="E17" s="15" t="n">
        <v>320</v>
      </c>
      <c r="F17" s="15" t="n">
        <v>21.71</v>
      </c>
      <c r="G17" s="20" t="n">
        <v>0.4012</v>
      </c>
      <c r="H17" s="21" t="n">
        <v>1.28</v>
      </c>
    </row>
    <row r="18">
      <c r="A18" s="7" t="inlineStr">
        <is>
          <t>82</t>
        </is>
      </c>
      <c r="B18" s="28" t="n">
        <v>35.66</v>
      </c>
      <c r="C18" s="19" t="n">
        <v>4.18</v>
      </c>
      <c r="D18" s="11" t="inlineStr">
        <is>
          <t>1796 – 2098</t>
        </is>
      </c>
      <c r="E18" s="11" t="n">
        <v>302</v>
      </c>
      <c r="F18" s="11" t="n">
        <v>23.55</v>
      </c>
      <c r="G18" s="18" t="n">
        <v>0.6283</v>
      </c>
      <c r="H18" s="19" t="n">
        <v>90.06999999999999</v>
      </c>
    </row>
    <row r="19">
      <c r="A19" s="14" t="inlineStr">
        <is>
          <t>78</t>
        </is>
      </c>
      <c r="B19" s="29" t="n">
        <v>35.1</v>
      </c>
      <c r="C19" s="21" t="n">
        <v>4.11</v>
      </c>
      <c r="D19" s="15" t="inlineStr">
        <is>
          <t>1908 – 2236</t>
        </is>
      </c>
      <c r="E19" s="15" t="n">
        <v>328</v>
      </c>
      <c r="F19" s="15" t="n">
        <v>30.64</v>
      </c>
      <c r="G19" s="20" t="n">
        <v>0.7074</v>
      </c>
      <c r="H19" s="21" t="n">
        <v>89.33</v>
      </c>
    </row>
    <row r="20">
      <c r="A20" s="12" t="inlineStr">
        <is>
          <t>► M19B7</t>
        </is>
      </c>
      <c r="B20" s="30" t="n">
        <v>34.17</v>
      </c>
      <c r="C20" s="31" t="n">
        <v>4</v>
      </c>
      <c r="D20" s="13" t="inlineStr">
        <is>
          <t>1213 – 1578</t>
        </is>
      </c>
      <c r="E20" s="13" t="n">
        <v>365</v>
      </c>
      <c r="F20" s="13" t="n">
        <v>28.15</v>
      </c>
      <c r="G20" s="32" t="n">
        <v>0.5919</v>
      </c>
      <c r="H20" s="31" t="n">
        <v>78.52</v>
      </c>
    </row>
    <row r="21">
      <c r="A21" s="14" t="inlineStr">
        <is>
          <t>59</t>
        </is>
      </c>
      <c r="B21" s="29" t="n">
        <v>13.55</v>
      </c>
      <c r="C21" s="21" t="n">
        <v>1.59</v>
      </c>
      <c r="D21" s="15" t="inlineStr">
        <is>
          <t>2045 – 2218</t>
        </is>
      </c>
      <c r="E21" s="15" t="n">
        <v>173</v>
      </c>
      <c r="F21" s="15" t="n">
        <v>29.85</v>
      </c>
      <c r="G21" s="20" t="n">
        <v>0.6147</v>
      </c>
      <c r="H21" s="21" t="n">
        <v>86.56999999999999</v>
      </c>
    </row>
    <row r="22">
      <c r="A22" s="16" t="inlineStr">
        <is>
          <t>TOTAL / PROMEDIO</t>
        </is>
      </c>
      <c r="B22" s="33">
        <f>SUM(B10:B21)</f>
        <v/>
      </c>
      <c r="C22" s="23">
        <f>SUM(C10:C21)</f>
        <v/>
      </c>
      <c r="D22" s="17" t="inlineStr">
        <is>
          <t>87 – 2244</t>
        </is>
      </c>
      <c r="E22" s="17" t="inlineStr"/>
      <c r="F22" s="17">
        <f>ROUND(AVERAGE(F10:F21),2)</f>
        <v/>
      </c>
      <c r="G22" s="22">
        <f>ROUND(AVERAGE(G10:G21),4)</f>
        <v/>
      </c>
      <c r="H22" s="23">
        <f>ROUND(AVERAGE(H10:H21),2)</f>
        <v/>
      </c>
    </row>
    <row r="24" ht="84" customHeight="1">
      <c r="A24" s="9" t="inlineStr">
        <is>
          <t>LECTURA INTRAMICROCUENCA. El bloque M19B7 ocupa el puesto 11 de 12 por superficie dentro de la microcuenca C1086-Q9570 (4.00 % de las 853.87 ha preliminares de la microcuenca). Su pendiente promedio (28.15 %, clase «25-50% (Mod. escarpado)») es la 7.ª más baja de 12 y se sitúa por debajo del promedio de la microcuenca (28.51 %). Su MSAVI 2024 (0.5919) es el 8.º de 12 y queda por debajo del promedio local (0.5993). Amplitud altitudinal del bloque: 365 m (1213–1578 msnm). El cuadro conserva todos los bloques catalogados en la microcuenca, incluidos los descartados en el tamizaje, para referencia del conjunto. Los bloques sin ficha DT figuran con sus parámetros de gabinete.</t>
        </is>
      </c>
    </row>
    <row r="26" ht="60" customHeight="1">
      <c r="A2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26:H26"/>
    <mergeCell ref="A24:H24"/>
    <mergeCell ref="A2:H2"/>
    <mergeCell ref="A5:H5"/>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0"/>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M19B7</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«C1086-Q9570»</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20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(34.186 ha) coincide con la de catálogo (34.17 ha) dentro del ±2 % (+0.05 %)</t>
        </is>
      </c>
      <c r="D12" s="35" t="inlineStr">
        <is>
          <t>CONFORME</t>
        </is>
      </c>
      <c r="E12" s="34" t="inlineStr">
        <is>
          <t>Sin acción: la segmentación valida la geometría del bloque.</t>
        </is>
      </c>
    </row>
    <row r="13" ht="48" customHeight="1">
      <c r="A13" s="36" t="inlineStr">
        <is>
          <t>D-04</t>
        </is>
      </c>
      <c r="B13" s="36" t="inlineStr">
        <is>
          <t>Dimensiones del inventario de cárcavas</t>
        </is>
      </c>
      <c r="C13" s="36" t="inlineStr">
        <is>
          <t>Se registran No inventariadas rasgos erosivos, pero longitud, profundidad y ancho no fueron medidos instrumentalmente</t>
        </is>
      </c>
      <c r="D13" s="13" t="inlineStr">
        <is>
          <t>NO SUSTANTIVA</t>
        </is>
      </c>
      <c r="E13" s="36" t="inlineStr">
        <is>
          <t>El conteo registrado no debe usarse para calcular densidad de cárcavas por hectárea. Pendiente de levantamiento con GPS submétrico.</t>
        </is>
      </c>
    </row>
    <row r="14" ht="48" customHeight="1">
      <c r="A14" s="34" t="inlineStr">
        <is>
          <t>D-05</t>
        </is>
      </c>
      <c r="B14" s="34" t="inlineStr">
        <is>
          <t>Elenco florístico</t>
        </is>
      </c>
      <c r="C14" s="34" t="inlineStr">
        <is>
          <t>La ficha registra 9 taxones, por debajo del mínimo de 15 que exige el formato V5</t>
        </is>
      </c>
      <c r="D14" s="37" t="inlineStr">
        <is>
          <t>SUSTANTIVA</t>
        </is>
      </c>
      <c r="E14" s="34" t="inlineStr">
        <is>
          <t>Registro florístico preliminar, sin colecta ni determinación botánica formal. Debe cerrarse con colecta botánica en la siguiente campaña.</t>
        </is>
      </c>
    </row>
    <row r="15" ht="48" customHeight="1">
      <c r="A15" s="36" t="inlineStr">
        <is>
          <t>D-06</t>
        </is>
      </c>
      <c r="B15" s="36" t="inlineStr">
        <is>
          <t>Representatividad del levantamiento</t>
        </is>
      </c>
      <c r="C15" s="36" t="inlineStr">
        <is>
          <t>Ninguna de las estaciones fotográficas georreferenciadas se localiza dentro del polígono del bloque</t>
        </is>
      </c>
      <c r="D15" s="37" t="inlineStr">
        <is>
          <t>SUSTANTIVA</t>
        </is>
      </c>
      <c r="E15" s="36" t="inlineStr">
        <is>
          <t>La verificación documenta el perímetro y la vista panorámica del bloque, no su interior. Los parámetros que exigen recorrido interno se consignan «Por determinar».</t>
        </is>
      </c>
    </row>
    <row r="16" ht="48" customHeight="1">
      <c r="A16" s="34" t="inlineStr">
        <is>
          <t>D-07</t>
        </is>
      </c>
      <c r="B16" s="34" t="inlineStr">
        <is>
          <t>Centro poblado asociado</t>
        </is>
      </c>
      <c r="C16" s="34" t="inlineStr">
        <is>
          <t>La ficha DT declara «El Faique»; el cruce INEI-Bloques V5 identifica 1 centro(s) poblado(s) en el bloque: EL FAIQUE</t>
        </is>
      </c>
      <c r="D16" s="35" t="inlineStr">
        <is>
          <t>CONFORME</t>
        </is>
      </c>
      <c r="E16" s="34" t="inlineStr">
        <is>
          <t>Se conserva el registro de campo como referencia y se adopta el listado INEI para el diagnóstico social y el cálculo de población beneficiaria.</t>
        </is>
      </c>
    </row>
    <row r="17" ht="48" customHeight="1">
      <c r="A17" s="36" t="inlineStr">
        <is>
          <t>D-08</t>
        </is>
      </c>
      <c r="B17" s="36" t="inlineStr">
        <is>
          <t>Peligro integrado (MCA-AHP)</t>
        </is>
      </c>
      <c r="C17" s="36" t="inlineStr">
        <is>
          <t>El nivel de peligro integrado no está disponible en los insumos de este entregable</t>
        </is>
      </c>
      <c r="D17" s="37" t="inlineStr">
        <is>
          <t>SUSTANTIVA</t>
        </is>
      </c>
      <c r="E17" s="36" t="inlineStr">
        <is>
          <t>Debe tomarse del modelamiento de mesolocalización (PMM + EPH + PGI ponderados por AHP) antes de fijar la prioridad definitiva de intervención del bloque.</t>
        </is>
      </c>
    </row>
    <row r="18" ht="48" customHeight="1">
      <c r="A18" s="34" t="inlineStr">
        <is>
          <t>D-09</t>
        </is>
      </c>
      <c r="B18" s="34" t="inlineStr">
        <is>
          <t>Plan de Ingreso</t>
        </is>
      </c>
      <c r="C18" s="34" t="inlineStr">
        <is>
          <t>Altitud = 0 msnm (captura por defecto del aplicativo)</t>
        </is>
      </c>
      <c r="D18" s="38" t="inlineStr">
        <is>
          <t>CORREGIDO</t>
        </is>
      </c>
      <c r="E18" s="34" t="inlineStr">
        <is>
          <t>Se reemplaza por la altitud GPS de campo (1350 msnm)</t>
        </is>
      </c>
    </row>
    <row r="19" ht="48" customHeight="1">
      <c r="A19" s="36" t="inlineStr">
        <is>
          <t>D-10</t>
        </is>
      </c>
      <c r="B19" s="36" t="inlineStr">
        <is>
          <t>F-DT-01</t>
        </is>
      </c>
      <c r="C19" s="36" t="inlineStr">
        <is>
          <t>Escarpes activos y reptación reportados como «posibles, no concluyentes»</t>
        </is>
      </c>
      <c r="D19" s="37" t="inlineStr">
        <is>
          <t>SUSTANTIVA</t>
        </is>
      </c>
      <c r="E19" s="36" t="inlineStr">
        <is>
          <t>Verificación en campo profundizado pendiente</t>
        </is>
      </c>
    </row>
    <row r="20" ht="48" customHeight="1">
      <c r="A20" s="34" t="inlineStr">
        <is>
          <t>D-11</t>
        </is>
      </c>
      <c r="B20" s="34" t="inlineStr">
        <is>
          <t>F-DT-02</t>
        </is>
      </c>
      <c r="C20" s="34" t="inlineStr">
        <is>
          <t>Inventario georreferenciado de cárcavas pendiente pese a calificar la urgencia de control como Alta</t>
        </is>
      </c>
      <c r="D20" s="37" t="inlineStr">
        <is>
          <t>SUSTANTIVA</t>
        </is>
      </c>
      <c r="E20" s="34" t="inlineStr">
        <is>
          <t>Levantamiento prioritario</t>
        </is>
      </c>
    </row>
    <row r="21" ht="48" customHeight="1">
      <c r="A21" s="36" t="inlineStr">
        <is>
          <t>D-12</t>
        </is>
      </c>
      <c r="B21" s="36" t="inlineStr">
        <is>
          <t>F-DT-03</t>
        </is>
      </c>
      <c r="C21" s="36" t="inlineStr">
        <is>
          <t>EL ECOSISTEMA SE CLASIFICA COMO AGROECOSISTEMA/MOSAICO, no como ecosistema natural</t>
        </is>
      </c>
      <c r="D21" s="37" t="inlineStr">
        <is>
          <t>SUSTANTIVA</t>
        </is>
      </c>
      <c r="E21" s="36" t="inlineStr">
        <is>
          <t>El área efectiva de intervención debe determinarse tras el tamizaje predial</t>
        </is>
      </c>
    </row>
    <row r="22" ht="48" customHeight="1">
      <c r="A22" s="34" t="inlineStr">
        <is>
          <t>D-13</t>
        </is>
      </c>
      <c r="B22" s="34" t="inlineStr">
        <is>
          <t>F-DT-03</t>
        </is>
      </c>
      <c r="C22" s="34" t="inlineStr">
        <is>
          <t>El estrato «Suculenta/Cactácea» no tiene equivalente en la lista del formato</t>
        </is>
      </c>
      <c r="D22" s="13" t="inlineStr">
        <is>
          <t>NO SUSTANTIVA</t>
        </is>
      </c>
      <c r="E22" s="34" t="inlineStr">
        <is>
          <t>Ajustar la lista de estratos de la plantilla</t>
        </is>
      </c>
    </row>
    <row r="23" ht="48" customHeight="1">
      <c r="A23" s="36" t="inlineStr">
        <is>
          <t>D-14</t>
        </is>
      </c>
      <c r="B23" s="36" t="inlineStr">
        <is>
          <t>F-DT-03</t>
        </is>
      </c>
      <c r="C23" s="36" t="inlineStr">
        <is>
          <t>Coberturas por estrato, DAP, alturas y superficie de ecosistema sin registrar; solo 9 taxones</t>
        </is>
      </c>
      <c r="D23" s="37" t="inlineStr">
        <is>
          <t>SUSTANTIVA</t>
        </is>
      </c>
      <c r="E23" s="36" t="inlineStr">
        <is>
          <t>Inventario florístico pendiente</t>
        </is>
      </c>
    </row>
    <row r="24" ht="48" customHeight="1">
      <c r="A24" s="34" t="inlineStr">
        <is>
          <t>D-15</t>
        </is>
      </c>
      <c r="B24" s="34" t="inlineStr">
        <is>
          <t>F-DT-04</t>
        </is>
      </c>
      <c r="C24" s="34" t="inlineStr">
        <is>
          <t>Ninguno de los 8 indicadores cuantitativos fue diligenciado; intensidad, extensión y antigüedad sin cuantificar</t>
        </is>
      </c>
      <c r="D24" s="37" t="inlineStr">
        <is>
          <t>SUSTANTIVA</t>
        </is>
      </c>
      <c r="E24" s="34" t="inlineStr">
        <is>
          <t>Cuantificación pendiente</t>
        </is>
      </c>
    </row>
    <row r="25" ht="48" customHeight="1">
      <c r="A25" s="36" t="inlineStr">
        <is>
          <t>D-16</t>
        </is>
      </c>
      <c r="B25" s="36" t="inlineStr">
        <is>
          <t>F-DT-04</t>
        </is>
      </c>
      <c r="C25" s="36" t="inlineStr">
        <is>
          <t>Peligros preliminares por juicio de experto: PMM Alto, EPH Alto, PGI Medio</t>
        </is>
      </c>
      <c r="D25" s="13" t="inlineStr">
        <is>
          <t>NO SUSTANTIVA</t>
        </is>
      </c>
      <c r="E25" s="36" t="inlineStr">
        <is>
          <t>No sustituyen el Peligro Integrado por AHP</t>
        </is>
      </c>
    </row>
    <row r="26" ht="48" customHeight="1">
      <c r="A26" s="34" t="inlineStr">
        <is>
          <t>D-17</t>
        </is>
      </c>
      <c r="B26" s="34" t="inlineStr">
        <is>
          <t>F-DT-01 / F-DT-02</t>
        </is>
      </c>
      <c r="C26" s="34" t="inlineStr">
        <is>
          <t>Material parental de saprolito/grus de baja cohesión con caída de bloques confirmada y pendiente máxima 65.6%</t>
        </is>
      </c>
      <c r="D26" s="37" t="inlineStr">
        <is>
          <t>SUSTANTIVA</t>
        </is>
      </c>
      <c r="E26" s="34" t="inlineStr">
        <is>
          <t>Alta susceptibilidad a movimientos en masa: priorizar obras de estabilización complementarias</t>
        </is>
      </c>
    </row>
    <row r="28">
      <c r="A28" s="16" t="inlineStr">
        <is>
          <t>RESUMEN</t>
        </is>
      </c>
      <c r="B28" s="17" t="inlineStr">
        <is>
          <t>17 verificaciones</t>
        </is>
      </c>
      <c r="C28" s="17" t="inlineStr">
        <is>
          <t>CONFORME: 4 · CORREGIDO: 1 · NO SUSTANTIVA: 3 · SUSTANTIVA: 9</t>
        </is>
      </c>
      <c r="D28" s="17" t="inlineStr"/>
      <c r="E28" s="17" t="inlineStr"/>
    </row>
    <row r="30" ht="60" customHeight="1">
      <c r="A30"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30:E30"/>
    <mergeCell ref="A4:E4"/>
    <mergeCell ref="A2:E2"/>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M19B7 — IN Piura</dc:title>
  <dc:subject>Diagnóstico Territorial por bloque de intervención</dc:subject>
  <dcterms:created xsi:type="dcterms:W3CDTF">2026-09-08T03:39:53Z</dcterms:created>
  <dcterms:modified xsi:type="dcterms:W3CDTF">2026-09-08T03:39:53Z</dcterms:modified>
</cp:coreProperties>
</file>