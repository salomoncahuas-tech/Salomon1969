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M18B3</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M18B3</t>
        </is>
      </c>
      <c r="C9" s="6" t="inlineStr">
        <is>
          <t>Microcuenca (catálogo)</t>
        </is>
      </c>
      <c r="D9" s="7" t="inlineStr">
        <is>
          <t>C1077-Q9579</t>
        </is>
      </c>
      <c r="E9" s="8" t="n"/>
      <c r="F9" s="8" t="n"/>
    </row>
    <row r="10">
      <c r="A10" s="6" t="inlineStr">
        <is>
          <t>Zona de planificación</t>
        </is>
      </c>
      <c r="B10" s="7" t="inlineStr">
        <is>
          <t>Z07</t>
        </is>
      </c>
      <c r="C10" s="6" t="inlineStr">
        <is>
          <t>Microcuenca declarada en ficha DT</t>
        </is>
      </c>
      <c r="D10" s="7" t="inlineStr">
        <is>
          <t>C1077-Q9579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Mangomanguilla / Villa Malacasí</t>
        </is>
      </c>
      <c r="C13" s="6" t="inlineStr">
        <is>
          <t>Comunidad campesina</t>
        </is>
      </c>
      <c r="D13" s="7" t="inlineStr">
        <is>
          <t>No aplica (predios privados; COLINDA CON EL ACP MANGAMANGUILLA)</t>
        </is>
      </c>
      <c r="E13" s="8" t="n"/>
      <c r="F13" s="8" t="n"/>
    </row>
    <row r="14">
      <c r="A14" s="6" t="inlineStr">
        <is>
          <t>Superficie de catálogo (V5/V6), ha</t>
        </is>
      </c>
      <c r="B14" s="7" t="n">
        <v>373.81</v>
      </c>
      <c r="C14" s="6" t="inlineStr">
        <is>
          <t>Fuente de superficie</t>
        </is>
      </c>
      <c r="D14" s="7" t="inlineStr">
        <is>
          <t>Catálogo maestro Bloques V5/V6</t>
        </is>
      </c>
      <c r="E14" s="8" t="n"/>
      <c r="F14" s="8" t="n"/>
    </row>
    <row r="15">
      <c r="A15" s="6" t="inlineStr">
        <is>
          <t>Centroide UTM ESTE (m)</t>
        </is>
      </c>
      <c r="B15" s="7" t="n">
        <v>625311</v>
      </c>
      <c r="C15" s="6" t="inlineStr">
        <is>
          <t>Centroide UTM NORTE (m)</t>
        </is>
      </c>
      <c r="D15" s="7" t="n">
        <v>9412195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159</v>
      </c>
      <c r="C19" s="6" t="inlineStr">
        <is>
          <t>Altitud máxima (msnm)</t>
        </is>
      </c>
      <c r="D19" s="7" t="n">
        <v>533</v>
      </c>
      <c r="E19" s="8" t="n"/>
      <c r="F19" s="8" t="n"/>
    </row>
    <row r="20">
      <c r="A20" s="6" t="inlineStr">
        <is>
          <t>Amplitud altitudinal (m)</t>
        </is>
      </c>
      <c r="B20" s="7" t="n">
        <v>374</v>
      </c>
      <c r="C20" s="6" t="inlineStr">
        <is>
          <t>Piso altitudinal dominante</t>
        </is>
      </c>
      <c r="D20" s="7" t="inlineStr">
        <is>
          <t>&lt;1000 m (Yunga)</t>
        </is>
      </c>
      <c r="E20" s="8" t="n"/>
      <c r="F20" s="8" t="n"/>
    </row>
    <row r="21">
      <c r="A21" s="6" t="inlineStr">
        <is>
          <t>Pendiente promedio (%)</t>
        </is>
      </c>
      <c r="B21" s="7" t="n">
        <v>21.52</v>
      </c>
      <c r="C21" s="6" t="inlineStr">
        <is>
          <t>Pendiente promedio (grados)</t>
        </is>
      </c>
      <c r="D21" s="7" t="n">
        <v>12.1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0.3694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(67.32 %)</t>
        </is>
      </c>
      <c r="E29" s="8" t="n"/>
      <c r="F29" s="8" t="n"/>
    </row>
    <row r="30">
      <c r="A30" s="6" t="inlineStr">
        <is>
          <t>Superficie clasificada NDVI 2025 (ha)</t>
        </is>
      </c>
      <c r="B30" s="7" t="n">
        <v>373.96</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373.81 ha (100% del bloque)</t>
        </is>
      </c>
      <c r="E33" s="8" t="n"/>
      <c r="F33" s="8" t="n"/>
    </row>
    <row r="34">
      <c r="A34" s="6" t="inlineStr">
        <is>
          <t>Estado de conservación</t>
        </is>
      </c>
      <c r="B34" s="7" t="inlineStr">
        <is>
          <t>Levemente alterado</t>
        </is>
      </c>
      <c r="C34" s="6" t="inlineStr">
        <is>
          <t>Uso actual dominante del suelo</t>
        </is>
      </c>
      <c r="D34" s="7" t="inlineStr">
        <is>
          <t>Forestal de protección</t>
        </is>
      </c>
      <c r="E34" s="8" t="n"/>
      <c r="F34" s="8" t="n"/>
    </row>
    <row r="35">
      <c r="A35" s="6" t="inlineStr">
        <is>
          <t>Tipo de cobertura dominante</t>
        </is>
      </c>
      <c r="B35" s="7" t="inlineStr">
        <is>
          <t>Bosque ralo (30-70%)</t>
        </is>
      </c>
      <c r="C35" s="6" t="inlineStr">
        <is>
          <t>Cobertura vegetal total — campo (%)</t>
        </is>
      </c>
      <c r="D35" s="7" t="n">
        <v>70</v>
      </c>
      <c r="E35" s="8" t="n"/>
      <c r="F35" s="8" t="n"/>
    </row>
    <row r="36">
      <c r="A36" s="6" t="inlineStr">
        <is>
          <t>Suelo desnudo — campo (%)</t>
        </is>
      </c>
      <c r="B36" s="7" t="n">
        <v>15</v>
      </c>
      <c r="C36" s="6" t="inlineStr">
        <is>
          <t>Regeneración natural</t>
        </is>
      </c>
      <c r="D36" s="7" t="inlineStr">
        <is>
          <t>Regular (10-50 pl./100m²)</t>
        </is>
      </c>
      <c r="E36" s="8" t="n"/>
      <c r="F36" s="8" t="n"/>
    </row>
    <row r="37">
      <c r="A37" s="6" t="inlineStr">
        <is>
          <t>Nivel general de erosión</t>
        </is>
      </c>
      <c r="B37" s="7" t="inlineStr">
        <is>
          <t>Ligera (laminar)</t>
        </is>
      </c>
      <c r="C37" s="6" t="inlineStr">
        <is>
          <t>N.° de cárcavas registradas</t>
        </is>
      </c>
      <c r="D37" s="7" t="n">
        <v>1</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(ANIN-DIME-SESDI) / Ing. Juan Carlos Domínguez Varas</t>
        </is>
      </c>
      <c r="C41" s="6" t="inlineStr">
        <is>
          <t>Fecha de evaluación</t>
        </is>
      </c>
      <c r="D41" s="7" t="inlineStr">
        <is>
          <t>2026-05-21</t>
        </is>
      </c>
      <c r="E41" s="8" t="n"/>
      <c r="F41" s="8" t="n"/>
    </row>
    <row r="42">
      <c r="A42" s="6" t="inlineStr">
        <is>
          <t>Hora de registro</t>
        </is>
      </c>
      <c r="B42" s="7" t="inlineStr">
        <is>
          <t>09:12 - 09:50 h</t>
        </is>
      </c>
      <c r="C42" s="6" t="inlineStr">
        <is>
          <t>Correlativo de ficha</t>
        </is>
      </c>
      <c r="D42" s="7" t="inlineStr">
        <is>
          <t>F-DT-M18B3-01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Dependencia económica de las familias del uso extensivo del bosque seco (leña y pastoreo) ante la limitada disponibilidad de alternativas</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Baja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M18B3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0.369424</v>
      </c>
      <c r="C15" s="17" t="inlineStr">
        <is>
          <t>—</t>
        </is>
      </c>
      <c r="D15" s="17" t="inlineStr">
        <is>
          <t>Vigor muy bajo · clase 0.2650 - 0.3813</t>
        </is>
      </c>
      <c r="E15" s="17" t="inlineStr">
        <is>
          <t>BAJO umbral 0.4976</t>
        </is>
      </c>
    </row>
    <row r="17" ht="72" customHeight="1">
      <c r="A17" s="9" t="inlineStr">
        <is>
          <t>NOTA METODOLÓGICA. La media del MSAVI 2024 del bloque (0.369424)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33.7208</v>
      </c>
      <c r="C21" s="19" t="n">
        <v>9.02</v>
      </c>
      <c r="D21" s="11" t="inlineStr">
        <is>
          <t>Dosel continuo, matorral denso o mosaico agroforestal</t>
        </is>
      </c>
      <c r="E21" s="11" t="inlineStr"/>
    </row>
    <row r="22">
      <c r="A22" s="12" t="inlineStr">
        <is>
          <t>Vegetación mediana</t>
        </is>
      </c>
      <c r="B22" s="20" t="n">
        <v>251.7415</v>
      </c>
      <c r="C22" s="21" t="n">
        <v>67.31999999999999</v>
      </c>
      <c r="D22" s="13" t="inlineStr">
        <is>
          <t>Pastizal cultivado, matorral ralo, parcelas agrícolas</t>
        </is>
      </c>
      <c r="E22" s="13" t="inlineStr"/>
    </row>
    <row r="23">
      <c r="A23" s="7" t="inlineStr">
        <is>
          <t>Vegetación ligera</t>
        </is>
      </c>
      <c r="B23" s="18" t="n">
        <v>87.9127</v>
      </c>
      <c r="C23" s="19" t="n">
        <v>23.51</v>
      </c>
      <c r="D23" s="11" t="inlineStr">
        <is>
          <t>Cobertura discontinua, suelo parcialmente expuesto</t>
        </is>
      </c>
      <c r="E23" s="11" t="inlineStr"/>
    </row>
    <row r="24">
      <c r="A24" s="12" t="inlineStr">
        <is>
          <t>Tierra desnuda</t>
        </is>
      </c>
      <c r="B24" s="20" t="n">
        <v>0.5853</v>
      </c>
      <c r="C24" s="21" t="n">
        <v>0.16</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373.81</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9.02 % del polígono clasificado como «Vegetación alta» por el NDVI 2025; la observación de campo corresponde a una parcela o recorrido puntual y no es estadísticamente representativa de las 373.810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M18B3</t>
        </is>
      </c>
    </row>
    <row r="6" ht="24" customHeight="1">
      <c r="A6" s="4" t="inlineStr">
        <is>
          <t>Levantamiento del 2026-05-21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625826</v>
      </c>
      <c r="D10" s="26" t="n">
        <v>9411463</v>
      </c>
      <c r="E10" s="11" t="n">
        <v>895</v>
      </c>
      <c r="F10" s="11" t="inlineStr"/>
      <c r="G10" s="11" t="inlineStr">
        <is>
          <t>Coordenada consignada en F-DT-01</t>
        </is>
      </c>
    </row>
    <row r="11">
      <c r="A11" s="12" t="inlineStr">
        <is>
          <t>C-01</t>
        </is>
      </c>
      <c r="B11" s="13" t="inlineStr">
        <is>
          <t>Rasgo erosivo — Surco (&lt;30 cm) — 15 m, 0.2 m prof., 0.3 m ancho</t>
        </is>
      </c>
      <c r="C11" s="27" t="n">
        <v>625826</v>
      </c>
      <c r="D11" s="27" t="n">
        <v>9411463</v>
      </c>
      <c r="E11" s="13" t="n">
        <v>895</v>
      </c>
      <c r="F11" s="13" t="inlineStr">
        <is>
          <t>Semi-activa</t>
        </is>
      </c>
      <c r="G11" s="13" t="inlineStr">
        <is>
          <t>Sobrepastoreo</t>
        </is>
      </c>
    </row>
    <row r="12">
      <c r="A12" s="7" t="inlineStr">
        <is>
          <t>H-01</t>
        </is>
      </c>
      <c r="B12" s="11" t="inlineStr">
        <is>
          <t>Fuente de agua — Río</t>
        </is>
      </c>
      <c r="C12" s="26" t="n">
        <v>625728</v>
      </c>
      <c r="D12" s="26" t="n">
        <v>9411447</v>
      </c>
      <c r="E12" s="11" t="n">
        <v>856.4</v>
      </c>
      <c r="F12" s="11" t="inlineStr">
        <is>
          <t>Permanente</t>
        </is>
      </c>
      <c r="G12" s="11" t="inlineStr">
        <is>
          <t>Río Piura (Río Seco)</t>
        </is>
      </c>
    </row>
    <row r="13">
      <c r="A13" s="12" t="inlineStr">
        <is>
          <t>H-02</t>
        </is>
      </c>
      <c r="B13" s="13" t="inlineStr">
        <is>
          <t>Fuente de agua — Reservorio / Represa</t>
        </is>
      </c>
      <c r="C13" s="27" t="n">
        <v>625722</v>
      </c>
      <c r="D13" s="27" t="n">
        <v>9411456</v>
      </c>
      <c r="E13" s="13" t="n">
        <v>845.6</v>
      </c>
      <c r="F13" s="13" t="inlineStr">
        <is>
          <t>Estacional</t>
        </is>
      </c>
      <c r="G13" s="13" t="inlineStr">
        <is>
          <t>Reservorio rústico revestido</t>
        </is>
      </c>
    </row>
    <row r="14">
      <c r="A14" s="7" t="inlineStr">
        <is>
          <t>H-03</t>
        </is>
      </c>
      <c r="B14" s="11" t="inlineStr">
        <is>
          <t>Fuente de agua — Reservorio / Represa</t>
        </is>
      </c>
      <c r="C14" s="26" t="n">
        <v>625692</v>
      </c>
      <c r="D14" s="26" t="n">
        <v>9411343</v>
      </c>
      <c r="E14" s="11" t="n">
        <v>933.3</v>
      </c>
      <c r="F14" s="11" t="inlineStr">
        <is>
          <t>Permanente</t>
        </is>
      </c>
      <c r="G14" s="11" t="inlineStr">
        <is>
          <t>Tanque elevado + reservorio (JASS)</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625311</v>
      </c>
      <c r="C17" s="6" t="inlineStr">
        <is>
          <t>Centroide del bloque — UTM NORTE (m)</t>
        </is>
      </c>
      <c r="D17" s="7" t="n">
        <v>9412195</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RELATIVAMENTE MENOS DISTURBADO respecto a otros bloques visitados en el ámbito. No se observaron procesos de remoción en masa activos ni escarpes recientes durante el recorrido (21-05-2026). La inestabilidad potencial se asocia principalmente a la PÉRDIDA DE COBERTURA EN LADERAS CON PENDIENTE &gt;25% Y A LA CONCENTRACIÓN DE ESCORRENTÍA ESTACIONAL. Punto de muestreo representativo en el frente sur del bloque (acceso desde Salitral, CRUCE DEL RÍO SECO). NOTA: el código de bloque visitado en campo y rotulado en imágenes es M18B3 (Salitral).</t>
        </is>
      </c>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C1077-Q9579 — BLOQUE M18B3</t>
        </is>
      </c>
    </row>
    <row r="6" ht="24" customHeight="1">
      <c r="A6" s="4" t="inlineStr">
        <is>
          <t>Distrito de Salitral · Provincia de Morropon · Comparación de los bloques preliminares de intervención de la misma microcuenca</t>
        </is>
      </c>
    </row>
    <row r="8" ht="18" customHeight="1">
      <c r="A8" s="5" t="inlineStr">
        <is>
          <t>BLOQUES DE LA MICROCUENCA C1077-Q9579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M18B3</t>
        </is>
      </c>
      <c r="B10" s="28" t="n">
        <v>373.81</v>
      </c>
      <c r="C10" s="29" t="n">
        <v>51.1</v>
      </c>
      <c r="D10" s="15" t="inlineStr">
        <is>
          <t>159 – 533</t>
        </is>
      </c>
      <c r="E10" s="15" t="n">
        <v>374</v>
      </c>
      <c r="F10" s="15" t="n">
        <v>21.52</v>
      </c>
      <c r="G10" s="30" t="n">
        <v>0.3694</v>
      </c>
      <c r="H10" s="29" t="n">
        <v>9.02</v>
      </c>
    </row>
    <row r="11">
      <c r="A11" s="12" t="inlineStr">
        <is>
          <t>M18B5</t>
        </is>
      </c>
      <c r="B11" s="31" t="n">
        <v>197.35</v>
      </c>
      <c r="C11" s="21" t="n">
        <v>26.98</v>
      </c>
      <c r="D11" s="13" t="inlineStr">
        <is>
          <t>157 – 645</t>
        </is>
      </c>
      <c r="E11" s="13" t="n">
        <v>488</v>
      </c>
      <c r="F11" s="13" t="n">
        <v>18.19</v>
      </c>
      <c r="G11" s="20" t="n">
        <v>0.3565</v>
      </c>
      <c r="H11" s="21" t="inlineStr">
        <is>
          <t>Por determinar</t>
        </is>
      </c>
    </row>
    <row r="12">
      <c r="A12" s="7" t="inlineStr">
        <is>
          <t>M18B1</t>
        </is>
      </c>
      <c r="B12" s="32" t="n">
        <v>160.36</v>
      </c>
      <c r="C12" s="19" t="n">
        <v>21.92</v>
      </c>
      <c r="D12" s="11" t="inlineStr">
        <is>
          <t>153 – 396</t>
        </is>
      </c>
      <c r="E12" s="11" t="n">
        <v>243</v>
      </c>
      <c r="F12" s="11" t="n">
        <v>20.37</v>
      </c>
      <c r="G12" s="18" t="n">
        <v>0.3343</v>
      </c>
      <c r="H12" s="19" t="n">
        <v>1.41</v>
      </c>
    </row>
    <row r="13">
      <c r="A13" s="16" t="inlineStr">
        <is>
          <t>TOTAL / PROMEDIO</t>
        </is>
      </c>
      <c r="B13" s="33">
        <f>SUM(B10:B12)</f>
        <v/>
      </c>
      <c r="C13" s="23">
        <f>SUM(C10:C12)</f>
        <v/>
      </c>
      <c r="D13" s="17" t="inlineStr">
        <is>
          <t>153 – 645</t>
        </is>
      </c>
      <c r="E13" s="17" t="inlineStr"/>
      <c r="F13" s="17">
        <f>ROUND(AVERAGE(F10:F12),2)</f>
        <v/>
      </c>
      <c r="G13" s="22">
        <f>ROUND(AVERAGE(G10:G12),4)</f>
        <v/>
      </c>
      <c r="H13" s="23">
        <f>ROUND(AVERAGE(H10:H12),2)</f>
        <v/>
      </c>
    </row>
    <row r="14" ht="48" customHeight="1">
      <c r="A14" s="9" t="inlineStr">
        <is>
          <t>ALCANCE DE LOS PROMEDIOS. La fila TOTAL / PROMEDIO omite las celdas «Por determinar»: el promedio de VEGETACIÓN ALTA (NDVI 2025) se calcula sobre 2 de los 3 bloques; el bloque restante carece de estadística zonal de NDVI. Los totales de ÁREA y % de microcuenca sí comprenden la totalidad de los 3 bloques. No se estima ningún valor ausente.</t>
        </is>
      </c>
    </row>
    <row r="16" ht="84" customHeight="1">
      <c r="A16" s="9" t="inlineStr">
        <is>
          <t>LECTURA INTRAMICROCUENCA. El bloque M18B3 ocupa el puesto 1 de 3 por superficie dentro de la microcuenca C1077-Q9579 (51.10 % de las 731.52 ha preliminares de la microcuenca). Su pendiente promedio (21.52 %, clase «15-25% (Fuert. inclinado)») es la 3.ª más baja de 3 y se sitúa por encima del promedio de la microcuenca (20.03 %). Su MSAVI 2024 (0.3694) es el 1.º de 3 y queda por encima del promedio local (0.3534). Amplitud altitudinal del bloque: 374 m (159–533 msnm). El cuadro conserva todos los bloques catalogados en la microcuenca, incluidos los descartados en el tamizaje, para referencia del conjunto. Los bloques sin ficha DT figuran con sus parámetros de gabinete.</t>
        </is>
      </c>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18:H18"/>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M18B3</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«C1077-Q9579»</t>
        </is>
      </c>
      <c r="D10" s="35" t="inlineStr">
        <is>
          <t>CONFORME</t>
        </is>
      </c>
      <c r="E10" s="34" t="inlineStr">
        <is>
          <t>Sin acción.</t>
        </is>
      </c>
    </row>
    <row r="11" ht="48" customHeight="1">
      <c r="A11" s="36" t="inlineStr">
        <is>
          <t>D-02</t>
        </is>
      </c>
      <c r="B11" s="36" t="inlineStr">
        <is>
          <t>UTM del punto de muestreo</t>
        </is>
      </c>
      <c r="C11" s="36" t="inlineStr">
        <is>
          <t>El punto de muestreo declarado (625826 E / 9411463 N) dista 895 m del centroide de catálogo (625311 E / 9412195 N), distancia incompatible con la superficie del bloque (373.81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(373.960 ha) coincide con la de catálogo (373.81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21.52 %,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70 % de cobertura vegetal en campo; el NDVI mediana 2025 clasifica 99.85 %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«Mangomanguilla / Villa Malacasí»; el cruce INEI-Bloques V5 identifica 3 centro(s) poblado(s) en el bloque: HUARO QUISPAMPA, MANGOMANGUIA, SELVA ANDINA</t>
        </is>
      </c>
      <c r="D16" s="15" t="inlineStr">
        <is>
          <t>NO SUSTANTIVA</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(330 msnm)</t>
        </is>
      </c>
    </row>
    <row r="19" ht="48" customHeight="1">
      <c r="A19" s="36" t="inlineStr">
        <is>
          <t>D-10</t>
        </is>
      </c>
      <c r="B19" s="36" t="inlineStr">
        <is>
          <t>F-DT-02</t>
        </is>
      </c>
      <c r="C19" s="36" t="inlineStr">
        <is>
          <t>Se declara 5% del bloque con cárcavas y densidad 0.5 N.°/ha para una sola cárcava de 15 m en 373.81 ha</t>
        </is>
      </c>
      <c r="D19" s="37" t="inlineStr">
        <is>
          <t>SUSTANTIVA</t>
        </is>
      </c>
      <c r="E19" s="36" t="inlineStr">
        <is>
          <t>Cifras incompatibles entre sí: recalcular</t>
        </is>
      </c>
    </row>
    <row r="20" ht="48" customHeight="1">
      <c r="A20" s="34" t="inlineStr">
        <is>
          <t>D-11</t>
        </is>
      </c>
      <c r="B20" s="34" t="inlineStr">
        <is>
          <t>F-DT-03</t>
        </is>
      </c>
      <c r="C20" s="34" t="inlineStr">
        <is>
          <t>Categorías: Hualtaco VU y Palo santo NT, frente a CR en la mayoría de los bloques</t>
        </is>
      </c>
      <c r="D20" s="37" t="inlineStr">
        <is>
          <t>SUSTANTIVA</t>
        </is>
      </c>
      <c r="E20" s="34" t="inlineStr">
        <is>
          <t>Homogeneizar criterio de categorización</t>
        </is>
      </c>
    </row>
    <row r="21" ht="48" customHeight="1">
      <c r="A21" s="36" t="inlineStr">
        <is>
          <t>D-12</t>
        </is>
      </c>
      <c r="B21" s="36" t="inlineStr">
        <is>
          <t>F-DT-04</t>
        </is>
      </c>
      <c r="C21" s="36" t="inlineStr">
        <is>
          <t>Cobertura vegetal total 70% calificada «Bajo» de nivel de degradación</t>
        </is>
      </c>
      <c r="D21" s="15" t="inlineStr">
        <is>
          <t>NO SUSTANTIVA</t>
        </is>
      </c>
      <c r="E21" s="36" t="inlineStr">
        <is>
          <t>Coherente con la convención de nivel de degradación</t>
        </is>
      </c>
    </row>
    <row r="22" ht="48" customHeight="1">
      <c r="A22" s="34" t="inlineStr">
        <is>
          <t>D-13</t>
        </is>
      </c>
      <c r="B22" s="34" t="inlineStr">
        <is>
          <t>F-DT-01</t>
        </is>
      </c>
      <c r="C22" s="34" t="inlineStr">
        <is>
          <t>COLINDANCIA CON EL ÁREA DE CONSERVACIÓN PRIVADA MANGAMANGUILLA</t>
        </is>
      </c>
      <c r="D22" s="37" t="inlineStr">
        <is>
          <t>SUSTANTIVA</t>
        </is>
      </c>
      <c r="E22" s="34" t="inlineStr">
        <is>
          <t>Verificar filtro de exclusión por ANP/ACP y coordinar con SERNANP; oportunidad de conectividad ecológica</t>
        </is>
      </c>
    </row>
    <row r="23" ht="48" customHeight="1">
      <c r="A23" s="36" t="inlineStr">
        <is>
          <t>D-14</t>
        </is>
      </c>
      <c r="B23" s="36" t="inlineStr">
        <is>
          <t>F-DT-05</t>
        </is>
      </c>
      <c r="C23" s="36" t="inlineStr">
        <is>
          <t>Captación poblacional de la JASS a ≈150 m del límite del bloque</t>
        </is>
      </c>
      <c r="D23" s="37" t="inlineStr">
        <is>
          <t>SUSTANTIVA</t>
        </is>
      </c>
      <c r="E23" s="36" t="inlineStr">
        <is>
          <t>Oportunidad MERESE</t>
        </is>
      </c>
    </row>
    <row r="24" ht="48" customHeight="1">
      <c r="A24" s="34" t="inlineStr">
        <is>
          <t>D-15</t>
        </is>
      </c>
      <c r="B24" s="34" t="inlineStr">
        <is>
          <t>F-DT-03 / F-DT-04</t>
        </is>
      </c>
      <c r="C24" s="34" t="inlineStr">
        <is>
          <t>Presencia de una asociación de mujeres productoras de plantas nativas y semillas forestales</t>
        </is>
      </c>
      <c r="D24" s="37" t="inlineStr">
        <is>
          <t>SUSTANTIVA</t>
        </is>
      </c>
      <c r="E24" s="34" t="inlineStr">
        <is>
          <t>Activo estratégico para el abastecimiento de plantones y la gobernanza de la restauración</t>
        </is>
      </c>
    </row>
    <row r="26">
      <c r="A26" s="16" t="inlineStr">
        <is>
          <t>RESUMEN</t>
        </is>
      </c>
      <c r="B26" s="17" t="inlineStr">
        <is>
          <t>15 verificaciones</t>
        </is>
      </c>
      <c r="C26" s="17" t="inlineStr">
        <is>
          <t>CONFORME: 2 · CORREGIDO: 1 · NO SUSTANTIVA: 4 · SUSTANTIVA: 8</t>
        </is>
      </c>
      <c r="D26" s="17" t="inlineStr"/>
      <c r="E26" s="17" t="inlineStr"/>
    </row>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8:E28"/>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M18B3 — IN Piura</dc:title>
  <dc:subject>Diagnóstico Territorial por bloque de intervención</dc:subject>
  <dcterms:created xsi:type="dcterms:W3CDTF">2026-09-08T03:39:57Z</dcterms:created>
  <dcterms:modified xsi:type="dcterms:W3CDTF">2026-09-08T03:39:57Z</dcterms:modified>
</cp:coreProperties>
</file>