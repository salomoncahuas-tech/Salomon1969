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M1B1</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M1B1</t>
        </is>
      </c>
      <c r="C9" s="6" t="inlineStr">
        <is>
          <t>Microcuenca (catálogo)</t>
        </is>
      </c>
      <c r="D9" s="7" t="inlineStr">
        <is>
          <t>C1077-Q9580</t>
        </is>
      </c>
      <c r="E9" s="8" t="n"/>
      <c r="F9" s="8" t="n"/>
    </row>
    <row r="10">
      <c r="A10" s="6" t="inlineStr">
        <is>
          <t>Zona de planificación</t>
        </is>
      </c>
      <c r="B10" s="7" t="inlineStr">
        <is>
          <t>Z06</t>
        </is>
      </c>
      <c r="C10" s="6" t="inlineStr">
        <is>
          <t>Microcuenca declarada en ficha DT</t>
        </is>
      </c>
      <c r="D10" s="7" t="inlineStr">
        <is>
          <t>C1077-Q9580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Buenos Aires</t>
        </is>
      </c>
      <c r="C12" s="6" t="inlineStr">
        <is>
          <t>Capital distrital</t>
        </is>
      </c>
      <c r="D12" s="7" t="inlineStr">
        <is>
          <t>Buenos Aires</t>
        </is>
      </c>
      <c r="E12" s="8" t="n"/>
      <c r="F12" s="8" t="n"/>
    </row>
    <row r="13">
      <c r="A13" s="6" t="inlineStr">
        <is>
          <t>Centro poblado asociado</t>
        </is>
      </c>
      <c r="B13" s="7" t="inlineStr">
        <is>
          <t>Río Seco</t>
        </is>
      </c>
      <c r="C13" s="6" t="inlineStr">
        <is>
          <t>Comunidad campesina</t>
        </is>
      </c>
      <c r="D13" s="7" t="inlineStr">
        <is>
          <t>No aplica formalmente — predios rurales individuales y sectores asociados al CP Río Seco</t>
        </is>
      </c>
      <c r="E13" s="8" t="n"/>
      <c r="F13" s="8" t="n"/>
    </row>
    <row r="14">
      <c r="A14" s="6" t="inlineStr">
        <is>
          <t>Superficie de catálogo (V5/V6), ha</t>
        </is>
      </c>
      <c r="B14" s="7" t="n">
        <v>188.8</v>
      </c>
      <c r="C14" s="6" t="inlineStr">
        <is>
          <t>Fuente de superficie</t>
        </is>
      </c>
      <c r="D14" s="7" t="inlineStr">
        <is>
          <t>Catálogo maestro Bloques V5/V6</t>
        </is>
      </c>
      <c r="E14" s="8" t="n"/>
      <c r="F14" s="8" t="n"/>
    </row>
    <row r="15">
      <c r="A15" s="6" t="inlineStr">
        <is>
          <t>Centroide UTM ESTE (m)</t>
        </is>
      </c>
      <c r="B15" s="7" t="n">
        <v>617695</v>
      </c>
      <c r="C15" s="6" t="inlineStr">
        <is>
          <t>Centroide UTM NORTE (m)</t>
        </is>
      </c>
      <c r="D15" s="7" t="n">
        <v>9409136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173</v>
      </c>
      <c r="C19" s="6" t="inlineStr">
        <is>
          <t>Altitud máxima (msnm)</t>
        </is>
      </c>
      <c r="D19" s="7" t="n">
        <v>477</v>
      </c>
      <c r="E19" s="8" t="n"/>
      <c r="F19" s="8" t="n"/>
    </row>
    <row r="20">
      <c r="A20" s="6" t="inlineStr">
        <is>
          <t>Amplitud altitudinal (m)</t>
        </is>
      </c>
      <c r="B20" s="7" t="n">
        <v>304</v>
      </c>
      <c r="C20" s="6" t="inlineStr">
        <is>
          <t>Piso altitudinal dominante</t>
        </is>
      </c>
      <c r="D20" s="7" t="inlineStr">
        <is>
          <t>&lt;1000 m (Yunga)</t>
        </is>
      </c>
      <c r="E20" s="8" t="n"/>
      <c r="F20" s="8" t="n"/>
    </row>
    <row r="21">
      <c r="A21" s="6" t="inlineStr">
        <is>
          <t>Pendiente promedio (%)</t>
        </is>
      </c>
      <c r="B21" s="7" t="n">
        <v>18.7</v>
      </c>
      <c r="C21" s="6" t="inlineStr">
        <is>
          <t>Pendiente promedio (grados)</t>
        </is>
      </c>
      <c r="D21" s="7" t="n">
        <v>10.6</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0.3193</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(57.13 %)</t>
        </is>
      </c>
      <c r="E29" s="8" t="n"/>
      <c r="F29" s="8" t="n"/>
    </row>
    <row r="30">
      <c r="A30" s="6" t="inlineStr">
        <is>
          <t>Superficie clasificada NDVI 2025 (ha)</t>
        </is>
      </c>
      <c r="B30" s="7" t="n">
        <v>188.883</v>
      </c>
      <c r="C30" s="6" t="inlineStr">
        <is>
          <t>Desviación frente al catálogo (%)</t>
        </is>
      </c>
      <c r="D30" s="7" t="n">
        <v>0.04</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185 ha (de 188.80 ha del bloque)</t>
        </is>
      </c>
      <c r="E33" s="8" t="n"/>
      <c r="F33" s="8" t="n"/>
    </row>
    <row r="34">
      <c r="A34" s="6" t="inlineStr">
        <is>
          <t>Estado de conservación</t>
        </is>
      </c>
      <c r="B34" s="7" t="inlineStr">
        <is>
          <t>Medianamente alterado</t>
        </is>
      </c>
      <c r="C34" s="6" t="inlineStr">
        <is>
          <t>Uso actual dominante del suelo</t>
        </is>
      </c>
      <c r="D34" s="7" t="inlineStr">
        <is>
          <t>Pastoreo extensivo</t>
        </is>
      </c>
      <c r="E34" s="8" t="n"/>
      <c r="F34" s="8" t="n"/>
    </row>
    <row r="35">
      <c r="A35" s="6" t="inlineStr">
        <is>
          <t>Tipo de cobertura dominante</t>
        </is>
      </c>
      <c r="B35" s="7" t="inlineStr">
        <is>
          <t>Bosque ralo (30-70%)</t>
        </is>
      </c>
      <c r="C35" s="6" t="inlineStr">
        <is>
          <t>Cobertura vegetal total — campo (%)</t>
        </is>
      </c>
      <c r="D35" s="7" t="n">
        <v>60</v>
      </c>
      <c r="E35" s="8" t="n"/>
      <c r="F35" s="8" t="n"/>
    </row>
    <row r="36">
      <c r="A36" s="6" t="inlineStr">
        <is>
          <t>Suelo desnudo — campo (%)</t>
        </is>
      </c>
      <c r="B36" s="7" t="n">
        <v>20</v>
      </c>
      <c r="C36" s="6" t="inlineStr">
        <is>
          <t>Regeneración natural</t>
        </is>
      </c>
      <c r="D36" s="7" t="inlineStr">
        <is>
          <t>Regular (10-50 pl./100m²)</t>
        </is>
      </c>
      <c r="E36" s="8" t="n"/>
      <c r="F36" s="8" t="n"/>
    </row>
    <row r="37">
      <c r="A37" s="6" t="inlineStr">
        <is>
          <t>Nivel general de erosión</t>
        </is>
      </c>
      <c r="B37" s="7" t="inlineStr">
        <is>
          <t>Moderada (surcos)</t>
        </is>
      </c>
      <c r="C37" s="6" t="inlineStr">
        <is>
          <t>N.° de cárcavas registradas</t>
        </is>
      </c>
      <c r="D37" s="7" t="n">
        <v>1</v>
      </c>
      <c r="E37" s="8" t="n"/>
      <c r="F37" s="8" t="n"/>
    </row>
    <row r="38">
      <c r="A38" s="6" t="inlineStr">
        <is>
          <t>Elenco florístico (n.° de taxones)</t>
        </is>
      </c>
      <c r="B38" s="7" t="n">
        <v>13</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Brigada — Ing. Héctor Salomón Cahuas Miller / Ing. Juan Carlos Domínguez Varas</t>
        </is>
      </c>
      <c r="C41" s="6" t="inlineStr">
        <is>
          <t>Fecha de evaluación</t>
        </is>
      </c>
      <c r="D41" s="7" t="inlineStr">
        <is>
          <t>2026-05-22</t>
        </is>
      </c>
      <c r="E41" s="8" t="n"/>
      <c r="F41" s="8" t="n"/>
    </row>
    <row r="42">
      <c r="A42" s="6" t="inlineStr">
        <is>
          <t>Hora de registro</t>
        </is>
      </c>
      <c r="B42" s="7" t="inlineStr">
        <is>
          <t>07:07 h</t>
        </is>
      </c>
      <c r="C42" s="6" t="inlineStr">
        <is>
          <t>Correlativo de ficha</t>
        </is>
      </c>
      <c r="D42" s="7" t="inlineStr">
        <is>
          <t>DT-M1B1-001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P-01</t>
        </is>
      </c>
      <c r="E44" s="8" t="n"/>
      <c r="F44" s="8" t="n"/>
    </row>
    <row r="45">
      <c r="A45" s="6" t="inlineStr">
        <is>
          <t>Estaciones fotográficas georreferenciadas</t>
        </is>
      </c>
      <c r="B45" s="7" t="n">
        <v>0</v>
      </c>
      <c r="C45" s="6" t="inlineStr">
        <is>
          <t>Modalidad de acceso</t>
        </is>
      </c>
      <c r="D45" s="7" t="inlineStr">
        <is>
          <t>Vehicular + caminata 30-90 min</t>
        </is>
      </c>
      <c r="E45" s="8" t="n"/>
      <c r="F45" s="8" t="n"/>
    </row>
    <row r="47" ht="18" customHeight="1">
      <c r="A47" s="5" t="inlineStr">
        <is>
          <t>6. SÍNTESIS PARA LA GESTIÓN DEL RIESGO EN CONTEXTO DE CAMBIO CLIMÁTICO</t>
        </is>
      </c>
    </row>
    <row r="48">
      <c r="A48" s="6" t="inlineStr">
        <is>
          <t>Causa subyacente principal</t>
        </is>
      </c>
      <c r="B48" s="7" t="inlineStr">
        <is>
          <t>Dependencia económica de la población rural respecto de los recursos del bosque seco (leña, pastoreo) sumada a la presión climática</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M1B1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0.319305</v>
      </c>
      <c r="C15" s="17" t="inlineStr">
        <is>
          <t>—</t>
        </is>
      </c>
      <c r="D15" s="17" t="inlineStr">
        <is>
          <t>Vigor muy bajo · clase 0.2650 - 0.3813</t>
        </is>
      </c>
      <c r="E15" s="17" t="inlineStr">
        <is>
          <t>BAJO umbral 0.4976</t>
        </is>
      </c>
    </row>
    <row r="17" ht="72" customHeight="1">
      <c r="A17" s="9" t="inlineStr">
        <is>
          <t>NOTA METODOLÓGICA. La media del MSAVI 2024 del bloque (0.319305)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1.3213</v>
      </c>
      <c r="C21" s="19" t="n">
        <v>0.7</v>
      </c>
      <c r="D21" s="11" t="inlineStr">
        <is>
          <t>Dosel continuo, matorral denso o mosaico agroforestal</t>
        </is>
      </c>
      <c r="E21" s="11" t="inlineStr"/>
    </row>
    <row r="22">
      <c r="A22" s="12" t="inlineStr">
        <is>
          <t>Vegetación mediana</t>
        </is>
      </c>
      <c r="B22" s="20" t="n">
        <v>77.7757</v>
      </c>
      <c r="C22" s="21" t="n">
        <v>41.18</v>
      </c>
      <c r="D22" s="13" t="inlineStr">
        <is>
          <t>Pastizal cultivado, matorral ralo, parcelas agrícolas</t>
        </is>
      </c>
      <c r="E22" s="13" t="inlineStr"/>
    </row>
    <row r="23">
      <c r="A23" s="7" t="inlineStr">
        <is>
          <t>Vegetación ligera</t>
        </is>
      </c>
      <c r="B23" s="18" t="n">
        <v>107.9118</v>
      </c>
      <c r="C23" s="19" t="n">
        <v>57.13</v>
      </c>
      <c r="D23" s="11" t="inlineStr">
        <is>
          <t>Cobertura discontinua, suelo parcialmente expuesto</t>
        </is>
      </c>
      <c r="E23" s="11" t="inlineStr"/>
    </row>
    <row r="24">
      <c r="A24" s="12" t="inlineStr">
        <is>
          <t>Tierra desnuda</t>
        </is>
      </c>
      <c r="B24" s="20" t="n">
        <v>1.8743</v>
      </c>
      <c r="C24" s="21" t="n">
        <v>0.99</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188.8</v>
      </c>
      <c r="C26" s="25" t="inlineStr">
        <is>
          <t>—</t>
        </is>
      </c>
      <c r="D26" s="25" t="inlineStr">
        <is>
          <t>Desviación planimétrica frente al catálogo</t>
        </is>
      </c>
      <c r="E26" s="25" t="inlineStr">
        <is>
          <t>+0.04 %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60 % frente a un 0.70 % del polígono clasificado como «Vegetación alta» por el NDVI 2025; la observación de campo corresponde a una parcela o recorrido puntual y no es estadísticamente representativa de las 188.800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M1B1</t>
        </is>
      </c>
    </row>
    <row r="6" ht="24" customHeight="1">
      <c r="A6" s="4" t="inlineStr">
        <is>
          <t>Levantamiento del 2026-05-22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618460</v>
      </c>
      <c r="D10" s="26" t="n">
        <v>9410690</v>
      </c>
      <c r="E10" s="11" t="n">
        <v>1732.1</v>
      </c>
      <c r="F10" s="11" t="inlineStr"/>
      <c r="G10" s="11" t="inlineStr">
        <is>
          <t>Coordenada consignada en F-DT-01</t>
        </is>
      </c>
    </row>
    <row r="11">
      <c r="A11" s="12" t="inlineStr">
        <is>
          <t>C-01</t>
        </is>
      </c>
      <c r="B11" s="13" t="inlineStr">
        <is>
          <t>Rasgo erosivo — Cárcava somera (0.5-2 m) — 380 m long., 1.0 m prof., 1.5 m ancho</t>
        </is>
      </c>
      <c r="C11" s="27" t="n">
        <v>618300</v>
      </c>
      <c r="D11" s="27" t="n">
        <v>9410540</v>
      </c>
      <c r="E11" s="13" t="n">
        <v>1528.8</v>
      </c>
      <c r="F11" s="13" t="inlineStr">
        <is>
          <t>Semi-activa</t>
        </is>
      </c>
      <c r="G11" s="13" t="inlineStr">
        <is>
          <t>Concentración natural de escorrentía</t>
        </is>
      </c>
    </row>
    <row r="12">
      <c r="A12" s="7" t="inlineStr">
        <is>
          <t>H-01</t>
        </is>
      </c>
      <c r="B12" s="11" t="inlineStr">
        <is>
          <t>Fuente de agua — Quebrada estacional</t>
        </is>
      </c>
      <c r="C12" s="26" t="n">
        <v>618620</v>
      </c>
      <c r="D12" s="26" t="n">
        <v>9410820</v>
      </c>
      <c r="E12" s="11" t="n">
        <v>1921.3</v>
      </c>
      <c r="F12" s="11" t="inlineStr">
        <is>
          <t>Estacional</t>
        </is>
      </c>
      <c r="G12" s="11" t="inlineStr">
        <is>
          <t>Quebrada de Río Seco</t>
        </is>
      </c>
    </row>
    <row r="13">
      <c r="A13" s="12" t="inlineStr">
        <is>
          <t>H-02</t>
        </is>
      </c>
      <c r="B13" s="13" t="inlineStr">
        <is>
          <t>Fuente de agua — Río</t>
        </is>
      </c>
      <c r="C13" s="27" t="n">
        <v>619050</v>
      </c>
      <c r="D13" s="27" t="n">
        <v>9411000</v>
      </c>
      <c r="E13" s="13" t="n">
        <v>2304.5</v>
      </c>
      <c r="F13" s="13" t="inlineStr">
        <is>
          <t>Permanente</t>
        </is>
      </c>
      <c r="G13" s="13" t="inlineStr">
        <is>
          <t>Cauce de Río Seco al norte</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617695</v>
      </c>
      <c r="C16" s="6" t="inlineStr">
        <is>
          <t>Centroide del bloque — UTM NORTE (m)</t>
        </is>
      </c>
      <c r="D16" s="7" t="n">
        <v>9409136</v>
      </c>
      <c r="E16" s="8" t="n"/>
      <c r="F16" s="8" t="n"/>
      <c r="G16" s="8" t="n"/>
      <c r="H16" s="8" t="n"/>
    </row>
    <row r="17">
      <c r="A17" s="6" t="inlineStr">
        <is>
          <t>N.° de estaciones fotográficas declaradas</t>
        </is>
      </c>
      <c r="B17" s="7" t="n">
        <v>0</v>
      </c>
      <c r="C17" s="6" t="inlineStr">
        <is>
          <t>Estaciones dentro del polígono</t>
        </is>
      </c>
      <c r="D17" s="7" t="n">
        <v>0</v>
      </c>
      <c r="E17" s="8" t="n"/>
      <c r="F17" s="8" t="n"/>
      <c r="G17" s="8" t="n"/>
      <c r="H17" s="8" t="n"/>
    </row>
    <row r="19" ht="156"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ingreso se realizó el 22-05-2026 desde la carretera Morropón-Buenos Aires, con punto de partida al pie del bloque (CP Río Seco), donde SE CONSTATÓ UN MURO DE CONTENCIÓN Y DESVÍO DE CAUCE de quebrada estacional que protege al CP de las avenidas en temporada de lluvias. El recorrido cubrió el sector basal y medio del flanco NE (cotas ≈235 a ≈360 msnm); EL SECTOR ALTO Y ROCOSO (refugio relictual de especies del ecosistema) NO FUE RECORRIDO por pendiente y tiempo. Si bien no se observaron remociones en masa activas ni escarpes extensos, LOS AFLORAMIENTOS ROCOSOS EN PENDIENTES FUERTES CONFIGURAN SUSCEPTIBILIDAD A CAÍDA DE ROCAS; el peligro dominante del bloque es LA GENERACIÓN DE ESCORRENTÍA CONCENTRADA hacia la Quebrada de Río Seco (zona de origen de inundaciones aguas abajo).</t>
        </is>
      </c>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C1077-Q9580 — BLOQUE M1B1</t>
        </is>
      </c>
    </row>
    <row r="6" ht="24" customHeight="1">
      <c r="A6" s="4" t="inlineStr">
        <is>
          <t>Distrito de Buenos Aires · Provincia de Morropon · Comparación de los bloques preliminares de intervención de la misma microcuenca</t>
        </is>
      </c>
    </row>
    <row r="8" ht="18" customHeight="1">
      <c r="A8" s="5" t="inlineStr">
        <is>
          <t>BLOQUES DE LA MICROCUENCA C1077-Q9580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4" t="inlineStr">
        <is>
          <t>► M1B1</t>
        </is>
      </c>
      <c r="B10" s="28" t="n">
        <v>188.8</v>
      </c>
      <c r="C10" s="29" t="n">
        <v>100</v>
      </c>
      <c r="D10" s="15" t="inlineStr">
        <is>
          <t>173 – 477</t>
        </is>
      </c>
      <c r="E10" s="15" t="n">
        <v>304</v>
      </c>
      <c r="F10" s="15" t="n">
        <v>18.7</v>
      </c>
      <c r="G10" s="30" t="n">
        <v>0.3193</v>
      </c>
      <c r="H10" s="29" t="n">
        <v>0.7</v>
      </c>
    </row>
    <row r="11">
      <c r="A11" s="16" t="inlineStr">
        <is>
          <t>TOTAL / PROMEDIO</t>
        </is>
      </c>
      <c r="B11" s="31">
        <f>SUM(B10:B10)</f>
        <v/>
      </c>
      <c r="C11" s="23">
        <f>SUM(C10:C10)</f>
        <v/>
      </c>
      <c r="D11" s="17" t="inlineStr">
        <is>
          <t>173 – 477</t>
        </is>
      </c>
      <c r="E11" s="17" t="inlineStr"/>
      <c r="F11" s="17">
        <f>ROUND(AVERAGE(F10:F10),2)</f>
        <v/>
      </c>
      <c r="G11" s="22">
        <f>ROUND(AVERAGE(G10:G10),4)</f>
        <v/>
      </c>
      <c r="H11" s="23">
        <f>ROUND(AVERAGE(H10:H10),2)</f>
        <v/>
      </c>
    </row>
    <row r="13" ht="84" customHeight="1">
      <c r="A13" s="9" t="inlineStr">
        <is>
          <t>LECTURA INTRAMICROCUENCA. El bloque M1B1 ocupa el puesto 1 de 1 por superficie dentro de la microcuenca C1077-Q9580 (100.00 % de las 188.80 ha preliminares de la microcuenca). Su pendiente promedio (18.70 %, clase «15-25% (Fuert. inclinado)») es la 1.ª más baja de 1 y se sitúa por encima del promedio de la microcuenca (18.70 %). Su MSAVI 2024 (0.3193) es el 1.º de 1 y queda por debajo del promedio local (0.3193). Amplitud altitudinal del bloque: 304 m (173–477 msnm). El cuadro conserva todos los bloques catalogados en la microcuenca, incluidos los descartados en el tamizaje, para referencia del conjunto. Los bloques sin ficha DT figuran con sus parámetros de gabinete.</t>
        </is>
      </c>
    </row>
    <row r="15" ht="60" customHeight="1">
      <c r="A15"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15:H15"/>
    <mergeCell ref="A2:H2"/>
    <mergeCell ref="A13:H13"/>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M1B1</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2" t="inlineStr">
        <is>
          <t>D-01</t>
        </is>
      </c>
      <c r="B10" s="32" t="inlineStr">
        <is>
          <t>Código de microcuenca</t>
        </is>
      </c>
      <c r="C10" s="32" t="inlineStr">
        <is>
          <t>Ficha DT y catálogo maestro coinciden en «C1077-Q9580»</t>
        </is>
      </c>
      <c r="D10" s="33" t="inlineStr">
        <is>
          <t>CONFORME</t>
        </is>
      </c>
      <c r="E10" s="32" t="inlineStr">
        <is>
          <t>Sin acción.</t>
        </is>
      </c>
    </row>
    <row r="11" ht="48" customHeight="1">
      <c r="A11" s="34" t="inlineStr">
        <is>
          <t>D-02</t>
        </is>
      </c>
      <c r="B11" s="34" t="inlineStr">
        <is>
          <t>UTM del punto de muestreo</t>
        </is>
      </c>
      <c r="C11" s="34" t="inlineStr">
        <is>
          <t>El punto de muestreo declarado (618460 E / 9410690 N) dista 1,732 m del centroide de catálogo (617695 E / 9409136 N), distancia incompatible con la superficie del bloque (188.8 ha)</t>
        </is>
      </c>
      <c r="D11" s="35" t="inlineStr">
        <is>
          <t>SUSTANTIVA</t>
        </is>
      </c>
      <c r="E11" s="34" t="inlineStr">
        <is>
          <t>Se declara la coordenada como POR VERIFICAR: puede corresponder a otro bloque o a un error de digitación. No se corrige de oficio.</t>
        </is>
      </c>
    </row>
    <row r="12" ht="48" customHeight="1">
      <c r="A12" s="32" t="inlineStr">
        <is>
          <t>D-03</t>
        </is>
      </c>
      <c r="B12" s="32" t="inlineStr">
        <is>
          <t>Superficie del polígono</t>
        </is>
      </c>
      <c r="C12" s="32" t="inlineStr">
        <is>
          <t>La superficie clasificada por el NDVI 2025 (188.883 ha) coincide con la de catálogo (188.8 ha) dentro del ±2 % (+0.04 %)</t>
        </is>
      </c>
      <c r="D12" s="33" t="inlineStr">
        <is>
          <t>CONFORME</t>
        </is>
      </c>
      <c r="E12" s="32" t="inlineStr">
        <is>
          <t>Sin acción: la segmentación valida la geometría del bloque.</t>
        </is>
      </c>
    </row>
    <row r="13" ht="48" customHeight="1">
      <c r="A13" s="34" t="inlineStr">
        <is>
          <t>D-04</t>
        </is>
      </c>
      <c r="B13" s="34" t="inlineStr">
        <is>
          <t>Rango de pendiente dominante</t>
        </is>
      </c>
      <c r="C13" s="34" t="inlineStr">
        <is>
          <t>La ficha DT declara «25-50% (Mod. escarpado)»; la estadística zonal sobre el MDE arroja una pendiente promedio de 18.70 %, que corresponde a la clase «15-25% (Fuert. inclinado)»</t>
        </is>
      </c>
      <c r="D13" s="15" t="inlineStr">
        <is>
          <t>NO SUSTANTIVA</t>
        </is>
      </c>
      <c r="E13" s="34"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2" t="inlineStr">
        <is>
          <t>D-05</t>
        </is>
      </c>
      <c r="B14" s="32" t="inlineStr">
        <is>
          <t>Cobertura vegetal total</t>
        </is>
      </c>
      <c r="C14" s="32" t="inlineStr">
        <is>
          <t>La ficha DT estima 60 % de cobertura vegetal en campo; el NDVI mediana 2025 clasifica 99.01 % del polígono en clases de vegetación</t>
        </is>
      </c>
      <c r="D14" s="15" t="inlineStr">
        <is>
          <t>NO SUSTANTIVA</t>
        </is>
      </c>
      <c r="E14" s="32"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4" t="inlineStr">
        <is>
          <t>D-06</t>
        </is>
      </c>
      <c r="B15" s="34" t="inlineStr">
        <is>
          <t>Elenco florístico</t>
        </is>
      </c>
      <c r="C15" s="34" t="inlineStr">
        <is>
          <t>La ficha registra 13 taxones, por debajo del mínimo de 15 que exige el formato V5</t>
        </is>
      </c>
      <c r="D15" s="35" t="inlineStr">
        <is>
          <t>SUSTANTIVA</t>
        </is>
      </c>
      <c r="E15" s="34" t="inlineStr">
        <is>
          <t>Registro florístico preliminar, sin colecta ni determinación botánica formal. Debe cerrarse con colecta botánica en la siguiente campaña.</t>
        </is>
      </c>
    </row>
    <row r="16" ht="48" customHeight="1">
      <c r="A16" s="32" t="inlineStr">
        <is>
          <t>D-07</t>
        </is>
      </c>
      <c r="B16" s="32" t="inlineStr">
        <is>
          <t>Representatividad del levantamiento</t>
        </is>
      </c>
      <c r="C16" s="32" t="inlineStr">
        <is>
          <t>Ninguna de las estaciones fotográficas georreferenciadas se localiza dentro del polígono del bloque</t>
        </is>
      </c>
      <c r="D16" s="35" t="inlineStr">
        <is>
          <t>SUSTANTIVA</t>
        </is>
      </c>
      <c r="E16" s="32" t="inlineStr">
        <is>
          <t>La verificación documenta el perímetro y la vista panorámica del bloque, no su interior. Los parámetros que exigen recorrido interno se consignan «Por determinar».</t>
        </is>
      </c>
    </row>
    <row r="17" ht="48" customHeight="1">
      <c r="A17" s="34" t="inlineStr">
        <is>
          <t>D-08</t>
        </is>
      </c>
      <c r="B17" s="34" t="inlineStr">
        <is>
          <t>Centro poblado asociado</t>
        </is>
      </c>
      <c r="C17" s="34" t="inlineStr">
        <is>
          <t>La ficha DT declara «Río Seco»; el cruce INEI-Bloques V5 identifica 1 centro(s) poblado(s) en el bloque: RIO SECO</t>
        </is>
      </c>
      <c r="D17" s="15" t="inlineStr">
        <is>
          <t>NO SUSTANTIVA</t>
        </is>
      </c>
      <c r="E17" s="34" t="inlineStr">
        <is>
          <t>Se conserva el registro de campo como referencia y se adopta el listado INEI para el diagnóstico social y el cálculo de población beneficiaria.</t>
        </is>
      </c>
    </row>
    <row r="18" ht="48" customHeight="1">
      <c r="A18" s="32" t="inlineStr">
        <is>
          <t>D-09</t>
        </is>
      </c>
      <c r="B18" s="32" t="inlineStr">
        <is>
          <t>Peligro integrado (MCA-AHP)</t>
        </is>
      </c>
      <c r="C18" s="32" t="inlineStr">
        <is>
          <t>El nivel de peligro integrado no está disponible en los insumos de este entregable</t>
        </is>
      </c>
      <c r="D18" s="35" t="inlineStr">
        <is>
          <t>SUSTANTIVA</t>
        </is>
      </c>
      <c r="E18" s="32" t="inlineStr">
        <is>
          <t>Debe tomarse del modelamiento de mesolocalización (PMM + EPH + PGI ponderados por AHP) antes de fijar la prioridad definitiva de intervención del bloque.</t>
        </is>
      </c>
    </row>
    <row r="19" ht="48" customHeight="1">
      <c r="A19" s="34" t="inlineStr">
        <is>
          <t>D-10</t>
        </is>
      </c>
      <c r="B19" s="34" t="inlineStr">
        <is>
          <t>Plan de Ingreso</t>
        </is>
      </c>
      <c r="C19" s="34" t="inlineStr">
        <is>
          <t>Altitud = 0 msnm (captura por defecto del aplicativo)</t>
        </is>
      </c>
      <c r="D19" s="36" t="inlineStr">
        <is>
          <t>CORREGIDO</t>
        </is>
      </c>
      <c r="E19" s="34" t="inlineStr">
        <is>
          <t>Se reemplaza por la altitud GPS de campo (340 msnm)</t>
        </is>
      </c>
    </row>
    <row r="20" ht="48" customHeight="1">
      <c r="A20" s="32" t="inlineStr">
        <is>
          <t>D-11</t>
        </is>
      </c>
      <c r="B20" s="32" t="inlineStr">
        <is>
          <t>F-DT-01</t>
        </is>
      </c>
      <c r="C20" s="32" t="inlineStr">
        <is>
          <t>El sector alto y rocoso del bloque —refugio relictual de las especies del ecosistema— NO fue recorrido</t>
        </is>
      </c>
      <c r="D20" s="35" t="inlineStr">
        <is>
          <t>SUSTANTIVA</t>
        </is>
      </c>
      <c r="E20" s="32" t="inlineStr">
        <is>
          <t>La caracterización del sector alto queda pendiente</t>
        </is>
      </c>
    </row>
    <row r="21" ht="48" customHeight="1">
      <c r="A21" s="34" t="inlineStr">
        <is>
          <t>D-12</t>
        </is>
      </c>
      <c r="B21" s="34" t="inlineStr">
        <is>
          <t>F-DT-03</t>
        </is>
      </c>
      <c r="C21" s="34" t="inlineStr">
        <is>
          <t>Listado florístico preliminar; nombres científicos sujetos a colecta botánica</t>
        </is>
      </c>
      <c r="D21" s="15" t="inlineStr">
        <is>
          <t>NO SUSTANTIVA</t>
        </is>
      </c>
      <c r="E21" s="34" t="inlineStr">
        <is>
          <t>Determinación formal pendiente</t>
        </is>
      </c>
    </row>
    <row r="22" ht="48" customHeight="1">
      <c r="A22" s="32" t="inlineStr">
        <is>
          <t>D-13</t>
        </is>
      </c>
      <c r="B22" s="32" t="inlineStr">
        <is>
          <t>F-DT-03</t>
        </is>
      </c>
      <c r="C22" s="32" t="inlineStr">
        <is>
          <t>Tres especies en Peligro Crítico (D.S. 043-2006-AG) georreferenciadas dentro del bloque</t>
        </is>
      </c>
      <c r="D22" s="35" t="inlineStr">
        <is>
          <t>SUSTANTIVA</t>
        </is>
      </c>
      <c r="E22" s="32" t="inlineStr">
        <is>
          <t>Alto valor de conservación: incorporar al diseño de MRR-CCC y al plan de manejo</t>
        </is>
      </c>
    </row>
    <row r="23" ht="48" customHeight="1">
      <c r="A23" s="34" t="inlineStr">
        <is>
          <t>D-14</t>
        </is>
      </c>
      <c r="B23" s="34" t="inlineStr">
        <is>
          <t>F-DT-04</t>
        </is>
      </c>
      <c r="C23" s="34" t="inlineStr">
        <is>
          <t>Especies invasoras al 30% del área (Ipomoea carnea, no palatable): nivel ALTO</t>
        </is>
      </c>
      <c r="D23" s="35" t="inlineStr">
        <is>
          <t>SUSTANTIVA</t>
        </is>
      </c>
      <c r="E23" s="34" t="inlineStr">
        <is>
          <t>Requiere medida específica de control en el diseño de la revegetación</t>
        </is>
      </c>
    </row>
    <row r="25">
      <c r="A25" s="16" t="inlineStr">
        <is>
          <t>RESUMEN</t>
        </is>
      </c>
      <c r="B25" s="17" t="inlineStr">
        <is>
          <t>14 verificaciones</t>
        </is>
      </c>
      <c r="C25" s="17" t="inlineStr">
        <is>
          <t>CONFORME: 2 · CORREGIDO: 1 · NO SUSTANTIVA: 4 · SUSTANTIVA: 7</t>
        </is>
      </c>
      <c r="D25" s="17" t="inlineStr"/>
      <c r="E25" s="17" t="inlineStr"/>
    </row>
    <row r="27" ht="60" customHeight="1">
      <c r="A27"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E1"/>
    <mergeCell ref="A5:E5"/>
    <mergeCell ref="A8:E8"/>
    <mergeCell ref="A6:E6"/>
    <mergeCell ref="A27:E27"/>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M1B1 — IN Piura</dc:title>
  <dc:subject>Diagnóstico Territorial por bloque de intervención</dc:subject>
  <dcterms:created xsi:type="dcterms:W3CDTF">2026-09-08T03:39:58Z</dcterms:created>
  <dcterms:modified xsi:type="dcterms:W3CDTF">2026-09-08T03:39:58Z</dcterms:modified>
</cp:coreProperties>
</file>