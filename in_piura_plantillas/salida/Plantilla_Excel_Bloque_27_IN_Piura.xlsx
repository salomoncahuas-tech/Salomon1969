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Nueva Esperanza de Misquis (83 hab.) · Linderos de Misquis (28 hab.)</t>
        </is>
      </c>
      <c r="C13" s="6" t="inlineStr">
        <is>
          <t>Comunidad campesina</t>
        </is>
      </c>
      <c r="D13" s="7" t="inlineStr">
        <is>
          <t>Por determinar</t>
        </is>
      </c>
      <c r="E13" s="8" t="n"/>
      <c r="F13" s="8" t="n"/>
    </row>
    <row r="14">
      <c r="A14" s="6" t="inlineStr">
        <is>
          <t>Superficie de catálogo (V5/V6), ha</t>
        </is>
      </c>
      <c r="B14" s="7" t="n">
        <v>78.15000000000001</v>
      </c>
      <c r="C14" s="6" t="inlineStr">
        <is>
          <t>Fuente de superficie</t>
        </is>
      </c>
      <c r="D14" s="7" t="inlineStr">
        <is>
          <t>Catálogo maestro Bloques V5/V6</t>
        </is>
      </c>
      <c r="E14" s="8" t="n"/>
      <c r="F14" s="8" t="n"/>
    </row>
    <row r="15">
      <c r="A15" s="6" t="inlineStr">
        <is>
          <t>Centroide UTM ESTE (m)</t>
        </is>
      </c>
      <c r="B15" s="7" t="n">
        <v>613302</v>
      </c>
      <c r="C15" s="6" t="inlineStr">
        <is>
          <t>Centroide UTM NORTE (m)</t>
        </is>
      </c>
      <c r="D15" s="7" t="n">
        <v>9450231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1518</v>
      </c>
      <c r="C19" s="6" t="inlineStr">
        <is>
          <t>Altitud máxima (msnm)</t>
        </is>
      </c>
      <c r="D19" s="7" t="n">
        <v>1895</v>
      </c>
      <c r="E19" s="8" t="n"/>
      <c r="F19" s="8" t="n"/>
    </row>
    <row r="20">
      <c r="A20" s="6" t="inlineStr">
        <is>
          <t>Amplitud altitudinal (m)</t>
        </is>
      </c>
      <c r="B20" s="7" t="n">
        <v>377</v>
      </c>
      <c r="C20" s="6" t="inlineStr">
        <is>
          <t>Piso altitudinal dominante</t>
        </is>
      </c>
      <c r="D20" s="7" t="inlineStr">
        <is>
          <t>1500-2000 m (Quechua media)</t>
        </is>
      </c>
      <c r="E20" s="8" t="n"/>
      <c r="F20" s="8" t="n"/>
    </row>
    <row r="21">
      <c r="A21" s="6" t="inlineStr">
        <is>
          <t>Pendiente promedio (%)</t>
        </is>
      </c>
      <c r="B21" s="7" t="n">
        <v>30.25</v>
      </c>
      <c r="C21" s="6" t="inlineStr">
        <is>
          <t>Pendiente promedio (grados)</t>
        </is>
      </c>
      <c r="D21" s="7" t="n">
        <v>16.8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0.5323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(64.75 %)</t>
        </is>
      </c>
      <c r="E29" s="8" t="n"/>
      <c r="F29" s="8" t="n"/>
    </row>
    <row r="30">
      <c r="A30" s="6" t="inlineStr">
        <is>
          <t>Superficie clasificada NDVI 2025 (ha)</t>
        </is>
      </c>
      <c r="B30" s="7" t="n">
        <v>78.19199999999999</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78.15 ha (MINAM: Zona agrícola 100%)</t>
        </is>
      </c>
      <c r="E33" s="8" t="n"/>
      <c r="F33" s="8" t="n"/>
    </row>
    <row r="34">
      <c r="A34" s="6" t="inlineStr">
        <is>
          <t>Estado de conservación</t>
        </is>
      </c>
      <c r="B34" s="7" t="inlineStr">
        <is>
          <t>Muy alterado / Degradado</t>
        </is>
      </c>
      <c r="C34" s="6" t="inlineStr">
        <is>
          <t>Uso actual dominante del suelo</t>
        </is>
      </c>
      <c r="D34" s="7" t="inlineStr">
        <is>
          <t>Agricultura secano</t>
        </is>
      </c>
      <c r="E34" s="8" t="n"/>
      <c r="F34" s="8" t="n"/>
    </row>
    <row r="35">
      <c r="A35" s="6" t="inlineStr">
        <is>
          <t>Tipo de cobertura dominante</t>
        </is>
      </c>
      <c r="B35" s="7" t="inlineStr">
        <is>
          <t>Mixto / Mosaico</t>
        </is>
      </c>
      <c r="C35" s="6" t="inlineStr">
        <is>
          <t>Cobertura vegetal total — campo (%)</t>
        </is>
      </c>
      <c r="D35" s="7" t="n">
        <v>70</v>
      </c>
      <c r="E35" s="8" t="n"/>
      <c r="F35" s="8" t="n"/>
    </row>
    <row r="36">
      <c r="A36" s="6" t="inlineStr">
        <is>
          <t>Suelo desnudo — campo (%)</t>
        </is>
      </c>
      <c r="B36" s="7" t="n">
        <v>30</v>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n">
        <v>2</v>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ANIN/DIME-SESDI</t>
        </is>
      </c>
      <c r="C41" s="6" t="inlineStr">
        <is>
          <t>Fecha de evaluación</t>
        </is>
      </c>
      <c r="D41" s="7" t="inlineStr">
        <is>
          <t>2026-07-15</t>
        </is>
      </c>
      <c r="E41" s="8" t="n"/>
      <c r="F41" s="8" t="n"/>
    </row>
    <row r="42">
      <c r="A42" s="6" t="inlineStr">
        <is>
          <t>Hora de registro</t>
        </is>
      </c>
      <c r="B42" s="7" t="inlineStr">
        <is>
          <t>12:11 - 13:05 h</t>
        </is>
      </c>
      <c r="C42" s="6" t="inlineStr">
        <is>
          <t>Correlativo de ficha</t>
        </is>
      </c>
      <c r="D42" s="7" t="inlineStr">
        <is>
          <t>F-DT-01/B27/2026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reconocimiento (sin parcela permanente)</t>
        </is>
      </c>
      <c r="E44" s="8" t="n"/>
      <c r="F44" s="8" t="n"/>
    </row>
    <row r="45">
      <c r="A45" s="6" t="inlineStr">
        <is>
          <t>Estaciones fotográficas georreferenciadas</t>
        </is>
      </c>
      <c r="B45" s="7" t="n">
        <v>11</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por subsistencia agrícola sobre laderas de fuerte pendiente en ausencia de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Por determinar</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0.53228</v>
      </c>
      <c r="C15" s="17" t="inlineStr">
        <is>
          <t>—</t>
        </is>
      </c>
      <c r="D15" s="17" t="inlineStr">
        <is>
          <t>Vigor moderado · clase 0.4976 - 0.6139</t>
        </is>
      </c>
      <c r="E15" s="17" t="inlineStr">
        <is>
          <t>Sobre umbral</t>
        </is>
      </c>
    </row>
    <row r="17" ht="72" customHeight="1">
      <c r="A17" s="9" t="inlineStr">
        <is>
          <t>NOTA METODOLÓGICA. La media del MSAVI 2024 del bloque (0.532280)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50.633</v>
      </c>
      <c r="C21" s="19" t="n">
        <v>64.75</v>
      </c>
      <c r="D21" s="11" t="inlineStr">
        <is>
          <t>Dosel continuo, matorral denso o mosaico agroforestal</t>
        </is>
      </c>
      <c r="E21" s="11" t="inlineStr"/>
    </row>
    <row r="22">
      <c r="A22" s="14" t="inlineStr">
        <is>
          <t>Vegetación mediana</t>
        </is>
      </c>
      <c r="B22" s="20" t="n">
        <v>27.4158</v>
      </c>
      <c r="C22" s="21" t="n">
        <v>35.06</v>
      </c>
      <c r="D22" s="15" t="inlineStr">
        <is>
          <t>Pastizal cultivado, matorral ralo, parcelas agrícolas</t>
        </is>
      </c>
      <c r="E22" s="15" t="inlineStr"/>
    </row>
    <row r="23">
      <c r="A23" s="7" t="inlineStr">
        <is>
          <t>Vegetación ligera</t>
        </is>
      </c>
      <c r="B23" s="18" t="n">
        <v>0.1429</v>
      </c>
      <c r="C23" s="19" t="n">
        <v>0.18</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78.15000000000001</v>
      </c>
      <c r="C25" s="25" t="inlineStr">
        <is>
          <t>—</t>
        </is>
      </c>
      <c r="D25" s="25" t="inlineStr">
        <is>
          <t>Desviación planimétrica frente al catálogo</t>
        </is>
      </c>
      <c r="E25" s="25" t="inlineStr">
        <is>
          <t>+0.05 %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64.75 % del polígono clasificado como «Vegetación alta» por el NDVI 2025; la observación de campo corresponde a una parcela o recorrido puntual y no es estadísticamente representativa de las 78.150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27</t>
        </is>
      </c>
    </row>
    <row r="6" ht="24" customHeight="1">
      <c r="A6" s="4" t="inlineStr">
        <is>
          <t>Levantamiento del 2026-07-15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613107</v>
      </c>
      <c r="D10" s="26" t="n">
        <v>9449781</v>
      </c>
      <c r="E10" s="11" t="n">
        <v>490.4</v>
      </c>
      <c r="F10" s="11" t="inlineStr"/>
      <c r="G10" s="11" t="inlineStr">
        <is>
          <t>Coordenada consignada en F-DT-01</t>
        </is>
      </c>
    </row>
    <row r="11">
      <c r="A11" s="14" t="inlineStr">
        <is>
          <t>CAR-01</t>
        </is>
      </c>
      <c r="B11" s="15" t="inlineStr">
        <is>
          <t>Rasgo erosivo — Por determinar</t>
        </is>
      </c>
      <c r="C11" s="27" t="n">
        <v>613133</v>
      </c>
      <c r="D11" s="27" t="n">
        <v>9449805</v>
      </c>
      <c r="E11" s="15" t="n">
        <v>458.3</v>
      </c>
      <c r="F11" s="15" t="inlineStr">
        <is>
          <t>Semi-activa</t>
        </is>
      </c>
      <c r="G11" s="15" t="inlineStr">
        <is>
          <t>Cambio de uso del suelo</t>
        </is>
      </c>
    </row>
    <row r="12">
      <c r="A12" s="7" t="inlineStr">
        <is>
          <t>CAR-02</t>
        </is>
      </c>
      <c r="B12" s="11" t="inlineStr">
        <is>
          <t>Rasgo erosivo — Por determinar</t>
        </is>
      </c>
      <c r="C12" s="26" t="n">
        <v>612473</v>
      </c>
      <c r="D12" s="26" t="n">
        <v>9449785</v>
      </c>
      <c r="E12" s="11" t="n">
        <v>941.4</v>
      </c>
      <c r="F12" s="11" t="inlineStr">
        <is>
          <t>Activa</t>
        </is>
      </c>
      <c r="G12" s="11" t="inlineStr">
        <is>
          <t>Caminos / huellas de ganado</t>
        </is>
      </c>
    </row>
    <row r="13">
      <c r="A13" s="14" t="inlineStr">
        <is>
          <t>B-02</t>
        </is>
      </c>
      <c r="B13" s="15" t="inlineStr">
        <is>
          <t>Especie clave — Salix sp. (Sauce)</t>
        </is>
      </c>
      <c r="C13" s="27" t="n">
        <v>612845</v>
      </c>
      <c r="D13" s="27" t="n">
        <v>9449778</v>
      </c>
      <c r="E13" s="15" t="n">
        <v>643.5</v>
      </c>
      <c r="F13" s="15" t="inlineStr">
        <is>
          <t>Indicadora de buen estado</t>
        </is>
      </c>
      <c r="G13" s="15" t="inlineStr">
        <is>
          <t>No aplica</t>
        </is>
      </c>
    </row>
    <row r="14">
      <c r="A14" s="7" t="inlineStr">
        <is>
          <t>B-03</t>
        </is>
      </c>
      <c r="B14" s="11" t="inlineStr">
        <is>
          <t>Especie clave — Rumex crispus (Lengua de vaca)</t>
        </is>
      </c>
      <c r="C14" s="26" t="n">
        <v>613111</v>
      </c>
      <c r="D14" s="26" t="n">
        <v>9449787</v>
      </c>
      <c r="E14" s="11" t="n">
        <v>483.3</v>
      </c>
      <c r="F14" s="11" t="inlineStr">
        <is>
          <t>Indicadora de perturbación</t>
        </is>
      </c>
      <c r="G14" s="11" t="inlineStr">
        <is>
          <t>No aplica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613302</v>
      </c>
      <c r="C17" s="6" t="inlineStr">
        <is>
          <t>Centroide del bloque — UTM NORTE (m)</t>
        </is>
      </c>
      <c r="D17" s="7" t="n">
        <v>9450231</v>
      </c>
      <c r="E17" s="8" t="n"/>
      <c r="F17" s="8" t="n"/>
      <c r="G17" s="8" t="n"/>
      <c r="H17" s="8" t="n"/>
    </row>
    <row r="18">
      <c r="A18" s="6" t="inlineStr">
        <is>
          <t>N.° de estaciones fotográficas declaradas</t>
        </is>
      </c>
      <c r="B18" s="7" t="n">
        <v>11</v>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el rango altitudinal se sustenta en el perfil Google Earth del acceso (1519-1805 msnm; media 1628 m; pendiente media 26.9%, máxima 52.2% sobre 1.04 km). Recorrido de reconocimiento de ~700 m en sentido E-O, no cubre la totalidad del polígono (78.15 ha). Los escarpes registrados corresponden a taludes de corte de camino y a cabeceras de cárcava.</t>
        </is>
      </c>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27</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8" t="n">
        <v>258.84</v>
      </c>
      <c r="C10" s="19" t="n">
        <v>29.57</v>
      </c>
      <c r="D10" s="11" t="inlineStr">
        <is>
          <t>553 – 1517</t>
        </is>
      </c>
      <c r="E10" s="11" t="n">
        <v>964</v>
      </c>
      <c r="F10" s="11" t="n">
        <v>29.82</v>
      </c>
      <c r="G10" s="18" t="n">
        <v>0.5087</v>
      </c>
      <c r="H10" s="19" t="n">
        <v>58.63</v>
      </c>
    </row>
    <row r="11">
      <c r="A11" s="14" t="inlineStr">
        <is>
          <t>M17B4</t>
        </is>
      </c>
      <c r="B11" s="29" t="n">
        <v>124.71</v>
      </c>
      <c r="C11" s="21" t="n">
        <v>14.25</v>
      </c>
      <c r="D11" s="15" t="inlineStr">
        <is>
          <t>294 – 629</t>
        </is>
      </c>
      <c r="E11" s="15" t="n">
        <v>335</v>
      </c>
      <c r="F11" s="15" t="n">
        <v>18.69</v>
      </c>
      <c r="G11" s="20" t="n">
        <v>0.4235</v>
      </c>
      <c r="H11" s="21" t="n">
        <v>3.97</v>
      </c>
    </row>
    <row r="12">
      <c r="A12" s="7" t="inlineStr">
        <is>
          <t>M17B6</t>
        </is>
      </c>
      <c r="B12" s="28" t="n">
        <v>106.54</v>
      </c>
      <c r="C12" s="19" t="n">
        <v>12.17</v>
      </c>
      <c r="D12" s="11" t="inlineStr">
        <is>
          <t>403 – 1049</t>
        </is>
      </c>
      <c r="E12" s="11" t="n">
        <v>646</v>
      </c>
      <c r="F12" s="11" t="n">
        <v>23.42</v>
      </c>
      <c r="G12" s="18" t="n">
        <v>0.4464</v>
      </c>
      <c r="H12" s="19" t="n">
        <v>18.53</v>
      </c>
    </row>
    <row r="13">
      <c r="A13" s="14" t="inlineStr">
        <is>
          <t>22</t>
        </is>
      </c>
      <c r="B13" s="29" t="n">
        <v>79.33</v>
      </c>
      <c r="C13" s="21" t="n">
        <v>9.06</v>
      </c>
      <c r="D13" s="15" t="inlineStr">
        <is>
          <t>235 – 596</t>
        </is>
      </c>
      <c r="E13" s="15" t="n">
        <v>361</v>
      </c>
      <c r="F13" s="15" t="n">
        <v>22.51</v>
      </c>
      <c r="G13" s="20" t="n">
        <v>0.4232</v>
      </c>
      <c r="H13" s="21" t="n">
        <v>0.32</v>
      </c>
    </row>
    <row r="14">
      <c r="A14" s="12" t="inlineStr">
        <is>
          <t>► 27</t>
        </is>
      </c>
      <c r="B14" s="30" t="n">
        <v>78.15000000000001</v>
      </c>
      <c r="C14" s="31" t="n">
        <v>8.93</v>
      </c>
      <c r="D14" s="13" t="inlineStr">
        <is>
          <t>1518 – 1895</t>
        </is>
      </c>
      <c r="E14" s="13" t="n">
        <v>377</v>
      </c>
      <c r="F14" s="13" t="n">
        <v>30.25</v>
      </c>
      <c r="G14" s="32" t="n">
        <v>0.5323</v>
      </c>
      <c r="H14" s="31" t="n">
        <v>64.75</v>
      </c>
    </row>
    <row r="15">
      <c r="A15" s="14" t="inlineStr">
        <is>
          <t>M17B10</t>
        </is>
      </c>
      <c r="B15" s="29" t="n">
        <v>75.36</v>
      </c>
      <c r="C15" s="21" t="n">
        <v>8.609999999999999</v>
      </c>
      <c r="D15" s="15" t="inlineStr">
        <is>
          <t>466 – 902</t>
        </is>
      </c>
      <c r="E15" s="15" t="n">
        <v>436</v>
      </c>
      <c r="F15" s="15" t="n">
        <v>25.94</v>
      </c>
      <c r="G15" s="20" t="n">
        <v>0.4725</v>
      </c>
      <c r="H15" s="21" t="n">
        <v>29.2</v>
      </c>
    </row>
    <row r="16">
      <c r="A16" s="7" t="inlineStr">
        <is>
          <t>M17B5</t>
        </is>
      </c>
      <c r="B16" s="28" t="n">
        <v>74.03</v>
      </c>
      <c r="C16" s="19" t="n">
        <v>8.460000000000001</v>
      </c>
      <c r="D16" s="11" t="inlineStr">
        <is>
          <t>794 – 1317</t>
        </is>
      </c>
      <c r="E16" s="11" t="n">
        <v>523</v>
      </c>
      <c r="F16" s="11" t="n">
        <v>27.42</v>
      </c>
      <c r="G16" s="18" t="n">
        <v>0.5482</v>
      </c>
      <c r="H16" s="19" t="n">
        <v>61.34</v>
      </c>
    </row>
    <row r="17">
      <c r="A17" s="14" t="inlineStr">
        <is>
          <t>M17B1</t>
        </is>
      </c>
      <c r="B17" s="29" t="n">
        <v>42.45</v>
      </c>
      <c r="C17" s="21" t="n">
        <v>4.85</v>
      </c>
      <c r="D17" s="15" t="inlineStr">
        <is>
          <t>177 – 313</t>
        </is>
      </c>
      <c r="E17" s="15" t="n">
        <v>136</v>
      </c>
      <c r="F17" s="15" t="n">
        <v>14.73</v>
      </c>
      <c r="G17" s="20" t="n">
        <v>0.3323</v>
      </c>
      <c r="H17" s="21" t="n">
        <v>0</v>
      </c>
    </row>
    <row r="18">
      <c r="A18" s="7" t="inlineStr">
        <is>
          <t>32</t>
        </is>
      </c>
      <c r="B18" s="28"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row>
    <row r="22" ht="84" customHeight="1">
      <c r="A22" s="9" t="inlineStr">
        <is>
          <t>LECTURA INTRAMICROCUENCA. El bloque 27 ocupa el puesto 5 de 9 por superficie dentro de la microcuenca C1096-Q9556 (8.93 % de las 875.24 ha preliminares de la microcuenca). Su pendiente promedio (30.25 %, clase «25-50% (Mod. escarpado)») es la 9.ª más baja de 9 y se sitúa por encima del promedio de la microcuenca (22.85 %). Su MSAVI 2024 (0.5323) es el 2.º de 9 y queda por encima del promedio local (0.4510). Amplitud altitudinal del bloque: 377 m (1518–1895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490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(78.192 ha) coincide con la de catálogo (78.15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99.99 %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(1518–1895 msnm) y la pendiente promedio (30.25 %) se toman de la estadística zonal sobre el MDE, no de medición de campo. Se declara la fuente.</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12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«Nueva Esperanza de Misquis (83 hab.) · Linderos de Misquis (28 hab.)»; el cruce INEI-Bloques V5 identifica 2 centro(s) poblado(s) en el bloque: LINDEROS DE MISQUIS, NUEVA ESPERANZA DE MISQUIS</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4 · NO SUSTANTIVA: 3 · SUSTANTIVA: 2</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27 — IN Piura</dc:title>
  <dc:subject>Diagnóstico Territorial por bloque de intervención</dc:subject>
  <dcterms:created xsi:type="dcterms:W3CDTF">2026-09-08T03:39:56Z</dcterms:created>
  <dcterms:modified xsi:type="dcterms:W3CDTF">2026-09-08T03:39:56Z</dcterms:modified>
</cp:coreProperties>
</file>