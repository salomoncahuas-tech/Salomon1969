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12</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Chacayo (Santo Domingo)</t>
        </is>
      </c>
      <c r="C13" s="6" t="inlineStr">
        <is>
          <t>Comunidad campesina</t>
        </is>
      </c>
      <c r="D13" s="7" t="inlineStr">
        <is>
          <t>Por verificar</t>
        </is>
      </c>
      <c r="E13" s="8" t="n"/>
      <c r="F13" s="8" t="n"/>
    </row>
    <row r="14">
      <c r="A14" s="6" t="inlineStr">
        <is>
          <t>Superficie de catálogo (V5/V6), ha</t>
        </is>
      </c>
      <c r="B14" s="7" t="n">
        <v>119.54</v>
      </c>
      <c r="C14" s="6" t="inlineStr">
        <is>
          <t>Fuente de superficie</t>
        </is>
      </c>
      <c r="D14" s="7" t="inlineStr">
        <is>
          <t>Catálogo maestro Bloques V5/V6</t>
        </is>
      </c>
      <c r="E14" s="8" t="n"/>
      <c r="F14" s="8" t="n"/>
    </row>
    <row r="15">
      <c r="A15" s="6" t="inlineStr">
        <is>
          <t>Centroide UTM ESTE (m)</t>
        </is>
      </c>
      <c r="B15" s="7" t="n">
        <v>625419</v>
      </c>
      <c r="C15" s="6" t="inlineStr">
        <is>
          <t>Centroide UTM NORTE (m)</t>
        </is>
      </c>
      <c r="D15" s="7" t="n">
        <v>9444932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672</v>
      </c>
      <c r="C19" s="6" t="inlineStr">
        <is>
          <t>Altitud máxima (msnm)</t>
        </is>
      </c>
      <c r="D19" s="7" t="n">
        <v>2244</v>
      </c>
      <c r="E19" s="8" t="n"/>
      <c r="F19" s="8" t="n"/>
    </row>
    <row r="20">
      <c r="A20" s="6" t="inlineStr">
        <is>
          <t>Amplitud altitudinal (m)</t>
        </is>
      </c>
      <c r="B20" s="7" t="n">
        <v>1572</v>
      </c>
      <c r="C20" s="6" t="inlineStr">
        <is>
          <t>Piso altitudinal dominante</t>
        </is>
      </c>
      <c r="D20" s="7" t="inlineStr">
        <is>
          <t>1000-1500 m (Quechua baja)</t>
        </is>
      </c>
      <c r="E20" s="8" t="n"/>
      <c r="F20" s="8" t="n"/>
    </row>
    <row r="21">
      <c r="A21" s="6" t="inlineStr">
        <is>
          <t>Pendiente promedio (%)</t>
        </is>
      </c>
      <c r="B21" s="7" t="n">
        <v>27.41</v>
      </c>
      <c r="C21" s="6" t="inlineStr">
        <is>
          <t>Pendiente promedio (grados)</t>
        </is>
      </c>
      <c r="D21" s="7" t="n">
        <v>15.3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0.7067</v>
      </c>
      <c r="C28" s="6" t="inlineStr">
        <is>
          <t>MSAVI 2024 — clase de la media</t>
        </is>
      </c>
      <c r="D28" s="7" t="inlineStr">
        <is>
          <t>&gt; 0.6139 (Vigor alto)</t>
        </is>
      </c>
      <c r="E28" s="8" t="n"/>
      <c r="F28" s="8" t="n"/>
    </row>
    <row r="29">
      <c r="A29" s="6" t="inlineStr">
        <is>
          <t>Condición frente al umbral 0.4976</t>
        </is>
      </c>
      <c r="B29" s="7" t="inlineStr">
        <is>
          <t>Sobre umbral · distribución areal: 0.07 % del bloque BAJO el umbral (0.084 ha de 119.540 ha)</t>
        </is>
      </c>
      <c r="C29" s="6" t="inlineStr">
        <is>
          <t>NDVI mediana 2025 — clase modal</t>
        </is>
      </c>
      <c r="D29" s="7" t="inlineStr">
        <is>
          <t>Vegetación alta (99.93 %)</t>
        </is>
      </c>
      <c r="E29" s="8" t="n"/>
      <c r="F29" s="8" t="n"/>
    </row>
    <row r="30">
      <c r="A30" s="6" t="inlineStr">
        <is>
          <t>MSAVI 2024 — superficie BAJO el umbral 0.4976 (ha)</t>
        </is>
      </c>
      <c r="B30" s="7" t="n">
        <v>0.08400000000000001</v>
      </c>
      <c r="C30" s="6" t="inlineStr">
        <is>
          <t>MSAVI 2024 — % del bloque BAJO el umbral</t>
        </is>
      </c>
      <c r="D30" s="7" t="n">
        <v>0.07000000000000001</v>
      </c>
      <c r="E30" s="8" t="n"/>
      <c r="F30" s="8" t="n"/>
    </row>
    <row r="31">
      <c r="A31" s="6" t="inlineStr">
        <is>
          <t>MSAVI 2024 — clase areal dominante</t>
        </is>
      </c>
      <c r="B31" s="7" t="inlineStr">
        <is>
          <t>Vigor alto</t>
        </is>
      </c>
      <c r="C31" s="6" t="inlineStr">
        <is>
          <t>MSAVI 2024 — fuente de la distribución areal</t>
        </is>
      </c>
      <c r="D31" s="7" t="inlineStr">
        <is>
          <t>Conteo de celdas sobre la cartografía MSAVI 2024 del bloque (MSAVI Bloque 12.png)</t>
        </is>
      </c>
      <c r="E31" s="8" t="n"/>
      <c r="F31" s="8" t="n"/>
    </row>
    <row r="32" ht="18" customHeight="1">
      <c r="A32" s="6" t="inlineStr">
        <is>
          <t>Superficie clasificada NDVI 2025 (ha)</t>
        </is>
      </c>
      <c r="B32" s="7" t="n">
        <v>119.587</v>
      </c>
      <c r="C32" s="6" t="inlineStr">
        <is>
          <t>Desviación frente al catálogo (%)</t>
        </is>
      </c>
      <c r="D32" s="7" t="n">
        <v>0.04</v>
      </c>
      <c r="E32" s="8" t="n"/>
      <c r="F32" s="8" t="n"/>
    </row>
    <row r="33"/>
    <row r="34">
      <c r="A34" s="5" t="inlineStr">
        <is>
          <t>4. ECOSISTEMA Y ESTADO DE CONSERVACIÓN</t>
        </is>
      </c>
    </row>
    <row r="35">
      <c r="A35" s="6" t="inlineStr">
        <is>
          <t>Tipo de ecosistema (UP)</t>
        </is>
      </c>
      <c r="B35" s="7" t="inlineStr">
        <is>
          <t>Bosque Relicto Montano V. Occidental (BMVO)</t>
        </is>
      </c>
      <c r="C35" s="6" t="inlineStr">
        <is>
          <t>Superficie de ecosistema (ha)</t>
        </is>
      </c>
      <c r="D35" s="7" t="inlineStr">
        <is>
          <t>119.54 ha</t>
        </is>
      </c>
      <c r="E35" s="8" t="n"/>
      <c r="F35" s="8" t="n"/>
    </row>
    <row r="36">
      <c r="A36" s="6" t="inlineStr">
        <is>
          <t>Estado de conservación</t>
        </is>
      </c>
      <c r="B36" s="7" t="inlineStr">
        <is>
          <t>Medianamente alterado</t>
        </is>
      </c>
      <c r="C36" s="6" t="inlineStr">
        <is>
          <t>Uso actual dominante del suelo</t>
        </is>
      </c>
      <c r="D36" s="7" t="inlineStr">
        <is>
          <t>Uso mixto</t>
        </is>
      </c>
      <c r="E36" s="8" t="n"/>
      <c r="F36" s="8" t="n"/>
    </row>
    <row r="37">
      <c r="A37" s="6" t="inlineStr">
        <is>
          <t>Tipo de cobertura dominante</t>
        </is>
      </c>
      <c r="B37" s="7" t="inlineStr">
        <is>
          <t>Mixto / Mosaico</t>
        </is>
      </c>
      <c r="C37" s="6" t="inlineStr">
        <is>
          <t>Cobertura vegetal total — campo (%)</t>
        </is>
      </c>
      <c r="D37" s="7" t="n">
        <v>85</v>
      </c>
      <c r="E37" s="8" t="n"/>
      <c r="F37" s="8" t="n"/>
    </row>
    <row r="38">
      <c r="A38" s="6" t="inlineStr">
        <is>
          <t>Suelo desnudo — campo (%)</t>
        </is>
      </c>
      <c r="B38" s="7" t="n">
        <v>5</v>
      </c>
      <c r="C38" s="6" t="inlineStr">
        <is>
          <t>Regeneración natural</t>
        </is>
      </c>
      <c r="D38" s="7" t="inlineStr">
        <is>
          <t>Regular (10-50 pl./100m²)</t>
        </is>
      </c>
      <c r="E38" s="8" t="n"/>
      <c r="F38" s="8" t="n"/>
    </row>
    <row r="39">
      <c r="A39" s="6" t="inlineStr">
        <is>
          <t>Nivel general de erosión</t>
        </is>
      </c>
      <c r="B39" s="7" t="inlineStr">
        <is>
          <t>Ligera (laminar)</t>
        </is>
      </c>
      <c r="C39" s="6" t="inlineStr">
        <is>
          <t>N.° de cárcavas registradas</t>
        </is>
      </c>
      <c r="D39" s="7" t="n">
        <v>0</v>
      </c>
      <c r="E39" s="8" t="n"/>
      <c r="F39" s="8" t="n"/>
    </row>
    <row r="40" ht="18" customHeight="1">
      <c r="A40" s="6" t="inlineStr">
        <is>
          <t>Elenco florístico (n.° de taxones)</t>
        </is>
      </c>
      <c r="B40" s="7" t="n">
        <v>15</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 Cahuas Miller; Ing. Pedro Talledo Hernández; Ing. Juan Carlos Domínguez Varas</t>
        </is>
      </c>
      <c r="C43" s="6" t="inlineStr">
        <is>
          <t>Fecha de evaluación</t>
        </is>
      </c>
      <c r="D43" s="7" t="inlineStr">
        <is>
          <t>2026-06-09</t>
        </is>
      </c>
      <c r="E43" s="8" t="n"/>
      <c r="F43" s="8" t="n"/>
    </row>
    <row r="44">
      <c r="A44" s="6" t="inlineStr">
        <is>
          <t>Hora de registro</t>
        </is>
      </c>
      <c r="B44" s="7" t="inlineStr">
        <is>
          <t>15:39 - 17:04 h</t>
        </is>
      </c>
      <c r="C44" s="6" t="inlineStr">
        <is>
          <t>Correlativo de ficha</t>
        </is>
      </c>
      <c r="D44" s="7" t="inlineStr">
        <is>
          <t>B12-2026</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Sector sur (accedido)</t>
        </is>
      </c>
      <c r="E46" s="8" t="n"/>
      <c r="F46" s="8" t="n"/>
    </row>
    <row r="47" ht="18" customHeight="1">
      <c r="A47" s="6" t="inlineStr">
        <is>
          <t>Estaciones fotográficas georreferenciadas</t>
        </is>
      </c>
      <c r="B47" s="7" t="inlineStr">
        <is>
          <t>Sin registro en la ficha DT</t>
        </is>
      </c>
      <c r="C47" s="6" t="inlineStr">
        <is>
          <t>Modalidad de acceso</t>
        </is>
      </c>
      <c r="D47" s="7" t="inlineStr">
        <is>
          <t>Vehicular + caminata &gt;90 min</t>
        </is>
      </c>
      <c r="E47" s="8" t="n"/>
      <c r="F47" s="8" t="n"/>
    </row>
    <row r="48"/>
    <row r="49">
      <c r="A49" s="5" t="inlineStr">
        <is>
          <t>6. SÍNTESIS PARA LA GESTIÓN DEL RIESGO EN CONTEXTO DE CAMBIO CLIMÁTICO</t>
        </is>
      </c>
    </row>
    <row r="50">
      <c r="A50" s="6" t="inlineStr">
        <is>
          <t>Causa subyacente principal</t>
        </is>
      </c>
      <c r="B50" s="7" t="inlineStr">
        <is>
          <t>Expansión de la frontera agropecuaria de subsistencia en economía campesina, sin ordenamiento territorial ni manejo del ecosistema</t>
        </is>
      </c>
      <c r="C50" s="6" t="inlineStr">
        <is>
          <t>Velocidad de degradación</t>
        </is>
      </c>
      <c r="D50" s="7" t="inlineStr">
        <is>
          <t>Lenta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Baja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30" t="n">
        <v>106.7612</v>
      </c>
      <c r="C10" s="29" t="n">
        <v>89.31</v>
      </c>
      <c r="D10" s="12" t="inlineStr">
        <is>
          <t>Vigor alto</t>
        </is>
      </c>
      <c r="E10" s="12" t="inlineStr">
        <is>
          <t>Sobre umbral</t>
        </is>
      </c>
    </row>
    <row r="11">
      <c r="A11" s="13" t="inlineStr">
        <is>
          <t>0.4976 - 0.6139</t>
        </is>
      </c>
      <c r="B11" s="20" t="n">
        <v>12.6951</v>
      </c>
      <c r="C11" s="21" t="n">
        <v>10.62</v>
      </c>
      <c r="D11" s="14" t="inlineStr">
        <is>
          <t>Vigor moderado</t>
        </is>
      </c>
      <c r="E11" s="14" t="inlineStr">
        <is>
          <t>Sobre umbral</t>
        </is>
      </c>
    </row>
    <row r="12">
      <c r="A12" s="7" t="inlineStr">
        <is>
          <t>0.3813 - 0.4976</t>
        </is>
      </c>
      <c r="B12" s="18" t="n">
        <v>0.0837</v>
      </c>
      <c r="C12" s="19" t="n">
        <v>0.07000000000000001</v>
      </c>
      <c r="D12" s="15" t="inlineStr">
        <is>
          <t>Vigor bajo</t>
        </is>
      </c>
      <c r="E12" s="15" t="inlineStr">
        <is>
          <t>BAJO umbral 0.4976</t>
        </is>
      </c>
    </row>
    <row r="13">
      <c r="A13" s="13" t="inlineStr">
        <is>
          <t>0.2650 - 0.3813</t>
        </is>
      </c>
      <c r="B13" s="20" t="n">
        <v>0</v>
      </c>
      <c r="C13" s="21" t="n">
        <v>0</v>
      </c>
      <c r="D13" s="14" t="inlineStr">
        <is>
          <t>Vigor muy bajo</t>
        </is>
      </c>
      <c r="E13" s="14" t="inlineStr">
        <is>
          <t>BAJO umbral 0.4976</t>
        </is>
      </c>
    </row>
    <row r="14">
      <c r="A14" s="7" t="inlineStr">
        <is>
          <t>&lt;= 0.2650</t>
        </is>
      </c>
      <c r="B14" s="18" t="n">
        <v>0</v>
      </c>
      <c r="C14" s="19" t="n">
        <v>0</v>
      </c>
      <c r="D14" s="15" t="inlineStr">
        <is>
          <t>Suelo desnudo / no vegetal</t>
        </is>
      </c>
      <c r="E14" s="15" t="inlineStr">
        <is>
          <t>BAJO umbral 0.4976</t>
        </is>
      </c>
    </row>
    <row r="15">
      <c r="A15" s="7" t="inlineStr">
        <is>
          <t>TOTAL CLASIFICADO</t>
        </is>
      </c>
      <c r="B15" s="18">
        <f>SUM(B10:B14)</f>
        <v/>
      </c>
      <c r="C15" s="19">
        <f>SUM(C10:C14)</f>
        <v/>
      </c>
      <c r="D15" s="15" t="inlineStr">
        <is>
          <t>Suma de las cinco clases MSAVI 2024</t>
        </is>
      </c>
      <c r="E15" s="15" t="inlineStr">
        <is>
          <t>Iguala la superficie de catálogo (V5/V6)</t>
        </is>
      </c>
    </row>
    <row r="16">
      <c r="A16" s="16" t="inlineStr">
        <is>
          <t>MSAVI 2024 — MEDIA DEL BLOQUE</t>
        </is>
      </c>
      <c r="B16" s="17" t="n">
        <v>0.706689</v>
      </c>
      <c r="C16" s="17" t="inlineStr">
        <is>
          <t>—</t>
        </is>
      </c>
      <c r="D16" s="17" t="inlineStr">
        <is>
          <t>Vigor alto · clase &gt;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119.508</v>
      </c>
      <c r="C22" s="19" t="n">
        <v>99.93000000000001</v>
      </c>
      <c r="D22" s="15" t="inlineStr">
        <is>
          <t>Dosel continuo, matorral denso o mosaico agroforestal</t>
        </is>
      </c>
      <c r="E22" s="15" t="inlineStr"/>
    </row>
    <row r="23">
      <c r="A23" s="13" t="inlineStr">
        <is>
          <t>Vegetación mediana</t>
        </is>
      </c>
      <c r="B23" s="20" t="n">
        <v>0.07920000000000001</v>
      </c>
      <c r="C23" s="21" t="n">
        <v>0.07000000000000001</v>
      </c>
      <c r="D23" s="14" t="inlineStr">
        <is>
          <t>Pastizal cultivado, matorral ralo, parcelas agrícolas</t>
        </is>
      </c>
      <c r="E23" s="14" t="inlineStr"/>
    </row>
    <row r="24">
      <c r="A24" s="16" t="inlineStr">
        <is>
          <t>TOTAL CLASIFICADO</t>
        </is>
      </c>
      <c r="B24" s="22">
        <f>SUM(B21:B22)</f>
        <v/>
      </c>
      <c r="C24" s="23">
        <f>SUM(C21:C22)</f>
        <v/>
      </c>
      <c r="D24" s="17" t="inlineStr"/>
      <c r="E24" s="17" t="inlineStr"/>
    </row>
    <row r="25">
      <c r="A25" s="24" t="inlineStr">
        <is>
          <t>Superficie de catálogo (V5/V6)</t>
        </is>
      </c>
      <c r="B25" s="25" t="n">
        <v>119.54</v>
      </c>
      <c r="C25" s="25" t="inlineStr">
        <is>
          <t>—</t>
        </is>
      </c>
      <c r="D25" s="25" t="inlineStr">
        <is>
          <t>Desviación planimétrica frente al catálogo</t>
        </is>
      </c>
      <c r="E25" s="25" t="inlineStr">
        <is>
          <t>+0.04 %</t>
        </is>
      </c>
    </row>
    <row r="26" ht="108" customHeight="1"/>
    <row r="27">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99.93 % del polígono clasificado como «Vegetación alta» por el NDVI 2025; la observación de campo corresponde a una parcela o recorrido puntual y no es estadísticamente representativa de las 119.540 ha del bloque.</t>
        </is>
      </c>
      <c r="B27" s="38" t="n"/>
      <c r="C27" s="38" t="n"/>
      <c r="D27" s="38" t="n"/>
      <c r="E27" s="39" t="n"/>
    </row>
  </sheetData>
  <mergeCells count="10">
    <mergeCell ref="A4:E4"/>
    <mergeCell ref="A20:E20"/>
    <mergeCell ref="A2:E2"/>
    <mergeCell ref="A5:E5"/>
    <mergeCell ref="A1:E1"/>
    <mergeCell ref="A8:E8"/>
    <mergeCell ref="A6:E6"/>
    <mergeCell ref="A18:E18"/>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12</t>
        </is>
      </c>
    </row>
    <row r="6" ht="24" customHeight="1">
      <c r="A6" s="4" t="inlineStr">
        <is>
          <t>Levantamiento del 2026-06-09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625623</v>
      </c>
      <c r="D10" s="26" t="n">
        <v>9444493</v>
      </c>
      <c r="E10" s="15" t="n">
        <v>484.1</v>
      </c>
      <c r="F10" s="15" t="inlineStr"/>
      <c r="G10" s="15" t="inlineStr">
        <is>
          <t>Coordenada consignada en F-DT-01</t>
        </is>
      </c>
    </row>
    <row r="11">
      <c r="A11" s="13" t="inlineStr">
        <is>
          <t>H-01</t>
        </is>
      </c>
      <c r="B11" s="14" t="inlineStr">
        <is>
          <t>Fuente de agua — Reservorio / Represa</t>
        </is>
      </c>
      <c r="C11" s="27" t="n">
        <v>625639</v>
      </c>
      <c r="D11" s="27" t="n">
        <v>9444233</v>
      </c>
      <c r="E11" s="14" t="n">
        <v>732.8</v>
      </c>
      <c r="F11" s="14" t="inlineStr">
        <is>
          <t>Permanente</t>
        </is>
      </c>
      <c r="G11" s="14" t="inlineStr">
        <is>
          <t>Tanque de agua potable</t>
        </is>
      </c>
    </row>
    <row r="12">
      <c r="A12" s="7" t="inlineStr">
        <is>
          <t>H-02</t>
        </is>
      </c>
      <c r="B12" s="15" t="inlineStr">
        <is>
          <t>Fuente de agua — Quebrada permanente</t>
        </is>
      </c>
      <c r="C12" s="26" t="n">
        <v>625255</v>
      </c>
      <c r="D12" s="26" t="n">
        <v>9443634</v>
      </c>
      <c r="E12" s="15" t="n">
        <v>1308.3</v>
      </c>
      <c r="F12" s="15" t="inlineStr">
        <is>
          <t>Permanente</t>
        </is>
      </c>
      <c r="G12" s="15" t="inlineStr">
        <is>
          <t>Quebrada Q9570 (drenaje)</t>
        </is>
      </c>
    </row>
    <row r="13">
      <c r="A13" s="13" t="inlineStr">
        <is>
          <t>B-01</t>
        </is>
      </c>
      <c r="B13" s="14" t="inlineStr">
        <is>
          <t>Especie clave — Nogal (Juglans cf. neotropica)</t>
        </is>
      </c>
      <c r="C13" s="27" t="n">
        <v>625637</v>
      </c>
      <c r="D13" s="27" t="n">
        <v>9444497</v>
      </c>
      <c r="E13" s="14" t="n">
        <v>486.6</v>
      </c>
      <c r="F13" s="14" t="inlineStr">
        <is>
          <t>Amenazada D.S. 043</t>
        </is>
      </c>
      <c r="G13" s="14" t="inlineStr">
        <is>
          <t>VU — Vulnerable</t>
        </is>
      </c>
    </row>
    <row r="14">
      <c r="A14" s="7" t="inlineStr">
        <is>
          <t>B-02</t>
        </is>
      </c>
      <c r="B14" s="15" t="inlineStr">
        <is>
          <t>Especie clave — Romerillo (Podocarpus sp.)</t>
        </is>
      </c>
      <c r="C14" s="26" t="n">
        <v>625255</v>
      </c>
      <c r="D14" s="26" t="n">
        <v>9443634</v>
      </c>
      <c r="E14" s="15" t="n">
        <v>1308.3</v>
      </c>
      <c r="F14" s="15" t="inlineStr">
        <is>
          <t>Indicadora de buen estado</t>
        </is>
      </c>
      <c r="G14" s="15" t="inlineStr">
        <is>
          <t>No aplica</t>
        </is>
      </c>
    </row>
    <row r="15">
      <c r="A15" s="13" t="inlineStr">
        <is>
          <t>B-03</t>
        </is>
      </c>
      <c r="B15" s="14" t="inlineStr">
        <is>
          <t>Especie clave — Higuerón (Ficus sp.)</t>
        </is>
      </c>
      <c r="C15" s="27" t="n">
        <v>624557</v>
      </c>
      <c r="D15" s="27" t="n">
        <v>9444014</v>
      </c>
      <c r="E15" s="14" t="n">
        <v>1259.3</v>
      </c>
      <c r="F15" s="14" t="inlineStr">
        <is>
          <t>Indicadora de buen estado</t>
        </is>
      </c>
      <c r="G15" s="14" t="inlineStr">
        <is>
          <t>LC</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625419</v>
      </c>
      <c r="C18" s="6" t="inlineStr">
        <is>
          <t>Centroide del bloque — UTM NORTE (m)</t>
        </is>
      </c>
      <c r="D18" s="7" t="n">
        <v>9444932</v>
      </c>
      <c r="E18" s="8" t="n"/>
      <c r="F18" s="8" t="n"/>
      <c r="G18" s="8" t="n"/>
      <c r="H18" s="8" t="n"/>
    </row>
    <row r="19">
      <c r="A19" s="6" t="inlineStr">
        <is>
          <t>N.° de estaciones fotográficas declaradas</t>
        </is>
      </c>
      <c r="B19" s="7" t="inlineStr">
        <is>
          <t>Sin registro en la ficha DT</t>
        </is>
      </c>
      <c r="C19" s="6" t="inlineStr">
        <is>
          <t>Estaciones dentro del polígono</t>
        </is>
      </c>
      <c r="D19" s="7" t="inlineStr">
        <is>
          <t>Por determinar</t>
        </is>
      </c>
      <c r="E19" s="8" t="n"/>
      <c r="F19" s="8" t="n"/>
      <c r="G19" s="8" t="n"/>
      <c r="H19" s="8" t="n"/>
    </row>
    <row r="21" ht="10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a pie por camino de herradura accidentado tras lluvia intensa; solo se accedió al sector SUR del bloque, que presenta cobertura alta (MSAVI &gt;0.61) y estabilidad general. ALTITUD: el equipo de campo refirió ~1400 msnm; el MDE indica ~1650-1850 m para el sector accedido y 1671-2218 m para el bloque completo (cima Cerro Rucutuyu). Se recomienda verificar la lectura altimétrica del GPS.</t>
        </is>
      </c>
      <c r="B21" s="38" t="n"/>
      <c r="C21" s="38" t="n"/>
      <c r="D21" s="38" t="n"/>
      <c r="E21" s="38" t="n"/>
      <c r="F21" s="38" t="n"/>
      <c r="G21" s="39"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12</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1" t="inlineStr">
        <is>
          <t>► 12</t>
        </is>
      </c>
      <c r="B10" s="28" t="n">
        <v>119.54</v>
      </c>
      <c r="C10" s="29" t="n">
        <v>14</v>
      </c>
      <c r="D10" s="12" t="inlineStr">
        <is>
          <t>672 – 2244</t>
        </is>
      </c>
      <c r="E10" s="12" t="n">
        <v>1572</v>
      </c>
      <c r="F10" s="12" t="n">
        <v>27.41</v>
      </c>
      <c r="G10" s="30" t="n">
        <v>0.7067</v>
      </c>
      <c r="H10" s="29" t="n">
        <v>99.93000000000001</v>
      </c>
    </row>
    <row r="11">
      <c r="A11" s="13" t="inlineStr">
        <is>
          <t>11</t>
        </is>
      </c>
      <c r="B11" s="31" t="n">
        <v>103.95</v>
      </c>
      <c r="C11" s="21" t="n">
        <v>12.17</v>
      </c>
      <c r="D11" s="14" t="inlineStr">
        <is>
          <t>1375 – 1928</t>
        </is>
      </c>
      <c r="E11" s="14" t="n">
        <v>553</v>
      </c>
      <c r="F11" s="14" t="n">
        <v>32.19</v>
      </c>
      <c r="G11" s="20" t="n">
        <v>0.6047</v>
      </c>
      <c r="H11" s="21" t="n">
        <v>75.28</v>
      </c>
    </row>
    <row r="12">
      <c r="A12" s="7" t="inlineStr">
        <is>
          <t>17</t>
        </is>
      </c>
      <c r="B12" s="32" t="n">
        <v>96.08</v>
      </c>
      <c r="C12" s="19" t="n">
        <v>11.25</v>
      </c>
      <c r="D12" s="15" t="inlineStr">
        <is>
          <t>1253 – 1880</t>
        </is>
      </c>
      <c r="E12" s="15" t="n">
        <v>627</v>
      </c>
      <c r="F12" s="15" t="n">
        <v>35.56</v>
      </c>
      <c r="G12" s="18" t="n">
        <v>0.6479</v>
      </c>
      <c r="H12" s="19" t="n">
        <v>88.68000000000001</v>
      </c>
    </row>
    <row r="13">
      <c r="A13" s="13" t="inlineStr">
        <is>
          <t>14</t>
        </is>
      </c>
      <c r="B13" s="31" t="n">
        <v>92.90000000000001</v>
      </c>
      <c r="C13" s="21" t="n">
        <v>10.88</v>
      </c>
      <c r="D13" s="14" t="inlineStr">
        <is>
          <t>87 – 1355</t>
        </is>
      </c>
      <c r="E13" s="14" t="n">
        <v>1268</v>
      </c>
      <c r="F13" s="14" t="n">
        <v>23.75</v>
      </c>
      <c r="G13" s="20" t="n">
        <v>0.5197000000000001</v>
      </c>
      <c r="H13" s="21" t="n">
        <v>58.89</v>
      </c>
    </row>
    <row r="14">
      <c r="A14" s="7" t="inlineStr">
        <is>
          <t>15</t>
        </is>
      </c>
      <c r="B14" s="32" t="n">
        <v>86.15000000000001</v>
      </c>
      <c r="C14" s="19" t="n">
        <v>10.09</v>
      </c>
      <c r="D14" s="15" t="inlineStr">
        <is>
          <t>1199 – 1655</t>
        </is>
      </c>
      <c r="E14" s="15" t="n">
        <v>456</v>
      </c>
      <c r="F14" s="15" t="n">
        <v>26.19</v>
      </c>
      <c r="G14" s="18" t="n">
        <v>0.5605</v>
      </c>
      <c r="H14" s="19" t="n">
        <v>56.47</v>
      </c>
    </row>
    <row r="15">
      <c r="A15" s="13" t="inlineStr">
        <is>
          <t>23</t>
        </is>
      </c>
      <c r="B15" s="31" t="n">
        <v>81.78</v>
      </c>
      <c r="C15" s="21" t="n">
        <v>9.58</v>
      </c>
      <c r="D15" s="14" t="inlineStr">
        <is>
          <t>521 – 973</t>
        </is>
      </c>
      <c r="E15" s="14" t="n">
        <v>452</v>
      </c>
      <c r="F15" s="14" t="n">
        <v>35.28</v>
      </c>
      <c r="G15" s="20" t="n">
        <v>0.5731000000000001</v>
      </c>
      <c r="H15" s="21" t="n">
        <v>47.99</v>
      </c>
    </row>
    <row r="16">
      <c r="A16" s="7" t="inlineStr">
        <is>
          <t>42</t>
        </is>
      </c>
      <c r="B16" s="32" t="n">
        <v>80.62</v>
      </c>
      <c r="C16" s="19" t="n">
        <v>9.44</v>
      </c>
      <c r="D16" s="15" t="inlineStr">
        <is>
          <t>1131 – 1548</t>
        </is>
      </c>
      <c r="E16" s="15" t="n">
        <v>417</v>
      </c>
      <c r="F16" s="15" t="n">
        <v>27.86</v>
      </c>
      <c r="G16" s="18" t="n">
        <v>0.6348</v>
      </c>
      <c r="H16" s="19" t="n">
        <v>88.83</v>
      </c>
    </row>
    <row r="17">
      <c r="A17" s="13" t="inlineStr">
        <is>
          <t>M19B2</t>
        </is>
      </c>
      <c r="B17" s="31" t="n">
        <v>74.37</v>
      </c>
      <c r="C17" s="21" t="n">
        <v>8.710000000000001</v>
      </c>
      <c r="D17" s="14" t="inlineStr">
        <is>
          <t>203 – 523</t>
        </is>
      </c>
      <c r="E17" s="14" t="n">
        <v>320</v>
      </c>
      <c r="F17" s="14" t="n">
        <v>21.71</v>
      </c>
      <c r="G17" s="20" t="n">
        <v>0.4012</v>
      </c>
      <c r="H17" s="21" t="n">
        <v>1.28</v>
      </c>
    </row>
    <row r="18">
      <c r="A18" s="7" t="inlineStr">
        <is>
          <t>82</t>
        </is>
      </c>
      <c r="B18" s="32" t="n">
        <v>35.66</v>
      </c>
      <c r="C18" s="19" t="n">
        <v>4.18</v>
      </c>
      <c r="D18" s="15" t="inlineStr">
        <is>
          <t>1796 – 2098</t>
        </is>
      </c>
      <c r="E18" s="15" t="n">
        <v>302</v>
      </c>
      <c r="F18" s="15" t="n">
        <v>23.55</v>
      </c>
      <c r="G18" s="18" t="n">
        <v>0.6283</v>
      </c>
      <c r="H18" s="19" t="n">
        <v>90.06999999999999</v>
      </c>
    </row>
    <row r="19">
      <c r="A19" s="13" t="inlineStr">
        <is>
          <t>78</t>
        </is>
      </c>
      <c r="B19" s="31" t="n">
        <v>35.1</v>
      </c>
      <c r="C19" s="21" t="n">
        <v>4.11</v>
      </c>
      <c r="D19" s="14" t="inlineStr">
        <is>
          <t>1908 – 2236</t>
        </is>
      </c>
      <c r="E19" s="14" t="n">
        <v>328</v>
      </c>
      <c r="F19" s="14" t="n">
        <v>30.64</v>
      </c>
      <c r="G19" s="20" t="n">
        <v>0.7074</v>
      </c>
      <c r="H19" s="21" t="n">
        <v>89.33</v>
      </c>
    </row>
    <row r="20">
      <c r="A20" s="7" t="inlineStr">
        <is>
          <t>M19B7</t>
        </is>
      </c>
      <c r="B20" s="32" t="n">
        <v>34.17</v>
      </c>
      <c r="C20" s="19" t="n">
        <v>4</v>
      </c>
      <c r="D20" s="15" t="inlineStr">
        <is>
          <t>1213 – 1578</t>
        </is>
      </c>
      <c r="E20" s="15" t="n">
        <v>365</v>
      </c>
      <c r="F20" s="15" t="n">
        <v>28.15</v>
      </c>
      <c r="G20" s="18" t="n">
        <v>0.5919</v>
      </c>
      <c r="H20" s="19" t="n">
        <v>78.52</v>
      </c>
    </row>
    <row r="21">
      <c r="A21" s="13" t="inlineStr">
        <is>
          <t>59</t>
        </is>
      </c>
      <c r="B21" s="31" t="n">
        <v>13.55</v>
      </c>
      <c r="C21" s="21" t="n">
        <v>1.59</v>
      </c>
      <c r="D21" s="14" t="inlineStr">
        <is>
          <t>2045 – 2218</t>
        </is>
      </c>
      <c r="E21" s="14" t="n">
        <v>173</v>
      </c>
      <c r="F21" s="14" t="n">
        <v>29.85</v>
      </c>
      <c r="G21" s="20" t="n">
        <v>0.6147</v>
      </c>
      <c r="H21" s="21" t="n">
        <v>86.56999999999999</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row>
    <row r="24" ht="84" customHeight="1">
      <c r="A24" s="9" t="inlineStr">
        <is>
          <t>LECTURA INTRAMICROCUENCA. El bloque 12 ocupa el puesto 1 de 12 por superficie dentro de la microcuenca C1086-Q9570 (14.00 % de las 853.87 ha preliminares de la microcuenca). Su pendiente promedio (27.41 %, clase «25-50% (Mod. escarpado)») es la 5.ª más baja de 12 y se sitúa por debajo del promedio de la microcuenca (28.51 %). Su MSAVI 2024 (0.7067) es el 2.º de 12 y queda por encima del promedio local (0.5993). Amplitud altitudinal del bloque: 1572 m (672–2244 msnm). El cuadro conserva todos los bloques catalogados en la microcuenca, incluidos los descartados en el tamizaje, para referencia del conjunto. Los bloques sin ficha DT figuran con sus parámetros de gabinete.</t>
        </is>
      </c>
      <c r="B24" s="38" t="n"/>
      <c r="C24" s="38" t="n"/>
      <c r="D24" s="38" t="n"/>
      <c r="E24" s="38" t="n"/>
      <c r="F24" s="38" t="n"/>
      <c r="G24" s="38" t="n"/>
      <c r="H24" s="39"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6" s="38" t="n"/>
      <c r="C26" s="38" t="n"/>
      <c r="D26" s="38" t="n"/>
      <c r="E26" s="38" t="n"/>
      <c r="F26" s="38" t="n"/>
      <c r="G26" s="38" t="n"/>
      <c r="H26" s="39" t="n"/>
    </row>
  </sheetData>
  <mergeCells count="9">
    <mergeCell ref="A1:H1"/>
    <mergeCell ref="A4:H4"/>
    <mergeCell ref="A3:H3"/>
    <mergeCell ref="A26:H26"/>
    <mergeCell ref="A24:H24"/>
    <mergeCell ref="A2:H2"/>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484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(119.587 ha) coincide con la de catálogo (119.54 ha) dentro del ±2 % (+0.04 %)</t>
        </is>
      </c>
      <c r="D12" s="35"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«1500-2000 m (Quechua media)»; el MDE sitúa el bloque entre 672 y 2244 msnm, cuyo punto medio corresponde a «1000-1500 m (Quechua baja)»</t>
        </is>
      </c>
      <c r="D13" s="12"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Centro poblado asociado</t>
        </is>
      </c>
      <c r="C14" s="34" t="inlineStr">
        <is>
          <t>La ficha DT declara «Chacayo (Santo Domingo)»; el cruce INEI-Bloques V5 identifica 2 centro(s) poblado(s) en el bloque: CHACAYO, SANTO DOMINGO</t>
        </is>
      </c>
      <c r="D14" s="35"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c r="A16" s="36" t="inlineStr">
        <is>
          <t>D-07</t>
        </is>
      </c>
      <c r="B16" s="36" t="inlineStr">
        <is>
          <t>Distribución areal de clases MSAVI 2024</t>
        </is>
      </c>
      <c r="C16" s="36" t="inlineStr">
        <is>
          <t>La hoja «Cobertura MSAVI-NDVI» consignaba «Por determinar» en la distribución areal de clases MSAVI 2024; se incorpora el metrado por clase medido sobre la cartografía temática MSAVI 2024 del bloque: 0.07 % del bloque (0.084 ha) bajo el umbral 0.4976 y 99.93 % sobre el umbral; clase areal dominante «Vigor alto».</t>
        </is>
      </c>
      <c r="D16" s="37" t="inlineStr">
        <is>
          <t>CORREGIDO</t>
        </is>
      </c>
      <c r="E16"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17"/>
    <row r="18">
      <c r="A18" s="16" t="inlineStr">
        <is>
          <t>RESUMEN</t>
        </is>
      </c>
      <c r="B18" s="17" t="inlineStr">
        <is>
          <t>7 verificaciones</t>
        </is>
      </c>
      <c r="C18" s="17" t="inlineStr">
        <is>
          <t>CONFORME: 4 · NO SUSTANTIVA: 1 · SUSTANTIVA: 1 · CORREGIDO: 1</t>
        </is>
      </c>
      <c r="D18" s="17" t="inlineStr"/>
      <c r="E18" s="17" t="inlineStr"/>
    </row>
    <row r="19" ht="60" customHeight="1"/>
    <row r="20">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0" s="38" t="n"/>
      <c r="C20" s="38" t="n"/>
      <c r="D20" s="38" t="n"/>
      <c r="E20" s="39" t="n"/>
    </row>
  </sheetData>
  <mergeCells count="8">
    <mergeCell ref="A4:E4"/>
    <mergeCell ref="A20:E20"/>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12 — IN Piura</dc:title>
  <dc:subject>Diagnóstico Territorial por bloque de intervención</dc:subject>
  <dcterms:created xsi:type="dcterms:W3CDTF">2026-09-08T03:39:55Z</dcterms:created>
  <dcterms:modified xsi:type="dcterms:W3CDTF">2026-09-09T14:49:41Z</dcterms:modified>
</cp:coreProperties>
</file>