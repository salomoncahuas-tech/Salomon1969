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12</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12</t>
        </is>
      </c>
      <c r="C9" s="6" t="inlineStr">
        <is>
          <t>Microcuenca (catálogo)</t>
        </is>
      </c>
      <c r="D9" s="7" t="inlineStr">
        <is>
          <t>C1086-Q9570</t>
        </is>
      </c>
      <c r="E9" s="8" t="n"/>
      <c r="F9" s="8" t="n"/>
    </row>
    <row r="10">
      <c r="A10" s="6" t="inlineStr">
        <is>
          <t>Zona de planificación</t>
        </is>
      </c>
      <c r="B10" s="7" t="inlineStr">
        <is>
          <t>Z03</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Santo Domingo</t>
        </is>
      </c>
      <c r="C12" s="6" t="inlineStr">
        <is>
          <t>Capital distrital</t>
        </is>
      </c>
      <c r="D12" s="7" t="inlineStr">
        <is>
          <t>Santo Domingo</t>
        </is>
      </c>
      <c r="E12" s="8" t="n"/>
      <c r="F12" s="8" t="n"/>
    </row>
    <row r="13">
      <c r="A13" s="6" t="inlineStr">
        <is>
          <t>Centro poblado asociado</t>
        </is>
      </c>
      <c r="B13" s="7" t="inlineStr">
        <is>
          <t>Chacayo (Santo Domingo)</t>
        </is>
      </c>
      <c r="C13" s="6" t="inlineStr">
        <is>
          <t>Comunidad campesina</t>
        </is>
      </c>
      <c r="D13" s="7" t="inlineStr">
        <is>
          <t>Por verificar</t>
        </is>
      </c>
      <c r="E13" s="8" t="n"/>
      <c r="F13" s="8" t="n"/>
    </row>
    <row r="14">
      <c r="A14" s="6" t="inlineStr">
        <is>
          <t>Superficie de catálogo (V5/V6), ha</t>
        </is>
      </c>
      <c r="B14" s="7" t="n">
        <v>119.54</v>
      </c>
      <c r="C14" s="6" t="inlineStr">
        <is>
          <t>Fuente de superficie</t>
        </is>
      </c>
      <c r="D14" s="7" t="inlineStr">
        <is>
          <t>Catálogo maestro Bloques V5/V6</t>
        </is>
      </c>
      <c r="E14" s="8" t="n"/>
      <c r="F14" s="8" t="n"/>
    </row>
    <row r="15">
      <c r="A15" s="6" t="inlineStr">
        <is>
          <t>Centroide UTM ESTE (m)</t>
        </is>
      </c>
      <c r="B15" s="7" t="n">
        <v>625419</v>
      </c>
      <c r="C15" s="6" t="inlineStr">
        <is>
          <t>Centroide UTM NORTE (m)</t>
        </is>
      </c>
      <c r="D15" s="7" t="n">
        <v>9444932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672</v>
      </c>
      <c r="C19" s="6" t="inlineStr">
        <is>
          <t>Altitud máxima (msnm)</t>
        </is>
      </c>
      <c r="D19" s="7" t="n">
        <v>2244</v>
      </c>
      <c r="E19" s="8" t="n"/>
      <c r="F19" s="8" t="n"/>
    </row>
    <row r="20">
      <c r="A20" s="6" t="inlineStr">
        <is>
          <t>Amplitud altitudinal (m)</t>
        </is>
      </c>
      <c r="B20" s="7" t="n">
        <v>1572</v>
      </c>
      <c r="C20" s="6" t="inlineStr">
        <is>
          <t>Piso altitudinal dominante</t>
        </is>
      </c>
      <c r="D20" s="7" t="inlineStr">
        <is>
          <t>1000-1500 m (Quechua baja)</t>
        </is>
      </c>
      <c r="E20" s="8" t="n"/>
      <c r="F20" s="8" t="n"/>
    </row>
    <row r="21">
      <c r="A21" s="6" t="inlineStr">
        <is>
          <t>Pendiente promedio (%)</t>
        </is>
      </c>
      <c r="B21" s="7" t="n">
        <v>27.41</v>
      </c>
      <c r="C21" s="6" t="inlineStr">
        <is>
          <t>Pendiente promedio (grados)</t>
        </is>
      </c>
      <c r="D21" s="7" t="n">
        <v>15.3</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0.7067</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(99.93 %)</t>
        </is>
      </c>
      <c r="E29" s="8" t="n"/>
      <c r="F29" s="8" t="n"/>
    </row>
    <row r="30">
      <c r="A30" s="6" t="inlineStr">
        <is>
          <t>Superficie clasificada NDVI 2025 (ha)</t>
        </is>
      </c>
      <c r="B30" s="7" t="n">
        <v>119.587</v>
      </c>
      <c r="C30" s="6" t="inlineStr">
        <is>
          <t>Desviación frente al catálogo (%)</t>
        </is>
      </c>
      <c r="D30" s="7" t="n">
        <v>0.04</v>
      </c>
      <c r="E30" s="8" t="n"/>
      <c r="F30" s="8" t="n"/>
    </row>
    <row r="32" ht="18" customHeight="1">
      <c r="A32" s="5" t="inlineStr">
        <is>
          <t>4. ECOSISTEMA Y ESTADO DE CONSERVACIÓN</t>
        </is>
      </c>
    </row>
    <row r="33">
      <c r="A33" s="6" t="inlineStr">
        <is>
          <t>Tipo de ecosistema (UP)</t>
        </is>
      </c>
      <c r="B33" s="7" t="inlineStr">
        <is>
          <t>Bosque Relicto Montano V. Occidental (BMVO)</t>
        </is>
      </c>
      <c r="C33" s="6" t="inlineStr">
        <is>
          <t>Superficie de ecosistema (ha)</t>
        </is>
      </c>
      <c r="D33" s="7" t="inlineStr">
        <is>
          <t>119.54 ha</t>
        </is>
      </c>
      <c r="E33" s="8" t="n"/>
      <c r="F33" s="8" t="n"/>
    </row>
    <row r="34">
      <c r="A34" s="6" t="inlineStr">
        <is>
          <t>Estado de conservación</t>
        </is>
      </c>
      <c r="B34" s="7" t="inlineStr">
        <is>
          <t>Medianamente alterado</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n">
        <v>85</v>
      </c>
      <c r="E35" s="8" t="n"/>
      <c r="F35" s="8" t="n"/>
    </row>
    <row r="36">
      <c r="A36" s="6" t="inlineStr">
        <is>
          <t>Suelo desnudo — campo (%)</t>
        </is>
      </c>
      <c r="B36" s="7" t="n">
        <v>5</v>
      </c>
      <c r="C36" s="6" t="inlineStr">
        <is>
          <t>Regeneración natural</t>
        </is>
      </c>
      <c r="D36" s="7" t="inlineStr">
        <is>
          <t>Regular (10-50 pl./100m²)</t>
        </is>
      </c>
      <c r="E36" s="8" t="n"/>
      <c r="F36" s="8" t="n"/>
    </row>
    <row r="37">
      <c r="A37" s="6" t="inlineStr">
        <is>
          <t>Nivel general de erosión</t>
        </is>
      </c>
      <c r="B37" s="7" t="inlineStr">
        <is>
          <t>Ligera (laminar)</t>
        </is>
      </c>
      <c r="C37" s="6" t="inlineStr">
        <is>
          <t>N.° de cárcavas registradas</t>
        </is>
      </c>
      <c r="D37" s="7" t="n">
        <v>0</v>
      </c>
      <c r="E37" s="8" t="n"/>
      <c r="F37" s="8" t="n"/>
    </row>
    <row r="38">
      <c r="A38" s="6" t="inlineStr">
        <is>
          <t>Elenco florístico (n.° de taxones)</t>
        </is>
      </c>
      <c r="B38" s="7" t="n">
        <v>15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 Cahuas Miller; Ing. Pedro Talledo Hernández; Ing. Juan Carlos Domínguez Varas</t>
        </is>
      </c>
      <c r="C41" s="6" t="inlineStr">
        <is>
          <t>Fecha de evaluación</t>
        </is>
      </c>
      <c r="D41" s="7" t="inlineStr">
        <is>
          <t>2026-06-09</t>
        </is>
      </c>
      <c r="E41" s="8" t="n"/>
      <c r="F41" s="8" t="n"/>
    </row>
    <row r="42">
      <c r="A42" s="6" t="inlineStr">
        <is>
          <t>Hora de registro</t>
        </is>
      </c>
      <c r="B42" s="7" t="inlineStr">
        <is>
          <t>15:39 - 17:04 h</t>
        </is>
      </c>
      <c r="C42" s="6" t="inlineStr">
        <is>
          <t>Correlativo de ficha</t>
        </is>
      </c>
      <c r="D42" s="7" t="inlineStr">
        <is>
          <t>B12-2026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Sector sur (accedido)</t>
        </is>
      </c>
      <c r="E44" s="8" t="n"/>
      <c r="F44" s="8" t="n"/>
    </row>
    <row r="45">
      <c r="A45" s="6" t="inlineStr">
        <is>
          <t>Estaciones fotográficas georreferenciadas</t>
        </is>
      </c>
      <c r="B45" s="7" t="inlineStr">
        <is>
          <t>Sin registro en la ficha DT</t>
        </is>
      </c>
      <c r="C45" s="6" t="inlineStr">
        <is>
          <t>Modalidad de acceso</t>
        </is>
      </c>
      <c r="D45" s="7" t="inlineStr">
        <is>
          <t>Vehicular + caminata &gt;90 min</t>
        </is>
      </c>
      <c r="E45" s="8" t="n"/>
      <c r="F45" s="8" t="n"/>
    </row>
    <row r="47" ht="18" customHeight="1">
      <c r="A47" s="5" t="inlineStr">
        <is>
          <t>6. SÍNTESIS PARA LA GESTIÓN DEL RIESGO EN CONTEXTO DE CAMBIO CLIMÁTICO</t>
        </is>
      </c>
    </row>
    <row r="48">
      <c r="A48" s="6" t="inlineStr">
        <is>
          <t>Causa subyacente principal</t>
        </is>
      </c>
      <c r="B48" s="7" t="inlineStr">
        <is>
          <t>Expansión de la frontera agropecuaria de subsistencia en economía campesina, sin ordenamiento territorial ni manejo del ecosistema</t>
        </is>
      </c>
      <c r="C48" s="6" t="inlineStr">
        <is>
          <t>Velocidad de degradación</t>
        </is>
      </c>
      <c r="D48" s="7" t="inlineStr">
        <is>
          <t>Lenta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Baja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12</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0.706689</v>
      </c>
      <c r="C15" s="17" t="inlineStr">
        <is>
          <t>—</t>
        </is>
      </c>
      <c r="D15" s="17" t="inlineStr">
        <is>
          <t>Vigor alto · clase &gt; 0.6139</t>
        </is>
      </c>
      <c r="E15" s="17" t="inlineStr">
        <is>
          <t>Sobre umbral</t>
        </is>
      </c>
    </row>
    <row r="17" ht="72" customHeight="1">
      <c r="A17" s="9" t="inlineStr">
        <is>
          <t>NOTA METODOLÓGICA. La media del MSAVI 2024 del bloque (0.706689)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119.508</v>
      </c>
      <c r="C21" s="19" t="n">
        <v>99.93000000000001</v>
      </c>
      <c r="D21" s="15" t="inlineStr">
        <is>
          <t>Dosel continuo, matorral denso o mosaico agroforestal</t>
        </is>
      </c>
      <c r="E21" s="15" t="inlineStr"/>
    </row>
    <row r="22">
      <c r="A22" s="13" t="inlineStr">
        <is>
          <t>Vegetación mediana</t>
        </is>
      </c>
      <c r="B22" s="20" t="n">
        <v>0.07920000000000001</v>
      </c>
      <c r="C22" s="21" t="n">
        <v>0.07000000000000001</v>
      </c>
      <c r="D22" s="14" t="inlineStr">
        <is>
          <t>Pastizal cultivado, matorral ralo, parcelas agrícolas</t>
        </is>
      </c>
      <c r="E22" s="14" t="inlineStr"/>
    </row>
    <row r="23">
      <c r="A23" s="16" t="inlineStr">
        <is>
          <t>TOTAL CLASIFICADO</t>
        </is>
      </c>
      <c r="B23" s="22">
        <f>SUM(B21:B22)</f>
        <v/>
      </c>
      <c r="C23" s="23">
        <f>SUM(C21:C22)</f>
        <v/>
      </c>
      <c r="D23" s="17" t="inlineStr"/>
      <c r="E23" s="17" t="inlineStr"/>
    </row>
    <row r="24">
      <c r="A24" s="24" t="inlineStr">
        <is>
          <t>Superficie de catálogo (V5/V6)</t>
        </is>
      </c>
      <c r="B24" s="25" t="n">
        <v>119.54</v>
      </c>
      <c r="C24" s="25" t="inlineStr">
        <is>
          <t>—</t>
        </is>
      </c>
      <c r="D24" s="25" t="inlineStr">
        <is>
          <t>Desviación planimétrica frente al catálogo</t>
        </is>
      </c>
      <c r="E24" s="25" t="inlineStr">
        <is>
          <t>+0.04 %</t>
        </is>
      </c>
    </row>
    <row r="26" ht="108" customHeight="1">
      <c r="A26"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99.93 % del polígono clasificado como «Vegetación alta» por el NDVI 2025; la observación de campo corresponde a una parcela o recorrido puntual y no es estadísticamente representativa de las 119.540 ha del bloque.</t>
        </is>
      </c>
    </row>
  </sheetData>
  <mergeCells count="10">
    <mergeCell ref="A4:E4"/>
    <mergeCell ref="A26:E26"/>
    <mergeCell ref="A2:E2"/>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12</t>
        </is>
      </c>
    </row>
    <row r="6" ht="24" customHeight="1">
      <c r="A6" s="4" t="inlineStr">
        <is>
          <t>Levantamiento del 2026-06-09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625623</v>
      </c>
      <c r="D10" s="26" t="n">
        <v>9444493</v>
      </c>
      <c r="E10" s="15" t="n">
        <v>484.1</v>
      </c>
      <c r="F10" s="15" t="inlineStr"/>
      <c r="G10" s="15" t="inlineStr">
        <is>
          <t>Coordenada consignada en F-DT-01</t>
        </is>
      </c>
    </row>
    <row r="11">
      <c r="A11" s="13" t="inlineStr">
        <is>
          <t>H-01</t>
        </is>
      </c>
      <c r="B11" s="14" t="inlineStr">
        <is>
          <t>Fuente de agua — Reservorio / Represa</t>
        </is>
      </c>
      <c r="C11" s="27" t="n">
        <v>625639</v>
      </c>
      <c r="D11" s="27" t="n">
        <v>9444233</v>
      </c>
      <c r="E11" s="14" t="n">
        <v>732.8</v>
      </c>
      <c r="F11" s="14" t="inlineStr">
        <is>
          <t>Permanente</t>
        </is>
      </c>
      <c r="G11" s="14" t="inlineStr">
        <is>
          <t>Tanque de agua potable</t>
        </is>
      </c>
    </row>
    <row r="12">
      <c r="A12" s="7" t="inlineStr">
        <is>
          <t>H-02</t>
        </is>
      </c>
      <c r="B12" s="15" t="inlineStr">
        <is>
          <t>Fuente de agua — Quebrada permanente</t>
        </is>
      </c>
      <c r="C12" s="26" t="n">
        <v>625255</v>
      </c>
      <c r="D12" s="26" t="n">
        <v>9443634</v>
      </c>
      <c r="E12" s="15" t="n">
        <v>1308.3</v>
      </c>
      <c r="F12" s="15" t="inlineStr">
        <is>
          <t>Permanente</t>
        </is>
      </c>
      <c r="G12" s="15" t="inlineStr">
        <is>
          <t>Quebrada Q9570 (drenaje)</t>
        </is>
      </c>
    </row>
    <row r="13">
      <c r="A13" s="13" t="inlineStr">
        <is>
          <t>B-01</t>
        </is>
      </c>
      <c r="B13" s="14" t="inlineStr">
        <is>
          <t>Especie clave — Nogal (Juglans cf. neotropica)</t>
        </is>
      </c>
      <c r="C13" s="27" t="n">
        <v>625637</v>
      </c>
      <c r="D13" s="27" t="n">
        <v>9444497</v>
      </c>
      <c r="E13" s="14" t="n">
        <v>486.6</v>
      </c>
      <c r="F13" s="14" t="inlineStr">
        <is>
          <t>Amenazada D.S. 043</t>
        </is>
      </c>
      <c r="G13" s="14" t="inlineStr">
        <is>
          <t>VU — Vulnerable</t>
        </is>
      </c>
    </row>
    <row r="14">
      <c r="A14" s="7" t="inlineStr">
        <is>
          <t>B-02</t>
        </is>
      </c>
      <c r="B14" s="15" t="inlineStr">
        <is>
          <t>Especie clave — Romerillo (Podocarpus sp.)</t>
        </is>
      </c>
      <c r="C14" s="26" t="n">
        <v>625255</v>
      </c>
      <c r="D14" s="26" t="n">
        <v>9443634</v>
      </c>
      <c r="E14" s="15" t="n">
        <v>1308.3</v>
      </c>
      <c r="F14" s="15" t="inlineStr">
        <is>
          <t>Indicadora de buen estado</t>
        </is>
      </c>
      <c r="G14" s="15" t="inlineStr">
        <is>
          <t>No aplica</t>
        </is>
      </c>
    </row>
    <row r="15">
      <c r="A15" s="13" t="inlineStr">
        <is>
          <t>B-03</t>
        </is>
      </c>
      <c r="B15" s="14" t="inlineStr">
        <is>
          <t>Especie clave — Higuerón (Ficus sp.)</t>
        </is>
      </c>
      <c r="C15" s="27" t="n">
        <v>624557</v>
      </c>
      <c r="D15" s="27" t="n">
        <v>9444014</v>
      </c>
      <c r="E15" s="14" t="n">
        <v>1259.3</v>
      </c>
      <c r="F15" s="14" t="inlineStr">
        <is>
          <t>Indicadora de buen estado</t>
        </is>
      </c>
      <c r="G15" s="14" t="inlineStr">
        <is>
          <t>LC</t>
        </is>
      </c>
    </row>
    <row r="16">
      <c r="A16" s="16" t="inlineStr">
        <is>
          <t>TOTAL: 6 puntos</t>
        </is>
      </c>
      <c r="B16" s="17" t="inlineStr"/>
      <c r="C16" s="17" t="inlineStr"/>
      <c r="D16" s="17" t="inlineStr"/>
      <c r="E16" s="17" t="inlineStr"/>
      <c r="F16" s="17" t="inlineStr"/>
      <c r="G16" s="17" t="inlineStr"/>
    </row>
    <row r="18">
      <c r="A18" s="6" t="inlineStr">
        <is>
          <t>Centroide del bloque — UTM ESTE (m)</t>
        </is>
      </c>
      <c r="B18" s="7" t="n">
        <v>625419</v>
      </c>
      <c r="C18" s="6" t="inlineStr">
        <is>
          <t>Centroide del bloque — UTM NORTE (m)</t>
        </is>
      </c>
      <c r="D18" s="7" t="n">
        <v>9444932</v>
      </c>
      <c r="E18" s="8" t="n"/>
      <c r="F18" s="8" t="n"/>
      <c r="G18" s="8" t="n"/>
      <c r="H18" s="8" t="n"/>
    </row>
    <row r="19">
      <c r="A19" s="6" t="inlineStr">
        <is>
          <t>N.° de estaciones fotográficas declaradas</t>
        </is>
      </c>
      <c r="B19" s="7" t="inlineStr">
        <is>
          <t>Sin registro en la ficha DT</t>
        </is>
      </c>
      <c r="C19" s="6" t="inlineStr">
        <is>
          <t>Estaciones dentro del polígono</t>
        </is>
      </c>
      <c r="D19" s="7" t="inlineStr">
        <is>
          <t>Por determinar</t>
        </is>
      </c>
      <c r="E19" s="8" t="n"/>
      <c r="F19" s="8" t="n"/>
      <c r="G19" s="8" t="n"/>
      <c r="H19" s="8" t="n"/>
    </row>
    <row r="21" ht="108" customHeight="1">
      <c r="A21"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Acceso a pie por camino de herradura accidentado tras lluvia intensa; solo se accedió al sector SUR del bloque, que presenta cobertura alta (MSAVI &gt;0.61) y estabilidad general. ALTITUD: el equipo de campo refirió ~1400 msnm; el MDE indica ~1650-1850 m para el sector accedido y 1671-2218 m para el bloque completo (cima Cerro Rucutuyu). Se recomienda verificar la lectura altimétrica del GPS.</t>
        </is>
      </c>
    </row>
  </sheetData>
  <mergeCells count="8">
    <mergeCell ref="A1:G1"/>
    <mergeCell ref="A8:G8"/>
    <mergeCell ref="A3:G3"/>
    <mergeCell ref="A6:G6"/>
    <mergeCell ref="A21:G21"/>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12</t>
        </is>
      </c>
    </row>
    <row r="6" ht="24" customHeight="1">
      <c r="A6" s="4" t="inlineStr">
        <is>
          <t>Distrito de Santo Domingo · Provincia de Morropon · Comparación de los bloques preliminares de intervención de la misma microcuenca</t>
        </is>
      </c>
    </row>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1" t="inlineStr">
        <is>
          <t>► 12</t>
        </is>
      </c>
      <c r="B10" s="28" t="n">
        <v>119.54</v>
      </c>
      <c r="C10" s="29" t="n">
        <v>14</v>
      </c>
      <c r="D10" s="12" t="inlineStr">
        <is>
          <t>672 – 2244</t>
        </is>
      </c>
      <c r="E10" s="12" t="n">
        <v>1572</v>
      </c>
      <c r="F10" s="12" t="n">
        <v>27.41</v>
      </c>
      <c r="G10" s="30" t="n">
        <v>0.7067</v>
      </c>
      <c r="H10" s="29" t="n">
        <v>99.93000000000001</v>
      </c>
    </row>
    <row r="11">
      <c r="A11" s="13" t="inlineStr">
        <is>
          <t>11</t>
        </is>
      </c>
      <c r="B11" s="31" t="n">
        <v>103.95</v>
      </c>
      <c r="C11" s="21" t="n">
        <v>12.17</v>
      </c>
      <c r="D11" s="14" t="inlineStr">
        <is>
          <t>1375 – 1928</t>
        </is>
      </c>
      <c r="E11" s="14" t="n">
        <v>553</v>
      </c>
      <c r="F11" s="14" t="n">
        <v>32.19</v>
      </c>
      <c r="G11" s="20" t="n">
        <v>0.6047</v>
      </c>
      <c r="H11" s="21" t="n">
        <v>75.28</v>
      </c>
    </row>
    <row r="12">
      <c r="A12" s="7" t="inlineStr">
        <is>
          <t>17</t>
        </is>
      </c>
      <c r="B12" s="32" t="n">
        <v>96.08</v>
      </c>
      <c r="C12" s="19" t="n">
        <v>11.25</v>
      </c>
      <c r="D12" s="15" t="inlineStr">
        <is>
          <t>1253 – 1880</t>
        </is>
      </c>
      <c r="E12" s="15" t="n">
        <v>627</v>
      </c>
      <c r="F12" s="15" t="n">
        <v>35.56</v>
      </c>
      <c r="G12" s="18" t="n">
        <v>0.6479</v>
      </c>
      <c r="H12" s="19" t="n">
        <v>88.68000000000001</v>
      </c>
    </row>
    <row r="13">
      <c r="A13" s="13" t="inlineStr">
        <is>
          <t>14</t>
        </is>
      </c>
      <c r="B13" s="31" t="n">
        <v>92.90000000000001</v>
      </c>
      <c r="C13" s="21" t="n">
        <v>10.88</v>
      </c>
      <c r="D13" s="14" t="inlineStr">
        <is>
          <t>87 – 1355</t>
        </is>
      </c>
      <c r="E13" s="14" t="n">
        <v>1268</v>
      </c>
      <c r="F13" s="14" t="n">
        <v>23.75</v>
      </c>
      <c r="G13" s="20" t="n">
        <v>0.5197000000000001</v>
      </c>
      <c r="H13" s="21" t="n">
        <v>58.89</v>
      </c>
    </row>
    <row r="14">
      <c r="A14" s="7" t="inlineStr">
        <is>
          <t>15</t>
        </is>
      </c>
      <c r="B14" s="32" t="n">
        <v>86.15000000000001</v>
      </c>
      <c r="C14" s="19" t="n">
        <v>10.09</v>
      </c>
      <c r="D14" s="15" t="inlineStr">
        <is>
          <t>1199 – 1655</t>
        </is>
      </c>
      <c r="E14" s="15" t="n">
        <v>456</v>
      </c>
      <c r="F14" s="15" t="n">
        <v>26.19</v>
      </c>
      <c r="G14" s="18" t="n">
        <v>0.5605</v>
      </c>
      <c r="H14" s="19" t="n">
        <v>56.47</v>
      </c>
    </row>
    <row r="15">
      <c r="A15" s="13" t="inlineStr">
        <is>
          <t>23</t>
        </is>
      </c>
      <c r="B15" s="31" t="n">
        <v>81.78</v>
      </c>
      <c r="C15" s="21" t="n">
        <v>9.58</v>
      </c>
      <c r="D15" s="14" t="inlineStr">
        <is>
          <t>521 – 973</t>
        </is>
      </c>
      <c r="E15" s="14" t="n">
        <v>452</v>
      </c>
      <c r="F15" s="14" t="n">
        <v>35.28</v>
      </c>
      <c r="G15" s="20" t="n">
        <v>0.5731000000000001</v>
      </c>
      <c r="H15" s="21" t="n">
        <v>47.99</v>
      </c>
    </row>
    <row r="16">
      <c r="A16" s="7" t="inlineStr">
        <is>
          <t>42</t>
        </is>
      </c>
      <c r="B16" s="32" t="n">
        <v>80.62</v>
      </c>
      <c r="C16" s="19" t="n">
        <v>9.44</v>
      </c>
      <c r="D16" s="15" t="inlineStr">
        <is>
          <t>1131 – 1548</t>
        </is>
      </c>
      <c r="E16" s="15" t="n">
        <v>417</v>
      </c>
      <c r="F16" s="15" t="n">
        <v>27.86</v>
      </c>
      <c r="G16" s="18" t="n">
        <v>0.6348</v>
      </c>
      <c r="H16" s="19" t="n">
        <v>88.83</v>
      </c>
    </row>
    <row r="17">
      <c r="A17" s="13" t="inlineStr">
        <is>
          <t>M19B2</t>
        </is>
      </c>
      <c r="B17" s="31" t="n">
        <v>74.37</v>
      </c>
      <c r="C17" s="21" t="n">
        <v>8.710000000000001</v>
      </c>
      <c r="D17" s="14" t="inlineStr">
        <is>
          <t>203 – 523</t>
        </is>
      </c>
      <c r="E17" s="14" t="n">
        <v>320</v>
      </c>
      <c r="F17" s="14" t="n">
        <v>21.71</v>
      </c>
      <c r="G17" s="20" t="n">
        <v>0.4012</v>
      </c>
      <c r="H17" s="21" t="n">
        <v>1.28</v>
      </c>
    </row>
    <row r="18">
      <c r="A18" s="7" t="inlineStr">
        <is>
          <t>82</t>
        </is>
      </c>
      <c r="B18" s="32" t="n">
        <v>35.66</v>
      </c>
      <c r="C18" s="19" t="n">
        <v>4.18</v>
      </c>
      <c r="D18" s="15" t="inlineStr">
        <is>
          <t>1796 – 2098</t>
        </is>
      </c>
      <c r="E18" s="15" t="n">
        <v>302</v>
      </c>
      <c r="F18" s="15" t="n">
        <v>23.55</v>
      </c>
      <c r="G18" s="18" t="n">
        <v>0.6283</v>
      </c>
      <c r="H18" s="19" t="n">
        <v>90.06999999999999</v>
      </c>
    </row>
    <row r="19">
      <c r="A19" s="13" t="inlineStr">
        <is>
          <t>78</t>
        </is>
      </c>
      <c r="B19" s="31" t="n">
        <v>35.1</v>
      </c>
      <c r="C19" s="21" t="n">
        <v>4.11</v>
      </c>
      <c r="D19" s="14" t="inlineStr">
        <is>
          <t>1908 – 2236</t>
        </is>
      </c>
      <c r="E19" s="14" t="n">
        <v>328</v>
      </c>
      <c r="F19" s="14" t="n">
        <v>30.64</v>
      </c>
      <c r="G19" s="20" t="n">
        <v>0.7074</v>
      </c>
      <c r="H19" s="21" t="n">
        <v>89.33</v>
      </c>
    </row>
    <row r="20">
      <c r="A20" s="7" t="inlineStr">
        <is>
          <t>M19B7</t>
        </is>
      </c>
      <c r="B20" s="32" t="n">
        <v>34.17</v>
      </c>
      <c r="C20" s="19" t="n">
        <v>4</v>
      </c>
      <c r="D20" s="15" t="inlineStr">
        <is>
          <t>1213 – 1578</t>
        </is>
      </c>
      <c r="E20" s="15" t="n">
        <v>365</v>
      </c>
      <c r="F20" s="15" t="n">
        <v>28.15</v>
      </c>
      <c r="G20" s="18" t="n">
        <v>0.5919</v>
      </c>
      <c r="H20" s="19" t="n">
        <v>78.52</v>
      </c>
    </row>
    <row r="21">
      <c r="A21" s="13" t="inlineStr">
        <is>
          <t>59</t>
        </is>
      </c>
      <c r="B21" s="31" t="n">
        <v>13.55</v>
      </c>
      <c r="C21" s="21" t="n">
        <v>1.59</v>
      </c>
      <c r="D21" s="14" t="inlineStr">
        <is>
          <t>2045 – 2218</t>
        </is>
      </c>
      <c r="E21" s="14" t="n">
        <v>173</v>
      </c>
      <c r="F21" s="14" t="n">
        <v>29.85</v>
      </c>
      <c r="G21" s="20" t="n">
        <v>0.6147</v>
      </c>
      <c r="H21" s="21" t="n">
        <v>86.56999999999999</v>
      </c>
    </row>
    <row r="22">
      <c r="A22" s="16" t="inlineStr">
        <is>
          <t>TOTAL / PROMEDIO</t>
        </is>
      </c>
      <c r="B22" s="33">
        <f>SUM(B10:B21)</f>
        <v/>
      </c>
      <c r="C22" s="23">
        <f>SUM(C10:C21)</f>
        <v/>
      </c>
      <c r="D22" s="17" t="inlineStr">
        <is>
          <t>87 – 2244</t>
        </is>
      </c>
      <c r="E22" s="17" t="inlineStr"/>
      <c r="F22" s="17">
        <f>ROUND(AVERAGE(F10:F21),2)</f>
        <v/>
      </c>
      <c r="G22" s="22">
        <f>ROUND(AVERAGE(G10:G21),4)</f>
        <v/>
      </c>
      <c r="H22" s="23">
        <f>ROUND(AVERAGE(H10:H21),2)</f>
        <v/>
      </c>
    </row>
    <row r="24" ht="84" customHeight="1">
      <c r="A24" s="9" t="inlineStr">
        <is>
          <t>LECTURA INTRAMICROCUENCA. El bloque 12 ocupa el puesto 1 de 12 por superficie dentro de la microcuenca C1086-Q9570 (14.00 % de las 853.87 ha preliminares de la microcuenca). Su pendiente promedio (27.41 %, clase «25-50% (Mod. escarpado)») es la 5.ª más baja de 12 y se sitúa por debajo del promedio de la microcuenca (28.51 %). Su MSAVI 2024 (0.7067) es el 2.º de 12 y queda por encima del promedio local (0.5993). Amplitud altitudinal del bloque: 1572 m (672–2244 msnm). El cuadro conserva todos los bloques catalogados en la microcuenca, incluidos los descartados en el tamizaje, para referencia del conjunto. Los bloques sin ficha DT figuran con sus parámetros de gabinete.</t>
        </is>
      </c>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6:H26"/>
    <mergeCell ref="A24:H24"/>
    <mergeCell ref="A2:H2"/>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12</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«C1086-Q9570»</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484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(119.587 ha) coincide con la de catálogo (119.54 ha) dentro del ±2 % (+0.04 %)</t>
        </is>
      </c>
      <c r="D12" s="35" t="inlineStr">
        <is>
          <t>CONFORME</t>
        </is>
      </c>
      <c r="E12" s="34" t="inlineStr">
        <is>
          <t>Sin acción: la segmentación valida la geometría del bloque.</t>
        </is>
      </c>
    </row>
    <row r="13" ht="48" customHeight="1">
      <c r="A13" s="36" t="inlineStr">
        <is>
          <t>D-04</t>
        </is>
      </c>
      <c r="B13" s="36" t="inlineStr">
        <is>
          <t>Rango altitudinal / piso ecológico</t>
        </is>
      </c>
      <c r="C13" s="36" t="inlineStr">
        <is>
          <t>La ficha DT declara «1500-2000 m (Quechua media)»; el MDE sitúa el bloque entre 672 y 2244 msnm, cuyo punto medio corresponde a «1000-1500 m (Quechua baja)»</t>
        </is>
      </c>
      <c r="D13" s="12" t="inlineStr">
        <is>
          <t>NO SUSTANTIVA</t>
        </is>
      </c>
      <c r="E13" s="36" t="inlineStr">
        <is>
          <t>Se declara la divergencia. El bloque abarca más de un piso altitudinal cuando la amplitud supera el ancho de la clase; el registro de campo corresponde al sector recorrido.</t>
        </is>
      </c>
    </row>
    <row r="14" ht="48" customHeight="1">
      <c r="A14" s="34" t="inlineStr">
        <is>
          <t>D-05</t>
        </is>
      </c>
      <c r="B14" s="34" t="inlineStr">
        <is>
          <t>Centro poblado asociado</t>
        </is>
      </c>
      <c r="C14" s="34" t="inlineStr">
        <is>
          <t>La ficha DT declara «Chacayo (Santo Domingo)»; el cruce INEI-Bloques V5 identifica 2 centro(s) poblado(s) en el bloque: CHACAYO, SANTO DOMINGO</t>
        </is>
      </c>
      <c r="D14" s="35" t="inlineStr">
        <is>
          <t>CONFORME</t>
        </is>
      </c>
      <c r="E14" s="34" t="inlineStr">
        <is>
          <t>Se conserva el registro de campo como referencia y se adopta el listado INEI para el diagnóstico social y el cálculo de población beneficiaria.</t>
        </is>
      </c>
    </row>
    <row r="15" ht="48" customHeight="1">
      <c r="A15" s="36" t="inlineStr">
        <is>
          <t>D-06</t>
        </is>
      </c>
      <c r="B15" s="36" t="inlineStr">
        <is>
          <t>Peligro integrado (MCA-AHP)</t>
        </is>
      </c>
      <c r="C15" s="36" t="inlineStr">
        <is>
          <t>El nivel de peligro integrado no está disponible en los insumos de este entregable</t>
        </is>
      </c>
      <c r="D15" s="37" t="inlineStr">
        <is>
          <t>SUSTANTIVA</t>
        </is>
      </c>
      <c r="E15" s="36" t="inlineStr">
        <is>
          <t>Debe tomarse del modelamiento de mesolocalización (PMM + EPH + PGI ponderados por AHP) antes de fijar la prioridad definitiva de intervención del bloque.</t>
        </is>
      </c>
    </row>
    <row r="17">
      <c r="A17" s="16" t="inlineStr">
        <is>
          <t>RESUMEN</t>
        </is>
      </c>
      <c r="B17" s="17" t="inlineStr">
        <is>
          <t>6 verificaciones</t>
        </is>
      </c>
      <c r="C17" s="17" t="inlineStr">
        <is>
          <t>CONFORME: 4 · NO SUSTANTIVA: 1 · SUSTANTIVA: 1</t>
        </is>
      </c>
      <c r="D17" s="17" t="inlineStr"/>
      <c r="E17" s="17" t="inlineStr"/>
    </row>
    <row r="19" ht="60" customHeight="1">
      <c r="A1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9:E19"/>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12 — IN Piura</dc:title>
  <dc:subject>Diagnóstico Territorial por bloque de intervención</dc:subject>
  <dcterms:created xsi:type="dcterms:W3CDTF">2026-09-08T03:39:55Z</dcterms:created>
  <dcterms:modified xsi:type="dcterms:W3CDTF">2026-09-08T03:39:55Z</dcterms:modified>
</cp:coreProperties>
</file>