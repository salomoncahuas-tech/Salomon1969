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Chacayo (Santo Domingo)</t>
        </is>
      </c>
      <c r="C13" s="6" t="inlineStr">
        <is>
          <t>Comunidad campesina</t>
        </is>
      </c>
      <c r="D13" s="7" t="inlineStr">
        <is>
          <t>Por verificar</t>
        </is>
      </c>
      <c r="E13" s="8" t="n"/>
      <c r="F13" s="8" t="n"/>
    </row>
    <row r="14">
      <c r="A14" s="6" t="inlineStr">
        <is>
          <t>Superficie de catálogo (V5/V6), ha</t>
        </is>
      </c>
      <c r="B14" s="7" t="n">
        <v>119.54</v>
      </c>
      <c r="C14" s="6" t="inlineStr">
        <is>
          <t>Fuente de superficie</t>
        </is>
      </c>
      <c r="D14" s="7" t="inlineStr">
        <is>
          <t>Catálogo maestro Bloques V5/V6</t>
        </is>
      </c>
      <c r="E14" s="8" t="n"/>
      <c r="F14" s="8" t="n"/>
    </row>
    <row r="15">
      <c r="A15" s="6" t="inlineStr">
        <is>
          <t>Centroide UTM ESTE (m)</t>
        </is>
      </c>
      <c r="B15" s="7" t="n">
        <v>625419</v>
      </c>
      <c r="C15" s="6" t="inlineStr">
        <is>
          <t>Centroide UTM NORTE (m)</t>
        </is>
      </c>
      <c r="D15" s="7" t="n">
        <v>9444932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672</v>
      </c>
      <c r="C19" s="6" t="inlineStr">
        <is>
          <t>Altitud máxima (msnm)</t>
        </is>
      </c>
      <c r="D19" s="7" t="n">
        <v>2244</v>
      </c>
      <c r="E19" s="8" t="n"/>
      <c r="F19" s="8" t="n"/>
    </row>
    <row r="20">
      <c r="A20" s="6" t="inlineStr">
        <is>
          <t>Amplitud altitudinal (m)</t>
        </is>
      </c>
      <c r="B20" s="7" t="n">
        <v>1572</v>
      </c>
      <c r="C20" s="6" t="inlineStr">
        <is>
          <t>Piso altitudinal dominante</t>
        </is>
      </c>
      <c r="D20" s="7" t="inlineStr">
        <is>
          <t>1000-1500 m (Quechua baja)</t>
        </is>
      </c>
      <c r="E20" s="8" t="n"/>
      <c r="F20" s="8" t="n"/>
    </row>
    <row r="21">
      <c r="A21" s="6" t="inlineStr">
        <is>
          <t>Pendiente promedio (%)</t>
        </is>
      </c>
      <c r="B21" s="7" t="n">
        <v>27.41</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0.7067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(99.93 %)</t>
        </is>
      </c>
      <c r="E29" s="8" t="n"/>
      <c r="F29" s="8" t="n"/>
    </row>
    <row r="30">
      <c r="A30" s="6" t="inlineStr">
        <is>
          <t>Superficie clasificada NDVI 2025 (ha)</t>
        </is>
      </c>
      <c r="B30" s="7" t="n">
        <v>119.587</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Relicto Montano V. Occidental (BMVO)</t>
        </is>
      </c>
      <c r="C33" s="6" t="inlineStr">
        <is>
          <t>Superficie de ecosistema (ha)</t>
        </is>
      </c>
      <c r="D33" s="7" t="inlineStr">
        <is>
          <t>119.54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Ing. Pedro Talledo Hernández; Ing. Juan Carlos Domínguez Varas</t>
        </is>
      </c>
      <c r="C41" s="6" t="inlineStr">
        <is>
          <t>Fecha de evaluación</t>
        </is>
      </c>
      <c r="D41" s="7" t="inlineStr">
        <is>
          <t>2026-06-09</t>
        </is>
      </c>
      <c r="E41" s="8" t="n"/>
      <c r="F41" s="8" t="n"/>
    </row>
    <row r="42">
      <c r="A42" s="6" t="inlineStr">
        <is>
          <t>Hora de registro</t>
        </is>
      </c>
      <c r="B42" s="7" t="inlineStr">
        <is>
          <t>15:39 - 17:04 h</t>
        </is>
      </c>
      <c r="C42" s="6" t="inlineStr">
        <is>
          <t>Correlativo de ficha</t>
        </is>
      </c>
      <c r="D42" s="7" t="inlineStr">
        <is>
          <t>B12-2026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Sector sur (accedido)</t>
        </is>
      </c>
      <c r="E44" s="8" t="n"/>
      <c r="F44" s="8" t="n"/>
    </row>
    <row r="45">
      <c r="A45" s="6" t="inlineStr">
        <is>
          <t>Estaciones fotográficas georreferenciadas</t>
        </is>
      </c>
      <c r="B45" s="7" t="inlineStr">
        <is>
          <t>Sin registro en la ficha DT</t>
        </is>
      </c>
      <c r="C45" s="6" t="inlineStr">
        <is>
          <t>Modalidad de acceso</t>
        </is>
      </c>
      <c r="D45" s="7" t="inlineStr">
        <is>
          <t>Vehicular + caminata &gt;90 min</t>
        </is>
      </c>
      <c r="E45" s="8" t="n"/>
      <c r="F45" s="8" t="n"/>
    </row>
    <row r="47" ht="18" customHeight="1">
      <c r="A47" s="5" t="inlineStr">
        <is>
          <t>6. SÍNTESIS PARA LA GESTIÓN DEL RIESGO EN CONTEXTO DE CAMBIO CLIMÁTICO</t>
        </is>
      </c>
    </row>
    <row r="48">
      <c r="A48" s="6" t="inlineStr">
        <is>
          <t>Causa subyacente principal</t>
        </is>
      </c>
      <c r="B48" s="7" t="inlineStr">
        <is>
          <t>Expansión de la frontera agropecuaria de subsistencia en economía campesina, sin ordenamiento territorial ni manejo del ecosistema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0.706689</v>
      </c>
      <c r="C15" s="17" t="inlineStr">
        <is>
          <t>—</t>
        </is>
      </c>
      <c r="D15" s="17" t="inlineStr">
        <is>
          <t>Vigor alto · clase &gt; 0.6139</t>
        </is>
      </c>
      <c r="E15" s="17" t="inlineStr">
        <is>
          <t>Sobre umbral</t>
        </is>
      </c>
    </row>
    <row r="17" ht="72" customHeight="1">
      <c r="A17" s="9" t="inlineStr">
        <is>
          <t>NOTA METODOLÓGICA. La media del MSAVI 2024 del bloque (0.706689)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119.508</v>
      </c>
      <c r="C21" s="19" t="n">
        <v>99.93000000000001</v>
      </c>
      <c r="D21" s="15" t="inlineStr">
        <is>
          <t>Dosel continuo, matorral denso o mosaico agroforestal</t>
        </is>
      </c>
      <c r="E21" s="15" t="inlineStr"/>
    </row>
    <row r="22">
      <c r="A22" s="13" t="inlineStr">
        <is>
          <t>Vegetación mediana</t>
        </is>
      </c>
      <c r="B22" s="20" t="n">
        <v>0.07920000000000001</v>
      </c>
      <c r="C22" s="21" t="n">
        <v>0.07000000000000001</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119.54</v>
      </c>
      <c r="C24" s="25" t="inlineStr">
        <is>
          <t>—</t>
        </is>
      </c>
      <c r="D24" s="25" t="inlineStr">
        <is>
          <t>Desviación planimétrica frente al catálogo</t>
        </is>
      </c>
      <c r="E24" s="25" t="inlineStr">
        <is>
          <t>+0.04 %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99.93 % del polígono clasificado como «Vegetación alta» por el NDVI 2025; la observación de campo corresponde a una parcela o recorrido puntual y no es estadísticamente representativa de las 119.540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12</t>
        </is>
      </c>
    </row>
    <row r="6" ht="24" customHeight="1">
      <c r="A6" s="4" t="inlineStr">
        <is>
          <t>Levantamiento del 2026-06-09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625623</v>
      </c>
      <c r="D10" s="26" t="n">
        <v>9444493</v>
      </c>
      <c r="E10" s="15" t="n">
        <v>484.1</v>
      </c>
      <c r="F10" s="15" t="inlineStr"/>
      <c r="G10" s="15" t="inlineStr">
        <is>
          <t>Coordenada consignada en F-DT-01</t>
        </is>
      </c>
    </row>
    <row r="11">
      <c r="A11" s="13" t="inlineStr">
        <is>
          <t>H-01</t>
        </is>
      </c>
      <c r="B11" s="14" t="inlineStr">
        <is>
          <t>Fuente de agua — Reservorio / Represa</t>
        </is>
      </c>
      <c r="C11" s="27" t="n">
        <v>625639</v>
      </c>
      <c r="D11" s="27" t="n">
        <v>9444233</v>
      </c>
      <c r="E11" s="14" t="n">
        <v>732.8</v>
      </c>
      <c r="F11" s="14" t="inlineStr">
        <is>
          <t>Permanente</t>
        </is>
      </c>
      <c r="G11" s="14" t="inlineStr">
        <is>
          <t>Tanque de agua potable</t>
        </is>
      </c>
    </row>
    <row r="12">
      <c r="A12" s="7" t="inlineStr">
        <is>
          <t>H-02</t>
        </is>
      </c>
      <c r="B12" s="15" t="inlineStr">
        <is>
          <t>Fuente de agua — Quebrada permanente</t>
        </is>
      </c>
      <c r="C12" s="26" t="n">
        <v>625255</v>
      </c>
      <c r="D12" s="26" t="n">
        <v>9443634</v>
      </c>
      <c r="E12" s="15" t="n">
        <v>1308.3</v>
      </c>
      <c r="F12" s="15" t="inlineStr">
        <is>
          <t>Permanente</t>
        </is>
      </c>
      <c r="G12" s="15" t="inlineStr">
        <is>
          <t>Quebrada Q9570 (drenaje)</t>
        </is>
      </c>
    </row>
    <row r="13">
      <c r="A13" s="13" t="inlineStr">
        <is>
          <t>B-01</t>
        </is>
      </c>
      <c r="B13" s="14" t="inlineStr">
        <is>
          <t>Especie clave — Nogal (Juglans cf. neotropica)</t>
        </is>
      </c>
      <c r="C13" s="27" t="n">
        <v>625637</v>
      </c>
      <c r="D13" s="27" t="n">
        <v>9444497</v>
      </c>
      <c r="E13" s="14" t="n">
        <v>486.6</v>
      </c>
      <c r="F13" s="14" t="inlineStr">
        <is>
          <t>Amenazada D.S. 043</t>
        </is>
      </c>
      <c r="G13" s="14" t="inlineStr">
        <is>
          <t>VU — Vulnerable</t>
        </is>
      </c>
    </row>
    <row r="14">
      <c r="A14" s="7" t="inlineStr">
        <is>
          <t>B-02</t>
        </is>
      </c>
      <c r="B14" s="15" t="inlineStr">
        <is>
          <t>Especie clave — Romerillo (Podocarpus sp.)</t>
        </is>
      </c>
      <c r="C14" s="26" t="n">
        <v>625255</v>
      </c>
      <c r="D14" s="26" t="n">
        <v>9443634</v>
      </c>
      <c r="E14" s="15" t="n">
        <v>1308.3</v>
      </c>
      <c r="F14" s="15" t="inlineStr">
        <is>
          <t>Indicadora de buen estado</t>
        </is>
      </c>
      <c r="G14" s="15" t="inlineStr">
        <is>
          <t>No aplica</t>
        </is>
      </c>
    </row>
    <row r="15">
      <c r="A15" s="13" t="inlineStr">
        <is>
          <t>B-03</t>
        </is>
      </c>
      <c r="B15" s="14" t="inlineStr">
        <is>
          <t>Especie clave — Higuerón (Ficus sp.)</t>
        </is>
      </c>
      <c r="C15" s="27" t="n">
        <v>624557</v>
      </c>
      <c r="D15" s="27" t="n">
        <v>9444014</v>
      </c>
      <c r="E15" s="14" t="n">
        <v>1259.3</v>
      </c>
      <c r="F15" s="14" t="inlineStr">
        <is>
          <t>Indicadora de buen estado</t>
        </is>
      </c>
      <c r="G15" s="14" t="inlineStr">
        <is>
          <t>LC</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625419</v>
      </c>
      <c r="C18" s="6" t="inlineStr">
        <is>
          <t>Centroide del bloque — UTM NORTE (m)</t>
        </is>
      </c>
      <c r="D18" s="7" t="n">
        <v>9444932</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 pie por camino de herradura accidentado tras lluvia intensa; solo se accedió al sector SUR del bloque, que presenta cobertura alta (MSAVI &gt;0.61) y estabilidad general. ALTITUD: el equipo de campo refirió ~1400 msnm; el MDE indica ~1650-1850 m para el sector accedido y 1671-2218 m para el bloque completo (cima Cerro Rucutuyu). Se recomienda verificar la lectura altimétrica del GPS.</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12</t>
        </is>
      </c>
      <c r="B10" s="28" t="n">
        <v>119.54</v>
      </c>
      <c r="C10" s="29" t="n">
        <v>14</v>
      </c>
      <c r="D10" s="12" t="inlineStr">
        <is>
          <t>672 – 2244</t>
        </is>
      </c>
      <c r="E10" s="12" t="n">
        <v>1572</v>
      </c>
      <c r="F10" s="12" t="n">
        <v>27.41</v>
      </c>
      <c r="G10" s="30" t="n">
        <v>0.7067</v>
      </c>
      <c r="H10" s="29" t="n">
        <v>99.93000000000001</v>
      </c>
    </row>
    <row r="11">
      <c r="A11" s="13" t="inlineStr">
        <is>
          <t>11</t>
        </is>
      </c>
      <c r="B11" s="31" t="n">
        <v>103.95</v>
      </c>
      <c r="C11" s="21" t="n">
        <v>12.17</v>
      </c>
      <c r="D11" s="14" t="inlineStr">
        <is>
          <t>1375 – 1928</t>
        </is>
      </c>
      <c r="E11" s="14" t="n">
        <v>553</v>
      </c>
      <c r="F11" s="14" t="n">
        <v>32.19</v>
      </c>
      <c r="G11" s="20" t="n">
        <v>0.6047</v>
      </c>
      <c r="H11" s="21" t="n">
        <v>75.28</v>
      </c>
    </row>
    <row r="12">
      <c r="A12" s="7" t="inlineStr">
        <is>
          <t>17</t>
        </is>
      </c>
      <c r="B12" s="32" t="n">
        <v>96.08</v>
      </c>
      <c r="C12" s="19" t="n">
        <v>11.25</v>
      </c>
      <c r="D12" s="15" t="inlineStr">
        <is>
          <t>1253 – 1880</t>
        </is>
      </c>
      <c r="E12" s="15" t="n">
        <v>627</v>
      </c>
      <c r="F12" s="15" t="n">
        <v>35.56</v>
      </c>
      <c r="G12" s="18" t="n">
        <v>0.6479</v>
      </c>
      <c r="H12" s="19" t="n">
        <v>88.68000000000001</v>
      </c>
    </row>
    <row r="13">
      <c r="A13" s="13" t="inlineStr">
        <is>
          <t>14</t>
        </is>
      </c>
      <c r="B13" s="31" t="n">
        <v>92.90000000000001</v>
      </c>
      <c r="C13" s="21" t="n">
        <v>10.88</v>
      </c>
      <c r="D13" s="14" t="inlineStr">
        <is>
          <t>87 – 1355</t>
        </is>
      </c>
      <c r="E13" s="14" t="n">
        <v>1268</v>
      </c>
      <c r="F13" s="14" t="n">
        <v>23.75</v>
      </c>
      <c r="G13" s="20" t="n">
        <v>0.5197000000000001</v>
      </c>
      <c r="H13" s="21" t="n">
        <v>58.89</v>
      </c>
    </row>
    <row r="14">
      <c r="A14" s="7" t="inlineStr">
        <is>
          <t>15</t>
        </is>
      </c>
      <c r="B14" s="32" t="n">
        <v>86.15000000000001</v>
      </c>
      <c r="C14" s="19" t="n">
        <v>10.09</v>
      </c>
      <c r="D14" s="15" t="inlineStr">
        <is>
          <t>1199 – 1655</t>
        </is>
      </c>
      <c r="E14" s="15" t="n">
        <v>456</v>
      </c>
      <c r="F14" s="15" t="n">
        <v>26.19</v>
      </c>
      <c r="G14" s="18" t="n">
        <v>0.5605</v>
      </c>
      <c r="H14" s="19" t="n">
        <v>56.47</v>
      </c>
    </row>
    <row r="15">
      <c r="A15" s="13" t="inlineStr">
        <is>
          <t>23</t>
        </is>
      </c>
      <c r="B15" s="31" t="n">
        <v>81.78</v>
      </c>
      <c r="C15" s="21" t="n">
        <v>9.58</v>
      </c>
      <c r="D15" s="14" t="inlineStr">
        <is>
          <t>521 – 973</t>
        </is>
      </c>
      <c r="E15" s="14" t="n">
        <v>452</v>
      </c>
      <c r="F15" s="14" t="n">
        <v>35.28</v>
      </c>
      <c r="G15" s="20" t="n">
        <v>0.5731000000000001</v>
      </c>
      <c r="H15" s="21" t="n">
        <v>47.99</v>
      </c>
    </row>
    <row r="16">
      <c r="A16" s="7" t="inlineStr">
        <is>
          <t>42</t>
        </is>
      </c>
      <c r="B16" s="32" t="n">
        <v>80.62</v>
      </c>
      <c r="C16" s="19" t="n">
        <v>9.44</v>
      </c>
      <c r="D16" s="15" t="inlineStr">
        <is>
          <t>1131 – 1548</t>
        </is>
      </c>
      <c r="E16" s="15" t="n">
        <v>417</v>
      </c>
      <c r="F16" s="15" t="n">
        <v>27.86</v>
      </c>
      <c r="G16" s="18" t="n">
        <v>0.6348</v>
      </c>
      <c r="H16" s="19" t="n">
        <v>88.83</v>
      </c>
    </row>
    <row r="17">
      <c r="A17" s="13" t="inlineStr">
        <is>
          <t>M19B2</t>
        </is>
      </c>
      <c r="B17" s="31" t="n">
        <v>74.37</v>
      </c>
      <c r="C17" s="21" t="n">
        <v>8.710000000000001</v>
      </c>
      <c r="D17" s="14" t="inlineStr">
        <is>
          <t>203 – 523</t>
        </is>
      </c>
      <c r="E17" s="14" t="n">
        <v>320</v>
      </c>
      <c r="F17" s="14" t="n">
        <v>21.71</v>
      </c>
      <c r="G17" s="20" t="n">
        <v>0.4012</v>
      </c>
      <c r="H17" s="21" t="n">
        <v>1.28</v>
      </c>
    </row>
    <row r="18">
      <c r="A18" s="7" t="inlineStr">
        <is>
          <t>82</t>
        </is>
      </c>
      <c r="B18" s="32" t="n">
        <v>35.66</v>
      </c>
      <c r="C18" s="19" t="n">
        <v>4.18</v>
      </c>
      <c r="D18" s="15" t="inlineStr">
        <is>
          <t>1796 – 2098</t>
        </is>
      </c>
      <c r="E18" s="15" t="n">
        <v>302</v>
      </c>
      <c r="F18" s="15" t="n">
        <v>23.55</v>
      </c>
      <c r="G18" s="18" t="n">
        <v>0.6283</v>
      </c>
      <c r="H18" s="19" t="n">
        <v>90.06999999999999</v>
      </c>
    </row>
    <row r="19">
      <c r="A19" s="13" t="inlineStr">
        <is>
          <t>78</t>
        </is>
      </c>
      <c r="B19" s="31" t="n">
        <v>35.1</v>
      </c>
      <c r="C19" s="21" t="n">
        <v>4.11</v>
      </c>
      <c r="D19" s="14" t="inlineStr">
        <is>
          <t>1908 – 2236</t>
        </is>
      </c>
      <c r="E19" s="14" t="n">
        <v>328</v>
      </c>
      <c r="F19" s="14" t="n">
        <v>30.64</v>
      </c>
      <c r="G19" s="20" t="n">
        <v>0.7074</v>
      </c>
      <c r="H19" s="21" t="n">
        <v>89.33</v>
      </c>
    </row>
    <row r="20">
      <c r="A20" s="7" t="inlineStr">
        <is>
          <t>M19B7</t>
        </is>
      </c>
      <c r="B20" s="32" t="n">
        <v>34.17</v>
      </c>
      <c r="C20" s="19" t="n">
        <v>4</v>
      </c>
      <c r="D20" s="15" t="inlineStr">
        <is>
          <t>1213 – 1578</t>
        </is>
      </c>
      <c r="E20" s="15" t="n">
        <v>365</v>
      </c>
      <c r="F20" s="15" t="n">
        <v>28.15</v>
      </c>
      <c r="G20" s="18" t="n">
        <v>0.5919</v>
      </c>
      <c r="H20" s="19" t="n">
        <v>78.52</v>
      </c>
    </row>
    <row r="21">
      <c r="A21" s="13" t="inlineStr">
        <is>
          <t>59</t>
        </is>
      </c>
      <c r="B21" s="31"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12 ocupa el puesto 1 de 12 por superficie dentro de la microcuenca C1086-Q9570 (14.00 % de las 853.87 ha preliminares de la microcuenca). Su pendiente promedio (27.41 %, clase «25-50% (Mod. escarpado)») es la 5.ª más baja de 12 y se sitúa por debajo del promedio de la microcuenca (28.51 %). Su MSAVI 2024 (0.7067) es el 2.º de 12 y queda por encima del promedio local (0.5993). Amplitud altitudinal del bloque: 1572 m (672–2244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(119.587 ha) coincide con la de catálogo (119.54 ha) dentro del ±2 % (+0.04 %)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672 y 2244 msnm, cuyo punto medio corresponde a «1000-1500 m (Quechua baja)»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Centro poblado asociado</t>
        </is>
      </c>
      <c r="C14" s="34" t="inlineStr">
        <is>
          <t>La ficha DT declara «Chacayo (Santo Domingo)»; el cruce INEI-Bloques V5 identifica 2 centro(s) poblado(s) en el bloque: CHACAYO, SANTO DOMINGO</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NO SUSTANTIVA: 1 · SUSTANTIVA: 1</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12 — IN Piura</dc:title>
  <dc:subject>Diagnóstico Territorial por bloque de intervención</dc:subject>
  <dcterms:created xsi:type="dcterms:W3CDTF">2026-09-08T02:45:03Z</dcterms:created>
  <dcterms:modified xsi:type="dcterms:W3CDTF">2026-09-08T02:45:03Z</dcterms:modified>
</cp:coreProperties>
</file>