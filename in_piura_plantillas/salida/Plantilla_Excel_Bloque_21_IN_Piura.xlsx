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21</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 Alto</t>
        </is>
      </c>
      <c r="C13" s="6" t="inlineStr">
        <is>
          <t>Comunidad campesina</t>
        </is>
      </c>
      <c r="D13" s="7" t="inlineStr">
        <is>
          <t>Por verificar (tamizaje predial y diagnóstico social pendientes)</t>
        </is>
      </c>
      <c r="E13" s="8" t="n"/>
      <c r="F13" s="8" t="n"/>
    </row>
    <row r="14">
      <c r="A14" s="6" t="inlineStr">
        <is>
          <t>Superficie de catálogo (V5/V6), ha</t>
        </is>
      </c>
      <c r="B14" s="7" t="n">
        <v>84.23</v>
      </c>
      <c r="C14" s="6" t="inlineStr">
        <is>
          <t>Fuente de superficie</t>
        </is>
      </c>
      <c r="D14" s="7" t="inlineStr">
        <is>
          <t>Catálogo maestro Bloques V5/V6</t>
        </is>
      </c>
      <c r="E14" s="8" t="n"/>
      <c r="F14" s="8" t="n"/>
    </row>
    <row r="15">
      <c r="A15" s="6" t="inlineStr">
        <is>
          <t>Centroide UTM ESTE (m)</t>
        </is>
      </c>
      <c r="B15" s="7" t="n">
        <v>654604</v>
      </c>
      <c r="C15" s="6" t="inlineStr">
        <is>
          <t>Centroide UTM NORTE (m)</t>
        </is>
      </c>
      <c r="D15" s="7" t="n">
        <v>9417736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1353</v>
      </c>
      <c r="C19" s="6" t="inlineStr">
        <is>
          <t>Altitud máxima (msnm)</t>
        </is>
      </c>
      <c r="D19" s="7" t="n">
        <v>2004</v>
      </c>
      <c r="E19" s="8" t="n"/>
      <c r="F19" s="8" t="n"/>
    </row>
    <row r="20">
      <c r="A20" s="6" t="inlineStr">
        <is>
          <t>Amplitud altitudinal (m)</t>
        </is>
      </c>
      <c r="B20" s="7" t="n">
        <v>651</v>
      </c>
      <c r="C20" s="6" t="inlineStr">
        <is>
          <t>Piso altitudinal dominante</t>
        </is>
      </c>
      <c r="D20" s="7" t="inlineStr">
        <is>
          <t>1500-2000 m (Quechua media)</t>
        </is>
      </c>
      <c r="E20" s="8" t="n"/>
      <c r="F20" s="8" t="n"/>
    </row>
    <row r="21">
      <c r="A21" s="6" t="inlineStr">
        <is>
          <t>Pendiente promedio (%)</t>
        </is>
      </c>
      <c r="B21" s="7" t="n">
        <v>31.71</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0.6201</v>
      </c>
      <c r="C28" s="6" t="inlineStr">
        <is>
          <t>MSAVI 2024 — clase de la media</t>
        </is>
      </c>
      <c r="D28" s="7" t="inlineStr">
        <is>
          <t>&gt; 0.6139 (Vigor alto)</t>
        </is>
      </c>
      <c r="E28" s="8" t="n"/>
      <c r="F28" s="8" t="n"/>
    </row>
    <row r="29">
      <c r="A29" s="6" t="inlineStr">
        <is>
          <t>Condición frente al umbral 0.4976</t>
        </is>
      </c>
      <c r="B29" s="7" t="inlineStr">
        <is>
          <t>Sobre umbral · distribución areal: 4.89 % del bloque BAJO el umbral (4.119 ha de 84.230 ha)</t>
        </is>
      </c>
      <c r="C29" s="6" t="inlineStr">
        <is>
          <t>NDVI mediana 2025 — clase modal</t>
        </is>
      </c>
      <c r="D29" s="7" t="inlineStr">
        <is>
          <t>Vegetación alta (89.39 %)</t>
        </is>
      </c>
      <c r="E29" s="8" t="n"/>
      <c r="F29" s="8" t="n"/>
    </row>
    <row r="30">
      <c r="A30" s="6" t="inlineStr">
        <is>
          <t>MSAVI 2024 — superficie BAJO el umbral 0.4976 (ha)</t>
        </is>
      </c>
      <c r="B30" s="7" t="n">
        <v>4.119</v>
      </c>
      <c r="C30" s="6" t="inlineStr">
        <is>
          <t>MSAVI 2024 — % del bloque BAJO el umbral</t>
        </is>
      </c>
      <c r="D30" s="7" t="n">
        <v>4.89</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(21.png)</t>
        </is>
      </c>
      <c r="E31" s="8" t="n"/>
      <c r="F31" s="8" t="n"/>
    </row>
    <row r="32" ht="18" customHeight="1">
      <c r="A32" s="6" t="inlineStr">
        <is>
          <t>Superficie clasificada NDVI 2025 (ha)</t>
        </is>
      </c>
      <c r="B32" s="7" t="n">
        <v>84.244</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Matorral Andino subhúmedo</t>
        </is>
      </c>
      <c r="C35" s="6" t="inlineStr">
        <is>
          <t>Superficie de ecosistema (ha)</t>
        </is>
      </c>
      <c r="D35" s="7" t="inlineStr">
        <is>
          <t>Por determinar (recorte de la capa oficial MINAM)</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90</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(resp. brigada) / Ing. Albert Flores Mendoza (operador RPAS)</t>
        </is>
      </c>
      <c r="C43" s="6" t="inlineStr">
        <is>
          <t>Fecha de evaluación</t>
        </is>
      </c>
      <c r="D43" s="7" t="inlineStr">
        <is>
          <t>2026-08-10</t>
        </is>
      </c>
      <c r="E43" s="8" t="n"/>
      <c r="F43" s="8" t="n"/>
    </row>
    <row r="44">
      <c r="A44" s="6" t="inlineStr">
        <is>
          <t>Hora de registro</t>
        </is>
      </c>
      <c r="B44" s="7" t="inlineStr">
        <is>
          <t>Vuelo 10:40 - 11:20 h (por confirmar con bitácora RPAS)</t>
        </is>
      </c>
      <c r="C44" s="6" t="inlineStr">
        <is>
          <t>Correlativo de ficha</t>
        </is>
      </c>
      <c r="D44" s="7" t="inlineStr">
        <is>
          <t>F-DT-01/B21-2026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 — caracterización por fotointerpretación del vuelo RPAS</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Ocupación productiva de ladera de fuerte pendiente sin prácticas de conservación de suelos, en contexto de accesibilidad vial</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41.736</v>
      </c>
      <c r="C10" s="31" t="n">
        <v>49.55</v>
      </c>
      <c r="D10" s="12" t="inlineStr">
        <is>
          <t>Vigor alto</t>
        </is>
      </c>
      <c r="E10" s="12" t="inlineStr">
        <is>
          <t>Sobre umbral</t>
        </is>
      </c>
    </row>
    <row r="11">
      <c r="A11" s="13" t="inlineStr">
        <is>
          <t>0.4976 - 0.6139</t>
        </is>
      </c>
      <c r="B11" s="20" t="n">
        <v>38.3752</v>
      </c>
      <c r="C11" s="21" t="n">
        <v>45.56</v>
      </c>
      <c r="D11" s="14" t="inlineStr">
        <is>
          <t>Vigor moderado</t>
        </is>
      </c>
      <c r="E11" s="14" t="inlineStr">
        <is>
          <t>Sobre umbral</t>
        </is>
      </c>
    </row>
    <row r="12">
      <c r="A12" s="7" t="inlineStr">
        <is>
          <t>0.3813 - 0.4976</t>
        </is>
      </c>
      <c r="B12" s="18" t="n">
        <v>4.1104</v>
      </c>
      <c r="C12" s="19" t="n">
        <v>4.88</v>
      </c>
      <c r="D12" s="15" t="inlineStr">
        <is>
          <t>Vigor bajo</t>
        </is>
      </c>
      <c r="E12" s="15" t="inlineStr">
        <is>
          <t>BAJO umbral 0.4976</t>
        </is>
      </c>
    </row>
    <row r="13">
      <c r="A13" s="13" t="inlineStr">
        <is>
          <t>0.2650 - 0.3813</t>
        </is>
      </c>
      <c r="B13" s="20" t="n">
        <v>0.008399999999999999</v>
      </c>
      <c r="C13" s="21" t="n">
        <v>0.01</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0.620078</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75.3058</v>
      </c>
      <c r="C22" s="19" t="n">
        <v>89.39</v>
      </c>
      <c r="D22" s="15" t="inlineStr">
        <is>
          <t>Dosel continuo, matorral denso o mosaico agroforestal</t>
        </is>
      </c>
      <c r="E22" s="15" t="inlineStr"/>
    </row>
    <row r="23">
      <c r="A23" s="13" t="inlineStr">
        <is>
          <t>Vegetación mediana</t>
        </is>
      </c>
      <c r="B23" s="20" t="n">
        <v>8.521699999999999</v>
      </c>
      <c r="C23" s="21" t="n">
        <v>10.12</v>
      </c>
      <c r="D23" s="14" t="inlineStr">
        <is>
          <t>Pastizal cultivado, matorral ralo, parcelas agrícolas</t>
        </is>
      </c>
      <c r="E23" s="14" t="inlineStr"/>
    </row>
    <row r="24">
      <c r="A24" s="7" t="inlineStr">
        <is>
          <t>Vegetación ligera</t>
        </is>
      </c>
      <c r="B24" s="18" t="n">
        <v>0.4167</v>
      </c>
      <c r="C24" s="19" t="n">
        <v>0.49</v>
      </c>
      <c r="D24" s="15" t="inlineStr">
        <is>
          <t>Cobertura discontinua, suelo parcialmente expuesto</t>
        </is>
      </c>
      <c r="E24" s="15" t="inlineStr"/>
    </row>
    <row r="25">
      <c r="A25" s="16" t="inlineStr">
        <is>
          <t>TOTAL CLASIFICADO</t>
        </is>
      </c>
      <c r="B25" s="22">
        <f>SUM(B21:B23)</f>
        <v/>
      </c>
      <c r="C25" s="23">
        <f>SUM(C21:C23)</f>
        <v/>
      </c>
      <c r="D25" s="17" t="inlineStr"/>
      <c r="E25" s="17" t="inlineStr"/>
    </row>
    <row r="26">
      <c r="A26" s="24" t="inlineStr">
        <is>
          <t>Superficie de catálogo (V5/V6)</t>
        </is>
      </c>
      <c r="B26" s="25" t="n">
        <v>84.23</v>
      </c>
      <c r="C26" s="25" t="inlineStr">
        <is>
          <t>—</t>
        </is>
      </c>
      <c r="D26" s="25" t="inlineStr">
        <is>
          <t>Desviación planimétrica frente al catálogo</t>
        </is>
      </c>
      <c r="E26" s="25" t="inlineStr">
        <is>
          <t>+0.02 %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89.39 % del polígono clasificado como «Vegetación alta» por el NDVI 2025; la observación de campo corresponde a una parcela o recorrido puntual y no es estadísticamente representativa de las 84.230 ha del bloque.</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21</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654604</v>
      </c>
      <c r="D10" s="26" t="n">
        <v>9417736</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Cauces tributarios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654604</v>
      </c>
      <c r="C15" s="6" t="inlineStr">
        <is>
          <t>Centroide del bloque — UTM NORTE (m)</t>
        </is>
      </c>
      <c r="D15" s="7" t="n">
        <v>9417736</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por VUELO DE DRON (RPAS); no se ejecutó recorrido peatonal interior. Las coordenadas corresponden al CENTROIDE del bloque (catálogo V5), no a un punto GPS de muestreo; la altitud de 1575 msnm es interpolada de curvas de nivel. Rango altitudinal por MDE: 1353-2004 msnm (amplitud 651 m); pendiente promedio zonal 31.71%. El polígono aparece rotulado «B4_2» en la capa MSAVI: reconciliar con el código 21.</t>
        </is>
      </c>
      <c r="B18" s="38" t="n"/>
      <c r="C18" s="38" t="n"/>
      <c r="D18" s="38" t="n"/>
      <c r="E18" s="38" t="n"/>
      <c r="F18" s="38" t="n"/>
      <c r="G18" s="39"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21</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11" t="inlineStr">
        <is>
          <t>► 21</t>
        </is>
      </c>
      <c r="B12" s="30" t="n">
        <v>84.23</v>
      </c>
      <c r="C12" s="31" t="n">
        <v>15.25</v>
      </c>
      <c r="D12" s="12" t="inlineStr">
        <is>
          <t>1353 – 2004</t>
        </is>
      </c>
      <c r="E12" s="12" t="n">
        <v>651</v>
      </c>
      <c r="F12" s="12" t="n">
        <v>31.71</v>
      </c>
      <c r="G12" s="32" t="n">
        <v>0.6201</v>
      </c>
      <c r="H12" s="31" t="n">
        <v>89.39</v>
      </c>
    </row>
    <row r="13">
      <c r="A13" s="13" t="inlineStr">
        <is>
          <t>28</t>
        </is>
      </c>
      <c r="B13" s="29" t="n">
        <v>52.97</v>
      </c>
      <c r="C13" s="21" t="n">
        <v>9.59</v>
      </c>
      <c r="D13" s="14" t="inlineStr">
        <is>
          <t>1462 – 1856</t>
        </is>
      </c>
      <c r="E13" s="14" t="n">
        <v>394</v>
      </c>
      <c r="F13" s="14" t="n">
        <v>30.36</v>
      </c>
      <c r="G13" s="20" t="n">
        <v>0.6394</v>
      </c>
      <c r="H13" s="21" t="n">
        <v>96.64</v>
      </c>
    </row>
    <row r="14">
      <c r="A14" s="7" t="inlineStr">
        <is>
          <t>26</t>
        </is>
      </c>
      <c r="B14" s="28" t="n">
        <v>46.96</v>
      </c>
      <c r="C14" s="19" t="n">
        <v>8.5</v>
      </c>
      <c r="D14" s="15" t="inlineStr">
        <is>
          <t>1260 – 1855</t>
        </is>
      </c>
      <c r="E14" s="15" t="n">
        <v>595</v>
      </c>
      <c r="F14" s="15" t="n">
        <v>32.26</v>
      </c>
      <c r="G14" s="18" t="n">
        <v>0.6733</v>
      </c>
      <c r="H14" s="19"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7" t="inlineStr">
        <is>
          <t>30</t>
        </is>
      </c>
      <c r="B18" s="28" t="n">
        <v>34.87</v>
      </c>
      <c r="C18" s="19" t="n">
        <v>6.31</v>
      </c>
      <c r="D18" s="15" t="inlineStr">
        <is>
          <t>1216 – 1541</t>
        </is>
      </c>
      <c r="E18" s="15" t="n">
        <v>325</v>
      </c>
      <c r="F18" s="15" t="n">
        <v>27.91</v>
      </c>
      <c r="G18" s="18" t="n">
        <v>0.6637999999999999</v>
      </c>
      <c r="H18" s="19"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21 ocupa el puesto 3 de 10 por superficie dentro de la microcuenca C1081-Q9591 (15.25 % de las 552.18 ha preliminares de la microcuenca). Su pendiente promedio (31.71 %, clase «25-50% (Mod. escarpado)») es la 8.ª más baja de 10 y se sitúa por encima del promedio de la microcuenca (29.09 %). Su MSAVI 2024 (0.6201) es el 8.º de 10 y queda por debajo del promedio local (0.6292). Amplitud altitudinal del bloque: 651 m (1353–2004 msnm).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«C1081-Q9591»</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(84.244 ha) coincide con la de catálogo (84.23 ha) dentro del ±2 % (+0.02 %)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0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Centro poblado asociado</t>
        </is>
      </c>
      <c r="C14" s="34" t="inlineStr">
        <is>
          <t>La ficha DT declara «Huamala Alto»; el cruce INEI-Bloques V5 identifica 1 centro(s) poblado(s) en el bloque: HUAMALA ALTO</t>
        </is>
      </c>
      <c r="D14" s="37"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4.89 % del bloque (4.119 ha) bajo el umbral 0.4976 y 95.11 % sobre el umbral; clase areal dominante «Vigor alto».</t>
        </is>
      </c>
      <c r="D16" s="35"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3 · NO SUSTANTIVA: 1 · SUSTANTIVA: 2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21 — IN Piura</dc:title>
  <dc:subject>Diagnóstico Territorial por bloque de intervención</dc:subject>
  <dcterms:created xsi:type="dcterms:W3CDTF">2026-09-08T03:39:55Z</dcterms:created>
  <dcterms:modified xsi:type="dcterms:W3CDTF">2026-09-09T14:49:41Z</dcterms:modified>
</cp:coreProperties>
</file>