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34</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34</t>
        </is>
      </c>
      <c r="C9" s="6" t="inlineStr">
        <is>
          <t>Microcuenca (catálogo)</t>
        </is>
      </c>
      <c r="D9" s="7" t="inlineStr">
        <is>
          <t>C1081-Q9590</t>
        </is>
      </c>
      <c r="E9" s="8" t="n"/>
      <c r="F9" s="8" t="n"/>
    </row>
    <row r="10">
      <c r="A10" s="6" t="inlineStr">
        <is>
          <t>Zona de planificación</t>
        </is>
      </c>
      <c r="B10" s="7" t="inlineStr">
        <is>
          <t>Z10</t>
        </is>
      </c>
      <c r="C10" s="6" t="inlineStr">
        <is>
          <t>Microcuenca declarada en ficha DT</t>
        </is>
      </c>
      <c r="D10" s="7" t="inlineStr">
        <is>
          <t>C1081-Q9590</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Maray Chico (142 hab.) / Maray Grande — cap. dist. Tunal</t>
        </is>
      </c>
      <c r="C13" s="6" t="inlineStr">
        <is>
          <t>Comunidad campesina</t>
        </is>
      </c>
      <c r="D13" s="7" t="inlineStr">
        <is>
          <t>Por determinar</t>
        </is>
      </c>
      <c r="E13" s="8" t="n"/>
      <c r="F13" s="8" t="n"/>
    </row>
    <row r="14">
      <c r="A14" s="6" t="inlineStr">
        <is>
          <t>Superficie de catálogo (V5/V6), ha</t>
        </is>
      </c>
      <c r="B14" s="7" t="n">
        <v>28.45</v>
      </c>
      <c r="C14" s="6" t="inlineStr">
        <is>
          <t>Fuente de superficie</t>
        </is>
      </c>
      <c r="D14" s="7" t="inlineStr">
        <is>
          <t>Catálogo maestro Bloques V5/V6</t>
        </is>
      </c>
      <c r="E14" s="8" t="n"/>
      <c r="F14" s="8" t="n"/>
    </row>
    <row r="15">
      <c r="A15" s="6" t="inlineStr">
        <is>
          <t>Centroide UTM ESTE (m)</t>
        </is>
      </c>
      <c r="B15" s="7" t="n">
        <v>646483</v>
      </c>
      <c r="C15" s="6" t="inlineStr">
        <is>
          <t>Centroide UTM NORTE (m)</t>
        </is>
      </c>
      <c r="D15" s="7" t="n">
        <v>9426305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1286</v>
      </c>
      <c r="C19" s="6" t="inlineStr">
        <is>
          <t>Altitud máxima (msnm)</t>
        </is>
      </c>
      <c r="D19" s="7" t="n">
        <v>1514</v>
      </c>
      <c r="E19" s="8" t="n"/>
      <c r="F19" s="8" t="n"/>
    </row>
    <row r="20">
      <c r="A20" s="6" t="inlineStr">
        <is>
          <t>Amplitud altitudinal (m)</t>
        </is>
      </c>
      <c r="B20" s="7" t="n">
        <v>228</v>
      </c>
      <c r="C20" s="6" t="inlineStr">
        <is>
          <t>Piso altitudinal dominante</t>
        </is>
      </c>
      <c r="D20" s="7" t="inlineStr">
        <is>
          <t>1000-1500 m (Quechua baja)</t>
        </is>
      </c>
      <c r="E20" s="8" t="n"/>
      <c r="F20" s="8" t="n"/>
    </row>
    <row r="21">
      <c r="A21" s="6" t="inlineStr">
        <is>
          <t>Pendiente promedio (%)</t>
        </is>
      </c>
      <c r="B21" s="7" t="n">
        <v>26.78</v>
      </c>
      <c r="C21" s="6" t="inlineStr">
        <is>
          <t>Pendiente promedio (grados)</t>
        </is>
      </c>
      <c r="D21" s="7" t="n">
        <v>15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0.649</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(99.42 %)</t>
        </is>
      </c>
      <c r="E29" s="8" t="n"/>
      <c r="F29" s="8" t="n"/>
    </row>
    <row r="30">
      <c r="A30" s="6" t="inlineStr">
        <is>
          <t>Superficie clasificada NDVI 2025 (ha)</t>
        </is>
      </c>
      <c r="B30" s="7" t="n">
        <v>28.458</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Zona agrícola 26.93 ha + Matorral andino 1.52 ha = 28.45 ha</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90</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(ANIN/DIME-SESDI)</t>
        </is>
      </c>
      <c r="C41" s="6" t="inlineStr">
        <is>
          <t>Fecha de evaluación</t>
        </is>
      </c>
      <c r="D41" s="7" t="inlineStr">
        <is>
          <t>2026-07-07</t>
        </is>
      </c>
      <c r="E41" s="8" t="n"/>
      <c r="F41" s="8" t="n"/>
    </row>
    <row r="42">
      <c r="A42" s="6" t="inlineStr">
        <is>
          <t>Hora de registro</t>
        </is>
      </c>
      <c r="B42" s="7" t="inlineStr">
        <is>
          <t>15:41 - 16:25 h</t>
        </is>
      </c>
      <c r="C42" s="6" t="inlineStr">
        <is>
          <t>Correlativo de ficha</t>
        </is>
      </c>
      <c r="D42" s="7" t="inlineStr">
        <is>
          <t>F-DT-01 / B34</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reconocimiento (sin parcela permanente)</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Agricultura de subsistencia sobre laderas de fuerte pendiente, en un territorio con escasa disponibilidad de tierras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0.648975</v>
      </c>
      <c r="C15" s="17" t="inlineStr">
        <is>
          <t>—</t>
        </is>
      </c>
      <c r="D15" s="17" t="inlineStr">
        <is>
          <t>Vigor alto · clase &gt; 0.6139</t>
        </is>
      </c>
      <c r="E15" s="17" t="inlineStr">
        <is>
          <t>Sobre umbral</t>
        </is>
      </c>
    </row>
    <row r="17" ht="72" customHeight="1">
      <c r="A17" s="9" t="inlineStr">
        <is>
          <t>NOTA METODOLÓGICA. La media del MSAVI 2024 del bloque (0.648975)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28.2939</v>
      </c>
      <c r="C21" s="19" t="n">
        <v>99.42</v>
      </c>
      <c r="D21" s="15" t="inlineStr">
        <is>
          <t>Dosel continuo, matorral denso o mosaico agroforestal</t>
        </is>
      </c>
      <c r="E21" s="15" t="inlineStr"/>
    </row>
    <row r="22">
      <c r="A22" s="13" t="inlineStr">
        <is>
          <t>Vegetación mediana</t>
        </is>
      </c>
      <c r="B22" s="20" t="n">
        <v>0.1642</v>
      </c>
      <c r="C22" s="21" t="n">
        <v>0.58</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28.45</v>
      </c>
      <c r="C24" s="25" t="inlineStr">
        <is>
          <t>—</t>
        </is>
      </c>
      <c r="D24" s="25" t="inlineStr">
        <is>
          <t>Desviación planimétrica frente al catálogo</t>
        </is>
      </c>
      <c r="E24" s="25" t="inlineStr">
        <is>
          <t>+0.03 %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99.42 % del polígono clasificado como «Vegetación alta» por el NDVI 2025; la observación de campo corresponde a una parcela o recorrido puntual y no es estadísticamente representativa de las 28.450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34</t>
        </is>
      </c>
    </row>
    <row r="6" ht="24" customHeight="1">
      <c r="A6" s="4" t="inlineStr">
        <is>
          <t>Levantamiento del 2026-07-07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646360</v>
      </c>
      <c r="D10" s="26" t="n">
        <v>9426461</v>
      </c>
      <c r="E10" s="15" t="n">
        <v>198.7</v>
      </c>
      <c r="F10" s="15" t="inlineStr"/>
      <c r="G10" s="15" t="inlineStr">
        <is>
          <t>Coordenada consignada en F-DT-01</t>
        </is>
      </c>
    </row>
    <row r="11">
      <c r="A11" s="13" t="inlineStr">
        <is>
          <t>S-01</t>
        </is>
      </c>
      <c r="B11" s="14" t="inlineStr">
        <is>
          <t>Rasgo erosivo — Surco activo (senda/camino)</t>
        </is>
      </c>
      <c r="C11" s="27" t="n">
        <v>646232</v>
      </c>
      <c r="D11" s="27" t="n">
        <v>9426505</v>
      </c>
      <c r="E11" s="14" t="n">
        <v>320.9</v>
      </c>
      <c r="F11" s="14" t="inlineStr">
        <is>
          <t>Activa</t>
        </is>
      </c>
      <c r="G11" s="14" t="inlineStr">
        <is>
          <t>Caminos / huellas de ganado</t>
        </is>
      </c>
    </row>
    <row r="12">
      <c r="A12" s="7" t="inlineStr">
        <is>
          <t>S-02</t>
        </is>
      </c>
      <c r="B12" s="15" t="inlineStr">
        <is>
          <t>Rasgo erosivo — Surco activo (senda/camino)</t>
        </is>
      </c>
      <c r="C12" s="26" t="n">
        <v>646603</v>
      </c>
      <c r="D12" s="26" t="n">
        <v>9426759</v>
      </c>
      <c r="E12" s="15" t="n">
        <v>469.6</v>
      </c>
      <c r="F12" s="15" t="inlineStr">
        <is>
          <t>Activa</t>
        </is>
      </c>
      <c r="G12" s="15" t="inlineStr">
        <is>
          <t>Caminos / huellas de ganado</t>
        </is>
      </c>
    </row>
    <row r="13">
      <c r="A13" s="13" t="inlineStr">
        <is>
          <t>H-01</t>
        </is>
      </c>
      <c r="B13" s="14" t="inlineStr">
        <is>
          <t>Fuente de agua — Río</t>
        </is>
      </c>
      <c r="C13" s="27" t="n">
        <v>646150</v>
      </c>
      <c r="D13" s="27" t="n">
        <v>9426520</v>
      </c>
      <c r="E13" s="14" t="n">
        <v>396.4</v>
      </c>
      <c r="F13" s="14" t="inlineStr">
        <is>
          <t>Permanente</t>
        </is>
      </c>
      <c r="G13" s="14" t="inlineStr">
        <is>
          <t>Curso principal</t>
        </is>
      </c>
    </row>
    <row r="14">
      <c r="A14" s="7" t="inlineStr">
        <is>
          <t>H-02</t>
        </is>
      </c>
      <c r="B14" s="15" t="inlineStr">
        <is>
          <t>Fuente de agua — Quebrada estacional</t>
        </is>
      </c>
      <c r="C14" s="26" t="n">
        <v>646700</v>
      </c>
      <c r="D14" s="26" t="n">
        <v>9426900</v>
      </c>
      <c r="E14" s="15" t="n">
        <v>633.3</v>
      </c>
      <c r="F14" s="15" t="inlineStr">
        <is>
          <t>Estacional (lluvias)</t>
        </is>
      </c>
      <c r="G14" s="15" t="inlineStr">
        <is>
          <t>Quebrada tributaria</t>
        </is>
      </c>
    </row>
    <row r="15">
      <c r="A15" s="13" t="inlineStr">
        <is>
          <t>B-03</t>
        </is>
      </c>
      <c r="B15" s="14" t="inlineStr">
        <is>
          <t>Especie clave — Melastomataceae (por determinar)</t>
        </is>
      </c>
      <c r="C15" s="27" t="n">
        <v>646477</v>
      </c>
      <c r="D15" s="27" t="n">
        <v>9426654</v>
      </c>
      <c r="E15" s="14" t="n">
        <v>349.1</v>
      </c>
      <c r="F15" s="14" t="inlineStr">
        <is>
          <t>Indicadora de buen estado</t>
        </is>
      </c>
      <c r="G15" s="14" t="inlineStr">
        <is>
          <t>NE</t>
        </is>
      </c>
    </row>
    <row r="16">
      <c r="A16" s="7" t="inlineStr">
        <is>
          <t>B-04</t>
        </is>
      </c>
      <c r="B16" s="15" t="inlineStr">
        <is>
          <t>Especie clave — Agave americana</t>
        </is>
      </c>
      <c r="C16" s="26" t="n">
        <v>646347</v>
      </c>
      <c r="D16" s="26" t="n">
        <v>9426469</v>
      </c>
      <c r="E16" s="15" t="n">
        <v>213.1</v>
      </c>
      <c r="F16" s="15" t="inlineStr">
        <is>
          <t>Indicadora de perturbación</t>
        </is>
      </c>
      <c r="G16" s="15" t="inlineStr">
        <is>
          <t>No aplica</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646483</v>
      </c>
      <c r="C19" s="6" t="inlineStr">
        <is>
          <t>Centroide del bloque — UTM NORTE (m)</t>
        </is>
      </c>
      <c r="D19" s="7" t="n">
        <v>9426305</v>
      </c>
      <c r="E19" s="8" t="n"/>
      <c r="F19" s="8" t="n"/>
      <c r="G19" s="8" t="n"/>
      <c r="H19" s="8" t="n"/>
    </row>
    <row r="20">
      <c r="A20" s="6" t="inlineStr">
        <is>
          <t>N.° de estaciones fotográficas declaradas</t>
        </is>
      </c>
      <c r="B20" s="7" t="inlineStr">
        <is>
          <t>Sin registro en la ficha DT</t>
        </is>
      </c>
      <c r="C20" s="6" t="inlineStr">
        <is>
          <t>Estaciones dentro del polígono</t>
        </is>
      </c>
      <c r="D20" s="7" t="inlineStr">
        <is>
          <t>Por determinar</t>
        </is>
      </c>
      <c r="E20" s="8" t="n"/>
      <c r="F20" s="8" t="n"/>
      <c r="G20" s="8" t="n"/>
      <c r="H20" s="8" t="n"/>
    </row>
    <row r="22" ht="96"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Punto de muestreo consignado = talud de corte con desprendimiento de suelo residual rojizo (646225 E · 9426501, rumbo 132° SE). La pendiente promedio (33.6%) corresponde al perfil de elevación Google Earth del acceso (427 m), no a una parcela.</t>
        </is>
      </c>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C1081-Q9590 — BLOQUE 34</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38</t>
        </is>
      </c>
      <c r="B10" s="28" t="n">
        <v>44.2</v>
      </c>
      <c r="C10" s="19" t="n">
        <v>29.78</v>
      </c>
      <c r="D10" s="15" t="inlineStr">
        <is>
          <t>1302 – 1533</t>
        </is>
      </c>
      <c r="E10" s="15" t="n">
        <v>231</v>
      </c>
      <c r="F10" s="15" t="n">
        <v>24.25</v>
      </c>
      <c r="G10" s="18" t="n">
        <v>0.6725</v>
      </c>
      <c r="H10" s="19" t="n">
        <v>99.3</v>
      </c>
    </row>
    <row r="11">
      <c r="A11" s="13" t="inlineStr">
        <is>
          <t>33</t>
        </is>
      </c>
      <c r="B11" s="29" t="n">
        <v>29.68</v>
      </c>
      <c r="C11" s="21" t="n">
        <v>20</v>
      </c>
      <c r="D11" s="14" t="inlineStr">
        <is>
          <t>1841 – 2226</t>
        </is>
      </c>
      <c r="E11" s="14" t="n">
        <v>385</v>
      </c>
      <c r="F11" s="14" t="n">
        <v>36.6</v>
      </c>
      <c r="G11" s="20" t="n">
        <v>0.7192</v>
      </c>
      <c r="H11" s="21" t="inlineStr">
        <is>
          <t>Por determinar</t>
        </is>
      </c>
    </row>
    <row r="12">
      <c r="A12" s="11" t="inlineStr">
        <is>
          <t>► 34</t>
        </is>
      </c>
      <c r="B12" s="30" t="n">
        <v>28.45</v>
      </c>
      <c r="C12" s="31" t="n">
        <v>19.17</v>
      </c>
      <c r="D12" s="12" t="inlineStr">
        <is>
          <t>1286 – 1514</t>
        </is>
      </c>
      <c r="E12" s="12" t="n">
        <v>228</v>
      </c>
      <c r="F12" s="12" t="n">
        <v>26.78</v>
      </c>
      <c r="G12" s="32" t="n">
        <v>0.649</v>
      </c>
      <c r="H12" s="31" t="n">
        <v>99.42</v>
      </c>
    </row>
    <row r="13">
      <c r="A13" s="13" t="inlineStr">
        <is>
          <t>61</t>
        </is>
      </c>
      <c r="B13" s="29" t="n">
        <v>26.83</v>
      </c>
      <c r="C13" s="21" t="n">
        <v>18.08</v>
      </c>
      <c r="D13" s="14" t="inlineStr">
        <is>
          <t>1098 – 1336</t>
        </is>
      </c>
      <c r="E13" s="14" t="n">
        <v>238</v>
      </c>
      <c r="F13" s="14" t="n">
        <v>22.61</v>
      </c>
      <c r="G13" s="20" t="n">
        <v>0.6112</v>
      </c>
      <c r="H13" s="21" t="n">
        <v>80.15000000000001</v>
      </c>
    </row>
    <row r="14">
      <c r="A14" s="7" t="inlineStr">
        <is>
          <t>50</t>
        </is>
      </c>
      <c r="B14" s="28" t="n">
        <v>19.27</v>
      </c>
      <c r="C14" s="19" t="n">
        <v>12.98</v>
      </c>
      <c r="D14" s="15" t="inlineStr">
        <is>
          <t>1468 – 1725</t>
        </is>
      </c>
      <c r="E14" s="15" t="n">
        <v>257</v>
      </c>
      <c r="F14" s="15" t="n">
        <v>30.47</v>
      </c>
      <c r="G14" s="18" t="n">
        <v>0.6831</v>
      </c>
      <c r="H14" s="19" t="n">
        <v>99.56999999999999</v>
      </c>
    </row>
    <row r="15">
      <c r="A15" s="16" t="inlineStr">
        <is>
          <t>TOTAL / PROMEDIO</t>
        </is>
      </c>
      <c r="B15" s="33">
        <f>SUM(B10:B14)</f>
        <v/>
      </c>
      <c r="C15" s="23">
        <f>SUM(C10:C14)</f>
        <v/>
      </c>
      <c r="D15" s="17" t="inlineStr">
        <is>
          <t>1098 – 2226</t>
        </is>
      </c>
      <c r="E15" s="17" t="inlineStr"/>
      <c r="F15" s="17">
        <f>ROUND(AVERAGE(F10:F14),2)</f>
        <v/>
      </c>
      <c r="G15" s="22">
        <f>ROUND(AVERAGE(G10:G14),4)</f>
        <v/>
      </c>
      <c r="H15" s="23">
        <f>ROUND(AVERAGE(H10:H14),2)</f>
        <v/>
      </c>
    </row>
    <row r="16" ht="48" customHeight="1">
      <c r="A16" s="9" t="inlineStr">
        <is>
          <t>ALCANCE DE LOS PROMEDIOS. La fila TOTAL / PROMEDIO omite las celdas «Por determinar»: el promedio de VEGETACIÓN ALTA (NDVI 2025) se calcula sobre 4 de los 5 bloques; el bloque restante carece de estadística zonal de NDVI. Los totales de ÁREA y % de microcuenca sí comprenden la totalidad de los 5 bloques. No se estima ningún valor ausente.</t>
        </is>
      </c>
    </row>
    <row r="18" ht="84" customHeight="1">
      <c r="A18" s="9" t="inlineStr">
        <is>
          <t>LECTURA INTRAMICROCUENCA. El bloque 34 ocupa el puesto 3 de 5 por superficie dentro de la microcuenca C1081-Q9590 (19.17 % de las 148.43 ha preliminares de la microcuenca). Su pendiente promedio (26.78 %, clase «25-50% (Mod. escarpado)») es la 3.ª más baja de 5 y se sitúa por debajo del promedio de la microcuenca (28.14 %). Su MSAVI 2024 (0.6490) es el 4.º de 5 y queda por debajo del promedio local (0.6670). Amplitud altitudinal del bloque: 228 m (1286–1514 msnm). El cuadro conserva todos los bloques catalogados en la microcuenca, incluidos los descartados en el tamizaje, para referencia del conjunto. Los bloques sin ficha DT figuran con sus parámetros de gabinete.</t>
        </is>
      </c>
    </row>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18:H18"/>
    <mergeCell ref="A3:H3"/>
    <mergeCell ref="A20:H20"/>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34</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199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(28.458 ha) coincide con la de catálogo (28.45 ha) dentro del ±2 % (+0.03 %)</t>
        </is>
      </c>
      <c r="D12" s="35" t="inlineStr">
        <is>
          <t>CONFORME</t>
        </is>
      </c>
      <c r="E12" s="34" t="inlineStr">
        <is>
          <t>Sin acción: la segmentación valida la geometría del bloque.</t>
        </is>
      </c>
    </row>
    <row r="13" ht="48" customHeight="1">
      <c r="A13" s="36" t="inlineStr">
        <is>
          <t>D-04</t>
        </is>
      </c>
      <c r="B13" s="36" t="inlineStr">
        <is>
          <t>Altitud GPS del punto de muestreo</t>
        </is>
      </c>
      <c r="C13" s="36" t="inlineStr">
        <is>
          <t>La aplicación de captura no registró altitud GPS en campo</t>
        </is>
      </c>
      <c r="D13" s="12" t="inlineStr">
        <is>
          <t>NO SUSTANTIVA</t>
        </is>
      </c>
      <c r="E13" s="36" t="inlineStr">
        <is>
          <t>El rango altitudinal del bloque (1286–1514 msnm) y la pendiente promedio (26.78 %) se toman de la estadística zonal sobre el MDE, no de medición de campo. Se declara la fuente.</t>
        </is>
      </c>
    </row>
    <row r="14" ht="48" customHeight="1">
      <c r="A14" s="34" t="inlineStr">
        <is>
          <t>D-05</t>
        </is>
      </c>
      <c r="B14" s="34" t="inlineStr">
        <is>
          <t>Dimensiones del inventario de cárcavas</t>
        </is>
      </c>
      <c r="C14" s="34" t="inlineStr">
        <is>
          <t>Se registran 0 rasgos erosivos, pero longitud, profundidad y ancho no fueron medidos instrumentalmente</t>
        </is>
      </c>
      <c r="D14" s="12"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Centro poblado asociado</t>
        </is>
      </c>
      <c r="C15" s="36" t="inlineStr">
        <is>
          <t>La ficha DT declara «Maray Chico (142 hab.) / Maray Grande — cap. dist. Tunal»; el cruce INEI-Bloques V5 identifica 2 centro(s) poblado(s) en el bloque: MARAY CHICO, MARAY GRANDE</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8">
      <c r="A18" s="16" t="inlineStr">
        <is>
          <t>RESUMEN</t>
        </is>
      </c>
      <c r="B18" s="17" t="inlineStr">
        <is>
          <t>7 verificaciones</t>
        </is>
      </c>
      <c r="C18" s="17" t="inlineStr">
        <is>
          <t>CONFORME: 4 · NO SUSTANTIVA: 2 · SUSTANTIVA: 1</t>
        </is>
      </c>
      <c r="D18" s="17" t="inlineStr"/>
      <c r="E18" s="17" t="inlineStr"/>
    </row>
    <row r="20" ht="60" customHeight="1">
      <c r="A2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0:E20"/>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34 — IN Piura</dc:title>
  <dc:subject>Diagnóstico Territorial por bloque de intervención</dc:subject>
  <dcterms:created xsi:type="dcterms:W3CDTF">2026-09-08T03:39:55Z</dcterms:created>
  <dcterms:modified xsi:type="dcterms:W3CDTF">2026-09-08T03:39:55Z</dcterms:modified>
</cp:coreProperties>
</file>