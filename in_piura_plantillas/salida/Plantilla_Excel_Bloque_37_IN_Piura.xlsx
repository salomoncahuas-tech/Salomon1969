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37</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37</t>
        </is>
      </c>
      <c r="C9" s="6" t="inlineStr">
        <is>
          <t>Microcuenca (catálogo)</t>
        </is>
      </c>
      <c r="D9" s="7" t="inlineStr">
        <is>
          <t>C1081-Q9591</t>
        </is>
      </c>
      <c r="E9" s="8" t="n"/>
      <c r="F9" s="8" t="n"/>
    </row>
    <row r="10">
      <c r="A10" s="6" t="inlineStr">
        <is>
          <t>Zona de planificación</t>
        </is>
      </c>
      <c r="B10" s="7" t="inlineStr">
        <is>
          <t>Z10</t>
        </is>
      </c>
      <c r="C10" s="6" t="inlineStr">
        <is>
          <t>Microcuenca declarada en ficha DT</t>
        </is>
      </c>
      <c r="D10" s="7" t="inlineStr">
        <is>
          <t>C1081-Q9591</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Lalaquiz</t>
        </is>
      </c>
      <c r="C12" s="6" t="inlineStr">
        <is>
          <t>Capital distrital</t>
        </is>
      </c>
      <c r="D12" s="7" t="inlineStr">
        <is>
          <t>Lalaquiz</t>
        </is>
      </c>
      <c r="E12" s="8" t="n"/>
      <c r="F12" s="8" t="n"/>
    </row>
    <row r="13">
      <c r="A13" s="6" t="inlineStr">
        <is>
          <t>Centro poblado asociado</t>
        </is>
      </c>
      <c r="B13" s="7" t="inlineStr">
        <is>
          <t>El Papayo</t>
        </is>
      </c>
      <c r="C13" s="6" t="inlineStr">
        <is>
          <t>Comunidad campesina</t>
        </is>
      </c>
      <c r="D13" s="7" t="inlineStr">
        <is>
          <t>Por verificar</t>
        </is>
      </c>
      <c r="E13" s="8" t="n"/>
      <c r="F13" s="8" t="n"/>
    </row>
    <row r="14">
      <c r="A14" s="6" t="inlineStr">
        <is>
          <t>Superficie de catálogo (V5/V6), ha</t>
        </is>
      </c>
      <c r="B14" s="7" t="n">
        <v>35.49</v>
      </c>
      <c r="C14" s="6" t="inlineStr">
        <is>
          <t>Fuente de superficie</t>
        </is>
      </c>
      <c r="D14" s="7" t="inlineStr">
        <is>
          <t>Catálogo maestro Bloques V5/V6</t>
        </is>
      </c>
      <c r="E14" s="8" t="n"/>
      <c r="F14" s="8" t="n"/>
    </row>
    <row r="15">
      <c r="A15" s="6" t="inlineStr">
        <is>
          <t>Centroide UTM ESTE (m)</t>
        </is>
      </c>
      <c r="B15" s="7" t="n">
        <v>649081</v>
      </c>
      <c r="C15" s="6" t="inlineStr">
        <is>
          <t>Centroide UTM NORTE (m)</t>
        </is>
      </c>
      <c r="D15" s="7" t="n">
        <v>9424506</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1184</v>
      </c>
      <c r="C19" s="6" t="inlineStr">
        <is>
          <t>Altitud máxima (msnm)</t>
        </is>
      </c>
      <c r="D19" s="7" t="n">
        <v>1455</v>
      </c>
      <c r="E19" s="8" t="n"/>
      <c r="F19" s="8" t="n"/>
    </row>
    <row r="20">
      <c r="A20" s="6" t="inlineStr">
        <is>
          <t>Amplitud altitudinal (m)</t>
        </is>
      </c>
      <c r="B20" s="7" t="n">
        <v>271</v>
      </c>
      <c r="C20" s="6" t="inlineStr">
        <is>
          <t>Piso altitudinal dominante</t>
        </is>
      </c>
      <c r="D20" s="7" t="inlineStr">
        <is>
          <t>1000-1500 m (Quechua baja)</t>
        </is>
      </c>
      <c r="E20" s="8" t="n"/>
      <c r="F20" s="8" t="n"/>
    </row>
    <row r="21">
      <c r="A21" s="6" t="inlineStr">
        <is>
          <t>Pendiente promedio (%)</t>
        </is>
      </c>
      <c r="B21" s="7" t="n">
        <v>23.59</v>
      </c>
      <c r="C21" s="6" t="inlineStr">
        <is>
          <t>Pendiente promedio (grados)</t>
        </is>
      </c>
      <c r="D21" s="7" t="n">
        <v>13.3</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Por verificar</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0.6588000000000001</v>
      </c>
      <c r="C28" s="6" t="inlineStr">
        <is>
          <t>MSAVI 2024 — clase de la media</t>
        </is>
      </c>
      <c r="D28" s="7" t="inlineStr">
        <is>
          <t>&gt; 0.6139 (Vigor alto)</t>
        </is>
      </c>
      <c r="E28" s="8" t="n"/>
      <c r="F28" s="8" t="n"/>
    </row>
    <row r="29">
      <c r="A29" s="6" t="inlineStr">
        <is>
          <t>Condición frente al umbral 0.4976</t>
        </is>
      </c>
      <c r="B29" s="7" t="inlineStr">
        <is>
          <t>Sobre umbral · distribución areal: 1.80 % del bloque BAJO el umbral (0.639 ha de 35.490 ha)</t>
        </is>
      </c>
      <c r="C29" s="6" t="inlineStr">
        <is>
          <t>NDVI mediana 2025 — clase modal</t>
        </is>
      </c>
      <c r="D29" s="7" t="inlineStr">
        <is>
          <t>Vegetación alta (98.02 %)</t>
        </is>
      </c>
      <c r="E29" s="8" t="n"/>
      <c r="F29" s="8" t="n"/>
    </row>
    <row r="30">
      <c r="A30" s="6" t="inlineStr">
        <is>
          <t>MSAVI 2024 — superficie BAJO el umbral 0.4976 (ha)</t>
        </is>
      </c>
      <c r="B30" s="7" t="n">
        <v>0.639</v>
      </c>
      <c r="C30" s="6" t="inlineStr">
        <is>
          <t>MSAVI 2024 — % del bloque BAJO el umbral</t>
        </is>
      </c>
      <c r="D30" s="7" t="n">
        <v>1.8</v>
      </c>
      <c r="E30" s="8" t="n"/>
      <c r="F30" s="8" t="n"/>
    </row>
    <row r="31">
      <c r="A31" s="6" t="inlineStr">
        <is>
          <t>MSAVI 2024 — clase areal dominante</t>
        </is>
      </c>
      <c r="B31" s="7" t="inlineStr">
        <is>
          <t>Vigor alto</t>
        </is>
      </c>
      <c r="C31" s="6" t="inlineStr">
        <is>
          <t>MSAVI 2024 — fuente de la distribución areal</t>
        </is>
      </c>
      <c r="D31" s="7" t="inlineStr">
        <is>
          <t>Conteo de celdas sobre la cartografía MSAVI 2024 del bloque (37.png)</t>
        </is>
      </c>
      <c r="E31" s="8" t="n"/>
      <c r="F31" s="8" t="n"/>
    </row>
    <row r="32" ht="18" customHeight="1">
      <c r="A32" s="6" t="inlineStr">
        <is>
          <t>Superficie clasificada NDVI 2025 (ha)</t>
        </is>
      </c>
      <c r="B32" s="7" t="n">
        <v>35.5</v>
      </c>
      <c r="C32" s="6" t="inlineStr">
        <is>
          <t>Desviación frente al catálogo (%)</t>
        </is>
      </c>
      <c r="D32" s="7" t="n">
        <v>0.03</v>
      </c>
      <c r="E32" s="8" t="n"/>
      <c r="F32" s="8" t="n"/>
    </row>
    <row r="33"/>
    <row r="34">
      <c r="A34" s="5" t="inlineStr">
        <is>
          <t>4. ECOSISTEMA Y ESTADO DE CONSERVACIÓN</t>
        </is>
      </c>
    </row>
    <row r="35">
      <c r="A35" s="6" t="inlineStr">
        <is>
          <t>Tipo de ecosistema (UP)</t>
        </is>
      </c>
      <c r="B35" s="7" t="inlineStr">
        <is>
          <t>Matorral Andino subhúmedo</t>
        </is>
      </c>
      <c r="C35" s="6" t="inlineStr">
        <is>
          <t>Superficie de ecosistema (ha)</t>
        </is>
      </c>
      <c r="D35" s="7" t="inlineStr">
        <is>
          <t>Matorral andino 21.29 ha (60%) + Zona agrícola 14.20 ha (40%); total 35.49 ha</t>
        </is>
      </c>
      <c r="E35" s="8" t="n"/>
      <c r="F35" s="8" t="n"/>
    </row>
    <row r="36">
      <c r="A36" s="6" t="inlineStr">
        <is>
          <t>Estado de conservación</t>
        </is>
      </c>
      <c r="B36" s="7" t="inlineStr">
        <is>
          <t>Medianamente alterado</t>
        </is>
      </c>
      <c r="C36" s="6" t="inlineStr">
        <is>
          <t>Uso actual dominante del suelo</t>
        </is>
      </c>
      <c r="D36" s="7" t="inlineStr">
        <is>
          <t>Uso mixto</t>
        </is>
      </c>
      <c r="E36" s="8" t="n"/>
      <c r="F36" s="8" t="n"/>
    </row>
    <row r="37">
      <c r="A37" s="6" t="inlineStr">
        <is>
          <t>Tipo de cobertura dominante</t>
        </is>
      </c>
      <c r="B37" s="7" t="inlineStr">
        <is>
          <t>Matorral denso</t>
        </is>
      </c>
      <c r="C37" s="6" t="inlineStr">
        <is>
          <t>Cobertura vegetal total — campo (%)</t>
        </is>
      </c>
      <c r="D37" s="7" t="n">
        <v>80</v>
      </c>
      <c r="E37" s="8" t="n"/>
      <c r="F37" s="8" t="n"/>
    </row>
    <row r="38">
      <c r="A38" s="6" t="inlineStr">
        <is>
          <t>Suelo desnudo — campo (%)</t>
        </is>
      </c>
      <c r="B38" s="7" t="n">
        <v>15</v>
      </c>
      <c r="C38" s="6" t="inlineStr">
        <is>
          <t>Regeneración natural</t>
        </is>
      </c>
      <c r="D38" s="7" t="inlineStr">
        <is>
          <t>Regular (10-50 pl./100m²)</t>
        </is>
      </c>
      <c r="E38" s="8" t="n"/>
      <c r="F38" s="8" t="n"/>
    </row>
    <row r="39">
      <c r="A39" s="6" t="inlineStr">
        <is>
          <t>Nivel general de erosión</t>
        </is>
      </c>
      <c r="B39" s="7" t="inlineStr">
        <is>
          <t>Moderada (surcos)</t>
        </is>
      </c>
      <c r="C39" s="6" t="inlineStr">
        <is>
          <t>N.° de cárcavas registradas</t>
        </is>
      </c>
      <c r="D39" s="7" t="n">
        <v>2</v>
      </c>
      <c r="E39" s="8" t="n"/>
      <c r="F39" s="8" t="n"/>
    </row>
    <row r="40" ht="18" customHeight="1">
      <c r="A40" s="6" t="inlineStr">
        <is>
          <t>Elenco florístico (n.° de taxones)</t>
        </is>
      </c>
      <c r="B40" s="7" t="n">
        <v>13</v>
      </c>
      <c r="C40" s="6" t="inlineStr">
        <is>
          <t>Estado sanitario</t>
        </is>
      </c>
      <c r="D40" s="7" t="inlineStr">
        <is>
          <t>Sano</t>
        </is>
      </c>
      <c r="E40" s="8" t="n"/>
      <c r="F40" s="8" t="n"/>
    </row>
    <row r="41"/>
    <row r="42">
      <c r="A42" s="5" t="inlineStr">
        <is>
          <t>5. RESPONSABLE Y MODALIDAD DE LA EVALUACIÓN</t>
        </is>
      </c>
    </row>
    <row r="43">
      <c r="A43" s="6" t="inlineStr">
        <is>
          <t>Responsable de la evaluación</t>
        </is>
      </c>
      <c r="B43" s="7" t="inlineStr">
        <is>
          <t>Ing. Héctor S. Cahuas Miller</t>
        </is>
      </c>
      <c r="C43" s="6" t="inlineStr">
        <is>
          <t>Fecha de evaluación</t>
        </is>
      </c>
      <c r="D43" s="7" t="inlineStr">
        <is>
          <t>2026-07-16</t>
        </is>
      </c>
      <c r="E43" s="8" t="n"/>
      <c r="F43" s="8" t="n"/>
    </row>
    <row r="44">
      <c r="A44" s="6" t="inlineStr">
        <is>
          <t>Hora de registro</t>
        </is>
      </c>
      <c r="B44" s="7" t="inlineStr">
        <is>
          <t>13:35 - 15:21 h</t>
        </is>
      </c>
      <c r="C44" s="6" t="inlineStr">
        <is>
          <t>Correlativo de ficha</t>
        </is>
      </c>
      <c r="D44" s="7" t="inlineStr">
        <is>
          <t>Por registrar</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No instalada</t>
        </is>
      </c>
      <c r="E46" s="8" t="n"/>
      <c r="F46" s="8" t="n"/>
    </row>
    <row r="47" ht="18" customHeight="1">
      <c r="A47" s="6" t="inlineStr">
        <is>
          <t>Estaciones fotográficas georreferenciadas</t>
        </is>
      </c>
      <c r="B47" s="7" t="inlineStr">
        <is>
          <t>Sin registro en la ficha DT</t>
        </is>
      </c>
      <c r="C47" s="6" t="inlineStr">
        <is>
          <t>Modalidad de acceso</t>
        </is>
      </c>
      <c r="D47" s="7" t="inlineStr">
        <is>
          <t>Vehicular + caminata &lt;30 min</t>
        </is>
      </c>
      <c r="E47" s="8" t="n"/>
      <c r="F47" s="8" t="n"/>
    </row>
    <row r="48"/>
    <row r="49">
      <c r="A49" s="5" t="inlineStr">
        <is>
          <t>6. SÍNTESIS PARA LA GESTIÓN DEL RIESGO EN CONTEXTO DE CAMBIO CLIMÁTICO</t>
        </is>
      </c>
    </row>
    <row r="50">
      <c r="A50" s="6" t="inlineStr">
        <is>
          <t>Causa subyacente principal</t>
        </is>
      </c>
      <c r="B50" s="7" t="inlineStr">
        <is>
          <t>Presión antrópica sostenida sobre laderas de fuerte pendiente, sin prácticas de conservación de suelos, asociada al caserío y a la trocha</t>
        </is>
      </c>
      <c r="C50" s="6" t="inlineStr">
        <is>
          <t>Velocidad de degradación</t>
        </is>
      </c>
      <c r="D50" s="7" t="inlineStr">
        <is>
          <t>Moderada</t>
        </is>
      </c>
      <c r="E50" s="8" t="n"/>
      <c r="F50" s="8" t="n"/>
    </row>
    <row r="51">
      <c r="A51" s="6" t="inlineStr">
        <is>
          <t>Reversibilidad técnica</t>
        </is>
      </c>
      <c r="B51" s="7" t="inlineStr">
        <is>
          <t>Parcialmente reversible</t>
        </is>
      </c>
      <c r="C51" s="6" t="inlineStr">
        <is>
          <t>Urgencia de intervención</t>
        </is>
      </c>
      <c r="D51" s="7" t="inlineStr">
        <is>
          <t>Media</t>
        </is>
      </c>
      <c r="E51" s="8" t="n"/>
      <c r="F51" s="8" t="n"/>
    </row>
    <row r="52">
      <c r="A52" s="6" t="inlineStr">
        <is>
          <t>Urgencia de control de erosión</t>
        </is>
      </c>
      <c r="B52" s="7" t="inlineStr">
        <is>
          <t>Media</t>
        </is>
      </c>
      <c r="C52" s="6" t="inlineStr">
        <is>
          <t>Zona de recarga hídrica</t>
        </is>
      </c>
      <c r="D52" s="7" t="inlineStr">
        <is>
          <t>Sí</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8" t="n"/>
      <c r="C56" s="38" t="n"/>
      <c r="D56" s="38" t="n"/>
      <c r="E56" s="38" t="n"/>
      <c r="F56" s="39"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37</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t>
        </is>
      </c>
      <c r="B10" s="32" t="n">
        <v>27.0079</v>
      </c>
      <c r="C10" s="31" t="n">
        <v>76.09999999999999</v>
      </c>
      <c r="D10" s="12" t="inlineStr">
        <is>
          <t>Vigor alto</t>
        </is>
      </c>
      <c r="E10" s="12" t="inlineStr">
        <is>
          <t>Sobre umbral</t>
        </is>
      </c>
    </row>
    <row r="11">
      <c r="A11" s="13" t="inlineStr">
        <is>
          <t>0.4976 - 0.6139</t>
        </is>
      </c>
      <c r="B11" s="20" t="n">
        <v>7.8433</v>
      </c>
      <c r="C11" s="21" t="n">
        <v>22.1</v>
      </c>
      <c r="D11" s="14" t="inlineStr">
        <is>
          <t>Vigor moderado</t>
        </is>
      </c>
      <c r="E11" s="14" t="inlineStr">
        <is>
          <t>Sobre umbral</t>
        </is>
      </c>
    </row>
    <row r="12">
      <c r="A12" s="7" t="inlineStr">
        <is>
          <t>0.3813 - 0.4976</t>
        </is>
      </c>
      <c r="B12" s="18" t="n">
        <v>0.6388</v>
      </c>
      <c r="C12" s="19" t="n">
        <v>1.8</v>
      </c>
      <c r="D12" s="15" t="inlineStr">
        <is>
          <t>Vigor bajo</t>
        </is>
      </c>
      <c r="E12" s="15" t="inlineStr">
        <is>
          <t>BAJO umbral 0.4976</t>
        </is>
      </c>
    </row>
    <row r="13">
      <c r="A13" s="13" t="inlineStr">
        <is>
          <t>0.2650 - 0.3813</t>
        </is>
      </c>
      <c r="B13" s="20" t="n">
        <v>0</v>
      </c>
      <c r="C13" s="21" t="n">
        <v>0</v>
      </c>
      <c r="D13" s="14" t="inlineStr">
        <is>
          <t>Vigor muy bajo</t>
        </is>
      </c>
      <c r="E13" s="14" t="inlineStr">
        <is>
          <t>BAJO umbral 0.4976</t>
        </is>
      </c>
    </row>
    <row r="14">
      <c r="A14" s="7" t="inlineStr">
        <is>
          <t>&lt;= 0.2650</t>
        </is>
      </c>
      <c r="B14" s="18" t="n">
        <v>0</v>
      </c>
      <c r="C14" s="19" t="n">
        <v>0</v>
      </c>
      <c r="D14" s="15" t="inlineStr">
        <is>
          <t>Suelo desnudo / no vegetal</t>
        </is>
      </c>
      <c r="E14" s="15" t="inlineStr">
        <is>
          <t>BAJO umbral 0.4976</t>
        </is>
      </c>
    </row>
    <row r="15">
      <c r="A15" s="7" t="inlineStr">
        <is>
          <t>TOTAL CLASIFICADO</t>
        </is>
      </c>
      <c r="B15" s="18">
        <f>SUM(B10:B14)</f>
        <v/>
      </c>
      <c r="C15" s="19">
        <f>SUM(C10:C14)</f>
        <v/>
      </c>
      <c r="D15" s="15" t="inlineStr">
        <is>
          <t>Suma de las cinco clases MSAVI 2024</t>
        </is>
      </c>
      <c r="E15" s="15" t="inlineStr">
        <is>
          <t>Iguala la superficie de catálogo (V5/V6)</t>
        </is>
      </c>
    </row>
    <row r="16">
      <c r="A16" s="16" t="inlineStr">
        <is>
          <t>MSAVI 2024 — MEDIA DEL BLOQUE</t>
        </is>
      </c>
      <c r="B16" s="17" t="n">
        <v>0.658846</v>
      </c>
      <c r="C16" s="17" t="inlineStr">
        <is>
          <t>—</t>
        </is>
      </c>
      <c r="D16" s="17" t="inlineStr">
        <is>
          <t>Vigor alto · clase &gt; 0.6139</t>
        </is>
      </c>
      <c r="E16" s="17" t="inlineStr">
        <is>
          <t>Sobre umbral</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8" t="n"/>
      <c r="C18" s="38" t="n"/>
      <c r="D18" s="38" t="n"/>
      <c r="E18" s="39"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alta</t>
        </is>
      </c>
      <c r="B22" s="18" t="n">
        <v>34.798</v>
      </c>
      <c r="C22" s="19" t="n">
        <v>98.02</v>
      </c>
      <c r="D22" s="15" t="inlineStr">
        <is>
          <t>Dosel continuo, matorral denso o mosaico agroforestal</t>
        </is>
      </c>
      <c r="E22" s="15" t="inlineStr"/>
    </row>
    <row r="23">
      <c r="A23" s="13" t="inlineStr">
        <is>
          <t>Vegetación mediana</t>
        </is>
      </c>
      <c r="B23" s="20" t="n">
        <v>0.7019</v>
      </c>
      <c r="C23" s="21" t="n">
        <v>1.98</v>
      </c>
      <c r="D23" s="14" t="inlineStr">
        <is>
          <t>Pastizal cultivado, matorral ralo, parcelas agrícolas</t>
        </is>
      </c>
      <c r="E23" s="14" t="inlineStr"/>
    </row>
    <row r="24">
      <c r="A24" s="16" t="inlineStr">
        <is>
          <t>TOTAL CLASIFICADO</t>
        </is>
      </c>
      <c r="B24" s="22">
        <f>SUM(B21:B22)</f>
        <v/>
      </c>
      <c r="C24" s="23">
        <f>SUM(C21:C22)</f>
        <v/>
      </c>
      <c r="D24" s="17" t="inlineStr"/>
      <c r="E24" s="17" t="inlineStr"/>
    </row>
    <row r="25">
      <c r="A25" s="24" t="inlineStr">
        <is>
          <t>Superficie de catálogo (V5/V6)</t>
        </is>
      </c>
      <c r="B25" s="25" t="n">
        <v>35.49</v>
      </c>
      <c r="C25" s="25" t="inlineStr">
        <is>
          <t>—</t>
        </is>
      </c>
      <c r="D25" s="25" t="inlineStr">
        <is>
          <t>Desviación planimétrica frente al catálogo</t>
        </is>
      </c>
      <c r="E25" s="25" t="inlineStr">
        <is>
          <t>+0.03 %</t>
        </is>
      </c>
    </row>
    <row r="26" ht="108" customHeight="1"/>
    <row r="27">
      <c r="A27"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80 % frente a un 98.02 % del polígono clasificado como «Vegetación alta» por el NDVI 2025; la observación de campo corresponde a una parcela o recorrido puntual y no es estadísticamente representativa de las 35.490 ha del bloque.</t>
        </is>
      </c>
      <c r="B27" s="38" t="n"/>
      <c r="C27" s="38" t="n"/>
      <c r="D27" s="38" t="n"/>
      <c r="E27" s="39" t="n"/>
    </row>
  </sheetData>
  <mergeCells count="10">
    <mergeCell ref="A4:E4"/>
    <mergeCell ref="A20:E20"/>
    <mergeCell ref="A2:E2"/>
    <mergeCell ref="A5:E5"/>
    <mergeCell ref="A1:E1"/>
    <mergeCell ref="A8:E8"/>
    <mergeCell ref="A6:E6"/>
    <mergeCell ref="A18:E18"/>
    <mergeCell ref="A27:E2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37</t>
        </is>
      </c>
    </row>
    <row r="6" ht="24" customHeight="1">
      <c r="A6" s="4" t="inlineStr">
        <is>
          <t>Levantamiento del 2026-07-16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645575</v>
      </c>
      <c r="D10" s="26" t="n">
        <v>9393500</v>
      </c>
      <c r="E10" s="15" t="n">
        <v>31203.6</v>
      </c>
      <c r="F10" s="15" t="inlineStr"/>
      <c r="G10" s="15" t="inlineStr">
        <is>
          <t>Coordenada consignada en F-DT-01</t>
        </is>
      </c>
    </row>
    <row r="11">
      <c r="A11" s="13" t="inlineStr">
        <is>
          <t>E-01</t>
        </is>
      </c>
      <c r="B11" s="14" t="inlineStr">
        <is>
          <t>Rasgo erosivo — Por determinar</t>
        </is>
      </c>
      <c r="C11" s="27" t="n">
        <v>649395</v>
      </c>
      <c r="D11" s="27" t="n">
        <v>9424549</v>
      </c>
      <c r="E11" s="14" t="n">
        <v>316.9</v>
      </c>
      <c r="F11" s="14" t="inlineStr">
        <is>
          <t>Activa</t>
        </is>
      </c>
      <c r="G11" s="14" t="inlineStr">
        <is>
          <t>Concentración natural de escorrentía</t>
        </is>
      </c>
    </row>
    <row r="12">
      <c r="A12" s="7" t="inlineStr">
        <is>
          <t>E-02</t>
        </is>
      </c>
      <c r="B12" s="15" t="inlineStr">
        <is>
          <t>Rasgo erosivo — Por determinar</t>
        </is>
      </c>
      <c r="C12" s="26" t="n">
        <v>649354</v>
      </c>
      <c r="D12" s="26" t="n">
        <v>9424357</v>
      </c>
      <c r="E12" s="15" t="n">
        <v>311</v>
      </c>
      <c r="F12" s="15" t="inlineStr">
        <is>
          <t>Activa</t>
        </is>
      </c>
      <c r="G12" s="15" t="inlineStr">
        <is>
          <t>Caminos / huellas de ganado</t>
        </is>
      </c>
    </row>
    <row r="13">
      <c r="A13" s="13" t="inlineStr">
        <is>
          <t>H-01</t>
        </is>
      </c>
      <c r="B13" s="14" t="inlineStr">
        <is>
          <t>Fuente de agua — Quebrada permanente</t>
        </is>
      </c>
      <c r="C13" s="27" t="n">
        <v>649413</v>
      </c>
      <c r="D13" s="27" t="n">
        <v>9424887</v>
      </c>
      <c r="E13" s="14" t="n">
        <v>505.4</v>
      </c>
      <c r="F13" s="14" t="inlineStr">
        <is>
          <t>Permanente</t>
        </is>
      </c>
      <c r="G13" s="14" t="inlineStr">
        <is>
          <t>Quebrada tributaria</t>
        </is>
      </c>
    </row>
    <row r="14">
      <c r="A14" s="7" t="inlineStr">
        <is>
          <t>B-03</t>
        </is>
      </c>
      <c r="B14" s="15" t="inlineStr">
        <is>
          <t>Especie clave — Piper sp. (Matico)</t>
        </is>
      </c>
      <c r="C14" s="26" t="n">
        <v>649453</v>
      </c>
      <c r="D14" s="26" t="n">
        <v>9424486</v>
      </c>
      <c r="E14" s="15" t="n">
        <v>372.5</v>
      </c>
      <c r="F14" s="15" t="inlineStr">
        <is>
          <t>Clave cultural</t>
        </is>
      </c>
      <c r="G14" s="15" t="inlineStr">
        <is>
          <t>NE</t>
        </is>
      </c>
    </row>
    <row r="15">
      <c r="A15" s="16" t="inlineStr">
        <is>
          <t>TOTAL: 5 puntos</t>
        </is>
      </c>
      <c r="B15" s="17" t="inlineStr"/>
      <c r="C15" s="17" t="inlineStr"/>
      <c r="D15" s="17" t="inlineStr"/>
      <c r="E15" s="17" t="inlineStr"/>
      <c r="F15" s="17" t="inlineStr"/>
      <c r="G15" s="17" t="inlineStr"/>
    </row>
    <row r="17">
      <c r="A17" s="6" t="inlineStr">
        <is>
          <t>Centroide del bloque — UTM ESTE (m)</t>
        </is>
      </c>
      <c r="B17" s="7" t="n">
        <v>649081</v>
      </c>
      <c r="C17" s="6" t="inlineStr">
        <is>
          <t>Centroide del bloque — UTM NORTE (m)</t>
        </is>
      </c>
      <c r="D17" s="7" t="n">
        <v>9424506</v>
      </c>
      <c r="E17" s="8" t="n"/>
      <c r="F17" s="8" t="n"/>
      <c r="G17" s="8" t="n"/>
      <c r="H17" s="8" t="n"/>
    </row>
    <row r="18">
      <c r="A18" s="6" t="inlineStr">
        <is>
          <t>N.° de estaciones fotográficas declaradas</t>
        </is>
      </c>
      <c r="B18" s="7" t="inlineStr">
        <is>
          <t>Sin registro en la ficha DT</t>
        </is>
      </c>
      <c r="C18" s="6" t="inlineStr">
        <is>
          <t>Estaciones dentro del polígono</t>
        </is>
      </c>
      <c r="D18" s="7" t="inlineStr">
        <is>
          <t>Por determinar</t>
        </is>
      </c>
      <c r="E18" s="8" t="n"/>
      <c r="F18" s="8" t="n"/>
      <c r="G18" s="8" t="n"/>
      <c r="H18" s="8" t="n"/>
    </row>
    <row r="20" ht="108" customHeight="1">
      <c r="A2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de reconocimiento (16/07/2026). Las coordenadas del punto consignado corresponden a un punto representativo del recorrido; el bloque se caracterizó por transecto con múltiples waypoints. Centroide del bloque: 649081 E · 9424506 N. Altitud GPS no registrada en los rótulos; el perfil Google Earth indica un rango ≈1191-1431 msnm. Exposición dominante, reptación y deslizamientos antiguos: por verificar.</t>
        </is>
      </c>
      <c r="B20" s="38" t="n"/>
      <c r="C20" s="38" t="n"/>
      <c r="D20" s="38" t="n"/>
      <c r="E20" s="38" t="n"/>
      <c r="F20" s="38" t="n"/>
      <c r="G20" s="39" t="n"/>
    </row>
  </sheetData>
  <mergeCells count="8">
    <mergeCell ref="A1:G1"/>
    <mergeCell ref="A8:G8"/>
    <mergeCell ref="A3:G3"/>
    <mergeCell ref="A6:G6"/>
    <mergeCell ref="A4:G4"/>
    <mergeCell ref="A20:G2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C1081-Q9591 — BLOQUE 37</t>
        </is>
      </c>
    </row>
    <row r="6" ht="24" customHeight="1">
      <c r="A6" s="4" t="inlineStr">
        <is>
          <t>Distrito de Lalaquiz · Provincia de Huancabamba · Comparación de los bloques preliminares de intervención de la misma microcuenca</t>
        </is>
      </c>
    </row>
    <row r="8" ht="18" customHeight="1">
      <c r="A8" s="5" t="inlineStr">
        <is>
          <t>BLOQUES DE LA MICROCUENCA C1081-Q9591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66</t>
        </is>
      </c>
      <c r="B10" s="28" t="n">
        <v>102.34</v>
      </c>
      <c r="C10" s="19" t="n">
        <v>18.53</v>
      </c>
      <c r="D10" s="15" t="inlineStr">
        <is>
          <t>1171 – 1769</t>
        </is>
      </c>
      <c r="E10" s="15" t="n">
        <v>598</v>
      </c>
      <c r="F10" s="15" t="n">
        <v>31.55</v>
      </c>
      <c r="G10" s="18" t="n">
        <v>0.6403</v>
      </c>
      <c r="H10" s="19" t="n">
        <v>94.08</v>
      </c>
    </row>
    <row r="11">
      <c r="A11" s="13" t="inlineStr">
        <is>
          <t>M30B5</t>
        </is>
      </c>
      <c r="B11" s="29" t="n">
        <v>90.90000000000001</v>
      </c>
      <c r="C11" s="21" t="n">
        <v>16.46</v>
      </c>
      <c r="D11" s="14" t="inlineStr">
        <is>
          <t>1782 – 2307</t>
        </is>
      </c>
      <c r="E11" s="14" t="n">
        <v>525</v>
      </c>
      <c r="F11" s="14" t="n">
        <v>21.23</v>
      </c>
      <c r="G11" s="20" t="n">
        <v>0.5564</v>
      </c>
      <c r="H11" s="21" t="n">
        <v>79.45999999999999</v>
      </c>
    </row>
    <row r="12">
      <c r="A12" s="7" t="inlineStr">
        <is>
          <t>21</t>
        </is>
      </c>
      <c r="B12" s="28" t="n">
        <v>84.23</v>
      </c>
      <c r="C12" s="19" t="n">
        <v>15.25</v>
      </c>
      <c r="D12" s="15" t="inlineStr">
        <is>
          <t>1353 – 2004</t>
        </is>
      </c>
      <c r="E12" s="15" t="n">
        <v>651</v>
      </c>
      <c r="F12" s="15" t="n">
        <v>31.71</v>
      </c>
      <c r="G12" s="18" t="n">
        <v>0.6201</v>
      </c>
      <c r="H12" s="19" t="n">
        <v>89.39</v>
      </c>
    </row>
    <row r="13">
      <c r="A13" s="13" t="inlineStr">
        <is>
          <t>28</t>
        </is>
      </c>
      <c r="B13" s="29" t="n">
        <v>52.97</v>
      </c>
      <c r="C13" s="21" t="n">
        <v>9.59</v>
      </c>
      <c r="D13" s="14" t="inlineStr">
        <is>
          <t>1462 – 1856</t>
        </is>
      </c>
      <c r="E13" s="14" t="n">
        <v>394</v>
      </c>
      <c r="F13" s="14" t="n">
        <v>30.36</v>
      </c>
      <c r="G13" s="20" t="n">
        <v>0.6394</v>
      </c>
      <c r="H13" s="21" t="n">
        <v>96.64</v>
      </c>
    </row>
    <row r="14">
      <c r="A14" s="7" t="inlineStr">
        <is>
          <t>26</t>
        </is>
      </c>
      <c r="B14" s="28" t="n">
        <v>46.96</v>
      </c>
      <c r="C14" s="19" t="n">
        <v>8.5</v>
      </c>
      <c r="D14" s="15" t="inlineStr">
        <is>
          <t>1260 – 1855</t>
        </is>
      </c>
      <c r="E14" s="15" t="n">
        <v>595</v>
      </c>
      <c r="F14" s="15" t="n">
        <v>32.26</v>
      </c>
      <c r="G14" s="18" t="n">
        <v>0.6733</v>
      </c>
      <c r="H14" s="19" t="n">
        <v>97.29000000000001</v>
      </c>
    </row>
    <row r="15">
      <c r="A15" s="13" t="inlineStr">
        <is>
          <t>60</t>
        </is>
      </c>
      <c r="B15" s="29" t="n">
        <v>40.13</v>
      </c>
      <c r="C15" s="21" t="n">
        <v>7.27</v>
      </c>
      <c r="D15" s="14" t="inlineStr">
        <is>
          <t>1638 – 2073</t>
        </is>
      </c>
      <c r="E15" s="14" t="n">
        <v>435</v>
      </c>
      <c r="F15" s="14" t="n">
        <v>32.67</v>
      </c>
      <c r="G15" s="20" t="n">
        <v>0.6745</v>
      </c>
      <c r="H15" s="21" t="n">
        <v>99.90000000000001</v>
      </c>
    </row>
    <row r="16">
      <c r="A16" s="7" t="inlineStr">
        <is>
          <t>64</t>
        </is>
      </c>
      <c r="B16" s="28" t="n">
        <v>35.77</v>
      </c>
      <c r="C16" s="19" t="n">
        <v>6.48</v>
      </c>
      <c r="D16" s="15" t="inlineStr">
        <is>
          <t>2412 – 2651</t>
        </is>
      </c>
      <c r="E16" s="15" t="n">
        <v>239</v>
      </c>
      <c r="F16" s="15" t="n">
        <v>28.18</v>
      </c>
      <c r="G16" s="18" t="n">
        <v>0.5254</v>
      </c>
      <c r="H16" s="19" t="n">
        <v>78.22</v>
      </c>
    </row>
    <row r="17">
      <c r="A17" s="11" t="inlineStr">
        <is>
          <t>► 37</t>
        </is>
      </c>
      <c r="B17" s="30" t="n">
        <v>35.49</v>
      </c>
      <c r="C17" s="31" t="n">
        <v>6.43</v>
      </c>
      <c r="D17" s="12" t="inlineStr">
        <is>
          <t>1184 – 1455</t>
        </is>
      </c>
      <c r="E17" s="12" t="n">
        <v>271</v>
      </c>
      <c r="F17" s="12" t="n">
        <v>23.59</v>
      </c>
      <c r="G17" s="32" t="n">
        <v>0.6588000000000001</v>
      </c>
      <c r="H17" s="31" t="n">
        <v>98.02</v>
      </c>
    </row>
    <row r="18">
      <c r="A18" s="7" t="inlineStr">
        <is>
          <t>30</t>
        </is>
      </c>
      <c r="B18" s="28" t="n">
        <v>34.87</v>
      </c>
      <c r="C18" s="19" t="n">
        <v>6.31</v>
      </c>
      <c r="D18" s="15" t="inlineStr">
        <is>
          <t>1216 – 1541</t>
        </is>
      </c>
      <c r="E18" s="15" t="n">
        <v>325</v>
      </c>
      <c r="F18" s="15" t="n">
        <v>27.91</v>
      </c>
      <c r="G18" s="18" t="n">
        <v>0.6637999999999999</v>
      </c>
      <c r="H18" s="19" t="n">
        <v>99.38</v>
      </c>
    </row>
    <row r="19">
      <c r="A19" s="13" t="inlineStr">
        <is>
          <t>40</t>
        </is>
      </c>
      <c r="B19" s="29" t="n">
        <v>28.52</v>
      </c>
      <c r="C19" s="21" t="n">
        <v>5.16</v>
      </c>
      <c r="D19" s="14" t="inlineStr">
        <is>
          <t>1407 – 1656</t>
        </is>
      </c>
      <c r="E19" s="14" t="n">
        <v>249</v>
      </c>
      <c r="F19" s="14" t="n">
        <v>31.4</v>
      </c>
      <c r="G19" s="20" t="n">
        <v>0.6401</v>
      </c>
      <c r="H19" s="21" t="n">
        <v>99.55</v>
      </c>
    </row>
    <row r="20">
      <c r="A20" s="16" t="inlineStr">
        <is>
          <t>TOTAL / PROMEDIO</t>
        </is>
      </c>
      <c r="B20" s="33">
        <f>SUM(B10:B19)</f>
        <v/>
      </c>
      <c r="C20" s="23">
        <f>SUM(C10:C19)</f>
        <v/>
      </c>
      <c r="D20" s="17" t="inlineStr">
        <is>
          <t>1171 – 2651</t>
        </is>
      </c>
      <c r="E20" s="17" t="inlineStr"/>
      <c r="F20" s="17">
        <f>ROUND(AVERAGE(F10:F19),2)</f>
        <v/>
      </c>
      <c r="G20" s="22">
        <f>ROUND(AVERAGE(G10:G19),4)</f>
        <v/>
      </c>
      <c r="H20" s="23">
        <f>ROUND(AVERAGE(H10:H19),2)</f>
        <v/>
      </c>
    </row>
    <row r="22" ht="84" customHeight="1">
      <c r="A22" s="9" t="inlineStr">
        <is>
          <t>LECTURA INTRAMICROCUENCA. El bloque 37 ocupa el puesto 8 de 10 por superficie dentro de la microcuenca C1081-Q9591 (6.43 % de las 552.18 ha preliminares de la microcuenca). Su pendiente promedio (23.59 %, clase «15-25% (Fuert. inclinado)») es la 2.ª más baja de 10 y se sitúa por debajo del promedio de la microcuenca (29.09 %). Su MSAVI 2024 (0.6588) es el 4.º de 10 y queda por encima del promedio local (0.6292). Amplitud altitudinal del bloque: 271 m (1184–1455 msnm). El cuadro conserva todos los bloques catalogados en la microcuenca, incluidos los descartados en el tamizaje, para referencia del conjunto. Los bloques sin ficha DT figuran con sus parámetros de gabinete.</t>
        </is>
      </c>
      <c r="B22" s="38" t="n"/>
      <c r="C22" s="38" t="n"/>
      <c r="D22" s="38" t="n"/>
      <c r="E22" s="38" t="n"/>
      <c r="F22" s="38" t="n"/>
      <c r="G22" s="38" t="n"/>
      <c r="H22" s="39" t="n"/>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24" s="38" t="n"/>
      <c r="C24" s="38" t="n"/>
      <c r="D24" s="38" t="n"/>
      <c r="E24" s="38" t="n"/>
      <c r="F24" s="38" t="n"/>
      <c r="G24" s="38" t="n"/>
      <c r="H24" s="39" t="n"/>
    </row>
  </sheetData>
  <mergeCells count="9">
    <mergeCell ref="A1:H1"/>
    <mergeCell ref="A4:H4"/>
    <mergeCell ref="A3:H3"/>
    <mergeCell ref="A24:H24"/>
    <mergeCell ref="A2:H2"/>
    <mergeCell ref="A5:H5"/>
    <mergeCell ref="A8:H8"/>
    <mergeCell ref="A6:H6"/>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4"/>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37</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«C1081-Q9591»</t>
        </is>
      </c>
      <c r="D10" s="35" t="inlineStr">
        <is>
          <t>CONFORME</t>
        </is>
      </c>
      <c r="E10" s="34" t="inlineStr">
        <is>
          <t>Sin acción.</t>
        </is>
      </c>
    </row>
    <row r="11" ht="48" customHeight="1">
      <c r="A11" s="36" t="inlineStr">
        <is>
          <t>D-02</t>
        </is>
      </c>
      <c r="B11" s="36" t="inlineStr">
        <is>
          <t>UTM del punto de muestreo</t>
        </is>
      </c>
      <c r="C11" s="36" t="inlineStr">
        <is>
          <t>El punto de muestreo declarado (645575 E / 9393500 N) dista 31,204 m del centroide de catálogo (649081 E / 9424506 N), distancia incompatible con la superficie del bloque (35.49 ha)</t>
        </is>
      </c>
      <c r="D11" s="37" t="inlineStr">
        <is>
          <t>SUSTANTIVA</t>
        </is>
      </c>
      <c r="E11" s="36" t="inlineStr">
        <is>
          <t>Se declara la coordenada como POR VERIFICAR: puede corresponder a otro bloque o a un error de digitación. No se corrige de oficio.</t>
        </is>
      </c>
    </row>
    <row r="12" ht="48" customHeight="1">
      <c r="A12" s="34" t="inlineStr">
        <is>
          <t>D-03</t>
        </is>
      </c>
      <c r="B12" s="34" t="inlineStr">
        <is>
          <t>Superficie del polígono</t>
        </is>
      </c>
      <c r="C12" s="34" t="inlineStr">
        <is>
          <t>La superficie clasificada por el NDVI 2025 (35.500 ha) coincide con la de catálogo (35.49 ha) dentro del ±2 % (+0.03 %)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«25-50% (Mod. escarpado)»; la estadística zonal sobre el MDE arroja una pendiente promedio de 23.59 %, que corresponde a la clase «15-25% (Fuert. inclinado)»</t>
        </is>
      </c>
      <c r="D13" s="12"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80 % de cobertura vegetal en campo; el NDVI mediana 2025 clasifica 100.00 % del polígono en clases de vegetación</t>
        </is>
      </c>
      <c r="D14" s="12"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Altitud GPS del punto de muestreo</t>
        </is>
      </c>
      <c r="C15" s="36" t="inlineStr">
        <is>
          <t>La aplicación de captura no registró altitud GPS en campo</t>
        </is>
      </c>
      <c r="D15" s="12" t="inlineStr">
        <is>
          <t>NO SUSTANTIVA</t>
        </is>
      </c>
      <c r="E15" s="36" t="inlineStr">
        <is>
          <t>El rango altitudinal del bloque (1184–1455 msnm) y la pendiente promedio (23.59 %) se toman de la estadística zonal sobre el MDE, no de medición de campo. Se declara la fuente.</t>
        </is>
      </c>
    </row>
    <row r="16" ht="48" customHeight="1">
      <c r="A16" s="34" t="inlineStr">
        <is>
          <t>D-07</t>
        </is>
      </c>
      <c r="B16" s="34" t="inlineStr">
        <is>
          <t>Dimensiones del inventario de cárcavas</t>
        </is>
      </c>
      <c r="C16" s="34" t="inlineStr">
        <is>
          <t>Se registran 2 rasgos erosivos, pero longitud, profundidad y ancho no fueron medidos instrumentalmente</t>
        </is>
      </c>
      <c r="D16" s="12" t="inlineStr">
        <is>
          <t>NO SUSTANTIVA</t>
        </is>
      </c>
      <c r="E16" s="34" t="inlineStr">
        <is>
          <t>El conteo registrado no debe usarse para calcular densidad de cárcavas por hectárea. Pendiente de levantamiento con GPS submétrico.</t>
        </is>
      </c>
    </row>
    <row r="17" ht="48" customHeight="1">
      <c r="A17" s="36" t="inlineStr">
        <is>
          <t>D-08</t>
        </is>
      </c>
      <c r="B17" s="36" t="inlineStr">
        <is>
          <t>Elenco florístico</t>
        </is>
      </c>
      <c r="C17" s="36" t="inlineStr">
        <is>
          <t>La ficha registra 13 taxones, por debajo del mínimo de 15 que exige el formato V5</t>
        </is>
      </c>
      <c r="D17" s="37" t="inlineStr">
        <is>
          <t>SUSTANTIVA</t>
        </is>
      </c>
      <c r="E17" s="36" t="inlineStr">
        <is>
          <t>Registro florístico preliminar, sin colecta ni determinación botánica formal. Debe cerrarse con colecta botánica en la siguiente campaña.</t>
        </is>
      </c>
    </row>
    <row r="18" ht="48" customHeight="1">
      <c r="A18" s="34" t="inlineStr">
        <is>
          <t>D-09</t>
        </is>
      </c>
      <c r="B18" s="34" t="inlineStr">
        <is>
          <t>Centro poblado asociado</t>
        </is>
      </c>
      <c r="C18" s="34" t="inlineStr">
        <is>
          <t>La ficha DT declara «El Papayo»; el cruce INEI-Bloques V5 identifica 1 centro(s) poblado(s) en el bloque: EL PAPAYO</t>
        </is>
      </c>
      <c r="D18" s="35" t="inlineStr">
        <is>
          <t>CONFORME</t>
        </is>
      </c>
      <c r="E18" s="34" t="inlineStr">
        <is>
          <t>Se conserva el registro de campo como referencia y se adopta el listado INEI para el diagnóstico social y el cálculo de población beneficiaria.</t>
        </is>
      </c>
    </row>
    <row r="19" ht="48" customHeight="1">
      <c r="A19" s="36" t="inlineStr">
        <is>
          <t>D-10</t>
        </is>
      </c>
      <c r="B19" s="36" t="inlineStr">
        <is>
          <t>Peligro integrado (MCA-AHP)</t>
        </is>
      </c>
      <c r="C19" s="36" t="inlineStr">
        <is>
          <t>El nivel de peligro integrado no está disponible en los insumos de este entregable</t>
        </is>
      </c>
      <c r="D19" s="37" t="inlineStr">
        <is>
          <t>SUSTANTIVA</t>
        </is>
      </c>
      <c r="E19" s="36" t="inlineStr">
        <is>
          <t>Debe tomarse del modelamiento de mesolocalización (PMM + EPH + PGI ponderados por AHP) antes de fijar la prioridad definitiva de intervención del bloque.</t>
        </is>
      </c>
    </row>
    <row r="20">
      <c r="A20" s="36" t="inlineStr">
        <is>
          <t>D-11</t>
        </is>
      </c>
      <c r="B20" s="36" t="inlineStr">
        <is>
          <t>Distribución areal de clases MSAVI 2024</t>
        </is>
      </c>
      <c r="C20" s="36" t="inlineStr">
        <is>
          <t>La hoja «Cobertura MSAVI-NDVI» consignaba «Por determinar» en la distribución areal de clases MSAVI 2024; se incorpora el metrado por clase medido sobre la cartografía temática MSAVI 2024 del bloque: 1.80 % del bloque (0.639 ha) bajo el umbral 0.4976 y 98.20 % sobre el umbral; clase areal dominante «Vigor alto».</t>
        </is>
      </c>
      <c r="D20" s="37" t="inlineStr">
        <is>
          <t>CORREGIDO</t>
        </is>
      </c>
      <c r="E20" s="36"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21"/>
    <row r="22">
      <c r="A22" s="16" t="inlineStr">
        <is>
          <t>RESUMEN</t>
        </is>
      </c>
      <c r="B22" s="17" t="inlineStr">
        <is>
          <t>11 verificaciones</t>
        </is>
      </c>
      <c r="C22" s="17" t="inlineStr">
        <is>
          <t>CONFORME: 3 · NO SUSTANTIVA: 4 · SUSTANTIVA: 3 · CORREGIDO: 1</t>
        </is>
      </c>
      <c r="D22" s="17" t="inlineStr"/>
      <c r="E22" s="17" t="inlineStr"/>
    </row>
    <row r="23" ht="60" customHeight="1"/>
    <row r="24">
      <c r="A24"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4" s="38" t="n"/>
      <c r="C24" s="38" t="n"/>
      <c r="D24" s="38" t="n"/>
      <c r="E24" s="39" t="n"/>
    </row>
  </sheetData>
  <mergeCells count="8">
    <mergeCell ref="A4:E4"/>
    <mergeCell ref="A24:E24"/>
    <mergeCell ref="A2:E2"/>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37 — IN Piura</dc:title>
  <dc:subject>Diagnóstico Territorial por bloque de intervención</dc:subject>
  <dcterms:created xsi:type="dcterms:W3CDTF">2026-09-08T03:39:54Z</dcterms:created>
  <dcterms:modified xsi:type="dcterms:W3CDTF">2026-09-09T14:49:42Z</dcterms:modified>
</cp:coreProperties>
</file>