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13</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13</t>
        </is>
      </c>
      <c r="C9" s="6" t="inlineStr">
        <is>
          <t>Microcuenca (catálogo)</t>
        </is>
      </c>
      <c r="D9" s="7" t="inlineStr">
        <is>
          <t>C1096-Q9564</t>
        </is>
      </c>
      <c r="E9" s="8" t="n"/>
      <c r="F9" s="8" t="n"/>
    </row>
    <row r="10">
      <c r="A10" s="6" t="inlineStr">
        <is>
          <t>Zona de planificación</t>
        </is>
      </c>
      <c r="B10" s="7" t="inlineStr">
        <is>
          <t>Z03</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Huacas</t>
        </is>
      </c>
      <c r="C13" s="6" t="inlineStr">
        <is>
          <t>Comunidad campesina</t>
        </is>
      </c>
      <c r="D13" s="7" t="inlineStr">
        <is>
          <t>No aplica – Tierras del Estado bajo administración del GORE Piura</t>
        </is>
      </c>
      <c r="E13" s="8" t="n"/>
      <c r="F13" s="8" t="n"/>
    </row>
    <row r="14">
      <c r="A14" s="6" t="inlineStr">
        <is>
          <t>Superficie de catálogo (V5/V6), ha</t>
        </is>
      </c>
      <c r="B14" s="7" t="n">
        <v>100.51</v>
      </c>
      <c r="C14" s="6" t="inlineStr">
        <is>
          <t>Fuente de superficie</t>
        </is>
      </c>
      <c r="D14" s="7" t="inlineStr">
        <is>
          <t>Catálogo maestro Bloques V5/V6</t>
        </is>
      </c>
      <c r="E14" s="8" t="n"/>
      <c r="F14" s="8" t="n"/>
    </row>
    <row r="15">
      <c r="A15" s="6" t="inlineStr">
        <is>
          <t>Centroide UTM ESTE (m)</t>
        </is>
      </c>
      <c r="B15" s="7" t="n">
        <v>620263</v>
      </c>
      <c r="C15" s="6" t="inlineStr">
        <is>
          <t>Centroide UTM NORTE (m)</t>
        </is>
      </c>
      <c r="D15" s="7" t="n">
        <v>9442343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1649</v>
      </c>
      <c r="C19" s="6" t="inlineStr">
        <is>
          <t>Altitud máxima (msnm)</t>
        </is>
      </c>
      <c r="D19" s="7" t="n">
        <v>2267</v>
      </c>
      <c r="E19" s="8" t="n"/>
      <c r="F19" s="8" t="n"/>
    </row>
    <row r="20">
      <c r="A20" s="6" t="inlineStr">
        <is>
          <t>Amplitud altitudinal (m)</t>
        </is>
      </c>
      <c r="B20" s="7" t="n">
        <v>618</v>
      </c>
      <c r="C20" s="6" t="inlineStr">
        <is>
          <t>Piso altitudinal dominante</t>
        </is>
      </c>
      <c r="D20" s="7" t="inlineStr">
        <is>
          <t>1500-2000 m (Quechua media)</t>
        </is>
      </c>
      <c r="E20" s="8" t="n"/>
      <c r="F20" s="8" t="n"/>
    </row>
    <row r="21">
      <c r="A21" s="6" t="inlineStr">
        <is>
          <t>Pendiente promedio (%)</t>
        </is>
      </c>
      <c r="B21" s="7" t="n">
        <v>28.99</v>
      </c>
      <c r="C21" s="6" t="inlineStr">
        <is>
          <t>Pendiente promedio (grados)</t>
        </is>
      </c>
      <c r="D21" s="7" t="n">
        <v>16.2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0.6711</v>
      </c>
      <c r="C28" s="6" t="inlineStr">
        <is>
          <t>MSAVI 2024 — clase de la media</t>
        </is>
      </c>
      <c r="D28" s="7" t="inlineStr">
        <is>
          <t>&gt; 0.6139 (Vigor alto)</t>
        </is>
      </c>
      <c r="E28" s="8" t="n"/>
      <c r="F28" s="8" t="n"/>
    </row>
    <row r="29">
      <c r="A29" s="6" t="inlineStr">
        <is>
          <t>Condición frente al umbral 0.4976</t>
        </is>
      </c>
      <c r="B29" s="7" t="inlineStr">
        <is>
          <t>Sobre umbral · distribución areal: 5.33 % del bloque BAJO el umbral (5.357 ha de 100.510 ha)</t>
        </is>
      </c>
      <c r="C29" s="6" t="inlineStr">
        <is>
          <t>NDVI mediana 2025 — clase modal</t>
        </is>
      </c>
      <c r="D29" s="7" t="inlineStr">
        <is>
          <t>Vegetación alta (89.59 %)</t>
        </is>
      </c>
      <c r="E29" s="8" t="n"/>
      <c r="F29" s="8" t="n"/>
    </row>
    <row r="30">
      <c r="A30" s="6" t="inlineStr">
        <is>
          <t>MSAVI 2024 — superficie BAJO el umbral 0.4976 (ha)</t>
        </is>
      </c>
      <c r="B30" s="7" t="n">
        <v>5.357</v>
      </c>
      <c r="C30" s="6" t="inlineStr">
        <is>
          <t>MSAVI 2024 — % del bloque BAJO el umbral</t>
        </is>
      </c>
      <c r="D30" s="7" t="n">
        <v>5.33</v>
      </c>
      <c r="E30" s="8" t="n"/>
      <c r="F30" s="8" t="n"/>
    </row>
    <row r="31">
      <c r="A31" s="6" t="inlineStr">
        <is>
          <t>MSAVI 2024 — clase areal dominante</t>
        </is>
      </c>
      <c r="B31" s="7" t="inlineStr">
        <is>
          <t>Vigor alto</t>
        </is>
      </c>
      <c r="C31" s="6" t="inlineStr">
        <is>
          <t>MSAVI 2024 — fuente de la distribución areal</t>
        </is>
      </c>
      <c r="D31" s="7" t="inlineStr">
        <is>
          <t>Conteo de celdas sobre la cartografía MSAVI 2024 del bloque (MSAVI Bloque 13.png)</t>
        </is>
      </c>
      <c r="E31" s="8" t="n"/>
      <c r="F31" s="8" t="n"/>
    </row>
    <row r="32" ht="18" customHeight="1">
      <c r="A32" s="6" t="inlineStr">
        <is>
          <t>Superficie clasificada NDVI 2025 (ha)</t>
        </is>
      </c>
      <c r="B32" s="7" t="n">
        <v>100.558</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Matorral Andino subhúmedo</t>
        </is>
      </c>
      <c r="C35" s="6" t="inlineStr">
        <is>
          <t>Superficie de ecosistema (ha)</t>
        </is>
      </c>
      <c r="D35" s="7" t="inlineStr">
        <is>
          <t>60.35 ha (mosaico: BMVO 26.22 ha + Matorral andino 60.35 ha + Zona agrícola 13.94 ha)</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Mixto / Mosaico</t>
        </is>
      </c>
      <c r="C37" s="6" t="inlineStr">
        <is>
          <t>Cobertura vegetal total — campo (%)</t>
        </is>
      </c>
      <c r="D37" s="7" t="n">
        <v>80</v>
      </c>
      <c r="E37" s="8" t="n"/>
      <c r="F37" s="8" t="n"/>
    </row>
    <row r="38">
      <c r="A38" s="6" t="inlineStr">
        <is>
          <t>Suelo desnudo — campo (%)</t>
        </is>
      </c>
      <c r="B38" s="7" t="n">
        <v>10</v>
      </c>
      <c r="C38" s="6" t="inlineStr">
        <is>
          <t>Regeneración natural</t>
        </is>
      </c>
      <c r="D38" s="7" t="inlineStr">
        <is>
          <t>Regular (10-50 pl./100m²)</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Ing. Héctor S. Cahuas Miller / Ing. Pedro Talledo Hernández / Ing. Juan Carlos Domínguez Varas (ANIN-DIME-SESDI)</t>
        </is>
      </c>
      <c r="C43" s="6" t="inlineStr">
        <is>
          <t>Fecha de evaluación</t>
        </is>
      </c>
      <c r="D43" s="7" t="inlineStr">
        <is>
          <t>2026-06-10</t>
        </is>
      </c>
      <c r="E43" s="8" t="n"/>
      <c r="F43" s="8" t="n"/>
    </row>
    <row r="44">
      <c r="A44" s="6" t="inlineStr">
        <is>
          <t>Hora de registro</t>
        </is>
      </c>
      <c r="B44" s="7" t="inlineStr">
        <is>
          <t>01:17 p.m.</t>
        </is>
      </c>
      <c r="C44" s="6" t="inlineStr">
        <is>
          <t>Correlativo de ficha</t>
        </is>
      </c>
      <c r="D44" s="7" t="inlineStr">
        <is>
          <t>DT-B13-01</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P-01 (ladera media, sector de pastizal-matorral con relictos)</t>
        </is>
      </c>
      <c r="E46" s="8" t="n"/>
      <c r="F46" s="8" t="n"/>
    </row>
    <row r="47" ht="18" customHeight="1">
      <c r="A47" s="6" t="inlineStr">
        <is>
          <t>Estaciones fotográficas georreferenciadas</t>
        </is>
      </c>
      <c r="B47" s="7" t="n">
        <v>15</v>
      </c>
      <c r="C47" s="6" t="inlineStr">
        <is>
          <t>Modalidad de acceso</t>
        </is>
      </c>
      <c r="D47" s="7" t="inlineStr">
        <is>
          <t>Vehicular + caminata 30-90 min</t>
        </is>
      </c>
      <c r="E47" s="8" t="n"/>
      <c r="F47" s="8" t="n"/>
    </row>
    <row r="48"/>
    <row r="49">
      <c r="A49" s="5" t="inlineStr">
        <is>
          <t>6. SÍNTESIS PARA LA GESTIÓN DEL RIESGO EN CONTEXTO DE CAMBIO CLIMÁTICO</t>
        </is>
      </c>
    </row>
    <row r="50">
      <c r="A50" s="6" t="inlineStr">
        <is>
          <t>Causa subyacente principal</t>
        </is>
      </c>
      <c r="B50" s="7" t="inlineStr">
        <is>
          <t>Economía de subsistencia (ganadería y agricultura de ladera) sin ordenamiento territorial ni manejo del ecosistema</t>
        </is>
      </c>
      <c r="C50" s="6" t="inlineStr">
        <is>
          <t>Velocidad de degradación</t>
        </is>
      </c>
      <c r="D50" s="7" t="inlineStr">
        <is>
          <t>Moderada</t>
        </is>
      </c>
      <c r="E50" s="8" t="n"/>
      <c r="F50" s="8" t="n"/>
    </row>
    <row r="51">
      <c r="A51" s="6" t="inlineStr">
        <is>
          <t>Reversibilidad técnica</t>
        </is>
      </c>
      <c r="B51" s="7" t="inlineStr">
        <is>
          <t>Parcialmente reversible</t>
        </is>
      </c>
      <c r="C51" s="6" t="inlineStr">
        <is>
          <t>Urgencia de intervención</t>
        </is>
      </c>
      <c r="D51" s="7" t="inlineStr">
        <is>
          <t>Media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13</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30" t="n">
        <v>70.95</v>
      </c>
      <c r="C10" s="29" t="n">
        <v>70.59</v>
      </c>
      <c r="D10" s="12" t="inlineStr">
        <is>
          <t>Vigor alto</t>
        </is>
      </c>
      <c r="E10" s="12" t="inlineStr">
        <is>
          <t>Sobre umbral</t>
        </is>
      </c>
    </row>
    <row r="11">
      <c r="A11" s="13" t="inlineStr">
        <is>
          <t>0.4976 - 0.6139</t>
        </is>
      </c>
      <c r="B11" s="20" t="n">
        <v>24.2028</v>
      </c>
      <c r="C11" s="21" t="n">
        <v>24.08</v>
      </c>
      <c r="D11" s="14" t="inlineStr">
        <is>
          <t>Vigor moderado</t>
        </is>
      </c>
      <c r="E11" s="14" t="inlineStr">
        <is>
          <t>Sobre umbral</t>
        </is>
      </c>
    </row>
    <row r="12">
      <c r="A12" s="7" t="inlineStr">
        <is>
          <t>0.3813 - 0.4976</t>
        </is>
      </c>
      <c r="B12" s="18" t="n">
        <v>5.3572</v>
      </c>
      <c r="C12" s="19" t="n">
        <v>5.33</v>
      </c>
      <c r="D12" s="15" t="inlineStr">
        <is>
          <t>Vigor bajo</t>
        </is>
      </c>
      <c r="E12" s="15" t="inlineStr">
        <is>
          <t>BAJO umbral 0.4976</t>
        </is>
      </c>
    </row>
    <row r="13">
      <c r="A13" s="13" t="inlineStr">
        <is>
          <t>0.2650 - 0.3813</t>
        </is>
      </c>
      <c r="B13" s="20" t="n">
        <v>0</v>
      </c>
      <c r="C13" s="21" t="n">
        <v>0</v>
      </c>
      <c r="D13" s="14" t="inlineStr">
        <is>
          <t>Vigor muy bajo</t>
        </is>
      </c>
      <c r="E13" s="14" t="inlineStr">
        <is>
          <t>BAJO umbral 0.4976</t>
        </is>
      </c>
    </row>
    <row r="14">
      <c r="A14" s="7" t="inlineStr">
        <is>
          <t>&lt;= 0.2650</t>
        </is>
      </c>
      <c r="B14" s="18" t="n">
        <v>0</v>
      </c>
      <c r="C14" s="19" t="n">
        <v>0</v>
      </c>
      <c r="D14" s="15" t="inlineStr">
        <is>
          <t>Suelo desnudo / no vegetal</t>
        </is>
      </c>
      <c r="E14" s="15" t="inlineStr">
        <is>
          <t>BAJO umbral 0.4976</t>
        </is>
      </c>
    </row>
    <row r="15">
      <c r="A15" s="7" t="inlineStr">
        <is>
          <t>TOTAL CLASIFICADO</t>
        </is>
      </c>
      <c r="B15" s="18">
        <f>SUM(B10:B14)</f>
        <v/>
      </c>
      <c r="C15" s="19">
        <f>SUM(C10:C14)</f>
        <v/>
      </c>
      <c r="D15" s="15" t="inlineStr">
        <is>
          <t>Suma de las cinco clases MSAVI 2024</t>
        </is>
      </c>
      <c r="E15" s="15" t="inlineStr">
        <is>
          <t>Iguala la superficie de catálogo (V5/V6)</t>
        </is>
      </c>
    </row>
    <row r="16">
      <c r="A16" s="16" t="inlineStr">
        <is>
          <t>MSAVI 2024 — MEDIA DEL BLOQUE</t>
        </is>
      </c>
      <c r="B16" s="17" t="n">
        <v>0.671094</v>
      </c>
      <c r="C16" s="17" t="inlineStr">
        <is>
          <t>—</t>
        </is>
      </c>
      <c r="D16" s="17" t="inlineStr">
        <is>
          <t>Vigor alto · clase &gt;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90.09059999999999</v>
      </c>
      <c r="C22" s="19" t="n">
        <v>89.59</v>
      </c>
      <c r="D22" s="15" t="inlineStr">
        <is>
          <t>Dosel continuo, matorral denso o mosaico agroforestal</t>
        </is>
      </c>
      <c r="E22" s="15" t="inlineStr"/>
    </row>
    <row r="23">
      <c r="A23" s="13" t="inlineStr">
        <is>
          <t>Vegetación mediana</t>
        </is>
      </c>
      <c r="B23" s="20" t="n">
        <v>10.1507</v>
      </c>
      <c r="C23" s="21" t="n">
        <v>10.09</v>
      </c>
      <c r="D23" s="14" t="inlineStr">
        <is>
          <t>Pastizal cultivado, matorral ralo, parcelas agrícolas</t>
        </is>
      </c>
      <c r="E23" s="14" t="inlineStr"/>
    </row>
    <row r="24">
      <c r="A24" s="7" t="inlineStr">
        <is>
          <t>Vegetación ligera</t>
        </is>
      </c>
      <c r="B24" s="18" t="n">
        <v>0.3068</v>
      </c>
      <c r="C24" s="19" t="n">
        <v>0.31</v>
      </c>
      <c r="D24" s="15" t="inlineStr">
        <is>
          <t>Cobertura discontinua, suelo parcialmente expuesto</t>
        </is>
      </c>
      <c r="E24" s="15" t="inlineStr"/>
    </row>
    <row r="25">
      <c r="A25" s="13" t="inlineStr">
        <is>
          <t>Tierra desnuda</t>
        </is>
      </c>
      <c r="B25" s="20" t="n">
        <v>0.009900000000000001</v>
      </c>
      <c r="C25" s="21" t="n">
        <v>0.01</v>
      </c>
      <c r="D25" s="14" t="inlineStr">
        <is>
          <t>Suelo desnudo, afloramientos, plataformas y taludes</t>
        </is>
      </c>
      <c r="E25" s="14" t="inlineStr"/>
    </row>
    <row r="26">
      <c r="A26" s="16" t="inlineStr">
        <is>
          <t>TOTAL CLASIFICADO</t>
        </is>
      </c>
      <c r="B26" s="22">
        <f>SUM(B21:B24)</f>
        <v/>
      </c>
      <c r="C26" s="23">
        <f>SUM(C21:C24)</f>
        <v/>
      </c>
      <c r="D26" s="17" t="inlineStr"/>
      <c r="E26" s="17" t="inlineStr"/>
    </row>
    <row r="27">
      <c r="A27" s="24" t="inlineStr">
        <is>
          <t>Superficie de catálogo (V5/V6)</t>
        </is>
      </c>
      <c r="B27" s="25" t="n">
        <v>100.51</v>
      </c>
      <c r="C27" s="25" t="inlineStr">
        <is>
          <t>—</t>
        </is>
      </c>
      <c r="D27" s="25" t="inlineStr">
        <is>
          <t>Desviación planimétrica frente al catálogo</t>
        </is>
      </c>
      <c r="E27" s="25" t="inlineStr">
        <is>
          <t>+0.05 %</t>
        </is>
      </c>
    </row>
    <row r="28" ht="108" customHeight="1"/>
    <row r="29">
      <c r="A29"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89.59 % del polígono clasificado como «Vegetación alta» por el NDVI 2025; la observación de campo corresponde a una parcela o recorrido puntual y no es estadísticamente representativa de las 100.510 ha del bloque.</t>
        </is>
      </c>
      <c r="B29" s="38" t="n"/>
      <c r="C29" s="38" t="n"/>
      <c r="D29" s="38" t="n"/>
      <c r="E29" s="39" t="n"/>
    </row>
  </sheetData>
  <mergeCells count="10">
    <mergeCell ref="A29:E29"/>
    <mergeCell ref="A4:E4"/>
    <mergeCell ref="A20:E20"/>
    <mergeCell ref="A2:E2"/>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13</t>
        </is>
      </c>
    </row>
    <row r="6" ht="24" customHeight="1">
      <c r="A6" s="4" t="inlineStr">
        <is>
          <t>Levantamiento del 2026-06-10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619674</v>
      </c>
      <c r="D10" s="26" t="n">
        <v>9442224</v>
      </c>
      <c r="E10" s="15" t="n">
        <v>600.9</v>
      </c>
      <c r="F10" s="15" t="inlineStr"/>
      <c r="G10" s="15" t="inlineStr">
        <is>
          <t>Coordenada consignada en F-DT-01</t>
        </is>
      </c>
    </row>
    <row r="11">
      <c r="A11" s="13" t="inlineStr">
        <is>
          <t>H-01</t>
        </is>
      </c>
      <c r="B11" s="14" t="inlineStr">
        <is>
          <t>Fuente de agua — Manantial / Puquio</t>
        </is>
      </c>
      <c r="C11" s="27" t="n">
        <v>619674</v>
      </c>
      <c r="D11" s="27" t="n">
        <v>9442224</v>
      </c>
      <c r="E11" s="14" t="n">
        <v>600.9</v>
      </c>
      <c r="F11" s="14" t="inlineStr">
        <is>
          <t>Permanente</t>
        </is>
      </c>
      <c r="G11" s="14" t="inlineStr">
        <is>
          <t>Captación de concreto</t>
        </is>
      </c>
    </row>
    <row r="12">
      <c r="A12" s="7" t="inlineStr">
        <is>
          <t>H-02</t>
        </is>
      </c>
      <c r="B12" s="15" t="inlineStr">
        <is>
          <t>Fuente de agua — Quebrada permanente</t>
        </is>
      </c>
      <c r="C12" s="26" t="n">
        <v>619739</v>
      </c>
      <c r="D12" s="26" t="n">
        <v>9442286</v>
      </c>
      <c r="E12" s="15" t="n">
        <v>527.1</v>
      </c>
      <c r="F12" s="15" t="inlineStr">
        <is>
          <t>Permanente</t>
        </is>
      </c>
      <c r="G12" s="15" t="inlineStr">
        <is>
          <t>Cauce con caída de agua</t>
        </is>
      </c>
    </row>
    <row r="13">
      <c r="A13" s="13" t="inlineStr">
        <is>
          <t>H-03</t>
        </is>
      </c>
      <c r="B13" s="14" t="inlineStr">
        <is>
          <t>Fuente de agua — Quebrada permanente</t>
        </is>
      </c>
      <c r="C13" s="27" t="n">
        <v>619664</v>
      </c>
      <c r="D13" s="27" t="n">
        <v>9442222</v>
      </c>
      <c r="E13" s="14" t="n">
        <v>611.1</v>
      </c>
      <c r="F13" s="14" t="inlineStr">
        <is>
          <t>Permanente</t>
        </is>
      </c>
      <c r="G13" s="14" t="inlineStr">
        <is>
          <t>Riachuelo bajo dosel</t>
        </is>
      </c>
    </row>
    <row r="14">
      <c r="A14" s="7" t="inlineStr">
        <is>
          <t>H-04</t>
        </is>
      </c>
      <c r="B14" s="15" t="inlineStr">
        <is>
          <t>Fuente de agua — Manantial / Puquio</t>
        </is>
      </c>
      <c r="C14" s="26" t="n">
        <v>619650</v>
      </c>
      <c r="D14" s="26" t="n">
        <v>9442217</v>
      </c>
      <c r="E14" s="15" t="n">
        <v>625.8</v>
      </c>
      <c r="F14" s="15" t="inlineStr">
        <is>
          <t>Permanente</t>
        </is>
      </c>
      <c r="G14" s="15" t="inlineStr">
        <is>
          <t>Afloramiento con socavación</t>
        </is>
      </c>
    </row>
    <row r="15">
      <c r="A15" s="13" t="inlineStr">
        <is>
          <t>H-05</t>
        </is>
      </c>
      <c r="B15" s="14" t="inlineStr">
        <is>
          <t>Fuente de agua — Quebrada permanente</t>
        </is>
      </c>
      <c r="C15" s="27" t="n">
        <v>619300</v>
      </c>
      <c r="D15" s="27" t="n">
        <v>9442500</v>
      </c>
      <c r="E15" s="14" t="n">
        <v>975.7</v>
      </c>
      <c r="F15" s="14" t="inlineStr">
        <is>
          <t>Permanente</t>
        </is>
      </c>
      <c r="G15" s="14" t="inlineStr">
        <is>
          <t>Qda. Huacas – límite oeste</t>
        </is>
      </c>
    </row>
    <row r="16">
      <c r="A16" s="7" t="inlineStr">
        <is>
          <t>B-01</t>
        </is>
      </c>
      <c r="B16" s="15" t="inlineStr">
        <is>
          <t>Especie clave — Nogal (Juglans neotropica)</t>
        </is>
      </c>
      <c r="C16" s="26" t="n">
        <v>619674</v>
      </c>
      <c r="D16" s="26" t="n">
        <v>9442224</v>
      </c>
      <c r="E16" s="15" t="n">
        <v>600.9</v>
      </c>
      <c r="F16" s="15" t="inlineStr">
        <is>
          <t>Amenazada D.S. 043</t>
        </is>
      </c>
      <c r="G16" s="15" t="inlineStr">
        <is>
          <t>EN — En Peligro</t>
        </is>
      </c>
    </row>
    <row r="17">
      <c r="A17" s="13" t="inlineStr">
        <is>
          <t>B-02</t>
        </is>
      </c>
      <c r="B17" s="14" t="inlineStr">
        <is>
          <t>Especie clave — Diablo fuerte (Podocarpus sp.)</t>
        </is>
      </c>
      <c r="C17" s="27" t="n">
        <v>619739</v>
      </c>
      <c r="D17" s="27" t="n">
        <v>9442286</v>
      </c>
      <c r="E17" s="14" t="n">
        <v>527.1</v>
      </c>
      <c r="F17" s="14" t="inlineStr">
        <is>
          <t>Amenazada D.S. 043</t>
        </is>
      </c>
      <c r="G17" s="14" t="inlineStr">
        <is>
          <t>VU — Vulnerable</t>
        </is>
      </c>
    </row>
    <row r="18">
      <c r="A18" s="7" t="inlineStr">
        <is>
          <t>B-03</t>
        </is>
      </c>
      <c r="B18" s="15" t="inlineStr">
        <is>
          <t>Especie clave — Higuerón (Ficus sp.)</t>
        </is>
      </c>
      <c r="C18" s="26" t="n">
        <v>619664</v>
      </c>
      <c r="D18" s="26" t="n">
        <v>9442222</v>
      </c>
      <c r="E18" s="15" t="n">
        <v>611.1</v>
      </c>
      <c r="F18" s="15" t="inlineStr">
        <is>
          <t>Indicadora de buen estado</t>
        </is>
      </c>
      <c r="G18" s="15" t="inlineStr"/>
    </row>
    <row r="19">
      <c r="A19" s="13" t="inlineStr">
        <is>
          <t>B-04</t>
        </is>
      </c>
      <c r="B19" s="14" t="inlineStr">
        <is>
          <t>Especie clave — Tara (Caesalpinia spinosa)</t>
        </is>
      </c>
      <c r="C19" s="27" t="n">
        <v>619613</v>
      </c>
      <c r="D19" s="27" t="n">
        <v>9442274</v>
      </c>
      <c r="E19" s="14" t="n">
        <v>653.7</v>
      </c>
      <c r="F19" s="14" t="inlineStr">
        <is>
          <t>Clave cultural</t>
        </is>
      </c>
      <c r="G19" s="14" t="inlineStr"/>
    </row>
    <row r="20">
      <c r="A20" s="7" t="inlineStr">
        <is>
          <t>B-05</t>
        </is>
      </c>
      <c r="B20" s="15" t="inlineStr">
        <is>
          <t>Especie clave — Chirimoya silvestre (Annona sp.)</t>
        </is>
      </c>
      <c r="C20" s="26" t="n">
        <v>619663</v>
      </c>
      <c r="D20" s="26" t="n">
        <v>9442216</v>
      </c>
      <c r="E20" s="15" t="n">
        <v>613.3</v>
      </c>
      <c r="F20" s="15" t="inlineStr">
        <is>
          <t>Clave cultural</t>
        </is>
      </c>
      <c r="G20" s="15" t="inlineStr"/>
    </row>
    <row r="21">
      <c r="A21" s="13" t="inlineStr">
        <is>
          <t>B-06</t>
        </is>
      </c>
      <c r="B21" s="14" t="inlineStr">
        <is>
          <t>Especie clave — Eucalipto / Pino / Ciprés</t>
        </is>
      </c>
      <c r="C21" s="27" t="n">
        <v>619663</v>
      </c>
      <c r="D21" s="27" t="n">
        <v>9442216</v>
      </c>
      <c r="E21" s="14" t="n">
        <v>613.3</v>
      </c>
      <c r="F21" s="14" t="inlineStr">
        <is>
          <t>Indicadora de perturbación</t>
        </is>
      </c>
      <c r="G21" s="14" t="inlineStr"/>
    </row>
    <row r="22">
      <c r="A22" s="16" t="inlineStr">
        <is>
          <t>TOTAL: 12 puntos</t>
        </is>
      </c>
      <c r="B22" s="17" t="inlineStr"/>
      <c r="C22" s="17" t="inlineStr"/>
      <c r="D22" s="17" t="inlineStr"/>
      <c r="E22" s="17" t="inlineStr"/>
      <c r="F22" s="17" t="inlineStr"/>
      <c r="G22" s="17" t="inlineStr"/>
    </row>
    <row r="24">
      <c r="A24" s="6" t="inlineStr">
        <is>
          <t>Centroide del bloque — UTM ESTE (m)</t>
        </is>
      </c>
      <c r="B24" s="7" t="n">
        <v>620263</v>
      </c>
      <c r="C24" s="6" t="inlineStr">
        <is>
          <t>Centroide del bloque — UTM NORTE (m)</t>
        </is>
      </c>
      <c r="D24" s="7" t="n">
        <v>9442343</v>
      </c>
      <c r="E24" s="8" t="n"/>
      <c r="F24" s="8" t="n"/>
      <c r="G24" s="8" t="n"/>
      <c r="H24" s="8" t="n"/>
    </row>
    <row r="25">
      <c r="A25" s="6" t="inlineStr">
        <is>
          <t>N.° de estaciones fotográficas declaradas</t>
        </is>
      </c>
      <c r="B25" s="7" t="n">
        <v>15</v>
      </c>
      <c r="C25" s="6" t="inlineStr">
        <is>
          <t>Estaciones dentro del polígono</t>
        </is>
      </c>
      <c r="D25" s="7" t="inlineStr">
        <is>
          <t>Por determinar</t>
        </is>
      </c>
      <c r="E25" s="8" t="n"/>
      <c r="F25" s="8" t="n"/>
      <c r="G25" s="8" t="n"/>
      <c r="H25" s="8" t="n"/>
    </row>
    <row r="27" ht="96" customHeight="1">
      <c r="A2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Las laderas superiores presentan fuerte pendiente (perfil de campo: media 41.4%, máx 78.4% sobre 1.28 km con desnivel de 545 m), lo que configura susceptibilidad latente a movimientos en masa pese a la buena cobertura actual. La cota varía de ~1580 msnm (Huacas) a &gt;2180 msnm en la cima.</t>
        </is>
      </c>
      <c r="B27" s="38" t="n"/>
      <c r="C27" s="38" t="n"/>
      <c r="D27" s="38" t="n"/>
      <c r="E27" s="38" t="n"/>
      <c r="F27" s="38" t="n"/>
      <c r="G27" s="39" t="n"/>
    </row>
  </sheetData>
  <mergeCells count="8">
    <mergeCell ref="A1:G1"/>
    <mergeCell ref="A27:G2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13</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11" t="inlineStr">
        <is>
          <t>► 13</t>
        </is>
      </c>
      <c r="B10" s="28" t="n">
        <v>100.51</v>
      </c>
      <c r="C10" s="29" t="n">
        <v>40.73</v>
      </c>
      <c r="D10" s="12" t="inlineStr">
        <is>
          <t>1649 – 2267</t>
        </is>
      </c>
      <c r="E10" s="12" t="n">
        <v>618</v>
      </c>
      <c r="F10" s="12" t="n">
        <v>28.99</v>
      </c>
      <c r="G10" s="30" t="n">
        <v>0.6711</v>
      </c>
      <c r="H10" s="29" t="n">
        <v>89.59</v>
      </c>
    </row>
    <row r="11">
      <c r="A11" s="13" t="inlineStr">
        <is>
          <t>56</t>
        </is>
      </c>
      <c r="B11" s="31" t="n">
        <v>77.67</v>
      </c>
      <c r="C11" s="21" t="n">
        <v>31.48</v>
      </c>
      <c r="D11" s="14" t="inlineStr">
        <is>
          <t>2342 – 2770</t>
        </is>
      </c>
      <c r="E11" s="14" t="n">
        <v>428</v>
      </c>
      <c r="F11" s="14" t="n">
        <v>27.27</v>
      </c>
      <c r="G11" s="20" t="n">
        <v>0.6777</v>
      </c>
      <c r="H11" s="21" t="n">
        <v>94.90000000000001</v>
      </c>
    </row>
    <row r="12">
      <c r="A12" s="7" t="inlineStr">
        <is>
          <t>39</t>
        </is>
      </c>
      <c r="B12" s="32" t="n">
        <v>68.56999999999999</v>
      </c>
      <c r="C12" s="19" t="n">
        <v>27.79</v>
      </c>
      <c r="D12" s="15" t="inlineStr">
        <is>
          <t>1729 – 2088</t>
        </is>
      </c>
      <c r="E12" s="15" t="n">
        <v>359</v>
      </c>
      <c r="F12" s="15" t="n">
        <v>22.51</v>
      </c>
      <c r="G12" s="18" t="n">
        <v>0.7016</v>
      </c>
      <c r="H12" s="19" t="n">
        <v>94.05</v>
      </c>
    </row>
    <row r="13">
      <c r="A13" s="16" t="inlineStr">
        <is>
          <t>TOTAL / PROMEDIO</t>
        </is>
      </c>
      <c r="B13" s="33">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13 ocupa el puesto 1 de 3 por superficie dentro de la microcuenca C1096-Q9564 (40.73 % de las 246.75 ha preliminares de la microcuenca). Su pendiente promedio (28.99 %, clase «25-50% (Mod. escarpado)») es la 3.ª más baja de 3 y se sitúa por encima del promedio de la microcuenca (26.26 %). Su MSAVI 2024 (0.6711) es el 3.º de 3 y queda por debajo del promedio local (0.6835). Amplitud altitudinal del bloque: 618 m (1649–2267 msnm). El cuadro conserva todos los bloques catalogados en la microcuenca, incluidos los descartados en el tamizaje, para referencia del conjunto. Los bloques sin ficha DT figuran con sus parámetros de gabinete.</t>
        </is>
      </c>
      <c r="B15" s="38" t="n"/>
      <c r="C15" s="38" t="n"/>
      <c r="D15" s="38" t="n"/>
      <c r="E15" s="38" t="n"/>
      <c r="F15" s="38" t="n"/>
      <c r="G15" s="38" t="n"/>
      <c r="H15" s="39" t="n"/>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7" s="38" t="n"/>
      <c r="C17" s="38" t="n"/>
      <c r="D17" s="38" t="n"/>
      <c r="E17" s="38" t="n"/>
      <c r="F17" s="38" t="n"/>
      <c r="G17" s="38" t="n"/>
      <c r="H17" s="39" t="n"/>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1"/>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13</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«C1096-Q9564»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601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(100.558 ha) coincide con la de catálogo (100.51 ha) dentro del ±2 % (+0.05 %)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99.99 %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Centro poblado asociado</t>
        </is>
      </c>
      <c r="C14" s="34" t="inlineStr">
        <is>
          <t>La ficha DT declara «Huacas»; el cruce INEI-Bloques V5 identifica 1 centro(s) poblado(s) en el bloque: HUACAS</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de clases MSAVI 2024</t>
        </is>
      </c>
      <c r="C16" s="36" t="inlineStr">
        <is>
          <t>La hoja «Cobertura MSAVI-NDVI» consignaba «Por determinar» en la distribución areal de clases MSAVI 2024; se incorpora el metrado por clase medido sobre la cartografía temática MSAVI 2024 del bloque: 5.33 % del bloque (5.357 ha) bajo el umbral 0.4976 y 94.67 % sobre el umbral; clase areal dominante «Vigor alto».</t>
        </is>
      </c>
      <c r="D16" s="37" t="inlineStr">
        <is>
          <t>CORREGIDO</t>
        </is>
      </c>
      <c r="E16"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7">
      <c r="A17" s="34" t="inlineStr">
        <is>
          <t>C-01</t>
        </is>
      </c>
      <c r="B17" s="34" t="inlineStr">
        <is>
          <t>Duplicidad de fichas en el archivo DT</t>
        </is>
      </c>
      <c r="C17" s="34" t="inlineStr">
        <is>
          <t>El PDF del bloque 13 contiene DOS juegos completos de fichas F-DT: el JUEGO 1 (26-06-2026) corresponde en realidad al bloque 3 (microcuenca C1096-Q9545, C.P. Huayabal, correlativo DT-B3-2026, área 459.29 ha); el JUEGO 2 (10-06-2026, correlativo DT-B13-01) es el del bloque 13</t>
        </is>
      </c>
      <c r="D17" s="37" t="inlineStr">
        <is>
          <t>SUSTANTIVA</t>
        </is>
      </c>
      <c r="E17" s="34" t="inlineStr">
        <is>
          <t>Se adopta íntegramente el JUEGO 2. El JUEGO 1 debe retirarse del expediente del bloque 13 por corresponder a otro bloque</t>
        </is>
      </c>
    </row>
    <row r="18"/>
    <row r="19">
      <c r="A19" s="16" t="inlineStr">
        <is>
          <t>RESUMEN</t>
        </is>
      </c>
      <c r="B19" s="17" t="inlineStr">
        <is>
          <t>7 verificaciones</t>
        </is>
      </c>
      <c r="C19" s="17" t="inlineStr">
        <is>
          <t>CONFORME: 4 · NO SUSTANTIVA: 1 · SUSTANTIVA: 1 · CORREGIDO: 1</t>
        </is>
      </c>
      <c r="D19" s="17" t="inlineStr"/>
      <c r="E19" s="17" t="inlineStr"/>
    </row>
    <row r="20" ht="60" customHeight="1"/>
    <row r="21">
      <c r="A21"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1" s="38" t="n"/>
      <c r="C21" s="38" t="n"/>
      <c r="D21" s="38" t="n"/>
      <c r="E21" s="39" t="n"/>
    </row>
  </sheetData>
  <mergeCells count="8">
    <mergeCell ref="A21:E21"/>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13 — IN Piura</dc:title>
  <dc:subject>Diagnóstico Territorial por bloque de intervención</dc:subject>
  <dcterms:created xsi:type="dcterms:W3CDTF">2026-09-08T03:39:55Z</dcterms:created>
  <dcterms:modified xsi:type="dcterms:W3CDTF">2026-09-09T14:49:41Z</dcterms:modified>
</cp:coreProperties>
</file>