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13</t>
        </is>
      </c>
      <c r="C9" s="6" t="inlineStr">
        <is>
          <t>Microcuenca (catálogo)</t>
        </is>
      </c>
      <c r="D9" s="7" t="inlineStr">
        <is>
          <t>C1096-Q9564</t>
        </is>
      </c>
      <c r="E9" s="8" t="n"/>
      <c r="F9" s="8" t="n"/>
    </row>
    <row r="10">
      <c r="A10" s="6" t="inlineStr">
        <is>
          <t>Zona de planificación</t>
        </is>
      </c>
      <c r="B10" s="7" t="inlineStr">
        <is>
          <t>Z03</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Huacas</t>
        </is>
      </c>
      <c r="C13" s="6" t="inlineStr">
        <is>
          <t>Comunidad campesina</t>
        </is>
      </c>
      <c r="D13" s="7" t="inlineStr">
        <is>
          <t>No aplica – Tierras del Estado bajo administración del GORE Piura</t>
        </is>
      </c>
      <c r="E13" s="8" t="n"/>
      <c r="F13" s="8" t="n"/>
    </row>
    <row r="14">
      <c r="A14" s="6" t="inlineStr">
        <is>
          <t>Superficie de catálogo (V5/V6), ha</t>
        </is>
      </c>
      <c r="B14" s="7" t="n">
        <v>100.51</v>
      </c>
      <c r="C14" s="6" t="inlineStr">
        <is>
          <t>Fuente de superficie</t>
        </is>
      </c>
      <c r="D14" s="7" t="inlineStr">
        <is>
          <t>Catálogo maestro Bloques V5/V6</t>
        </is>
      </c>
      <c r="E14" s="8" t="n"/>
      <c r="F14" s="8" t="n"/>
    </row>
    <row r="15">
      <c r="A15" s="6" t="inlineStr">
        <is>
          <t>Centroide UTM ESTE (m)</t>
        </is>
      </c>
      <c r="B15" s="7" t="n">
        <v>620263</v>
      </c>
      <c r="C15" s="6" t="inlineStr">
        <is>
          <t>Centroide UTM NORTE (m)</t>
        </is>
      </c>
      <c r="D15" s="7" t="n">
        <v>9442343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1649</v>
      </c>
      <c r="C19" s="6" t="inlineStr">
        <is>
          <t>Altitud máxima (msnm)</t>
        </is>
      </c>
      <c r="D19" s="7" t="n">
        <v>2267</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28.99</v>
      </c>
      <c r="C21" s="6" t="inlineStr">
        <is>
          <t>Pendiente promedio (grados)</t>
        </is>
      </c>
      <c r="D21" s="7" t="n">
        <v>16.2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0.6711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(89.59 %)</t>
        </is>
      </c>
      <c r="E29" s="8" t="n"/>
      <c r="F29" s="8" t="n"/>
    </row>
    <row r="30">
      <c r="A30" s="6" t="inlineStr">
        <is>
          <t>Superficie clasificada NDVI 2025 (ha)</t>
        </is>
      </c>
      <c r="B30" s="7" t="n">
        <v>100.558</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60.35 ha (mosaico: BMVO 26.22 ha + Matorral andino 60.35 ha + Zona agrícola 13.94 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80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Ing. Pedro Talledo Hernández / Ing. Juan Carlos Domínguez Varas (ANIN-DIME-SESDI)</t>
        </is>
      </c>
      <c r="C41" s="6" t="inlineStr">
        <is>
          <t>Fecha de evaluación</t>
        </is>
      </c>
      <c r="D41" s="7" t="inlineStr">
        <is>
          <t>2026-06-10</t>
        </is>
      </c>
      <c r="E41" s="8" t="n"/>
      <c r="F41" s="8" t="n"/>
    </row>
    <row r="42">
      <c r="A42" s="6" t="inlineStr">
        <is>
          <t>Hora de registro</t>
        </is>
      </c>
      <c r="B42" s="7" t="inlineStr">
        <is>
          <t>01:17 p.m.</t>
        </is>
      </c>
      <c r="C42" s="6" t="inlineStr">
        <is>
          <t>Correlativo de ficha</t>
        </is>
      </c>
      <c r="D42" s="7" t="inlineStr">
        <is>
          <t>DT-B13-01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(ladera media, sector de pastizal-matorral con relictos)</t>
        </is>
      </c>
      <c r="E44" s="8" t="n"/>
      <c r="F44" s="8" t="n"/>
    </row>
    <row r="45">
      <c r="A45" s="6" t="inlineStr">
        <is>
          <t>Estaciones fotográficas georreferenciadas</t>
        </is>
      </c>
      <c r="B45" s="7" t="n">
        <v>15</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Economía de subsistencia (ganadería y agricultura de ladera) sin ordenamiento territorial ni manejo del ecosistema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0.671094</v>
      </c>
      <c r="C15" s="17" t="inlineStr">
        <is>
          <t>—</t>
        </is>
      </c>
      <c r="D15" s="17" t="inlineStr">
        <is>
          <t>Vigor alto · clase &gt; 0.6139</t>
        </is>
      </c>
      <c r="E15" s="17" t="inlineStr">
        <is>
          <t>Sobre umbral</t>
        </is>
      </c>
    </row>
    <row r="17" ht="72" customHeight="1">
      <c r="A17" s="9" t="inlineStr">
        <is>
          <t>NOTA METODOLÓGICA. La media del MSAVI 2024 del bloque (0.671094)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90.09059999999999</v>
      </c>
      <c r="C21" s="19" t="n">
        <v>89.59</v>
      </c>
      <c r="D21" s="15" t="inlineStr">
        <is>
          <t>Dosel continuo, matorral denso o mosaico agroforestal</t>
        </is>
      </c>
      <c r="E21" s="15" t="inlineStr"/>
    </row>
    <row r="22">
      <c r="A22" s="13" t="inlineStr">
        <is>
          <t>Vegetación mediana</t>
        </is>
      </c>
      <c r="B22" s="20" t="n">
        <v>10.1507</v>
      </c>
      <c r="C22" s="21" t="n">
        <v>10.09</v>
      </c>
      <c r="D22" s="14" t="inlineStr">
        <is>
          <t>Pastizal cultivado, matorral ralo, parcelas agrícolas</t>
        </is>
      </c>
      <c r="E22" s="14" t="inlineStr"/>
    </row>
    <row r="23">
      <c r="A23" s="7" t="inlineStr">
        <is>
          <t>Vegetación ligera</t>
        </is>
      </c>
      <c r="B23" s="18" t="n">
        <v>0.3068</v>
      </c>
      <c r="C23" s="19" t="n">
        <v>0.31</v>
      </c>
      <c r="D23" s="15" t="inlineStr">
        <is>
          <t>Cobertura discontinua, suelo parcialmente expuesto</t>
        </is>
      </c>
      <c r="E23" s="15" t="inlineStr"/>
    </row>
    <row r="24">
      <c r="A24" s="13" t="inlineStr">
        <is>
          <t>Tierra desnuda</t>
        </is>
      </c>
      <c r="B24" s="20" t="n">
        <v>0.009900000000000001</v>
      </c>
      <c r="C24" s="21" t="n">
        <v>0.01</v>
      </c>
      <c r="D24" s="14" t="inlineStr">
        <is>
          <t>Suelo desnudo, afloramientos, plataformas y taludes</t>
        </is>
      </c>
      <c r="E24" s="14" t="inlineStr"/>
    </row>
    <row r="25">
      <c r="A25" s="16" t="inlineStr">
        <is>
          <t>TOTAL CLASIFICADO</t>
        </is>
      </c>
      <c r="B25" s="22">
        <f>SUM(B21:B24)</f>
        <v/>
      </c>
      <c r="C25" s="23">
        <f>SUM(C21:C24)</f>
        <v/>
      </c>
      <c r="D25" s="17" t="inlineStr"/>
      <c r="E25" s="17" t="inlineStr"/>
    </row>
    <row r="26">
      <c r="A26" s="24" t="inlineStr">
        <is>
          <t>Superficie de catálogo (V5/V6)</t>
        </is>
      </c>
      <c r="B26" s="25" t="n">
        <v>100.51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89.59 % del polígono clasificado como «Vegetación alta» por el NDVI 2025; la observación de campo corresponde a una parcela o recorrido puntual y no es estadísticamente representativa de las 100.510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13</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619674</v>
      </c>
      <c r="D10" s="26" t="n">
        <v>9442224</v>
      </c>
      <c r="E10" s="15" t="n">
        <v>600.9</v>
      </c>
      <c r="F10" s="15" t="inlineStr"/>
      <c r="G10" s="15" t="inlineStr">
        <is>
          <t>Coordenada consignada en F-DT-01</t>
        </is>
      </c>
    </row>
    <row r="11">
      <c r="A11" s="13" t="inlineStr">
        <is>
          <t>H-01</t>
        </is>
      </c>
      <c r="B11" s="14" t="inlineStr">
        <is>
          <t>Fuente de agua — Manantial / Puquio</t>
        </is>
      </c>
      <c r="C11" s="27" t="n">
        <v>619674</v>
      </c>
      <c r="D11" s="27" t="n">
        <v>9442224</v>
      </c>
      <c r="E11" s="14" t="n">
        <v>600.9</v>
      </c>
      <c r="F11" s="14" t="inlineStr">
        <is>
          <t>Permanente</t>
        </is>
      </c>
      <c r="G11" s="14" t="inlineStr">
        <is>
          <t>Captación de concreto</t>
        </is>
      </c>
    </row>
    <row r="12">
      <c r="A12" s="7" t="inlineStr">
        <is>
          <t>H-02</t>
        </is>
      </c>
      <c r="B12" s="15" t="inlineStr">
        <is>
          <t>Fuente de agua — Quebrada permanente</t>
        </is>
      </c>
      <c r="C12" s="26" t="n">
        <v>619739</v>
      </c>
      <c r="D12" s="26" t="n">
        <v>9442286</v>
      </c>
      <c r="E12" s="15" t="n">
        <v>527.1</v>
      </c>
      <c r="F12" s="15" t="inlineStr">
        <is>
          <t>Permanente</t>
        </is>
      </c>
      <c r="G12" s="15" t="inlineStr">
        <is>
          <t>Cauce con caída de agua</t>
        </is>
      </c>
    </row>
    <row r="13">
      <c r="A13" s="13" t="inlineStr">
        <is>
          <t>H-03</t>
        </is>
      </c>
      <c r="B13" s="14" t="inlineStr">
        <is>
          <t>Fuente de agua — Quebrada permanente</t>
        </is>
      </c>
      <c r="C13" s="27" t="n">
        <v>619664</v>
      </c>
      <c r="D13" s="27" t="n">
        <v>9442222</v>
      </c>
      <c r="E13" s="14" t="n">
        <v>611.1</v>
      </c>
      <c r="F13" s="14" t="inlineStr">
        <is>
          <t>Permanente</t>
        </is>
      </c>
      <c r="G13" s="14" t="inlineStr">
        <is>
          <t>Riachuelo bajo dosel</t>
        </is>
      </c>
    </row>
    <row r="14">
      <c r="A14" s="7" t="inlineStr">
        <is>
          <t>H-04</t>
        </is>
      </c>
      <c r="B14" s="15" t="inlineStr">
        <is>
          <t>Fuente de agua — Manantial / Puquio</t>
        </is>
      </c>
      <c r="C14" s="26" t="n">
        <v>619650</v>
      </c>
      <c r="D14" s="26" t="n">
        <v>9442217</v>
      </c>
      <c r="E14" s="15" t="n">
        <v>625.8</v>
      </c>
      <c r="F14" s="15" t="inlineStr">
        <is>
          <t>Permanente</t>
        </is>
      </c>
      <c r="G14" s="15" t="inlineStr">
        <is>
          <t>Afloramiento con socavación</t>
        </is>
      </c>
    </row>
    <row r="15">
      <c r="A15" s="13" t="inlineStr">
        <is>
          <t>H-05</t>
        </is>
      </c>
      <c r="B15" s="14" t="inlineStr">
        <is>
          <t>Fuente de agua — Quebrada permanente</t>
        </is>
      </c>
      <c r="C15" s="27" t="n">
        <v>619300</v>
      </c>
      <c r="D15" s="27" t="n">
        <v>9442500</v>
      </c>
      <c r="E15" s="14" t="n">
        <v>975.7</v>
      </c>
      <c r="F15" s="14" t="inlineStr">
        <is>
          <t>Permanente</t>
        </is>
      </c>
      <c r="G15" s="14" t="inlineStr">
        <is>
          <t>Qda. Huacas – límite oeste</t>
        </is>
      </c>
    </row>
    <row r="16">
      <c r="A16" s="7" t="inlineStr">
        <is>
          <t>B-01</t>
        </is>
      </c>
      <c r="B16" s="15" t="inlineStr">
        <is>
          <t>Especie clave — Nogal (Juglans neotropica)</t>
        </is>
      </c>
      <c r="C16" s="26" t="n">
        <v>619674</v>
      </c>
      <c r="D16" s="26" t="n">
        <v>9442224</v>
      </c>
      <c r="E16" s="15" t="n">
        <v>600.9</v>
      </c>
      <c r="F16" s="15" t="inlineStr">
        <is>
          <t>Amenazada D.S. 043</t>
        </is>
      </c>
      <c r="G16" s="15" t="inlineStr">
        <is>
          <t>EN — En Peligro</t>
        </is>
      </c>
    </row>
    <row r="17">
      <c r="A17" s="13" t="inlineStr">
        <is>
          <t>B-02</t>
        </is>
      </c>
      <c r="B17" s="14" t="inlineStr">
        <is>
          <t>Especie clave — Diablo fuerte (Podocarpus sp.)</t>
        </is>
      </c>
      <c r="C17" s="27" t="n">
        <v>619739</v>
      </c>
      <c r="D17" s="27" t="n">
        <v>9442286</v>
      </c>
      <c r="E17" s="14" t="n">
        <v>527.1</v>
      </c>
      <c r="F17" s="14" t="inlineStr">
        <is>
          <t>Amenazada D.S. 043</t>
        </is>
      </c>
      <c r="G17" s="14" t="inlineStr">
        <is>
          <t>VU — Vulnerable</t>
        </is>
      </c>
    </row>
    <row r="18">
      <c r="A18" s="7" t="inlineStr">
        <is>
          <t>B-03</t>
        </is>
      </c>
      <c r="B18" s="15" t="inlineStr">
        <is>
          <t>Especie clave — Higuerón (Ficus sp.)</t>
        </is>
      </c>
      <c r="C18" s="26" t="n">
        <v>619664</v>
      </c>
      <c r="D18" s="26" t="n">
        <v>9442222</v>
      </c>
      <c r="E18" s="15" t="n">
        <v>611.1</v>
      </c>
      <c r="F18" s="15" t="inlineStr">
        <is>
          <t>Indicadora de buen estado</t>
        </is>
      </c>
      <c r="G18" s="15" t="inlineStr"/>
    </row>
    <row r="19">
      <c r="A19" s="13" t="inlineStr">
        <is>
          <t>B-04</t>
        </is>
      </c>
      <c r="B19" s="14" t="inlineStr">
        <is>
          <t>Especie clave — Tara (Caesalpinia spinosa)</t>
        </is>
      </c>
      <c r="C19" s="27" t="n">
        <v>619613</v>
      </c>
      <c r="D19" s="27" t="n">
        <v>9442274</v>
      </c>
      <c r="E19" s="14" t="n">
        <v>653.7</v>
      </c>
      <c r="F19" s="14" t="inlineStr">
        <is>
          <t>Clave cultural</t>
        </is>
      </c>
      <c r="G19" s="14" t="inlineStr"/>
    </row>
    <row r="20">
      <c r="A20" s="7" t="inlineStr">
        <is>
          <t>B-05</t>
        </is>
      </c>
      <c r="B20" s="15" t="inlineStr">
        <is>
          <t>Especie clave — Chirimoya silvestre (Annona sp.)</t>
        </is>
      </c>
      <c r="C20" s="26" t="n">
        <v>619663</v>
      </c>
      <c r="D20" s="26" t="n">
        <v>9442216</v>
      </c>
      <c r="E20" s="15" t="n">
        <v>613.3</v>
      </c>
      <c r="F20" s="15" t="inlineStr">
        <is>
          <t>Clave cultural</t>
        </is>
      </c>
      <c r="G20" s="15" t="inlineStr"/>
    </row>
    <row r="21">
      <c r="A21" s="13" t="inlineStr">
        <is>
          <t>B-06</t>
        </is>
      </c>
      <c r="B21" s="14" t="inlineStr">
        <is>
          <t>Especie clave — Eucalipto / Pino / Ciprés</t>
        </is>
      </c>
      <c r="C21" s="27" t="n">
        <v>619663</v>
      </c>
      <c r="D21" s="27" t="n">
        <v>9442216</v>
      </c>
      <c r="E21" s="14" t="n">
        <v>613.3</v>
      </c>
      <c r="F21" s="14" t="inlineStr">
        <is>
          <t>Indicadora de perturbación</t>
        </is>
      </c>
      <c r="G21" s="14" t="inlineStr"/>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620263</v>
      </c>
      <c r="C24" s="6" t="inlineStr">
        <is>
          <t>Centroide del bloque — UTM NORTE (m)</t>
        </is>
      </c>
      <c r="D24" s="7" t="n">
        <v>9442343</v>
      </c>
      <c r="E24" s="8" t="n"/>
      <c r="F24" s="8" t="n"/>
      <c r="G24" s="8" t="n"/>
      <c r="H24" s="8" t="n"/>
    </row>
    <row r="25">
      <c r="A25" s="6" t="inlineStr">
        <is>
          <t>N.° de estaciones fotográficas declaradas</t>
        </is>
      </c>
      <c r="B25" s="7" t="n">
        <v>15</v>
      </c>
      <c r="C25" s="6" t="inlineStr">
        <is>
          <t>Estaciones dentro del polígono</t>
        </is>
      </c>
      <c r="D25" s="7" t="inlineStr">
        <is>
          <t>Por determinar</t>
        </is>
      </c>
      <c r="E25" s="8" t="n"/>
      <c r="F25" s="8" t="n"/>
      <c r="G25" s="8" t="n"/>
      <c r="H25" s="8" t="n"/>
    </row>
    <row r="27" ht="96"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laderas superiores presentan fuerte pendiente (perfil de campo: media 41.4%, máx 78.4% sobre 1.28 km con desnivel de 545 m), lo que configura susceptibilidad latente a movimientos en masa pese a la buena cobertura actual. La cota varía de ~1580 msnm (Huacas) a &gt;2180 msnm en la cima.</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13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13</t>
        </is>
      </c>
      <c r="B10" s="28" t="n">
        <v>100.51</v>
      </c>
      <c r="C10" s="29" t="n">
        <v>40.73</v>
      </c>
      <c r="D10" s="12" t="inlineStr">
        <is>
          <t>1649 – 2267</t>
        </is>
      </c>
      <c r="E10" s="12" t="n">
        <v>618</v>
      </c>
      <c r="F10" s="12" t="n">
        <v>28.99</v>
      </c>
      <c r="G10" s="30" t="n">
        <v>0.6711</v>
      </c>
      <c r="H10" s="29" t="n">
        <v>89.59</v>
      </c>
    </row>
    <row r="11">
      <c r="A11" s="13" t="inlineStr">
        <is>
          <t>56</t>
        </is>
      </c>
      <c r="B11" s="31" t="n">
        <v>77.67</v>
      </c>
      <c r="C11" s="21" t="n">
        <v>31.48</v>
      </c>
      <c r="D11" s="14" t="inlineStr">
        <is>
          <t>2342 – 2770</t>
        </is>
      </c>
      <c r="E11" s="14" t="n">
        <v>428</v>
      </c>
      <c r="F11" s="14" t="n">
        <v>27.27</v>
      </c>
      <c r="G11" s="20" t="n">
        <v>0.6777</v>
      </c>
      <c r="H11" s="21" t="n">
        <v>94.90000000000001</v>
      </c>
    </row>
    <row r="12">
      <c r="A12" s="7" t="inlineStr">
        <is>
          <t>39</t>
        </is>
      </c>
      <c r="B12" s="32" t="n">
        <v>68.56999999999999</v>
      </c>
      <c r="C12" s="19" t="n">
        <v>27.79</v>
      </c>
      <c r="D12" s="15" t="inlineStr">
        <is>
          <t>1729 – 2088</t>
        </is>
      </c>
      <c r="E12" s="15" t="n">
        <v>359</v>
      </c>
      <c r="F12" s="15" t="n">
        <v>22.51</v>
      </c>
      <c r="G12" s="18" t="n">
        <v>0.7016</v>
      </c>
      <c r="H12" s="19" t="n">
        <v>94.05</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13 ocupa el puesto 1 de 3 por superficie dentro de la microcuenca C1096-Q9564 (40.73 % de las 246.75 ha preliminares de la microcuenca). Su pendiente promedio (28.99 %, clase «25-50% (Mod. escarpado)») es la 3.ª más baja de 3 y se sitúa por encima del promedio de la microcuenca (26.26 %). Su MSAVI 2024 (0.6711) es el 3.º de 3 y queda por debajo del promedio local (0.6835). Amplitud altitudinal del bloque: 618 m (1649–2267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601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(100.558 ha) coincide con la de catálogo (100.51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99.99 %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«Huacas»; el cruce INEI-Bloques V5 identifica 1 centro(s) poblado(s) en el bloque: HUACAS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C-01</t>
        </is>
      </c>
      <c r="B16" s="34" t="inlineStr">
        <is>
          <t>Duplicidad de fichas en el archivo DT</t>
        </is>
      </c>
      <c r="C16" s="34" t="inlineStr">
        <is>
          <t>El PDF del bloque 13 contiene DOS juegos completos de fichas F-DT: el JUEGO 1 (26-06-2026) corresponde en realidad al bloque 3 (microcuenca C1096-Q9545, C.P. Huayabal, correlativo DT-B3-2026, área 459.29 ha); el JUEGO 2 (10-06-2026, correlativo DT-B13-01) es el del bloque 13</t>
        </is>
      </c>
      <c r="D16" s="37" t="inlineStr">
        <is>
          <t>SUSTANTIVA</t>
        </is>
      </c>
      <c r="E16" s="34" t="inlineStr">
        <is>
          <t>Se adopta íntegramente el JUEGO 2. El JUEGO 1 debe retirarse del expediente del bloque 13 por corresponder a otro bloque</t>
        </is>
      </c>
    </row>
    <row r="18">
      <c r="A18" s="16" t="inlineStr">
        <is>
          <t>RESUMEN</t>
        </is>
      </c>
      <c r="B18" s="17" t="inlineStr">
        <is>
          <t>7 verificaciones</t>
        </is>
      </c>
      <c r="C18" s="17" t="inlineStr">
        <is>
          <t>CONFORME: 4 · NO SUSTANTIVA: 1 · SUSTANTIVA: 2</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13 — IN Piura</dc:title>
  <dc:subject>Diagnóstico Territorial por bloque de intervención</dc:subject>
  <dcterms:created xsi:type="dcterms:W3CDTF">2026-09-08T03:39:55Z</dcterms:created>
  <dcterms:modified xsi:type="dcterms:W3CDTF">2026-09-08T03:39:55Z</dcterms:modified>
</cp:coreProperties>
</file>