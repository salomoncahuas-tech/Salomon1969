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18</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18</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C1076-Q9592</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Caserío Piedra Blanca (Huarmaca)</t>
        </is>
      </c>
      <c r="C13" s="6" t="inlineStr">
        <is>
          <t>Comunidad campesina</t>
        </is>
      </c>
      <c r="D13" s="7" t="inlineStr">
        <is>
          <t>Por verificar</t>
        </is>
      </c>
      <c r="E13" s="8" t="n"/>
      <c r="F13" s="8" t="n"/>
    </row>
    <row r="14">
      <c r="A14" s="6" t="inlineStr">
        <is>
          <t>Superficie de catálogo (V5/V6), ha</t>
        </is>
      </c>
      <c r="B14" s="7" t="n">
        <v>103.62</v>
      </c>
      <c r="C14" s="6" t="inlineStr">
        <is>
          <t>Fuente de superficie</t>
        </is>
      </c>
      <c r="D14" s="7" t="inlineStr">
        <is>
          <t>Catálogo maestro Bloques V5/V6</t>
        </is>
      </c>
      <c r="E14" s="8" t="n"/>
      <c r="F14" s="8" t="n"/>
    </row>
    <row r="15">
      <c r="A15" s="6" t="inlineStr">
        <is>
          <t>Centroide UTM ESTE (m)</t>
        </is>
      </c>
      <c r="B15" s="7" t="n">
        <v>656445</v>
      </c>
      <c r="C15" s="6" t="inlineStr">
        <is>
          <t>Centroide UTM NORTE (m)</t>
        </is>
      </c>
      <c r="D15" s="7" t="n">
        <v>9393180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1218</v>
      </c>
      <c r="C19" s="6" t="inlineStr">
        <is>
          <t>Altitud máxima (msnm)</t>
        </is>
      </c>
      <c r="D19" s="7" t="n">
        <v>1904</v>
      </c>
      <c r="E19" s="8" t="n"/>
      <c r="F19" s="8" t="n"/>
    </row>
    <row r="20">
      <c r="A20" s="6" t="inlineStr">
        <is>
          <t>Amplitud altitudinal (m)</t>
        </is>
      </c>
      <c r="B20" s="7" t="n">
        <v>686</v>
      </c>
      <c r="C20" s="6" t="inlineStr">
        <is>
          <t>Piso altitudinal dominante</t>
        </is>
      </c>
      <c r="D20" s="7" t="inlineStr">
        <is>
          <t>1500-2000 m (Quechua media)</t>
        </is>
      </c>
      <c r="E20" s="8" t="n"/>
      <c r="F20" s="8" t="n"/>
    </row>
    <row r="21">
      <c r="A21" s="6" t="inlineStr">
        <is>
          <t>Pendiente promedio (%)</t>
        </is>
      </c>
      <c r="B21" s="7" t="n">
        <v>28.7</v>
      </c>
      <c r="C21" s="6" t="inlineStr">
        <is>
          <t>Pendiente promedio (grados)</t>
        </is>
      </c>
      <c r="D21" s="7" t="n">
        <v>16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0.6402</v>
      </c>
      <c r="C28" s="6" t="inlineStr">
        <is>
          <t>MSAVI 2024 — clase de la media</t>
        </is>
      </c>
      <c r="D28" s="7" t="inlineStr">
        <is>
          <t>&gt; 0.6139 (Vigor alto)</t>
        </is>
      </c>
      <c r="E28" s="8" t="n"/>
      <c r="F28" s="8" t="n"/>
    </row>
    <row r="29">
      <c r="A29" s="6" t="inlineStr">
        <is>
          <t>Condición frente al umbral 0.4976</t>
        </is>
      </c>
      <c r="B29" s="7" t="inlineStr">
        <is>
          <t>Sobre umbral · distribución areal: 2.89 % del bloque BAJO el umbral (2.995 ha de 103.620 ha)</t>
        </is>
      </c>
      <c r="C29" s="6" t="inlineStr">
        <is>
          <t>NDVI mediana 2025 — clase modal</t>
        </is>
      </c>
      <c r="D29" s="7" t="inlineStr">
        <is>
          <t>Vegetación alta (96.64 %)</t>
        </is>
      </c>
      <c r="E29" s="8" t="n"/>
      <c r="F29" s="8" t="n"/>
    </row>
    <row r="30">
      <c r="A30" s="6" t="inlineStr">
        <is>
          <t>MSAVI 2024 — superficie BAJO el umbral 0.4976 (ha)</t>
        </is>
      </c>
      <c r="B30" s="7" t="n">
        <v>2.995</v>
      </c>
      <c r="C30" s="6" t="inlineStr">
        <is>
          <t>MSAVI 2024 — % del bloque BAJO el umbral</t>
        </is>
      </c>
      <c r="D30" s="7" t="n">
        <v>2.89</v>
      </c>
      <c r="E30" s="8" t="n"/>
      <c r="F30" s="8" t="n"/>
    </row>
    <row r="31">
      <c r="A31" s="6" t="inlineStr">
        <is>
          <t>MSAVI 2024 — clase areal dominante</t>
        </is>
      </c>
      <c r="B31" s="7" t="inlineStr">
        <is>
          <t>Vigor alto</t>
        </is>
      </c>
      <c r="C31" s="6" t="inlineStr">
        <is>
          <t>MSAVI 2024 — fuente de la distribución areal</t>
        </is>
      </c>
      <c r="D31" s="7" t="inlineStr">
        <is>
          <t>Conteo de celdas sobre la cartografía MSAVI 2024 del bloque (18.png)</t>
        </is>
      </c>
      <c r="E31" s="8" t="n"/>
      <c r="F31" s="8" t="n"/>
    </row>
    <row r="32" ht="18" customHeight="1">
      <c r="A32" s="6" t="inlineStr">
        <is>
          <t>Superficie clasificada NDVI 2025 (ha)</t>
        </is>
      </c>
      <c r="B32" s="7" t="n">
        <v>103.637</v>
      </c>
      <c r="C32" s="6" t="inlineStr">
        <is>
          <t>Desviación frente al catálogo (%)</t>
        </is>
      </c>
      <c r="D32" s="7" t="n">
        <v>0.02</v>
      </c>
      <c r="E32" s="8" t="n"/>
      <c r="F32" s="8" t="n"/>
    </row>
    <row r="33"/>
    <row r="34">
      <c r="A34" s="5" t="inlineStr">
        <is>
          <t>4. ECOSISTEMA Y ESTADO DE CONSERVACIÓN</t>
        </is>
      </c>
    </row>
    <row r="35">
      <c r="A35" s="6" t="inlineStr">
        <is>
          <t>Tipo de ecosistema (UP)</t>
        </is>
      </c>
      <c r="B35" s="7" t="inlineStr">
        <is>
          <t>Bosque Estacionalmente Seco Colina/Montaña (Bes-cm)</t>
        </is>
      </c>
      <c r="C35" s="6" t="inlineStr">
        <is>
          <t>Superficie de ecosistema (ha)</t>
        </is>
      </c>
      <c r="D35" s="7" t="inlineStr">
        <is>
          <t>Bes-cm 94.3 ha + Zona agrícola 9.32 ha</t>
        </is>
      </c>
      <c r="E35" s="8" t="n"/>
      <c r="F35" s="8" t="n"/>
    </row>
    <row r="36">
      <c r="A36" s="6" t="inlineStr">
        <is>
          <t>Estado de conservación</t>
        </is>
      </c>
      <c r="B36" s="7" t="inlineStr">
        <is>
          <t>Levemente alterado</t>
        </is>
      </c>
      <c r="C36" s="6" t="inlineStr">
        <is>
          <t>Uso actual dominante del suelo</t>
        </is>
      </c>
      <c r="D36" s="7" t="inlineStr">
        <is>
          <t>Forestal protección</t>
        </is>
      </c>
      <c r="E36" s="8" t="n"/>
      <c r="F36" s="8" t="n"/>
    </row>
    <row r="37">
      <c r="A37" s="6" t="inlineStr">
        <is>
          <t>Tipo de cobertura dominante</t>
        </is>
      </c>
      <c r="B37" s="7" t="inlineStr">
        <is>
          <t>Bosque ralo (30-70%)</t>
        </is>
      </c>
      <c r="C37" s="6" t="inlineStr">
        <is>
          <t>Cobertura vegetal total — campo (%)</t>
        </is>
      </c>
      <c r="D37" s="7" t="n">
        <v>85</v>
      </c>
      <c r="E37" s="8" t="n"/>
      <c r="F37" s="8" t="n"/>
    </row>
    <row r="38">
      <c r="A38" s="6" t="inlineStr">
        <is>
          <t>Suelo desnudo — campo (%)</t>
        </is>
      </c>
      <c r="B38" s="7" t="n">
        <v>10</v>
      </c>
      <c r="C38" s="6" t="inlineStr">
        <is>
          <t>Regeneración natural</t>
        </is>
      </c>
      <c r="D38" s="7" t="inlineStr">
        <is>
          <t>Regular (10-50 pl./100m²)</t>
        </is>
      </c>
      <c r="E38" s="8" t="n"/>
      <c r="F38" s="8" t="n"/>
    </row>
    <row r="39">
      <c r="A39" s="6" t="inlineStr">
        <is>
          <t>Nivel general de erosión</t>
        </is>
      </c>
      <c r="B39" s="7" t="inlineStr">
        <is>
          <t>Moderada (surcos)</t>
        </is>
      </c>
      <c r="C39" s="6" t="inlineStr">
        <is>
          <t>N.° de cárcavas registradas</t>
        </is>
      </c>
      <c r="D39" s="7" t="n">
        <v>3</v>
      </c>
      <c r="E39" s="8" t="n"/>
      <c r="F39" s="8" t="n"/>
    </row>
    <row r="40" ht="18" customHeight="1">
      <c r="A40" s="6" t="inlineStr">
        <is>
          <t>Elenco florístico (n.° de taxones)</t>
        </is>
      </c>
      <c r="B40" s="7" t="n">
        <v>11</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Héctor Salomón Cahuas Miller</t>
        </is>
      </c>
      <c r="C43" s="6" t="inlineStr">
        <is>
          <t>Fecha de evaluación</t>
        </is>
      </c>
      <c r="D43" s="7" t="inlineStr">
        <is>
          <t>2026-07-21</t>
        </is>
      </c>
      <c r="E43" s="8" t="n"/>
      <c r="F43" s="8" t="n"/>
    </row>
    <row r="44">
      <c r="A44" s="6" t="inlineStr">
        <is>
          <t>Hora de registro</t>
        </is>
      </c>
      <c r="B44" s="7" t="inlineStr">
        <is>
          <t>16:21</t>
        </is>
      </c>
      <c r="C44" s="6" t="inlineStr">
        <is>
          <t>Correlativo de ficha</t>
        </is>
      </c>
      <c r="D44" s="7" t="inlineStr">
        <is>
          <t>B18-F01</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Observación directa en recorrido (sin parcela permanente)</t>
        </is>
      </c>
      <c r="E46" s="8" t="n"/>
      <c r="F46" s="8" t="n"/>
    </row>
    <row r="47" ht="18" customHeight="1">
      <c r="A47" s="6" t="inlineStr">
        <is>
          <t>Estaciones fotográficas georreferenciadas</t>
        </is>
      </c>
      <c r="B47" s="7" t="n">
        <v>10</v>
      </c>
      <c r="C47" s="6" t="inlineStr">
        <is>
          <t>Modalidad de acceso</t>
        </is>
      </c>
      <c r="D47" s="7" t="inlineStr">
        <is>
          <t>Vehicular 4x4 hasta el bloque</t>
        </is>
      </c>
      <c r="E47" s="8" t="n"/>
      <c r="F47" s="8" t="n"/>
    </row>
    <row r="48"/>
    <row r="49">
      <c r="A49" s="5" t="inlineStr">
        <is>
          <t>6. SÍNTESIS PARA LA GESTIÓN DEL RIESGO EN CONTEXTO DE CAMBIO CLIMÁTICO</t>
        </is>
      </c>
    </row>
    <row r="50">
      <c r="A50" s="6" t="inlineStr">
        <is>
          <t>Causa subyacente principal</t>
        </is>
      </c>
      <c r="B50" s="7" t="inlineStr">
        <is>
          <t>Presión antrópica sobre laderas de fuerte pendiente asociada al corredor vial y a la agricultura de subsistencia</t>
        </is>
      </c>
      <c r="C50" s="6" t="inlineStr">
        <is>
          <t>Velocidad de degradación</t>
        </is>
      </c>
      <c r="D50" s="7" t="inlineStr">
        <is>
          <t>Moderada</t>
        </is>
      </c>
      <c r="E50" s="8" t="n"/>
      <c r="F50" s="8" t="n"/>
    </row>
    <row r="51">
      <c r="A51" s="6" t="inlineStr">
        <is>
          <t>Reversibilidad técnica</t>
        </is>
      </c>
      <c r="B51" s="7" t="inlineStr">
        <is>
          <t>Parcialmente reversible</t>
        </is>
      </c>
      <c r="C51" s="6" t="inlineStr">
        <is>
          <t>Urgencia de intervención</t>
        </is>
      </c>
      <c r="D51" s="7" t="inlineStr">
        <is>
          <t>Media</t>
        </is>
      </c>
      <c r="E51" s="8" t="n"/>
      <c r="F51" s="8" t="n"/>
    </row>
    <row r="52">
      <c r="A52" s="6" t="inlineStr">
        <is>
          <t>Urgencia de control de erosión</t>
        </is>
      </c>
      <c r="B52" s="7" t="inlineStr">
        <is>
          <t>Media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18</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30" t="n">
        <v>69.3943</v>
      </c>
      <c r="C10" s="29" t="n">
        <v>66.97</v>
      </c>
      <c r="D10" s="12" t="inlineStr">
        <is>
          <t>Vigor alto</t>
        </is>
      </c>
      <c r="E10" s="12" t="inlineStr">
        <is>
          <t>Sobre umbral</t>
        </is>
      </c>
    </row>
    <row r="11">
      <c r="A11" s="13" t="inlineStr">
        <is>
          <t>0.4976 - 0.6139</t>
        </is>
      </c>
      <c r="B11" s="20" t="n">
        <v>31.2311</v>
      </c>
      <c r="C11" s="21" t="n">
        <v>30.14</v>
      </c>
      <c r="D11" s="14" t="inlineStr">
        <is>
          <t>Vigor moderado</t>
        </is>
      </c>
      <c r="E11" s="14" t="inlineStr">
        <is>
          <t>Sobre umbral</t>
        </is>
      </c>
    </row>
    <row r="12">
      <c r="A12" s="7" t="inlineStr">
        <is>
          <t>0.3813 - 0.4976</t>
        </is>
      </c>
      <c r="B12" s="18" t="n">
        <v>2.9946</v>
      </c>
      <c r="C12" s="19" t="n">
        <v>2.89</v>
      </c>
      <c r="D12" s="15" t="inlineStr">
        <is>
          <t>Vigor bajo</t>
        </is>
      </c>
      <c r="E12" s="15" t="inlineStr">
        <is>
          <t>BAJO umbral 0.4976</t>
        </is>
      </c>
    </row>
    <row r="13">
      <c r="A13" s="13" t="inlineStr">
        <is>
          <t>0.2650 - 0.3813</t>
        </is>
      </c>
      <c r="B13" s="20" t="n">
        <v>0</v>
      </c>
      <c r="C13" s="21" t="n">
        <v>0</v>
      </c>
      <c r="D13" s="14" t="inlineStr">
        <is>
          <t>Vigor muy bajo</t>
        </is>
      </c>
      <c r="E13" s="14" t="inlineStr">
        <is>
          <t>BAJO umbral 0.4976</t>
        </is>
      </c>
    </row>
    <row r="14">
      <c r="A14" s="7" t="inlineStr">
        <is>
          <t>&lt;= 0.2650</t>
        </is>
      </c>
      <c r="B14" s="18" t="n">
        <v>0</v>
      </c>
      <c r="C14" s="19" t="n">
        <v>0</v>
      </c>
      <c r="D14" s="15" t="inlineStr">
        <is>
          <t>Suelo desnudo / no vegetal</t>
        </is>
      </c>
      <c r="E14" s="15" t="inlineStr">
        <is>
          <t>BAJO umbral 0.4976</t>
        </is>
      </c>
    </row>
    <row r="15">
      <c r="A15" s="7" t="inlineStr">
        <is>
          <t>TOTAL CLASIFICADO</t>
        </is>
      </c>
      <c r="B15" s="18">
        <f>SUM(B10:B14)</f>
        <v/>
      </c>
      <c r="C15" s="19">
        <f>SUM(C10:C14)</f>
        <v/>
      </c>
      <c r="D15" s="15" t="inlineStr">
        <is>
          <t>Suma de las cinco clases MSAVI 2024</t>
        </is>
      </c>
      <c r="E15" s="15" t="inlineStr">
        <is>
          <t>Iguala la superficie de catálogo (V5/V6)</t>
        </is>
      </c>
    </row>
    <row r="16">
      <c r="A16" s="16" t="inlineStr">
        <is>
          <t>MSAVI 2024 — MEDIA DEL BLOQUE</t>
        </is>
      </c>
      <c r="B16" s="17" t="n">
        <v>0.640219</v>
      </c>
      <c r="C16" s="17" t="inlineStr">
        <is>
          <t>—</t>
        </is>
      </c>
      <c r="D16" s="17" t="inlineStr">
        <is>
          <t>Vigor alto · clase &gt;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100.1564</v>
      </c>
      <c r="C22" s="19" t="n">
        <v>96.64</v>
      </c>
      <c r="D22" s="15" t="inlineStr">
        <is>
          <t>Dosel continuo, matorral denso o mosaico agroforestal</t>
        </is>
      </c>
      <c r="E22" s="15" t="inlineStr"/>
    </row>
    <row r="23">
      <c r="A23" s="13" t="inlineStr">
        <is>
          <t>Vegetación mediana</t>
        </is>
      </c>
      <c r="B23" s="20" t="n">
        <v>3.4808</v>
      </c>
      <c r="C23" s="21" t="n">
        <v>3.36</v>
      </c>
      <c r="D23" s="14" t="inlineStr">
        <is>
          <t>Pastizal cultivado, matorral ralo, parcelas agrícolas</t>
        </is>
      </c>
      <c r="E23" s="14" t="inlineStr"/>
    </row>
    <row r="24">
      <c r="A24" s="16" t="inlineStr">
        <is>
          <t>TOTAL CLASIFICADO</t>
        </is>
      </c>
      <c r="B24" s="22">
        <f>SUM(B21:B22)</f>
        <v/>
      </c>
      <c r="C24" s="23">
        <f>SUM(C21:C22)</f>
        <v/>
      </c>
      <c r="D24" s="17" t="inlineStr"/>
      <c r="E24" s="17" t="inlineStr"/>
    </row>
    <row r="25">
      <c r="A25" s="24" t="inlineStr">
        <is>
          <t>Superficie de catálogo (V5/V6)</t>
        </is>
      </c>
      <c r="B25" s="25" t="n">
        <v>103.62</v>
      </c>
      <c r="C25" s="25" t="inlineStr">
        <is>
          <t>—</t>
        </is>
      </c>
      <c r="D25" s="25" t="inlineStr">
        <is>
          <t>Desviación planimétrica frente al catálogo</t>
        </is>
      </c>
      <c r="E25" s="25" t="inlineStr">
        <is>
          <t>+0.02 %</t>
        </is>
      </c>
    </row>
    <row r="26" ht="108" customHeight="1"/>
    <row r="27">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96.64 % del polígono clasificado como «Vegetación alta» por el NDVI 2025; la observación de campo corresponde a una parcela o recorrido puntual y no es estadísticamente representativa de las 103.620 ha del bloque.</t>
        </is>
      </c>
      <c r="B27" s="38" t="n"/>
      <c r="C27" s="38" t="n"/>
      <c r="D27" s="38" t="n"/>
      <c r="E27" s="39" t="n"/>
    </row>
  </sheetData>
  <mergeCells count="10">
    <mergeCell ref="A4:E4"/>
    <mergeCell ref="A20:E20"/>
    <mergeCell ref="A2:E2"/>
    <mergeCell ref="A5:E5"/>
    <mergeCell ref="A1:E1"/>
    <mergeCell ref="A8:E8"/>
    <mergeCell ref="A6:E6"/>
    <mergeCell ref="A18:E18"/>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18</t>
        </is>
      </c>
    </row>
    <row r="6" ht="24" customHeight="1">
      <c r="A6" s="4" t="inlineStr">
        <is>
          <t>Levantamiento del 2026-07-21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C-01</t>
        </is>
      </c>
      <c r="B10" s="15" t="inlineStr">
        <is>
          <t>Rasgo erosivo — Cárcava incipiente (30-50 cm)</t>
        </is>
      </c>
      <c r="C10" s="26" t="n">
        <v>657109</v>
      </c>
      <c r="D10" s="26" t="n">
        <v>9392675</v>
      </c>
      <c r="E10" s="15" t="n">
        <v>834.2</v>
      </c>
      <c r="F10" s="15" t="inlineStr">
        <is>
          <t>Activa</t>
        </is>
      </c>
      <c r="G10" s="15" t="inlineStr">
        <is>
          <t>Otro</t>
        </is>
      </c>
    </row>
    <row r="11">
      <c r="A11" s="13" t="inlineStr">
        <is>
          <t>C-02</t>
        </is>
      </c>
      <c r="B11" s="14" t="inlineStr">
        <is>
          <t>Rasgo erosivo — Cárcava somera (0.5-2 m)</t>
        </is>
      </c>
      <c r="C11" s="27" t="n">
        <v>657110</v>
      </c>
      <c r="D11" s="27" t="n">
        <v>9392674</v>
      </c>
      <c r="E11" s="14" t="n">
        <v>835.6</v>
      </c>
      <c r="F11" s="14" t="inlineStr">
        <is>
          <t>Semi-activa</t>
        </is>
      </c>
      <c r="G11" s="14" t="inlineStr">
        <is>
          <t>Concentración natural de escorrentía</t>
        </is>
      </c>
    </row>
    <row r="12">
      <c r="A12" s="7" t="inlineStr">
        <is>
          <t>C-03</t>
        </is>
      </c>
      <c r="B12" s="15" t="inlineStr">
        <is>
          <t>Rasgo erosivo — Cárcava incipiente (30-50 cm)</t>
        </is>
      </c>
      <c r="C12" s="26" t="n">
        <v>657109</v>
      </c>
      <c r="D12" s="26" t="n">
        <v>9392443</v>
      </c>
      <c r="E12" s="15" t="n">
        <v>992</v>
      </c>
      <c r="F12" s="15" t="inlineStr">
        <is>
          <t>Semi-activa</t>
        </is>
      </c>
      <c r="G12" s="15" t="inlineStr">
        <is>
          <t>Concentración natural de escorrentía</t>
        </is>
      </c>
    </row>
    <row r="13">
      <c r="A13" s="13" t="inlineStr">
        <is>
          <t>H-01</t>
        </is>
      </c>
      <c r="B13" s="14" t="inlineStr">
        <is>
          <t>Fuente de agua — Quebrada estacional</t>
        </is>
      </c>
      <c r="C13" s="27" t="n">
        <v>657110</v>
      </c>
      <c r="D13" s="27" t="n">
        <v>9392674</v>
      </c>
      <c r="E13" s="14" t="n">
        <v>835.6</v>
      </c>
      <c r="F13" s="14" t="inlineStr"/>
      <c r="G13" s="14" t="inlineStr">
        <is>
          <t>Quebrada tributaria</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656445</v>
      </c>
      <c r="C16" s="6" t="inlineStr">
        <is>
          <t>Centroide del bloque — UTM NORTE (m)</t>
        </is>
      </c>
      <c r="D16" s="7" t="n">
        <v>9393180</v>
      </c>
      <c r="E16" s="8" t="n"/>
      <c r="F16" s="8" t="n"/>
      <c r="G16" s="8" t="n"/>
      <c r="H16" s="8" t="n"/>
    </row>
    <row r="17">
      <c r="A17" s="6" t="inlineStr">
        <is>
          <t>N.° de estaciones fotográficas declaradas</t>
        </is>
      </c>
      <c r="B17" s="7" t="n">
        <v>10</v>
      </c>
      <c r="C17" s="6" t="inlineStr">
        <is>
          <t>Estaciones dentro del polígono</t>
        </is>
      </c>
      <c r="D17" s="7" t="inlineStr">
        <is>
          <t>Por determinar</t>
        </is>
      </c>
      <c r="E17" s="8" t="n"/>
      <c r="F17" s="8" t="n"/>
      <c r="G17" s="8" t="n"/>
      <c r="H17" s="8" t="n"/>
    </row>
    <row r="19" ht="108"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Terrenos de propiedad privada. El recorrido (21-07-2026) se concentró en el corredor de acceso sur, sobre la trocha departamental 108. Perfil de elevación: cotas 1223-1606 msnm (media ≈1420, pendiente media 33%, máxima 54%); el bloque asciende hacia las cimas al piso Quechua media. Altitud GPS instrumental no registrada: por verificar.</t>
        </is>
      </c>
      <c r="B19" s="38" t="n"/>
      <c r="C19" s="38" t="n"/>
      <c r="D19" s="38" t="n"/>
      <c r="E19" s="38" t="n"/>
      <c r="F19" s="38" t="n"/>
      <c r="G19" s="39"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18</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1" t="inlineStr">
        <is>
          <t>► 18</t>
        </is>
      </c>
      <c r="B10" s="28" t="n">
        <v>103.62</v>
      </c>
      <c r="C10" s="29" t="n">
        <v>21.54</v>
      </c>
      <c r="D10" s="12" t="inlineStr">
        <is>
          <t>1218 – 1904</t>
        </is>
      </c>
      <c r="E10" s="12" t="n">
        <v>686</v>
      </c>
      <c r="F10" s="12" t="n">
        <v>28.7</v>
      </c>
      <c r="G10" s="30" t="n">
        <v>0.6402</v>
      </c>
      <c r="H10" s="29" t="n">
        <v>96.64</v>
      </c>
    </row>
    <row r="11">
      <c r="A11" s="13" t="inlineStr">
        <is>
          <t>19</t>
        </is>
      </c>
      <c r="B11" s="31" t="n">
        <v>82.09</v>
      </c>
      <c r="C11" s="21" t="n">
        <v>17.06</v>
      </c>
      <c r="D11" s="14" t="inlineStr">
        <is>
          <t>2064 – 2503</t>
        </is>
      </c>
      <c r="E11" s="14" t="n">
        <v>439</v>
      </c>
      <c r="F11" s="14" t="n">
        <v>31.01</v>
      </c>
      <c r="G11" s="20" t="n">
        <v>0.5372</v>
      </c>
      <c r="H11" s="21" t="n">
        <v>60.33</v>
      </c>
    </row>
    <row r="12">
      <c r="A12" s="7" t="inlineStr">
        <is>
          <t>41</t>
        </is>
      </c>
      <c r="B12" s="32" t="n">
        <v>64.92</v>
      </c>
      <c r="C12" s="19" t="n">
        <v>13.49</v>
      </c>
      <c r="D12" s="15" t="inlineStr">
        <is>
          <t>1536 – 1818</t>
        </is>
      </c>
      <c r="E12" s="15" t="n">
        <v>282</v>
      </c>
      <c r="F12" s="15" t="n">
        <v>25.53</v>
      </c>
      <c r="G12" s="18" t="n">
        <v>0.5927</v>
      </c>
      <c r="H12" s="19" t="n">
        <v>98.02</v>
      </c>
    </row>
    <row r="13">
      <c r="A13" s="13" t="inlineStr">
        <is>
          <t>73</t>
        </is>
      </c>
      <c r="B13" s="31" t="n">
        <v>54.29</v>
      </c>
      <c r="C13" s="21" t="n">
        <v>11.28</v>
      </c>
      <c r="D13" s="14" t="inlineStr">
        <is>
          <t>1845 – 2305</t>
        </is>
      </c>
      <c r="E13" s="14" t="n">
        <v>460</v>
      </c>
      <c r="F13" s="14" t="n">
        <v>36.34</v>
      </c>
      <c r="G13" s="20" t="n">
        <v>0.555</v>
      </c>
      <c r="H13" s="21" t="n">
        <v>88.8</v>
      </c>
    </row>
    <row r="14">
      <c r="A14" s="7" t="inlineStr">
        <is>
          <t>31</t>
        </is>
      </c>
      <c r="B14" s="32" t="n">
        <v>47.58</v>
      </c>
      <c r="C14" s="19" t="n">
        <v>9.890000000000001</v>
      </c>
      <c r="D14" s="15" t="inlineStr">
        <is>
          <t>1741 – 2234</t>
        </is>
      </c>
      <c r="E14" s="15" t="n">
        <v>493</v>
      </c>
      <c r="F14" s="15" t="n">
        <v>27.08</v>
      </c>
      <c r="G14" s="18" t="n">
        <v>0.4358</v>
      </c>
      <c r="H14" s="19" t="n">
        <v>18.56</v>
      </c>
    </row>
    <row r="15">
      <c r="A15" s="13" t="inlineStr">
        <is>
          <t>29</t>
        </is>
      </c>
      <c r="B15" s="31" t="n">
        <v>40.1</v>
      </c>
      <c r="C15" s="21" t="n">
        <v>8.33</v>
      </c>
      <c r="D15" s="14" t="inlineStr">
        <is>
          <t>2142 – 2391</t>
        </is>
      </c>
      <c r="E15" s="14" t="n">
        <v>249</v>
      </c>
      <c r="F15" s="14" t="n">
        <v>31.54</v>
      </c>
      <c r="G15" s="20" t="n">
        <v>0.5482</v>
      </c>
      <c r="H15" s="21" t="inlineStr">
        <is>
          <t>Por determinar</t>
        </is>
      </c>
    </row>
    <row r="16">
      <c r="A16" s="7" t="inlineStr">
        <is>
          <t>70</t>
        </is>
      </c>
      <c r="B16" s="32" t="n">
        <v>22.39</v>
      </c>
      <c r="C16" s="19" t="n">
        <v>4.65</v>
      </c>
      <c r="D16" s="15" t="inlineStr">
        <is>
          <t>2326 – 2536</t>
        </is>
      </c>
      <c r="E16" s="15" t="n">
        <v>210</v>
      </c>
      <c r="F16" s="15" t="n">
        <v>23.2</v>
      </c>
      <c r="G16" s="18" t="n">
        <v>0.6223</v>
      </c>
      <c r="H16" s="19" t="n">
        <v>98.39</v>
      </c>
    </row>
    <row r="17">
      <c r="A17" s="13" t="inlineStr">
        <is>
          <t>68</t>
        </is>
      </c>
      <c r="B17" s="31" t="n">
        <v>21.29</v>
      </c>
      <c r="C17" s="21" t="n">
        <v>4.42</v>
      </c>
      <c r="D17" s="14" t="inlineStr">
        <is>
          <t>2086 – 2374</t>
        </is>
      </c>
      <c r="E17" s="14" t="n">
        <v>288</v>
      </c>
      <c r="F17" s="14" t="n">
        <v>36.81</v>
      </c>
      <c r="G17" s="20" t="n">
        <v>0.483</v>
      </c>
      <c r="H17" s="21" t="inlineStr">
        <is>
          <t>Por determinar</t>
        </is>
      </c>
    </row>
    <row r="18">
      <c r="A18" s="7" t="inlineStr">
        <is>
          <t>69</t>
        </is>
      </c>
      <c r="B18" s="32" t="n">
        <v>19.43</v>
      </c>
      <c r="C18" s="19" t="n">
        <v>4.04</v>
      </c>
      <c r="D18" s="15" t="inlineStr">
        <is>
          <t>1931 – 2205</t>
        </is>
      </c>
      <c r="E18" s="15" t="n">
        <v>274</v>
      </c>
      <c r="F18" s="15" t="n">
        <v>27.95</v>
      </c>
      <c r="G18" s="18" t="n">
        <v>0.4489</v>
      </c>
      <c r="H18" s="19" t="n">
        <v>22.92</v>
      </c>
    </row>
    <row r="19">
      <c r="A19" s="13" t="inlineStr">
        <is>
          <t>53</t>
        </is>
      </c>
      <c r="B19" s="31" t="n">
        <v>13.06</v>
      </c>
      <c r="C19" s="21" t="n">
        <v>2.71</v>
      </c>
      <c r="D19" s="14" t="inlineStr">
        <is>
          <t>2235 – 2540</t>
        </is>
      </c>
      <c r="E19" s="14" t="n">
        <v>305</v>
      </c>
      <c r="F19" s="14" t="n">
        <v>26.89</v>
      </c>
      <c r="G19" s="20" t="n">
        <v>0.5963000000000001</v>
      </c>
      <c r="H19" s="21" t="n">
        <v>86.15000000000001</v>
      </c>
    </row>
    <row r="20">
      <c r="A20" s="7" t="inlineStr">
        <is>
          <t>72</t>
        </is>
      </c>
      <c r="B20" s="32" t="n">
        <v>12.4</v>
      </c>
      <c r="C20" s="19" t="n">
        <v>2.58</v>
      </c>
      <c r="D20" s="15" t="inlineStr">
        <is>
          <t>1538 – 1742</t>
        </is>
      </c>
      <c r="E20" s="15" t="n">
        <v>204</v>
      </c>
      <c r="F20" s="15" t="n">
        <v>28.25</v>
      </c>
      <c r="G20" s="18" t="n">
        <v>0.5185</v>
      </c>
      <c r="H20" s="19" t="n">
        <v>92.44</v>
      </c>
    </row>
    <row r="21">
      <c r="A21" s="16" t="inlineStr">
        <is>
          <t>TOTAL / PROMEDIO</t>
        </is>
      </c>
      <c r="B21" s="33">
        <f>SUM(B10:B20)</f>
        <v/>
      </c>
      <c r="C21" s="23">
        <f>SUM(C10:C20)</f>
        <v/>
      </c>
      <c r="D21" s="17" t="inlineStr">
        <is>
          <t>1218 – 2540</t>
        </is>
      </c>
      <c r="E21" s="17" t="inlineStr"/>
      <c r="F21" s="17">
        <f>ROUND(AVERAGE(F10:F20),2)</f>
        <v/>
      </c>
      <c r="G21" s="22">
        <f>ROUND(AVERAGE(G10:G20),4)</f>
        <v/>
      </c>
      <c r="H21" s="23">
        <f>ROUND(AVERAGE(H10:H20),2)</f>
        <v/>
      </c>
    </row>
    <row r="22" ht="48" customHeight="1">
      <c r="A22" s="9" t="inlineStr">
        <is>
          <t>ALCANCE DE LOS PROMEDIOS. La fila TOTAL / PROMEDIO omite las celdas «Por determinar»: el promedio de VEGETACIÓN ALTA (NDVI 2025) se calcula sobre 9 de los 11 bloques; los 2 bloques restantes carecen de estadística zonal de NDVI. Los totales de ÁREA y % de microcuenca sí comprenden la totalidad de los 11 bloques. No se estima ningún valor ausente.</t>
        </is>
      </c>
      <c r="B22" s="38" t="n"/>
      <c r="C22" s="38" t="n"/>
      <c r="D22" s="38" t="n"/>
      <c r="E22" s="38" t="n"/>
      <c r="F22" s="38" t="n"/>
      <c r="G22" s="38" t="n"/>
      <c r="H22" s="39" t="n"/>
    </row>
    <row r="24" ht="84" customHeight="1">
      <c r="A24" s="9" t="inlineStr">
        <is>
          <t>LECTURA INTRAMICROCUENCA. El bloque 18 ocupa el puesto 1 de 11 por superficie dentro de la microcuenca C1076-Q9592 (21.54 % de las 481.17 ha preliminares de la microcuenca). Su pendiente promedio (28.70 %, clase «25-50% (Mod. escarpado)») es la 7.ª más baja de 11 y se sitúa por debajo del promedio de la microcuenca (29.39 %). Su MSAVI 2024 (0.6402) es el 1.º de 11 y queda por encima del promedio local (0.5435). Amplitud altitudinal del bloque: 686 m (1218–1904 msnm). El cuadro conserva todos los bloques catalogados en la microcuenca, incluidos los descartados en el tamizaje, para referencia del conjunto. Los bloques sin ficha DT figuran con sus parámetros de gabinete.</t>
        </is>
      </c>
      <c r="B24" s="38" t="n"/>
      <c r="C24" s="38" t="n"/>
      <c r="D24" s="38" t="n"/>
      <c r="E24" s="38" t="n"/>
      <c r="F24" s="38" t="n"/>
      <c r="G24" s="38" t="n"/>
      <c r="H24" s="39"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6" s="38" t="n"/>
      <c r="C26" s="38" t="n"/>
      <c r="D26" s="38" t="n"/>
      <c r="E26" s="38" t="n"/>
      <c r="F26" s="38" t="n"/>
      <c r="G26" s="38" t="n"/>
      <c r="H26" s="39" t="n"/>
    </row>
  </sheetData>
  <mergeCells count="10">
    <mergeCell ref="A1:H1"/>
    <mergeCell ref="A4:H4"/>
    <mergeCell ref="A3:H3"/>
    <mergeCell ref="A26:H26"/>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18</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«C1076-Q9592»</t>
        </is>
      </c>
      <c r="D10" s="35" t="inlineStr">
        <is>
          <t>CONFORME</t>
        </is>
      </c>
      <c r="E10" s="34" t="inlineStr">
        <is>
          <t>Sin acción.</t>
        </is>
      </c>
    </row>
    <row r="11" ht="48" customHeight="1">
      <c r="A11" s="36" t="inlineStr">
        <is>
          <t>D-02</t>
        </is>
      </c>
      <c r="B11" s="36" t="inlineStr">
        <is>
          <t>UTM del punto de muestreo</t>
        </is>
      </c>
      <c r="C11" s="36" t="inlineStr">
        <is>
          <t>Las celdas de UTM ESTE / NORTE del punto de muestreo están vacías o incompletas en la ficha DT</t>
        </is>
      </c>
      <c r="D11" s="37" t="inlineStr">
        <is>
          <t>SUSTANTIVA</t>
        </is>
      </c>
      <c r="E11" s="36" t="inlineStr">
        <is>
          <t>No se sustituye por el centroide del catálogo. Se consigna «Por registrar en campo».</t>
        </is>
      </c>
    </row>
    <row r="12" ht="48" customHeight="1">
      <c r="A12" s="34" t="inlineStr">
        <is>
          <t>D-03</t>
        </is>
      </c>
      <c r="B12" s="34" t="inlineStr">
        <is>
          <t>Superficie del polígono</t>
        </is>
      </c>
      <c r="C12" s="34" t="inlineStr">
        <is>
          <t>La superficie clasificada por el NDVI 2025 (103.637 ha) coincide con la de catálogo (103.62 ha) dentro del ±2 % (+0.02 %)</t>
        </is>
      </c>
      <c r="D12" s="35" t="inlineStr">
        <is>
          <t>CONFORME</t>
        </is>
      </c>
      <c r="E12" s="34" t="inlineStr">
        <is>
          <t>Sin acción: la segmentación valida la geometría del bloque.</t>
        </is>
      </c>
    </row>
    <row r="13" ht="48" customHeight="1">
      <c r="A13" s="36" t="inlineStr">
        <is>
          <t>D-04</t>
        </is>
      </c>
      <c r="B13" s="36" t="inlineStr">
        <is>
          <t>Rango altitudinal / piso ecológico</t>
        </is>
      </c>
      <c r="C13" s="36" t="inlineStr">
        <is>
          <t>La ficha DT declara «1000-1500 m (Quechua baja)»; el MDE sitúa el bloque entre 1218 y 1904 msnm, cuyo punto medio corresponde a «1500-2000 m (Quechua media)»</t>
        </is>
      </c>
      <c r="D13" s="12" t="inlineStr">
        <is>
          <t>NO SUSTANTIVA</t>
        </is>
      </c>
      <c r="E13" s="36" t="inlineStr">
        <is>
          <t>Se declara la divergencia. El bloque abarca más de un piso altitudinal cuando la amplitud supera el ancho de la clase; el registro de campo corresponde al sector recorrido.</t>
        </is>
      </c>
    </row>
    <row r="14" ht="48" customHeight="1">
      <c r="A14" s="34" t="inlineStr">
        <is>
          <t>D-05</t>
        </is>
      </c>
      <c r="B14" s="34" t="inlineStr">
        <is>
          <t>Altitud GPS del punto de muestreo</t>
        </is>
      </c>
      <c r="C14" s="34" t="inlineStr">
        <is>
          <t>La aplicación de captura no registró altitud GPS en campo</t>
        </is>
      </c>
      <c r="D14" s="12" t="inlineStr">
        <is>
          <t>NO SUSTANTIVA</t>
        </is>
      </c>
      <c r="E14" s="34" t="inlineStr">
        <is>
          <t>El rango altitudinal del bloque (1218–1904 msnm) y la pendiente promedio (28.70 %) se toman de la estadística zonal sobre el MDE, no de medición de campo. Se declara la fuente.</t>
        </is>
      </c>
    </row>
    <row r="15" ht="48" customHeight="1">
      <c r="A15" s="36" t="inlineStr">
        <is>
          <t>D-06</t>
        </is>
      </c>
      <c r="B15" s="36" t="inlineStr">
        <is>
          <t>Dimensiones del inventario de cárcavas</t>
        </is>
      </c>
      <c r="C15" s="36" t="inlineStr">
        <is>
          <t>Se registran 3 rasgos erosivos, pero longitud, profundidad y ancho no fueron medidos instrumentalmente</t>
        </is>
      </c>
      <c r="D15" s="12" t="inlineStr">
        <is>
          <t>NO SUSTANTIVA</t>
        </is>
      </c>
      <c r="E15" s="36" t="inlineStr">
        <is>
          <t>El conteo registrado no debe usarse para calcular densidad de cárcavas por hectárea. Pendiente de levantamiento con GPS submétrico.</t>
        </is>
      </c>
    </row>
    <row r="16" ht="48" customHeight="1">
      <c r="A16" s="34" t="inlineStr">
        <is>
          <t>D-07</t>
        </is>
      </c>
      <c r="B16" s="34" t="inlineStr">
        <is>
          <t>Elenco florístico</t>
        </is>
      </c>
      <c r="C16" s="34" t="inlineStr">
        <is>
          <t>La ficha registra 11 taxones, por debajo del mínimo de 15 que exige el formato V5</t>
        </is>
      </c>
      <c r="D16" s="37" t="inlineStr">
        <is>
          <t>SUSTANTIVA</t>
        </is>
      </c>
      <c r="E16" s="34" t="inlineStr">
        <is>
          <t>Registro florístico preliminar, sin colecta ni determinación botánica formal. Debe cerrarse con colecta botánica en la siguiente campaña.</t>
        </is>
      </c>
    </row>
    <row r="17" ht="48" customHeight="1">
      <c r="A17" s="36" t="inlineStr">
        <is>
          <t>D-08</t>
        </is>
      </c>
      <c r="B17" s="36" t="inlineStr">
        <is>
          <t>Centro poblado asociado</t>
        </is>
      </c>
      <c r="C17" s="36" t="inlineStr">
        <is>
          <t>La ficha DT declara «Caserío Piedra Blanca (Huarmaca)»; el cruce INEI-Bloques V5 identifica 1 centro(s) poblado(s) en el bloque: PIEDRA BLANCA</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c r="A19" s="34" t="inlineStr">
        <is>
          <t>D-10</t>
        </is>
      </c>
      <c r="B19" s="34" t="inlineStr">
        <is>
          <t>Distribución areal de clases MSAVI 2024</t>
        </is>
      </c>
      <c r="C19" s="34" t="inlineStr">
        <is>
          <t>La hoja «Cobertura MSAVI-NDVI» consignaba «Por determinar» en la distribución areal de clases MSAVI 2024; se incorpora el metrado por clase medido sobre la cartografía temática MSAVI 2024 del bloque: 2.89 % del bloque (2.995 ha) bajo el umbral 0.4976 y 97.11 % sobre el umbral; clase areal dominante «Vigor alto».</t>
        </is>
      </c>
      <c r="D19" s="37" t="inlineStr">
        <is>
          <t>CORREGIDO</t>
        </is>
      </c>
      <c r="E19" s="34"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0"/>
    <row r="21">
      <c r="A21" s="16" t="inlineStr">
        <is>
          <t>RESUMEN</t>
        </is>
      </c>
      <c r="B21" s="17" t="inlineStr">
        <is>
          <t>10 verificaciones</t>
        </is>
      </c>
      <c r="C21" s="17" t="inlineStr">
        <is>
          <t>CONFORME: 3 · NO SUSTANTIVA: 3 · SUSTANTIVA: 3 · CORREGIDO: 1</t>
        </is>
      </c>
      <c r="D21" s="17" t="inlineStr"/>
      <c r="E21" s="17" t="inlineStr"/>
    </row>
    <row r="22" ht="60" customHeight="1"/>
    <row r="23">
      <c r="A2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3" s="38" t="n"/>
      <c r="C23" s="38" t="n"/>
      <c r="D23" s="38" t="n"/>
      <c r="E23" s="39" t="n"/>
    </row>
  </sheetData>
  <mergeCells count="8">
    <mergeCell ref="A4:E4"/>
    <mergeCell ref="A2:E2"/>
    <mergeCell ref="A5:E5"/>
    <mergeCell ref="A1:E1"/>
    <mergeCell ref="A23:E23"/>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18 — IN Piura</dc:title>
  <dc:subject>Diagnóstico Territorial por bloque de intervención</dc:subject>
  <dcterms:created xsi:type="dcterms:W3CDTF">2026-09-08T03:39:55Z</dcterms:created>
  <dcterms:modified xsi:type="dcterms:W3CDTF">2026-09-09T14:49:41Z</dcterms:modified>
</cp:coreProperties>
</file>