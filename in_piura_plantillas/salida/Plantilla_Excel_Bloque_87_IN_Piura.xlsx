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sumen" sheetId="1" state="visible" r:id="rId1"/>
    <sheet name="Cobertura MSAVI-NDVI" sheetId="2" state="visible" r:id="rId2"/>
    <sheet name="Estaciones fotográficas" sheetId="3" state="visible" r:id="rId3"/>
    <sheet name="Microcuenca" sheetId="4" state="visible" r:id="rId4"/>
    <sheet name="Control de consistencia" sheetId="5" state="visible" r:id="rId5"/>
  </sheets>
  <definedNames/>
  <calcPr calcId="124519" fullCalcOnLoad="1"/>
</workbook>
</file>

<file path=xl/styles.xml><?xml version="1.0" encoding="utf-8"?>
<styleSheet xmlns="http://schemas.openxmlformats.org/spreadsheetml/2006/main">
  <numFmts count="2">
    <numFmt numFmtId="164" formatCode="0.0000"/>
    <numFmt numFmtId="165" formatCode="0.000"/>
  </numFmts>
  <fonts count="9">
    <font>
      <name val="Calibri"/>
      <family val="2"/>
      <color theme="1"/>
      <sz val="11"/>
      <scheme val="minor"/>
    </font>
    <font>
      <name val="Arial"/>
      <b val="1"/>
      <color rgb="00FFFFFF"/>
      <sz val="10"/>
    </font>
    <font>
      <name val="Arial"/>
      <color rgb="00FFFFFF"/>
      <sz val="8"/>
    </font>
    <font>
      <name val="Arial"/>
      <b val="1"/>
      <color rgb="001B4D2E"/>
      <sz val="12"/>
    </font>
    <font>
      <name val="Arial"/>
      <i val="1"/>
      <color rgb="00555555"/>
      <sz val="8"/>
    </font>
    <font>
      <name val="Arial"/>
      <b val="1"/>
      <sz val="9"/>
    </font>
    <font>
      <name val="Arial"/>
      <sz val="9"/>
    </font>
    <font>
      <name val="Arial"/>
      <i val="1"/>
      <color rgb="00333333"/>
      <sz val="8"/>
    </font>
    <font>
      <name val="Arial"/>
      <b val="1"/>
      <color rgb="00FFFFFF"/>
      <sz val="9"/>
    </font>
  </fonts>
  <fills count="9">
    <fill>
      <patternFill/>
    </fill>
    <fill>
      <patternFill patternType="gray125"/>
    </fill>
    <fill>
      <patternFill patternType="solid">
        <fgColor rgb="001B4D2E"/>
      </patternFill>
    </fill>
    <fill>
      <patternFill patternType="solid">
        <fgColor rgb="001B4F72"/>
      </patternFill>
    </fill>
    <fill>
      <patternFill patternType="solid">
        <fgColor rgb="00E8F0EA"/>
      </patternFill>
    </fill>
    <fill>
      <patternFill patternType="solid">
        <fgColor rgb="00F2F2F2"/>
      </patternFill>
    </fill>
    <fill>
      <patternFill patternType="solid">
        <fgColor rgb="00FFF2CC"/>
      </patternFill>
    </fill>
    <fill>
      <patternFill patternType="solid">
        <fgColor rgb="00D9E1F2"/>
      </patternFill>
    </fill>
    <fill>
      <patternFill patternType="solid">
        <fgColor rgb="00F8CBAD"/>
      </patternFill>
    </fill>
  </fills>
  <borders count="2">
    <border>
      <left/>
      <right/>
      <top/>
      <bottom/>
      <diagonal/>
    </border>
    <border>
      <left style="thin">
        <color rgb="009C9C9C"/>
      </left>
      <right style="thin">
        <color rgb="009C9C9C"/>
      </right>
      <top style="thin">
        <color rgb="009C9C9C"/>
      </top>
      <bottom style="thin">
        <color rgb="009C9C9C"/>
      </bottom>
    </border>
  </borders>
  <cellStyleXfs count="1">
    <xf numFmtId="0" fontId="0" fillId="0" borderId="0"/>
  </cellStyleXfs>
  <cellXfs count="38">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0" applyAlignment="1" pivotButton="0" quotePrefix="0" xfId="0">
      <alignment horizontal="center" vertical="center"/>
    </xf>
    <xf numFmtId="0" fontId="4" fillId="0" borderId="0" applyAlignment="1" pivotButton="0" quotePrefix="0" xfId="0">
      <alignment horizontal="center" vertical="center" wrapText="1"/>
    </xf>
    <xf numFmtId="0" fontId="1" fillId="2" borderId="0" applyAlignment="1" pivotButton="0" quotePrefix="0" xfId="0">
      <alignment horizontal="left" vertical="center" indent="1"/>
    </xf>
    <xf numFmtId="0" fontId="5" fillId="5" borderId="1" applyAlignment="1" pivotButton="0" quotePrefix="0" xfId="0">
      <alignment horizontal="left" vertical="center" wrapText="1" indent="1"/>
    </xf>
    <xf numFmtId="0" fontId="6" fillId="0" borderId="1" applyAlignment="1" pivotButton="0" quotePrefix="0" xfId="0">
      <alignment horizontal="left" vertical="center" wrapText="1" indent="1"/>
    </xf>
    <xf numFmtId="0" fontId="0" fillId="0" borderId="1" pivotButton="0" quotePrefix="0" xfId="0"/>
    <xf numFmtId="0" fontId="7" fillId="0" borderId="1" applyAlignment="1" pivotButton="0" quotePrefix="0" xfId="0">
      <alignment horizontal="justify" vertical="top" wrapText="1"/>
    </xf>
    <xf numFmtId="0" fontId="8" fillId="2" borderId="1" applyAlignment="1" pivotButton="0" quotePrefix="0" xfId="0">
      <alignment horizontal="center" vertical="center" wrapText="1"/>
    </xf>
    <xf numFmtId="0" fontId="6" fillId="0" borderId="1" applyAlignment="1" pivotButton="0" quotePrefix="0" xfId="0">
      <alignment horizontal="center" vertical="center" wrapText="1"/>
    </xf>
    <xf numFmtId="0" fontId="6" fillId="4" borderId="1" applyAlignment="1" pivotButton="0" quotePrefix="0" xfId="0">
      <alignment horizontal="left" vertical="center" wrapText="1" indent="1"/>
    </xf>
    <xf numFmtId="0" fontId="6" fillId="4" borderId="1" applyAlignment="1" pivotButton="0" quotePrefix="0" xfId="0">
      <alignment horizontal="center" vertical="center" wrapText="1"/>
    </xf>
    <xf numFmtId="0" fontId="5" fillId="6" borderId="1" applyAlignment="1" pivotButton="0" quotePrefix="0" xfId="0">
      <alignment horizontal="left" vertical="center" wrapText="1" indent="1"/>
    </xf>
    <xf numFmtId="0" fontId="5" fillId="6" borderId="1" applyAlignment="1" pivotButton="0" quotePrefix="0" xfId="0">
      <alignment horizontal="center" vertical="center" wrapText="1"/>
    </xf>
    <xf numFmtId="0" fontId="5" fillId="4" borderId="1" applyAlignment="1" pivotButton="0" quotePrefix="0" xfId="0">
      <alignment horizontal="left" vertical="center" wrapText="1" indent="1"/>
    </xf>
    <xf numFmtId="0" fontId="5" fillId="4" borderId="1" applyAlignment="1" pivotButton="0" quotePrefix="0" xfId="0">
      <alignment horizontal="center" vertical="center" wrapText="1"/>
    </xf>
    <xf numFmtId="164" fontId="6" fillId="0" borderId="1" applyAlignment="1" pivotButton="0" quotePrefix="0" xfId="0">
      <alignment horizontal="center" vertical="center" wrapText="1"/>
    </xf>
    <xf numFmtId="2" fontId="6" fillId="0" borderId="1" applyAlignment="1" pivotButton="0" quotePrefix="0" xfId="0">
      <alignment horizontal="center" vertical="center" wrapText="1"/>
    </xf>
    <xf numFmtId="164" fontId="6" fillId="4" borderId="1" applyAlignment="1" pivotButton="0" quotePrefix="0" xfId="0">
      <alignment horizontal="center" vertical="center" wrapText="1"/>
    </xf>
    <xf numFmtId="2" fontId="6" fillId="4" borderId="1" applyAlignment="1" pivotButton="0" quotePrefix="0" xfId="0">
      <alignment horizontal="center" vertical="center" wrapText="1"/>
    </xf>
    <xf numFmtId="164" fontId="5" fillId="4" borderId="1" applyAlignment="1" pivotButton="0" quotePrefix="0" xfId="0">
      <alignment horizontal="center" vertical="center" wrapText="1"/>
    </xf>
    <xf numFmtId="2" fontId="5" fillId="4" borderId="1" applyAlignment="1" pivotButton="0" quotePrefix="0" xfId="0">
      <alignment horizontal="center" vertical="center" wrapText="1"/>
    </xf>
    <xf numFmtId="0" fontId="5" fillId="0" borderId="1" applyAlignment="1" pivotButton="0" quotePrefix="0" xfId="0">
      <alignment horizontal="left" vertical="center" wrapText="1" indent="1"/>
    </xf>
    <xf numFmtId="0" fontId="5" fillId="0" borderId="1" applyAlignment="1" pivotButton="0" quotePrefix="0" xfId="0">
      <alignment horizontal="center" vertical="center" wrapText="1"/>
    </xf>
    <xf numFmtId="3" fontId="6" fillId="0" borderId="1" applyAlignment="1" pivotButton="0" quotePrefix="0" xfId="0">
      <alignment horizontal="center" vertical="center" wrapText="1"/>
    </xf>
    <xf numFmtId="3" fontId="6" fillId="4" borderId="1" applyAlignment="1" pivotButton="0" quotePrefix="0" xfId="0">
      <alignment horizontal="center" vertical="center" wrapText="1"/>
    </xf>
    <xf numFmtId="165" fontId="6" fillId="0" borderId="1" applyAlignment="1" pivotButton="0" quotePrefix="0" xfId="0">
      <alignment horizontal="center" vertical="center" wrapText="1"/>
    </xf>
    <xf numFmtId="165" fontId="6" fillId="4" borderId="1" applyAlignment="1" pivotButton="0" quotePrefix="0" xfId="0">
      <alignment horizontal="center" vertical="center" wrapText="1"/>
    </xf>
    <xf numFmtId="165" fontId="5" fillId="6" borderId="1" applyAlignment="1" pivotButton="0" quotePrefix="0" xfId="0">
      <alignment horizontal="center" vertical="center" wrapText="1"/>
    </xf>
    <xf numFmtId="2" fontId="5" fillId="6" borderId="1" applyAlignment="1" pivotButton="0" quotePrefix="0" xfId="0">
      <alignment horizontal="center" vertical="center" wrapText="1"/>
    </xf>
    <xf numFmtId="164" fontId="5" fillId="6" borderId="1" applyAlignment="1" pivotButton="0" quotePrefix="0" xfId="0">
      <alignment horizontal="center" vertical="center" wrapText="1"/>
    </xf>
    <xf numFmtId="165" fontId="5" fillId="4" borderId="1" applyAlignment="1" pivotButton="0" quotePrefix="0" xfId="0">
      <alignment horizontal="center" vertical="center" wrapText="1"/>
    </xf>
    <xf numFmtId="0" fontId="6" fillId="0" borderId="1" applyAlignment="1" pivotButton="0" quotePrefix="0" xfId="0">
      <alignment horizontal="left" vertical="top" wrapText="1" indent="1"/>
    </xf>
    <xf numFmtId="0" fontId="5" fillId="7" borderId="1" applyAlignment="1" pivotButton="0" quotePrefix="0" xfId="0">
      <alignment horizontal="center" vertical="center" wrapText="1"/>
    </xf>
    <xf numFmtId="0" fontId="6" fillId="4" borderId="1" applyAlignment="1" pivotButton="0" quotePrefix="0" xfId="0">
      <alignment horizontal="left" vertical="top" wrapText="1" indent="1"/>
    </xf>
    <xf numFmtId="0" fontId="5" fillId="8" borderId="1"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54"/>
  <sheetViews>
    <sheetView showGridLines="0" workbookViewId="0">
      <pane ySplit="6" topLeftCell="A7" activePane="bottomLeft" state="frozen"/>
      <selection pane="bottomLeft" activeCell="A1" sqref="A1"/>
    </sheetView>
  </sheetViews>
  <sheetFormatPr baseColWidth="8" defaultRowHeight="15"/>
  <cols>
    <col width="26" customWidth="1" min="1" max="1"/>
    <col width="30" customWidth="1" min="2" max="2"/>
    <col width="26" customWidth="1" min="3" max="3"/>
    <col width="30" customWidth="1" min="4" max="4"/>
    <col width="14" customWidth="1" min="5" max="5"/>
    <col width="14" customWidth="1" min="6" max="6"/>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FICHA RESUMEN — BLOQUE PRELIMINAR DE INTERVENCIÓN 87</t>
        </is>
      </c>
    </row>
    <row r="6" ht="24" customHeight="1">
      <c r="A6" s="4" t="inlineStr">
        <is>
          <t>Diagnóstico Territorial — Plantilla DT Campo Check Validada V5 | Sistema de referencia: UTM WGS 84 Zona 17S (EPSG:32717)</t>
        </is>
      </c>
    </row>
    <row r="8" ht="18" customHeight="1">
      <c r="A8" s="5" t="inlineStr">
        <is>
          <t>1. IDENTIFICACIÓN Y LOCALIZACIÓN</t>
        </is>
      </c>
    </row>
    <row r="9">
      <c r="A9" s="6" t="inlineStr">
        <is>
          <t>Código del bloque</t>
        </is>
      </c>
      <c r="B9" s="7" t="inlineStr">
        <is>
          <t>87</t>
        </is>
      </c>
      <c r="C9" s="6" t="inlineStr">
        <is>
          <t>Microcuenca (catálogo)</t>
        </is>
      </c>
      <c r="D9" s="7" t="inlineStr">
        <is>
          <t>C1081-Q9583</t>
        </is>
      </c>
      <c r="E9" s="8" t="n"/>
      <c r="F9" s="8" t="n"/>
    </row>
    <row r="10">
      <c r="A10" s="6" t="inlineStr">
        <is>
          <t>Zona de planificación</t>
        </is>
      </c>
      <c r="B10" s="7" t="inlineStr">
        <is>
          <t>Z08</t>
        </is>
      </c>
      <c r="C10" s="6" t="inlineStr">
        <is>
          <t>Microcuenca declarada en ficha DT</t>
        </is>
      </c>
      <c r="D10" s="7" t="inlineStr">
        <is>
          <t>C1081-Q9583</t>
        </is>
      </c>
      <c r="E10" s="8" t="n"/>
      <c r="F10" s="8" t="n"/>
    </row>
    <row r="11">
      <c r="A11" s="6" t="inlineStr">
        <is>
          <t>Departamento</t>
        </is>
      </c>
      <c r="B11" s="7" t="inlineStr">
        <is>
          <t>Piura</t>
        </is>
      </c>
      <c r="C11" s="6" t="inlineStr">
        <is>
          <t>Provincia</t>
        </is>
      </c>
      <c r="D11" s="7" t="inlineStr">
        <is>
          <t>Morropon</t>
        </is>
      </c>
      <c r="E11" s="8" t="n"/>
      <c r="F11" s="8" t="n"/>
    </row>
    <row r="12">
      <c r="A12" s="6" t="inlineStr">
        <is>
          <t>Distrito</t>
        </is>
      </c>
      <c r="B12" s="7" t="inlineStr">
        <is>
          <t>San Juan de Bigote</t>
        </is>
      </c>
      <c r="C12" s="6" t="inlineStr">
        <is>
          <t>Capital distrital</t>
        </is>
      </c>
      <c r="D12" s="7" t="inlineStr">
        <is>
          <t>San Juan de Bigote</t>
        </is>
      </c>
      <c r="E12" s="8" t="n"/>
      <c r="F12" s="8" t="n"/>
    </row>
    <row r="13">
      <c r="A13" s="6" t="inlineStr">
        <is>
          <t>Centro poblado asociado</t>
        </is>
      </c>
      <c r="B13" s="7" t="inlineStr">
        <is>
          <t>Dotor (C.P. Dotor / Caserío Dotor)</t>
        </is>
      </c>
      <c r="C13" s="6" t="inlineStr">
        <is>
          <t>Comunidad campesina</t>
        </is>
      </c>
      <c r="D13" s="7" t="inlineStr">
        <is>
          <t>En blanco (no consignada)</t>
        </is>
      </c>
      <c r="E13" s="8" t="n"/>
      <c r="F13" s="8" t="n"/>
    </row>
    <row r="14">
      <c r="A14" s="6" t="inlineStr">
        <is>
          <t>Superficie de catálogo (V5/V6), ha</t>
        </is>
      </c>
      <c r="B14" s="7" t="n">
        <v>62.219</v>
      </c>
      <c r="C14" s="6" t="inlineStr">
        <is>
          <t>Fuente de superficie</t>
        </is>
      </c>
      <c r="D14" s="7" t="inlineStr">
        <is>
          <t>Catálogo maestro Bloques V5/V6</t>
        </is>
      </c>
      <c r="E14" s="8" t="n"/>
      <c r="F14" s="8" t="n"/>
    </row>
    <row r="15">
      <c r="A15" s="6" t="inlineStr">
        <is>
          <t>Centroide UTM ESTE (m)</t>
        </is>
      </c>
      <c r="B15" s="7" t="n">
        <v>642882</v>
      </c>
      <c r="C15" s="6" t="inlineStr">
        <is>
          <t>Centroide UTM NORTE (m)</t>
        </is>
      </c>
      <c r="D15" s="7" t="n">
        <v>9411123</v>
      </c>
      <c r="E15" s="8" t="n"/>
      <c r="F15" s="8" t="n"/>
    </row>
    <row r="16">
      <c r="A16" s="6" t="inlineStr">
        <is>
          <t>Sistema de coordenadas</t>
        </is>
      </c>
      <c r="B16" s="7" t="inlineStr">
        <is>
          <t>UTM WGS 84 Zona 17S (EPSG:32717)</t>
        </is>
      </c>
      <c r="C16" s="6" t="inlineStr">
        <is>
          <t>Tipo de intervención</t>
        </is>
      </c>
      <c r="D16" s="7" t="inlineStr">
        <is>
          <t>Restauración</t>
        </is>
      </c>
      <c r="E16" s="8" t="n"/>
      <c r="F16" s="8" t="n"/>
    </row>
    <row r="18" ht="18" customHeight="1">
      <c r="A18" s="5" t="inlineStr">
        <is>
          <t>2. PARÁMETROS FÍSICOS (ESTADÍSTICA ZONAL SOBRE MDE)</t>
        </is>
      </c>
    </row>
    <row r="19">
      <c r="A19" s="6" t="inlineStr">
        <is>
          <t>Altitud mínima (msnm)</t>
        </is>
      </c>
      <c r="B19" s="7" t="n">
        <v>0</v>
      </c>
      <c r="C19" s="6" t="inlineStr">
        <is>
          <t>Altitud máxima (msnm)</t>
        </is>
      </c>
      <c r="D19" s="7" t="n">
        <v>0</v>
      </c>
      <c r="E19" s="8" t="n"/>
      <c r="F19" s="8" t="n"/>
    </row>
    <row r="20">
      <c r="A20" s="6" t="inlineStr">
        <is>
          <t>Amplitud altitudinal (m)</t>
        </is>
      </c>
      <c r="B20" s="7" t="n">
        <v>0</v>
      </c>
      <c r="C20" s="6" t="inlineStr">
        <is>
          <t>Piso altitudinal dominante</t>
        </is>
      </c>
      <c r="D20" s="7" t="inlineStr">
        <is>
          <t>&lt;1000 m (Yunga)</t>
        </is>
      </c>
      <c r="E20" s="8" t="n"/>
      <c r="F20" s="8" t="n"/>
    </row>
    <row r="21">
      <c r="A21" s="6" t="inlineStr">
        <is>
          <t>Pendiente promedio (%)</t>
        </is>
      </c>
      <c r="B21" s="7" t="n">
        <v>0</v>
      </c>
      <c r="C21" s="6" t="inlineStr">
        <is>
          <t>Pendiente promedio (grados)</t>
        </is>
      </c>
      <c r="D21" s="7" t="n">
        <v>0</v>
      </c>
      <c r="E21" s="8" t="n"/>
      <c r="F21" s="8" t="n"/>
    </row>
    <row r="22">
      <c r="A22" s="6" t="inlineStr">
        <is>
          <t>Clase de pendiente equivalente</t>
        </is>
      </c>
      <c r="B22" s="7" t="inlineStr">
        <is>
          <t>0-8% (Plano-lig. inclinado)</t>
        </is>
      </c>
      <c r="C22" s="6" t="inlineStr">
        <is>
          <t>Rango de pendiente declarado en campo</t>
        </is>
      </c>
      <c r="D22" s="7" t="inlineStr">
        <is>
          <t>8-15% (Mod. inclinado)</t>
        </is>
      </c>
      <c r="E22" s="8" t="n"/>
      <c r="F22" s="8" t="n"/>
    </row>
    <row r="23">
      <c r="A23" s="6" t="inlineStr">
        <is>
          <t>Forma predominante del terreno</t>
        </is>
      </c>
      <c r="B23" s="7" t="inlineStr">
        <is>
          <t>Colinoso</t>
        </is>
      </c>
      <c r="C23" s="6" t="inlineStr">
        <is>
          <t>Posición fisiográfica</t>
        </is>
      </c>
      <c r="D23" s="7" t="inlineStr">
        <is>
          <t>Ladera baja</t>
        </is>
      </c>
      <c r="E23" s="8" t="n"/>
      <c r="F23" s="8" t="n"/>
    </row>
    <row r="24">
      <c r="A24" s="6" t="inlineStr">
        <is>
          <t>Exposición / orientación</t>
        </is>
      </c>
      <c r="B24" s="7" t="inlineStr">
        <is>
          <t>Oeste</t>
        </is>
      </c>
      <c r="C24" s="6" t="inlineStr">
        <is>
          <t>Afloramientos rocosos</t>
        </is>
      </c>
      <c r="D24" s="7" t="inlineStr">
        <is>
          <t>Sí</t>
        </is>
      </c>
      <c r="E24" s="8" t="n"/>
      <c r="F24" s="8" t="n"/>
    </row>
    <row r="25">
      <c r="A25" s="6" t="inlineStr">
        <is>
          <t>Escarpes activos</t>
        </is>
      </c>
      <c r="B25" s="7" t="inlineStr">
        <is>
          <t>No</t>
        </is>
      </c>
      <c r="C25" s="6" t="inlineStr">
        <is>
          <t>Remociones en masa activas</t>
        </is>
      </c>
      <c r="D25" s="7" t="inlineStr">
        <is>
          <t>No</t>
        </is>
      </c>
      <c r="E25" s="8" t="n"/>
      <c r="F25" s="8" t="n"/>
    </row>
    <row r="27" ht="18" customHeight="1">
      <c r="A27" s="5" t="inlineStr">
        <is>
          <t>3. ÍNDICES DE VEGETACIÓN (SENTINEL-2)</t>
        </is>
      </c>
    </row>
    <row r="28">
      <c r="A28" s="6" t="inlineStr">
        <is>
          <t>MSAVI 2024 — media del bloque</t>
        </is>
      </c>
      <c r="B28" s="7" t="n">
        <v>0.2487</v>
      </c>
      <c r="C28" s="6" t="inlineStr">
        <is>
          <t>MSAVI 2024 — clase de la media</t>
        </is>
      </c>
      <c r="D28" s="7" t="inlineStr">
        <is>
          <t>&lt;= 0.2650 (Suelo desnudo / no vegetal)</t>
        </is>
      </c>
      <c r="E28" s="8" t="n"/>
      <c r="F28" s="8" t="n"/>
    </row>
    <row r="29">
      <c r="A29" s="6" t="inlineStr">
        <is>
          <t>Condición frente al umbral 0.4976</t>
        </is>
      </c>
      <c r="B29" s="7" t="inlineStr">
        <is>
          <t>BAJO umbral 0.4976</t>
        </is>
      </c>
      <c r="C29" s="6" t="inlineStr">
        <is>
          <t>NDVI mediana 2025 — clase modal</t>
        </is>
      </c>
      <c r="D29" s="7" t="inlineStr">
        <is>
          <t>Vegetación ligera (63.62 %)</t>
        </is>
      </c>
      <c r="E29" s="8" t="n"/>
      <c r="F29" s="8" t="n"/>
    </row>
    <row r="30">
      <c r="A30" s="6" t="inlineStr">
        <is>
          <t>Superficie clasificada NDVI 2025 (ha)</t>
        </is>
      </c>
      <c r="B30" s="7" t="n">
        <v>62.237</v>
      </c>
      <c r="C30" s="6" t="inlineStr">
        <is>
          <t>Desviación frente al catálogo (%)</t>
        </is>
      </c>
      <c r="D30" s="7" t="n">
        <v>0.03</v>
      </c>
      <c r="E30" s="8" t="n"/>
      <c r="F30" s="8" t="n"/>
    </row>
    <row r="32" ht="18" customHeight="1">
      <c r="A32" s="5" t="inlineStr">
        <is>
          <t>4. ECOSISTEMA Y ESTADO DE CONSERVACIÓN</t>
        </is>
      </c>
    </row>
    <row r="33">
      <c r="A33" s="6" t="inlineStr">
        <is>
          <t>Tipo de ecosistema (UP)</t>
        </is>
      </c>
      <c r="B33" s="7" t="inlineStr">
        <is>
          <t>Bosque Estacionalmente Seco de Colina y Montaña (Bes-cm) — asignación POR VERIFICAR</t>
        </is>
      </c>
      <c r="C33" s="6" t="inlineStr">
        <is>
          <t>Superficie de ecosistema (ha)</t>
        </is>
      </c>
      <c r="D33" s="7" t="inlineStr">
        <is>
          <t>62.237 ha (100% del bloque)</t>
        </is>
      </c>
      <c r="E33" s="8" t="n"/>
      <c r="F33" s="8" t="n"/>
    </row>
    <row r="34">
      <c r="A34" s="6" t="inlineStr">
        <is>
          <t>Estado de conservación</t>
        </is>
      </c>
      <c r="B34" s="7" t="inlineStr">
        <is>
          <t>Muy alterado / Degradado</t>
        </is>
      </c>
      <c r="C34" s="6" t="inlineStr">
        <is>
          <t>Uso actual dominante del suelo</t>
        </is>
      </c>
      <c r="D34" s="7" t="inlineStr">
        <is>
          <t>Pastoreo extensivo</t>
        </is>
      </c>
      <c r="E34" s="8" t="n"/>
      <c r="F34" s="8" t="n"/>
    </row>
    <row r="35">
      <c r="A35" s="6" t="inlineStr">
        <is>
          <t>Tipo de cobertura dominante</t>
        </is>
      </c>
      <c r="B35" s="7" t="inlineStr">
        <is>
          <t>Matorral ralo</t>
        </is>
      </c>
      <c r="C35" s="6" t="inlineStr">
        <is>
          <t>Cobertura vegetal total — campo (%)</t>
        </is>
      </c>
      <c r="D35" s="7" t="n">
        <v>10</v>
      </c>
      <c r="E35" s="8" t="n"/>
      <c r="F35" s="8" t="n"/>
    </row>
    <row r="36">
      <c r="A36" s="6" t="inlineStr">
        <is>
          <t>Suelo desnudo — campo (%)</t>
        </is>
      </c>
      <c r="B36" s="7" t="n">
        <v>68</v>
      </c>
      <c r="C36" s="6" t="inlineStr">
        <is>
          <t>Regeneración natural</t>
        </is>
      </c>
      <c r="D36" s="7" t="inlineStr">
        <is>
          <t>Escasa (&lt;10 pl./100m²)</t>
        </is>
      </c>
      <c r="E36" s="8" t="n"/>
      <c r="F36" s="8" t="n"/>
    </row>
    <row r="37">
      <c r="A37" s="6" t="inlineStr">
        <is>
          <t>Nivel general de erosión</t>
        </is>
      </c>
      <c r="B37" s="7" t="inlineStr">
        <is>
          <t>Moderada (surcos)</t>
        </is>
      </c>
      <c r="C37" s="6" t="inlineStr">
        <is>
          <t>N.° de cárcavas registradas</t>
        </is>
      </c>
      <c r="D37" s="7" t="inlineStr">
        <is>
          <t>No inventariadas</t>
        </is>
      </c>
      <c r="E37" s="8" t="n"/>
      <c r="F37" s="8" t="n"/>
    </row>
    <row r="38">
      <c r="A38" s="6" t="inlineStr">
        <is>
          <t>Elenco florístico (n.° de taxones)</t>
        </is>
      </c>
      <c r="B38" s="7" t="n">
        <v>15</v>
      </c>
      <c r="C38" s="6" t="inlineStr">
        <is>
          <t>Estado sanitario</t>
        </is>
      </c>
      <c r="D38" s="7" t="inlineStr">
        <is>
          <t>En blanco (sin mediciones)</t>
        </is>
      </c>
      <c r="E38" s="8" t="n"/>
      <c r="F38" s="8" t="n"/>
    </row>
    <row r="40" ht="18" customHeight="1">
      <c r="A40" s="5" t="inlineStr">
        <is>
          <t>5. RESPONSABLE Y MODALIDAD DE LA EVALUACIÓN</t>
        </is>
      </c>
    </row>
    <row r="41">
      <c r="A41" s="6" t="inlineStr">
        <is>
          <t>Responsable de la evaluación</t>
        </is>
      </c>
      <c r="B41" s="7" t="inlineStr">
        <is>
          <t>Brigada de campo IN Piura — nominación POR CONFIRMAR (parte diario)</t>
        </is>
      </c>
      <c r="C41" s="6" t="inlineStr">
        <is>
          <t>Fecha de evaluación</t>
        </is>
      </c>
      <c r="D41" s="7" t="inlineStr">
        <is>
          <t>2026-08-14</t>
        </is>
      </c>
      <c r="E41" s="8" t="n"/>
      <c r="F41" s="8" t="n"/>
    </row>
    <row r="42">
      <c r="A42" s="6" t="inlineStr">
        <is>
          <t>Hora de registro</t>
        </is>
      </c>
      <c r="B42" s="7" t="inlineStr">
        <is>
          <t>12:45 h</t>
        </is>
      </c>
      <c r="C42" s="6" t="inlineStr">
        <is>
          <t>Correlativo de ficha</t>
        </is>
      </c>
      <c r="D42" s="7" t="inlineStr">
        <is>
          <t>F-DT-01-B87-2026</t>
        </is>
      </c>
      <c r="E42" s="8" t="n"/>
      <c r="F42" s="8" t="n"/>
    </row>
    <row r="43">
      <c r="A43" s="6" t="inlineStr">
        <is>
          <t>Entidad</t>
        </is>
      </c>
      <c r="B43" s="7" t="inlineStr">
        <is>
          <t>ANIN - DIME - SESDI</t>
        </is>
      </c>
      <c r="C43" s="6" t="inlineStr">
        <is>
          <t>Fase del estudio</t>
        </is>
      </c>
      <c r="D43" s="7" t="inlineStr">
        <is>
          <t>Preinversión (Perfil) · Invierte.pe</t>
        </is>
      </c>
      <c r="E43" s="8" t="n"/>
      <c r="F43" s="8" t="n"/>
    </row>
    <row r="44">
      <c r="A44" s="6" t="inlineStr">
        <is>
          <t>Instrumento aplicado</t>
        </is>
      </c>
      <c r="B44" s="7" t="inlineStr">
        <is>
          <t>Fichas F-DT-01 a F-DT-05 (Plantilla V5)</t>
        </is>
      </c>
      <c r="C44" s="6" t="inlineStr">
        <is>
          <t>Parcela de muestreo</t>
        </is>
      </c>
      <c r="D44" s="7" t="inlineStr">
        <is>
          <t>No instalada — fotointerpretación de ortofoto RPAS</t>
        </is>
      </c>
      <c r="E44" s="8" t="n"/>
      <c r="F44" s="8" t="n"/>
    </row>
    <row r="45">
      <c r="A45" s="6" t="inlineStr">
        <is>
          <t>Estaciones fotográficas georreferenciadas</t>
        </is>
      </c>
      <c r="B45" s="7" t="n">
        <v>1</v>
      </c>
      <c r="C45" s="6" t="inlineStr">
        <is>
          <t>Modalidad de acceso</t>
        </is>
      </c>
      <c r="D45" s="7" t="inlineStr">
        <is>
          <t>Vehicular 4x4 hasta el bloque</t>
        </is>
      </c>
      <c r="E45" s="8" t="n"/>
      <c r="F45" s="8" t="n"/>
    </row>
    <row r="47" ht="18" customHeight="1">
      <c r="A47" s="5" t="inlineStr">
        <is>
          <t>6. SÍNTESIS PARA LA GESTIÓN DEL RIESGO EN CONTEXTO DE CAMBIO CLIMÁTICO</t>
        </is>
      </c>
    </row>
    <row r="48">
      <c r="A48" s="6" t="inlineStr">
        <is>
          <t>Causa subyacente principal</t>
        </is>
      </c>
      <c r="B48" s="7" t="inlineStr">
        <is>
          <t>Ausencia de un régimen de manejo del pastizal y de reglas de uso claras sobre el bosque seco de uso común</t>
        </is>
      </c>
      <c r="C48" s="6" t="inlineStr">
        <is>
          <t>Velocidad de degradación</t>
        </is>
      </c>
      <c r="D48" s="7" t="inlineStr">
        <is>
          <t>EN BLANCO — no se dispone de serie Theil-Sen (TAU) ni de MSAVI multianual</t>
        </is>
      </c>
      <c r="E48" s="8" t="n"/>
      <c r="F48" s="8" t="n"/>
    </row>
    <row r="49">
      <c r="A49" s="6" t="inlineStr">
        <is>
          <t>Reversibilidad técnica</t>
        </is>
      </c>
      <c r="B49" s="7" t="inlineStr">
        <is>
          <t>Parcialmente reversible</t>
        </is>
      </c>
      <c r="C49" s="6" t="inlineStr">
        <is>
          <t>Urgencia de intervención</t>
        </is>
      </c>
      <c r="D49" s="7" t="inlineStr">
        <is>
          <t>Alta</t>
        </is>
      </c>
      <c r="E49" s="8" t="n"/>
      <c r="F49" s="8" t="n"/>
    </row>
    <row r="50">
      <c r="A50" s="6" t="inlineStr">
        <is>
          <t>Urgencia de control de erosión</t>
        </is>
      </c>
      <c r="B50" s="7" t="inlineStr">
        <is>
          <t>Alta</t>
        </is>
      </c>
      <c r="C50" s="6" t="inlineStr">
        <is>
          <t>Zona de recarga hídrica</t>
        </is>
      </c>
      <c r="D50" s="7" t="inlineStr">
        <is>
          <t>En blanco (sin mediciones)</t>
        </is>
      </c>
      <c r="E50" s="8" t="n"/>
      <c r="F50" s="8" t="n"/>
    </row>
    <row r="51">
      <c r="A51" s="6" t="inlineStr">
        <is>
          <t>Peligro integrado preliminar (MCA-AHP)</t>
        </is>
      </c>
      <c r="B51" s="7" t="inlineStr">
        <is>
          <t>No disponible en los insumos; debe tomarse del modelamiento de mesolocalización</t>
        </is>
      </c>
      <c r="C51" s="6" t="inlineStr">
        <is>
          <t>Prioridad de intervención</t>
        </is>
      </c>
      <c r="D51" s="7" t="inlineStr">
        <is>
          <t>Por definir en mesolocalización</t>
        </is>
      </c>
      <c r="E51" s="8" t="n"/>
      <c r="F51" s="8" t="n"/>
    </row>
    <row r="52">
      <c r="A52" s="6" t="inlineStr">
        <is>
          <t>Estado de verificación de campo</t>
        </is>
      </c>
      <c r="B52" s="7" t="inlineStr">
        <is>
          <t>VERIFICADO</t>
        </is>
      </c>
      <c r="C52" s="6" t="inlineStr">
        <is>
          <t>Marco del indicador de brecha</t>
        </is>
      </c>
      <c r="D52" s="7" t="inlineStr">
        <is>
          <t>R.M. N.° 00213-2024-MINAM</t>
        </is>
      </c>
      <c r="E52" s="8" t="n"/>
      <c r="F52" s="8" t="n"/>
    </row>
    <row r="54" ht="72" customHeight="1">
      <c r="A54" s="9" t="inlineStr">
        <is>
          <t>DECLARACIÓN DE INTEGRIDAD DE DATOS. Ningún valor ausente ha sido estimado o inferido sin declararlo. Los campos que no pudieron sustentarse en observación de campo, estadística zonal o catálogo oficial se consignan como «Por determinar» o «Por verificar». La altitud y la pendiente proceden de estadística zonal sobre el modelo digital de elevación; el MSAVI 2024 y el NDVI mediana 2025 proceden de compuestos Sentinel-2. Las discrepancias detectadas entre campo, gabinete y catálogo se listan en la hoja «Control de consistencia».</t>
        </is>
      </c>
    </row>
  </sheetData>
  <mergeCells count="13">
    <mergeCell ref="A2:F2"/>
    <mergeCell ref="A54:F54"/>
    <mergeCell ref="A47:F47"/>
    <mergeCell ref="A1:F1"/>
    <mergeCell ref="A5:F5"/>
    <mergeCell ref="A32:F32"/>
    <mergeCell ref="A27:F27"/>
    <mergeCell ref="A8:F8"/>
    <mergeCell ref="A6:F6"/>
    <mergeCell ref="A40:F40"/>
    <mergeCell ref="A18:F18"/>
    <mergeCell ref="A4:F4"/>
    <mergeCell ref="A3:F3"/>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28"/>
  <sheetViews>
    <sheetView showGridLines="0" workbookViewId="0">
      <pane ySplit="6" topLeftCell="A7" activePane="bottomLeft" state="frozen"/>
      <selection pane="bottomLeft" activeCell="A1" sqref="A1"/>
    </sheetView>
  </sheetViews>
  <sheetFormatPr baseColWidth="8" defaultRowHeight="15"/>
  <cols>
    <col width="24" customWidth="1" min="1" max="1"/>
    <col width="16" customWidth="1" min="2" max="2"/>
    <col width="20" customWidth="1" min="3" max="3"/>
    <col width="30" customWidth="1" min="4" max="4"/>
    <col width="28"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DISTRIBUCIÓN AREAL DE CLASES ESPECTRALES — BLOQUE 87</t>
        </is>
      </c>
    </row>
    <row r="6" ht="24" customHeight="1">
      <c r="A6" s="4" t="inlineStr">
        <is>
          <t>MSAVI 2024 y NDVI mediana 2025 (Sentinel-2, mosaico Piura) · Umbral de brecha del proyecto: MSAVI = 0.4976</t>
        </is>
      </c>
    </row>
    <row r="8" ht="18" customHeight="1">
      <c r="A8" s="5" t="inlineStr">
        <is>
          <t>A. MSAVI 2024 — CLASIFICACIÓN POR UMBRALES DEL PROYECTO</t>
        </is>
      </c>
    </row>
    <row r="9" ht="28" customHeight="1">
      <c r="A9" s="10" t="inlineStr">
        <is>
          <t>Clase MSAVI</t>
        </is>
      </c>
      <c r="B9" s="10" t="inlineStr">
        <is>
          <t>Superficie (ha)</t>
        </is>
      </c>
      <c r="C9" s="10" t="inlineStr">
        <is>
          <t>% del área clasificada</t>
        </is>
      </c>
      <c r="D9" s="10" t="inlineStr">
        <is>
          <t>Interpretación</t>
        </is>
      </c>
      <c r="E9" s="10" t="inlineStr">
        <is>
          <t>Condición frente al umbral 0.4976</t>
        </is>
      </c>
    </row>
    <row r="10">
      <c r="A10" s="7" t="inlineStr">
        <is>
          <t>&gt; 0.6139</t>
        </is>
      </c>
      <c r="B10" s="11" t="inlineStr">
        <is>
          <t>Por determinar</t>
        </is>
      </c>
      <c r="C10" s="11" t="inlineStr">
        <is>
          <t>Por determinar</t>
        </is>
      </c>
      <c r="D10" s="11" t="inlineStr">
        <is>
          <t>Vigor alto</t>
        </is>
      </c>
      <c r="E10" s="11" t="inlineStr">
        <is>
          <t>Sobre umbral</t>
        </is>
      </c>
    </row>
    <row r="11">
      <c r="A11" s="12" t="inlineStr">
        <is>
          <t>0.4976 - 0.6139</t>
        </is>
      </c>
      <c r="B11" s="13" t="inlineStr">
        <is>
          <t>Por determinar</t>
        </is>
      </c>
      <c r="C11" s="13" t="inlineStr">
        <is>
          <t>Por determinar</t>
        </is>
      </c>
      <c r="D11" s="13" t="inlineStr">
        <is>
          <t>Vigor moderado</t>
        </is>
      </c>
      <c r="E11" s="13" t="inlineStr">
        <is>
          <t>Sobre umbral</t>
        </is>
      </c>
    </row>
    <row r="12">
      <c r="A12" s="7" t="inlineStr">
        <is>
          <t>0.3813 - 0.4976</t>
        </is>
      </c>
      <c r="B12" s="11" t="inlineStr">
        <is>
          <t>Por determinar</t>
        </is>
      </c>
      <c r="C12" s="11" t="inlineStr">
        <is>
          <t>Por determinar</t>
        </is>
      </c>
      <c r="D12" s="11" t="inlineStr">
        <is>
          <t>Vigor bajo</t>
        </is>
      </c>
      <c r="E12" s="11" t="inlineStr">
        <is>
          <t>BAJO umbral 0.4976</t>
        </is>
      </c>
    </row>
    <row r="13">
      <c r="A13" s="12" t="inlineStr">
        <is>
          <t>0.2650 - 0.3813</t>
        </is>
      </c>
      <c r="B13" s="13" t="inlineStr">
        <is>
          <t>Por determinar</t>
        </is>
      </c>
      <c r="C13" s="13" t="inlineStr">
        <is>
          <t>Por determinar</t>
        </is>
      </c>
      <c r="D13" s="13" t="inlineStr">
        <is>
          <t>Vigor muy bajo</t>
        </is>
      </c>
      <c r="E13" s="13" t="inlineStr">
        <is>
          <t>BAJO umbral 0.4976</t>
        </is>
      </c>
    </row>
    <row r="14">
      <c r="A14" s="14" t="inlineStr">
        <is>
          <t>&lt;= 0.2650</t>
        </is>
      </c>
      <c r="B14" s="15" t="inlineStr">
        <is>
          <t>Por determinar</t>
        </is>
      </c>
      <c r="C14" s="15" t="inlineStr">
        <is>
          <t>Por determinar</t>
        </is>
      </c>
      <c r="D14" s="15" t="inlineStr">
        <is>
          <t>Suelo desnudo / no vegetal</t>
        </is>
      </c>
      <c r="E14" s="15" t="inlineStr">
        <is>
          <t>BAJO umbral 0.4976</t>
        </is>
      </c>
    </row>
    <row r="15">
      <c r="A15" s="16" t="inlineStr">
        <is>
          <t>MSAVI 2024 — MEDIA DEL BLOQUE</t>
        </is>
      </c>
      <c r="B15" s="17" t="n">
        <v>0.248718</v>
      </c>
      <c r="C15" s="17" t="inlineStr">
        <is>
          <t>—</t>
        </is>
      </c>
      <c r="D15" s="17" t="inlineStr">
        <is>
          <t>Suelo desnudo / no vegetal · clase &lt;= 0.2650</t>
        </is>
      </c>
      <c r="E15" s="17" t="inlineStr">
        <is>
          <t>BAJO umbral 0.4976</t>
        </is>
      </c>
    </row>
    <row r="17" ht="72" customHeight="1">
      <c r="A17" s="9" t="inlineStr">
        <is>
          <t>NOTA METODOLÓGICA. La media del MSAVI 2024 del bloque (0.248718) procede del catálogo maestro de bloques V5/V6 y es dato oficial. La DISTRIBUCIÓN AREAL por clase de MSAVI no está disponible como estadística zonal en los insumos de este entregable: se consigna «Por determinar» y NO se estima, conforme a la declaración de integridad de datos del proyecto. La fila resaltada indica la clase en la que cae la media del bloque. Para el dimensionamiento de metas físicas debe ejecutarse estadística zonal directa sobre el ráster MSAVI 2024 recortado al polígono.</t>
        </is>
      </c>
    </row>
    <row r="19" ht="18" customHeight="1">
      <c r="A19" s="5" t="inlineStr">
        <is>
          <t>B. NDVI MEDIANA 2025 — DISTRIBUCIÓN AREAL (ESTADÍSTICA ZONAL)</t>
        </is>
      </c>
    </row>
    <row r="20" ht="28" customHeight="1">
      <c r="A20" s="10" t="inlineStr">
        <is>
          <t>Clase NDVI</t>
        </is>
      </c>
      <c r="B20" s="10" t="inlineStr">
        <is>
          <t>Superficie (ha)</t>
        </is>
      </c>
      <c r="C20" s="10" t="inlineStr">
        <is>
          <t>% del área clasificada</t>
        </is>
      </c>
      <c r="D20" s="10" t="inlineStr">
        <is>
          <t>Interpretación</t>
        </is>
      </c>
      <c r="E20" s="10" t="inlineStr">
        <is>
          <t>Observación</t>
        </is>
      </c>
    </row>
    <row r="21">
      <c r="A21" s="7" t="inlineStr">
        <is>
          <t>Vegetación alta</t>
        </is>
      </c>
      <c r="B21" s="18" t="n">
        <v>0.2097</v>
      </c>
      <c r="C21" s="19" t="n">
        <v>0.34</v>
      </c>
      <c r="D21" s="11" t="inlineStr">
        <is>
          <t>Dosel continuo, matorral denso o mosaico agroforestal</t>
        </is>
      </c>
      <c r="E21" s="11" t="inlineStr"/>
    </row>
    <row r="22">
      <c r="A22" s="12" t="inlineStr">
        <is>
          <t>Vegetación mediana</t>
        </is>
      </c>
      <c r="B22" s="20" t="n">
        <v>1.4991</v>
      </c>
      <c r="C22" s="21" t="n">
        <v>2.41</v>
      </c>
      <c r="D22" s="13" t="inlineStr">
        <is>
          <t>Pastizal cultivado, matorral ralo, parcelas agrícolas</t>
        </is>
      </c>
      <c r="E22" s="13" t="inlineStr"/>
    </row>
    <row r="23">
      <c r="A23" s="7" t="inlineStr">
        <is>
          <t>Vegetación ligera</t>
        </is>
      </c>
      <c r="B23" s="18" t="n">
        <v>39.596</v>
      </c>
      <c r="C23" s="19" t="n">
        <v>63.62</v>
      </c>
      <c r="D23" s="11" t="inlineStr">
        <is>
          <t>Cobertura discontinua, suelo parcialmente expuesto</t>
        </is>
      </c>
      <c r="E23" s="11" t="inlineStr"/>
    </row>
    <row r="24">
      <c r="A24" s="12" t="inlineStr">
        <is>
          <t>Tierra desnuda</t>
        </is>
      </c>
      <c r="B24" s="20" t="n">
        <v>20.9328</v>
      </c>
      <c r="C24" s="21" t="n">
        <v>33.63</v>
      </c>
      <c r="D24" s="13" t="inlineStr">
        <is>
          <t>Suelo desnudo, afloramientos, plataformas y taludes</t>
        </is>
      </c>
      <c r="E24" s="13" t="inlineStr"/>
    </row>
    <row r="25">
      <c r="A25" s="16" t="inlineStr">
        <is>
          <t>TOTAL CLASIFICADO</t>
        </is>
      </c>
      <c r="B25" s="22">
        <f>SUM(B21:B24)</f>
        <v/>
      </c>
      <c r="C25" s="23">
        <f>SUM(C21:C24)</f>
        <v/>
      </c>
      <c r="D25" s="17" t="inlineStr"/>
      <c r="E25" s="17" t="inlineStr"/>
    </row>
    <row r="26">
      <c r="A26" s="24" t="inlineStr">
        <is>
          <t>Superficie de catálogo (V5/V6)</t>
        </is>
      </c>
      <c r="B26" s="25" t="n">
        <v>62.219</v>
      </c>
      <c r="C26" s="25" t="inlineStr">
        <is>
          <t>—</t>
        </is>
      </c>
      <c r="D26" s="25" t="inlineStr">
        <is>
          <t>Desviación planimétrica frente al catálogo</t>
        </is>
      </c>
      <c r="E26" s="25" t="inlineStr">
        <is>
          <t>+0.03 %</t>
        </is>
      </c>
    </row>
    <row r="28" ht="108" customHeight="1">
      <c r="A28" s="9" t="inlineStr">
        <is>
          <t>LECTURA CRÍTICA. Los índices MSAVI y NDVI miden vigor y densidad de biomasa, no composición ni integridad ecosistémica. Un valor alto NO equivale a ausencia de degradación: en bloques con mosaico agrícola, pastizal cultivado o plantaciones, la respuesta espectral puede ser alta sobre una unidad productora sustituida en su composición. La diferencia entre ambos productos no debe leerse como mejora entre 2024 y 2025: son índices distintos (el NDVI satura ante biomasa densa, el MSAVI conserva sensibilidad al suelo de fondo) aplicados sobre compuestos temporales distintos. Contraste registrado en este bloque: la cobertura vegetal estimada en campo es 10 % frente a un 0.34 % del polígono clasificado como «Vegetación alta» por el NDVI 2025; la observación de campo corresponde a una parcela o recorrido puntual y no es estadísticamente representativa de las 62.219 ha del bloque.</t>
        </is>
      </c>
    </row>
  </sheetData>
  <mergeCells count="10">
    <mergeCell ref="A4:E4"/>
    <mergeCell ref="A2:E2"/>
    <mergeCell ref="A28:E28"/>
    <mergeCell ref="A19:E19"/>
    <mergeCell ref="A1:E1"/>
    <mergeCell ref="A5:E5"/>
    <mergeCell ref="A8:E8"/>
    <mergeCell ref="A6:E6"/>
    <mergeCell ref="A17:E17"/>
    <mergeCell ref="A3:E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8"/>
  <sheetViews>
    <sheetView showGridLines="0" workbookViewId="0">
      <pane ySplit="6" topLeftCell="A7" activePane="bottomLeft" state="frozen"/>
      <selection pane="bottomLeft" activeCell="A1" sqref="A1"/>
    </sheetView>
  </sheetViews>
  <sheetFormatPr baseColWidth="8" defaultRowHeight="15"/>
  <cols>
    <col width="12" customWidth="1" min="1" max="1"/>
    <col width="34" customWidth="1" min="2" max="2"/>
    <col width="15" customWidth="1" min="3" max="3"/>
    <col width="15" customWidth="1" min="4" max="4"/>
    <col width="18" customWidth="1" min="5" max="5"/>
    <col width="22" customWidth="1" min="6" max="6"/>
    <col width="44" customWidth="1" min="7" max="7"/>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PUNTOS GEORREFERENCIADOS DE VERIFICACIÓN — BLOQUE 87</t>
        </is>
      </c>
    </row>
    <row r="6" ht="24" customHeight="1">
      <c r="A6" s="4" t="inlineStr">
        <is>
          <t>Levantamiento del 2026-08-14 · Sistema de referencia UTM WGS 84 Zona 17S (EPSG:32717)</t>
        </is>
      </c>
    </row>
    <row r="8" ht="18" customHeight="1">
      <c r="A8" s="5" t="inlineStr">
        <is>
          <t>INVENTARIO DE PUNTOS GEORREFERENCIADOS DE LA FICHA DT</t>
        </is>
      </c>
    </row>
    <row r="9" ht="28" customHeight="1">
      <c r="A9" s="10" t="inlineStr">
        <is>
          <t>Código</t>
        </is>
      </c>
      <c r="B9" s="10" t="inlineStr">
        <is>
          <t>Naturaleza del punto</t>
        </is>
      </c>
      <c r="C9" s="10" t="inlineStr">
        <is>
          <t>UTM ESTE (m)</t>
        </is>
      </c>
      <c r="D9" s="10" t="inlineStr">
        <is>
          <t>UTM NORTE (m)</t>
        </is>
      </c>
      <c r="E9" s="10" t="inlineStr">
        <is>
          <t>Dist. al centroide (m)</t>
        </is>
      </c>
      <c r="F9" s="10" t="inlineStr">
        <is>
          <t>Estado / régimen</t>
        </is>
      </c>
      <c r="G9" s="10" t="inlineStr">
        <is>
          <t>Contenido registrado</t>
        </is>
      </c>
    </row>
    <row r="10">
      <c r="A10" s="7" t="inlineStr">
        <is>
          <t>P-00</t>
        </is>
      </c>
      <c r="B10" s="11" t="inlineStr">
        <is>
          <t>Punto de muestreo declarado en ficha DT</t>
        </is>
      </c>
      <c r="C10" s="26" t="n">
        <v>645575</v>
      </c>
      <c r="D10" s="26" t="n">
        <v>9393500</v>
      </c>
      <c r="E10" s="11" t="n">
        <v>17827.6</v>
      </c>
      <c r="F10" s="11" t="inlineStr"/>
      <c r="G10" s="11" t="inlineStr">
        <is>
          <t>Coordenada consignada en F-DT-01</t>
        </is>
      </c>
    </row>
    <row r="11">
      <c r="A11" s="12" t="inlineStr">
        <is>
          <t>F-01</t>
        </is>
      </c>
      <c r="B11" s="13" t="inlineStr">
        <is>
          <t>Estación fotográfica</t>
        </is>
      </c>
      <c r="C11" s="27" t="n">
        <v>642479</v>
      </c>
      <c r="D11" s="27" t="n">
        <v>9411311</v>
      </c>
      <c r="E11" s="13" t="n">
        <v>444.7</v>
      </c>
      <c r="F11" s="13" t="inlineStr"/>
      <c r="G11" s="13" t="inlineStr">
        <is>
          <t>Registro fotográfico georreferenciado</t>
        </is>
      </c>
    </row>
    <row r="12">
      <c r="A12" s="7" t="inlineStr">
        <is>
          <t>H-01</t>
        </is>
      </c>
      <c r="B12" s="11" t="inlineStr">
        <is>
          <t>Fuente de agua — Quebrada estacional</t>
        </is>
      </c>
      <c r="C12" s="26" t="inlineStr">
        <is>
          <t>En blanco (sin mediciones)</t>
        </is>
      </c>
      <c r="D12" s="26" t="inlineStr">
        <is>
          <t>En blanco (sin mediciones)</t>
        </is>
      </c>
      <c r="E12" s="11" t="inlineStr"/>
      <c r="F12" s="11" t="inlineStr">
        <is>
          <t>Estacional</t>
        </is>
      </c>
      <c r="G12" s="11" t="inlineStr">
        <is>
          <t>Cauce que delimita los bloques</t>
        </is>
      </c>
    </row>
    <row r="13">
      <c r="A13" s="16" t="inlineStr">
        <is>
          <t>TOTAL: 3 puntos</t>
        </is>
      </c>
      <c r="B13" s="17" t="inlineStr"/>
      <c r="C13" s="17" t="inlineStr"/>
      <c r="D13" s="17" t="inlineStr"/>
      <c r="E13" s="17" t="inlineStr"/>
      <c r="F13" s="17" t="inlineStr"/>
      <c r="G13" s="17" t="inlineStr"/>
    </row>
    <row r="15">
      <c r="A15" s="6" t="inlineStr">
        <is>
          <t>Centroide del bloque — UTM ESTE (m)</t>
        </is>
      </c>
      <c r="B15" s="7" t="n">
        <v>642882</v>
      </c>
      <c r="C15" s="6" t="inlineStr">
        <is>
          <t>Centroide del bloque — UTM NORTE (m)</t>
        </is>
      </c>
      <c r="D15" s="7" t="n">
        <v>9411123</v>
      </c>
      <c r="E15" s="8" t="n"/>
      <c r="F15" s="8" t="n"/>
      <c r="G15" s="8" t="n"/>
      <c r="H15" s="8" t="n"/>
    </row>
    <row r="16">
      <c r="A16" s="6" t="inlineStr">
        <is>
          <t>N.° de estaciones fotográficas declaradas</t>
        </is>
      </c>
      <c r="B16" s="7" t="n">
        <v>1</v>
      </c>
      <c r="C16" s="6" t="inlineStr">
        <is>
          <t>Estaciones dentro del polígono</t>
        </is>
      </c>
      <c r="D16" s="7" t="n">
        <v>0</v>
      </c>
      <c r="E16" s="8" t="n"/>
      <c r="F16" s="8" t="n"/>
      <c r="G16" s="8" t="n"/>
      <c r="H16" s="8" t="n"/>
    </row>
    <row r="18" ht="204" customHeight="1">
      <c r="A18" s="9" t="inlineStr">
        <is>
          <t>CONTROL GEOMÉTRICO. Las coordenadas de esta hoja proceden de la ficha DT del bloque (F-DT-01 a F-DT-05) y corresponden a rasgos erosivos, fuentes de agua, especies clave y al punto de muestreo declarado. La distancia al centroide se calcula sobre coordenadas UTM 17S y es referencial: no acredita inclusión ni exclusión respecto del polígono, que exige prueba de inclusión sobre la geometría del bloque. Las estaciones situadas a menos de ~30 m del límite deben considerarse SOBRE EL LÍMITE, dentro del margen de error de la georreferenciación (± 10-15 m). ALCANCE DE LA EVIDENCIA. El bloque 87 NO cuenta con fichas F-DT-01 a F-DT-05 levantadas en campo. El llenado se sustenta en: (i) registro fotográfico georreferenciado del 14-08-2026, 12:45 h, en 642 479 E / 9 411 311 N, azimut 104°; (ii) ortofotos RPAS del ámbito de los bloques 85-87; (iii) cartografía MSAVI 2024 y NDVI mediana 2025; (iv) imagen Google Earth/Airbus 09-11-2023 y perfil de elevación. LOS CAMPOS SIN SUSTENTO DOCUMENTAL SE DEJAN EN BLANCO DE FORMA DELIBERADA. POSICIÓN DEL PUNTO FOTOGRÁFICO: la restitución lo sitúa ≈23 m AL OESTE del límite occidental del polígono, sobre el corredor de la vía afirmada que separa los bloques 85 y 87. EL REGISTRO ES PERIMETRAL: representa la orla del bloque, no su interior. PARÁMETROS GEOESPACIALES: altitud y pendiente NO figuran en el archivo de estadística zonal del DEM (no incluye los bloques 81 ni 83-87). Valores referenciales de perfil Google Earth sobre transecto O-E de 540 m: 254-325 msnm, pendiente media 13.2%, máxima 21.2%. CENTROIDE: el bloque no figura en «Centroides Bloques.xls»; centroide referencial por segmentación 642 813 E / 9 411 179 N. Superficie por segmentación ráster 60.98 ha frente a 62.237 ha del catálogo V6 (−2.0%). ATENCIÓN: el UTM del punto de registro (645 575 · 9 393 500) es el valor por defecto de la plantilla.</t>
        </is>
      </c>
    </row>
  </sheetData>
  <mergeCells count="8">
    <mergeCell ref="A1:G1"/>
    <mergeCell ref="A18:G18"/>
    <mergeCell ref="A8:G8"/>
    <mergeCell ref="A3:G3"/>
    <mergeCell ref="A6:G6"/>
    <mergeCell ref="A4:G4"/>
    <mergeCell ref="A2:G2"/>
    <mergeCell ref="A5:G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24"/>
  <sheetViews>
    <sheetView showGridLines="0" workbookViewId="0">
      <pane ySplit="6" topLeftCell="A7" activePane="bottomLeft" state="frozen"/>
      <selection pane="bottomLeft" activeCell="A1" sqref="A1"/>
    </sheetView>
  </sheetViews>
  <sheetFormatPr baseColWidth="8" defaultRowHeight="15"/>
  <cols>
    <col width="14" customWidth="1" min="1" max="1"/>
    <col width="13" customWidth="1" min="2" max="2"/>
    <col width="14" customWidth="1" min="3" max="3"/>
    <col width="24" customWidth="1" min="4" max="4"/>
    <col width="13" customWidth="1" min="5" max="5"/>
    <col width="18" customWidth="1" min="6" max="6"/>
    <col width="13" customWidth="1" min="7" max="7"/>
    <col width="20" customWidth="1" min="8" max="8"/>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CONTEXTO INTRAMICROCUENCA C1081-Q9583 — BLOQUE 87</t>
        </is>
      </c>
    </row>
    <row r="6" ht="24" customHeight="1">
      <c r="A6" s="4" t="inlineStr">
        <is>
          <t>Distrito de San Juan de Bigote · Provincia de Morropon · Comparación de los bloques preliminares de intervención de la misma microcuenca</t>
        </is>
      </c>
    </row>
    <row r="8" ht="18" customHeight="1">
      <c r="A8" s="5" t="inlineStr">
        <is>
          <t>BLOQUES DE LA MICROCUENCA C1081-Q9583</t>
        </is>
      </c>
    </row>
    <row r="9" ht="28" customHeight="1">
      <c r="A9" s="10" t="inlineStr">
        <is>
          <t>Bloque</t>
        </is>
      </c>
      <c r="B9" s="10" t="inlineStr">
        <is>
          <t>Área (ha)</t>
        </is>
      </c>
      <c r="C9" s="10" t="inlineStr">
        <is>
          <t>% microcuenca</t>
        </is>
      </c>
      <c r="D9" s="10" t="inlineStr">
        <is>
          <t>Rango altitudinal (msnm)</t>
        </is>
      </c>
      <c r="E9" s="10" t="inlineStr">
        <is>
          <t>Amplitud (m)</t>
        </is>
      </c>
      <c r="F9" s="10" t="inlineStr">
        <is>
          <t>Pendiente prom. (%)</t>
        </is>
      </c>
      <c r="G9" s="10" t="inlineStr">
        <is>
          <t>MSAVI 2024</t>
        </is>
      </c>
      <c r="H9" s="10" t="inlineStr">
        <is>
          <t>NDVI 2025 — Veg. alta (%)</t>
        </is>
      </c>
    </row>
    <row r="10">
      <c r="A10" s="7" t="inlineStr">
        <is>
          <t>M11B3</t>
        </is>
      </c>
      <c r="B10" s="28" t="n">
        <v>106.03</v>
      </c>
      <c r="C10" s="19" t="n">
        <v>26.64</v>
      </c>
      <c r="D10" s="11" t="inlineStr">
        <is>
          <t>278 – 477</t>
        </is>
      </c>
      <c r="E10" s="11" t="n">
        <v>199</v>
      </c>
      <c r="F10" s="11" t="n">
        <v>18.11</v>
      </c>
      <c r="G10" s="18" t="n">
        <v>0.3956</v>
      </c>
      <c r="H10" s="19" t="n">
        <v>21.16</v>
      </c>
    </row>
    <row r="11">
      <c r="A11" s="12" t="inlineStr">
        <is>
          <t>24</t>
        </is>
      </c>
      <c r="B11" s="29" t="n">
        <v>90.16</v>
      </c>
      <c r="C11" s="21" t="n">
        <v>22.65</v>
      </c>
      <c r="D11" s="13" t="inlineStr">
        <is>
          <t>1319 – 1887</t>
        </is>
      </c>
      <c r="E11" s="13" t="n">
        <v>568</v>
      </c>
      <c r="F11" s="13" t="n">
        <v>32.98</v>
      </c>
      <c r="G11" s="20" t="n">
        <v>0.6748</v>
      </c>
      <c r="H11" s="21" t="n">
        <v>98.51000000000001</v>
      </c>
    </row>
    <row r="12">
      <c r="A12" s="14" t="inlineStr">
        <is>
          <t>► 87</t>
        </is>
      </c>
      <c r="B12" s="30" t="n">
        <v>62.219</v>
      </c>
      <c r="C12" s="31" t="n">
        <v>15.63</v>
      </c>
      <c r="D12" s="15" t="inlineStr">
        <is>
          <t>Por determinar</t>
        </is>
      </c>
      <c r="E12" s="15" t="inlineStr">
        <is>
          <t>Por determinar</t>
        </is>
      </c>
      <c r="F12" s="15" t="inlineStr">
        <is>
          <t>Por determinar</t>
        </is>
      </c>
      <c r="G12" s="32" t="n">
        <v>0.2487</v>
      </c>
      <c r="H12" s="31" t="n">
        <v>0.34</v>
      </c>
    </row>
    <row r="13">
      <c r="A13" s="12" t="inlineStr">
        <is>
          <t>63</t>
        </is>
      </c>
      <c r="B13" s="29" t="n">
        <v>50.46</v>
      </c>
      <c r="C13" s="21" t="n">
        <v>12.68</v>
      </c>
      <c r="D13" s="13" t="inlineStr">
        <is>
          <t>1508 – 2080</t>
        </is>
      </c>
      <c r="E13" s="13" t="n">
        <v>572</v>
      </c>
      <c r="F13" s="13" t="n">
        <v>35.5</v>
      </c>
      <c r="G13" s="20" t="n">
        <v>0.6036</v>
      </c>
      <c r="H13" s="21" t="n">
        <v>99.2</v>
      </c>
    </row>
    <row r="14">
      <c r="A14" s="7" t="inlineStr">
        <is>
          <t>86</t>
        </is>
      </c>
      <c r="B14" s="28" t="n">
        <v>30.001</v>
      </c>
      <c r="C14" s="19" t="n">
        <v>7.54</v>
      </c>
      <c r="D14" s="11" t="inlineStr">
        <is>
          <t>Por determinar</t>
        </is>
      </c>
      <c r="E14" s="11" t="inlineStr">
        <is>
          <t>Por determinar</t>
        </is>
      </c>
      <c r="F14" s="11" t="inlineStr">
        <is>
          <t>Por determinar</t>
        </is>
      </c>
      <c r="G14" s="18" t="n">
        <v>0.2735</v>
      </c>
      <c r="H14" s="19" t="n">
        <v>1.05</v>
      </c>
    </row>
    <row r="15">
      <c r="A15" s="12" t="inlineStr">
        <is>
          <t>83</t>
        </is>
      </c>
      <c r="B15" s="29" t="n">
        <v>24.344</v>
      </c>
      <c r="C15" s="21" t="n">
        <v>6.12</v>
      </c>
      <c r="D15" s="13" t="inlineStr">
        <is>
          <t>Por determinar</t>
        </is>
      </c>
      <c r="E15" s="13" t="inlineStr">
        <is>
          <t>Por determinar</t>
        </is>
      </c>
      <c r="F15" s="13" t="inlineStr">
        <is>
          <t>Por determinar</t>
        </is>
      </c>
      <c r="G15" s="20" t="n">
        <v>0.3055</v>
      </c>
      <c r="H15" s="21" t="n">
        <v>2.88</v>
      </c>
    </row>
    <row r="16">
      <c r="A16" s="7" t="inlineStr">
        <is>
          <t>77</t>
        </is>
      </c>
      <c r="B16" s="28" t="n">
        <v>17.82</v>
      </c>
      <c r="C16" s="19" t="n">
        <v>4.48</v>
      </c>
      <c r="D16" s="11" t="inlineStr">
        <is>
          <t>242 – 346</t>
        </is>
      </c>
      <c r="E16" s="11" t="n">
        <v>104</v>
      </c>
      <c r="F16" s="11" t="n">
        <v>13.71</v>
      </c>
      <c r="G16" s="18" t="n">
        <v>0.2725</v>
      </c>
      <c r="H16" s="19" t="n">
        <v>0.11</v>
      </c>
    </row>
    <row r="17">
      <c r="A17" s="12" t="inlineStr">
        <is>
          <t>85</t>
        </is>
      </c>
      <c r="B17" s="29" t="n">
        <v>11.906</v>
      </c>
      <c r="C17" s="21" t="n">
        <v>2.99</v>
      </c>
      <c r="D17" s="13" t="inlineStr">
        <is>
          <t>Por determinar</t>
        </is>
      </c>
      <c r="E17" s="13" t="inlineStr">
        <is>
          <t>Por determinar</t>
        </is>
      </c>
      <c r="F17" s="13" t="inlineStr">
        <is>
          <t>Por determinar</t>
        </is>
      </c>
      <c r="G17" s="20" t="n">
        <v>0.2289</v>
      </c>
      <c r="H17" s="21" t="n">
        <v>0</v>
      </c>
    </row>
    <row r="18">
      <c r="A18" s="7" t="inlineStr">
        <is>
          <t>84</t>
        </is>
      </c>
      <c r="B18" s="28" t="n">
        <v>5.097</v>
      </c>
      <c r="C18" s="19" t="n">
        <v>1.28</v>
      </c>
      <c r="D18" s="11" t="inlineStr">
        <is>
          <t>Por determinar</t>
        </is>
      </c>
      <c r="E18" s="11" t="inlineStr">
        <is>
          <t>Por determinar</t>
        </is>
      </c>
      <c r="F18" s="11" t="inlineStr">
        <is>
          <t>Por determinar</t>
        </is>
      </c>
      <c r="G18" s="18" t="n">
        <v>0.2516</v>
      </c>
      <c r="H18" s="19" t="n">
        <v>0</v>
      </c>
    </row>
    <row r="19">
      <c r="A19" s="16" t="inlineStr">
        <is>
          <t>TOTAL / PROMEDIO</t>
        </is>
      </c>
      <c r="B19" s="33">
        <f>SUM(B10:B18)</f>
        <v/>
      </c>
      <c r="C19" s="23">
        <f>SUM(C10:C18)</f>
        <v/>
      </c>
      <c r="D19" s="17" t="inlineStr">
        <is>
          <t>242 – 2080</t>
        </is>
      </c>
      <c r="E19" s="17" t="inlineStr"/>
      <c r="F19" s="17">
        <f>ROUND(AVERAGE(F10:F18),2)</f>
        <v/>
      </c>
      <c r="G19" s="22">
        <f>ROUND(AVERAGE(G10:G18),4)</f>
        <v/>
      </c>
      <c r="H19" s="23">
        <f>ROUND(AVERAGE(H10:H18),2)</f>
        <v/>
      </c>
    </row>
    <row r="20" ht="48" customHeight="1">
      <c r="A20" s="9" t="inlineStr">
        <is>
          <t>ALCANCE DE LOS PROMEDIOS. La fila TOTAL / PROMEDIO omite las celdas «Por determinar»: los promedios de PENDIENTE y MSAVI 2024 se calculan sobre 4 de los 9 bloques de la microcuenca; los 5 bloques restantes carecen de dato derivado del MDE. Los totales de ÁREA y % de microcuenca sí comprenden la totalidad de los 9 bloques. No se estima ningún valor ausente.</t>
        </is>
      </c>
    </row>
    <row r="22" ht="48" customHeight="1">
      <c r="A22" s="9" t="inlineStr">
        <is>
          <t>LECTURA INTRAMICROCUENCA. El bloque 87 ocupa el puesto 3 de 9 por superficie dentro de la microcuenca C1081-Q9583 (15.63 % de las 398.04 ha preliminares de la microcuenca). El cuadro conserva todos los bloques catalogados en la microcuenca, incluidos los descartados en el tamizaje, para referencia del conjunto. Los bloques sin ficha DT figuran con sus parámetros de gabinete.</t>
        </is>
      </c>
    </row>
    <row r="24" ht="60" customHeight="1">
      <c r="A24" s="9" t="inlineStr">
        <is>
          <t>NOTA METODOLÓGICA. Área y MSAVI 2024 proceden del catálogo maestro de bloques V5/V6. El rango altitudinal y la pendiente promedio proceden del reporte de estadística zonal sobre el MDE («Rango de altitud y Pendiente Promedio por Bloques V6»). El porcentaje de «Vegetación alta» procede de la estadística zonal del NDVI mediana 2025 (Sentinel-2). Los totales y promedios se calculan con fórmulas sobre las filas del cuadro.</t>
        </is>
      </c>
    </row>
  </sheetData>
  <mergeCells count="10">
    <mergeCell ref="A1:H1"/>
    <mergeCell ref="A4:H4"/>
    <mergeCell ref="A3:H3"/>
    <mergeCell ref="A20:H20"/>
    <mergeCell ref="A24:H24"/>
    <mergeCell ref="A2:H2"/>
    <mergeCell ref="A5:H5"/>
    <mergeCell ref="A8:H8"/>
    <mergeCell ref="A6:H6"/>
    <mergeCell ref="A22:H2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30"/>
  <sheetViews>
    <sheetView showGridLines="0" workbookViewId="0">
      <pane ySplit="6" topLeftCell="A7" activePane="bottomLeft" state="frozen"/>
      <selection pane="bottomLeft" activeCell="A1" sqref="A1"/>
    </sheetView>
  </sheetViews>
  <sheetFormatPr baseColWidth="8" defaultRowHeight="15"/>
  <cols>
    <col width="9" customWidth="1" min="1" max="1"/>
    <col width="32" customWidth="1" min="2" max="2"/>
    <col width="60" customWidth="1" min="3" max="3"/>
    <col width="18" customWidth="1" min="4" max="4"/>
    <col width="62"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CONTROL DE CONSISTENCIA DE LA INFORMACIÓN — BLOQUE 87</t>
        </is>
      </c>
    </row>
    <row r="6" ht="24" customHeight="1">
      <c r="A6" s="4" t="inlineStr">
        <is>
          <t>Discrepancias detectadas entre el registro de campo, los productos de gabinete y el catálogo maestro. Calificación: SUSTANTIVA / NO SUSTANTIVA / CORREGIDO / CONFORME.</t>
        </is>
      </c>
    </row>
    <row r="8" ht="18" customHeight="1">
      <c r="A8" s="5" t="inlineStr">
        <is>
          <t>DISCREPANCIAS Y VERIFICACIONES</t>
        </is>
      </c>
    </row>
    <row r="9" ht="28" customHeight="1">
      <c r="A9" s="10" t="inlineStr">
        <is>
          <t>Cód.</t>
        </is>
      </c>
      <c r="B9" s="10" t="inlineStr">
        <is>
          <t>Campo afectado</t>
        </is>
      </c>
      <c r="C9" s="10" t="inlineStr">
        <is>
          <t>Discrepancia observada</t>
        </is>
      </c>
      <c r="D9" s="10" t="inlineStr">
        <is>
          <t>Calificación</t>
        </is>
      </c>
      <c r="E9" s="10" t="inlineStr">
        <is>
          <t>Tratamiento adoptado</t>
        </is>
      </c>
    </row>
    <row r="10" ht="48" customHeight="1">
      <c r="A10" s="34" t="inlineStr">
        <is>
          <t>D-01</t>
        </is>
      </c>
      <c r="B10" s="34" t="inlineStr">
        <is>
          <t>Código de microcuenca</t>
        </is>
      </c>
      <c r="C10" s="34" t="inlineStr">
        <is>
          <t>Ficha DT y catálogo maestro coinciden en «C1081-Q9583»</t>
        </is>
      </c>
      <c r="D10" s="35" t="inlineStr">
        <is>
          <t>CONFORME</t>
        </is>
      </c>
      <c r="E10" s="34" t="inlineStr">
        <is>
          <t>Sin acción.</t>
        </is>
      </c>
    </row>
    <row r="11" ht="48" customHeight="1">
      <c r="A11" s="36" t="inlineStr">
        <is>
          <t>D-02</t>
        </is>
      </c>
      <c r="B11" s="36" t="inlineStr">
        <is>
          <t>UTM del punto de muestreo</t>
        </is>
      </c>
      <c r="C11" s="36" t="inlineStr">
        <is>
          <t>El punto de muestreo declarado (645575 E / 9393500 N) dista 17,828 m del centroide de catálogo (642882 E / 9411123 N), distancia incompatible con la superficie del bloque (62.219 ha)</t>
        </is>
      </c>
      <c r="D11" s="37" t="inlineStr">
        <is>
          <t>SUSTANTIVA</t>
        </is>
      </c>
      <c r="E11" s="36" t="inlineStr">
        <is>
          <t>Se declara la coordenada como POR VERIFICAR: puede corresponder a otro bloque o a un error de digitación. No se corrige de oficio.</t>
        </is>
      </c>
    </row>
    <row r="12" ht="48" customHeight="1">
      <c r="A12" s="34" t="inlineStr">
        <is>
          <t>D-03</t>
        </is>
      </c>
      <c r="B12" s="34" t="inlineStr">
        <is>
          <t>Superficie del polígono</t>
        </is>
      </c>
      <c r="C12" s="34" t="inlineStr">
        <is>
          <t>La superficie clasificada por el NDVI 2025 (62.237 ha) coincide con la de catálogo (62.219 ha) dentro del ±2 % (+0.03 %)</t>
        </is>
      </c>
      <c r="D12" s="35" t="inlineStr">
        <is>
          <t>CONFORME</t>
        </is>
      </c>
      <c r="E12" s="34" t="inlineStr">
        <is>
          <t>Sin acción: la segmentación valida la geometría del bloque.</t>
        </is>
      </c>
    </row>
    <row r="13" ht="48" customHeight="1">
      <c r="A13" s="36" t="inlineStr">
        <is>
          <t>D-04</t>
        </is>
      </c>
      <c r="B13" s="36" t="inlineStr">
        <is>
          <t>Rango de pendiente dominante</t>
        </is>
      </c>
      <c r="C13" s="36" t="inlineStr">
        <is>
          <t>La ficha DT declara «8-15% (Mod. inclinado)»; la estadística zonal sobre el MDE arroja una pendiente promedio de 0.00 %, que corresponde a la clase «0-8% (Plano-lig. inclinado)»</t>
        </is>
      </c>
      <c r="D13" s="15" t="inlineStr">
        <is>
          <t>NO SUSTANTIVA</t>
        </is>
      </c>
      <c r="E13" s="36" t="inlineStr">
        <is>
          <t>Se conserva el registro de campo como observación de sector y se adopta el valor del MDE para el cálculo intramicrocuenca. La divergencia es esperable: el dato de campo es puntual y el del MDE es promedio del polígono.</t>
        </is>
      </c>
    </row>
    <row r="14" ht="48" customHeight="1">
      <c r="A14" s="34" t="inlineStr">
        <is>
          <t>D-05</t>
        </is>
      </c>
      <c r="B14" s="34" t="inlineStr">
        <is>
          <t>Cobertura vegetal total</t>
        </is>
      </c>
      <c r="C14" s="34" t="inlineStr">
        <is>
          <t>La ficha DT estima 10 % de cobertura vegetal en campo; el NDVI mediana 2025 clasifica 66.37 % del polígono en clases de vegetación</t>
        </is>
      </c>
      <c r="D14" s="15" t="inlineStr">
        <is>
          <t>NO SUSTANTIVA</t>
        </is>
      </c>
      <c r="E14" s="34" t="inlineStr">
        <is>
          <t>Se declaran ambos valores. La observación de campo corresponde a una parcela o recorrido puntual y no es representativa de la totalidad del bloque; el índice espectral no discrimina composición ni integridad ecosistémica.</t>
        </is>
      </c>
    </row>
    <row r="15" ht="48" customHeight="1">
      <c r="A15" s="36" t="inlineStr">
        <is>
          <t>D-06</t>
        </is>
      </c>
      <c r="B15" s="36" t="inlineStr">
        <is>
          <t>Representatividad del levantamiento</t>
        </is>
      </c>
      <c r="C15" s="36" t="inlineStr">
        <is>
          <t>Ninguna de las estaciones fotográficas georreferenciadas se localiza dentro del polígono del bloque</t>
        </is>
      </c>
      <c r="D15" s="37" t="inlineStr">
        <is>
          <t>SUSTANTIVA</t>
        </is>
      </c>
      <c r="E15" s="36" t="inlineStr">
        <is>
          <t>La verificación documenta el perímetro y la vista panorámica del bloque, no su interior. Los parámetros que exigen recorrido interno se consignan «Por determinar».</t>
        </is>
      </c>
    </row>
    <row r="16" ht="48" customHeight="1">
      <c r="A16" s="34" t="inlineStr">
        <is>
          <t>D-07</t>
        </is>
      </c>
      <c r="B16" s="34" t="inlineStr">
        <is>
          <t>Peligro integrado (MCA-AHP)</t>
        </is>
      </c>
      <c r="C16" s="34" t="inlineStr">
        <is>
          <t>El nivel de peligro integrado no está disponible en los insumos de este entregable</t>
        </is>
      </c>
      <c r="D16" s="37" t="inlineStr">
        <is>
          <t>SUSTANTIVA</t>
        </is>
      </c>
      <c r="E16" s="34" t="inlineStr">
        <is>
          <t>Debe tomarse del modelamiento de mesolocalización (PMM + EPH + PGI ponderados por AHP) antes de fijar la prioridad definitiva de intervención del bloque.</t>
        </is>
      </c>
    </row>
    <row r="17" ht="48" customHeight="1">
      <c r="A17" s="36" t="inlineStr">
        <is>
          <t>D-08</t>
        </is>
      </c>
      <c r="B17" s="36" t="inlineStr">
        <is>
          <t>F-DT-01</t>
        </is>
      </c>
      <c r="C17" s="36" t="inlineStr">
        <is>
          <t>Ninguna ficha F-DT fue levantada en campo; el llenado se sustenta en registro fotográfico, ortofotos RPAS y cartografía</t>
        </is>
      </c>
      <c r="D17" s="37" t="inlineStr">
        <is>
          <t>SUSTANTIVA</t>
        </is>
      </c>
      <c r="E17" s="36" t="inlineStr">
        <is>
          <t>Levantamiento de campo pendiente</t>
        </is>
      </c>
    </row>
    <row r="18" ht="48" customHeight="1">
      <c r="A18" s="34" t="inlineStr">
        <is>
          <t>D-09</t>
        </is>
      </c>
      <c r="B18" s="34" t="inlineStr">
        <is>
          <t>F-DT-01</t>
        </is>
      </c>
      <c r="C18" s="34" t="inlineStr">
        <is>
          <t>El punto fotográfico se sitúa ≈23 m al OESTE del límite del polígono: el registro es PERIMETRAL</t>
        </is>
      </c>
      <c r="D18" s="37" t="inlineStr">
        <is>
          <t>SUSTANTIVA</t>
        </is>
      </c>
      <c r="E18" s="34" t="inlineStr">
        <is>
          <t>El interior del bloque no fue verificado</t>
        </is>
      </c>
    </row>
    <row r="19" ht="48" customHeight="1">
      <c r="A19" s="36" t="inlineStr">
        <is>
          <t>D-10</t>
        </is>
      </c>
      <c r="B19" s="36" t="inlineStr">
        <is>
          <t>F-DT-01</t>
        </is>
      </c>
      <c r="C19" s="36" t="inlineStr">
        <is>
          <t>Altitud y pendiente no figuran en el archivo de estadística zonal del DEM (excluye los bloques 81 y 83-87)</t>
        </is>
      </c>
      <c r="D19" s="37" t="inlineStr">
        <is>
          <t>SUSTANTIVA</t>
        </is>
      </c>
      <c r="E19" s="36" t="inlineStr">
        <is>
          <t>Calcular estadística zonal para estos bloques</t>
        </is>
      </c>
    </row>
    <row r="20" ht="48" customHeight="1">
      <c r="A20" s="34" t="inlineStr">
        <is>
          <t>D-11</t>
        </is>
      </c>
      <c r="B20" s="34" t="inlineStr">
        <is>
          <t>F-DT-01</t>
        </is>
      </c>
      <c r="C20" s="34" t="inlineStr">
        <is>
          <t>El bloque no figura en «Centroides Bloques.xls»; centroide referencial por segmentación; superficie ráster 60.98 ha vs. 62.237 ha del catálogo (−2.0%)</t>
        </is>
      </c>
      <c r="D20" s="15" t="inlineStr">
        <is>
          <t>NO SUSTANTIVA</t>
        </is>
      </c>
      <c r="E20" s="34" t="inlineStr">
        <is>
          <t>Diferencia atribuible a la resolución del ráster</t>
        </is>
      </c>
    </row>
    <row r="21" ht="48" customHeight="1">
      <c r="A21" s="36" t="inlineStr">
        <is>
          <t>D-12</t>
        </is>
      </c>
      <c r="B21" s="36" t="inlineStr">
        <is>
          <t>Ficha DT</t>
        </is>
      </c>
      <c r="C21" s="36" t="inlineStr">
        <is>
          <t>UTM del punto de registro (645 575 · 9 393 500) = valor por defecto de la plantilla</t>
        </is>
      </c>
      <c r="D21" s="37" t="inlineStr">
        <is>
          <t>SUSTANTIVA</t>
        </is>
      </c>
      <c r="E21" s="36" t="inlineStr">
        <is>
          <t>Georreferencia por reponer</t>
        </is>
      </c>
    </row>
    <row r="22" ht="48" customHeight="1">
      <c r="A22" s="34" t="inlineStr">
        <is>
          <t>D-13</t>
        </is>
      </c>
      <c r="B22" s="34" t="inlineStr">
        <is>
          <t>F-DT-02</t>
        </is>
      </c>
      <c r="C22" s="34" t="inlineStr">
        <is>
          <t>Inventario de cárcavas no ejecutado</t>
        </is>
      </c>
      <c r="D22" s="37" t="inlineStr">
        <is>
          <t>SUSTANTIVA</t>
        </is>
      </c>
      <c r="E22" s="34" t="inlineStr">
        <is>
          <t>La ausencia de registro no equivale a ausencia del proceso</t>
        </is>
      </c>
    </row>
    <row r="23" ht="48" customHeight="1">
      <c r="A23" s="36" t="inlineStr">
        <is>
          <t>D-14</t>
        </is>
      </c>
      <c r="B23" s="36" t="inlineStr">
        <is>
          <t>F-DT-03</t>
        </is>
      </c>
      <c r="C23" s="36" t="inlineStr">
        <is>
          <t>Lista florística comunicada por la Subdirección; no procede de muestreo por parcela</t>
        </is>
      </c>
      <c r="D23" s="37" t="inlineStr">
        <is>
          <t>SUSTANTIVA</t>
        </is>
      </c>
      <c r="E23" s="36" t="inlineStr">
        <is>
          <t>Colecta y determinación botánica pendientes</t>
        </is>
      </c>
    </row>
    <row r="24" ht="48" customHeight="1">
      <c r="A24" s="34" t="inlineStr">
        <is>
          <t>D-15</t>
        </is>
      </c>
      <c r="B24" s="34" t="inlineStr">
        <is>
          <t>F-DT-04</t>
        </is>
      </c>
      <c r="C24" s="34" t="inlineStr">
        <is>
          <t>Tala para leña y quema de renovación altamente probables pero no consignadas por falta de evidencia</t>
        </is>
      </c>
      <c r="D24" s="15" t="inlineStr">
        <is>
          <t>NO SUSTANTIVA</t>
        </is>
      </c>
      <c r="E24" s="34" t="inlineStr">
        <is>
          <t>Verificar en campo y con el diagnóstico social</t>
        </is>
      </c>
    </row>
    <row r="25" ht="48" customHeight="1">
      <c r="A25" s="36" t="inlineStr">
        <is>
          <t>D-16</t>
        </is>
      </c>
      <c r="B25" s="36" t="inlineStr">
        <is>
          <t>F-DT-04</t>
        </is>
      </c>
      <c r="C25" s="36" t="inlineStr">
        <is>
          <t>Velocidad de degradación en blanco (falta serie TAU y MSAVI multianual)</t>
        </is>
      </c>
      <c r="D25" s="37" t="inlineStr">
        <is>
          <t>SUSTANTIVA</t>
        </is>
      </c>
      <c r="E25" s="36" t="inlineStr">
        <is>
          <t>Procesar serie temporal</t>
        </is>
      </c>
    </row>
    <row r="26" ht="48" customHeight="1">
      <c r="A26" s="34" t="inlineStr">
        <is>
          <t>D-17</t>
        </is>
      </c>
      <c r="B26" s="34" t="inlineStr">
        <is>
          <t>F-DT-05</t>
        </is>
      </c>
      <c r="C26" s="34" t="inlineStr">
        <is>
          <t>Elementos expuestos en el entorno inmediato: C.P. Dotor, I.E., viviendas y atractivos «Bosque de Piedras Dotor» y «Piedra del descanso»</t>
        </is>
      </c>
      <c r="D26" s="37" t="inlineStr">
        <is>
          <t>SUSTANTIVA</t>
        </is>
      </c>
      <c r="E26" s="34" t="inlineStr">
        <is>
          <t>Tamizaje predial y consulta SIGDA (Ministerio de Cultura) antes de comprometer metas físicas</t>
        </is>
      </c>
    </row>
    <row r="28">
      <c r="A28" s="16" t="inlineStr">
        <is>
          <t>RESUMEN</t>
        </is>
      </c>
      <c r="B28" s="17" t="inlineStr">
        <is>
          <t>17 verificaciones</t>
        </is>
      </c>
      <c r="C28" s="17" t="inlineStr">
        <is>
          <t>CONFORME: 2 · NO SUSTANTIVA: 4 · SUSTANTIVA: 11</t>
        </is>
      </c>
      <c r="D28" s="17" t="inlineStr"/>
      <c r="E28" s="17" t="inlineStr"/>
    </row>
    <row r="30" ht="60" customHeight="1">
      <c r="A30" s="9" t="inlineStr">
        <is>
          <t>NOTA METODOLÓGICA. Este control se genera de forma reproducible cruzando la ficha DT del bloque (F-DT-01 a F-DT-05) con el catálogo maestro de bloques V5/V6, la estadística zonal de altitud y pendiente sobre el MDE, la estadística zonal del NDVI mediana 2025 y el cruce INEI-Bloques de centros poblados. Una calificación CONFORME acredita que la verificación se ejecutó y no arrojó discrepancia; no equivale a validación de campo del dato.</t>
        </is>
      </c>
    </row>
  </sheetData>
  <mergeCells count="8">
    <mergeCell ref="A30:E30"/>
    <mergeCell ref="A4:E4"/>
    <mergeCell ref="A2:E2"/>
    <mergeCell ref="A1:E1"/>
    <mergeCell ref="A5:E5"/>
    <mergeCell ref="A8:E8"/>
    <mergeCell ref="A6:E6"/>
    <mergeCell ref="A3:E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ANIN - DIME - SESDI | Proyecto IN Piura (CUI 2669244)</dc:creator>
  <dc:title>Plantilla Excel — Bloque 87 — IN Piura</dc:title>
  <dc:subject>Diagnóstico Territorial por bloque de intervención</dc:subject>
  <dcterms:created xsi:type="dcterms:W3CDTF">2026-09-08T03:39:57Z</dcterms:created>
  <dcterms:modified xsi:type="dcterms:W3CDTF">2026-09-08T03:39:57Z</dcterms:modified>
</cp:coreProperties>
</file>