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10">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
      <patternFill patternType="solid">
        <fgColor rgb="00C6E0B4"/>
      </patternFill>
    </fill>
  </fills>
  <borders count="6">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s>
  <cellStyleXfs count="1">
    <xf numFmtId="0" fontId="0" fillId="0" borderId="0"/>
  </cellStyleXfs>
  <cellXfs count="41">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6"/>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M3B9</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M3B9</t>
        </is>
      </c>
      <c r="C9" s="6" t="inlineStr">
        <is>
          <t>Microcuenca (catálogo)</t>
        </is>
      </c>
      <c r="D9" s="7" t="inlineStr">
        <is>
          <t>C1081-Q9582</t>
        </is>
      </c>
      <c r="E9" s="8" t="n"/>
      <c r="F9" s="8" t="n"/>
    </row>
    <row r="10">
      <c r="A10" s="6" t="inlineStr">
        <is>
          <t>Zona de planificación</t>
        </is>
      </c>
      <c r="B10" s="7" t="inlineStr">
        <is>
          <t>Z07</t>
        </is>
      </c>
      <c r="C10" s="6" t="inlineStr">
        <is>
          <t>Microcuenca declarada en ficha DT</t>
        </is>
      </c>
      <c r="D10" s="7" t="inlineStr">
        <is>
          <t>C1081-Q9582</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Salitral</t>
        </is>
      </c>
      <c r="C12" s="6" t="inlineStr">
        <is>
          <t>Capital distrital</t>
        </is>
      </c>
      <c r="D12" s="7" t="inlineStr">
        <is>
          <t>Salitral</t>
        </is>
      </c>
      <c r="E12" s="8" t="n"/>
      <c r="F12" s="8" t="n"/>
    </row>
    <row r="13">
      <c r="A13" s="6" t="inlineStr">
        <is>
          <t>Centro poblado asociado</t>
        </is>
      </c>
      <c r="B13" s="7" t="inlineStr">
        <is>
          <t>CP Tórtola / CP San Pedro</t>
        </is>
      </c>
      <c r="C13" s="6" t="inlineStr">
        <is>
          <t>Comunidad campesina</t>
        </is>
      </c>
      <c r="D13" s="7" t="inlineStr">
        <is>
          <t>No aplica</t>
        </is>
      </c>
      <c r="E13" s="8" t="n"/>
      <c r="F13" s="8" t="n"/>
    </row>
    <row r="14">
      <c r="A14" s="6" t="inlineStr">
        <is>
          <t>Superficie de catálogo (V5/V6), ha</t>
        </is>
      </c>
      <c r="B14" s="7" t="n">
        <v>294.2</v>
      </c>
      <c r="C14" s="6" t="inlineStr">
        <is>
          <t>Fuente de superficie</t>
        </is>
      </c>
      <c r="D14" s="7" t="inlineStr">
        <is>
          <t>Catálogo maestro Bloques V5/V6</t>
        </is>
      </c>
      <c r="E14" s="8" t="n"/>
      <c r="F14" s="8" t="n"/>
    </row>
    <row r="15">
      <c r="A15" s="6" t="inlineStr">
        <is>
          <t>Centroide UTM ESTE (m)</t>
        </is>
      </c>
      <c r="B15" s="7" t="n">
        <v>629338</v>
      </c>
      <c r="C15" s="6" t="inlineStr">
        <is>
          <t>Centroide UTM NORTE (m)</t>
        </is>
      </c>
      <c r="D15" s="7" t="n">
        <v>9413305</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189</v>
      </c>
      <c r="C19" s="6" t="inlineStr">
        <is>
          <t>Altitud máxima (msnm)</t>
        </is>
      </c>
      <c r="D19" s="7" t="n">
        <v>497</v>
      </c>
      <c r="E19" s="8" t="n"/>
      <c r="F19" s="8" t="n"/>
    </row>
    <row r="20">
      <c r="A20" s="6" t="inlineStr">
        <is>
          <t>Amplitud altitudinal (m)</t>
        </is>
      </c>
      <c r="B20" s="7" t="n">
        <v>308</v>
      </c>
      <c r="C20" s="6" t="inlineStr">
        <is>
          <t>Piso altitudinal dominante</t>
        </is>
      </c>
      <c r="D20" s="7" t="inlineStr">
        <is>
          <t>&lt;1000 m (Yunga)</t>
        </is>
      </c>
      <c r="E20" s="8" t="n"/>
      <c r="F20" s="8" t="n"/>
    </row>
    <row r="21">
      <c r="A21" s="6" t="inlineStr">
        <is>
          <t>Pendiente promedio (%)</t>
        </is>
      </c>
      <c r="B21" s="7" t="n">
        <v>17.69</v>
      </c>
      <c r="C21" s="6" t="inlineStr">
        <is>
          <t>Pendiente promedio (grados)</t>
        </is>
      </c>
      <c r="D21" s="7" t="n">
        <v>10</v>
      </c>
      <c r="E21" s="8" t="n"/>
      <c r="F21" s="8" t="n"/>
    </row>
    <row r="22">
      <c r="A22" s="6" t="inlineStr">
        <is>
          <t>Clase de pendiente equivalente</t>
        </is>
      </c>
      <c r="B22" s="7" t="inlineStr">
        <is>
          <t>15-25% (Fuert. inclinado)</t>
        </is>
      </c>
      <c r="C22" s="6" t="inlineStr">
        <is>
          <t>Rango de pendiente declarado en campo</t>
        </is>
      </c>
      <c r="D22" s="7" t="inlineStr">
        <is>
          <t>25-50% (Mod. escarpado)</t>
        </is>
      </c>
      <c r="E22" s="8" t="n"/>
      <c r="F22" s="8" t="n"/>
    </row>
    <row r="23">
      <c r="A23" s="6" t="inlineStr">
        <is>
          <t>Forma predominante del terreno</t>
        </is>
      </c>
      <c r="B23" s="7" t="inlineStr">
        <is>
          <t>Colinoso</t>
        </is>
      </c>
      <c r="C23" s="6" t="inlineStr">
        <is>
          <t>Posición fisiográfica</t>
        </is>
      </c>
      <c r="D23" s="7" t="inlineStr">
        <is>
          <t>Ladera media</t>
        </is>
      </c>
      <c r="E23" s="8" t="n"/>
      <c r="F23" s="8" t="n"/>
    </row>
    <row r="24">
      <c r="A24" s="6" t="inlineStr">
        <is>
          <t>Exposición / orientación</t>
        </is>
      </c>
      <c r="B24" s="7" t="inlineStr">
        <is>
          <t>Este</t>
        </is>
      </c>
      <c r="C24" s="6" t="inlineStr">
        <is>
          <t>Afloramientos rocosos</t>
        </is>
      </c>
      <c r="D24" s="7" t="inlineStr">
        <is>
          <t>Sí</t>
        </is>
      </c>
      <c r="E24" s="8" t="n"/>
      <c r="F24" s="8" t="n"/>
    </row>
    <row r="25">
      <c r="A25" s="6" t="inlineStr">
        <is>
          <t>Escarpes activos</t>
        </is>
      </c>
      <c r="B25" s="7" t="inlineStr">
        <is>
          <t>No</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0.3214</v>
      </c>
      <c r="C28" s="6" t="inlineStr">
        <is>
          <t>MSAVI 2024 — clase de la media</t>
        </is>
      </c>
      <c r="D28" s="7" t="inlineStr">
        <is>
          <t>0.2650 - 0.3813 (Vigor muy bajo)</t>
        </is>
      </c>
      <c r="E28" s="8" t="n"/>
      <c r="F28" s="8" t="n"/>
    </row>
    <row r="29">
      <c r="A29" s="6" t="inlineStr">
        <is>
          <t>Condición frente al umbral 0.4976</t>
        </is>
      </c>
      <c r="B29" s="7" t="inlineStr">
        <is>
          <t>Bajo umbral · distribución areal: 99.44 % del bloque BAJO el umbral (292.552 ha de 294.200 ha)</t>
        </is>
      </c>
      <c r="C29" s="6" t="inlineStr">
        <is>
          <t>NDVI mediana 2025 — clase modal</t>
        </is>
      </c>
      <c r="D29" s="7" t="inlineStr">
        <is>
          <t>Vegetación ligera (46.51 %)</t>
        </is>
      </c>
      <c r="E29" s="8" t="n"/>
      <c r="F29" s="8" t="n"/>
    </row>
    <row r="30">
      <c r="A30" s="6" t="inlineStr">
        <is>
          <t>MSAVI 2024 — superficie BAJO el umbral 0.4976 (ha)</t>
        </is>
      </c>
      <c r="B30" s="7" t="n">
        <v>292.552</v>
      </c>
      <c r="C30" s="6" t="inlineStr">
        <is>
          <t>MSAVI 2024 — % del bloque BAJO el umbral</t>
        </is>
      </c>
      <c r="D30" s="7" t="n">
        <v>99.44</v>
      </c>
      <c r="E30" s="8" t="n"/>
      <c r="F30" s="8" t="n"/>
    </row>
    <row r="31">
      <c r="A31" s="6" t="inlineStr">
        <is>
          <t>MSAVI 2024 — clase areal dominante</t>
        </is>
      </c>
      <c r="B31" s="7" t="inlineStr">
        <is>
          <t>Vigor muy bajo</t>
        </is>
      </c>
      <c r="C31" s="6" t="inlineStr">
        <is>
          <t>MSAVI 2024 — fuente de la distribución areal</t>
        </is>
      </c>
      <c r="D31" s="7" t="inlineStr">
        <is>
          <t>Conteo de celdas sobre la cartografía MSAVI 2024 del bloque (MSAVI M3B9.png)</t>
        </is>
      </c>
      <c r="E31" s="8" t="n"/>
      <c r="F31" s="8" t="n"/>
    </row>
    <row r="32" ht="18" customHeight="1">
      <c r="A32" s="6" t="inlineStr">
        <is>
          <t>Superficie clasificada NDVI 2025 (ha)</t>
        </is>
      </c>
      <c r="B32" s="7" t="n">
        <v>294.318</v>
      </c>
      <c r="C32" s="6" t="inlineStr">
        <is>
          <t>Desviación frente al catálogo (%)</t>
        </is>
      </c>
      <c r="D32" s="7" t="n">
        <v>0.04</v>
      </c>
      <c r="E32" s="8" t="n"/>
      <c r="F32" s="8" t="n"/>
    </row>
    <row r="33"/>
    <row r="34">
      <c r="A34" s="5" t="inlineStr">
        <is>
          <t>4. ECOSISTEMA Y ESTADO DE CONSERVACIÓN</t>
        </is>
      </c>
    </row>
    <row r="35">
      <c r="A35" s="6" t="inlineStr">
        <is>
          <t>Tipo de ecosistema (UP)</t>
        </is>
      </c>
      <c r="B35" s="7" t="inlineStr">
        <is>
          <t>Bosque Estacionalmente Seco de Colina y Montaña (Bes-cm)</t>
        </is>
      </c>
      <c r="C35" s="6" t="inlineStr">
        <is>
          <t>Superficie de ecosistema (ha)</t>
        </is>
      </c>
      <c r="D35" s="7" t="inlineStr">
        <is>
          <t>≈290 ha (99% del bloque)</t>
        </is>
      </c>
      <c r="E35" s="8" t="n"/>
      <c r="F35" s="8" t="n"/>
    </row>
    <row r="36">
      <c r="A36" s="6" t="inlineStr">
        <is>
          <t>Estado de conservación</t>
        </is>
      </c>
      <c r="B36" s="7" t="inlineStr">
        <is>
          <t>Alterado (intervención marcada)</t>
        </is>
      </c>
      <c r="C36" s="6" t="inlineStr">
        <is>
          <t>Uso actual dominante del suelo</t>
        </is>
      </c>
      <c r="D36" s="7" t="inlineStr">
        <is>
          <t>Pastoreo extensivo</t>
        </is>
      </c>
      <c r="E36" s="8" t="n"/>
      <c r="F36" s="8" t="n"/>
    </row>
    <row r="37">
      <c r="A37" s="6" t="inlineStr">
        <is>
          <t>Tipo de cobertura dominante</t>
        </is>
      </c>
      <c r="B37" s="7" t="inlineStr">
        <is>
          <t>Matorral ralo</t>
        </is>
      </c>
      <c r="C37" s="6" t="inlineStr">
        <is>
          <t>Cobertura vegetal total — campo (%)</t>
        </is>
      </c>
      <c r="D37" s="7" t="n">
        <v>45</v>
      </c>
      <c r="E37" s="8" t="n"/>
      <c r="F37" s="8" t="n"/>
    </row>
    <row r="38">
      <c r="A38" s="6" t="inlineStr">
        <is>
          <t>Suelo desnudo — campo (%)</t>
        </is>
      </c>
      <c r="B38" s="7" t="n">
        <v>42</v>
      </c>
      <c r="C38" s="6" t="inlineStr">
        <is>
          <t>Regeneración natural</t>
        </is>
      </c>
      <c r="D38" s="7" t="inlineStr">
        <is>
          <t>Escasa (&lt;10 pl./100m²)</t>
        </is>
      </c>
      <c r="E38" s="8" t="n"/>
      <c r="F38" s="8" t="n"/>
    </row>
    <row r="39">
      <c r="A39" s="6" t="inlineStr">
        <is>
          <t>Nivel general de erosión</t>
        </is>
      </c>
      <c r="B39" s="7" t="inlineStr">
        <is>
          <t>Fuerte (cárcavas incipientes) — estimado</t>
        </is>
      </c>
      <c r="C39" s="6" t="inlineStr">
        <is>
          <t>N.° de cárcavas registradas</t>
        </is>
      </c>
      <c r="D39" s="7" t="inlineStr">
        <is>
          <t>0 = no inventariadas</t>
        </is>
      </c>
      <c r="E39" s="8" t="n"/>
      <c r="F39" s="8" t="n"/>
    </row>
    <row r="40" ht="18" customHeight="1">
      <c r="A40" s="6" t="inlineStr">
        <is>
          <t>Elenco florístico (n.° de taxones)</t>
        </is>
      </c>
      <c r="B40" s="7" t="n">
        <v>10</v>
      </c>
      <c r="C40" s="6" t="inlineStr">
        <is>
          <t>Estado sanitario</t>
        </is>
      </c>
      <c r="D40" s="7" t="inlineStr">
        <is>
          <t>Daño mecánico</t>
        </is>
      </c>
      <c r="E40" s="8" t="n"/>
      <c r="F40" s="8" t="n"/>
    </row>
    <row r="41"/>
    <row r="42">
      <c r="A42" s="5" t="inlineStr">
        <is>
          <t>5. RESPONSABLE Y MODALIDAD DE LA EVALUACIÓN</t>
        </is>
      </c>
    </row>
    <row r="43">
      <c r="A43" s="6" t="inlineStr">
        <is>
          <t>Responsable de la evaluación</t>
        </is>
      </c>
      <c r="B43" s="7" t="inlineStr">
        <is>
          <t>Ing. H. Cahuas Miller</t>
        </is>
      </c>
      <c r="C43" s="6" t="inlineStr">
        <is>
          <t>Fecha de evaluación</t>
        </is>
      </c>
      <c r="D43" s="7" t="inlineStr">
        <is>
          <t>2026-05-19</t>
        </is>
      </c>
      <c r="E43" s="8" t="n"/>
      <c r="F43" s="8" t="n"/>
    </row>
    <row r="44">
      <c r="A44" s="6" t="inlineStr">
        <is>
          <t>Hora de registro</t>
        </is>
      </c>
      <c r="B44" s="7" t="inlineStr">
        <is>
          <t>10:30 h</t>
        </is>
      </c>
      <c r="C44" s="6" t="inlineStr">
        <is>
          <t>Correlativo de ficha</t>
        </is>
      </c>
      <c r="D44" s="7" t="inlineStr">
        <is>
          <t>DT-M3B9-001</t>
        </is>
      </c>
      <c r="E44" s="8" t="n"/>
      <c r="F44" s="8" t="n"/>
    </row>
    <row r="45">
      <c r="A45" s="6" t="inlineStr">
        <is>
          <t>Entidad</t>
        </is>
      </c>
      <c r="B45" s="7" t="inlineStr">
        <is>
          <t>ANIN - DIME - SESDI</t>
        </is>
      </c>
      <c r="C45" s="6" t="inlineStr">
        <is>
          <t>Fase del estudio</t>
        </is>
      </c>
      <c r="D45" s="7" t="inlineStr">
        <is>
          <t>Preinversión (Perfil) · Invierte.pe</t>
        </is>
      </c>
      <c r="E45" s="8" t="n"/>
      <c r="F45" s="8" t="n"/>
    </row>
    <row r="46">
      <c r="A46" s="6" t="inlineStr">
        <is>
          <t>Instrumento aplicado</t>
        </is>
      </c>
      <c r="B46" s="7" t="inlineStr">
        <is>
          <t>Fichas F-DT-01 a F-DT-05 (Plantilla V5)</t>
        </is>
      </c>
      <c r="C46" s="6" t="inlineStr">
        <is>
          <t>Parcela de muestreo</t>
        </is>
      </c>
      <c r="D46" s="7" t="inlineStr">
        <is>
          <t>No se estableció parcela (observación a distancia)</t>
        </is>
      </c>
      <c r="E46" s="8" t="n"/>
      <c r="F46" s="8" t="n"/>
    </row>
    <row r="47" ht="18" customHeight="1">
      <c r="A47" s="6" t="inlineStr">
        <is>
          <t>Estaciones fotográficas georreferenciadas</t>
        </is>
      </c>
      <c r="B47" s="7" t="n">
        <v>0</v>
      </c>
      <c r="C47" s="6" t="inlineStr">
        <is>
          <t>Modalidad de acceso</t>
        </is>
      </c>
      <c r="D47" s="7" t="inlineStr">
        <is>
          <t>Vehicular + caminata &gt;90 min</t>
        </is>
      </c>
      <c r="E47" s="8" t="n"/>
      <c r="F47" s="8" t="n"/>
    </row>
    <row r="48"/>
    <row r="49">
      <c r="A49" s="5" t="inlineStr">
        <is>
          <t>6. SÍNTESIS PARA LA GESTIÓN DEL RIESGO EN CONTEXTO DE CAMBIO CLIMÁTICO</t>
        </is>
      </c>
    </row>
    <row r="50">
      <c r="A50" s="6" t="inlineStr">
        <is>
          <t>Causa subyacente principal</t>
        </is>
      </c>
      <c r="B50" s="7" t="inlineStr">
        <is>
          <t>Pobreza rural; ausencia de gobernanza forestal y de mecanismos MERESE</t>
        </is>
      </c>
      <c r="C50" s="6" t="inlineStr">
        <is>
          <t>Velocidad de degradación</t>
        </is>
      </c>
      <c r="D50" s="7" t="inlineStr">
        <is>
          <t>Moderada</t>
        </is>
      </c>
      <c r="E50" s="8" t="n"/>
      <c r="F50" s="8" t="n"/>
    </row>
    <row r="51">
      <c r="A51" s="6" t="inlineStr">
        <is>
          <t>Reversibilidad técnica</t>
        </is>
      </c>
      <c r="B51" s="7" t="inlineStr">
        <is>
          <t>Parcialmente reversible</t>
        </is>
      </c>
      <c r="C51" s="6" t="inlineStr">
        <is>
          <t>Urgencia de intervención</t>
        </is>
      </c>
      <c r="D51" s="7" t="inlineStr">
        <is>
          <t>Alta</t>
        </is>
      </c>
      <c r="E51" s="8" t="n"/>
      <c r="F51" s="8" t="n"/>
    </row>
    <row r="52">
      <c r="A52" s="6" t="inlineStr">
        <is>
          <t>Urgencia de control de erosión</t>
        </is>
      </c>
      <c r="B52" s="7" t="inlineStr">
        <is>
          <t>Alta</t>
        </is>
      </c>
      <c r="C52" s="6" t="inlineStr">
        <is>
          <t>Zona de recarga hídrica</t>
        </is>
      </c>
      <c r="D52" s="7" t="inlineStr">
        <is>
          <t>Sí</t>
        </is>
      </c>
      <c r="E52" s="8" t="n"/>
      <c r="F52" s="8" t="n"/>
    </row>
    <row r="53">
      <c r="A53" s="6" t="inlineStr">
        <is>
          <t>Peligro integrado preliminar (MCA-AHP)</t>
        </is>
      </c>
      <c r="B53" s="7" t="inlineStr">
        <is>
          <t>No disponible en los insumos; debe tomarse del modelamiento de mesolocalización</t>
        </is>
      </c>
      <c r="C53" s="6" t="inlineStr">
        <is>
          <t>Prioridad de intervención</t>
        </is>
      </c>
      <c r="D53" s="7" t="inlineStr">
        <is>
          <t>Por definir en mesolocalización</t>
        </is>
      </c>
      <c r="E53" s="8" t="n"/>
      <c r="F53" s="8" t="n"/>
    </row>
    <row r="54" ht="72" customHeight="1">
      <c r="A54" s="6" t="inlineStr">
        <is>
          <t>Estado de verificación de campo</t>
        </is>
      </c>
      <c r="B54" s="7" t="inlineStr">
        <is>
          <t>VERIFICADO</t>
        </is>
      </c>
      <c r="C54" s="6" t="inlineStr">
        <is>
          <t>Marco del indicador de brecha</t>
        </is>
      </c>
      <c r="D54" s="7" t="inlineStr">
        <is>
          <t>R.M. N.° 00213-2024-MINAM</t>
        </is>
      </c>
      <c r="E54" s="8" t="n"/>
      <c r="F54" s="8" t="n"/>
    </row>
    <row r="55"/>
    <row r="56">
      <c r="A56"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t>
        </is>
      </c>
      <c r="B56" s="39" t="n"/>
      <c r="C56" s="39" t="n"/>
      <c r="D56" s="39" t="n"/>
      <c r="E56" s="39" t="n"/>
      <c r="F56" s="40" t="n"/>
    </row>
  </sheetData>
  <mergeCells count="13">
    <mergeCell ref="A27:F27"/>
    <mergeCell ref="A34:F34"/>
    <mergeCell ref="A18:F18"/>
    <mergeCell ref="A56:F56"/>
    <mergeCell ref="A3:F3"/>
    <mergeCell ref="A2:F2"/>
    <mergeCell ref="A49:F49"/>
    <mergeCell ref="A42:F42"/>
    <mergeCell ref="A1:F1"/>
    <mergeCell ref="A5:F5"/>
    <mergeCell ref="A8:F8"/>
    <mergeCell ref="A6:F6"/>
    <mergeCell ref="A4:F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9"/>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M3B9</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t>
        </is>
      </c>
      <c r="B10" s="18" t="n">
        <v>0.0883</v>
      </c>
      <c r="C10" s="19" t="n">
        <v>0.03</v>
      </c>
      <c r="D10" s="11" t="inlineStr">
        <is>
          <t>Vigor alto</t>
        </is>
      </c>
      <c r="E10" s="11" t="inlineStr">
        <is>
          <t>Sobre umbral</t>
        </is>
      </c>
    </row>
    <row r="11">
      <c r="A11" s="12" t="inlineStr">
        <is>
          <t>0.4976 - 0.6139</t>
        </is>
      </c>
      <c r="B11" s="20" t="n">
        <v>1.5593</v>
      </c>
      <c r="C11" s="21" t="n">
        <v>0.53</v>
      </c>
      <c r="D11" s="13" t="inlineStr">
        <is>
          <t>Vigor moderado</t>
        </is>
      </c>
      <c r="E11" s="13" t="inlineStr">
        <is>
          <t>Sobre umbral</t>
        </is>
      </c>
    </row>
    <row r="12">
      <c r="A12" s="7" t="inlineStr">
        <is>
          <t>0.3813 - 0.4976</t>
        </is>
      </c>
      <c r="B12" s="18" t="n">
        <v>49.8963</v>
      </c>
      <c r="C12" s="19" t="n">
        <v>16.96</v>
      </c>
      <c r="D12" s="11" t="inlineStr">
        <is>
          <t>Vigor bajo</t>
        </is>
      </c>
      <c r="E12" s="11" t="inlineStr">
        <is>
          <t>BAJO umbral 0.4976</t>
        </is>
      </c>
    </row>
    <row r="13">
      <c r="A13" s="14" t="inlineStr">
        <is>
          <t>0.2650 - 0.3813</t>
        </is>
      </c>
      <c r="B13" s="31" t="n">
        <v>179.0501</v>
      </c>
      <c r="C13" s="30" t="n">
        <v>60.86</v>
      </c>
      <c r="D13" s="15" t="inlineStr">
        <is>
          <t>Vigor muy bajo</t>
        </is>
      </c>
      <c r="E13" s="15" t="inlineStr">
        <is>
          <t>BAJO umbral 0.4976</t>
        </is>
      </c>
    </row>
    <row r="14">
      <c r="A14" s="7" t="inlineStr">
        <is>
          <t>&lt;= 0.2650</t>
        </is>
      </c>
      <c r="B14" s="18" t="n">
        <v>63.606</v>
      </c>
      <c r="C14" s="19" t="n">
        <v>21.62</v>
      </c>
      <c r="D14" s="11" t="inlineStr">
        <is>
          <t>Suelo desnudo / no vegetal</t>
        </is>
      </c>
      <c r="E14" s="11" t="inlineStr">
        <is>
          <t>BAJO umbral 0.4976</t>
        </is>
      </c>
    </row>
    <row r="15">
      <c r="A15" s="7" t="inlineStr">
        <is>
          <t>TOTAL CLASIFICADO</t>
        </is>
      </c>
      <c r="B15" s="18">
        <f>SUM(B10:B14)</f>
        <v/>
      </c>
      <c r="C15" s="19">
        <f>SUM(C10:C14)</f>
        <v/>
      </c>
      <c r="D15" s="11" t="inlineStr">
        <is>
          <t>Suma de las cinco clases MSAVI 2024</t>
        </is>
      </c>
      <c r="E15" s="11" t="inlineStr">
        <is>
          <t>Iguala la superficie de catálogo (V5/V6)</t>
        </is>
      </c>
    </row>
    <row r="16">
      <c r="A16" s="16" t="inlineStr">
        <is>
          <t>MSAVI 2024 — MEDIA DEL BLOQUE</t>
        </is>
      </c>
      <c r="B16" s="17" t="n">
        <v>0.321386</v>
      </c>
      <c r="C16" s="17" t="inlineStr">
        <is>
          <t>—</t>
        </is>
      </c>
      <c r="D16" s="17" t="inlineStr">
        <is>
          <t>Vigor muy bajo · clase 0.2650 - 0.3813</t>
        </is>
      </c>
      <c r="E16" s="17" t="inlineStr">
        <is>
          <t>BAJO umbral 0.4976</t>
        </is>
      </c>
    </row>
    <row r="17" ht="72" customHeight="1"/>
    <row r="18">
      <c r="A18" s="9" t="inlineStr">
        <is>
          <t>NOTA METODOLÓGICA. La media del MSAVI 2024 del bloque procede del catálogo maestro de bloques V5/V6 y es dato oficial. La DISTRIBUCIÓN AREAL por clase se obtuvo por conteo de celdas sobre la cartografía temática MSAVI 2024 del bloque (carpeta Drive «MSAVI BLOQUES V6»), clasificada con la paleta RdYlGn de cinco clases y los mismos umbrales del proyecto. El reparto porcentual es el medido sobre el polígono del bloque; las hectáreas se obtienen aplicando ese reparto a la superficie de catálogo (V5/V6) declarada en la hoja «Resumen», de modo que el total por clase cuadra con la superficie oficial. Umbral de brecha 0.4976 conforme a la R.M. N.° 00213-2024-MINAM. CONTRASTE INDEPENDIENTE: la tabla de intersección vectorial «BLOQUES_V6_INTERSECC_MSAVI» reproduce el mismo ordenamiento de bloques (correlación de Pearson 0.949 sobre el porcentaje bajo umbral en los 117 bloques); no se usa para el metrado porque su campo AREA_M2 conserva el área del polígono padre y no la de cada pieza de intersección. El refrendo por estadística zonal directa sobre el ráster MSAVI 2024 recortado al polígono queda pendiente.</t>
        </is>
      </c>
      <c r="B18" s="39" t="n"/>
      <c r="C18" s="39" t="n"/>
      <c r="D18" s="39" t="n"/>
      <c r="E18" s="40" t="n"/>
    </row>
    <row r="19" ht="18" customHeight="1"/>
    <row r="20" ht="28" customHeight="1">
      <c r="A20" s="5" t="inlineStr">
        <is>
          <t>B. NDVI MEDIANA 2025 — DISTRIBUCIÓN AREAL (ESTADÍSTICA ZONAL)</t>
        </is>
      </c>
    </row>
    <row r="21">
      <c r="A21" s="10" t="inlineStr">
        <is>
          <t>Clase NDVI</t>
        </is>
      </c>
      <c r="B21" s="10" t="inlineStr">
        <is>
          <t>Superficie (ha)</t>
        </is>
      </c>
      <c r="C21" s="10" t="inlineStr">
        <is>
          <t>% del área clasificada</t>
        </is>
      </c>
      <c r="D21" s="10" t="inlineStr">
        <is>
          <t>Interpretación</t>
        </is>
      </c>
      <c r="E21" s="10" t="inlineStr">
        <is>
          <t>Observación</t>
        </is>
      </c>
    </row>
    <row r="22">
      <c r="A22" s="7" t="inlineStr">
        <is>
          <t>Vegetación alta</t>
        </is>
      </c>
      <c r="B22" s="18" t="n">
        <v>9.245799999999999</v>
      </c>
      <c r="C22" s="19" t="n">
        <v>3.14</v>
      </c>
      <c r="D22" s="11" t="inlineStr">
        <is>
          <t>Dosel continuo, matorral denso o mosaico agroforestal</t>
        </is>
      </c>
      <c r="E22" s="11" t="inlineStr"/>
    </row>
    <row r="23">
      <c r="A23" s="12" t="inlineStr">
        <is>
          <t>Vegetación mediana</t>
        </is>
      </c>
      <c r="B23" s="20" t="n">
        <v>124.2163</v>
      </c>
      <c r="C23" s="21" t="n">
        <v>42.2</v>
      </c>
      <c r="D23" s="13" t="inlineStr">
        <is>
          <t>Pastizal cultivado, matorral ralo, parcelas agrícolas</t>
        </is>
      </c>
      <c r="E23" s="13" t="inlineStr"/>
    </row>
    <row r="24">
      <c r="A24" s="7" t="inlineStr">
        <is>
          <t>Vegetación ligera</t>
        </is>
      </c>
      <c r="B24" s="18" t="n">
        <v>136.8966</v>
      </c>
      <c r="C24" s="19" t="n">
        <v>46.51</v>
      </c>
      <c r="D24" s="11" t="inlineStr">
        <is>
          <t>Cobertura discontinua, suelo parcialmente expuesto</t>
        </is>
      </c>
      <c r="E24" s="11" t="inlineStr"/>
    </row>
    <row r="25">
      <c r="A25" s="12" t="inlineStr">
        <is>
          <t>Tierra desnuda</t>
        </is>
      </c>
      <c r="B25" s="20" t="n">
        <v>23.9588</v>
      </c>
      <c r="C25" s="21" t="n">
        <v>8.140000000000001</v>
      </c>
      <c r="D25" s="13" t="inlineStr">
        <is>
          <t>Suelo desnudo, afloramientos, plataformas y taludes</t>
        </is>
      </c>
      <c r="E25" s="13" t="inlineStr"/>
    </row>
    <row r="26">
      <c r="A26" s="16" t="inlineStr">
        <is>
          <t>TOTAL CLASIFICADO</t>
        </is>
      </c>
      <c r="B26" s="22">
        <f>SUM(B21:B24)</f>
        <v/>
      </c>
      <c r="C26" s="23">
        <f>SUM(C21:C24)</f>
        <v/>
      </c>
      <c r="D26" s="17" t="inlineStr"/>
      <c r="E26" s="17" t="inlineStr"/>
    </row>
    <row r="27">
      <c r="A27" s="24" t="inlineStr">
        <is>
          <t>Superficie de catálogo (V5/V6)</t>
        </is>
      </c>
      <c r="B27" s="25" t="n">
        <v>294.2</v>
      </c>
      <c r="C27" s="25" t="inlineStr">
        <is>
          <t>—</t>
        </is>
      </c>
      <c r="D27" s="25" t="inlineStr">
        <is>
          <t>Desviación planimétrica frente al catálogo</t>
        </is>
      </c>
      <c r="E27" s="25" t="inlineStr">
        <is>
          <t>+0.04 %</t>
        </is>
      </c>
    </row>
    <row r="28" ht="108" customHeight="1"/>
    <row r="29">
      <c r="A29"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45 % frente a un 3.14 % del polígono clasificado como «Vegetación alta» por el NDVI 2025; la observación de campo corresponde a una parcela o recorrido puntual y no es estadísticamente representativa de las 294.200 ha del bloque.</t>
        </is>
      </c>
      <c r="B29" s="39" t="n"/>
      <c r="C29" s="39" t="n"/>
      <c r="D29" s="39" t="n"/>
      <c r="E29" s="40" t="n"/>
    </row>
  </sheetData>
  <mergeCells count="10">
    <mergeCell ref="A29:E29"/>
    <mergeCell ref="A4:E4"/>
    <mergeCell ref="A20:E20"/>
    <mergeCell ref="A2:E2"/>
    <mergeCell ref="A5:E5"/>
    <mergeCell ref="A1:E1"/>
    <mergeCell ref="A8:E8"/>
    <mergeCell ref="A6:E6"/>
    <mergeCell ref="A18:E18"/>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7"/>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M3B9</t>
        </is>
      </c>
    </row>
    <row r="6" ht="24" customHeight="1">
      <c r="A6" s="4" t="inlineStr">
        <is>
          <t>Levantamiento del 2026-05-19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628351</v>
      </c>
      <c r="D10" s="26" t="n">
        <v>9411709</v>
      </c>
      <c r="E10" s="11" t="n">
        <v>1876.5</v>
      </c>
      <c r="F10" s="11" t="inlineStr"/>
      <c r="G10" s="11" t="inlineStr">
        <is>
          <t>Coordenada consignada en F-DT-01</t>
        </is>
      </c>
    </row>
    <row r="11">
      <c r="A11" s="12" t="inlineStr">
        <is>
          <t>H-01</t>
        </is>
      </c>
      <c r="B11" s="13" t="inlineStr">
        <is>
          <t>Fuente de agua — Río</t>
        </is>
      </c>
      <c r="C11" s="27" t="n">
        <v>628418</v>
      </c>
      <c r="D11" s="27" t="n">
        <v>9411155</v>
      </c>
      <c r="E11" s="13" t="n">
        <v>2338.6</v>
      </c>
      <c r="F11" s="13" t="inlineStr">
        <is>
          <t>Permanente</t>
        </is>
      </c>
      <c r="G11" s="13" t="inlineStr">
        <is>
          <t>Río Seco — cauce estacional</t>
        </is>
      </c>
    </row>
    <row r="12">
      <c r="A12" s="16" t="inlineStr">
        <is>
          <t>TOTAL: 2 puntos</t>
        </is>
      </c>
      <c r="B12" s="17" t="inlineStr"/>
      <c r="C12" s="17" t="inlineStr"/>
      <c r="D12" s="17" t="inlineStr"/>
      <c r="E12" s="17" t="inlineStr"/>
      <c r="F12" s="17" t="inlineStr"/>
      <c r="G12" s="17" t="inlineStr"/>
    </row>
    <row r="14">
      <c r="A14" s="6" t="inlineStr">
        <is>
          <t>Centroide del bloque — UTM ESTE (m)</t>
        </is>
      </c>
      <c r="B14" s="7" t="n">
        <v>629338</v>
      </c>
      <c r="C14" s="6" t="inlineStr">
        <is>
          <t>Centroide del bloque — UTM NORTE (m)</t>
        </is>
      </c>
      <c r="D14" s="7" t="n">
        <v>9413305</v>
      </c>
      <c r="E14" s="8" t="n"/>
      <c r="F14" s="8" t="n"/>
      <c r="G14" s="8" t="n"/>
      <c r="H14" s="8" t="n"/>
    </row>
    <row r="15">
      <c r="A15" s="6" t="inlineStr">
        <is>
          <t>N.° de estaciones fotográficas declaradas</t>
        </is>
      </c>
      <c r="B15" s="7" t="n">
        <v>0</v>
      </c>
      <c r="C15" s="6" t="inlineStr">
        <is>
          <t>Estaciones dentro del polígono</t>
        </is>
      </c>
      <c r="D15" s="7" t="n">
        <v>0</v>
      </c>
      <c r="E15" s="8" t="n"/>
      <c r="F15" s="8" t="n"/>
      <c r="G15" s="8" t="n"/>
      <c r="H15" s="8" t="n"/>
    </row>
    <row r="17" ht="108" customHeight="1">
      <c r="A17"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NO SE INGRESÓ AL BLOQUE. OBSERVACIONES DESDE EL CP TÓRTOLA (628 351 E · 9 411 709 N), a ≈1.9 km al SO del centroide catastral (629 338 E · 9 413 300 N). Acompañante: Sr. Fidel Rodríguez Jiménez. Pendientes 25-48% (Google Earth). Altitud 188-415 msnm. TODA LA CARACTERIZACIÓN ES DE OBSERVACIÓN A DISTANCIA Y GABINETE.</t>
        </is>
      </c>
      <c r="B17" s="39" t="n"/>
      <c r="C17" s="39" t="n"/>
      <c r="D17" s="39" t="n"/>
      <c r="E17" s="39" t="n"/>
      <c r="F17" s="39" t="n"/>
      <c r="G17" s="40" t="n"/>
    </row>
  </sheetData>
  <mergeCells count="8">
    <mergeCell ref="A1:G1"/>
    <mergeCell ref="A17:G17"/>
    <mergeCell ref="A8:G8"/>
    <mergeCell ref="A3:G3"/>
    <mergeCell ref="A6:G6"/>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1"/>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C1081-Q9582 — BLOQUE M3B9</t>
        </is>
      </c>
    </row>
    <row r="6" ht="24" customHeight="1">
      <c r="A6" s="4" t="inlineStr">
        <is>
          <t>Distrito de Salitral · Provincia de Morropon · Comparación de los bloques preliminares de intervención de la misma microcuenca</t>
        </is>
      </c>
    </row>
    <row r="8" ht="18" customHeight="1">
      <c r="A8" s="5" t="inlineStr">
        <is>
          <t>BLOQUES DE LA MICROCUENCA C1081-Q9582</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row>
    <row r="10">
      <c r="A10" s="7" t="inlineStr">
        <is>
          <t>M3B8</t>
        </is>
      </c>
      <c r="B10" s="28" t="n">
        <v>565.58</v>
      </c>
      <c r="C10" s="19" t="n">
        <v>44.83</v>
      </c>
      <c r="D10" s="11" t="inlineStr">
        <is>
          <t>195 – 562</t>
        </is>
      </c>
      <c r="E10" s="11" t="n">
        <v>367</v>
      </c>
      <c r="F10" s="11" t="n">
        <v>13.65</v>
      </c>
      <c r="G10" s="18" t="n">
        <v>0.2934</v>
      </c>
      <c r="H10" s="19" t="n">
        <v>3.19</v>
      </c>
    </row>
    <row r="11">
      <c r="A11" s="14" t="inlineStr">
        <is>
          <t>► M3B9</t>
        </is>
      </c>
      <c r="B11" s="29" t="n">
        <v>294.2</v>
      </c>
      <c r="C11" s="30" t="n">
        <v>23.32</v>
      </c>
      <c r="D11" s="15" t="inlineStr">
        <is>
          <t>189 – 497</t>
        </is>
      </c>
      <c r="E11" s="15" t="n">
        <v>308</v>
      </c>
      <c r="F11" s="15" t="n">
        <v>17.69</v>
      </c>
      <c r="G11" s="31" t="n">
        <v>0.3214</v>
      </c>
      <c r="H11" s="30" t="n">
        <v>3.14</v>
      </c>
    </row>
    <row r="12">
      <c r="A12" s="7" t="inlineStr">
        <is>
          <t>M3B7</t>
        </is>
      </c>
      <c r="B12" s="28" t="n">
        <v>122.95</v>
      </c>
      <c r="C12" s="19" t="n">
        <v>9.75</v>
      </c>
      <c r="D12" s="11" t="inlineStr">
        <is>
          <t>238 – 447</t>
        </is>
      </c>
      <c r="E12" s="11" t="n">
        <v>209</v>
      </c>
      <c r="F12" s="11" t="n">
        <v>18.21</v>
      </c>
      <c r="G12" s="18" t="n">
        <v>0.3707</v>
      </c>
      <c r="H12" s="19" t="n">
        <v>8</v>
      </c>
    </row>
    <row r="13">
      <c r="A13" s="12" t="inlineStr">
        <is>
          <t>M3B3</t>
        </is>
      </c>
      <c r="B13" s="32" t="n">
        <v>84.81999999999999</v>
      </c>
      <c r="C13" s="21" t="n">
        <v>6.72</v>
      </c>
      <c r="D13" s="13" t="inlineStr">
        <is>
          <t>194 – 375</t>
        </is>
      </c>
      <c r="E13" s="13" t="n">
        <v>181</v>
      </c>
      <c r="F13" s="13" t="n">
        <v>18.87</v>
      </c>
      <c r="G13" s="20" t="n">
        <v>0.2985</v>
      </c>
      <c r="H13" s="21" t="n">
        <v>0.59</v>
      </c>
    </row>
    <row r="14">
      <c r="A14" s="7" t="inlineStr">
        <is>
          <t>M3B1</t>
        </is>
      </c>
      <c r="B14" s="28" t="n">
        <v>80.98</v>
      </c>
      <c r="C14" s="19" t="n">
        <v>6.42</v>
      </c>
      <c r="D14" s="11" t="inlineStr">
        <is>
          <t>184 – 395</t>
        </is>
      </c>
      <c r="E14" s="11" t="n">
        <v>211</v>
      </c>
      <c r="F14" s="11" t="n">
        <v>19.4</v>
      </c>
      <c r="G14" s="18" t="n">
        <v>0.3239</v>
      </c>
      <c r="H14" s="19" t="n">
        <v>1.37</v>
      </c>
    </row>
    <row r="15">
      <c r="A15" s="12" t="inlineStr">
        <is>
          <t>M3B6</t>
        </is>
      </c>
      <c r="B15" s="32" t="n">
        <v>60.35</v>
      </c>
      <c r="C15" s="21" t="n">
        <v>4.78</v>
      </c>
      <c r="D15" s="13" t="inlineStr">
        <is>
          <t>235 – 499</t>
        </is>
      </c>
      <c r="E15" s="13" t="n">
        <v>264</v>
      </c>
      <c r="F15" s="13" t="n">
        <v>23.39</v>
      </c>
      <c r="G15" s="20" t="n">
        <v>0.3425</v>
      </c>
      <c r="H15" s="21" t="n">
        <v>1.08</v>
      </c>
    </row>
    <row r="16">
      <c r="A16" s="7" t="inlineStr">
        <is>
          <t>M3B5</t>
        </is>
      </c>
      <c r="B16" s="28" t="n">
        <v>52.74</v>
      </c>
      <c r="C16" s="19" t="n">
        <v>4.18</v>
      </c>
      <c r="D16" s="11" t="inlineStr">
        <is>
          <t>221 – 401</t>
        </is>
      </c>
      <c r="E16" s="11" t="n">
        <v>180</v>
      </c>
      <c r="F16" s="11" t="n">
        <v>18.94</v>
      </c>
      <c r="G16" s="18" t="n">
        <v>0.283</v>
      </c>
      <c r="H16" s="19" t="n">
        <v>0.13</v>
      </c>
    </row>
    <row r="17">
      <c r="A17" s="16" t="inlineStr">
        <is>
          <t>TOTAL / PROMEDIO</t>
        </is>
      </c>
      <c r="B17" s="33">
        <f>SUM(B10:B16)</f>
        <v/>
      </c>
      <c r="C17" s="23">
        <f>SUM(C10:C16)</f>
        <v/>
      </c>
      <c r="D17" s="17" t="inlineStr">
        <is>
          <t>184 – 562</t>
        </is>
      </c>
      <c r="E17" s="17" t="inlineStr"/>
      <c r="F17" s="17">
        <f>ROUND(AVERAGE(F10:F16),2)</f>
        <v/>
      </c>
      <c r="G17" s="22">
        <f>ROUND(AVERAGE(G10:G16),4)</f>
        <v/>
      </c>
      <c r="H17" s="23">
        <f>ROUND(AVERAGE(H10:H16),2)</f>
        <v/>
      </c>
    </row>
    <row r="19" ht="84" customHeight="1">
      <c r="A19" s="9" t="inlineStr">
        <is>
          <t>LECTURA INTRAMICROCUENCA. El bloque M3B9 ocupa el puesto 2 de 7 por superficie dentro de la microcuenca C1081-Q9582 (23.32 % de las 1261.62 ha preliminares de la microcuenca). Su pendiente promedio (17.69 %, clase «15-25% (Fuert. inclinado)») es la 2.ª más baja de 7 y se sitúa por debajo del promedio de la microcuenca (18.59 %). Su MSAVI 2024 (0.3214) es el 4.º de 7 y queda por encima del promedio local (0.3190). Amplitud altitudinal del bloque: 308 m (189–497 msnm). El cuadro conserva todos los bloques catalogados en la microcuenca, incluidos los descartados en el tamizaje, para referencia del conjunto. Los bloques sin ficha DT figuran con sus parámetros de gabinete.</t>
        </is>
      </c>
      <c r="B19" s="39" t="n"/>
      <c r="C19" s="39" t="n"/>
      <c r="D19" s="39" t="n"/>
      <c r="E19" s="39" t="n"/>
      <c r="F19" s="39" t="n"/>
      <c r="G19" s="39" t="n"/>
      <c r="H19" s="40" t="n"/>
    </row>
    <row r="21" ht="60" customHeight="1">
      <c r="A21"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t>
        </is>
      </c>
      <c r="B21" s="39" t="n"/>
      <c r="C21" s="39" t="n"/>
      <c r="D21" s="39" t="n"/>
      <c r="E21" s="39" t="n"/>
      <c r="F21" s="39" t="n"/>
      <c r="G21" s="39" t="n"/>
      <c r="H21" s="40" t="n"/>
    </row>
  </sheetData>
  <mergeCells count="9">
    <mergeCell ref="A1:H1"/>
    <mergeCell ref="A4:H4"/>
    <mergeCell ref="A3:H3"/>
    <mergeCell ref="A21:H21"/>
    <mergeCell ref="A2:H2"/>
    <mergeCell ref="A19:H19"/>
    <mergeCell ref="A5:H5"/>
    <mergeCell ref="A8:H8"/>
    <mergeCell ref="A6:H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0"/>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M3B9</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«C1081-Q9582»</t>
        </is>
      </c>
      <c r="D10" s="35" t="inlineStr">
        <is>
          <t>CONFORME</t>
        </is>
      </c>
      <c r="E10" s="34" t="inlineStr">
        <is>
          <t>Sin acción.</t>
        </is>
      </c>
    </row>
    <row r="11" ht="48" customHeight="1">
      <c r="A11" s="36" t="inlineStr">
        <is>
          <t>D-02</t>
        </is>
      </c>
      <c r="B11" s="36" t="inlineStr">
        <is>
          <t>UTM del punto de muestreo</t>
        </is>
      </c>
      <c r="C11" s="36" t="inlineStr">
        <is>
          <t>El punto de muestreo declarado (628351 E / 9411709 N) dista 1,876 m del centroide de catálogo (629338 E / 9413305 N), distancia incompatible con la superficie del bloque (294.2 ha)</t>
        </is>
      </c>
      <c r="D11" s="37" t="inlineStr">
        <is>
          <t>SUSTANTIVA</t>
        </is>
      </c>
      <c r="E11" s="36" t="inlineStr">
        <is>
          <t>Se declara la coordenada como POR VERIFICAR: puede corresponder a otro bloque o a un error de digitación. No se corrige de oficio.</t>
        </is>
      </c>
    </row>
    <row r="12" ht="48" customHeight="1">
      <c r="A12" s="34" t="inlineStr">
        <is>
          <t>D-03</t>
        </is>
      </c>
      <c r="B12" s="34" t="inlineStr">
        <is>
          <t>Superficie del polígono</t>
        </is>
      </c>
      <c r="C12" s="34" t="inlineStr">
        <is>
          <t>La superficie clasificada por el NDVI 2025 (294.318 ha) coincide con la de catálogo (294.2 ha) dentro del ±2 % (+0.04 %)</t>
        </is>
      </c>
      <c r="D12" s="35" t="inlineStr">
        <is>
          <t>CONFORME</t>
        </is>
      </c>
      <c r="E12" s="34" t="inlineStr">
        <is>
          <t>Sin acción: la segmentación valida la geometría del bloque.</t>
        </is>
      </c>
    </row>
    <row r="13" ht="48" customHeight="1">
      <c r="A13" s="36" t="inlineStr">
        <is>
          <t>D-04</t>
        </is>
      </c>
      <c r="B13" s="36" t="inlineStr">
        <is>
          <t>Rango de pendiente dominante</t>
        </is>
      </c>
      <c r="C13" s="36" t="inlineStr">
        <is>
          <t>La ficha DT declara «25-50% (Mod. escarpado)»; la estadística zonal sobre el MDE arroja una pendiente promedio de 17.69 %, que corresponde a la clase «15-25% (Fuert. inclinado)»</t>
        </is>
      </c>
      <c r="D13" s="15" t="inlineStr">
        <is>
          <t>NO SUSTANTIVA</t>
        </is>
      </c>
      <c r="E13" s="36" t="inlineStr">
        <is>
          <t>Se conserva el registro de campo como observación de sector y se adopta el valor del MDE para el cálculo intramicrocuenca. La divergencia es esperable: el dato de campo es puntual y el del MDE es promedio del polígono.</t>
        </is>
      </c>
    </row>
    <row r="14" ht="48" customHeight="1">
      <c r="A14" s="34" t="inlineStr">
        <is>
          <t>D-05</t>
        </is>
      </c>
      <c r="B14" s="34" t="inlineStr">
        <is>
          <t>Cobertura vegetal total</t>
        </is>
      </c>
      <c r="C14" s="34" t="inlineStr">
        <is>
          <t>La ficha DT estima 45 % de cobertura vegetal en campo; el NDVI mediana 2025 clasifica 91.85 % del polígono en clases de vegetación</t>
        </is>
      </c>
      <c r="D14" s="15" t="inlineStr">
        <is>
          <t>NO SUSTANTIVA</t>
        </is>
      </c>
      <c r="E14" s="34" t="inlineStr">
        <is>
          <t>Se declaran ambos valores. La observación de campo corresponde a una parcela o recorrido puntual y no es representativa de la totalidad del bloque; el índice espectral no discrimina composición ni integridad ecosistémica.</t>
        </is>
      </c>
    </row>
    <row r="15" ht="48" customHeight="1">
      <c r="A15" s="36" t="inlineStr">
        <is>
          <t>D-06</t>
        </is>
      </c>
      <c r="B15" s="36" t="inlineStr">
        <is>
          <t>Elenco florístico</t>
        </is>
      </c>
      <c r="C15" s="36" t="inlineStr">
        <is>
          <t>La ficha registra 10 taxones, por debajo del mínimo de 15 que exige el formato V5</t>
        </is>
      </c>
      <c r="D15" s="37" t="inlineStr">
        <is>
          <t>SUSTANTIVA</t>
        </is>
      </c>
      <c r="E15" s="36" t="inlineStr">
        <is>
          <t>Registro florístico preliminar, sin colecta ni determinación botánica formal. Debe cerrarse con colecta botánica en la siguiente campaña.</t>
        </is>
      </c>
    </row>
    <row r="16" ht="48" customHeight="1">
      <c r="A16" s="34" t="inlineStr">
        <is>
          <t>D-07</t>
        </is>
      </c>
      <c r="B16" s="34" t="inlineStr">
        <is>
          <t>Representatividad del levantamiento</t>
        </is>
      </c>
      <c r="C16" s="34" t="inlineStr">
        <is>
          <t>Ninguna de las estaciones fotográficas georreferenciadas se localiza dentro del polígono del bloque</t>
        </is>
      </c>
      <c r="D16" s="37" t="inlineStr">
        <is>
          <t>SUSTANTIVA</t>
        </is>
      </c>
      <c r="E16" s="34" t="inlineStr">
        <is>
          <t>La verificación documenta el perímetro y la vista panorámica del bloque, no su interior. Los parámetros que exigen recorrido interno se consignan «Por determinar».</t>
        </is>
      </c>
    </row>
    <row r="17" ht="48" customHeight="1">
      <c r="A17" s="36" t="inlineStr">
        <is>
          <t>D-08</t>
        </is>
      </c>
      <c r="B17" s="36" t="inlineStr">
        <is>
          <t>Centro poblado asociado</t>
        </is>
      </c>
      <c r="C17" s="36" t="inlineStr">
        <is>
          <t>La ficha DT declara «CP Tórtola / CP San Pedro»; el cruce INEI-Bloques V5 identifica 1 centro(s) poblado(s) en el bloque: TORTOLA</t>
        </is>
      </c>
      <c r="D17" s="15" t="inlineStr">
        <is>
          <t>NO SUSTANTIVA</t>
        </is>
      </c>
      <c r="E17" s="36" t="inlineStr">
        <is>
          <t>Se conserva el registro de campo como referencia y se adopta el listado INEI para el diagnóstico social y el cálculo de población beneficiaria.</t>
        </is>
      </c>
    </row>
    <row r="18" ht="48" customHeight="1">
      <c r="A18" s="34" t="inlineStr">
        <is>
          <t>D-09</t>
        </is>
      </c>
      <c r="B18" s="34" t="inlineStr">
        <is>
          <t>Peligro integrado (MCA-AHP)</t>
        </is>
      </c>
      <c r="C18" s="34" t="inlineStr">
        <is>
          <t>El nivel de peligro integrado no está disponible en los insumos de este entregable</t>
        </is>
      </c>
      <c r="D18" s="37" t="inlineStr">
        <is>
          <t>SUSTANTIVA</t>
        </is>
      </c>
      <c r="E18" s="34" t="inlineStr">
        <is>
          <t>Debe tomarse del modelamiento de mesolocalización (PMM + EPH + PGI ponderados por AHP) antes de fijar la prioridad definitiva de intervención del bloque.</t>
        </is>
      </c>
    </row>
    <row r="19" ht="48" customHeight="1">
      <c r="A19" s="36" t="inlineStr">
        <is>
          <t>D-10</t>
        </is>
      </c>
      <c r="B19" s="36" t="inlineStr">
        <is>
          <t>Plan de Ingreso</t>
        </is>
      </c>
      <c r="C19" s="36" t="inlineStr">
        <is>
          <t>Altitud = 0 msnm (captura por defecto del aplicativo)</t>
        </is>
      </c>
      <c r="D19" s="38" t="inlineStr">
        <is>
          <t>CORREGIDO</t>
        </is>
      </c>
      <c r="E19" s="36" t="inlineStr">
        <is>
          <t>Se reemplaza por el rango observado 188-415 msnm</t>
        </is>
      </c>
    </row>
    <row r="20" ht="48" customHeight="1">
      <c r="A20" s="34" t="inlineStr">
        <is>
          <t>D-11</t>
        </is>
      </c>
      <c r="B20" s="34" t="inlineStr">
        <is>
          <t>F-DT-01</t>
        </is>
      </c>
      <c r="C20" s="34" t="inlineStr">
        <is>
          <t>NO SE INGRESÓ AL BLOQUE: toda la caracterización procede de observación a distancia desde el CP Tórtola y de gabinete</t>
        </is>
      </c>
      <c r="D20" s="37" t="inlineStr">
        <is>
          <t>SUSTANTIVA</t>
        </is>
      </c>
      <c r="E20" s="34" t="inlineStr">
        <is>
          <t>Verificación directa pendiente en su totalidad</t>
        </is>
      </c>
    </row>
    <row r="21" ht="48" customHeight="1">
      <c r="A21" s="36" t="inlineStr">
        <is>
          <t>D-12</t>
        </is>
      </c>
      <c r="B21" s="36" t="inlineStr">
        <is>
          <t>F-DT-02</t>
        </is>
      </c>
      <c r="C21" s="36" t="inlineStr">
        <is>
          <t>Inventario de cárcavas no ejecutado; % de bloque afectado estimado POR ANALOGÍA con M3B1</t>
        </is>
      </c>
      <c r="D21" s="37" t="inlineStr">
        <is>
          <t>SUSTANTIVA</t>
        </is>
      </c>
      <c r="E21" s="36" t="inlineStr">
        <is>
          <t>Estimación por analogía, no medición</t>
        </is>
      </c>
    </row>
    <row r="22" ht="48" customHeight="1">
      <c r="A22" s="34" t="inlineStr">
        <is>
          <t>D-13</t>
        </is>
      </c>
      <c r="B22" s="34" t="inlineStr">
        <is>
          <t>F-DT-03</t>
        </is>
      </c>
      <c r="C22" s="34" t="inlineStr">
        <is>
          <t>Inventario florístico referencial por analogía con M3B1/M3B8 e información de poblador local (10 taxones)</t>
        </is>
      </c>
      <c r="D22" s="37" t="inlineStr">
        <is>
          <t>SUSTANTIVA</t>
        </is>
      </c>
      <c r="E22" s="34" t="inlineStr">
        <is>
          <t>Requiere validación con parcelas de muestreo in situ</t>
        </is>
      </c>
    </row>
    <row r="23" ht="48" customHeight="1">
      <c r="A23" s="36" t="inlineStr">
        <is>
          <t>D-14</t>
        </is>
      </c>
      <c r="B23" s="36" t="inlineStr">
        <is>
          <t>F-DT-03</t>
        </is>
      </c>
      <c r="C23" s="36" t="inlineStr">
        <is>
          <t>Categorías de amenaza (Hualtaco VU, Palo Santo LC) distintas de las usadas en el resto del portafolio (CR/EN)</t>
        </is>
      </c>
      <c r="D23" s="37" t="inlineStr">
        <is>
          <t>SUSTANTIVA</t>
        </is>
      </c>
      <c r="E23" s="36" t="inlineStr">
        <is>
          <t>Homogeneizar criterio de categorización</t>
        </is>
      </c>
    </row>
    <row r="24" ht="48" customHeight="1">
      <c r="A24" s="34" t="inlineStr">
        <is>
          <t>D-15</t>
        </is>
      </c>
      <c r="B24" s="34" t="inlineStr">
        <is>
          <t>F-DT-04</t>
        </is>
      </c>
      <c r="C24" s="34" t="inlineStr">
        <is>
          <t>Varios indicadores expresados como rangos y no como valores puntuales; carga ganadera sin valor numérico</t>
        </is>
      </c>
      <c r="D24" s="15" t="inlineStr">
        <is>
          <t>NO SUSTANTIVA</t>
        </is>
      </c>
      <c r="E24" s="34" t="inlineStr">
        <is>
          <t>Normalizar el registro</t>
        </is>
      </c>
    </row>
    <row r="25" ht="48" customHeight="1">
      <c r="A25" s="36" t="inlineStr">
        <is>
          <t>D-16</t>
        </is>
      </c>
      <c r="B25" s="36" t="inlineStr">
        <is>
          <t>F-DT-05</t>
        </is>
      </c>
      <c r="C25" s="36" t="inlineStr">
        <is>
          <t>Acceso con caminata &gt;90 min o acémila; puente badén solo para vehículos menores</t>
        </is>
      </c>
      <c r="D25" s="37" t="inlineStr">
        <is>
          <t>SUSTANTIVA</t>
        </is>
      </c>
      <c r="E25" s="36" t="inlineStr">
        <is>
          <t>Factor logístico crítico para 294.20 ha: dimensionar en cronograma y presupuesto</t>
        </is>
      </c>
    </row>
    <row r="26">
      <c r="A26" s="36" t="inlineStr">
        <is>
          <t>D-17</t>
        </is>
      </c>
      <c r="B26" s="36" t="inlineStr">
        <is>
          <t>Distribución areal de clases MSAVI 2024</t>
        </is>
      </c>
      <c r="C26" s="36" t="inlineStr">
        <is>
          <t>La hoja «Cobertura MSAVI-NDVI» consignaba «Por determinar» en la distribución areal de clases MSAVI 2024; se incorpora el metrado por clase medido sobre la cartografía temática MSAVI 2024 del bloque: 99.44 % del bloque (292.552 ha) bajo el umbral 0.4976 y 0.56 % sobre el umbral; clase areal dominante «Vigor muy bajo».</t>
        </is>
      </c>
      <c r="D26" s="37" t="inlineStr">
        <is>
          <t>CORREGIDO</t>
        </is>
      </c>
      <c r="E26" s="36" t="inlineStr">
        <is>
          <t>Se sustituye «Por determinar» por el metrado por clase. Las hectáreas se derivan del reparto porcentual medido aplicado a la superficie de catálogo (V5/V6) del bloque, por lo que la suma de las cinco clases iguala dicha superficie. Pendiente de refrendo con estadística zonal directa sobre el ráster MSAVI 2024 cuando se disponga del insumo.</t>
        </is>
      </c>
    </row>
    <row r="27"/>
    <row r="28">
      <c r="A28" s="16" t="inlineStr">
        <is>
          <t>RESUMEN</t>
        </is>
      </c>
      <c r="B28" s="17" t="inlineStr">
        <is>
          <t>17 verificaciones</t>
        </is>
      </c>
      <c r="C28" s="17" t="inlineStr">
        <is>
          <t>CONFORME: 2 · NO SUSTANTIVA: 4 · SUSTANTIVA: 9 · CORREGIDO: 2</t>
        </is>
      </c>
      <c r="D28" s="17" t="inlineStr"/>
      <c r="E28" s="17" t="inlineStr"/>
    </row>
    <row r="29" ht="60" customHeight="1"/>
    <row r="30">
      <c r="A30"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30" s="39" t="n"/>
      <c r="C30" s="39" t="n"/>
      <c r="D30" s="39" t="n"/>
      <c r="E30" s="40" t="n"/>
    </row>
  </sheetData>
  <mergeCells count="8">
    <mergeCell ref="A30:E30"/>
    <mergeCell ref="A4:E4"/>
    <mergeCell ref="A2:E2"/>
    <mergeCell ref="A1:E1"/>
    <mergeCell ref="A5:E5"/>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M3B9 — IN Piura</dc:title>
  <dc:subject>Diagnóstico Territorial por bloque de intervención</dc:subject>
  <dcterms:created xsi:type="dcterms:W3CDTF">2026-09-08T03:39:58Z</dcterms:created>
  <dcterms:modified xsi:type="dcterms:W3CDTF">2026-09-09T14:49:46Z</dcterms:modified>
</cp:coreProperties>
</file>