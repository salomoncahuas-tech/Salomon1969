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M17B5</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M17B5</t>
        </is>
      </c>
      <c r="C9" s="6" t="inlineStr">
        <is>
          <t>Microcuenca (catálogo)</t>
        </is>
      </c>
      <c r="D9" s="7" t="inlineStr">
        <is>
          <t>C1096-Q9556</t>
        </is>
      </c>
      <c r="E9" s="8" t="n"/>
      <c r="F9" s="8" t="n"/>
    </row>
    <row r="10">
      <c r="A10" s="6" t="inlineStr">
        <is>
          <t>Zona de planificación</t>
        </is>
      </c>
      <c r="B10" s="7" t="inlineStr">
        <is>
          <t>Z02</t>
        </is>
      </c>
      <c r="C10" s="6" t="inlineStr">
        <is>
          <t>Microcuenca declarada en ficha DT</t>
        </is>
      </c>
      <c r="D10" s="7" t="inlineStr">
        <is>
          <t>C1096-Q9556</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El Guabo (enclave EXCLUIDO del polígono)</t>
        </is>
      </c>
      <c r="C13" s="6" t="inlineStr">
        <is>
          <t>Comunidad campesina</t>
        </is>
      </c>
      <c r="D13" s="7" t="inlineStr">
        <is>
          <t>Por verificar — no declarada por la brigada en campo</t>
        </is>
      </c>
      <c r="E13" s="8" t="n"/>
      <c r="F13" s="8" t="n"/>
    </row>
    <row r="14">
      <c r="A14" s="6" t="inlineStr">
        <is>
          <t>Superficie de catálogo (V5/V6), ha</t>
        </is>
      </c>
      <c r="B14" s="7" t="n">
        <v>74.03</v>
      </c>
      <c r="C14" s="6" t="inlineStr">
        <is>
          <t>Fuente de superficie</t>
        </is>
      </c>
      <c r="D14" s="7" t="inlineStr">
        <is>
          <t>Catálogo maestro Bloques V5/V6</t>
        </is>
      </c>
      <c r="E14" s="8" t="n"/>
      <c r="F14" s="8" t="n"/>
    </row>
    <row r="15">
      <c r="A15" s="6" t="inlineStr">
        <is>
          <t>Centroide UTM ESTE (m)</t>
        </is>
      </c>
      <c r="B15" s="7" t="n">
        <v>608800</v>
      </c>
      <c r="C15" s="6" t="inlineStr">
        <is>
          <t>Centroide UTM NORTE (m)</t>
        </is>
      </c>
      <c r="D15" s="7" t="n">
        <v>9445585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794</v>
      </c>
      <c r="C19" s="6" t="inlineStr">
        <is>
          <t>Altitud máxima (msnm)</t>
        </is>
      </c>
      <c r="D19" s="7" t="n">
        <v>1317</v>
      </c>
      <c r="E19" s="8" t="n"/>
      <c r="F19" s="8" t="n"/>
    </row>
    <row r="20">
      <c r="A20" s="6" t="inlineStr">
        <is>
          <t>Amplitud altitudinal (m)</t>
        </is>
      </c>
      <c r="B20" s="7" t="n">
        <v>523</v>
      </c>
      <c r="C20" s="6" t="inlineStr">
        <is>
          <t>Piso altitudinal dominante</t>
        </is>
      </c>
      <c r="D20" s="7" t="inlineStr">
        <is>
          <t>1000-1500 m (Quechua baja)</t>
        </is>
      </c>
      <c r="E20" s="8" t="n"/>
      <c r="F20" s="8" t="n"/>
    </row>
    <row r="21">
      <c r="A21" s="6" t="inlineStr">
        <is>
          <t>Pendiente promedio (%)</t>
        </is>
      </c>
      <c r="B21" s="7" t="n">
        <v>27.42</v>
      </c>
      <c r="C21" s="6" t="inlineStr">
        <is>
          <t>Pendiente promedio (grados)</t>
        </is>
      </c>
      <c r="D21" s="7" t="n">
        <v>15.3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 (no observado)</t>
        </is>
      </c>
      <c r="C25" s="6" t="inlineStr">
        <is>
          <t>Remociones en masa activas</t>
        </is>
      </c>
      <c r="D25" s="7" t="inlineStr">
        <is>
          <t>No (no observado)</t>
        </is>
      </c>
      <c r="E25" s="8" t="n"/>
      <c r="F25" s="8" t="n"/>
    </row>
    <row r="26"/>
    <row r="27" ht="18" customHeight="1">
      <c r="A27" s="5" t="inlineStr">
        <is>
          <t>3. ÍNDICES DE VEGETACIÓN (SENTINEL-2)</t>
        </is>
      </c>
    </row>
    <row r="28">
      <c r="A28" s="6" t="inlineStr">
        <is>
          <t>MSAVI 2024 — media del bloque</t>
        </is>
      </c>
      <c r="B28" s="7" t="n">
        <v>0.5482</v>
      </c>
      <c r="C28" s="6" t="inlineStr">
        <is>
          <t>MSAVI 2024 — clase de la media</t>
        </is>
      </c>
      <c r="D28" s="7" t="inlineStr">
        <is>
          <t>0.4976 - 0.6139 (Vigor moderado)</t>
        </is>
      </c>
      <c r="E28" s="8" t="n"/>
      <c r="F28" s="8" t="n"/>
    </row>
    <row r="29">
      <c r="A29" s="6" t="inlineStr">
        <is>
          <t>Condición frente al umbral 0.4976</t>
        </is>
      </c>
      <c r="B29" s="7" t="inlineStr">
        <is>
          <t>Sobre umbral · distribución areal: 28.99 % del bloque BAJO el umbral (21.461 ha de 74.030 ha)</t>
        </is>
      </c>
      <c r="C29" s="6" t="inlineStr">
        <is>
          <t>NDVI mediana 2025 — clase modal</t>
        </is>
      </c>
      <c r="D29" s="7" t="inlineStr">
        <is>
          <t>Vegetación alta (61.34 %)</t>
        </is>
      </c>
      <c r="E29" s="8" t="n"/>
      <c r="F29" s="8" t="n"/>
    </row>
    <row r="30">
      <c r="A30" s="6" t="inlineStr">
        <is>
          <t>MSAVI 2024 — superficie BAJO el umbral 0.4976 (ha)</t>
        </is>
      </c>
      <c r="B30" s="7" t="n">
        <v>21.461</v>
      </c>
      <c r="C30" s="6" t="inlineStr">
        <is>
          <t>MSAVI 2024 — % del bloque BAJO el umbral</t>
        </is>
      </c>
      <c r="D30" s="7" t="n">
        <v>28.99</v>
      </c>
      <c r="E30" s="8" t="n"/>
      <c r="F30" s="8" t="n"/>
    </row>
    <row r="31">
      <c r="A31" s="6" t="inlineStr">
        <is>
          <t>MSAVI 2024 — clase areal dominante</t>
        </is>
      </c>
      <c r="B31" s="7" t="inlineStr">
        <is>
          <t>Vigor moderado</t>
        </is>
      </c>
      <c r="C31" s="6" t="inlineStr">
        <is>
          <t>MSAVI 2024 — fuente de la distribución areal</t>
        </is>
      </c>
      <c r="D31" s="7" t="inlineStr">
        <is>
          <t>Conteo de celdas sobre la cartografía MSAVI 2024 del bloque (M17B5.png)</t>
        </is>
      </c>
      <c r="E31" s="8" t="n"/>
      <c r="F31" s="8" t="n"/>
    </row>
    <row r="32" ht="18" customHeight="1">
      <c r="A32" s="6" t="inlineStr">
        <is>
          <t>Superficie clasificada NDVI 2025 (ha)</t>
        </is>
      </c>
      <c r="B32" s="7" t="n">
        <v>74.065</v>
      </c>
      <c r="C32" s="6" t="inlineStr">
        <is>
          <t>Desviación frente al catálogo (%)</t>
        </is>
      </c>
      <c r="D32" s="7" t="n">
        <v>0.05</v>
      </c>
      <c r="E32" s="8" t="n"/>
      <c r="F32" s="8" t="n"/>
    </row>
    <row r="33"/>
    <row r="34">
      <c r="A34" s="5" t="inlineStr">
        <is>
          <t>4. ECOSISTEMA Y ESTADO DE CONSERVACIÓN</t>
        </is>
      </c>
    </row>
    <row r="35">
      <c r="A35" s="6" t="inlineStr">
        <is>
          <t>Tipo de ecosistema (UP)</t>
        </is>
      </c>
      <c r="B35" s="7" t="inlineStr">
        <is>
          <t>Bosque Estacionalmente Seco de Colina y Montaña (Bes-cm) — posible mosaico con BMVO sobre ~1100 msnm</t>
        </is>
      </c>
      <c r="C35" s="6" t="inlineStr">
        <is>
          <t>Superficie de ecosistema (ha)</t>
        </is>
      </c>
      <c r="D35" s="7" t="inlineStr">
        <is>
          <t>74.03 ha (100% del bloque)</t>
        </is>
      </c>
      <c r="E35" s="8" t="n"/>
      <c r="F35" s="8" t="n"/>
    </row>
    <row r="36">
      <c r="A36" s="6" t="inlineStr">
        <is>
          <t>Estado de conservación</t>
        </is>
      </c>
      <c r="B36" s="7" t="inlineStr">
        <is>
          <t>Levemente alterado</t>
        </is>
      </c>
      <c r="C36" s="6" t="inlineStr">
        <is>
          <t>Uso actual dominante del suelo</t>
        </is>
      </c>
      <c r="D36" s="7" t="inlineStr">
        <is>
          <t>Uso mixto / Pastoreo extensivo</t>
        </is>
      </c>
      <c r="E36" s="8" t="n"/>
      <c r="F36" s="8" t="n"/>
    </row>
    <row r="37">
      <c r="A37" s="6" t="inlineStr">
        <is>
          <t>Tipo de cobertura dominante</t>
        </is>
      </c>
      <c r="B37" s="7" t="inlineStr">
        <is>
          <t>Bosque denso (&gt;70%)</t>
        </is>
      </c>
      <c r="C37" s="6" t="inlineStr">
        <is>
          <t>Cobertura vegetal total — campo (%)</t>
        </is>
      </c>
      <c r="D37" s="7" t="inlineStr">
        <is>
          <t>75 - 80 (gabinete NDVI/MSAVI)</t>
        </is>
      </c>
      <c r="E37" s="8" t="n"/>
      <c r="F37" s="8" t="n"/>
    </row>
    <row r="38">
      <c r="A38" s="6" t="inlineStr">
        <is>
          <t>Suelo desnudo — campo (%)</t>
        </is>
      </c>
      <c r="B38" s="7" t="inlineStr">
        <is>
          <t>2 - 5</t>
        </is>
      </c>
      <c r="C38" s="6" t="inlineStr">
        <is>
          <t>Regeneración natural</t>
        </is>
      </c>
      <c r="D38" s="7" t="inlineStr">
        <is>
          <t>Regular (10-50 pl./100m²)</t>
        </is>
      </c>
      <c r="E38" s="8" t="n"/>
      <c r="F38" s="8" t="n"/>
    </row>
    <row r="39">
      <c r="A39" s="6" t="inlineStr">
        <is>
          <t>Nivel general de erosión</t>
        </is>
      </c>
      <c r="B39" s="7" t="inlineStr">
        <is>
          <t>Moderada (surcos)</t>
        </is>
      </c>
      <c r="C39" s="6" t="inlineStr">
        <is>
          <t>N.° de cárcavas registradas</t>
        </is>
      </c>
      <c r="D39" s="7" t="inlineStr">
        <is>
          <t>2 (juego 1) / 1 (juego 2) — DISCREPANCIA ENTRE JUEGOS</t>
        </is>
      </c>
      <c r="E39" s="8" t="n"/>
      <c r="F39" s="8" t="n"/>
    </row>
    <row r="40" ht="18" customHeight="1">
      <c r="A40" s="6" t="inlineStr">
        <is>
          <t>Elenco florístico (n.° de taxones)</t>
        </is>
      </c>
      <c r="B40" s="7" t="n">
        <v>15</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Pedro Talledo Hernández (juego 1) / Ing. Juan Carlos Domínguez Varas y Ped. Talledo (juego 2)</t>
        </is>
      </c>
      <c r="C43" s="6" t="inlineStr">
        <is>
          <t>Fecha de evaluación</t>
        </is>
      </c>
      <c r="D43" s="7" t="inlineStr">
        <is>
          <t>2026-08-26 (juego 1) / 2026-07-14 (juego 2) — reconocimiento de campo 14-07-2026</t>
        </is>
      </c>
      <c r="E43" s="8" t="n"/>
      <c r="F43" s="8" t="n"/>
    </row>
    <row r="44">
      <c r="A44" s="6" t="inlineStr">
        <is>
          <t>Hora de registro</t>
        </is>
      </c>
      <c r="B44" s="7" t="inlineStr">
        <is>
          <t>11:58 - 12:18 h</t>
        </is>
      </c>
      <c r="C44" s="6" t="inlineStr">
        <is>
          <t>Correlativo de ficha</t>
        </is>
      </c>
      <c r="D44" s="7" t="inlineStr">
        <is>
          <t>DT-M17B5-01</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No se instaló parcela — registro por observación directa en recorrido de borde</t>
        </is>
      </c>
      <c r="E46" s="8" t="n"/>
      <c r="F46" s="8" t="n"/>
    </row>
    <row r="47" ht="18" customHeight="1">
      <c r="A47" s="6" t="inlineStr">
        <is>
          <t>Estaciones fotográficas georreferenciadas</t>
        </is>
      </c>
      <c r="B47" s="7" t="n">
        <v>4</v>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Dependencia de la economía familiar de subsistencia del caserío El Guabo respecto del pastoreo caprino libre, sin ordenamiento predial</t>
        </is>
      </c>
      <c r="C50" s="6" t="inlineStr">
        <is>
          <t>Velocidad de degradación</t>
        </is>
      </c>
      <c r="D50" s="7" t="inlineStr">
        <is>
          <t>Lenta</t>
        </is>
      </c>
      <c r="E50" s="8" t="n"/>
      <c r="F50" s="8" t="n"/>
    </row>
    <row r="51">
      <c r="A51" s="6" t="inlineStr">
        <is>
          <t>Reversibilidad técnica</t>
        </is>
      </c>
      <c r="B51" s="7" t="inlineStr">
        <is>
          <t>Totalmente reversible</t>
        </is>
      </c>
      <c r="C51" s="6" t="inlineStr">
        <is>
          <t>Urgencia de intervención</t>
        </is>
      </c>
      <c r="D51" s="7" t="inlineStr">
        <is>
          <t>Media</t>
        </is>
      </c>
      <c r="E51" s="8" t="n"/>
      <c r="F51" s="8" t="n"/>
    </row>
    <row r="52">
      <c r="A52" s="6" t="inlineStr">
        <is>
          <t>Urgencia de control de erosión</t>
        </is>
      </c>
      <c r="B52" s="7" t="inlineStr">
        <is>
          <t>Media</t>
        </is>
      </c>
      <c r="C52" s="6" t="inlineStr">
        <is>
          <t>Zona de recarga hídrica</t>
        </is>
      </c>
      <c r="D52" s="7" t="inlineStr">
        <is>
          <t>Sí (calificación PRELIMINAR; requiere confirmación hidrogeológica)</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M17B5</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15.5685</v>
      </c>
      <c r="C10" s="19" t="n">
        <v>21.03</v>
      </c>
      <c r="D10" s="11" t="inlineStr">
        <is>
          <t>Vigor alto</t>
        </is>
      </c>
      <c r="E10" s="11" t="inlineStr">
        <is>
          <t>Sobre umbral</t>
        </is>
      </c>
    </row>
    <row r="11">
      <c r="A11" s="12" t="inlineStr">
        <is>
          <t>0.4976 - 0.6139</t>
        </is>
      </c>
      <c r="B11" s="32" t="n">
        <v>37.0002</v>
      </c>
      <c r="C11" s="31" t="n">
        <v>49.98</v>
      </c>
      <c r="D11" s="13" t="inlineStr">
        <is>
          <t>Vigor moderado</t>
        </is>
      </c>
      <c r="E11" s="13" t="inlineStr">
        <is>
          <t>Sobre umbral</t>
        </is>
      </c>
    </row>
    <row r="12">
      <c r="A12" s="7" t="inlineStr">
        <is>
          <t>0.3813 - 0.4976</t>
        </is>
      </c>
      <c r="B12" s="18" t="n">
        <v>21.0023</v>
      </c>
      <c r="C12" s="19" t="n">
        <v>28.37</v>
      </c>
      <c r="D12" s="11" t="inlineStr">
        <is>
          <t>Vigor bajo</t>
        </is>
      </c>
      <c r="E12" s="11" t="inlineStr">
        <is>
          <t>BAJO umbral 0.4976</t>
        </is>
      </c>
    </row>
    <row r="13">
      <c r="A13" s="14" t="inlineStr">
        <is>
          <t>0.2650 - 0.3813</t>
        </is>
      </c>
      <c r="B13" s="20" t="n">
        <v>0.459</v>
      </c>
      <c r="C13" s="21" t="n">
        <v>0.62</v>
      </c>
      <c r="D13" s="15" t="inlineStr">
        <is>
          <t>Vigor muy bajo</t>
        </is>
      </c>
      <c r="E13" s="15" t="inlineStr">
        <is>
          <t>BAJO umbral 0.4976</t>
        </is>
      </c>
    </row>
    <row r="14">
      <c r="A14" s="7" t="inlineStr">
        <is>
          <t>&lt;= 0.2650</t>
        </is>
      </c>
      <c r="B14" s="18" t="n">
        <v>0</v>
      </c>
      <c r="C14" s="19" t="n">
        <v>0</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0.54817</v>
      </c>
      <c r="C16" s="17" t="inlineStr">
        <is>
          <t>—</t>
        </is>
      </c>
      <c r="D16" s="17" t="inlineStr">
        <is>
          <t>Vigor moderado · clase 0.4976 - 0.6139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45.4315</v>
      </c>
      <c r="C22" s="19" t="n">
        <v>61.34</v>
      </c>
      <c r="D22" s="11" t="inlineStr">
        <is>
          <t>Dosel continuo, matorral denso o mosaico agroforestal</t>
        </is>
      </c>
      <c r="E22" s="11" t="inlineStr"/>
    </row>
    <row r="23">
      <c r="A23" s="14" t="inlineStr">
        <is>
          <t>Vegetación mediana</t>
        </is>
      </c>
      <c r="B23" s="20" t="n">
        <v>28.5547</v>
      </c>
      <c r="C23" s="21" t="n">
        <v>38.55</v>
      </c>
      <c r="D23" s="15" t="inlineStr">
        <is>
          <t>Pastizal cultivado, matorral ralo, parcelas agrícolas</t>
        </is>
      </c>
      <c r="E23" s="15" t="inlineStr"/>
    </row>
    <row r="24">
      <c r="A24" s="7" t="inlineStr">
        <is>
          <t>Vegetación ligera</t>
        </is>
      </c>
      <c r="B24" s="18" t="n">
        <v>0.07920000000000001</v>
      </c>
      <c r="C24" s="19" t="n">
        <v>0.11</v>
      </c>
      <c r="D24" s="11" t="inlineStr">
        <is>
          <t>Cobertura discontinua, suelo parcialmente expuesto</t>
        </is>
      </c>
      <c r="E24" s="11" t="inlineStr"/>
    </row>
    <row r="25">
      <c r="A25" s="16" t="inlineStr">
        <is>
          <t>TOTAL CLASIFICADO</t>
        </is>
      </c>
      <c r="B25" s="22">
        <f>SUM(B21:B23)</f>
        <v/>
      </c>
      <c r="C25" s="23">
        <f>SUM(C21:C23)</f>
        <v/>
      </c>
      <c r="D25" s="17" t="inlineStr"/>
      <c r="E25" s="17" t="inlineStr"/>
    </row>
    <row r="26">
      <c r="A26" s="24" t="inlineStr">
        <is>
          <t>Superficie de catálogo (V5/V6)</t>
        </is>
      </c>
      <c r="B26" s="25" t="n">
        <v>74.03</v>
      </c>
      <c r="C26" s="25" t="inlineStr">
        <is>
          <t>—</t>
        </is>
      </c>
      <c r="D26" s="25" t="inlineStr">
        <is>
          <t>Desviación planimétrica frente al catálogo</t>
        </is>
      </c>
      <c r="E26" s="25" t="inlineStr">
        <is>
          <t>+0.05 %</t>
        </is>
      </c>
    </row>
    <row r="27" ht="72" customHeight="1"/>
    <row r="28">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28" s="38" t="n"/>
      <c r="C28" s="38" t="n"/>
      <c r="D28" s="38" t="n"/>
      <c r="E28" s="39" t="n"/>
    </row>
  </sheetData>
  <mergeCells count="10">
    <mergeCell ref="A4:E4"/>
    <mergeCell ref="A20:E20"/>
    <mergeCell ref="A2:E2"/>
    <mergeCell ref="A28:E28"/>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M17B5</t>
        </is>
      </c>
    </row>
    <row r="6" ht="24" customHeight="1">
      <c r="A6" s="4" t="inlineStr">
        <is>
          <t>Levantamiento del 2026-08-26 (juego 1) / 2026-07-14 (juego 2) — reconocimiento de campo 14-07-2026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608549</v>
      </c>
      <c r="D10" s="26" t="n">
        <v>9445684</v>
      </c>
      <c r="E10" s="11" t="n">
        <v>269.8</v>
      </c>
      <c r="F10" s="11" t="inlineStr"/>
      <c r="G10" s="11" t="inlineStr">
        <is>
          <t>Coordenada consignada en F-DT-01</t>
        </is>
      </c>
    </row>
    <row r="11">
      <c r="A11" s="14" t="inlineStr">
        <is>
          <t>P-01</t>
        </is>
      </c>
      <c r="B11" s="15" t="inlineStr">
        <is>
          <t>Estación fotográfica</t>
        </is>
      </c>
      <c r="C11" s="27" t="n">
        <v>608558</v>
      </c>
      <c r="D11" s="27" t="n">
        <v>9445670</v>
      </c>
      <c r="E11" s="15" t="n">
        <v>256.5</v>
      </c>
      <c r="F11" s="15" t="inlineStr"/>
      <c r="G11" s="15" t="inlineStr">
        <is>
          <t>Registro fotográfico georreferenciado</t>
        </is>
      </c>
    </row>
    <row r="12">
      <c r="A12" s="7" t="inlineStr">
        <is>
          <t>P-02</t>
        </is>
      </c>
      <c r="B12" s="11" t="inlineStr">
        <is>
          <t>Estación fotográfica</t>
        </is>
      </c>
      <c r="C12" s="26" t="n">
        <v>608549</v>
      </c>
      <c r="D12" s="26" t="n">
        <v>9445684</v>
      </c>
      <c r="E12" s="11" t="n">
        <v>269.8</v>
      </c>
      <c r="F12" s="11" t="inlineStr"/>
      <c r="G12" s="11" t="inlineStr">
        <is>
          <t>Registro fotográfico georreferenciado</t>
        </is>
      </c>
    </row>
    <row r="13">
      <c r="A13" s="14" t="inlineStr">
        <is>
          <t>P-03</t>
        </is>
      </c>
      <c r="B13" s="15" t="inlineStr">
        <is>
          <t>Estación fotográfica</t>
        </is>
      </c>
      <c r="C13" s="27" t="n">
        <v>608513</v>
      </c>
      <c r="D13" s="27" t="n">
        <v>9445816</v>
      </c>
      <c r="E13" s="15" t="n">
        <v>368.4</v>
      </c>
      <c r="F13" s="15" t="inlineStr"/>
      <c r="G13" s="15" t="inlineStr">
        <is>
          <t>Registro fotográfico georreferenciado</t>
        </is>
      </c>
    </row>
    <row r="14">
      <c r="A14" s="7" t="inlineStr">
        <is>
          <t>P-04</t>
        </is>
      </c>
      <c r="B14" s="11" t="inlineStr">
        <is>
          <t>Estación fotográfica</t>
        </is>
      </c>
      <c r="C14" s="26" t="n">
        <v>608425</v>
      </c>
      <c r="D14" s="26" t="n">
        <v>9445881</v>
      </c>
      <c r="E14" s="11" t="n">
        <v>477.7</v>
      </c>
      <c r="F14" s="11" t="inlineStr"/>
      <c r="G14" s="11" t="inlineStr">
        <is>
          <t>Registro fotográfico georreferenciado</t>
        </is>
      </c>
    </row>
    <row r="15">
      <c r="A15" s="14" t="inlineStr">
        <is>
          <t>C-01 / S-01</t>
        </is>
      </c>
      <c r="B15" s="15" t="inlineStr">
        <is>
          <t>Rasgo erosivo — Surco (&lt;30 cm) — 17 m (juego 2)</t>
        </is>
      </c>
      <c r="C15" s="27" t="n">
        <v>608558</v>
      </c>
      <c r="D15" s="27" t="n">
        <v>9445670</v>
      </c>
      <c r="E15" s="15" t="n">
        <v>256.5</v>
      </c>
      <c r="F15" s="15" t="inlineStr">
        <is>
          <t>Activa</t>
        </is>
      </c>
      <c r="G15" s="15" t="inlineStr">
        <is>
          <t>Caminos / huellas de ganado</t>
        </is>
      </c>
    </row>
    <row r="16">
      <c r="A16" s="7" t="inlineStr">
        <is>
          <t>C-02</t>
        </is>
      </c>
      <c r="B16" s="11" t="inlineStr">
        <is>
          <t>Rasgo erosivo — Cárcava incipiente (solo juego 1)</t>
        </is>
      </c>
      <c r="C16" s="26" t="n">
        <v>608549</v>
      </c>
      <c r="D16" s="26" t="n">
        <v>9445684</v>
      </c>
      <c r="E16" s="11" t="n">
        <v>269.8</v>
      </c>
      <c r="F16" s="11" t="inlineStr">
        <is>
          <t>Activa</t>
        </is>
      </c>
      <c r="G16" s="11" t="inlineStr">
        <is>
          <t>Caminos / huellas de ganado</t>
        </is>
      </c>
    </row>
    <row r="17">
      <c r="A17" s="14" t="inlineStr">
        <is>
          <t>H-01</t>
        </is>
      </c>
      <c r="B17" s="15" t="inlineStr">
        <is>
          <t>Fuente de agua — Otro (línea de conducción)</t>
        </is>
      </c>
      <c r="C17" s="27" t="n">
        <v>608513</v>
      </c>
      <c r="D17" s="27" t="n">
        <v>9445816</v>
      </c>
      <c r="E17" s="15" t="n">
        <v>368.4</v>
      </c>
      <c r="F17" s="15" t="inlineStr">
        <is>
          <t>Por determinar</t>
        </is>
      </c>
      <c r="G17" s="15" t="inlineStr">
        <is>
          <t>Manguera de polietileno tendida en el caserío El Guabo: acredita una captación de ladera aguas arriba</t>
        </is>
      </c>
    </row>
    <row r="18">
      <c r="A18" s="16" t="inlineStr">
        <is>
          <t>TOTAL: 8 puntos</t>
        </is>
      </c>
      <c r="B18" s="17" t="inlineStr"/>
      <c r="C18" s="17" t="inlineStr"/>
      <c r="D18" s="17" t="inlineStr"/>
      <c r="E18" s="17" t="inlineStr"/>
      <c r="F18" s="17" t="inlineStr"/>
      <c r="G18" s="17" t="inlineStr"/>
    </row>
    <row r="20">
      <c r="A20" s="6" t="inlineStr">
        <is>
          <t>Centroide del bloque — UTM ESTE (m)</t>
        </is>
      </c>
      <c r="B20" s="7" t="n">
        <v>608800</v>
      </c>
      <c r="C20" s="6" t="inlineStr">
        <is>
          <t>Centroide del bloque — UTM NORTE (m)</t>
        </is>
      </c>
      <c r="D20" s="7" t="n">
        <v>9445585</v>
      </c>
      <c r="E20" s="8" t="n"/>
      <c r="F20" s="8" t="n"/>
      <c r="G20" s="8" t="n"/>
      <c r="H20" s="8" t="n"/>
    </row>
    <row r="21">
      <c r="A21" s="6" t="inlineStr">
        <is>
          <t>N.° de estaciones fotográficas declaradas</t>
        </is>
      </c>
      <c r="B21" s="7" t="n">
        <v>4</v>
      </c>
      <c r="C21" s="6" t="inlineStr">
        <is>
          <t>Estaciones dentro del polígono</t>
        </is>
      </c>
      <c r="D21" s="7" t="n">
        <v>2</v>
      </c>
      <c r="E21" s="8" t="n"/>
      <c r="F21" s="8" t="n"/>
      <c r="G21" s="8" t="n"/>
      <c r="H21" s="8" t="n"/>
    </row>
    <row r="23" ht="18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ALCANCE: reconocimiento del 14-07-2026 sobre el sector OCCIDENTAL, en 4 estaciones (P-01 608 558/9 445 670; P-02 608 549/9 445 684; P-03 608 513/9 445 816; P-04 608 425/9 445 881). Extensión del recorrido 249 m; estaciones entre 293 y 514 m del centroide. P-03 y P-04 corresponden al ENCLAVE DEL CASERÍO EL GUABO, EXCLUIDO DEL POLÍGONO. LA COBERTURA FÍSICA EFECTIVA SE ESTIMA INFERIOR AL 10% DE LAS 74.03 ha. LOS SECTORES CENTRAL, NORTE Y SURESTE NO FUERON RECORRIDOS. ALTITUD GPS NO REGISTRADA (el valor 900 msnm es interpolado de curvas, ±25 m). RANGO ALTITUDINAL: 794-1 317 msnm (amplitud 523 m) — EL BLOQUE CABALGA DOS PISOS ALTITUDINALES; ≈40-45% se sitúa bajo 1 000 msnm. PENDIENTE promedio 27.42% (MDE); perfil W-E de 1 451 m: 753/957/1 197 msnm, pendiente media 29.9% y máxima 54.0%. AFLORAMIENTOS: bloques graníticos redondeados de 1-3 m, desconfinados y parcialmente enterrados. LOS «NO» DE ESCARPES, REPTACIÓN Y REMOCIONES SIGNIFICAN AUSENCIA DE EVIDENCIA EN EL SECTOR RECORRIDO, NO DESCARTE PARA EL CONJUNTO. ATENCIÓN: el juego 1 consigna UTM Este 645 575 (valor por defecto de plantilla).</t>
        </is>
      </c>
      <c r="B23" s="38" t="n"/>
      <c r="C23" s="38" t="n"/>
      <c r="D23" s="38" t="n"/>
      <c r="E23" s="38" t="n"/>
      <c r="F23" s="38" t="n"/>
      <c r="G23" s="39"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M17B5</t>
        </is>
      </c>
    </row>
    <row r="6" ht="24" customHeight="1">
      <c r="A6" s="4" t="inlineStr">
        <is>
          <t>Distrito de Frias · Provincia de Ayabaca · Comparación de los bloques preliminares de intervención de la misma microcuenca</t>
        </is>
      </c>
    </row>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M17B7</t>
        </is>
      </c>
      <c r="B10" s="28" t="n">
        <v>258.84</v>
      </c>
      <c r="C10" s="19" t="n">
        <v>29.57</v>
      </c>
      <c r="D10" s="11" t="inlineStr">
        <is>
          <t>553 – 1517</t>
        </is>
      </c>
      <c r="E10" s="11" t="n">
        <v>964</v>
      </c>
      <c r="F10" s="11" t="n">
        <v>29.82</v>
      </c>
      <c r="G10" s="18" t="n">
        <v>0.5087</v>
      </c>
      <c r="H10" s="19" t="n">
        <v>58.63</v>
      </c>
    </row>
    <row r="11">
      <c r="A11" s="14" t="inlineStr">
        <is>
          <t>M17B4</t>
        </is>
      </c>
      <c r="B11" s="29" t="n">
        <v>124.71</v>
      </c>
      <c r="C11" s="21" t="n">
        <v>14.25</v>
      </c>
      <c r="D11" s="15" t="inlineStr">
        <is>
          <t>294 – 629</t>
        </is>
      </c>
      <c r="E11" s="15" t="n">
        <v>335</v>
      </c>
      <c r="F11" s="15" t="n">
        <v>18.69</v>
      </c>
      <c r="G11" s="20" t="n">
        <v>0.4235</v>
      </c>
      <c r="H11" s="21" t="n">
        <v>3.97</v>
      </c>
    </row>
    <row r="12">
      <c r="A12" s="7" t="inlineStr">
        <is>
          <t>M17B6</t>
        </is>
      </c>
      <c r="B12" s="28" t="n">
        <v>106.54</v>
      </c>
      <c r="C12" s="19" t="n">
        <v>12.17</v>
      </c>
      <c r="D12" s="11" t="inlineStr">
        <is>
          <t>403 – 1049</t>
        </is>
      </c>
      <c r="E12" s="11" t="n">
        <v>646</v>
      </c>
      <c r="F12" s="11" t="n">
        <v>23.42</v>
      </c>
      <c r="G12" s="18" t="n">
        <v>0.4464</v>
      </c>
      <c r="H12" s="19" t="n">
        <v>18.53</v>
      </c>
    </row>
    <row r="13">
      <c r="A13" s="14" t="inlineStr">
        <is>
          <t>22</t>
        </is>
      </c>
      <c r="B13" s="29" t="n">
        <v>79.33</v>
      </c>
      <c r="C13" s="21" t="n">
        <v>9.06</v>
      </c>
      <c r="D13" s="15" t="inlineStr">
        <is>
          <t>235 – 596</t>
        </is>
      </c>
      <c r="E13" s="15" t="n">
        <v>361</v>
      </c>
      <c r="F13" s="15" t="n">
        <v>22.51</v>
      </c>
      <c r="G13" s="20" t="n">
        <v>0.4232</v>
      </c>
      <c r="H13" s="21" t="n">
        <v>0.32</v>
      </c>
    </row>
    <row r="14">
      <c r="A14" s="7" t="inlineStr">
        <is>
          <t>27</t>
        </is>
      </c>
      <c r="B14" s="28" t="n">
        <v>78.15000000000001</v>
      </c>
      <c r="C14" s="19" t="n">
        <v>8.93</v>
      </c>
      <c r="D14" s="11" t="inlineStr">
        <is>
          <t>1518 – 1895</t>
        </is>
      </c>
      <c r="E14" s="11" t="n">
        <v>377</v>
      </c>
      <c r="F14" s="11" t="n">
        <v>30.25</v>
      </c>
      <c r="G14" s="18" t="n">
        <v>0.5323</v>
      </c>
      <c r="H14" s="19" t="n">
        <v>64.75</v>
      </c>
    </row>
    <row r="15">
      <c r="A15" s="14" t="inlineStr">
        <is>
          <t>M17B10</t>
        </is>
      </c>
      <c r="B15" s="29" t="n">
        <v>75.36</v>
      </c>
      <c r="C15" s="21" t="n">
        <v>8.609999999999999</v>
      </c>
      <c r="D15" s="15" t="inlineStr">
        <is>
          <t>466 – 902</t>
        </is>
      </c>
      <c r="E15" s="15" t="n">
        <v>436</v>
      </c>
      <c r="F15" s="15" t="n">
        <v>25.94</v>
      </c>
      <c r="G15" s="20" t="n">
        <v>0.4725</v>
      </c>
      <c r="H15" s="21" t="n">
        <v>29.2</v>
      </c>
    </row>
    <row r="16">
      <c r="A16" s="12" t="inlineStr">
        <is>
          <t>► M17B5</t>
        </is>
      </c>
      <c r="B16" s="30" t="n">
        <v>74.03</v>
      </c>
      <c r="C16" s="31" t="n">
        <v>8.460000000000001</v>
      </c>
      <c r="D16" s="13" t="inlineStr">
        <is>
          <t>794 – 1317</t>
        </is>
      </c>
      <c r="E16" s="13" t="n">
        <v>523</v>
      </c>
      <c r="F16" s="13" t="n">
        <v>27.42</v>
      </c>
      <c r="G16" s="32" t="n">
        <v>0.5482</v>
      </c>
      <c r="H16" s="31" t="n">
        <v>61.34</v>
      </c>
    </row>
    <row r="17">
      <c r="A17" s="14" t="inlineStr">
        <is>
          <t>M17B1</t>
        </is>
      </c>
      <c r="B17" s="29" t="n">
        <v>42.45</v>
      </c>
      <c r="C17" s="21" t="n">
        <v>4.85</v>
      </c>
      <c r="D17" s="15" t="inlineStr">
        <is>
          <t>177 – 313</t>
        </is>
      </c>
      <c r="E17" s="15" t="n">
        <v>136</v>
      </c>
      <c r="F17" s="15" t="n">
        <v>14.73</v>
      </c>
      <c r="G17" s="20" t="n">
        <v>0.3323</v>
      </c>
      <c r="H17" s="21" t="n">
        <v>0</v>
      </c>
    </row>
    <row r="18">
      <c r="A18" s="7" t="inlineStr">
        <is>
          <t>32</t>
        </is>
      </c>
      <c r="B18" s="28" t="n">
        <v>35.83</v>
      </c>
      <c r="C18" s="19" t="n">
        <v>4.09</v>
      </c>
      <c r="D18" s="11" t="inlineStr">
        <is>
          <t>197 – 269</t>
        </is>
      </c>
      <c r="E18" s="11" t="n">
        <v>72</v>
      </c>
      <c r="F18" s="11" t="n">
        <v>12.87</v>
      </c>
      <c r="G18" s="18" t="n">
        <v>0.3716</v>
      </c>
      <c r="H18" s="19" t="inlineStr">
        <is>
          <t>Por determinar</t>
        </is>
      </c>
    </row>
    <row r="19">
      <c r="A19" s="16" t="inlineStr">
        <is>
          <t>TOTAL / PROMEDIO</t>
        </is>
      </c>
      <c r="B19" s="33">
        <f>SUM(B10:B18)</f>
        <v/>
      </c>
      <c r="C19" s="23">
        <f>SUM(C10:C18)</f>
        <v/>
      </c>
      <c r="D19" s="17" t="inlineStr">
        <is>
          <t>177 – 1895</t>
        </is>
      </c>
      <c r="E19" s="17" t="inlineStr"/>
      <c r="F19" s="17">
        <f>ROUND(AVERAGE(F10:F18),2)</f>
        <v/>
      </c>
      <c r="G19" s="22">
        <f>ROUND(AVERAGE(G10:G18),4)</f>
        <v/>
      </c>
      <c r="H19" s="23">
        <f>ROUND(AVERAGE(H10:H18),2)</f>
        <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c r="B20" s="38" t="n"/>
      <c r="C20" s="38" t="n"/>
      <c r="D20" s="38" t="n"/>
      <c r="E20" s="38" t="n"/>
      <c r="F20" s="38" t="n"/>
      <c r="G20" s="38" t="n"/>
      <c r="H20" s="39" t="n"/>
    </row>
    <row r="22" ht="84" customHeight="1">
      <c r="A22" s="9" t="inlineStr">
        <is>
          <t>LECTURA INTRAMICROCUENCA. El bloque M17B5 ocupa el puesto 7 de 9 por superficie dentro de la microcuenca C1096-Q9556 (8.46 % de las 875.24 ha preliminares de la microcuenca). Su pendiente promedio (27.42 %, clase «25-50% (Mod. escarpado)») es la 7.ª más baja de 9 y se sitúa por encima del promedio de la microcuenca (22.85 %). Su MSAVI 2024 (0.5482) es el 1.º de 9 y queda por encima del promedio local (0.4510). Amplitud altitudinal del bloque: 523 m (794–1317 msnm). El cuadro conserva todos los bloques catalogados en la microcuenca, incluidos los descartados en el tamizaje, para referencia del conjunto. Los bloques sin ficha DT figuran con sus parámetros de gabinete.</t>
        </is>
      </c>
      <c r="B22" s="38" t="n"/>
      <c r="C22" s="38" t="n"/>
      <c r="D22" s="38" t="n"/>
      <c r="E22" s="38" t="n"/>
      <c r="F22" s="38" t="n"/>
      <c r="G22" s="38" t="n"/>
      <c r="H22" s="39"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4" s="38" t="n"/>
      <c r="C24" s="38" t="n"/>
      <c r="D24" s="38" t="n"/>
      <c r="E24" s="38" t="n"/>
      <c r="F24" s="38" t="n"/>
      <c r="G24" s="38" t="n"/>
      <c r="H24" s="39" t="n"/>
    </row>
  </sheetData>
  <mergeCells count="10">
    <mergeCell ref="A1:H1"/>
    <mergeCell ref="A4:H4"/>
    <mergeCell ref="A3:H3"/>
    <mergeCell ref="A20:H20"/>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M17B5</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«C1096-Q9556»</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270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(74.065 ha) coincide con la de catálogo (74.03 ha) dentro del ±2 % (+0.05 %)</t>
        </is>
      </c>
      <c r="D12" s="35" t="inlineStr">
        <is>
          <t>CONFORME</t>
        </is>
      </c>
      <c r="E12" s="34" t="inlineStr">
        <is>
          <t>Sin acción: la segmentación valida la geometría del bloque.</t>
        </is>
      </c>
    </row>
    <row r="13" ht="48" customHeight="1">
      <c r="A13" s="36" t="inlineStr">
        <is>
          <t>D-04</t>
        </is>
      </c>
      <c r="B13" s="36" t="inlineStr">
        <is>
          <t>Rango altitudinal / piso ecológico</t>
        </is>
      </c>
      <c r="C13" s="36" t="inlineStr">
        <is>
          <t>La ficha DT declara «1000-1500 m (Quechua baja) — TRANSICIONAL: 40-45% del polígono bajo 1000 msnm (Yunga)»; el MDE sitúa el bloque entre 794 y 1317 msnm, cuyo punto medio corresponde a «1000-1500 m (Quechua baja)»</t>
        </is>
      </c>
      <c r="D13" s="13" t="inlineStr">
        <is>
          <t>NO SUSTANTIVA</t>
        </is>
      </c>
      <c r="E13" s="36" t="inlineStr">
        <is>
          <t>Se declara la divergencia. El bloque abarca más de un piso altitudinal cuando la amplitud supera el ancho de la clase; el registro de campo corresponde al sector recorrido.</t>
        </is>
      </c>
    </row>
    <row r="14" ht="48" customHeight="1">
      <c r="A14" s="34" t="inlineStr">
        <is>
          <t>D-05</t>
        </is>
      </c>
      <c r="B14" s="34" t="inlineStr">
        <is>
          <t>Peligro integrado (MCA-AHP)</t>
        </is>
      </c>
      <c r="C14" s="34" t="inlineStr">
        <is>
          <t>El nivel de peligro integrado no está disponible en los insumos de este entregable</t>
        </is>
      </c>
      <c r="D14" s="37" t="inlineStr">
        <is>
          <t>SUSTANTIVA</t>
        </is>
      </c>
      <c r="E14" s="34" t="inlineStr">
        <is>
          <t>Debe tomarse del modelamiento de mesolocalización (PMM + EPH + PGI ponderados por AHP) antes de fijar la prioridad definitiva de intervención del bloque.</t>
        </is>
      </c>
    </row>
    <row r="15" ht="48" customHeight="1">
      <c r="A15" s="36" t="inlineStr">
        <is>
          <t>D-06</t>
        </is>
      </c>
      <c r="B15" s="36" t="inlineStr">
        <is>
          <t>Ficha DT</t>
        </is>
      </c>
      <c r="C15" s="36" t="inlineStr">
        <is>
          <t>EL PDF CONTIENE DOS JUEGOS DE FICHAS F-DT PARA EL MISMO BLOQUE (26-08-2026 y 14-07-2026) con valores divergentes</t>
        </is>
      </c>
      <c r="D15" s="37" t="inlineStr">
        <is>
          <t>SUSTANTIVA</t>
        </is>
      </c>
      <c r="E15" s="36" t="inlineStr">
        <is>
          <t>Consolidar en una sola versión oficial antes del entregable</t>
        </is>
      </c>
    </row>
    <row r="16" ht="48" customHeight="1">
      <c r="A16" s="34" t="inlineStr">
        <is>
          <t>D-07</t>
        </is>
      </c>
      <c r="B16" s="34" t="inlineStr">
        <is>
          <t>F-DT-02</t>
        </is>
      </c>
      <c r="C16" s="34" t="inlineStr">
        <is>
          <t>Sellamiento: «Sí» en el juego 1 y «No» en el juego 2; N.° de cárcavas: 2 vs. 1</t>
        </is>
      </c>
      <c r="D16" s="37" t="inlineStr">
        <is>
          <t>SUSTANTIVA</t>
        </is>
      </c>
      <c r="E16" s="34" t="inlineStr">
        <is>
          <t>Discrepancia entre juegos a resolver</t>
        </is>
      </c>
    </row>
    <row r="17" ht="48" customHeight="1">
      <c r="A17" s="36" t="inlineStr">
        <is>
          <t>D-08</t>
        </is>
      </c>
      <c r="B17" s="36" t="inlineStr">
        <is>
          <t>F-DT-01</t>
        </is>
      </c>
      <c r="C17" s="36" t="inlineStr">
        <is>
          <t>Cobertura física del levantamiento &lt;10% de las 74.03 ha; sectores central, norte y sureste no recorridos</t>
        </is>
      </c>
      <c r="D17" s="37" t="inlineStr">
        <is>
          <t>SUSTANTIVA</t>
        </is>
      </c>
      <c r="E17" s="36" t="inlineStr">
        <is>
          <t>Toda calificación aplica solo al sector occidental</t>
        </is>
      </c>
    </row>
    <row r="18" ht="48" customHeight="1">
      <c r="A18" s="34" t="inlineStr">
        <is>
          <t>D-09</t>
        </is>
      </c>
      <c r="B18" s="34" t="inlineStr">
        <is>
          <t>F-DT-01</t>
        </is>
      </c>
      <c r="C18" s="34" t="inlineStr">
        <is>
          <t>Altitud GPS no registrada; el valor 900 msnm es interpolado de curvas de nivel (±25 m)</t>
        </is>
      </c>
      <c r="D18" s="37" t="inlineStr">
        <is>
          <t>SUSTANTIVA</t>
        </is>
      </c>
      <c r="E18" s="34" t="inlineStr">
        <is>
          <t>No es lectura GPS</t>
        </is>
      </c>
    </row>
    <row r="19" ht="48" customHeight="1">
      <c r="A19" s="36" t="inlineStr">
        <is>
          <t>D-10</t>
        </is>
      </c>
      <c r="B19" s="36" t="inlineStr">
        <is>
          <t>F-DT-01</t>
        </is>
      </c>
      <c r="C19" s="36" t="inlineStr">
        <is>
          <t>El bloque cabalga dos pisos altitudinales (794-1 317 msnm); ≈40-45% bajo 1 000 msnm</t>
        </is>
      </c>
      <c r="D19" s="13" t="inlineStr">
        <is>
          <t>NO SUSTANTIVA</t>
        </is>
      </c>
      <c r="E19" s="36" t="inlineStr">
        <is>
          <t>Se consigna la clase de mayor superficie</t>
        </is>
      </c>
    </row>
    <row r="20" ht="48" customHeight="1">
      <c r="A20" s="34" t="inlineStr">
        <is>
          <t>D-11</t>
        </is>
      </c>
      <c r="B20" s="34" t="inlineStr">
        <is>
          <t>Ficha DT (juego 1)</t>
        </is>
      </c>
      <c r="C20" s="34" t="inlineStr">
        <is>
          <t>UTM Este 645 575 = valor por defecto de la plantilla</t>
        </is>
      </c>
      <c r="D20" s="37" t="inlineStr">
        <is>
          <t>SUSTANTIVA</t>
        </is>
      </c>
      <c r="E20" s="34" t="inlineStr">
        <is>
          <t>Georreferencia por reponer</t>
        </is>
      </c>
    </row>
    <row r="21" ht="48" customHeight="1">
      <c r="A21" s="36" t="inlineStr">
        <is>
          <t>D-12</t>
        </is>
      </c>
      <c r="B21" s="36" t="inlineStr">
        <is>
          <t>F-DT-02</t>
        </is>
      </c>
      <c r="C21" s="36" t="inlineStr">
        <is>
          <t>Dimensiones de las incisiones no medidas por falta de instrumental</t>
        </is>
      </c>
      <c r="D21" s="37" t="inlineStr">
        <is>
          <t>SUSTANTIVA</t>
        </is>
      </c>
      <c r="E21" s="36" t="inlineStr">
        <is>
          <t>Levantamiento pendiente</t>
        </is>
      </c>
    </row>
    <row r="22" ht="48" customHeight="1">
      <c r="A22" s="34" t="inlineStr">
        <is>
          <t>D-13</t>
        </is>
      </c>
      <c r="B22" s="34" t="inlineStr">
        <is>
          <t>F-DT-03</t>
        </is>
      </c>
      <c r="C22" s="34" t="inlineStr">
        <is>
          <t>LISTADO FLORÍSTICO TRANSFERIDO DEL BLOQUE M17B6; no procede de inventario en M17B5</t>
        </is>
      </c>
      <c r="D22" s="37" t="inlineStr">
        <is>
          <t>SUSTANTIVA</t>
        </is>
      </c>
      <c r="E22" s="34" t="inlineStr">
        <is>
          <t>Hipótesis de trabajo sujeta a ratificación; previsibles elementos de transición a bosque montano no representados</t>
        </is>
      </c>
    </row>
    <row r="23" ht="48" customHeight="1">
      <c r="A23" s="36" t="inlineStr">
        <is>
          <t>D-14</t>
        </is>
      </c>
      <c r="B23" s="36" t="inlineStr">
        <is>
          <t>F-DT-03</t>
        </is>
      </c>
      <c r="C23" s="36" t="inlineStr">
        <is>
          <t>Epífitas «Sí» consignado por analogía con M17B6, no por observación directa</t>
        </is>
      </c>
      <c r="D23" s="13" t="inlineStr">
        <is>
          <t>NO SUSTANTIVA</t>
        </is>
      </c>
      <c r="E23" s="36" t="inlineStr">
        <is>
          <t>Por verificar</t>
        </is>
      </c>
    </row>
    <row r="24" ht="48" customHeight="1">
      <c r="A24" s="34" t="inlineStr">
        <is>
          <t>D-15</t>
        </is>
      </c>
      <c r="B24" s="34" t="inlineStr">
        <is>
          <t>F-DT-04</t>
        </is>
      </c>
      <c r="C24" s="34" t="inlineStr">
        <is>
          <t>Indicadores 3 a 7 sin consignar; extensiones estimadas visualmente y antigüedad en blanco</t>
        </is>
      </c>
      <c r="D24" s="37" t="inlineStr">
        <is>
          <t>SUSTANTIVA</t>
        </is>
      </c>
      <c r="E24" s="34" t="inlineStr">
        <is>
          <t>Cuantificación pendiente</t>
        </is>
      </c>
    </row>
    <row r="25" ht="48" customHeight="1">
      <c r="A25" s="36" t="inlineStr">
        <is>
          <t>D-16</t>
        </is>
      </c>
      <c r="B25" s="36" t="inlineStr">
        <is>
          <t>F-DT-04</t>
        </is>
      </c>
      <c r="C25" s="36" t="inlineStr">
        <is>
          <t>D-05: MSAVI 0.5482 (el más alto de la microcuenca), NDVI sin tierra desnuda y estado «levemente alterado»</t>
        </is>
      </c>
      <c r="D25" s="37" t="inlineStr">
        <is>
          <t>SUSTANTIVA</t>
        </is>
      </c>
      <c r="E25" s="36" t="inlineStr">
        <is>
          <t>ELEVADO A LA SUBDIRECCIÓN: verificar si califica como ecosistema degradado bajo la R.M. 00213-2024-MINAM</t>
        </is>
      </c>
    </row>
    <row r="26" ht="48" customHeight="1">
      <c r="A26" s="34" t="inlineStr">
        <is>
          <t>D-17</t>
        </is>
      </c>
      <c r="B26" s="34" t="inlineStr">
        <is>
          <t>F-DT-04</t>
        </is>
      </c>
      <c r="C26" s="34" t="inlineStr">
        <is>
          <t>Heterogeneidad interna: degradación perimetral occidental frente a cuerpo central y oriental conservado</t>
        </is>
      </c>
      <c r="D26" s="37" t="inlineStr">
        <is>
          <t>SUSTANTIVA</t>
        </is>
      </c>
      <c r="E26" s="34" t="inlineStr">
        <is>
          <t>Obliga a ZONIFICACIÓN DIFERENCIADA de las MRR-CCC, no a tratamiento uniforme</t>
        </is>
      </c>
    </row>
    <row r="27">
      <c r="A27" s="34" t="inlineStr">
        <is>
          <t>D-18</t>
        </is>
      </c>
      <c r="B27" s="34" t="inlineStr">
        <is>
          <t>Distribución areal de clases MSAVI 2024</t>
        </is>
      </c>
      <c r="C27" s="34" t="inlineStr">
        <is>
          <t>La hoja «Cobertura MSAVI-NDVI» consignaba «Por determinar» en la distribución areal de clases MSAVI 2024; se incorpora el metrado por clase medido sobre la cartografía temática MSAVI 2024 del bloque: 28.99 % del bloque (21.461 ha) bajo el umbral 0.4976 y 71.01 % sobre el umbral; clase areal dominante «Vigor moderado».</t>
        </is>
      </c>
      <c r="D27" s="37" t="inlineStr">
        <is>
          <t>CORREGIDO</t>
        </is>
      </c>
      <c r="E27" s="34"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8"/>
    <row r="29">
      <c r="A29" s="16" t="inlineStr">
        <is>
          <t>RESUMEN</t>
        </is>
      </c>
      <c r="B29" s="17" t="inlineStr">
        <is>
          <t>18 verificaciones</t>
        </is>
      </c>
      <c r="C29" s="17" t="inlineStr">
        <is>
          <t>CONFORME: 3 · NO SUSTANTIVA: 3 · SUSTANTIVA: 11 · CORREGIDO: 1</t>
        </is>
      </c>
      <c r="D29" s="17" t="inlineStr"/>
      <c r="E29" s="17" t="inlineStr"/>
    </row>
    <row r="30" ht="60" customHeight="1"/>
    <row r="3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1" s="38" t="n"/>
      <c r="C31" s="38" t="n"/>
      <c r="D31" s="38" t="n"/>
      <c r="E31" s="39" t="n"/>
    </row>
  </sheetData>
  <mergeCells count="8">
    <mergeCell ref="A4:E4"/>
    <mergeCell ref="A2:E2"/>
    <mergeCell ref="A8:E8"/>
    <mergeCell ref="A1:E1"/>
    <mergeCell ref="A5:E5"/>
    <mergeCell ref="A31:E31"/>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M17B5 — IN Piura</dc:title>
  <dc:subject>Diagnóstico Territorial por bloque de intervención</dc:subject>
  <dcterms:created xsi:type="dcterms:W3CDTF">2026-09-08T03:39:53Z</dcterms:created>
  <dcterms:modified xsi:type="dcterms:W3CDTF">2026-09-09T14:49:45Z</dcterms:modified>
</cp:coreProperties>
</file>