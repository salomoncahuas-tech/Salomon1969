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42</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42</t>
        </is>
      </c>
      <c r="C9" s="6" t="inlineStr">
        <is>
          <t>Microcuenca (catálogo)</t>
        </is>
      </c>
      <c r="D9" s="7" t="inlineStr">
        <is>
          <t>C1086-Q9570</t>
        </is>
      </c>
      <c r="E9" s="8" t="n"/>
      <c r="F9" s="8" t="n"/>
    </row>
    <row r="10">
      <c r="A10" s="6" t="inlineStr">
        <is>
          <t>Zona de planificación</t>
        </is>
      </c>
      <c r="B10" s="7" t="inlineStr">
        <is>
          <t>Z04</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Santa Catalina de Mossa</t>
        </is>
      </c>
      <c r="C12" s="6" t="inlineStr">
        <is>
          <t>Capital distrital</t>
        </is>
      </c>
      <c r="D12" s="7" t="inlineStr">
        <is>
          <t>Santa Catalina de Mossa</t>
        </is>
      </c>
      <c r="E12" s="8" t="n"/>
      <c r="F12" s="8" t="n"/>
    </row>
    <row r="13">
      <c r="A13" s="6" t="inlineStr">
        <is>
          <t>Centro poblado asociado</t>
        </is>
      </c>
      <c r="B13" s="7" t="inlineStr">
        <is>
          <t>Santa Rosa de Chirimoyos</t>
        </is>
      </c>
      <c r="C13" s="6" t="inlineStr">
        <is>
          <t>Comunidad campesina</t>
        </is>
      </c>
      <c r="D13" s="7" t="inlineStr">
        <is>
          <t>Predios de propiedad privada y comunal</t>
        </is>
      </c>
      <c r="E13" s="8" t="n"/>
      <c r="F13" s="8" t="n"/>
    </row>
    <row r="14">
      <c r="A14" s="6" t="inlineStr">
        <is>
          <t>Superficie de catálogo (V5/V6), ha</t>
        </is>
      </c>
      <c r="B14" s="7" t="n">
        <v>80.62</v>
      </c>
      <c r="C14" s="6" t="inlineStr">
        <is>
          <t>Fuente de superficie</t>
        </is>
      </c>
      <c r="D14" s="7" t="inlineStr">
        <is>
          <t>Catálogo maestro Bloques V5/V6</t>
        </is>
      </c>
      <c r="E14" s="8" t="n"/>
      <c r="F14" s="8" t="n"/>
    </row>
    <row r="15">
      <c r="A15" s="6" t="inlineStr">
        <is>
          <t>Centroide UTM ESTE (m)</t>
        </is>
      </c>
      <c r="B15" s="7" t="n">
        <v>625152</v>
      </c>
      <c r="C15" s="6" t="inlineStr">
        <is>
          <t>Centroide UTM NORTE (m)</t>
        </is>
      </c>
      <c r="D15" s="7" t="n">
        <v>9435011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1131</v>
      </c>
      <c r="C19" s="6" t="inlineStr">
        <is>
          <t>Altitud máxima (msnm)</t>
        </is>
      </c>
      <c r="D19" s="7" t="n">
        <v>1548</v>
      </c>
      <c r="E19" s="8" t="n"/>
      <c r="F19" s="8" t="n"/>
    </row>
    <row r="20">
      <c r="A20" s="6" t="inlineStr">
        <is>
          <t>Amplitud altitudinal (m)</t>
        </is>
      </c>
      <c r="B20" s="7" t="n">
        <v>417</v>
      </c>
      <c r="C20" s="6" t="inlineStr">
        <is>
          <t>Piso altitudinal dominante</t>
        </is>
      </c>
      <c r="D20" s="7" t="inlineStr">
        <is>
          <t>1000-1500 m (Quechua baja)</t>
        </is>
      </c>
      <c r="E20" s="8" t="n"/>
      <c r="F20" s="8" t="n"/>
    </row>
    <row r="21">
      <c r="A21" s="6" t="inlineStr">
        <is>
          <t>Pendiente promedio (%)</t>
        </is>
      </c>
      <c r="B21" s="7" t="n">
        <v>27.86</v>
      </c>
      <c r="C21" s="6" t="inlineStr">
        <is>
          <t>Pendiente promedio (grados)</t>
        </is>
      </c>
      <c r="D21" s="7" t="n">
        <v>15.6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0.6348</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(88.83 %)</t>
        </is>
      </c>
      <c r="E29" s="8" t="n"/>
      <c r="F29" s="8" t="n"/>
    </row>
    <row r="30">
      <c r="A30" s="6" t="inlineStr">
        <is>
          <t>Superficie clasificada NDVI 2025 (ha)</t>
        </is>
      </c>
      <c r="B30" s="7" t="n">
        <v>80.649</v>
      </c>
      <c r="C30" s="6" t="inlineStr">
        <is>
          <t>Desviación frente al catálogo (%)</t>
        </is>
      </c>
      <c r="D30" s="7" t="n">
        <v>0.04</v>
      </c>
      <c r="E30" s="8" t="n"/>
      <c r="F30" s="8" t="n"/>
    </row>
    <row r="32" ht="18" customHeight="1">
      <c r="A32" s="5" t="inlineStr">
        <is>
          <t>4. ECOSISTEMA Y ESTADO DE CONSERVACIÓN</t>
        </is>
      </c>
    </row>
    <row r="33">
      <c r="A33" s="6" t="inlineStr">
        <is>
          <t>Tipo de ecosistema (UP)</t>
        </is>
      </c>
      <c r="B33" s="7" t="inlineStr">
        <is>
          <t>Bosque Estacionalmente Seco Colina/Montaña (Bes-cm)</t>
        </is>
      </c>
      <c r="C33" s="6" t="inlineStr">
        <is>
          <t>Superficie de ecosistema (ha)</t>
        </is>
      </c>
      <c r="D33" s="7" t="inlineStr">
        <is>
          <t>Por determinar</t>
        </is>
      </c>
      <c r="E33" s="8" t="n"/>
      <c r="F33" s="8" t="n"/>
    </row>
    <row r="34">
      <c r="A34" s="6" t="inlineStr">
        <is>
          <t>Estado de conservación</t>
        </is>
      </c>
      <c r="B34" s="7" t="inlineStr">
        <is>
          <t>Medianamente alterado</t>
        </is>
      </c>
      <c r="C34" s="6" t="inlineStr">
        <is>
          <t>Uso actual dominante del suelo</t>
        </is>
      </c>
      <c r="D34" s="7" t="inlineStr">
        <is>
          <t>Uso mixto</t>
        </is>
      </c>
      <c r="E34" s="8" t="n"/>
      <c r="F34" s="8" t="n"/>
    </row>
    <row r="35">
      <c r="A35" s="6" t="inlineStr">
        <is>
          <t>Tipo de cobertura dominante</t>
        </is>
      </c>
      <c r="B35" s="7" t="inlineStr">
        <is>
          <t>Matorral denso</t>
        </is>
      </c>
      <c r="C35" s="6" t="inlineStr">
        <is>
          <t>Cobertura vegetal total — campo (%)</t>
        </is>
      </c>
      <c r="D35" s="7" t="n">
        <v>70</v>
      </c>
      <c r="E35" s="8" t="n"/>
      <c r="F35" s="8" t="n"/>
    </row>
    <row r="36">
      <c r="A36" s="6" t="inlineStr">
        <is>
          <t>Suelo desnudo — campo (%)</t>
        </is>
      </c>
      <c r="B36" s="7" t="n">
        <v>10</v>
      </c>
      <c r="C36" s="6" t="inlineStr">
        <is>
          <t>Regeneración natural</t>
        </is>
      </c>
      <c r="D36" s="7" t="inlineStr">
        <is>
          <t>Por determinar</t>
        </is>
      </c>
      <c r="E36" s="8" t="n"/>
      <c r="F36" s="8" t="n"/>
    </row>
    <row r="37">
      <c r="A37" s="6" t="inlineStr">
        <is>
          <t>Nivel general de erosión</t>
        </is>
      </c>
      <c r="B37" s="7" t="inlineStr">
        <is>
          <t>Moderada (surcos)</t>
        </is>
      </c>
      <c r="C37" s="6" t="inlineStr">
        <is>
          <t>N.° de cárcavas registradas</t>
        </is>
      </c>
      <c r="D37" s="7" t="n">
        <v>0</v>
      </c>
      <c r="E37" s="8" t="n"/>
      <c r="F37" s="8" t="n"/>
    </row>
    <row r="38">
      <c r="A38" s="6" t="inlineStr">
        <is>
          <t>Elenco florístico (n.° de taxones)</t>
        </is>
      </c>
      <c r="B38" s="7" t="n">
        <v>10</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 / J.C. Domínguez V. / P. Talledo H.</t>
        </is>
      </c>
      <c r="C41" s="6" t="inlineStr">
        <is>
          <t>Fecha de evaluación</t>
        </is>
      </c>
      <c r="D41" s="7" t="inlineStr">
        <is>
          <t>2026-06-03</t>
        </is>
      </c>
      <c r="E41" s="8" t="n"/>
      <c r="F41" s="8" t="n"/>
    </row>
    <row r="42">
      <c r="A42" s="6" t="inlineStr">
        <is>
          <t>Hora de registro</t>
        </is>
      </c>
      <c r="B42" s="7" t="inlineStr">
        <is>
          <t>12:46</t>
        </is>
      </c>
      <c r="C42" s="6" t="inlineStr">
        <is>
          <t>Correlativo de ficha</t>
        </is>
      </c>
      <c r="D42" s="7" t="inlineStr">
        <is>
          <t>Por registrar</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t>
        </is>
      </c>
      <c r="E44" s="8" t="n"/>
      <c r="F44" s="8" t="n"/>
    </row>
    <row r="45">
      <c r="A45" s="6" t="inlineStr">
        <is>
          <t>Estaciones fotográficas georreferenciadas</t>
        </is>
      </c>
      <c r="B45" s="7" t="inlineStr">
        <is>
          <t>Sin registro en la ficha DT</t>
        </is>
      </c>
      <c r="C45" s="6" t="inlineStr">
        <is>
          <t>Modalidad de acceso</t>
        </is>
      </c>
      <c r="D45" s="7" t="inlineStr">
        <is>
          <t>Vehicular + caminata 30-90 min</t>
        </is>
      </c>
      <c r="E45" s="8" t="n"/>
      <c r="F45" s="8" t="n"/>
    </row>
    <row r="47" ht="18" customHeight="1">
      <c r="A47" s="5" t="inlineStr">
        <is>
          <t>6. SÍNTESIS PARA LA GESTIÓN DEL RIESGO EN CONTEXTO DE CAMBIO CLIMÁTICO</t>
        </is>
      </c>
    </row>
    <row r="48">
      <c r="A48" s="6" t="inlineStr">
        <is>
          <t>Causa subyacente principal</t>
        </is>
      </c>
      <c r="B48" s="7" t="inlineStr">
        <is>
          <t>Presión agropecuaria sobre laderas de fuerte pendiente, sin prácticas de conservación de suelos</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12" t="inlineStr">
        <is>
          <t>Por determinar</t>
        </is>
      </c>
      <c r="C10" s="12" t="inlineStr">
        <is>
          <t>Por determinar</t>
        </is>
      </c>
      <c r="D10" s="12" t="inlineStr">
        <is>
          <t>Vigor alto</t>
        </is>
      </c>
      <c r="E10" s="12" t="inlineStr">
        <is>
          <t>Sobre umbral</t>
        </is>
      </c>
    </row>
    <row r="11">
      <c r="A11" s="13" t="inlineStr">
        <is>
          <t>0.4976 - 0.6139</t>
        </is>
      </c>
      <c r="B11" s="14" t="inlineStr">
        <is>
          <t>Por determinar</t>
        </is>
      </c>
      <c r="C11" s="14" t="inlineStr">
        <is>
          <t>Por determinar</t>
        </is>
      </c>
      <c r="D11" s="14" t="inlineStr">
        <is>
          <t>Vigor moderado</t>
        </is>
      </c>
      <c r="E11" s="14" t="inlineStr">
        <is>
          <t>Sobre umbral</t>
        </is>
      </c>
    </row>
    <row r="12">
      <c r="A12" s="7" t="inlineStr">
        <is>
          <t>0.3813 - 0.4976</t>
        </is>
      </c>
      <c r="B12" s="15" t="inlineStr">
        <is>
          <t>Por determinar</t>
        </is>
      </c>
      <c r="C12" s="15" t="inlineStr">
        <is>
          <t>Por determinar</t>
        </is>
      </c>
      <c r="D12" s="15" t="inlineStr">
        <is>
          <t>Vigor bajo</t>
        </is>
      </c>
      <c r="E12" s="15" t="inlineStr">
        <is>
          <t>BAJO umbral 0.4976</t>
        </is>
      </c>
    </row>
    <row r="13">
      <c r="A13" s="13" t="inlineStr">
        <is>
          <t>0.2650 - 0.3813</t>
        </is>
      </c>
      <c r="B13" s="14" t="inlineStr">
        <is>
          <t>Por determinar</t>
        </is>
      </c>
      <c r="C13" s="14" t="inlineStr">
        <is>
          <t>Por determinar</t>
        </is>
      </c>
      <c r="D13" s="14" t="inlineStr">
        <is>
          <t>Vigor muy bajo</t>
        </is>
      </c>
      <c r="E13" s="14" t="inlineStr">
        <is>
          <t>BAJO umbral 0.4976</t>
        </is>
      </c>
    </row>
    <row r="14">
      <c r="A14" s="7" t="inlineStr">
        <is>
          <t>&lt;= 0.2650</t>
        </is>
      </c>
      <c r="B14" s="15" t="inlineStr">
        <is>
          <t>Por determinar</t>
        </is>
      </c>
      <c r="C14" s="15" t="inlineStr">
        <is>
          <t>Por determinar</t>
        </is>
      </c>
      <c r="D14" s="15" t="inlineStr">
        <is>
          <t>Suelo desnudo / no vegetal</t>
        </is>
      </c>
      <c r="E14" s="15" t="inlineStr">
        <is>
          <t>BAJO umbral 0.4976</t>
        </is>
      </c>
    </row>
    <row r="15">
      <c r="A15" s="16" t="inlineStr">
        <is>
          <t>MSAVI 2024 — MEDIA DEL BLOQUE</t>
        </is>
      </c>
      <c r="B15" s="17" t="n">
        <v>0.634841</v>
      </c>
      <c r="C15" s="17" t="inlineStr">
        <is>
          <t>—</t>
        </is>
      </c>
      <c r="D15" s="17" t="inlineStr">
        <is>
          <t>Vigor alto · clase &gt; 0.6139</t>
        </is>
      </c>
      <c r="E15" s="17" t="inlineStr">
        <is>
          <t>Sobre umbral</t>
        </is>
      </c>
    </row>
    <row r="17" ht="72" customHeight="1">
      <c r="A17" s="9" t="inlineStr">
        <is>
          <t>NOTA METODOLÓGICA. La media del MSAVI 2024 del bloque (0.634841)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71.6422</v>
      </c>
      <c r="C21" s="19" t="n">
        <v>88.83</v>
      </c>
      <c r="D21" s="15" t="inlineStr">
        <is>
          <t>Dosel continuo, matorral denso o mosaico agroforestal</t>
        </is>
      </c>
      <c r="E21" s="15" t="inlineStr"/>
    </row>
    <row r="22">
      <c r="A22" s="13" t="inlineStr">
        <is>
          <t>Vegetación mediana</t>
        </is>
      </c>
      <c r="B22" s="20" t="n">
        <v>8.9064</v>
      </c>
      <c r="C22" s="21" t="n">
        <v>11.04</v>
      </c>
      <c r="D22" s="14" t="inlineStr">
        <is>
          <t>Pastizal cultivado, matorral ralo, parcelas agrícolas</t>
        </is>
      </c>
      <c r="E22" s="14" t="inlineStr"/>
    </row>
    <row r="23">
      <c r="A23" s="7" t="inlineStr">
        <is>
          <t>Vegetación ligera</t>
        </is>
      </c>
      <c r="B23" s="18" t="n">
        <v>0.1002</v>
      </c>
      <c r="C23" s="19" t="n">
        <v>0.12</v>
      </c>
      <c r="D23" s="15" t="inlineStr">
        <is>
          <t>Cobertura discontinua, suelo parcialmente expuesto</t>
        </is>
      </c>
      <c r="E23" s="15" t="inlineStr"/>
    </row>
    <row r="24">
      <c r="A24" s="16" t="inlineStr">
        <is>
          <t>TOTAL CLASIFICADO</t>
        </is>
      </c>
      <c r="B24" s="22">
        <f>SUM(B21:B23)</f>
        <v/>
      </c>
      <c r="C24" s="23">
        <f>SUM(C21:C23)</f>
        <v/>
      </c>
      <c r="D24" s="17" t="inlineStr"/>
      <c r="E24" s="17" t="inlineStr"/>
    </row>
    <row r="25">
      <c r="A25" s="24" t="inlineStr">
        <is>
          <t>Superficie de catálogo (V5/V6)</t>
        </is>
      </c>
      <c r="B25" s="25" t="n">
        <v>80.62</v>
      </c>
      <c r="C25" s="25" t="inlineStr">
        <is>
          <t>—</t>
        </is>
      </c>
      <c r="D25" s="25" t="inlineStr">
        <is>
          <t>Desviación planimétrica frente al catálogo</t>
        </is>
      </c>
      <c r="E25" s="25" t="inlineStr">
        <is>
          <t>+0.04 %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88.83 % del polígono clasificado como «Vegetación alta» por el NDVI 2025; la observación de campo corresponde a una parcela o recorrido puntual y no es estadísticamente representativa de las 80.620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42</t>
        </is>
      </c>
    </row>
    <row r="6" ht="24" customHeight="1">
      <c r="A6" s="4" t="inlineStr">
        <is>
          <t>Levantamiento del 2026-06-03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645575</v>
      </c>
      <c r="D10" s="26" t="n">
        <v>9393500</v>
      </c>
      <c r="E10" s="15" t="n">
        <v>46263</v>
      </c>
      <c r="F10" s="15" t="inlineStr"/>
      <c r="G10" s="15"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625152</v>
      </c>
      <c r="C13" s="6" t="inlineStr">
        <is>
          <t>Centroide del bloque — UTM NORTE (m)</t>
        </is>
      </c>
      <c r="D13" s="7" t="n">
        <v>9435011</v>
      </c>
      <c r="E13" s="8" t="n"/>
      <c r="F13" s="8" t="n"/>
      <c r="G13" s="8" t="n"/>
      <c r="H13" s="8" t="n"/>
    </row>
    <row r="14">
      <c r="A14" s="6" t="inlineStr">
        <is>
          <t>N.° de estaciones fotográficas declaradas</t>
        </is>
      </c>
      <c r="B14" s="7" t="inlineStr">
        <is>
          <t>Sin registro en la ficha DT</t>
        </is>
      </c>
      <c r="C14" s="6" t="inlineStr">
        <is>
          <t>Estaciones dentro del polígono</t>
        </is>
      </c>
      <c r="D14" s="7" t="inlineStr">
        <is>
          <t>Por determinar</t>
        </is>
      </c>
      <c r="E14" s="8" t="n"/>
      <c r="F14" s="8" t="n"/>
      <c r="G14" s="8" t="n"/>
      <c r="H14" s="8" t="n"/>
    </row>
    <row r="16" ht="120"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Recorrido del bloque A PIE con track GPS Garmin 66sr (verificación 02-03/06/2026, avance físico 100%). El interior presenta cobertura predominantemente alta y relieve estable en superficie; las evidencias de inestabilidad activa (taludes de corte con caída de material) se concentran a lo largo de la vía de acceso, FUERA del polígono. Altitud promedio ≈1400 msnm; rango del bloque ≈1100-1500 msnm. Acceso por carretera PI-805 desde Santa Catalina de Mossa.</t>
        </is>
      </c>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42</t>
        </is>
      </c>
    </row>
    <row r="6" ht="24" customHeight="1">
      <c r="A6" s="4" t="inlineStr">
        <is>
          <t>Distrito de Santa Catalina de Mossa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12</t>
        </is>
      </c>
      <c r="B10" s="27" t="n">
        <v>119.54</v>
      </c>
      <c r="C10" s="19" t="n">
        <v>14</v>
      </c>
      <c r="D10" s="15" t="inlineStr">
        <is>
          <t>672 – 2244</t>
        </is>
      </c>
      <c r="E10" s="15" t="n">
        <v>1572</v>
      </c>
      <c r="F10" s="15" t="n">
        <v>27.41</v>
      </c>
      <c r="G10" s="18" t="n">
        <v>0.7067</v>
      </c>
      <c r="H10" s="19" t="n">
        <v>99.93000000000001</v>
      </c>
    </row>
    <row r="11">
      <c r="A11" s="13" t="inlineStr">
        <is>
          <t>11</t>
        </is>
      </c>
      <c r="B11" s="28" t="n">
        <v>103.95</v>
      </c>
      <c r="C11" s="21" t="n">
        <v>12.17</v>
      </c>
      <c r="D11" s="14" t="inlineStr">
        <is>
          <t>1375 – 1928</t>
        </is>
      </c>
      <c r="E11" s="14" t="n">
        <v>553</v>
      </c>
      <c r="F11" s="14" t="n">
        <v>32.19</v>
      </c>
      <c r="G11" s="20" t="n">
        <v>0.6047</v>
      </c>
      <c r="H11" s="21" t="n">
        <v>75.28</v>
      </c>
    </row>
    <row r="12">
      <c r="A12" s="7" t="inlineStr">
        <is>
          <t>17</t>
        </is>
      </c>
      <c r="B12" s="27" t="n">
        <v>96.08</v>
      </c>
      <c r="C12" s="19" t="n">
        <v>11.25</v>
      </c>
      <c r="D12" s="15" t="inlineStr">
        <is>
          <t>1253 – 1880</t>
        </is>
      </c>
      <c r="E12" s="15" t="n">
        <v>627</v>
      </c>
      <c r="F12" s="15" t="n">
        <v>35.56</v>
      </c>
      <c r="G12" s="18" t="n">
        <v>0.6479</v>
      </c>
      <c r="H12" s="19" t="n">
        <v>88.68000000000001</v>
      </c>
    </row>
    <row r="13">
      <c r="A13" s="13" t="inlineStr">
        <is>
          <t>14</t>
        </is>
      </c>
      <c r="B13" s="28" t="n">
        <v>92.90000000000001</v>
      </c>
      <c r="C13" s="21" t="n">
        <v>10.88</v>
      </c>
      <c r="D13" s="14" t="inlineStr">
        <is>
          <t>87 – 1355</t>
        </is>
      </c>
      <c r="E13" s="14" t="n">
        <v>1268</v>
      </c>
      <c r="F13" s="14" t="n">
        <v>23.75</v>
      </c>
      <c r="G13" s="20" t="n">
        <v>0.5197000000000001</v>
      </c>
      <c r="H13" s="21" t="n">
        <v>58.89</v>
      </c>
    </row>
    <row r="14">
      <c r="A14" s="7" t="inlineStr">
        <is>
          <t>15</t>
        </is>
      </c>
      <c r="B14" s="27" t="n">
        <v>86.15000000000001</v>
      </c>
      <c r="C14" s="19" t="n">
        <v>10.09</v>
      </c>
      <c r="D14" s="15" t="inlineStr">
        <is>
          <t>1199 – 1655</t>
        </is>
      </c>
      <c r="E14" s="15" t="n">
        <v>456</v>
      </c>
      <c r="F14" s="15" t="n">
        <v>26.19</v>
      </c>
      <c r="G14" s="18" t="n">
        <v>0.5605</v>
      </c>
      <c r="H14" s="19" t="n">
        <v>56.47</v>
      </c>
    </row>
    <row r="15">
      <c r="A15" s="13" t="inlineStr">
        <is>
          <t>23</t>
        </is>
      </c>
      <c r="B15" s="28" t="n">
        <v>81.78</v>
      </c>
      <c r="C15" s="21" t="n">
        <v>9.58</v>
      </c>
      <c r="D15" s="14" t="inlineStr">
        <is>
          <t>521 – 973</t>
        </is>
      </c>
      <c r="E15" s="14" t="n">
        <v>452</v>
      </c>
      <c r="F15" s="14" t="n">
        <v>35.28</v>
      </c>
      <c r="G15" s="20" t="n">
        <v>0.5731000000000001</v>
      </c>
      <c r="H15" s="21" t="n">
        <v>47.99</v>
      </c>
    </row>
    <row r="16">
      <c r="A16" s="11" t="inlineStr">
        <is>
          <t>► 42</t>
        </is>
      </c>
      <c r="B16" s="29" t="n">
        <v>80.62</v>
      </c>
      <c r="C16" s="30" t="n">
        <v>9.44</v>
      </c>
      <c r="D16" s="12" t="inlineStr">
        <is>
          <t>1131 – 1548</t>
        </is>
      </c>
      <c r="E16" s="12" t="n">
        <v>417</v>
      </c>
      <c r="F16" s="12" t="n">
        <v>27.86</v>
      </c>
      <c r="G16" s="31" t="n">
        <v>0.6348</v>
      </c>
      <c r="H16" s="30" t="n">
        <v>88.83</v>
      </c>
    </row>
    <row r="17">
      <c r="A17" s="13" t="inlineStr">
        <is>
          <t>M19B2</t>
        </is>
      </c>
      <c r="B17" s="28" t="n">
        <v>74.37</v>
      </c>
      <c r="C17" s="21" t="n">
        <v>8.710000000000001</v>
      </c>
      <c r="D17" s="14" t="inlineStr">
        <is>
          <t>203 – 523</t>
        </is>
      </c>
      <c r="E17" s="14" t="n">
        <v>320</v>
      </c>
      <c r="F17" s="14" t="n">
        <v>21.71</v>
      </c>
      <c r="G17" s="20" t="n">
        <v>0.4012</v>
      </c>
      <c r="H17" s="21" t="n">
        <v>1.28</v>
      </c>
    </row>
    <row r="18">
      <c r="A18" s="7" t="inlineStr">
        <is>
          <t>82</t>
        </is>
      </c>
      <c r="B18" s="27" t="n">
        <v>35.66</v>
      </c>
      <c r="C18" s="19" t="n">
        <v>4.18</v>
      </c>
      <c r="D18" s="15" t="inlineStr">
        <is>
          <t>1796 – 2098</t>
        </is>
      </c>
      <c r="E18" s="15" t="n">
        <v>302</v>
      </c>
      <c r="F18" s="15" t="n">
        <v>23.55</v>
      </c>
      <c r="G18" s="18" t="n">
        <v>0.6283</v>
      </c>
      <c r="H18" s="19" t="n">
        <v>90.06999999999999</v>
      </c>
    </row>
    <row r="19">
      <c r="A19" s="13" t="inlineStr">
        <is>
          <t>78</t>
        </is>
      </c>
      <c r="B19" s="28" t="n">
        <v>35.1</v>
      </c>
      <c r="C19" s="21" t="n">
        <v>4.11</v>
      </c>
      <c r="D19" s="14" t="inlineStr">
        <is>
          <t>1908 – 2236</t>
        </is>
      </c>
      <c r="E19" s="14" t="n">
        <v>328</v>
      </c>
      <c r="F19" s="14" t="n">
        <v>30.64</v>
      </c>
      <c r="G19" s="20" t="n">
        <v>0.7074</v>
      </c>
      <c r="H19" s="21" t="n">
        <v>89.33</v>
      </c>
    </row>
    <row r="20">
      <c r="A20" s="7" t="inlineStr">
        <is>
          <t>M19B7</t>
        </is>
      </c>
      <c r="B20" s="27" t="n">
        <v>34.17</v>
      </c>
      <c r="C20" s="19" t="n">
        <v>4</v>
      </c>
      <c r="D20" s="15" t="inlineStr">
        <is>
          <t>1213 – 1578</t>
        </is>
      </c>
      <c r="E20" s="15" t="n">
        <v>365</v>
      </c>
      <c r="F20" s="15" t="n">
        <v>28.15</v>
      </c>
      <c r="G20" s="18" t="n">
        <v>0.5919</v>
      </c>
      <c r="H20" s="19" t="n">
        <v>78.52</v>
      </c>
    </row>
    <row r="21">
      <c r="A21" s="13" t="inlineStr">
        <is>
          <t>59</t>
        </is>
      </c>
      <c r="B21" s="28" t="n">
        <v>13.55</v>
      </c>
      <c r="C21" s="21" t="n">
        <v>1.59</v>
      </c>
      <c r="D21" s="14" t="inlineStr">
        <is>
          <t>2045 – 2218</t>
        </is>
      </c>
      <c r="E21" s="14" t="n">
        <v>173</v>
      </c>
      <c r="F21" s="14" t="n">
        <v>29.85</v>
      </c>
      <c r="G21" s="20" t="n">
        <v>0.6147</v>
      </c>
      <c r="H21" s="21" t="n">
        <v>86.56999999999999</v>
      </c>
    </row>
    <row r="22">
      <c r="A22" s="16" t="inlineStr">
        <is>
          <t>TOTAL / PROMEDIO</t>
        </is>
      </c>
      <c r="B22" s="32">
        <f>SUM(B10:B21)</f>
        <v/>
      </c>
      <c r="C22" s="23">
        <f>SUM(C10:C21)</f>
        <v/>
      </c>
      <c r="D22" s="17" t="inlineStr">
        <is>
          <t>87 – 2244</t>
        </is>
      </c>
      <c r="E22" s="17" t="inlineStr"/>
      <c r="F22" s="17">
        <f>ROUND(AVERAGE(F10:F21),2)</f>
        <v/>
      </c>
      <c r="G22" s="22">
        <f>ROUND(AVERAGE(G10:G21),4)</f>
        <v/>
      </c>
      <c r="H22" s="23">
        <f>ROUND(AVERAGE(H10:H21),2)</f>
        <v/>
      </c>
    </row>
    <row r="24" ht="84" customHeight="1">
      <c r="A24" s="9" t="inlineStr">
        <is>
          <t>LECTURA INTRAMICROCUENCA. El bloque 42 ocupa el puesto 7 de 12 por superficie dentro de la microcuenca C1086-Q9570 (9.44 % de las 853.87 ha preliminares de la microcuenca). Su pendiente promedio (27.86 %, clase «25-50% (Mod. escarpado)») es la 6.ª más baja de 12 y se sitúa por debajo del promedio de la microcuenca (28.51 %). Su MSAVI 2024 (0.6348) es el 4.º de 12 y queda por encima del promedio local (0.5993). Amplitud altitudinal del bloque: 417 m (1131–1548 msnm). El cuadro conserva todos los bloques catalogados en la microcuenca, incluidos los descartados en el tamizaje, para referencia del conjunto. Los bloques sin ficha DT figuran con sus parámetros de gabinete.</t>
        </is>
      </c>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6:H26"/>
    <mergeCell ref="A24:H24"/>
    <mergeCell ref="A2:H2"/>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42</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«C1086-Q9570»</t>
        </is>
      </c>
      <c r="D10" s="34" t="inlineStr">
        <is>
          <t>CONFORME</t>
        </is>
      </c>
      <c r="E10" s="33" t="inlineStr">
        <is>
          <t>Sin acción.</t>
        </is>
      </c>
    </row>
    <row r="11" ht="48" customHeight="1">
      <c r="A11" s="35" t="inlineStr">
        <is>
          <t>D-02</t>
        </is>
      </c>
      <c r="B11" s="35" t="inlineStr">
        <is>
          <t>UTM del punto de muestreo</t>
        </is>
      </c>
      <c r="C11" s="35" t="inlineStr">
        <is>
          <t>El punto de muestreo declarado (645575 E / 9393500 N) dista 46,263 m del centroide de catálogo (625152 E / 9435011 N), distancia incompatible con la superficie del bloque (80.62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(80.649 ha) coincide con la de catálogo (80.62 ha) dentro del ±2 % (+0.04 %)</t>
        </is>
      </c>
      <c r="D12" s="34" t="inlineStr">
        <is>
          <t>CONFORME</t>
        </is>
      </c>
      <c r="E12" s="33" t="inlineStr">
        <is>
          <t>Sin acción: la segmentación valida la geometría del bloque.</t>
        </is>
      </c>
    </row>
    <row r="13" ht="48" customHeight="1">
      <c r="A13" s="35" t="inlineStr">
        <is>
          <t>D-04</t>
        </is>
      </c>
      <c r="B13" s="35" t="inlineStr">
        <is>
          <t>Cobertura vegetal total</t>
        </is>
      </c>
      <c r="C13" s="35" t="inlineStr">
        <is>
          <t>La ficha DT estima 70 % de cobertura vegetal en campo; el NDVI mediana 2025 clasifica 99.99 % del polígono en clases de vegetación</t>
        </is>
      </c>
      <c r="D13" s="12" t="inlineStr">
        <is>
          <t>NO SUSTANTIVA</t>
        </is>
      </c>
      <c r="E13" s="35"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3" t="inlineStr">
        <is>
          <t>D-05</t>
        </is>
      </c>
      <c r="B14" s="33" t="inlineStr">
        <is>
          <t>Dimensiones del inventario de cárcavas</t>
        </is>
      </c>
      <c r="C14" s="33" t="inlineStr">
        <is>
          <t>Se registran 0 rasgos erosivos, pero longitud, profundidad y ancho no fueron medidos instrumentalmente</t>
        </is>
      </c>
      <c r="D14" s="12" t="inlineStr">
        <is>
          <t>NO SUSTANTIVA</t>
        </is>
      </c>
      <c r="E14" s="33" t="inlineStr">
        <is>
          <t>El conteo registrado no debe usarse para calcular densidad de cárcavas por hectárea. Pendiente de levantamiento con GPS submétrico.</t>
        </is>
      </c>
    </row>
    <row r="15" ht="48" customHeight="1">
      <c r="A15" s="35" t="inlineStr">
        <is>
          <t>D-06</t>
        </is>
      </c>
      <c r="B15" s="35" t="inlineStr">
        <is>
          <t>Elenco florístico</t>
        </is>
      </c>
      <c r="C15" s="35" t="inlineStr">
        <is>
          <t>La ficha registra 10 taxones, por debajo del mínimo de 15 que exige el formato V5</t>
        </is>
      </c>
      <c r="D15" s="36"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Centro poblado asociado</t>
        </is>
      </c>
      <c r="C16" s="33" t="inlineStr">
        <is>
          <t>La ficha DT declara «Santa Rosa de Chirimoyos»; el cruce INEI-Bloques V5 identifica 1 centro(s) poblado(s) en el bloque: SANTA ROSA DE CHIRIMOYOS</t>
        </is>
      </c>
      <c r="D16" s="34" t="inlineStr">
        <is>
          <t>CONFORME</t>
        </is>
      </c>
      <c r="E16" s="33" t="inlineStr">
        <is>
          <t>Se conserva el registro de campo como referencia y se adopta el listado INEI para el diagnóstico social y el cálculo de población beneficiaria.</t>
        </is>
      </c>
    </row>
    <row r="17" ht="48" customHeight="1">
      <c r="A17" s="35" t="inlineStr">
        <is>
          <t>D-08</t>
        </is>
      </c>
      <c r="B17" s="35" t="inlineStr">
        <is>
          <t>Peligro integrado (MCA-AHP)</t>
        </is>
      </c>
      <c r="C17" s="35" t="inlineStr">
        <is>
          <t>El nivel de peligro integrado no está disponible en los insumos de este entregable</t>
        </is>
      </c>
      <c r="D17" s="36" t="inlineStr">
        <is>
          <t>SUSTANTIVA</t>
        </is>
      </c>
      <c r="E17" s="35" t="inlineStr">
        <is>
          <t>Debe tomarse del modelamiento de mesolocalización (PMM + EPH + PGI ponderados por AHP) antes de fijar la prioridad definitiva de intervención del bloque.</t>
        </is>
      </c>
    </row>
    <row r="19">
      <c r="A19" s="16" t="inlineStr">
        <is>
          <t>RESUMEN</t>
        </is>
      </c>
      <c r="B19" s="17" t="inlineStr">
        <is>
          <t>8 verificaciones</t>
        </is>
      </c>
      <c r="C19" s="17" t="inlineStr">
        <is>
          <t>CONFORME: 3 · NO SUSTANTIVA: 2 · SUSTANTIVA: 3</t>
        </is>
      </c>
      <c r="D19" s="17" t="inlineStr"/>
      <c r="E19" s="17" t="inlineStr"/>
    </row>
    <row r="21" ht="60" customHeight="1">
      <c r="A2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21:E21"/>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42 — IN Piura</dc:title>
  <dc:subject>Diagnóstico Territorial por bloque de intervención</dc:subject>
  <dcterms:created xsi:type="dcterms:W3CDTF">2026-09-08T03:39:56Z</dcterms:created>
  <dcterms:modified xsi:type="dcterms:W3CDTF">2026-09-08T03:39:56Z</dcterms:modified>
</cp:coreProperties>
</file>