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42</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42</t>
        </is>
      </c>
      <c r="C9" s="6" t="inlineStr">
        <is>
          <t>Microcuenca (catálogo)</t>
        </is>
      </c>
      <c r="D9" s="7" t="inlineStr">
        <is>
          <t>C1086-Q9570</t>
        </is>
      </c>
      <c r="E9" s="8" t="n"/>
      <c r="F9" s="8" t="n"/>
    </row>
    <row r="10">
      <c r="A10" s="6" t="inlineStr">
        <is>
          <t>Zona de planificación</t>
        </is>
      </c>
      <c r="B10" s="7" t="inlineStr">
        <is>
          <t>Z04</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Santa Catalina de Mossa</t>
        </is>
      </c>
      <c r="C12" s="6" t="inlineStr">
        <is>
          <t>Capital distrital</t>
        </is>
      </c>
      <c r="D12" s="7" t="inlineStr">
        <is>
          <t>Santa Catalina de Mossa</t>
        </is>
      </c>
      <c r="E12" s="8" t="n"/>
      <c r="F12" s="8" t="n"/>
    </row>
    <row r="13">
      <c r="A13" s="6" t="inlineStr">
        <is>
          <t>Centro poblado asociado</t>
        </is>
      </c>
      <c r="B13" s="7" t="inlineStr">
        <is>
          <t>Santa Rosa de Chirimoyos</t>
        </is>
      </c>
      <c r="C13" s="6" t="inlineStr">
        <is>
          <t>Comunidad campesina</t>
        </is>
      </c>
      <c r="D13" s="7" t="inlineStr">
        <is>
          <t>Predios de propiedad privada y comunal</t>
        </is>
      </c>
      <c r="E13" s="8" t="n"/>
      <c r="F13" s="8" t="n"/>
    </row>
    <row r="14">
      <c r="A14" s="6" t="inlineStr">
        <is>
          <t>Superficie de catálogo (V5/V6), ha</t>
        </is>
      </c>
      <c r="B14" s="7" t="n">
        <v>80.62</v>
      </c>
      <c r="C14" s="6" t="inlineStr">
        <is>
          <t>Fuente de superficie</t>
        </is>
      </c>
      <c r="D14" s="7" t="inlineStr">
        <is>
          <t>Catálogo maestro Bloques V5/V6</t>
        </is>
      </c>
      <c r="E14" s="8" t="n"/>
      <c r="F14" s="8" t="n"/>
    </row>
    <row r="15">
      <c r="A15" s="6" t="inlineStr">
        <is>
          <t>Centroide UTM ESTE (m)</t>
        </is>
      </c>
      <c r="B15" s="7" t="n">
        <v>625152</v>
      </c>
      <c r="C15" s="6" t="inlineStr">
        <is>
          <t>Centroide UTM NORTE (m)</t>
        </is>
      </c>
      <c r="D15" s="7" t="n">
        <v>9435011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1131</v>
      </c>
      <c r="C19" s="6" t="inlineStr">
        <is>
          <t>Altitud máxima (msnm)</t>
        </is>
      </c>
      <c r="D19" s="7" t="n">
        <v>1548</v>
      </c>
      <c r="E19" s="8" t="n"/>
      <c r="F19" s="8" t="n"/>
    </row>
    <row r="20">
      <c r="A20" s="6" t="inlineStr">
        <is>
          <t>Amplitud altitudinal (m)</t>
        </is>
      </c>
      <c r="B20" s="7" t="n">
        <v>417</v>
      </c>
      <c r="C20" s="6" t="inlineStr">
        <is>
          <t>Piso altitudinal dominante</t>
        </is>
      </c>
      <c r="D20" s="7" t="inlineStr">
        <is>
          <t>1000-1500 m (Quechua baja)</t>
        </is>
      </c>
      <c r="E20" s="8" t="n"/>
      <c r="F20" s="8" t="n"/>
    </row>
    <row r="21">
      <c r="A21" s="6" t="inlineStr">
        <is>
          <t>Pendiente promedio (%)</t>
        </is>
      </c>
      <c r="B21" s="7" t="n">
        <v>27.86</v>
      </c>
      <c r="C21" s="6" t="inlineStr">
        <is>
          <t>Pendiente promedio (grados)</t>
        </is>
      </c>
      <c r="D21" s="7" t="n">
        <v>15.6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0.6348</v>
      </c>
      <c r="C28" s="6" t="inlineStr">
        <is>
          <t>MSAVI 2024 — clase de la media</t>
        </is>
      </c>
      <c r="D28" s="7" t="inlineStr">
        <is>
          <t>&gt; 0.6139 (Vigor alto)</t>
        </is>
      </c>
      <c r="E28" s="8" t="n"/>
      <c r="F28" s="8" t="n"/>
    </row>
    <row r="29">
      <c r="A29" s="6" t="inlineStr">
        <is>
          <t>Condición frente al umbral 0.4976</t>
        </is>
      </c>
      <c r="B29" s="7" t="inlineStr">
        <is>
          <t>Sobre umbral · distribución areal: 5.83 % del bloque BAJO el umbral (4.700 ha de 80.620 ha)</t>
        </is>
      </c>
      <c r="C29" s="6" t="inlineStr">
        <is>
          <t>NDVI mediana 2025 — clase modal</t>
        </is>
      </c>
      <c r="D29" s="7" t="inlineStr">
        <is>
          <t>Vegetación alta (88.83 %)</t>
        </is>
      </c>
      <c r="E29" s="8" t="n"/>
      <c r="F29" s="8" t="n"/>
    </row>
    <row r="30">
      <c r="A30" s="6" t="inlineStr">
        <is>
          <t>MSAVI 2024 — superficie BAJO el umbral 0.4976 (ha)</t>
        </is>
      </c>
      <c r="B30" s="7" t="n">
        <v>4.7</v>
      </c>
      <c r="C30" s="6" t="inlineStr">
        <is>
          <t>MSAVI 2024 — % del bloque BAJO el umbral</t>
        </is>
      </c>
      <c r="D30" s="7" t="n">
        <v>5.83</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(MSAVI Bloque 42.png)</t>
        </is>
      </c>
      <c r="E31" s="8" t="n"/>
      <c r="F31" s="8" t="n"/>
    </row>
    <row r="32" ht="18" customHeight="1">
      <c r="A32" s="6" t="inlineStr">
        <is>
          <t>Superficie clasificada NDVI 2025 (ha)</t>
        </is>
      </c>
      <c r="B32" s="7" t="n">
        <v>80.649</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Colina/Montaña (Bes-cm)</t>
        </is>
      </c>
      <c r="C35" s="6" t="inlineStr">
        <is>
          <t>Superficie de ecosistema (ha)</t>
        </is>
      </c>
      <c r="D35" s="7" t="inlineStr">
        <is>
          <t>Por determinar</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Matorral denso</t>
        </is>
      </c>
      <c r="C37" s="6" t="inlineStr">
        <is>
          <t>Cobertura vegetal total — campo (%)</t>
        </is>
      </c>
      <c r="D37" s="7" t="n">
        <v>70</v>
      </c>
      <c r="E37" s="8" t="n"/>
      <c r="F37" s="8" t="n"/>
    </row>
    <row r="38">
      <c r="A38" s="6" t="inlineStr">
        <is>
          <t>Suelo desnudo — campo (%)</t>
        </is>
      </c>
      <c r="B38" s="7" t="n">
        <v>10</v>
      </c>
      <c r="C38" s="6" t="inlineStr">
        <is>
          <t>Regeneración natural</t>
        </is>
      </c>
      <c r="D38" s="7" t="inlineStr">
        <is>
          <t>Por determinar</t>
        </is>
      </c>
      <c r="E38" s="8" t="n"/>
      <c r="F38" s="8" t="n"/>
    </row>
    <row r="39">
      <c r="A39" s="6" t="inlineStr">
        <is>
          <t>Nivel general de erosión</t>
        </is>
      </c>
      <c r="B39" s="7" t="inlineStr">
        <is>
          <t>Moderada (surcos)</t>
        </is>
      </c>
      <c r="C39" s="6" t="inlineStr">
        <is>
          <t>N.° de cárcavas registradas</t>
        </is>
      </c>
      <c r="D39" s="7" t="n">
        <v>0</v>
      </c>
      <c r="E39" s="8" t="n"/>
      <c r="F39" s="8" t="n"/>
    </row>
    <row r="40" ht="18" customHeight="1">
      <c r="A40" s="6" t="inlineStr">
        <is>
          <t>Elenco florístico (n.° de taxones)</t>
        </is>
      </c>
      <c r="B40" s="7" t="n">
        <v>10</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 J.C. Domínguez V. / P. Talledo H.</t>
        </is>
      </c>
      <c r="C43" s="6" t="inlineStr">
        <is>
          <t>Fecha de evaluación</t>
        </is>
      </c>
      <c r="D43" s="7" t="inlineStr">
        <is>
          <t>2026-06-03</t>
        </is>
      </c>
      <c r="E43" s="8" t="n"/>
      <c r="F43" s="8" t="n"/>
    </row>
    <row r="44">
      <c r="A44" s="6" t="inlineStr">
        <is>
          <t>Hora de registro</t>
        </is>
      </c>
      <c r="B44" s="7" t="inlineStr">
        <is>
          <t>12:46</t>
        </is>
      </c>
      <c r="C44" s="6" t="inlineStr">
        <is>
          <t>Correlativo de ficha</t>
        </is>
      </c>
      <c r="D44" s="7" t="inlineStr">
        <is>
          <t>Por registrar</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30-90 min</t>
        </is>
      </c>
      <c r="E47" s="8" t="n"/>
      <c r="F47" s="8" t="n"/>
    </row>
    <row r="48"/>
    <row r="49">
      <c r="A49" s="5" t="inlineStr">
        <is>
          <t>6. SÍNTESIS PARA LA GESTIÓN DEL RIESGO EN CONTEXTO DE CAMBIO CLIMÁTICO</t>
        </is>
      </c>
    </row>
    <row r="50">
      <c r="A50" s="6" t="inlineStr">
        <is>
          <t>Causa subyacente principal</t>
        </is>
      </c>
      <c r="B50" s="7" t="inlineStr">
        <is>
          <t>Presión agropecuaria sobre laderas de fuerte pendiente, sin prácticas de conservación de suelos</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42</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1" t="n">
        <v>52.7013</v>
      </c>
      <c r="C10" s="30" t="n">
        <v>65.37</v>
      </c>
      <c r="D10" s="12" t="inlineStr">
        <is>
          <t>Vigor alto</t>
        </is>
      </c>
      <c r="E10" s="12" t="inlineStr">
        <is>
          <t>Sobre umbral</t>
        </is>
      </c>
    </row>
    <row r="11">
      <c r="A11" s="13" t="inlineStr">
        <is>
          <t>0.4976 - 0.6139</t>
        </is>
      </c>
      <c r="B11" s="20" t="n">
        <v>23.2186</v>
      </c>
      <c r="C11" s="21" t="n">
        <v>28.8</v>
      </c>
      <c r="D11" s="14" t="inlineStr">
        <is>
          <t>Vigor moderado</t>
        </is>
      </c>
      <c r="E11" s="14" t="inlineStr">
        <is>
          <t>Sobre umbral</t>
        </is>
      </c>
    </row>
    <row r="12">
      <c r="A12" s="7" t="inlineStr">
        <is>
          <t>0.3813 - 0.4976</t>
        </is>
      </c>
      <c r="B12" s="18" t="n">
        <v>4.684</v>
      </c>
      <c r="C12" s="19" t="n">
        <v>5.81</v>
      </c>
      <c r="D12" s="15" t="inlineStr">
        <is>
          <t>Vigor bajo</t>
        </is>
      </c>
      <c r="E12" s="15" t="inlineStr">
        <is>
          <t>BAJO umbral 0.4976</t>
        </is>
      </c>
    </row>
    <row r="13">
      <c r="A13" s="13" t="inlineStr">
        <is>
          <t>0.2650 - 0.3813</t>
        </is>
      </c>
      <c r="B13" s="20" t="n">
        <v>0.0161</v>
      </c>
      <c r="C13" s="21" t="n">
        <v>0.02</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0.634841</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71.6422</v>
      </c>
      <c r="C22" s="19" t="n">
        <v>88.83</v>
      </c>
      <c r="D22" s="15" t="inlineStr">
        <is>
          <t>Dosel continuo, matorral denso o mosaico agroforestal</t>
        </is>
      </c>
      <c r="E22" s="15" t="inlineStr"/>
    </row>
    <row r="23">
      <c r="A23" s="13" t="inlineStr">
        <is>
          <t>Vegetación mediana</t>
        </is>
      </c>
      <c r="B23" s="20" t="n">
        <v>8.9064</v>
      </c>
      <c r="C23" s="21" t="n">
        <v>11.04</v>
      </c>
      <c r="D23" s="14" t="inlineStr">
        <is>
          <t>Pastizal cultivado, matorral ralo, parcelas agrícolas</t>
        </is>
      </c>
      <c r="E23" s="14" t="inlineStr"/>
    </row>
    <row r="24">
      <c r="A24" s="7" t="inlineStr">
        <is>
          <t>Vegetación ligera</t>
        </is>
      </c>
      <c r="B24" s="18" t="n">
        <v>0.1002</v>
      </c>
      <c r="C24" s="19" t="n">
        <v>0.12</v>
      </c>
      <c r="D24" s="15" t="inlineStr">
        <is>
          <t>Cobertura discontinua, suelo parcialmente expuesto</t>
        </is>
      </c>
      <c r="E24" s="15" t="inlineStr"/>
    </row>
    <row r="25">
      <c r="A25" s="16" t="inlineStr">
        <is>
          <t>TOTAL CLASIFICADO</t>
        </is>
      </c>
      <c r="B25" s="22">
        <f>SUM(B21:B23)</f>
        <v/>
      </c>
      <c r="C25" s="23">
        <f>SUM(C21:C23)</f>
        <v/>
      </c>
      <c r="D25" s="17" t="inlineStr"/>
      <c r="E25" s="17" t="inlineStr"/>
    </row>
    <row r="26">
      <c r="A26" s="24" t="inlineStr">
        <is>
          <t>Superficie de catálogo (V5/V6)</t>
        </is>
      </c>
      <c r="B26" s="25" t="n">
        <v>80.62</v>
      </c>
      <c r="C26" s="25" t="inlineStr">
        <is>
          <t>—</t>
        </is>
      </c>
      <c r="D26" s="25" t="inlineStr">
        <is>
          <t>Desviación planimétrica frente al catálogo</t>
        </is>
      </c>
      <c r="E26" s="25" t="inlineStr">
        <is>
          <t>+0.04 %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88.83 % del polígono clasificado como «Vegetación alta» por el NDVI 2025; la observación de campo corresponde a una parcela o recorrido puntual y no es estadísticamente representativa de las 80.620 ha del bloque.</t>
        </is>
      </c>
      <c r="B28" s="37" t="n"/>
      <c r="C28" s="37" t="n"/>
      <c r="D28" s="37" t="n"/>
      <c r="E28" s="38"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42</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46263</v>
      </c>
      <c r="F10" s="15" t="inlineStr"/>
      <c r="G10" s="15"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625152</v>
      </c>
      <c r="C13" s="6" t="inlineStr">
        <is>
          <t>Centroide del bloque — UTM NORTE (m)</t>
        </is>
      </c>
      <c r="D13" s="7" t="n">
        <v>9435011</v>
      </c>
      <c r="E13" s="8" t="n"/>
      <c r="F13" s="8" t="n"/>
      <c r="G13" s="8" t="n"/>
      <c r="H13" s="8" t="n"/>
    </row>
    <row r="14">
      <c r="A14" s="6" t="inlineStr">
        <is>
          <t>N.° de estaciones fotográficas declaradas</t>
        </is>
      </c>
      <c r="B14" s="7" t="inlineStr">
        <is>
          <t>Sin registro en la ficha DT</t>
        </is>
      </c>
      <c r="C14" s="6" t="inlineStr">
        <is>
          <t>Estaciones dentro del polígono</t>
        </is>
      </c>
      <c r="D14" s="7" t="inlineStr">
        <is>
          <t>Por determinar</t>
        </is>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Recorrido del bloque A PIE con track GPS Garmin 66sr (verificación 02-03/06/2026, avance físico 100%). El interior presenta cobertura predominantemente alta y relieve estable en superficie; las evidencias de inestabilidad activa (taludes de corte con caída de material) se concentran a lo largo de la vía de acceso, FUERA del polígono. Altitud promedio ≈1400 msnm; rango del bloque ≈1100-1500 msnm. Acceso por carretera PI-805 desde Santa Catalina de Mossa.</t>
        </is>
      </c>
      <c r="B16" s="37" t="n"/>
      <c r="C16" s="37" t="n"/>
      <c r="D16" s="37" t="n"/>
      <c r="E16" s="37" t="n"/>
      <c r="F16" s="37" t="n"/>
      <c r="G16" s="38"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42</t>
        </is>
      </c>
    </row>
    <row r="6" ht="24" customHeight="1">
      <c r="A6" s="4" t="inlineStr">
        <is>
          <t>Distrito de Santa Catalina de Mossa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7" t="n">
        <v>119.54</v>
      </c>
      <c r="C10" s="19" t="n">
        <v>14</v>
      </c>
      <c r="D10" s="15" t="inlineStr">
        <is>
          <t>672 – 2244</t>
        </is>
      </c>
      <c r="E10" s="15" t="n">
        <v>1572</v>
      </c>
      <c r="F10" s="15" t="n">
        <v>27.41</v>
      </c>
      <c r="G10" s="18" t="n">
        <v>0.7067</v>
      </c>
      <c r="H10" s="19" t="n">
        <v>99.93000000000001</v>
      </c>
    </row>
    <row r="11">
      <c r="A11" s="13" t="inlineStr">
        <is>
          <t>11</t>
        </is>
      </c>
      <c r="B11" s="28" t="n">
        <v>103.95</v>
      </c>
      <c r="C11" s="21" t="n">
        <v>12.17</v>
      </c>
      <c r="D11" s="14" t="inlineStr">
        <is>
          <t>1375 – 1928</t>
        </is>
      </c>
      <c r="E11" s="14" t="n">
        <v>553</v>
      </c>
      <c r="F11" s="14" t="n">
        <v>32.19</v>
      </c>
      <c r="G11" s="20" t="n">
        <v>0.6047</v>
      </c>
      <c r="H11" s="21" t="n">
        <v>75.28</v>
      </c>
    </row>
    <row r="12">
      <c r="A12" s="7" t="inlineStr">
        <is>
          <t>17</t>
        </is>
      </c>
      <c r="B12" s="27" t="n">
        <v>96.08</v>
      </c>
      <c r="C12" s="19" t="n">
        <v>11.25</v>
      </c>
      <c r="D12" s="15" t="inlineStr">
        <is>
          <t>1253 – 1880</t>
        </is>
      </c>
      <c r="E12" s="15" t="n">
        <v>627</v>
      </c>
      <c r="F12" s="15" t="n">
        <v>35.56</v>
      </c>
      <c r="G12" s="18" t="n">
        <v>0.6479</v>
      </c>
      <c r="H12" s="19" t="n">
        <v>88.68000000000001</v>
      </c>
    </row>
    <row r="13">
      <c r="A13" s="13" t="inlineStr">
        <is>
          <t>14</t>
        </is>
      </c>
      <c r="B13" s="28" t="n">
        <v>92.90000000000001</v>
      </c>
      <c r="C13" s="21" t="n">
        <v>10.88</v>
      </c>
      <c r="D13" s="14" t="inlineStr">
        <is>
          <t>87 – 1355</t>
        </is>
      </c>
      <c r="E13" s="14" t="n">
        <v>1268</v>
      </c>
      <c r="F13" s="14" t="n">
        <v>23.75</v>
      </c>
      <c r="G13" s="20" t="n">
        <v>0.5197000000000001</v>
      </c>
      <c r="H13" s="21" t="n">
        <v>58.89</v>
      </c>
    </row>
    <row r="14">
      <c r="A14" s="7" t="inlineStr">
        <is>
          <t>15</t>
        </is>
      </c>
      <c r="B14" s="27" t="n">
        <v>86.15000000000001</v>
      </c>
      <c r="C14" s="19" t="n">
        <v>10.09</v>
      </c>
      <c r="D14" s="15" t="inlineStr">
        <is>
          <t>1199 – 1655</t>
        </is>
      </c>
      <c r="E14" s="15" t="n">
        <v>456</v>
      </c>
      <c r="F14" s="15" t="n">
        <v>26.19</v>
      </c>
      <c r="G14" s="18" t="n">
        <v>0.5605</v>
      </c>
      <c r="H14" s="19" t="n">
        <v>56.47</v>
      </c>
    </row>
    <row r="15">
      <c r="A15" s="13" t="inlineStr">
        <is>
          <t>23</t>
        </is>
      </c>
      <c r="B15" s="28" t="n">
        <v>81.78</v>
      </c>
      <c r="C15" s="21" t="n">
        <v>9.58</v>
      </c>
      <c r="D15" s="14" t="inlineStr">
        <is>
          <t>521 – 973</t>
        </is>
      </c>
      <c r="E15" s="14" t="n">
        <v>452</v>
      </c>
      <c r="F15" s="14" t="n">
        <v>35.28</v>
      </c>
      <c r="G15" s="20" t="n">
        <v>0.5731000000000001</v>
      </c>
      <c r="H15" s="21" t="n">
        <v>47.99</v>
      </c>
    </row>
    <row r="16">
      <c r="A16" s="11" t="inlineStr">
        <is>
          <t>► 42</t>
        </is>
      </c>
      <c r="B16" s="29" t="n">
        <v>80.62</v>
      </c>
      <c r="C16" s="30" t="n">
        <v>9.44</v>
      </c>
      <c r="D16" s="12" t="inlineStr">
        <is>
          <t>1131 – 1548</t>
        </is>
      </c>
      <c r="E16" s="12" t="n">
        <v>417</v>
      </c>
      <c r="F16" s="12" t="n">
        <v>27.86</v>
      </c>
      <c r="G16" s="31" t="n">
        <v>0.6348</v>
      </c>
      <c r="H16" s="30" t="n">
        <v>88.83</v>
      </c>
    </row>
    <row r="17">
      <c r="A17" s="13" t="inlineStr">
        <is>
          <t>M19B2</t>
        </is>
      </c>
      <c r="B17" s="28" t="n">
        <v>74.37</v>
      </c>
      <c r="C17" s="21" t="n">
        <v>8.710000000000001</v>
      </c>
      <c r="D17" s="14" t="inlineStr">
        <is>
          <t>203 – 523</t>
        </is>
      </c>
      <c r="E17" s="14" t="n">
        <v>320</v>
      </c>
      <c r="F17" s="14" t="n">
        <v>21.71</v>
      </c>
      <c r="G17" s="20" t="n">
        <v>0.4012</v>
      </c>
      <c r="H17" s="21" t="n">
        <v>1.28</v>
      </c>
    </row>
    <row r="18">
      <c r="A18" s="7" t="inlineStr">
        <is>
          <t>82</t>
        </is>
      </c>
      <c r="B18" s="27" t="n">
        <v>35.66</v>
      </c>
      <c r="C18" s="19" t="n">
        <v>4.18</v>
      </c>
      <c r="D18" s="15" t="inlineStr">
        <is>
          <t>1796 – 2098</t>
        </is>
      </c>
      <c r="E18" s="15" t="n">
        <v>302</v>
      </c>
      <c r="F18" s="15" t="n">
        <v>23.55</v>
      </c>
      <c r="G18" s="18" t="n">
        <v>0.6283</v>
      </c>
      <c r="H18" s="19" t="n">
        <v>90.06999999999999</v>
      </c>
    </row>
    <row r="19">
      <c r="A19" s="13" t="inlineStr">
        <is>
          <t>78</t>
        </is>
      </c>
      <c r="B19" s="28" t="n">
        <v>35.1</v>
      </c>
      <c r="C19" s="21" t="n">
        <v>4.11</v>
      </c>
      <c r="D19" s="14" t="inlineStr">
        <is>
          <t>1908 – 2236</t>
        </is>
      </c>
      <c r="E19" s="14" t="n">
        <v>328</v>
      </c>
      <c r="F19" s="14" t="n">
        <v>30.64</v>
      </c>
      <c r="G19" s="20" t="n">
        <v>0.7074</v>
      </c>
      <c r="H19" s="21" t="n">
        <v>89.33</v>
      </c>
    </row>
    <row r="20">
      <c r="A20" s="7" t="inlineStr">
        <is>
          <t>M19B7</t>
        </is>
      </c>
      <c r="B20" s="27" t="n">
        <v>34.17</v>
      </c>
      <c r="C20" s="19" t="n">
        <v>4</v>
      </c>
      <c r="D20" s="15" t="inlineStr">
        <is>
          <t>1213 – 1578</t>
        </is>
      </c>
      <c r="E20" s="15" t="n">
        <v>365</v>
      </c>
      <c r="F20" s="15" t="n">
        <v>28.15</v>
      </c>
      <c r="G20" s="18" t="n">
        <v>0.5919</v>
      </c>
      <c r="H20" s="19" t="n">
        <v>78.52</v>
      </c>
    </row>
    <row r="21">
      <c r="A21" s="13" t="inlineStr">
        <is>
          <t>59</t>
        </is>
      </c>
      <c r="B21" s="28" t="n">
        <v>13.55</v>
      </c>
      <c r="C21" s="21" t="n">
        <v>1.59</v>
      </c>
      <c r="D21" s="14" t="inlineStr">
        <is>
          <t>2045 – 2218</t>
        </is>
      </c>
      <c r="E21" s="14" t="n">
        <v>173</v>
      </c>
      <c r="F21" s="14" t="n">
        <v>29.85</v>
      </c>
      <c r="G21" s="20" t="n">
        <v>0.6147</v>
      </c>
      <c r="H21" s="21" t="n">
        <v>86.56999999999999</v>
      </c>
    </row>
    <row r="22">
      <c r="A22" s="16" t="inlineStr">
        <is>
          <t>TOTAL / PROMEDIO</t>
        </is>
      </c>
      <c r="B22" s="32">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42 ocupa el puesto 7 de 12 por superficie dentro de la microcuenca C1086-Q9570 (9.44 % de las 853.87 ha preliminares de la microcuenca). Su pendiente promedio (27.86 %, clase «25-50% (Mod. escarpado)») es la 6.ª más baja de 12 y se sitúa por debajo del promedio de la microcuenca (28.51 %). Su MSAVI 2024 (0.6348) es el 4.º de 12 y queda por encima del promedio local (0.5993). Amplitud altitudinal del bloque: 417 m (1131–1548 msnm). El cuadro conserva todos los bloques catalogados en la microcuenca, incluidos los descartados en el tamizaje, para referencia del conjunto. Los bloques sin ficha DT figuran con sus parámetros de gabinete.</t>
        </is>
      </c>
      <c r="B24" s="37" t="n"/>
      <c r="C24" s="37" t="n"/>
      <c r="D24" s="37" t="n"/>
      <c r="E24" s="37" t="n"/>
      <c r="F24" s="37" t="n"/>
      <c r="G24" s="37" t="n"/>
      <c r="H24" s="38"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7" t="n"/>
      <c r="C26" s="37" t="n"/>
      <c r="D26" s="37" t="n"/>
      <c r="E26" s="37" t="n"/>
      <c r="F26" s="37" t="n"/>
      <c r="G26" s="37" t="n"/>
      <c r="H26" s="38" t="n"/>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42</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«C1086-Q9570»</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9393500 N) dista 46,263 m del centroide de catálogo (625152 E / 9435011 N), distancia incompatible con la superficie del bloque (80.62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(80.649 ha) coincide con la de catálogo (80.62 ha) dentro del ±2 % (+0.04 %)</t>
        </is>
      </c>
      <c r="D12" s="34" t="inlineStr">
        <is>
          <t>CONFORME</t>
        </is>
      </c>
      <c r="E12" s="33" t="inlineStr">
        <is>
          <t>Sin acción: la segmentación valida la geometría del bloque.</t>
        </is>
      </c>
    </row>
    <row r="13" ht="48" customHeight="1">
      <c r="A13" s="35" t="inlineStr">
        <is>
          <t>D-04</t>
        </is>
      </c>
      <c r="B13" s="35" t="inlineStr">
        <is>
          <t>Cobertura vegetal total</t>
        </is>
      </c>
      <c r="C13" s="35" t="inlineStr">
        <is>
          <t>La ficha DT estima 70 % de cobertura vegetal en campo; el NDVI mediana 2025 clasifica 99.99 % del polígono en clases de vegetación</t>
        </is>
      </c>
      <c r="D13" s="12" t="inlineStr">
        <is>
          <t>NO SUSTANTIVA</t>
        </is>
      </c>
      <c r="E13" s="35"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3" t="inlineStr">
        <is>
          <t>D-05</t>
        </is>
      </c>
      <c r="B14" s="33" t="inlineStr">
        <is>
          <t>Dimensiones del inventario de cárcavas</t>
        </is>
      </c>
      <c r="C14" s="33" t="inlineStr">
        <is>
          <t>Se registran 0 rasgos erosivos, pero longitud, profundidad y ancho no fueron medidos instrumentalmente</t>
        </is>
      </c>
      <c r="D14" s="12"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10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Centro poblado asociado</t>
        </is>
      </c>
      <c r="C16" s="33" t="inlineStr">
        <is>
          <t>La ficha DT declara «Santa Rosa de Chirimoyos»; el cruce INEI-Bloques V5 identifica 1 centro(s) poblado(s) en el bloque: SANTA ROSA DE CHIRIMOYOS</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c r="A18" s="35" t="inlineStr">
        <is>
          <t>D-09</t>
        </is>
      </c>
      <c r="B18" s="35" t="inlineStr">
        <is>
          <t>Distribución areal de clases MSAVI 2024</t>
        </is>
      </c>
      <c r="C18" s="35" t="inlineStr">
        <is>
          <t>La hoja «Cobertura MSAVI-NDVI» consignaba «Por determinar» en la distribución areal de clases MSAVI 2024; se incorpora el metrado por clase medido sobre la cartografía temática MSAVI 2024 del bloque: 5.83 % del bloque (4.700 ha) bajo el umbral 0.4976 y 94.17 % sobre el umbral; clase areal dominante «Vigor alto».</t>
        </is>
      </c>
      <c r="D18" s="36" t="inlineStr">
        <is>
          <t>CORREGIDO</t>
        </is>
      </c>
      <c r="E18"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9"/>
    <row r="20">
      <c r="A20" s="16" t="inlineStr">
        <is>
          <t>RESUMEN</t>
        </is>
      </c>
      <c r="B20" s="17" t="inlineStr">
        <is>
          <t>9 verificaciones</t>
        </is>
      </c>
      <c r="C20" s="17" t="inlineStr">
        <is>
          <t>CONFORME: 3 · NO SUSTANTIVA: 2 · SUSTANTIVA: 3 · CORREGIDO: 1</t>
        </is>
      </c>
      <c r="D20" s="17" t="inlineStr"/>
      <c r="E20" s="17" t="inlineStr"/>
    </row>
    <row r="21" ht="60" customHeight="1"/>
    <row r="22">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37" t="n"/>
      <c r="C22" s="37" t="n"/>
      <c r="D22" s="37" t="n"/>
      <c r="E22" s="38"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42 — IN Piura</dc:title>
  <dc:subject>Diagnóstico Territorial por bloque de intervención</dc:subject>
  <dcterms:created xsi:type="dcterms:W3CDTF">2026-09-08T03:39:56Z</dcterms:created>
  <dcterms:modified xsi:type="dcterms:W3CDTF">2026-09-09T14:49:42Z</dcterms:modified>
</cp:coreProperties>
</file>