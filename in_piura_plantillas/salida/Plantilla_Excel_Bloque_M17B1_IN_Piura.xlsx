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M17B1</t>
        </is>
      </c>
      <c r="C9" s="6" t="inlineStr">
        <is>
          <t>Microcuenca (catálogo)</t>
        </is>
      </c>
      <c r="D9" s="7" t="inlineStr">
        <is>
          <t>C1096-Q9556</t>
        </is>
      </c>
      <c r="E9" s="8" t="n"/>
      <c r="F9" s="8" t="n"/>
    </row>
    <row r="10">
      <c r="A10" s="6" t="inlineStr">
        <is>
          <t>Zona de planificación</t>
        </is>
      </c>
      <c r="B10" s="7" t="inlineStr">
        <is>
          <t>Z01</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C.P. Papelillo</t>
        </is>
      </c>
      <c r="C13" s="6" t="inlineStr">
        <is>
          <t>Comunidad campesina</t>
        </is>
      </c>
      <c r="D13" s="7" t="inlineStr">
        <is>
          <t>Por verificar</t>
        </is>
      </c>
      <c r="E13" s="8" t="n"/>
      <c r="F13" s="8" t="n"/>
    </row>
    <row r="14">
      <c r="A14" s="6" t="inlineStr">
        <is>
          <t>Superficie de catálogo (V5/V6), ha</t>
        </is>
      </c>
      <c r="B14" s="7" t="n">
        <v>42.45</v>
      </c>
      <c r="C14" s="6" t="inlineStr">
        <is>
          <t>Fuente de superficie</t>
        </is>
      </c>
      <c r="D14" s="7" t="inlineStr">
        <is>
          <t>Catálogo maestro Bloques V5/V6</t>
        </is>
      </c>
      <c r="E14" s="8" t="n"/>
      <c r="F14" s="8" t="n"/>
    </row>
    <row r="15">
      <c r="A15" s="6" t="inlineStr">
        <is>
          <t>Centroide UTM ESTE (m)</t>
        </is>
      </c>
      <c r="B15" s="7" t="n">
        <v>600644</v>
      </c>
      <c r="C15" s="6" t="inlineStr">
        <is>
          <t>Centroide UTM NORTE (m)</t>
        </is>
      </c>
      <c r="D15" s="7" t="n">
        <v>9440436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177</v>
      </c>
      <c r="C19" s="6" t="inlineStr">
        <is>
          <t>Altitud máxima (msnm)</t>
        </is>
      </c>
      <c r="D19" s="7" t="n">
        <v>313</v>
      </c>
      <c r="E19" s="8" t="n"/>
      <c r="F19" s="8" t="n"/>
    </row>
    <row r="20">
      <c r="A20" s="6" t="inlineStr">
        <is>
          <t>Amplitud altitudinal (m)</t>
        </is>
      </c>
      <c r="B20" s="7" t="n">
        <v>136</v>
      </c>
      <c r="C20" s="6" t="inlineStr">
        <is>
          <t>Piso altitudinal dominante</t>
        </is>
      </c>
      <c r="D20" s="7" t="inlineStr">
        <is>
          <t>&lt;1000 m (Yunga)</t>
        </is>
      </c>
      <c r="E20" s="8" t="n"/>
      <c r="F20" s="8" t="n"/>
    </row>
    <row r="21">
      <c r="A21" s="6" t="inlineStr">
        <is>
          <t>Pendiente promedio (%)</t>
        </is>
      </c>
      <c r="B21" s="7" t="n">
        <v>14.73</v>
      </c>
      <c r="C21" s="6" t="inlineStr">
        <is>
          <t>Pendiente promedio (grados)</t>
        </is>
      </c>
      <c r="D21" s="7" t="n">
        <v>8.4</v>
      </c>
      <c r="E21" s="8" t="n"/>
      <c r="F21" s="8" t="n"/>
    </row>
    <row r="22">
      <c r="A22" s="6" t="inlineStr">
        <is>
          <t>Clase de pendiente equivalente</t>
        </is>
      </c>
      <c r="B22" s="7" t="inlineStr">
        <is>
          <t>8-15% (Mod.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Sureste</t>
        </is>
      </c>
      <c r="C24" s="6" t="inlineStr">
        <is>
          <t>Afloramientos rocosos</t>
        </is>
      </c>
      <c r="D24" s="7" t="inlineStr">
        <is>
          <t>Sí (de origen antrópico: cortes de talud)</t>
        </is>
      </c>
      <c r="E24" s="8" t="n"/>
      <c r="F24" s="8" t="n"/>
    </row>
    <row r="25">
      <c r="A25" s="6" t="inlineStr">
        <is>
          <t>Escarpes activos</t>
        </is>
      </c>
      <c r="B25" s="7" t="inlineStr">
        <is>
          <t>Sí (de origen antrópico)</t>
        </is>
      </c>
      <c r="C25" s="6" t="inlineStr">
        <is>
          <t>Remociones en masa activas</t>
        </is>
      </c>
      <c r="D25" s="7" t="inlineStr">
        <is>
          <t>Sí (caída de rocas activa)</t>
        </is>
      </c>
      <c r="E25" s="8" t="n"/>
      <c r="F25" s="8" t="n"/>
    </row>
    <row r="26"/>
    <row r="27" ht="18" customHeight="1">
      <c r="A27" s="5" t="inlineStr">
        <is>
          <t>3. ÍNDICES DE VEGETACIÓN (SENTINEL-2)</t>
        </is>
      </c>
    </row>
    <row r="28">
      <c r="A28" s="6" t="inlineStr">
        <is>
          <t>MSAVI 2024 — media del bloque</t>
        </is>
      </c>
      <c r="B28" s="7" t="n">
        <v>0.3323</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99.84 % del bloque BAJO el umbral (42.382 ha de 42.450 ha)</t>
        </is>
      </c>
      <c r="C29" s="6" t="inlineStr">
        <is>
          <t>NDVI mediana 2025 — clase modal</t>
        </is>
      </c>
      <c r="D29" s="7" t="inlineStr">
        <is>
          <t>Vegetación ligera (81.83 %)</t>
        </is>
      </c>
      <c r="E29" s="8" t="n"/>
      <c r="F29" s="8" t="n"/>
    </row>
    <row r="30">
      <c r="A30" s="6" t="inlineStr">
        <is>
          <t>MSAVI 2024 — superficie BAJO el umbral 0.4976 (ha)</t>
        </is>
      </c>
      <c r="B30" s="7" t="n">
        <v>42.382</v>
      </c>
      <c r="C30" s="6" t="inlineStr">
        <is>
          <t>MSAVI 2024 — % del bloque BAJO el umbral</t>
        </is>
      </c>
      <c r="D30" s="7" t="n">
        <v>99.84</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(MSAVI M17B1.png)</t>
        </is>
      </c>
      <c r="E31" s="8" t="n"/>
      <c r="F31" s="8" t="n"/>
    </row>
    <row r="32" ht="18" customHeight="1">
      <c r="A32" s="6" t="inlineStr">
        <is>
          <t>Superficie clasificada NDVI 2025 (ha)</t>
        </is>
      </c>
      <c r="B32" s="7" t="n">
        <v>42.472</v>
      </c>
      <c r="C32" s="6" t="inlineStr">
        <is>
          <t>Desviación frente al catálogo (%)</t>
        </is>
      </c>
      <c r="D32" s="7" t="n">
        <v>0.05</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Por verificar</t>
        </is>
      </c>
      <c r="E35" s="8" t="n"/>
      <c r="F35" s="8" t="n"/>
    </row>
    <row r="36">
      <c r="A36" s="6" t="inlineStr">
        <is>
          <t>Estado de conservación</t>
        </is>
      </c>
      <c r="B36" s="7" t="inlineStr">
        <is>
          <t>Medianamente alterado</t>
        </is>
      </c>
      <c r="C36" s="6" t="inlineStr">
        <is>
          <t>Uso actual dominante del suelo</t>
        </is>
      </c>
      <c r="D36" s="7" t="inlineStr">
        <is>
          <t>Forestal de protección (sujeto a la clasificación oficial de CUM)</t>
        </is>
      </c>
      <c r="E36" s="8" t="n"/>
      <c r="F36" s="8" t="n"/>
    </row>
    <row r="37">
      <c r="A37" s="6" t="inlineStr">
        <is>
          <t>Tipo de cobertura dominante</t>
        </is>
      </c>
      <c r="B37" s="7" t="inlineStr">
        <is>
          <t>Bosque ralo (30-70%)</t>
        </is>
      </c>
      <c r="C37" s="6" t="inlineStr">
        <is>
          <t>Cobertura vegetal total — campo (%)</t>
        </is>
      </c>
      <c r="D37" s="7" t="inlineStr">
        <is>
          <t>40 - 60</t>
        </is>
      </c>
      <c r="E37" s="8" t="n"/>
      <c r="F37" s="8" t="n"/>
    </row>
    <row r="38">
      <c r="A38" s="6" t="inlineStr">
        <is>
          <t>Suelo desnudo — campo (%)</t>
        </is>
      </c>
      <c r="B38" s="7" t="inlineStr">
        <is>
          <t>Por verificar</t>
        </is>
      </c>
      <c r="C38" s="6" t="inlineStr">
        <is>
          <t>Regeneración natural</t>
        </is>
      </c>
      <c r="D38" s="7" t="inlineStr">
        <is>
          <t>Regular (10-50 pl./100m²) — por equivalencia cualitativa, NO cuantificada</t>
        </is>
      </c>
      <c r="E38" s="8" t="n"/>
      <c r="F38" s="8" t="n"/>
    </row>
    <row r="39">
      <c r="A39" s="6" t="inlineStr">
        <is>
          <t>Nivel general de erosión</t>
        </is>
      </c>
      <c r="B39" s="7" t="inlineStr">
        <is>
          <t>Moderada (surcos)</t>
        </is>
      </c>
      <c r="C39" s="6" t="inlineStr">
        <is>
          <t>N.° de cárcavas registradas</t>
        </is>
      </c>
      <c r="D39" s="7" t="n">
        <v>0</v>
      </c>
      <c r="E39" s="8" t="n"/>
      <c r="F39" s="8" t="n"/>
    </row>
    <row r="40" ht="18" customHeight="1">
      <c r="A40" s="6" t="inlineStr">
        <is>
          <t>Elenco florístico (n.° de taxones)</t>
        </is>
      </c>
      <c r="B40" s="7" t="n">
        <v>6</v>
      </c>
      <c r="C40" s="6" t="inlineStr">
        <is>
          <t>Estado sanitario</t>
        </is>
      </c>
      <c r="D40" s="7" t="inlineStr">
        <is>
          <t>Daño mecánico</t>
        </is>
      </c>
      <c r="E40" s="8" t="n"/>
      <c r="F40" s="8" t="n"/>
    </row>
    <row r="41"/>
    <row r="42">
      <c r="A42" s="5" t="inlineStr">
        <is>
          <t>5. RESPONSABLE Y MODALIDAD DE LA EVALUACIÓN</t>
        </is>
      </c>
    </row>
    <row r="43">
      <c r="A43" s="6" t="inlineStr">
        <is>
          <t>Responsable de la evaluación</t>
        </is>
      </c>
      <c r="B43" s="7" t="inlineStr">
        <is>
          <t>Por verificar</t>
        </is>
      </c>
      <c r="C43" s="6" t="inlineStr">
        <is>
          <t>Fecha de evaluación</t>
        </is>
      </c>
      <c r="D43" s="7" t="inlineStr">
        <is>
          <t>2026-07-02</t>
        </is>
      </c>
      <c r="E43" s="8" t="n"/>
      <c r="F43" s="8" t="n"/>
    </row>
    <row r="44">
      <c r="A44" s="6" t="inlineStr">
        <is>
          <t>Hora de registro</t>
        </is>
      </c>
      <c r="B44" s="7" t="inlineStr">
        <is>
          <t>16:02 - 16:21 h</t>
        </is>
      </c>
      <c r="C44" s="6" t="inlineStr">
        <is>
          <t>Correlativo de ficha</t>
        </is>
      </c>
      <c r="D44" s="7" t="inlineStr">
        <is>
          <t>Por verificar</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instalada (recorrido de reconocimiento)</t>
        </is>
      </c>
      <c r="E46" s="8" t="n"/>
      <c r="F46" s="8" t="n"/>
    </row>
    <row r="47" ht="18" customHeight="1">
      <c r="A47" s="6" t="inlineStr">
        <is>
          <t>Estaciones fotográficas georreferenciadas</t>
        </is>
      </c>
      <c r="B47" s="7" t="n">
        <v>12</v>
      </c>
      <c r="C47" s="6" t="inlineStr">
        <is>
          <t>Modalidad de acceso</t>
        </is>
      </c>
      <c r="D47" s="7" t="inlineStr">
        <is>
          <t>Vehicular 4x4 hasta el bloque</t>
        </is>
      </c>
      <c r="E47" s="8" t="n"/>
      <c r="F47" s="8" t="n"/>
    </row>
    <row r="48"/>
    <row r="49">
      <c r="A49" s="5" t="inlineStr">
        <is>
          <t>6. SÍNTESIS PARA LA GESTIÓN DEL RIESGO EN CONTEXTO DE CAMBIO CLIMÁTICO</t>
        </is>
      </c>
    </row>
    <row r="50">
      <c r="A50" s="6" t="inlineStr">
        <is>
          <t>Causa subyacente principal</t>
        </is>
      </c>
      <c r="B50" s="7" t="inlineStr">
        <is>
          <t>Ejecución de una obra vial sin medidas de manejo ambiental ni revegetación de taludes, sobre un ecosistema de bosque seco</t>
        </is>
      </c>
      <c r="C50" s="6" t="inlineStr">
        <is>
          <t>Velocidad de degradación</t>
        </is>
      </c>
      <c r="D50" s="7" t="inlineStr">
        <is>
          <t>Rápida</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Alta</t>
        </is>
      </c>
      <c r="C52" s="6" t="inlineStr">
        <is>
          <t>Zona de recarga hídrica</t>
        </is>
      </c>
      <c r="D52" s="7" t="inlineStr">
        <is>
          <t>No (condición no evaluada)</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9" t="n"/>
      <c r="C56" s="39" t="n"/>
      <c r="D56" s="39" t="n"/>
      <c r="E56" s="39" t="n"/>
      <c r="F56" s="40"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v>
      </c>
      <c r="C10" s="19" t="n">
        <v>0</v>
      </c>
      <c r="D10" s="11" t="inlineStr">
        <is>
          <t>Vigor alto</t>
        </is>
      </c>
      <c r="E10" s="11" t="inlineStr">
        <is>
          <t>Sobre umbral</t>
        </is>
      </c>
    </row>
    <row r="11">
      <c r="A11" s="12" t="inlineStr">
        <is>
          <t>0.4976 - 0.6139</t>
        </is>
      </c>
      <c r="B11" s="20" t="n">
        <v>0.0679</v>
      </c>
      <c r="C11" s="21" t="n">
        <v>0.16</v>
      </c>
      <c r="D11" s="13" t="inlineStr">
        <is>
          <t>Vigor moderado</t>
        </is>
      </c>
      <c r="E11" s="13" t="inlineStr">
        <is>
          <t>Sobre umbral</t>
        </is>
      </c>
    </row>
    <row r="12">
      <c r="A12" s="7" t="inlineStr">
        <is>
          <t>0.3813 - 0.4976</t>
        </is>
      </c>
      <c r="B12" s="18" t="n">
        <v>7.8278</v>
      </c>
      <c r="C12" s="19" t="n">
        <v>18.44</v>
      </c>
      <c r="D12" s="11" t="inlineStr">
        <is>
          <t>Vigor bajo</t>
        </is>
      </c>
      <c r="E12" s="11" t="inlineStr">
        <is>
          <t>BAJO umbral 0.4976</t>
        </is>
      </c>
    </row>
    <row r="13">
      <c r="A13" s="14" t="inlineStr">
        <is>
          <t>0.2650 - 0.3813</t>
        </is>
      </c>
      <c r="B13" s="32" t="n">
        <v>30.7423</v>
      </c>
      <c r="C13" s="31" t="n">
        <v>72.42</v>
      </c>
      <c r="D13" s="15" t="inlineStr">
        <is>
          <t>Vigor muy bajo</t>
        </is>
      </c>
      <c r="E13" s="15" t="inlineStr">
        <is>
          <t>BAJO umbral 0.4976</t>
        </is>
      </c>
    </row>
    <row r="14">
      <c r="A14" s="7" t="inlineStr">
        <is>
          <t>&lt;= 0.2650</t>
        </is>
      </c>
      <c r="B14" s="18" t="n">
        <v>3.812</v>
      </c>
      <c r="C14" s="19" t="n">
        <v>8.98</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0.332263</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9" t="n"/>
      <c r="C18" s="39" t="n"/>
      <c r="D18" s="39" t="n"/>
      <c r="E18" s="40"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mediana</t>
        </is>
      </c>
      <c r="B22" s="18" t="n">
        <v>6.1053</v>
      </c>
      <c r="C22" s="19" t="n">
        <v>14.38</v>
      </c>
      <c r="D22" s="11" t="inlineStr">
        <is>
          <t>Pastizal cultivado, matorral ralo, parcelas agrícolas</t>
        </is>
      </c>
      <c r="E22" s="11" t="inlineStr"/>
    </row>
    <row r="23">
      <c r="A23" s="12" t="inlineStr">
        <is>
          <t>Vegetación ligera</t>
        </is>
      </c>
      <c r="B23" s="20" t="n">
        <v>34.7541</v>
      </c>
      <c r="C23" s="21" t="n">
        <v>81.83</v>
      </c>
      <c r="D23" s="13" t="inlineStr">
        <is>
          <t>Cobertura discontinua, suelo parcialmente expuesto</t>
        </is>
      </c>
      <c r="E23" s="13" t="inlineStr"/>
    </row>
    <row r="24">
      <c r="A24" s="7" t="inlineStr">
        <is>
          <t>Tierra desnuda</t>
        </is>
      </c>
      <c r="B24" s="18" t="n">
        <v>1.6125</v>
      </c>
      <c r="C24" s="19" t="n">
        <v>3.8</v>
      </c>
      <c r="D24" s="11" t="inlineStr">
        <is>
          <t>Suelo desnudo, afloramientos, plataformas y taludes</t>
        </is>
      </c>
      <c r="E24" s="11" t="inlineStr"/>
    </row>
    <row r="25">
      <c r="A25" s="16" t="inlineStr">
        <is>
          <t>TOTAL CLASIFICADO</t>
        </is>
      </c>
      <c r="B25" s="22">
        <f>SUM(B21:B23)</f>
        <v/>
      </c>
      <c r="C25" s="23">
        <f>SUM(C21:C23)</f>
        <v/>
      </c>
      <c r="D25" s="17" t="inlineStr"/>
      <c r="E25" s="17" t="inlineStr"/>
    </row>
    <row r="26">
      <c r="A26" s="24" t="inlineStr">
        <is>
          <t>Superficie de catálogo (V5/V6)</t>
        </is>
      </c>
      <c r="B26" s="25" t="n">
        <v>42.45</v>
      </c>
      <c r="C26" s="25" t="inlineStr">
        <is>
          <t>—</t>
        </is>
      </c>
      <c r="D26" s="25" t="inlineStr">
        <is>
          <t>Desviación planimétrica frente al catálogo</t>
        </is>
      </c>
      <c r="E26" s="25" t="inlineStr">
        <is>
          <t>+0.05 %</t>
        </is>
      </c>
    </row>
    <row r="27" ht="72" customHeight="1"/>
    <row r="28">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28" s="39" t="n"/>
      <c r="C28" s="39" t="n"/>
      <c r="D28" s="39" t="n"/>
      <c r="E28" s="40" t="n"/>
    </row>
  </sheetData>
  <mergeCells count="10">
    <mergeCell ref="A4:E4"/>
    <mergeCell ref="A20:E20"/>
    <mergeCell ref="A2:E2"/>
    <mergeCell ref="A28:E28"/>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M17B1</t>
        </is>
      </c>
    </row>
    <row r="6" ht="24" customHeight="1">
      <c r="A6" s="4" t="inlineStr">
        <is>
          <t>Levantamiento del 2026-07-02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600020</v>
      </c>
      <c r="D10" s="26" t="n">
        <v>9440272</v>
      </c>
      <c r="E10" s="11" t="n">
        <v>645.2</v>
      </c>
      <c r="F10" s="11" t="inlineStr"/>
      <c r="G10" s="11" t="inlineStr">
        <is>
          <t>Coordenada consignada en F-DT-01</t>
        </is>
      </c>
    </row>
    <row r="11">
      <c r="A11" s="12" t="inlineStr">
        <is>
          <t>P-01</t>
        </is>
      </c>
      <c r="B11" s="13" t="inlineStr">
        <is>
          <t>Estación fotográfica</t>
        </is>
      </c>
      <c r="C11" s="27" t="n">
        <v>600020</v>
      </c>
      <c r="D11" s="27" t="n">
        <v>9440272</v>
      </c>
      <c r="E11" s="13" t="n">
        <v>645.2</v>
      </c>
      <c r="F11" s="13" t="inlineStr"/>
      <c r="G11" s="13" t="inlineStr">
        <is>
          <t>Registro fotográfico georreferenciado</t>
        </is>
      </c>
    </row>
    <row r="12">
      <c r="A12" s="7" t="inlineStr">
        <is>
          <t>P-caída de rocas</t>
        </is>
      </c>
      <c r="B12" s="11" t="inlineStr">
        <is>
          <t>Estación fotográfica</t>
        </is>
      </c>
      <c r="C12" s="26" t="n">
        <v>600587</v>
      </c>
      <c r="D12" s="26" t="n">
        <v>9440722</v>
      </c>
      <c r="E12" s="11" t="n">
        <v>291.6</v>
      </c>
      <c r="F12" s="11" t="inlineStr"/>
      <c r="G12" s="11" t="inlineStr">
        <is>
          <t>Registro fotográfico georreferenciado</t>
        </is>
      </c>
    </row>
    <row r="13">
      <c r="A13" s="12" t="inlineStr">
        <is>
          <t>P-surcos</t>
        </is>
      </c>
      <c r="B13" s="13" t="inlineStr">
        <is>
          <t>Estación fotográfica</t>
        </is>
      </c>
      <c r="C13" s="27" t="n">
        <v>600547</v>
      </c>
      <c r="D13" s="27" t="n">
        <v>9440698</v>
      </c>
      <c r="E13" s="13" t="n">
        <v>279.4</v>
      </c>
      <c r="F13" s="13" t="inlineStr"/>
      <c r="G13" s="13" t="inlineStr">
        <is>
          <t>Registro fotográfico georreferenciado</t>
        </is>
      </c>
    </row>
    <row r="14">
      <c r="A14" s="7" t="inlineStr">
        <is>
          <t>P-laminar</t>
        </is>
      </c>
      <c r="B14" s="11" t="inlineStr">
        <is>
          <t>Estación fotográfica</t>
        </is>
      </c>
      <c r="C14" s="26" t="n">
        <v>600601</v>
      </c>
      <c r="D14" s="26" t="n">
        <v>9440729</v>
      </c>
      <c r="E14" s="11" t="n">
        <v>296.1</v>
      </c>
      <c r="F14" s="11" t="inlineStr"/>
      <c r="G14" s="11" t="inlineStr">
        <is>
          <t>Registro fotográfico georreferenciado</t>
        </is>
      </c>
    </row>
    <row r="15">
      <c r="A15" s="12" t="inlineStr">
        <is>
          <t>P-final</t>
        </is>
      </c>
      <c r="B15" s="13" t="inlineStr">
        <is>
          <t>Estación fotográfica</t>
        </is>
      </c>
      <c r="C15" s="27" t="n">
        <v>601042</v>
      </c>
      <c r="D15" s="27" t="n">
        <v>9440961</v>
      </c>
      <c r="E15" s="13" t="n">
        <v>658.8</v>
      </c>
      <c r="F15" s="13" t="inlineStr"/>
      <c r="G15" s="13" t="inlineStr">
        <is>
          <t>Registro fotográfico georreferenciado</t>
        </is>
      </c>
    </row>
    <row r="16">
      <c r="A16" s="7" t="inlineStr">
        <is>
          <t>H-01</t>
        </is>
      </c>
      <c r="B16" s="11" t="inlineStr">
        <is>
          <t>Fuente de agua — Río</t>
        </is>
      </c>
      <c r="C16" s="26" t="inlineStr">
        <is>
          <t>Por verificar</t>
        </is>
      </c>
      <c r="D16" s="26" t="inlineStr">
        <is>
          <t>Por verificar</t>
        </is>
      </c>
      <c r="E16" s="11" t="inlineStr"/>
      <c r="F16" s="11" t="inlineStr">
        <is>
          <t>Permanente</t>
        </is>
      </c>
      <c r="G16" s="11" t="inlineStr">
        <is>
          <t>Río Piura. Cauce ancho</t>
        </is>
      </c>
    </row>
    <row r="17">
      <c r="A17" s="12" t="inlineStr">
        <is>
          <t>H-02</t>
        </is>
      </c>
      <c r="B17" s="13" t="inlineStr">
        <is>
          <t>Fuente de agua — Quebrada estacional</t>
        </is>
      </c>
      <c r="C17" s="27" t="inlineStr">
        <is>
          <t>Por verificar</t>
        </is>
      </c>
      <c r="D17" s="27" t="inlineStr">
        <is>
          <t>Por verificar</t>
        </is>
      </c>
      <c r="E17" s="13" t="inlineStr"/>
      <c r="F17" s="13" t="inlineStr">
        <is>
          <t>Efímero</t>
        </is>
      </c>
      <c r="G17" s="13" t="inlineStr">
        <is>
          <t>Cauces efímeros de bajo orden</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600644</v>
      </c>
      <c r="C20" s="6" t="inlineStr">
        <is>
          <t>Centroide del bloque — UTM NORTE (m)</t>
        </is>
      </c>
      <c r="D20" s="7" t="n">
        <v>9440436</v>
      </c>
      <c r="E20" s="8" t="n"/>
      <c r="F20" s="8" t="n"/>
      <c r="G20" s="8" t="n"/>
      <c r="H20" s="8" t="n"/>
    </row>
    <row r="21">
      <c r="A21" s="6" t="inlineStr">
        <is>
          <t>N.° de estaciones fotográficas declaradas</t>
        </is>
      </c>
      <c r="B21" s="7" t="n">
        <v>12</v>
      </c>
      <c r="C21" s="6" t="inlineStr">
        <is>
          <t>Estaciones dentro del polígono</t>
        </is>
      </c>
      <c r="D21" s="7" t="inlineStr">
        <is>
          <t>Por determinar (faja vial)</t>
        </is>
      </c>
      <c r="E21" s="8" t="n"/>
      <c r="F21" s="8" t="n"/>
      <c r="G21" s="8" t="n"/>
      <c r="H21" s="8" t="n"/>
    </row>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DEL LEVANTAMIENTO: verificación del 02/07/2026. SE RECORRIÓ LA FAJA DE LA TROCHA CARROZABLE (APROX. 25% DEL BLOQUE); EL INTERIOR NO FUE RECORRIDO A PIE. 12 puntos GPS y 12 registros fotográficos (Garmin 66sr). Rango de los puntos: 600 020-601 042 E · 9 440 272-9 440 961 N. FISIOGRAFÍA: perfil sobre transecto de 622 m: desnivel +91.2 / −17.1 m; pendiente media 14.6% y máxima 34.5%; altitudes 184-259 msnm. VALORES VÁLIDOS PARA EL SECTOR BAJO; EL SECTOR ALTO NO FUE TRANSECTADO. INDICIOS DE REMOCIÓN EN MASA: LOS AFLORAMIENTOS Y ESCARPES REGISTRADOS SON DE ORIGEN ANTRÓPICO (cortes de talud de 2-3 m, localmente &gt;3 m, en material coluvial suelto con bolonería embebida). SE REGISTRÓ CAÍDA DE ROCAS ACTIVA: bolonería desprendida acumulada sobre la plataforma vial (600 587 · 9 440 722). DISCREPANCIA A RESOLVER: el catálogo maestro asigna 42.45 ha y centroide 600 644 · 9 440 436; LA FICHA DE CAMPO PREVIA CONSIGNABA 30.348 ha. Prevalece el valor del catálogo. PENDIENTE: brigada/responsable, N.° de ficha, altitud GPS del punto de muestreo, comunidad campesina y tenencia predial.</t>
        </is>
      </c>
      <c r="B23" s="39" t="n"/>
      <c r="C23" s="39" t="n"/>
      <c r="D23" s="39" t="n"/>
      <c r="E23" s="39" t="n"/>
      <c r="F23" s="39" t="n"/>
      <c r="G23" s="40"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M17B1</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M17B7</t>
        </is>
      </c>
      <c r="B10" s="28" t="n">
        <v>258.84</v>
      </c>
      <c r="C10" s="19" t="n">
        <v>29.57</v>
      </c>
      <c r="D10" s="11" t="inlineStr">
        <is>
          <t>553 – 1517</t>
        </is>
      </c>
      <c r="E10" s="11" t="n">
        <v>964</v>
      </c>
      <c r="F10" s="11" t="n">
        <v>29.82</v>
      </c>
      <c r="G10" s="18" t="n">
        <v>0.5087</v>
      </c>
      <c r="H10" s="19" t="n">
        <v>58.63</v>
      </c>
    </row>
    <row r="11">
      <c r="A11" s="12" t="inlineStr">
        <is>
          <t>M17B4</t>
        </is>
      </c>
      <c r="B11" s="29" t="n">
        <v>124.71</v>
      </c>
      <c r="C11" s="21" t="n">
        <v>14.25</v>
      </c>
      <c r="D11" s="13" t="inlineStr">
        <is>
          <t>294 – 629</t>
        </is>
      </c>
      <c r="E11" s="13" t="n">
        <v>335</v>
      </c>
      <c r="F11" s="13" t="n">
        <v>18.69</v>
      </c>
      <c r="G11" s="20" t="n">
        <v>0.4235</v>
      </c>
      <c r="H11" s="21" t="n">
        <v>3.97</v>
      </c>
    </row>
    <row r="12">
      <c r="A12" s="7" t="inlineStr">
        <is>
          <t>M17B6</t>
        </is>
      </c>
      <c r="B12" s="28" t="n">
        <v>106.54</v>
      </c>
      <c r="C12" s="19" t="n">
        <v>12.17</v>
      </c>
      <c r="D12" s="11" t="inlineStr">
        <is>
          <t>403 – 1049</t>
        </is>
      </c>
      <c r="E12" s="11" t="n">
        <v>646</v>
      </c>
      <c r="F12" s="11" t="n">
        <v>23.42</v>
      </c>
      <c r="G12" s="18" t="n">
        <v>0.4464</v>
      </c>
      <c r="H12" s="19" t="n">
        <v>18.53</v>
      </c>
    </row>
    <row r="13">
      <c r="A13" s="12" t="inlineStr">
        <is>
          <t>22</t>
        </is>
      </c>
      <c r="B13" s="29" t="n">
        <v>79.33</v>
      </c>
      <c r="C13" s="21" t="n">
        <v>9.06</v>
      </c>
      <c r="D13" s="13" t="inlineStr">
        <is>
          <t>235 – 596</t>
        </is>
      </c>
      <c r="E13" s="13" t="n">
        <v>361</v>
      </c>
      <c r="F13" s="13" t="n">
        <v>22.51</v>
      </c>
      <c r="G13" s="20" t="n">
        <v>0.4232</v>
      </c>
      <c r="H13" s="21" t="n">
        <v>0.32</v>
      </c>
    </row>
    <row r="14">
      <c r="A14" s="7" t="inlineStr">
        <is>
          <t>27</t>
        </is>
      </c>
      <c r="B14" s="28" t="n">
        <v>78.15000000000001</v>
      </c>
      <c r="C14" s="19" t="n">
        <v>8.93</v>
      </c>
      <c r="D14" s="11" t="inlineStr">
        <is>
          <t>1518 – 1895</t>
        </is>
      </c>
      <c r="E14" s="11" t="n">
        <v>377</v>
      </c>
      <c r="F14" s="11" t="n">
        <v>30.25</v>
      </c>
      <c r="G14" s="18" t="n">
        <v>0.5323</v>
      </c>
      <c r="H14" s="19" t="n">
        <v>64.75</v>
      </c>
    </row>
    <row r="15">
      <c r="A15" s="12" t="inlineStr">
        <is>
          <t>M17B10</t>
        </is>
      </c>
      <c r="B15" s="29" t="n">
        <v>75.36</v>
      </c>
      <c r="C15" s="21" t="n">
        <v>8.609999999999999</v>
      </c>
      <c r="D15" s="13" t="inlineStr">
        <is>
          <t>466 – 902</t>
        </is>
      </c>
      <c r="E15" s="13" t="n">
        <v>436</v>
      </c>
      <c r="F15" s="13" t="n">
        <v>25.94</v>
      </c>
      <c r="G15" s="20" t="n">
        <v>0.4725</v>
      </c>
      <c r="H15" s="21" t="n">
        <v>29.2</v>
      </c>
    </row>
    <row r="16">
      <c r="A16" s="7" t="inlineStr">
        <is>
          <t>M17B5</t>
        </is>
      </c>
      <c r="B16" s="28" t="n">
        <v>74.03</v>
      </c>
      <c r="C16" s="19" t="n">
        <v>8.460000000000001</v>
      </c>
      <c r="D16" s="11" t="inlineStr">
        <is>
          <t>794 – 1317</t>
        </is>
      </c>
      <c r="E16" s="11" t="n">
        <v>523</v>
      </c>
      <c r="F16" s="11" t="n">
        <v>27.42</v>
      </c>
      <c r="G16" s="18" t="n">
        <v>0.5482</v>
      </c>
      <c r="H16" s="19" t="n">
        <v>61.34</v>
      </c>
    </row>
    <row r="17">
      <c r="A17" s="14" t="inlineStr">
        <is>
          <t>► M17B1</t>
        </is>
      </c>
      <c r="B17" s="30" t="n">
        <v>42.45</v>
      </c>
      <c r="C17" s="31" t="n">
        <v>4.85</v>
      </c>
      <c r="D17" s="15" t="inlineStr">
        <is>
          <t>177 – 313</t>
        </is>
      </c>
      <c r="E17" s="15" t="n">
        <v>136</v>
      </c>
      <c r="F17" s="15" t="n">
        <v>14.73</v>
      </c>
      <c r="G17" s="32" t="n">
        <v>0.3323</v>
      </c>
      <c r="H17" s="31" t="n">
        <v>0</v>
      </c>
    </row>
    <row r="18">
      <c r="A18" s="7" t="inlineStr">
        <is>
          <t>32</t>
        </is>
      </c>
      <c r="B18" s="28" t="n">
        <v>35.83</v>
      </c>
      <c r="C18" s="19" t="n">
        <v>4.09</v>
      </c>
      <c r="D18" s="11" t="inlineStr">
        <is>
          <t>197 – 269</t>
        </is>
      </c>
      <c r="E18" s="11" t="n">
        <v>72</v>
      </c>
      <c r="F18" s="11" t="n">
        <v>12.87</v>
      </c>
      <c r="G18" s="18" t="n">
        <v>0.3716</v>
      </c>
      <c r="H18" s="19" t="inlineStr">
        <is>
          <t>Por determinar</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39" t="n"/>
      <c r="C20" s="39" t="n"/>
      <c r="D20" s="39" t="n"/>
      <c r="E20" s="39" t="n"/>
      <c r="F20" s="39" t="n"/>
      <c r="G20" s="39" t="n"/>
      <c r="H20" s="40" t="n"/>
    </row>
    <row r="22" ht="84" customHeight="1">
      <c r="A22" s="9" t="inlineStr">
        <is>
          <t>LECTURA INTRAMICROCUENCA. El bloque M17B1 ocupa el puesto 8 de 9 por superficie dentro de la microcuenca C1096-Q9556 (4.85 % de las 875.24 ha preliminares de la microcuenca). Su pendiente promedio (14.73 %, clase «8-15% (Mod. inclinado)») es la 2.ª más baja de 9 y se sitúa por debajo del promedio de la microcuenca (22.85 %). Su MSAVI 2024 (0.3323) es el 9.º de 9 y queda por debajo del promedio local (0.4510). Amplitud altitudinal del bloque: 136 m (177–313 msnm). El cuadro conserva todos los bloques catalogados en la microcuenca, incluidos los descartados en el tamizaje, para referencia del conjunto. Los bloques sin ficha DT figuran con sus parámetros de gabinete.</t>
        </is>
      </c>
      <c r="B22" s="39" t="n"/>
      <c r="C22" s="39" t="n"/>
      <c r="D22" s="39" t="n"/>
      <c r="E22" s="39" t="n"/>
      <c r="F22" s="39" t="n"/>
      <c r="G22" s="39" t="n"/>
      <c r="H22" s="40"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4" s="39" t="n"/>
      <c r="C24" s="39" t="n"/>
      <c r="D24" s="39" t="n"/>
      <c r="E24" s="39" t="n"/>
      <c r="F24" s="39" t="n"/>
      <c r="G24" s="39" t="n"/>
      <c r="H24" s="40" t="n"/>
    </row>
  </sheetData>
  <mergeCells count="10">
    <mergeCell ref="A1:H1"/>
    <mergeCell ref="A4:H4"/>
    <mergeCell ref="A3:H3"/>
    <mergeCell ref="A20:H20"/>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645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(42.472 ha) coincide con la de catálogo (42.45 ha) dentro del ±2 % (+0.05 %)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6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Centro poblado asociado</t>
        </is>
      </c>
      <c r="C14" s="34" t="inlineStr">
        <is>
          <t>La ficha DT declara «C.P. Papelillo»; el cruce INEI-Bloques V5 identifica 1 centro(s) poblado(s) en el bloque: PAPELILLO</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4" t="inlineStr">
        <is>
          <t>D-07</t>
        </is>
      </c>
      <c r="B16" s="34" t="inlineStr">
        <is>
          <t>Plan de Ingreso</t>
        </is>
      </c>
      <c r="C16" s="34" t="inlineStr">
        <is>
          <t>Altitud = 0 msnm (captura por defecto del aplicativo)</t>
        </is>
      </c>
      <c r="D16" s="38" t="inlineStr">
        <is>
          <t>CORREGIDO</t>
        </is>
      </c>
      <c r="E16" s="34" t="inlineStr">
        <is>
          <t>Se reemplaza por el rango del transecto 184-259 msnm</t>
        </is>
      </c>
    </row>
    <row r="17" ht="48" customHeight="1">
      <c r="A17" s="36" t="inlineStr">
        <is>
          <t>D-08</t>
        </is>
      </c>
      <c r="B17" s="36" t="inlineStr">
        <is>
          <t>F-DT-01</t>
        </is>
      </c>
      <c r="C17" s="36" t="inlineStr">
        <is>
          <t>DISCREPANCIA DE ÁREA: catálogo maestro 42.45 ha frente a 30.348 ha de la ficha de campo previa</t>
        </is>
      </c>
      <c r="D17" s="37" t="inlineStr">
        <is>
          <t>SUSTANTIVA</t>
        </is>
      </c>
      <c r="E17" s="36" t="inlineStr">
        <is>
          <t>Prevalece el catálogo; verificar el origen del dato de 30.348 ha antes de consolidar el entregable</t>
        </is>
      </c>
    </row>
    <row r="18" ht="48" customHeight="1">
      <c r="A18" s="34" t="inlineStr">
        <is>
          <t>D-09</t>
        </is>
      </c>
      <c r="B18" s="34" t="inlineStr">
        <is>
          <t>F-DT-01</t>
        </is>
      </c>
      <c r="C18" s="34" t="inlineStr">
        <is>
          <t>Completitud del levantamiento ≈25% (faja de la trocha); el interior no fue recorrido a pie</t>
        </is>
      </c>
      <c r="D18" s="37" t="inlineStr">
        <is>
          <t>SUSTANTIVA</t>
        </is>
      </c>
      <c r="E18" s="34" t="inlineStr">
        <is>
          <t>Segunda salida de campo requerida</t>
        </is>
      </c>
    </row>
    <row r="19" ht="48" customHeight="1">
      <c r="A19" s="36" t="inlineStr">
        <is>
          <t>D-10</t>
        </is>
      </c>
      <c r="B19" s="36" t="inlineStr">
        <is>
          <t>F-DT-01</t>
        </is>
      </c>
      <c r="C19" s="36" t="inlineStr">
        <is>
          <t>Brigada/responsable, N.° de ficha, altitud GPS del punto de muestreo, comunidad campesina y tenencia predial sin consignar</t>
        </is>
      </c>
      <c r="D19" s="37" t="inlineStr">
        <is>
          <t>SUSTANTIVA</t>
        </is>
      </c>
      <c r="E19" s="36" t="inlineStr">
        <is>
          <t>Por completar</t>
        </is>
      </c>
    </row>
    <row r="20" ht="48" customHeight="1">
      <c r="A20" s="34" t="inlineStr">
        <is>
          <t>D-11</t>
        </is>
      </c>
      <c r="B20" s="34" t="inlineStr">
        <is>
          <t>F-DT-02</t>
        </is>
      </c>
      <c r="C20" s="34" t="inlineStr">
        <is>
          <t>Sellamiento/costra y raíces expuestas no evaluados; inventario de cárcavas deliberadamente en blanco</t>
        </is>
      </c>
      <c r="D20" s="15" t="inlineStr">
        <is>
          <t>NO SUSTANTIVA</t>
        </is>
      </c>
      <c r="E20" s="34" t="inlineStr">
        <is>
          <t>Declarado en la propia ficha</t>
        </is>
      </c>
    </row>
    <row r="21" ht="48" customHeight="1">
      <c r="A21" s="36" t="inlineStr">
        <is>
          <t>D-12</t>
        </is>
      </c>
      <c r="B21" s="36" t="inlineStr">
        <is>
          <t>F-DT-03</t>
        </is>
      </c>
      <c r="C21" s="36" t="inlineStr">
        <is>
          <t>Listado florístico preliminar (6 taxones) con nombres científicos asignados por correspondencia con el nombre común</t>
        </is>
      </c>
      <c r="D21" s="37" t="inlineStr">
        <is>
          <t>SUSTANTIVA</t>
        </is>
      </c>
      <c r="E21" s="36" t="inlineStr">
        <is>
          <t>Requiere colecta botánica</t>
        </is>
      </c>
    </row>
    <row r="22" ht="48" customHeight="1">
      <c r="A22" s="34" t="inlineStr">
        <is>
          <t>D-13</t>
        </is>
      </c>
      <c r="B22" s="34" t="inlineStr">
        <is>
          <t>F-DT-03</t>
        </is>
      </c>
      <c r="C22" s="34" t="inlineStr">
        <is>
          <t>Coberturas por estrato, altura máxima, DAP y superficie de ecosistema sin medir</t>
        </is>
      </c>
      <c r="D22" s="37" t="inlineStr">
        <is>
          <t>SUSTANTIVA</t>
        </is>
      </c>
      <c r="E22" s="34" t="inlineStr">
        <is>
          <t>Por verificar</t>
        </is>
      </c>
    </row>
    <row r="23" ht="48" customHeight="1">
      <c r="A23" s="36" t="inlineStr">
        <is>
          <t>D-14</t>
        </is>
      </c>
      <c r="B23" s="36" t="inlineStr">
        <is>
          <t>F-DT-04</t>
        </is>
      </c>
      <c r="C23" s="36" t="inlineStr">
        <is>
          <t>6 de los 8 indicadores cuantitativos por verificar; celdas de presencia en blanco no equivalen a ausencia</t>
        </is>
      </c>
      <c r="D23" s="37" t="inlineStr">
        <is>
          <t>SUSTANTIVA</t>
        </is>
      </c>
      <c r="E23" s="36" t="inlineStr">
        <is>
          <t>Cuantificación pendiente</t>
        </is>
      </c>
    </row>
    <row r="24" ht="48" customHeight="1">
      <c r="A24" s="34" t="inlineStr">
        <is>
          <t>D-15</t>
        </is>
      </c>
      <c r="B24" s="34" t="inlineStr">
        <is>
          <t>F-DT-05</t>
        </is>
      </c>
      <c r="C24" s="34" t="inlineStr">
        <is>
          <t>HALLAZGO CRÍTICO: obra vial en ejecución DENTRO del polígono (progresiva 1+020)</t>
        </is>
      </c>
      <c r="D24" s="37" t="inlineStr">
        <is>
          <t>SUSTANTIVA</t>
        </is>
      </c>
      <c r="E24" s="34" t="inlineStr">
        <is>
          <t>Verificar superposición con el derecho de vía, titularidad y compatibilidad ANTES de consolidar el bloque</t>
        </is>
      </c>
    </row>
    <row r="25">
      <c r="A25" s="34" t="inlineStr">
        <is>
          <t>D-16</t>
        </is>
      </c>
      <c r="B25" s="34" t="inlineStr">
        <is>
          <t>Distribución areal de clases MSAVI 2024</t>
        </is>
      </c>
      <c r="C25" s="34" t="inlineStr">
        <is>
          <t>La hoja «Cobertura MSAVI-NDVI» consignaba «Por determinar» en la distribución areal de clases MSAVI 2024; se incorpora el metrado por clase medido sobre la cartografía temática MSAVI 2024 del bloque: 99.84 % del bloque (42.382 ha) bajo el umbral 0.4976 y 0.16 % sobre el umbral; clase areal dominante «Vigor muy bajo».</t>
        </is>
      </c>
      <c r="D25" s="37" t="inlineStr">
        <is>
          <t>CORREGIDO</t>
        </is>
      </c>
      <c r="E25"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6"/>
    <row r="27">
      <c r="A27" s="16" t="inlineStr">
        <is>
          <t>RESUMEN</t>
        </is>
      </c>
      <c r="B27" s="17" t="inlineStr">
        <is>
          <t>16 verificaciones</t>
        </is>
      </c>
      <c r="C27" s="17" t="inlineStr">
        <is>
          <t>CONFORME: 4 · NO SUSTANTIVA: 1 · SUSTANTIVA: 9 · CORREGIDO: 2</t>
        </is>
      </c>
      <c r="D27" s="17" t="inlineStr"/>
      <c r="E27" s="17" t="inlineStr"/>
    </row>
    <row r="28" ht="60" customHeight="1"/>
    <row r="29">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9" s="39" t="n"/>
      <c r="C29" s="39" t="n"/>
      <c r="D29" s="39" t="n"/>
      <c r="E29" s="40" t="n"/>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M17B1 — IN Piura</dc:title>
  <dc:subject>Diagnóstico Territorial por bloque de intervención</dc:subject>
  <dcterms:created xsi:type="dcterms:W3CDTF">2026-09-08T03:39:53Z</dcterms:created>
  <dcterms:modified xsi:type="dcterms:W3CDTF">2026-09-09T14:49:45Z</dcterms:modified>
</cp:coreProperties>
</file>