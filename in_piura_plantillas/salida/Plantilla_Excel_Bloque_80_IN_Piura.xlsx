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80</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80</t>
        </is>
      </c>
      <c r="C9" s="6" t="inlineStr">
        <is>
          <t>Microcuenca (catálogo)</t>
        </is>
      </c>
      <c r="D9" s="7" t="inlineStr">
        <is>
          <t>C1076-Q9593</t>
        </is>
      </c>
      <c r="E9" s="8" t="n"/>
      <c r="F9" s="8" t="n"/>
    </row>
    <row r="10">
      <c r="A10" s="6" t="inlineStr">
        <is>
          <t>Zona de planificación</t>
        </is>
      </c>
      <c r="B10" s="7" t="inlineStr">
        <is>
          <t>Z14</t>
        </is>
      </c>
      <c r="C10" s="6" t="inlineStr">
        <is>
          <t>Microcuenca declarada en ficha DT</t>
        </is>
      </c>
      <c r="D10" s="7" t="inlineStr">
        <is>
          <t>C1076-Q9593</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Yumbe · Cruz Roja</t>
        </is>
      </c>
      <c r="C13" s="6" t="inlineStr">
        <is>
          <t>Comunidad campesina</t>
        </is>
      </c>
      <c r="D13" s="7" t="inlineStr">
        <is>
          <t>Por verificar</t>
        </is>
      </c>
      <c r="E13" s="8" t="n"/>
      <c r="F13" s="8" t="n"/>
    </row>
    <row r="14">
      <c r="A14" s="6" t="inlineStr">
        <is>
          <t>Superficie de catálogo (V5/V6), ha</t>
        </is>
      </c>
      <c r="B14" s="7" t="n">
        <v>28.83</v>
      </c>
      <c r="C14" s="6" t="inlineStr">
        <is>
          <t>Fuente de superficie</t>
        </is>
      </c>
      <c r="D14" s="7" t="inlineStr">
        <is>
          <t>Catálogo maestro Bloques V5/V6</t>
        </is>
      </c>
      <c r="E14" s="8" t="n"/>
      <c r="F14" s="8" t="n"/>
    </row>
    <row r="15">
      <c r="A15" s="6" t="inlineStr">
        <is>
          <t>Centroide UTM ESTE (m)</t>
        </is>
      </c>
      <c r="B15" s="7" t="n">
        <v>657160</v>
      </c>
      <c r="C15" s="6" t="inlineStr">
        <is>
          <t>Centroide UTM NORTE (m)</t>
        </is>
      </c>
      <c r="D15" s="7" t="n">
        <v>9373050</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2180</v>
      </c>
      <c r="C19" s="6" t="inlineStr">
        <is>
          <t>Altitud máxima (msnm)</t>
        </is>
      </c>
      <c r="D19" s="7" t="n">
        <v>2491</v>
      </c>
      <c r="E19" s="8" t="n"/>
      <c r="F19" s="8" t="n"/>
    </row>
    <row r="20">
      <c r="A20" s="6" t="inlineStr">
        <is>
          <t>Amplitud altitudinal (m)</t>
        </is>
      </c>
      <c r="B20" s="7" t="n">
        <v>311</v>
      </c>
      <c r="C20" s="6" t="inlineStr">
        <is>
          <t>Piso altitudinal dominante</t>
        </is>
      </c>
      <c r="D20" s="7" t="inlineStr">
        <is>
          <t>2000-2500 m (Quechua alta)</t>
        </is>
      </c>
      <c r="E20" s="8" t="n"/>
      <c r="F20" s="8" t="n"/>
    </row>
    <row r="21">
      <c r="A21" s="6" t="inlineStr">
        <is>
          <t>Pendiente promedio (%)</t>
        </is>
      </c>
      <c r="B21" s="7" t="n">
        <v>32.9</v>
      </c>
      <c r="C21" s="6" t="inlineStr">
        <is>
          <t>Pendiente promedio (grados)</t>
        </is>
      </c>
      <c r="D21" s="7" t="n">
        <v>18.2</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7" ht="18" customHeight="1">
      <c r="A27" s="5" t="inlineStr">
        <is>
          <t>3. ÍNDICES DE VEGETACIÓN (SENTINEL-2)</t>
        </is>
      </c>
    </row>
    <row r="28">
      <c r="A28" s="6" t="inlineStr">
        <is>
          <t>MSAVI 2024 — media del bloque</t>
        </is>
      </c>
      <c r="B28" s="7" t="n">
        <v>0.5931</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(78.73 %)</t>
        </is>
      </c>
      <c r="E29" s="8" t="n"/>
      <c r="F29" s="8" t="n"/>
    </row>
    <row r="30">
      <c r="A30" s="6" t="inlineStr">
        <is>
          <t>Superficie clasificada NDVI 2025 (ha)</t>
        </is>
      </c>
      <c r="B30" s="7" t="n">
        <v>28.835</v>
      </c>
      <c r="C30" s="6" t="inlineStr">
        <is>
          <t>Desviación frente al catálogo (%)</t>
        </is>
      </c>
      <c r="D30" s="7" t="n">
        <v>0.02</v>
      </c>
      <c r="E30" s="8" t="n"/>
      <c r="F30" s="8" t="n"/>
    </row>
    <row r="32" ht="18" customHeight="1">
      <c r="A32" s="5" t="inlineStr">
        <is>
          <t>4. ECOSISTEMA Y ESTADO DE CONSERVACIÓN</t>
        </is>
      </c>
    </row>
    <row r="33">
      <c r="A33" s="6" t="inlineStr">
        <is>
          <t>Tipo de ecosistema (UP)</t>
        </is>
      </c>
      <c r="B33" s="7" t="inlineStr">
        <is>
          <t>Matorral Andino subhúmedo (lectura de campo; confrontar con REPORTE_ECOSISTEMAS_BLOQUES_V5)</t>
        </is>
      </c>
      <c r="C33" s="6" t="inlineStr">
        <is>
          <t>Superficie de ecosistema (ha)</t>
        </is>
      </c>
      <c r="D33" s="7" t="inlineStr">
        <is>
          <t>Por determinar</t>
        </is>
      </c>
      <c r="E33" s="8" t="n"/>
      <c r="F33" s="8" t="n"/>
    </row>
    <row r="34">
      <c r="A34" s="6" t="inlineStr">
        <is>
          <t>Estado de conservación</t>
        </is>
      </c>
      <c r="B34" s="7" t="inlineStr">
        <is>
          <t>Alterado (intervención marcada)</t>
        </is>
      </c>
      <c r="C34" s="6" t="inlineStr">
        <is>
          <t>Uso actual dominante del suelo</t>
        </is>
      </c>
      <c r="D34" s="7" t="inlineStr">
        <is>
          <t>Uso mixto</t>
        </is>
      </c>
      <c r="E34" s="8" t="n"/>
      <c r="F34" s="8" t="n"/>
    </row>
    <row r="35">
      <c r="A35" s="6" t="inlineStr">
        <is>
          <t>Tipo de cobertura dominante</t>
        </is>
      </c>
      <c r="B35" s="7" t="inlineStr">
        <is>
          <t>Mixto / Mosaico</t>
        </is>
      </c>
      <c r="C35" s="6" t="inlineStr">
        <is>
          <t>Cobertura vegetal total — campo (%)</t>
        </is>
      </c>
      <c r="D35" s="7" t="inlineStr">
        <is>
          <t>Por determinar</t>
        </is>
      </c>
      <c r="E35" s="8" t="n"/>
      <c r="F35" s="8" t="n"/>
    </row>
    <row r="36">
      <c r="A36" s="6" t="inlineStr">
        <is>
          <t>Suelo desnudo — campo (%)</t>
        </is>
      </c>
      <c r="B36" s="7" t="inlineStr">
        <is>
          <t>En blanco (no verificado)</t>
        </is>
      </c>
      <c r="C36" s="6" t="inlineStr">
        <is>
          <t>Regeneración natural</t>
        </is>
      </c>
      <c r="D36" s="7" t="inlineStr">
        <is>
          <t>En blanco (no verificado)</t>
        </is>
      </c>
      <c r="E36" s="8" t="n"/>
      <c r="F36" s="8" t="n"/>
    </row>
    <row r="37">
      <c r="A37" s="6" t="inlineStr">
        <is>
          <t>Nivel general de erosión</t>
        </is>
      </c>
      <c r="B37" s="7" t="inlineStr">
        <is>
          <t>Severa (cárcavas activas) — síntesis: Fuerte (cárcavas incipientes)</t>
        </is>
      </c>
      <c r="C37" s="6" t="inlineStr">
        <is>
          <t>N.° de cárcavas registradas</t>
        </is>
      </c>
      <c r="D37" s="7" t="n">
        <v>1</v>
      </c>
      <c r="E37" s="8" t="n"/>
      <c r="F37" s="8" t="n"/>
    </row>
    <row r="38">
      <c r="A38" s="6" t="inlineStr">
        <is>
          <t>Elenco florístico (n.° de taxones)</t>
        </is>
      </c>
      <c r="B38" s="7" t="n">
        <v>10</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Por verificar</t>
        </is>
      </c>
      <c r="C41" s="6" t="inlineStr">
        <is>
          <t>Fecha de evaluación</t>
        </is>
      </c>
      <c r="D41" s="7" t="inlineStr">
        <is>
          <t>2026-08-19</t>
        </is>
      </c>
      <c r="E41" s="8" t="n"/>
      <c r="F41" s="8" t="n"/>
    </row>
    <row r="42">
      <c r="A42" s="6" t="inlineStr">
        <is>
          <t>Hora de registro</t>
        </is>
      </c>
      <c r="B42" s="7" t="inlineStr">
        <is>
          <t>11:40 - 11:46 h</t>
        </is>
      </c>
      <c r="C42" s="6" t="inlineStr">
        <is>
          <t>Correlativo de ficha</t>
        </is>
      </c>
      <c r="D42" s="7" t="inlineStr">
        <is>
          <t>F-DT-01/B80</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No instalada</t>
        </is>
      </c>
      <c r="E44" s="8" t="n"/>
      <c r="F44" s="8" t="n"/>
    </row>
    <row r="45">
      <c r="A45" s="6" t="inlineStr">
        <is>
          <t>Estaciones fotográficas georreferenciadas</t>
        </is>
      </c>
      <c r="B45" s="7" t="n">
        <v>11</v>
      </c>
      <c r="C45" s="6" t="inlineStr">
        <is>
          <t>Modalidad de acceso</t>
        </is>
      </c>
      <c r="D45" s="7" t="inlineStr">
        <is>
          <t>Vehicular 4x4 hasta el bloque</t>
        </is>
      </c>
      <c r="E45" s="8" t="n"/>
      <c r="F45" s="8" t="n"/>
    </row>
    <row r="47" ht="18" customHeight="1">
      <c r="A47" s="5" t="inlineStr">
        <is>
          <t>6. SÍNTESIS PARA LA GESTIÓN DEL RIESGO EN CONTEXTO DE CAMBIO CLIMÁTICO</t>
        </is>
      </c>
    </row>
    <row r="48">
      <c r="A48" s="6" t="inlineStr">
        <is>
          <t>Causa subyacente principal</t>
        </is>
      </c>
      <c r="B48" s="7" t="inlineStr">
        <is>
          <t>Sustitución del ecosistema natural por un mosaico agro-silvo-pastoril de especies introducidas, acelerada por la reciente apertura vial</t>
        </is>
      </c>
      <c r="C48" s="6" t="inlineStr">
        <is>
          <t>Velocidad de degradación</t>
        </is>
      </c>
      <c r="D48" s="7" t="inlineStr">
        <is>
          <t>Moderada</t>
        </is>
      </c>
      <c r="E48" s="8" t="n"/>
      <c r="F48" s="8" t="n"/>
    </row>
    <row r="49">
      <c r="A49" s="6" t="inlineStr">
        <is>
          <t>Reversibilidad técnica</t>
        </is>
      </c>
      <c r="B49" s="7" t="inlineStr">
        <is>
          <t>Parcialmente reversible</t>
        </is>
      </c>
      <c r="C49" s="6" t="inlineStr">
        <is>
          <t>Urgencia de intervención</t>
        </is>
      </c>
      <c r="D49" s="7" t="inlineStr">
        <is>
          <t>Alta</t>
        </is>
      </c>
      <c r="E49" s="8" t="n"/>
      <c r="F49" s="8" t="n"/>
    </row>
    <row r="50">
      <c r="A50" s="6" t="inlineStr">
        <is>
          <t>Urgencia de control de erosión</t>
        </is>
      </c>
      <c r="B50" s="7" t="inlineStr">
        <is>
          <t>Alta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80</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7" t="inlineStr">
        <is>
          <t>0.3813 - 0.4976</t>
        </is>
      </c>
      <c r="B12" s="11" t="inlineStr">
        <is>
          <t>Por determinar</t>
        </is>
      </c>
      <c r="C12" s="11" t="inlineStr">
        <is>
          <t>Por determinar</t>
        </is>
      </c>
      <c r="D12" s="11" t="inlineStr">
        <is>
          <t>Vigor bajo</t>
        </is>
      </c>
      <c r="E12" s="11" t="inlineStr">
        <is>
          <t>BAJO umbral 0.4976</t>
        </is>
      </c>
    </row>
    <row r="13">
      <c r="A13" s="14" t="inlineStr">
        <is>
          <t>0.2650 - 0.3813</t>
        </is>
      </c>
      <c r="B13" s="15" t="inlineStr">
        <is>
          <t>Por determinar</t>
        </is>
      </c>
      <c r="C13" s="15" t="inlineStr">
        <is>
          <t>Por determinar</t>
        </is>
      </c>
      <c r="D13" s="15" t="inlineStr">
        <is>
          <t>Vigor muy bajo</t>
        </is>
      </c>
      <c r="E13" s="15"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0.593069</v>
      </c>
      <c r="C15" s="17" t="inlineStr">
        <is>
          <t>—</t>
        </is>
      </c>
      <c r="D15" s="17" t="inlineStr">
        <is>
          <t>Vigor moderado · clase 0.4976 - 0.6139</t>
        </is>
      </c>
      <c r="E15" s="17" t="inlineStr">
        <is>
          <t>Sobre umbral</t>
        </is>
      </c>
    </row>
    <row r="17" ht="72" customHeight="1">
      <c r="A17" s="9" t="inlineStr">
        <is>
          <t>NOTA METODOLÓGICA. La media del MSAVI 2024 del bloque (0.593069)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22.7018</v>
      </c>
      <c r="C21" s="19" t="n">
        <v>78.73</v>
      </c>
      <c r="D21" s="11" t="inlineStr">
        <is>
          <t>Dosel continuo, matorral denso o mosaico agroforestal</t>
        </is>
      </c>
      <c r="E21" s="11" t="inlineStr"/>
    </row>
    <row r="22">
      <c r="A22" s="14" t="inlineStr">
        <is>
          <t>Vegetación mediana</t>
        </is>
      </c>
      <c r="B22" s="20" t="n">
        <v>5.1677</v>
      </c>
      <c r="C22" s="21" t="n">
        <v>17.92</v>
      </c>
      <c r="D22" s="15" t="inlineStr">
        <is>
          <t>Pastizal cultivado, matorral ralo, parcelas agrícolas</t>
        </is>
      </c>
      <c r="E22" s="15" t="inlineStr"/>
    </row>
    <row r="23">
      <c r="A23" s="7" t="inlineStr">
        <is>
          <t>Vegetación ligera</t>
        </is>
      </c>
      <c r="B23" s="18" t="n">
        <v>0.7979000000000001</v>
      </c>
      <c r="C23" s="19" t="n">
        <v>2.77</v>
      </c>
      <c r="D23" s="11" t="inlineStr">
        <is>
          <t>Cobertura discontinua, suelo parcialmente expuesto</t>
        </is>
      </c>
      <c r="E23" s="11" t="inlineStr"/>
    </row>
    <row r="24">
      <c r="A24" s="14" t="inlineStr">
        <is>
          <t>Tierra desnuda</t>
        </is>
      </c>
      <c r="B24" s="20" t="n">
        <v>0.1681</v>
      </c>
      <c r="C24" s="21" t="n">
        <v>0.58</v>
      </c>
      <c r="D24" s="15" t="inlineStr">
        <is>
          <t>Suelo desnudo, afloramientos, plataformas y taludes</t>
        </is>
      </c>
      <c r="E24" s="15" t="inlineStr"/>
    </row>
    <row r="25">
      <c r="A25" s="16" t="inlineStr">
        <is>
          <t>TOTAL CLASIFICADO</t>
        </is>
      </c>
      <c r="B25" s="22">
        <f>SUM(B21:B24)</f>
        <v/>
      </c>
      <c r="C25" s="23">
        <f>SUM(C21:C24)</f>
        <v/>
      </c>
      <c r="D25" s="17" t="inlineStr"/>
      <c r="E25" s="17" t="inlineStr"/>
    </row>
    <row r="26">
      <c r="A26" s="24" t="inlineStr">
        <is>
          <t>Superficie de catálogo (V5/V6)</t>
        </is>
      </c>
      <c r="B26" s="25" t="n">
        <v>28.83</v>
      </c>
      <c r="C26" s="25" t="inlineStr">
        <is>
          <t>—</t>
        </is>
      </c>
      <c r="D26" s="25" t="inlineStr">
        <is>
          <t>Desviación planimétrica frente al catálogo</t>
        </is>
      </c>
      <c r="E26" s="25" t="inlineStr">
        <is>
          <t>+0.02 %</t>
        </is>
      </c>
    </row>
    <row r="28" ht="72" customHeight="1">
      <c r="A28"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row>
  </sheetData>
  <mergeCells count="10">
    <mergeCell ref="A4:E4"/>
    <mergeCell ref="A2:E2"/>
    <mergeCell ref="A28:E28"/>
    <mergeCell ref="A19:E19"/>
    <mergeCell ref="A1:E1"/>
    <mergeCell ref="A5:E5"/>
    <mergeCell ref="A8:E8"/>
    <mergeCell ref="A6:E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80</t>
        </is>
      </c>
    </row>
    <row r="6" ht="24" customHeight="1">
      <c r="A6" s="4" t="inlineStr">
        <is>
          <t>Levantamiento del 2026-08-19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657095</v>
      </c>
      <c r="D10" s="26" t="n">
        <v>9373326</v>
      </c>
      <c r="E10" s="11" t="n">
        <v>283.6</v>
      </c>
      <c r="F10" s="11" t="inlineStr"/>
      <c r="G10" s="11" t="inlineStr">
        <is>
          <t>Coordenada consignada en F-DT-01</t>
        </is>
      </c>
    </row>
    <row r="11">
      <c r="A11" s="14" t="inlineStr">
        <is>
          <t>E-02</t>
        </is>
      </c>
      <c r="B11" s="15" t="inlineStr">
        <is>
          <t>Estación fotográfica</t>
        </is>
      </c>
      <c r="C11" s="27" t="n">
        <v>656960</v>
      </c>
      <c r="D11" s="27" t="n">
        <v>9373369</v>
      </c>
      <c r="E11" s="15" t="n">
        <v>376.5</v>
      </c>
      <c r="F11" s="15" t="inlineStr"/>
      <c r="G11" s="15" t="inlineStr">
        <is>
          <t>Registro fotográfico georreferenciado</t>
        </is>
      </c>
    </row>
    <row r="12">
      <c r="A12" s="7" t="inlineStr">
        <is>
          <t>E-04</t>
        </is>
      </c>
      <c r="B12" s="11" t="inlineStr">
        <is>
          <t>Estación fotográfica</t>
        </is>
      </c>
      <c r="C12" s="26" t="n">
        <v>657092</v>
      </c>
      <c r="D12" s="26" t="n">
        <v>9373324</v>
      </c>
      <c r="E12" s="11" t="n">
        <v>282.3</v>
      </c>
      <c r="F12" s="11" t="inlineStr"/>
      <c r="G12" s="11" t="inlineStr">
        <is>
          <t>Registro fotográfico georreferenciado</t>
        </is>
      </c>
    </row>
    <row r="13">
      <c r="A13" s="14" t="inlineStr">
        <is>
          <t>E-05</t>
        </is>
      </c>
      <c r="B13" s="15" t="inlineStr">
        <is>
          <t>Estación fotográfica</t>
        </is>
      </c>
      <c r="C13" s="27" t="n">
        <v>657095</v>
      </c>
      <c r="D13" s="27" t="n">
        <v>9373326</v>
      </c>
      <c r="E13" s="15" t="n">
        <v>283.6</v>
      </c>
      <c r="F13" s="15" t="inlineStr"/>
      <c r="G13" s="15" t="inlineStr">
        <is>
          <t>Registro fotográfico georreferenciado</t>
        </is>
      </c>
    </row>
    <row r="14">
      <c r="A14" s="7" t="inlineStr">
        <is>
          <t>E-08</t>
        </is>
      </c>
      <c r="B14" s="11" t="inlineStr">
        <is>
          <t>Estación fotográfica</t>
        </is>
      </c>
      <c r="C14" s="26" t="n">
        <v>657714</v>
      </c>
      <c r="D14" s="26" t="n">
        <v>9373163</v>
      </c>
      <c r="E14" s="11" t="n">
        <v>565.4</v>
      </c>
      <c r="F14" s="11" t="inlineStr"/>
      <c r="G14" s="11" t="inlineStr">
        <is>
          <t>Registro fotográfico georreferenciado</t>
        </is>
      </c>
    </row>
    <row r="15">
      <c r="A15" s="14" t="inlineStr">
        <is>
          <t>C-01</t>
        </is>
      </c>
      <c r="B15" s="15" t="inlineStr">
        <is>
          <t>Rasgo erosivo — Cárcava profunda (&gt;2 m)</t>
        </is>
      </c>
      <c r="C15" s="27" t="n">
        <v>656968</v>
      </c>
      <c r="D15" s="27" t="n">
        <v>9373395</v>
      </c>
      <c r="E15" s="15" t="n">
        <v>394.8</v>
      </c>
      <c r="F15" s="15" t="inlineStr">
        <is>
          <t>Activa</t>
        </is>
      </c>
      <c r="G15" s="15" t="inlineStr">
        <is>
          <t>Concentración natural de escorrentía</t>
        </is>
      </c>
    </row>
    <row r="16">
      <c r="A16" s="7" t="inlineStr">
        <is>
          <t>H-01</t>
        </is>
      </c>
      <c r="B16" s="11" t="inlineStr">
        <is>
          <t>Fuente de agua — Quebrada estacional</t>
        </is>
      </c>
      <c r="C16" s="26" t="n">
        <v>656960</v>
      </c>
      <c r="D16" s="26" t="n">
        <v>9373371</v>
      </c>
      <c r="E16" s="11" t="n">
        <v>378.2</v>
      </c>
      <c r="F16" s="11" t="inlineStr">
        <is>
          <t>Intermitente</t>
        </is>
      </c>
      <c r="G16" s="11" t="inlineStr">
        <is>
          <t>Canal encajonado con agua encharcada en agosto</t>
        </is>
      </c>
    </row>
    <row r="17">
      <c r="A17" s="16" t="inlineStr">
        <is>
          <t>TOTAL: 7 puntos</t>
        </is>
      </c>
      <c r="B17" s="17" t="inlineStr"/>
      <c r="C17" s="17" t="inlineStr"/>
      <c r="D17" s="17" t="inlineStr"/>
      <c r="E17" s="17" t="inlineStr"/>
      <c r="F17" s="17" t="inlineStr"/>
      <c r="G17" s="17" t="inlineStr"/>
    </row>
    <row r="19">
      <c r="A19" s="6" t="inlineStr">
        <is>
          <t>Centroide del bloque — UTM ESTE (m)</t>
        </is>
      </c>
      <c r="B19" s="7" t="n">
        <v>657160</v>
      </c>
      <c r="C19" s="6" t="inlineStr">
        <is>
          <t>Centroide del bloque — UTM NORTE (m)</t>
        </is>
      </c>
      <c r="D19" s="7" t="n">
        <v>9373050</v>
      </c>
      <c r="E19" s="8" t="n"/>
      <c r="F19" s="8" t="n"/>
      <c r="G19" s="8" t="n"/>
      <c r="H19" s="8" t="n"/>
    </row>
    <row r="20">
      <c r="A20" s="6" t="inlineStr">
        <is>
          <t>N.° de estaciones fotográficas declaradas</t>
        </is>
      </c>
      <c r="B20" s="7" t="n">
        <v>11</v>
      </c>
      <c r="C20" s="6" t="inlineStr">
        <is>
          <t>Estaciones dentro del polígono</t>
        </is>
      </c>
      <c r="D20" s="7" t="n">
        <v>0</v>
      </c>
      <c r="E20" s="8" t="n"/>
      <c r="F20" s="8" t="n"/>
      <c r="G20" s="8" t="n"/>
      <c r="H20" s="8" t="n"/>
    </row>
    <row r="22" ht="144" customHeight="1">
      <c r="A22"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LAS ONCE TOMAS FOTOGRÁFICAS DEL 19-08-2026 SE LOCALIZAN FUERA DEL POLÍGONO, entre 22.7 y 150.7 m de su límite (media 62 m), medidas por transformada de distancia sobre el polígono extraído del plano MSAVI y georreferenciado por su grilla UTM (tolerancia ±10-15 m). Superficie reconstruida sobre plano 29.360 ha frente a 28.830 ha del catálogo (+1.8%); centroide medido 657 156 E / 9 373 038 N frente al de catálogo 657 160 E / 9 373 050 N (Δ ≈ 13 m). Extensión E-O ≈ 867 m; N-S ≈ 573 m. Escarpes activos y remoción en masa ACREDITADOS FOTOGRÁFICAMENTE en el sector noroccidental (E-01 a E-03) y en los taludes de corte de la trocha (E-04 a E-11). Altitud GPS no registrada en el sello fotográfico.</t>
        </is>
      </c>
    </row>
  </sheetData>
  <mergeCells count="8">
    <mergeCell ref="A1:G1"/>
    <mergeCell ref="A8:G8"/>
    <mergeCell ref="A3:G3"/>
    <mergeCell ref="A6:G6"/>
    <mergeCell ref="A22:G22"/>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2"/>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C1076-Q9593 — BLOQUE 80</t>
        </is>
      </c>
    </row>
    <row r="6" ht="24" customHeight="1">
      <c r="A6" s="4" t="inlineStr">
        <is>
          <t>Distrito de Huarmaca · Provincia de Huancabamba · Comparación de los bloques preliminares de intervención de la misma microcuenca</t>
        </is>
      </c>
    </row>
    <row r="8" ht="18" customHeight="1">
      <c r="A8" s="5" t="inlineStr">
        <is>
          <t>BLOQUES DE LA MICROCUENCA C1076-Q9593</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10</t>
        </is>
      </c>
      <c r="B10" s="28" t="n">
        <v>150.21</v>
      </c>
      <c r="C10" s="19" t="n">
        <v>28.67</v>
      </c>
      <c r="D10" s="11" t="inlineStr">
        <is>
          <t>912 – 1510</t>
        </is>
      </c>
      <c r="E10" s="11" t="n">
        <v>598</v>
      </c>
      <c r="F10" s="11" t="n">
        <v>27.39</v>
      </c>
      <c r="G10" s="18" t="n">
        <v>0.5465</v>
      </c>
      <c r="H10" s="19" t="n">
        <v>85.18000000000001</v>
      </c>
    </row>
    <row r="11">
      <c r="A11" s="14" t="inlineStr">
        <is>
          <t>8</t>
        </is>
      </c>
      <c r="B11" s="29" t="n">
        <v>126.95</v>
      </c>
      <c r="C11" s="21" t="n">
        <v>24.23</v>
      </c>
      <c r="D11" s="15" t="inlineStr">
        <is>
          <t>1504 – 1970</t>
        </is>
      </c>
      <c r="E11" s="15" t="n">
        <v>466</v>
      </c>
      <c r="F11" s="15" t="n">
        <v>29.85</v>
      </c>
      <c r="G11" s="20" t="n">
        <v>0.5548</v>
      </c>
      <c r="H11" s="21" t="n">
        <v>72.25</v>
      </c>
    </row>
    <row r="12">
      <c r="A12" s="7" t="inlineStr">
        <is>
          <t>16</t>
        </is>
      </c>
      <c r="B12" s="28" t="n">
        <v>83.33</v>
      </c>
      <c r="C12" s="19" t="n">
        <v>15.91</v>
      </c>
      <c r="D12" s="11" t="inlineStr">
        <is>
          <t>1349 – 1746</t>
        </is>
      </c>
      <c r="E12" s="11" t="n">
        <v>397</v>
      </c>
      <c r="F12" s="11" t="n">
        <v>22.34</v>
      </c>
      <c r="G12" s="18" t="n">
        <v>0.6284</v>
      </c>
      <c r="H12" s="19" t="n">
        <v>94.13</v>
      </c>
    </row>
    <row r="13">
      <c r="A13" s="14" t="inlineStr">
        <is>
          <t>20</t>
        </is>
      </c>
      <c r="B13" s="29" t="n">
        <v>81.33</v>
      </c>
      <c r="C13" s="21" t="n">
        <v>15.52</v>
      </c>
      <c r="D13" s="15" t="inlineStr">
        <is>
          <t>1217 – 1607</t>
        </is>
      </c>
      <c r="E13" s="15" t="n">
        <v>390</v>
      </c>
      <c r="F13" s="15" t="n">
        <v>24.54</v>
      </c>
      <c r="G13" s="20" t="n">
        <v>0.4851</v>
      </c>
      <c r="H13" s="21" t="n">
        <v>52.44</v>
      </c>
    </row>
    <row r="14">
      <c r="A14" s="12" t="inlineStr">
        <is>
          <t>► 80</t>
        </is>
      </c>
      <c r="B14" s="30" t="n">
        <v>28.83</v>
      </c>
      <c r="C14" s="31" t="n">
        <v>5.5</v>
      </c>
      <c r="D14" s="13" t="inlineStr">
        <is>
          <t>2180 – 2491</t>
        </is>
      </c>
      <c r="E14" s="13" t="n">
        <v>311</v>
      </c>
      <c r="F14" s="13" t="n">
        <v>32.9</v>
      </c>
      <c r="G14" s="32" t="n">
        <v>0.5931</v>
      </c>
      <c r="H14" s="31" t="n">
        <v>78.73</v>
      </c>
    </row>
    <row r="15">
      <c r="A15" s="14" t="inlineStr">
        <is>
          <t>51</t>
        </is>
      </c>
      <c r="B15" s="29" t="n">
        <v>22.93</v>
      </c>
      <c r="C15" s="21" t="n">
        <v>4.38</v>
      </c>
      <c r="D15" s="15" t="inlineStr">
        <is>
          <t>1734 – 2018</t>
        </is>
      </c>
      <c r="E15" s="15" t="n">
        <v>284</v>
      </c>
      <c r="F15" s="15" t="n">
        <v>31.74</v>
      </c>
      <c r="G15" s="20" t="n">
        <v>0.5238</v>
      </c>
      <c r="H15" s="21" t="n">
        <v>69.45999999999999</v>
      </c>
    </row>
    <row r="16">
      <c r="A16" s="7" t="inlineStr">
        <is>
          <t>76</t>
        </is>
      </c>
      <c r="B16" s="28" t="n">
        <v>19.62</v>
      </c>
      <c r="C16" s="19" t="n">
        <v>3.75</v>
      </c>
      <c r="D16" s="11" t="inlineStr">
        <is>
          <t>1647 – 1838</t>
        </is>
      </c>
      <c r="E16" s="11" t="n">
        <v>191</v>
      </c>
      <c r="F16" s="11" t="n">
        <v>26.25</v>
      </c>
      <c r="G16" s="18" t="n">
        <v>0.4925</v>
      </c>
      <c r="H16" s="19" t="n">
        <v>46.27</v>
      </c>
    </row>
    <row r="17">
      <c r="A17" s="14" t="inlineStr">
        <is>
          <t>71</t>
        </is>
      </c>
      <c r="B17" s="29" t="n">
        <v>10.67</v>
      </c>
      <c r="C17" s="21" t="n">
        <v>2.04</v>
      </c>
      <c r="D17" s="15" t="inlineStr">
        <is>
          <t>1478 – 1609</t>
        </is>
      </c>
      <c r="E17" s="15" t="n">
        <v>131</v>
      </c>
      <c r="F17" s="15" t="n">
        <v>29.45</v>
      </c>
      <c r="G17" s="20" t="n">
        <v>0.5571</v>
      </c>
      <c r="H17" s="21" t="n">
        <v>81.37</v>
      </c>
    </row>
    <row r="18">
      <c r="A18" s="16" t="inlineStr">
        <is>
          <t>TOTAL / PROMEDIO</t>
        </is>
      </c>
      <c r="B18" s="33">
        <f>SUM(B10:B17)</f>
        <v/>
      </c>
      <c r="C18" s="23">
        <f>SUM(C10:C17)</f>
        <v/>
      </c>
      <c r="D18" s="17" t="inlineStr">
        <is>
          <t>912 – 2491</t>
        </is>
      </c>
      <c r="E18" s="17" t="inlineStr"/>
      <c r="F18" s="17">
        <f>ROUND(AVERAGE(F10:F17),2)</f>
        <v/>
      </c>
      <c r="G18" s="22">
        <f>ROUND(AVERAGE(G10:G17),4)</f>
        <v/>
      </c>
      <c r="H18" s="23">
        <f>ROUND(AVERAGE(H10:H17),2)</f>
        <v/>
      </c>
    </row>
    <row r="20" ht="84" customHeight="1">
      <c r="A20" s="9" t="inlineStr">
        <is>
          <t>LECTURA INTRAMICROCUENCA. El bloque 80 ocupa el puesto 5 de 8 por superficie dentro de la microcuenca C1076-Q9593 (5.50 % de las 523.87 ha preliminares de la microcuenca). Su pendiente promedio (32.90 %, clase «25-50% (Mod. escarpado)») es la 8.ª más baja de 8 y se sitúa por encima del promedio de la microcuenca (28.06 %). Su MSAVI 2024 (0.5931) es el 2.º de 8 y queda por encima del promedio local (0.5477). Amplitud altitudinal del bloque: 311 m (2180–2491 msnm). El cuadro conserva todos los bloques catalogados en la microcuenca, incluidos los descartados en el tamizaje, para referencia del conjunto. Los bloques sin ficha DT figuran con sus parámetros de gabinete.</t>
        </is>
      </c>
    </row>
    <row r="22" ht="60" customHeight="1">
      <c r="A22"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0:H20"/>
    <mergeCell ref="A2:H2"/>
    <mergeCell ref="A5:H5"/>
    <mergeCell ref="A8:H8"/>
    <mergeCell ref="A6:H6"/>
    <mergeCell ref="A22:H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9"/>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80</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«C1076-Q9593»</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284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(28.835 ha) coincide con la de catálogo (28.83 ha) dentro del ±2 % (+0.02 %)</t>
        </is>
      </c>
      <c r="D12" s="35" t="inlineStr">
        <is>
          <t>CONFORME</t>
        </is>
      </c>
      <c r="E12" s="34" t="inlineStr">
        <is>
          <t>Sin acción: la segmentación valida la geometría del bloque.</t>
        </is>
      </c>
    </row>
    <row r="13" ht="48" customHeight="1">
      <c r="A13" s="36" t="inlineStr">
        <is>
          <t>D-04</t>
        </is>
      </c>
      <c r="B13" s="36" t="inlineStr">
        <is>
          <t>Elenco florístico</t>
        </is>
      </c>
      <c r="C13" s="36" t="inlineStr">
        <is>
          <t>La ficha registra 10 taxones, por debajo del mínimo de 15 que exige el formato V5</t>
        </is>
      </c>
      <c r="D13" s="37" t="inlineStr">
        <is>
          <t>SUSTANTIVA</t>
        </is>
      </c>
      <c r="E13" s="36" t="inlineStr">
        <is>
          <t>Registro florístico preliminar, sin colecta ni determinación botánica formal. Debe cerrarse con colecta botánica en la siguiente campaña.</t>
        </is>
      </c>
    </row>
    <row r="14" ht="48" customHeight="1">
      <c r="A14" s="34" t="inlineStr">
        <is>
          <t>D-05</t>
        </is>
      </c>
      <c r="B14" s="34" t="inlineStr">
        <is>
          <t>Representatividad del levantamiento</t>
        </is>
      </c>
      <c r="C14" s="34" t="inlineStr">
        <is>
          <t>Ninguna de las estaciones fotográficas georreferenciadas se localiza dentro del polígono del bloque</t>
        </is>
      </c>
      <c r="D14" s="37" t="inlineStr">
        <is>
          <t>SUSTANTIVA</t>
        </is>
      </c>
      <c r="E14" s="34" t="inlineStr">
        <is>
          <t>La verificación documenta el perímetro y la vista panorámica del bloque, no su interior. Los parámetros que exigen recorrido interno se consignan «Por determinar».</t>
        </is>
      </c>
    </row>
    <row r="15" ht="48" customHeight="1">
      <c r="A15" s="36" t="inlineStr">
        <is>
          <t>D-06</t>
        </is>
      </c>
      <c r="B15" s="36" t="inlineStr">
        <is>
          <t>Centro poblado asociado</t>
        </is>
      </c>
      <c r="C15" s="36" t="inlineStr">
        <is>
          <t>La ficha DT declara «Yumbe · Cruz Roja»; el cruce INEI-Bloques V5 identifica 2 centro(s) poblado(s) en el bloque: CRUZ ROJA, YUMBE</t>
        </is>
      </c>
      <c r="D15" s="35" t="inlineStr">
        <is>
          <t>CONFORME</t>
        </is>
      </c>
      <c r="E15" s="36" t="inlineStr">
        <is>
          <t>Se conserva el registro de campo como referencia y se adopta el listado INEI para el diagnóstico social y el cálculo de población beneficiaria.</t>
        </is>
      </c>
    </row>
    <row r="16" ht="48" customHeight="1">
      <c r="A16" s="34" t="inlineStr">
        <is>
          <t>D-07</t>
        </is>
      </c>
      <c r="B16" s="34" t="inlineStr">
        <is>
          <t>Peligro integrado (MCA-AHP)</t>
        </is>
      </c>
      <c r="C16" s="34" t="inlineStr">
        <is>
          <t>El nivel de peligro integrado no está disponible en los insumos de este entregable</t>
        </is>
      </c>
      <c r="D16" s="37" t="inlineStr">
        <is>
          <t>SUSTANTIVA</t>
        </is>
      </c>
      <c r="E16" s="34" t="inlineStr">
        <is>
          <t>Debe tomarse del modelamiento de mesolocalización (PMM + EPH + PGI ponderados por AHP) antes de fijar la prioridad definitiva de intervención del bloque.</t>
        </is>
      </c>
    </row>
    <row r="17" ht="48" customHeight="1">
      <c r="A17" s="36" t="inlineStr">
        <is>
          <t>D-08</t>
        </is>
      </c>
      <c r="B17" s="36" t="inlineStr">
        <is>
          <t>F-DT-01</t>
        </is>
      </c>
      <c r="C17" s="36" t="inlineStr">
        <is>
          <t>Las 11 tomas fotográficas se localizan FUERA del polígono (22.7 a 150.7 m, media 62 m)</t>
        </is>
      </c>
      <c r="D17" s="37" t="inlineStr">
        <is>
          <t>SUSTANTIVA</t>
        </is>
      </c>
      <c r="E17" s="36" t="inlineStr">
        <is>
          <t>La caracterización corresponde al entorno inmediato, no al interior</t>
        </is>
      </c>
    </row>
    <row r="18" ht="48" customHeight="1">
      <c r="A18" s="34" t="inlineStr">
        <is>
          <t>D-09</t>
        </is>
      </c>
      <c r="B18" s="34" t="inlineStr">
        <is>
          <t>F-DT-01</t>
        </is>
      </c>
      <c r="C18" s="34" t="inlineStr">
        <is>
          <t>Superficie reconstruida sobre plano 29.360 ha frente a 28.830 ha del catálogo (+1.8%); centroide con Δ ≈ 13 m</t>
        </is>
      </c>
      <c r="D18" s="13" t="inlineStr">
        <is>
          <t>NO SUSTANTIVA</t>
        </is>
      </c>
      <c r="E18" s="34" t="inlineStr">
        <is>
          <t>Dentro de la tolerancia de digitalización declarada (±10-15 m)</t>
        </is>
      </c>
    </row>
    <row r="19" ht="48" customHeight="1">
      <c r="A19" s="36" t="inlineStr">
        <is>
          <t>D-10</t>
        </is>
      </c>
      <c r="B19" s="36" t="inlineStr">
        <is>
          <t>F-DT-02</t>
        </is>
      </c>
      <c r="C19" s="36" t="inlineStr">
        <is>
          <t>Nivel general de erosión «Severa» frente a síntesis «Fuerte»: dos calificaciones distintas en la misma ficha</t>
        </is>
      </c>
      <c r="D19" s="13" t="inlineStr">
        <is>
          <t>NO SUSTANTIVA</t>
        </is>
      </c>
      <c r="E19" s="36" t="inlineStr">
        <is>
          <t>Resolver en la carga definitiva</t>
        </is>
      </c>
    </row>
    <row r="20" ht="48" customHeight="1">
      <c r="A20" s="34" t="inlineStr">
        <is>
          <t>D-11</t>
        </is>
      </c>
      <c r="B20" s="34" t="inlineStr">
        <is>
          <t>F-DT-02</t>
        </is>
      </c>
      <c r="C20" s="34" t="inlineStr">
        <is>
          <t>Causa de C-01 consignada como concentración natural; debe verificarse la contribución de la plataforma de la trocha aguas arriba</t>
        </is>
      </c>
      <c r="D20" s="37" t="inlineStr">
        <is>
          <t>SUSTANTIVA</t>
        </is>
      </c>
      <c r="E20" s="34" t="inlineStr">
        <is>
          <t>Verificación pendiente</t>
        </is>
      </c>
    </row>
    <row r="21" ht="48" customHeight="1">
      <c r="A21" s="36" t="inlineStr">
        <is>
          <t>D-12</t>
        </is>
      </c>
      <c r="B21" s="36" t="inlineStr">
        <is>
          <t>F-DT-03</t>
        </is>
      </c>
      <c r="C21" s="36" t="inlineStr">
        <is>
          <t>Lista florística de 10 registros frente al mínimo de 15; 6 de 10 taxones son introducidos o cultivos</t>
        </is>
      </c>
      <c r="D21" s="37" t="inlineStr">
        <is>
          <t>SUSTANTIVA</t>
        </is>
      </c>
      <c r="E21" s="36" t="inlineStr">
        <is>
          <t>Colecta botánica pendiente; excluir cultivos del área efectiva</t>
        </is>
      </c>
    </row>
    <row r="22" ht="48" customHeight="1">
      <c r="A22" s="34" t="inlineStr">
        <is>
          <t>D-13</t>
        </is>
      </c>
      <c r="B22" s="34" t="inlineStr">
        <is>
          <t>F-DT-03</t>
        </is>
      </c>
      <c r="C22" s="34" t="inlineStr">
        <is>
          <t>Adscripción a Matorral Andino subhúmedo frente a Bes-cm en bloques vecinos de la misma microcuenca</t>
        </is>
      </c>
      <c r="D22" s="37" t="inlineStr">
        <is>
          <t>SUSTANTIVA</t>
        </is>
      </c>
      <c r="E22" s="34" t="inlineStr">
        <is>
          <t>Confrontar con REPORTE_ECOSISTEMAS_BLOQUES_V5</t>
        </is>
      </c>
    </row>
    <row r="23" ht="48" customHeight="1">
      <c r="A23" s="36" t="inlineStr">
        <is>
          <t>D-14</t>
        </is>
      </c>
      <c r="B23" s="36" t="inlineStr">
        <is>
          <t>F-DT-04</t>
        </is>
      </c>
      <c r="C23" s="36" t="inlineStr">
        <is>
          <t>7 de los 8 indicadores cuantitativos sin valor</t>
        </is>
      </c>
      <c r="D23" s="37" t="inlineStr">
        <is>
          <t>SUSTANTIVA</t>
        </is>
      </c>
      <c r="E23" s="36" t="inlineStr">
        <is>
          <t>Cuantificación pendiente</t>
        </is>
      </c>
    </row>
    <row r="24" ht="48" customHeight="1">
      <c r="A24" s="34" t="inlineStr">
        <is>
          <t>D-15</t>
        </is>
      </c>
      <c r="B24" s="34" t="inlineStr">
        <is>
          <t>F-DT-05</t>
        </is>
      </c>
      <c r="C24" s="34" t="inlineStr">
        <is>
          <t>Agua encharcada en agosto sugiere régimen más persistente que el estacional declarado</t>
        </is>
      </c>
      <c r="D24" s="13" t="inlineStr">
        <is>
          <t>NO SUSTANTIVA</t>
        </is>
      </c>
      <c r="E24" s="34" t="inlineStr">
        <is>
          <t>Verificar régimen hídrico</t>
        </is>
      </c>
    </row>
    <row r="25" ht="48" customHeight="1">
      <c r="A25" s="36" t="inlineStr">
        <is>
          <t>D-16</t>
        </is>
      </c>
      <c r="B25" s="36" t="inlineStr">
        <is>
          <t>Ficha DT</t>
        </is>
      </c>
      <c r="C25" s="36" t="inlineStr">
        <is>
          <t>Evaluador no consignado</t>
        </is>
      </c>
      <c r="D25" s="13" t="inlineStr">
        <is>
          <t>NO SUSTANTIVA</t>
        </is>
      </c>
      <c r="E25" s="36" t="inlineStr">
        <is>
          <t>Por verificar</t>
        </is>
      </c>
    </row>
    <row r="27">
      <c r="A27" s="16" t="inlineStr">
        <is>
          <t>RESUMEN</t>
        </is>
      </c>
      <c r="B27" s="17" t="inlineStr">
        <is>
          <t>16 verificaciones</t>
        </is>
      </c>
      <c r="C27" s="17" t="inlineStr">
        <is>
          <t>CONFORME: 4 · NO SUSTANTIVA: 4 · SUSTANTIVA: 8</t>
        </is>
      </c>
      <c r="D27" s="17" t="inlineStr"/>
      <c r="E27" s="17" t="inlineStr"/>
    </row>
    <row r="29" ht="60" customHeight="1">
      <c r="A29"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29:E29"/>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80 — IN Piura</dc:title>
  <dc:subject>Diagnóstico Territorial por bloque de intervención</dc:subject>
  <dcterms:created xsi:type="dcterms:W3CDTF">2026-09-08T02:45:05Z</dcterms:created>
  <dcterms:modified xsi:type="dcterms:W3CDTF">2026-09-08T02:45:05Z</dcterms:modified>
</cp:coreProperties>
</file>