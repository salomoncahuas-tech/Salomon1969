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M7B2</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M7B2</t>
        </is>
      </c>
      <c r="C9" s="6" t="inlineStr">
        <is>
          <t>Microcuenca (catálogo)</t>
        </is>
      </c>
      <c r="D9" s="7" t="inlineStr">
        <is>
          <t>C1076-Q9581</t>
        </is>
      </c>
      <c r="E9" s="8" t="n"/>
      <c r="F9" s="8" t="n"/>
    </row>
    <row r="10">
      <c r="A10" s="6" t="inlineStr">
        <is>
          <t>Zona de planificación</t>
        </is>
      </c>
      <c r="B10" s="7" t="inlineStr">
        <is>
          <t>Z07</t>
        </is>
      </c>
      <c r="C10" s="6" t="inlineStr">
        <is>
          <t>Microcuenca declarada en ficha DT</t>
        </is>
      </c>
      <c r="D10" s="7" t="inlineStr">
        <is>
          <t>C1076-Q9581</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Buenos Aires</t>
        </is>
      </c>
      <c r="C13" s="6" t="inlineStr">
        <is>
          <t>Comunidad campesina</t>
        </is>
      </c>
      <c r="D13" s="7" t="inlineStr">
        <is>
          <t>No consignada</t>
        </is>
      </c>
      <c r="E13" s="8" t="n"/>
      <c r="F13" s="8" t="n"/>
    </row>
    <row r="14">
      <c r="A14" s="6" t="inlineStr">
        <is>
          <t>Superficie de catálogo (V5/V6), ha</t>
        </is>
      </c>
      <c r="B14" s="7" t="n">
        <v>115.38</v>
      </c>
      <c r="C14" s="6" t="inlineStr">
        <is>
          <t>Fuente de superficie</t>
        </is>
      </c>
      <c r="D14" s="7" t="inlineStr">
        <is>
          <t>Catálogo maestro Bloques V5/V6</t>
        </is>
      </c>
      <c r="E14" s="8" t="n"/>
      <c r="F14" s="8" t="n"/>
    </row>
    <row r="15">
      <c r="A15" s="6" t="inlineStr">
        <is>
          <t>Centroide UTM ESTE (m)</t>
        </is>
      </c>
      <c r="B15" s="7" t="n">
        <v>631438</v>
      </c>
      <c r="C15" s="6" t="inlineStr">
        <is>
          <t>Centroide UTM NORTE (m)</t>
        </is>
      </c>
      <c r="D15" s="7" t="n">
        <v>9403547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204</v>
      </c>
      <c r="C19" s="6" t="inlineStr">
        <is>
          <t>Altitud máxima (msnm)</t>
        </is>
      </c>
      <c r="D19" s="7" t="n">
        <v>362</v>
      </c>
      <c r="E19" s="8" t="n"/>
      <c r="F19" s="8" t="n"/>
    </row>
    <row r="20">
      <c r="A20" s="6" t="inlineStr">
        <is>
          <t>Amplitud altitudinal (m)</t>
        </is>
      </c>
      <c r="B20" s="7" t="n">
        <v>158</v>
      </c>
      <c r="C20" s="6" t="inlineStr">
        <is>
          <t>Piso altitudinal dominante</t>
        </is>
      </c>
      <c r="D20" s="7" t="inlineStr">
        <is>
          <t>&lt;1000 m (Yunga)</t>
        </is>
      </c>
      <c r="E20" s="8" t="n"/>
      <c r="F20" s="8" t="n"/>
    </row>
    <row r="21">
      <c r="A21" s="6" t="inlineStr">
        <is>
          <t>Pendiente promedio (%)</t>
        </is>
      </c>
      <c r="B21" s="7" t="n">
        <v>14.01</v>
      </c>
      <c r="C21" s="6" t="inlineStr">
        <is>
          <t>Pendiente promedio (grados)</t>
        </is>
      </c>
      <c r="D21" s="7" t="n">
        <v>8</v>
      </c>
      <c r="E21" s="8" t="n"/>
      <c r="F21" s="8" t="n"/>
    </row>
    <row r="22">
      <c r="A22" s="6" t="inlineStr">
        <is>
          <t>Clase de pendiente equivalente</t>
        </is>
      </c>
      <c r="B22" s="7" t="inlineStr">
        <is>
          <t>8-15% (Mod.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0.2877</v>
      </c>
      <c r="C28" s="6" t="inlineStr">
        <is>
          <t>MSAVI 2024 — clase de la media</t>
        </is>
      </c>
      <c r="D28" s="7" t="inlineStr">
        <is>
          <t>0.2650 - 0.3813 (Vigor muy bajo)</t>
        </is>
      </c>
      <c r="E28" s="8" t="n"/>
      <c r="F28" s="8" t="n"/>
    </row>
    <row r="29">
      <c r="A29" s="6" t="inlineStr">
        <is>
          <t>Condición frente al umbral 0.4976</t>
        </is>
      </c>
      <c r="B29" s="7" t="inlineStr">
        <is>
          <t>Bajo umbral · distribución areal: 99.59 % del bloque BAJO el umbral (114.907 ha de 115.380 ha)</t>
        </is>
      </c>
      <c r="C29" s="6" t="inlineStr">
        <is>
          <t>NDVI mediana 2025 — clase modal</t>
        </is>
      </c>
      <c r="D29" s="7" t="inlineStr">
        <is>
          <t>Vegetación mediana (52.05 %)</t>
        </is>
      </c>
      <c r="E29" s="8" t="n"/>
      <c r="F29" s="8" t="n"/>
    </row>
    <row r="30">
      <c r="A30" s="6" t="inlineStr">
        <is>
          <t>MSAVI 2024 — superficie BAJO el umbral 0.4976 (ha)</t>
        </is>
      </c>
      <c r="B30" s="7" t="n">
        <v>114.907</v>
      </c>
      <c r="C30" s="6" t="inlineStr">
        <is>
          <t>MSAVI 2024 — % del bloque BAJO el umbral</t>
        </is>
      </c>
      <c r="D30" s="7" t="n">
        <v>99.59</v>
      </c>
      <c r="E30" s="8" t="n"/>
      <c r="F30" s="8" t="n"/>
    </row>
    <row r="31">
      <c r="A31" s="6" t="inlineStr">
        <is>
          <t>MSAVI 2024 — clase areal dominante</t>
        </is>
      </c>
      <c r="B31" s="7" t="inlineStr">
        <is>
          <t>Vigor muy bajo</t>
        </is>
      </c>
      <c r="C31" s="6" t="inlineStr">
        <is>
          <t>MSAVI 2024 — fuente de la distribución areal</t>
        </is>
      </c>
      <c r="D31" s="7" t="inlineStr">
        <is>
          <t>Conteo de celdas sobre la cartografía MSAVI 2024 del bloque (MSAVI M7B2.png)</t>
        </is>
      </c>
      <c r="E31" s="8" t="n"/>
      <c r="F31" s="8" t="n"/>
    </row>
    <row r="32" ht="18" customHeight="1">
      <c r="A32" s="6" t="inlineStr">
        <is>
          <t>Superficie clasificada NDVI 2025 (ha)</t>
        </is>
      </c>
      <c r="B32" s="7" t="n">
        <v>115.422</v>
      </c>
      <c r="C32" s="6" t="inlineStr">
        <is>
          <t>Desviación frente al catálogo (%)</t>
        </is>
      </c>
      <c r="D32" s="7" t="n">
        <v>0.04</v>
      </c>
      <c r="E32" s="8" t="n"/>
      <c r="F32" s="8" t="n"/>
    </row>
    <row r="33"/>
    <row r="34">
      <c r="A34" s="5" t="inlineStr">
        <is>
          <t>4. ECOSISTEMA Y ESTADO DE CONSERVACIÓN</t>
        </is>
      </c>
    </row>
    <row r="35">
      <c r="A35" s="6" t="inlineStr">
        <is>
          <t>Tipo de ecosistema (UP)</t>
        </is>
      </c>
      <c r="B35" s="7" t="inlineStr">
        <is>
          <t>Bosque Estacionalmente Seco de Colina y Montaña (Bes-cm)</t>
        </is>
      </c>
      <c r="C35" s="6" t="inlineStr">
        <is>
          <t>Superficie de ecosistema (ha)</t>
        </is>
      </c>
      <c r="D35" s="7" t="inlineStr">
        <is>
          <t>514.36 ha DECLARADAS EN LA FICHA — VALOR ERRÓNEO: corresponde al bloque M6B2-1; el área real de M7B2 es 115.38 ha</t>
        </is>
      </c>
      <c r="E35" s="8" t="n"/>
      <c r="F35" s="8" t="n"/>
    </row>
    <row r="36">
      <c r="A36" s="6" t="inlineStr">
        <is>
          <t>Estado de conservación</t>
        </is>
      </c>
      <c r="B36" s="7" t="inlineStr">
        <is>
          <t>Medianamente alterado</t>
        </is>
      </c>
      <c r="C36" s="6" t="inlineStr">
        <is>
          <t>Uso actual dominante del suelo</t>
        </is>
      </c>
      <c r="D36" s="7" t="inlineStr">
        <is>
          <t>Pastoreo extensivo</t>
        </is>
      </c>
      <c r="E36" s="8" t="n"/>
      <c r="F36" s="8" t="n"/>
    </row>
    <row r="37">
      <c r="A37" s="6" t="inlineStr">
        <is>
          <t>Tipo de cobertura dominante</t>
        </is>
      </c>
      <c r="B37" s="7" t="inlineStr">
        <is>
          <t>Bosque denso (&gt;70%)</t>
        </is>
      </c>
      <c r="C37" s="6" t="inlineStr">
        <is>
          <t>Cobertura vegetal total — campo (%)</t>
        </is>
      </c>
      <c r="D37" s="7" t="inlineStr">
        <is>
          <t>Por determinar</t>
        </is>
      </c>
      <c r="E37" s="8" t="n"/>
      <c r="F37" s="8" t="n"/>
    </row>
    <row r="38">
      <c r="A38" s="6" t="inlineStr">
        <is>
          <t>Suelo desnudo — campo (%)</t>
        </is>
      </c>
      <c r="B38" s="7" t="n">
        <v>15</v>
      </c>
      <c r="C38" s="6" t="inlineStr">
        <is>
          <t>Regeneración natural</t>
        </is>
      </c>
      <c r="D38" s="7" t="inlineStr">
        <is>
          <t>Regular (10-50 pl./100m²)</t>
        </is>
      </c>
      <c r="E38" s="8" t="n"/>
      <c r="F38" s="8" t="n"/>
    </row>
    <row r="39">
      <c r="A39" s="6" t="inlineStr">
        <is>
          <t>Nivel general de erosión</t>
        </is>
      </c>
      <c r="B39" s="7" t="inlineStr">
        <is>
          <t>Ligera (laminar)</t>
        </is>
      </c>
      <c r="C39" s="6" t="inlineStr">
        <is>
          <t>N.° de cárcavas registradas</t>
        </is>
      </c>
      <c r="D39" s="7" t="n">
        <v>0</v>
      </c>
      <c r="E39" s="8" t="n"/>
      <c r="F39" s="8" t="n"/>
    </row>
    <row r="40" ht="18" customHeight="1">
      <c r="A40" s="6" t="inlineStr">
        <is>
          <t>Elenco florístico (n.° de taxones)</t>
        </is>
      </c>
      <c r="B40" s="7" t="n">
        <v>0</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Juan Carlos Domínguez Varas</t>
        </is>
      </c>
      <c r="C43" s="6" t="inlineStr">
        <is>
          <t>Fecha de evaluación</t>
        </is>
      </c>
      <c r="D43" s="7" t="inlineStr">
        <is>
          <t>2026-05-21</t>
        </is>
      </c>
      <c r="E43" s="8" t="n"/>
      <c r="F43" s="8" t="n"/>
    </row>
    <row r="44">
      <c r="A44" s="6" t="inlineStr">
        <is>
          <t>Hora de registro</t>
        </is>
      </c>
      <c r="B44" s="7" t="inlineStr">
        <is>
          <t>14:00 - 14:15 h</t>
        </is>
      </c>
      <c r="C44" s="6" t="inlineStr">
        <is>
          <t>Correlativo de ficha</t>
        </is>
      </c>
      <c r="D44" s="7" t="inlineStr">
        <is>
          <t>Sin registro en ficha</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Sin registro en ficha</t>
        </is>
      </c>
      <c r="E46" s="8" t="n"/>
      <c r="F46" s="8" t="n"/>
    </row>
    <row r="47" ht="18" customHeight="1">
      <c r="A47" s="6" t="inlineStr">
        <is>
          <t>Estaciones fotográficas georreferenciadas</t>
        </is>
      </c>
      <c r="B47" s="7" t="n">
        <v>0</v>
      </c>
      <c r="C47" s="6" t="inlineStr">
        <is>
          <t>Modalidad de acceso</t>
        </is>
      </c>
      <c r="D47" s="7" t="inlineStr">
        <is>
          <t>Vehicular + caminata &lt;30 min</t>
        </is>
      </c>
      <c r="E47" s="8" t="n"/>
      <c r="F47" s="8" t="n"/>
    </row>
    <row r="48"/>
    <row r="49">
      <c r="A49" s="5" t="inlineStr">
        <is>
          <t>6. SÍNTESIS PARA LA GESTIÓN DEL RIESGO EN CONTEXTO DE CAMBIO CLIMÁTICO</t>
        </is>
      </c>
    </row>
    <row r="50">
      <c r="A50" s="6" t="inlineStr">
        <is>
          <t>Causa subyacente principal</t>
        </is>
      </c>
      <c r="B50" s="7" t="inlineStr">
        <is>
          <t>Pastoreo de ganado caprino</t>
        </is>
      </c>
      <c r="C50" s="6" t="inlineStr">
        <is>
          <t>Velocidad de degradación</t>
        </is>
      </c>
      <c r="D50" s="7" t="inlineStr">
        <is>
          <t>Lenta</t>
        </is>
      </c>
      <c r="E50" s="8" t="n"/>
      <c r="F50" s="8" t="n"/>
    </row>
    <row r="51">
      <c r="A51" s="6" t="inlineStr">
        <is>
          <t>Reversibilidad técnica</t>
        </is>
      </c>
      <c r="B51" s="7" t="inlineStr">
        <is>
          <t>Totalmente reversible</t>
        </is>
      </c>
      <c r="C51" s="6" t="inlineStr">
        <is>
          <t>Urgencia de intervención</t>
        </is>
      </c>
      <c r="D51" s="7" t="inlineStr">
        <is>
          <t>Baja</t>
        </is>
      </c>
      <c r="E51" s="8" t="n"/>
      <c r="F51" s="8" t="n"/>
    </row>
    <row r="52">
      <c r="A52" s="6" t="inlineStr">
        <is>
          <t>Urgencia de control de erosión</t>
        </is>
      </c>
      <c r="B52" s="7" t="inlineStr">
        <is>
          <t>Baja</t>
        </is>
      </c>
      <c r="C52" s="6" t="inlineStr">
        <is>
          <t>Zona de recarga hídrica</t>
        </is>
      </c>
      <c r="D52" s="7" t="inlineStr">
        <is>
          <t>No</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8" t="n"/>
      <c r="C56" s="38" t="n"/>
      <c r="D56" s="38" t="n"/>
      <c r="E56" s="38" t="n"/>
      <c r="F56" s="39"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M7B2</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0</v>
      </c>
      <c r="C10" s="19" t="n">
        <v>0</v>
      </c>
      <c r="D10" s="11" t="inlineStr">
        <is>
          <t>Vigor alto</t>
        </is>
      </c>
      <c r="E10" s="11" t="inlineStr">
        <is>
          <t>Sobre umbral</t>
        </is>
      </c>
    </row>
    <row r="11">
      <c r="A11" s="12" t="inlineStr">
        <is>
          <t>0.4976 - 0.6139</t>
        </is>
      </c>
      <c r="B11" s="20" t="n">
        <v>0.4731</v>
      </c>
      <c r="C11" s="21" t="n">
        <v>0.41</v>
      </c>
      <c r="D11" s="13" t="inlineStr">
        <is>
          <t>Vigor moderado</t>
        </is>
      </c>
      <c r="E11" s="13" t="inlineStr">
        <is>
          <t>Sobre umbral</t>
        </is>
      </c>
    </row>
    <row r="12">
      <c r="A12" s="7" t="inlineStr">
        <is>
          <t>0.3813 - 0.4976</t>
        </is>
      </c>
      <c r="B12" s="18" t="n">
        <v>2.0307</v>
      </c>
      <c r="C12" s="19" t="n">
        <v>1.76</v>
      </c>
      <c r="D12" s="11" t="inlineStr">
        <is>
          <t>Vigor bajo</t>
        </is>
      </c>
      <c r="E12" s="11" t="inlineStr">
        <is>
          <t>BAJO umbral 0.4976</t>
        </is>
      </c>
    </row>
    <row r="13">
      <c r="A13" s="14" t="inlineStr">
        <is>
          <t>0.2650 - 0.3813</t>
        </is>
      </c>
      <c r="B13" s="30" t="n">
        <v>77.9507</v>
      </c>
      <c r="C13" s="29" t="n">
        <v>67.56</v>
      </c>
      <c r="D13" s="15" t="inlineStr">
        <is>
          <t>Vigor muy bajo</t>
        </is>
      </c>
      <c r="E13" s="15" t="inlineStr">
        <is>
          <t>BAJO umbral 0.4976</t>
        </is>
      </c>
    </row>
    <row r="14">
      <c r="A14" s="7" t="inlineStr">
        <is>
          <t>&lt;= 0.2650</t>
        </is>
      </c>
      <c r="B14" s="18" t="n">
        <v>34.9255</v>
      </c>
      <c r="C14" s="19" t="n">
        <v>30.27</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0.287689</v>
      </c>
      <c r="C16" s="17" t="inlineStr">
        <is>
          <t>—</t>
        </is>
      </c>
      <c r="D16" s="17" t="inlineStr">
        <is>
          <t>Vigor muy bajo · clase 0.2650 - 0.3813</t>
        </is>
      </c>
      <c r="E16" s="17" t="inlineStr">
        <is>
          <t>BAJO umbral 0.4976</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8" t="n"/>
      <c r="C18" s="38" t="n"/>
      <c r="D18" s="38" t="n"/>
      <c r="E18" s="39"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1.054</v>
      </c>
      <c r="C22" s="19" t="n">
        <v>0.91</v>
      </c>
      <c r="D22" s="11" t="inlineStr">
        <is>
          <t>Dosel continuo, matorral denso o mosaico agroforestal</t>
        </is>
      </c>
      <c r="E22" s="11" t="inlineStr"/>
    </row>
    <row r="23">
      <c r="A23" s="12" t="inlineStr">
        <is>
          <t>Vegetación mediana</t>
        </is>
      </c>
      <c r="B23" s="20" t="n">
        <v>60.0822</v>
      </c>
      <c r="C23" s="21" t="n">
        <v>52.05</v>
      </c>
      <c r="D23" s="13" t="inlineStr">
        <is>
          <t>Pastizal cultivado, matorral ralo, parcelas agrícolas</t>
        </is>
      </c>
      <c r="E23" s="13" t="inlineStr"/>
    </row>
    <row r="24">
      <c r="A24" s="7" t="inlineStr">
        <is>
          <t>Vegetación ligera</t>
        </is>
      </c>
      <c r="B24" s="18" t="n">
        <v>53.7375</v>
      </c>
      <c r="C24" s="19" t="n">
        <v>46.56</v>
      </c>
      <c r="D24" s="11" t="inlineStr">
        <is>
          <t>Cobertura discontinua, suelo parcialmente expuesto</t>
        </is>
      </c>
      <c r="E24" s="11" t="inlineStr"/>
    </row>
    <row r="25">
      <c r="A25" s="12" t="inlineStr">
        <is>
          <t>Tierra desnuda</t>
        </is>
      </c>
      <c r="B25" s="20" t="n">
        <v>0.5481</v>
      </c>
      <c r="C25" s="21" t="n">
        <v>0.47</v>
      </c>
      <c r="D25" s="13" t="inlineStr">
        <is>
          <t>Suelo desnudo, afloramientos, plataformas y taludes</t>
        </is>
      </c>
      <c r="E25" s="13" t="inlineStr"/>
    </row>
    <row r="26">
      <c r="A26" s="16" t="inlineStr">
        <is>
          <t>TOTAL CLASIFICADO</t>
        </is>
      </c>
      <c r="B26" s="22">
        <f>SUM(B21:B24)</f>
        <v/>
      </c>
      <c r="C26" s="23">
        <f>SUM(C21:C24)</f>
        <v/>
      </c>
      <c r="D26" s="17" t="inlineStr"/>
      <c r="E26" s="17" t="inlineStr"/>
    </row>
    <row r="27">
      <c r="A27" s="24" t="inlineStr">
        <is>
          <t>Superficie de catálogo (V5/V6)</t>
        </is>
      </c>
      <c r="B27" s="25" t="n">
        <v>115.38</v>
      </c>
      <c r="C27" s="25" t="inlineStr">
        <is>
          <t>—</t>
        </is>
      </c>
      <c r="D27" s="25" t="inlineStr">
        <is>
          <t>Desviación planimétrica frente al catálogo</t>
        </is>
      </c>
      <c r="E27" s="25" t="inlineStr">
        <is>
          <t>+0.04 %</t>
        </is>
      </c>
    </row>
    <row r="28" ht="72" customHeight="1"/>
    <row r="29">
      <c r="A29"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29" s="38" t="n"/>
      <c r="C29" s="38" t="n"/>
      <c r="D29" s="38" t="n"/>
      <c r="E29" s="39" t="n"/>
    </row>
  </sheetData>
  <mergeCells count="10">
    <mergeCell ref="A29:E29"/>
    <mergeCell ref="A4:E4"/>
    <mergeCell ref="A20:E20"/>
    <mergeCell ref="A2:E2"/>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M7B2</t>
        </is>
      </c>
    </row>
    <row r="6" ht="24" customHeight="1">
      <c r="A6" s="4" t="inlineStr">
        <is>
          <t>Levantamiento del 2026-05-21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9416185</v>
      </c>
      <c r="E10" s="11" t="n">
        <v>18962.4</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631438</v>
      </c>
      <c r="C13" s="6" t="inlineStr">
        <is>
          <t>Centroide del bloque — UTM NORTE (m)</t>
        </is>
      </c>
      <c r="D13" s="7" t="n">
        <v>9403547</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32"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 MOMENTO DE LA EVALUACIÓN LA ACCESIBILIDAD AL BLOQUE ERA LIMITADA POR LA PRESENCIA DE TERRENOS DE CULTIVOS Y POTREROS DE PROPIETARIOS PRIVADOS. NO SE PUDO ACCEDER AL INTERIOR DEL BLOQUE (duración del registro: 15 minutos). ADVERTENCIA MAYOR: LA FICHA REPRODUCE ÍNTEGRAMENTE EL CONTENIDO DE LA FICHA DEL BLOQUE M6B2-1 (mismo paisaje —quebrada Q9566, microcuenca C1077—, mismas coberturas, misma superficie de ecosistema 514.36 ha, mismo UTM Este 645 575 · Norte 9 416 185 que no corresponde al centroide de M7B2, 631 438 · 9 403 550). EL CONTENIDO NO ES ESPECÍFICO DE ESTE BLOQUE.</t>
        </is>
      </c>
      <c r="B16" s="38" t="n"/>
      <c r="C16" s="38" t="n"/>
      <c r="D16" s="38" t="n"/>
      <c r="E16" s="38" t="n"/>
      <c r="F16" s="38" t="n"/>
      <c r="G16" s="39"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C1076-Q9581 — BLOQUE M7B2</t>
        </is>
      </c>
    </row>
    <row r="6" ht="24" customHeight="1">
      <c r="A6" s="4" t="inlineStr">
        <is>
          <t>Distrito de Salitral · Provincia de Morropon · Comparación de los bloques preliminares de intervención de la misma microcuenca</t>
        </is>
      </c>
    </row>
    <row r="8" ht="18" customHeight="1">
      <c r="A8" s="5" t="inlineStr">
        <is>
          <t>BLOQUES DE LA MICROCUENCA C1076-Q9581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M7B1</t>
        </is>
      </c>
      <c r="B10" s="27" t="n">
        <v>130.43</v>
      </c>
      <c r="C10" s="19" t="n">
        <v>32.38</v>
      </c>
      <c r="D10" s="11" t="inlineStr">
        <is>
          <t>183 – 357</t>
        </is>
      </c>
      <c r="E10" s="11" t="n">
        <v>174</v>
      </c>
      <c r="F10" s="11" t="n">
        <v>17.35</v>
      </c>
      <c r="G10" s="18" t="n">
        <v>0.3136</v>
      </c>
      <c r="H10" s="19" t="n">
        <v>4.28</v>
      </c>
    </row>
    <row r="11">
      <c r="A11" s="14" t="inlineStr">
        <is>
          <t>► M7B2</t>
        </is>
      </c>
      <c r="B11" s="28" t="n">
        <v>115.38</v>
      </c>
      <c r="C11" s="29" t="n">
        <v>28.64</v>
      </c>
      <c r="D11" s="15" t="inlineStr">
        <is>
          <t>204 – 362</t>
        </is>
      </c>
      <c r="E11" s="15" t="n">
        <v>158</v>
      </c>
      <c r="F11" s="15" t="n">
        <v>14.01</v>
      </c>
      <c r="G11" s="30" t="n">
        <v>0.2877</v>
      </c>
      <c r="H11" s="29" t="n">
        <v>0.91</v>
      </c>
    </row>
    <row r="12">
      <c r="A12" s="7" t="inlineStr">
        <is>
          <t>M7B6</t>
        </is>
      </c>
      <c r="B12" s="27" t="n">
        <v>91.29000000000001</v>
      </c>
      <c r="C12" s="19" t="n">
        <v>22.66</v>
      </c>
      <c r="D12" s="11" t="inlineStr">
        <is>
          <t>228 – 453</t>
        </is>
      </c>
      <c r="E12" s="11" t="n">
        <v>225</v>
      </c>
      <c r="F12" s="11" t="n">
        <v>16.87</v>
      </c>
      <c r="G12" s="18" t="n">
        <v>0.2878</v>
      </c>
      <c r="H12" s="19" t="n">
        <v>0.73</v>
      </c>
    </row>
    <row r="13">
      <c r="A13" s="12" t="inlineStr">
        <is>
          <t>M7B3</t>
        </is>
      </c>
      <c r="B13" s="31" t="n">
        <v>65.73999999999999</v>
      </c>
      <c r="C13" s="21" t="n">
        <v>16.32</v>
      </c>
      <c r="D13" s="13" t="inlineStr">
        <is>
          <t>209 – 372</t>
        </is>
      </c>
      <c r="E13" s="13" t="n">
        <v>163</v>
      </c>
      <c r="F13" s="13" t="n">
        <v>19.61</v>
      </c>
      <c r="G13" s="20" t="n">
        <v>0.298</v>
      </c>
      <c r="H13" s="21" t="n">
        <v>1.32</v>
      </c>
    </row>
    <row r="14">
      <c r="A14" s="16" t="inlineStr">
        <is>
          <t>TOTAL / PROMEDIO</t>
        </is>
      </c>
      <c r="B14" s="32">
        <f>SUM(B10:B13)</f>
        <v/>
      </c>
      <c r="C14" s="23">
        <f>SUM(C10:C13)</f>
        <v/>
      </c>
      <c r="D14" s="17" t="inlineStr">
        <is>
          <t>183 – 453</t>
        </is>
      </c>
      <c r="E14" s="17" t="inlineStr"/>
      <c r="F14" s="17">
        <f>ROUND(AVERAGE(F10:F13),2)</f>
        <v/>
      </c>
      <c r="G14" s="22">
        <f>ROUND(AVERAGE(G10:G13),4)</f>
        <v/>
      </c>
      <c r="H14" s="23">
        <f>ROUND(AVERAGE(H10:H13),2)</f>
        <v/>
      </c>
    </row>
    <row r="16" ht="84" customHeight="1">
      <c r="A16" s="9" t="inlineStr">
        <is>
          <t>LECTURA INTRAMICROCUENCA. El bloque M7B2 ocupa el puesto 2 de 4 por superficie dentro de la microcuenca C1076-Q9581 (28.64 % de las 402.84 ha preliminares de la microcuenca). Su pendiente promedio (14.01 %, clase «8-15% (Mod. inclinado)») es la 1.ª más baja de 4 y se sitúa por debajo del promedio de la microcuenca (16.96 %). Su MSAVI 2024 (0.2877) es el 4.º de 4 y queda por debajo del promedio local (0.2968). Amplitud altitudinal del bloque: 158 m (204–362 msnm). El cuadro conserva todos los bloques catalogados en la microcuenca, incluidos los descartados en el tamizaje, para referencia del conjunto. Los bloques sin ficha DT figuran con sus parámetros de gabinete.</t>
        </is>
      </c>
      <c r="B16" s="38" t="n"/>
      <c r="C16" s="38" t="n"/>
      <c r="D16" s="38" t="n"/>
      <c r="E16" s="38" t="n"/>
      <c r="F16" s="38" t="n"/>
      <c r="G16" s="38" t="n"/>
      <c r="H16" s="39" t="n"/>
    </row>
    <row r="18" ht="60" customHeight="1">
      <c r="A18"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18" s="38" t="n"/>
      <c r="C18" s="38" t="n"/>
      <c r="D18" s="38" t="n"/>
      <c r="E18" s="38" t="n"/>
      <c r="F18" s="38" t="n"/>
      <c r="G18" s="38" t="n"/>
      <c r="H18" s="39" t="n"/>
    </row>
  </sheetData>
  <mergeCells count="9">
    <mergeCell ref="A18:H18"/>
    <mergeCell ref="A4:H4"/>
    <mergeCell ref="A1:H1"/>
    <mergeCell ref="A3:H3"/>
    <mergeCell ref="A2:H2"/>
    <mergeCell ref="A16:H16"/>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M7B2</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«C1076-Q9581»</t>
        </is>
      </c>
      <c r="D10" s="34" t="inlineStr">
        <is>
          <t>CONFORME</t>
        </is>
      </c>
      <c r="E10" s="33" t="inlineStr">
        <is>
          <t>Sin acción.</t>
        </is>
      </c>
    </row>
    <row r="11" ht="48" customHeight="1">
      <c r="A11" s="35" t="inlineStr">
        <is>
          <t>D-02</t>
        </is>
      </c>
      <c r="B11" s="35" t="inlineStr">
        <is>
          <t>UTM del punto de muestreo</t>
        </is>
      </c>
      <c r="C11" s="35" t="inlineStr">
        <is>
          <t>El punto de muestreo declarado (645575 E / 9416185 N) dista 18,962 m del centroide de catálogo (631438 E / 9403547 N), distancia incompatible con la superficie del bloque (115.38 ha)</t>
        </is>
      </c>
      <c r="D11" s="36"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(115.422 ha) coincide con la de catálogo (115.38 ha) dentro del ±2 % (+0.04 %)</t>
        </is>
      </c>
      <c r="D12" s="34"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la estadística zonal sobre el MDE arroja una pendiente promedio de 14.01 %, que corresponde a la clase «8-15% (Mod. inclinado)»</t>
        </is>
      </c>
      <c r="D13" s="15"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Elenco florístico</t>
        </is>
      </c>
      <c r="C14" s="33" t="inlineStr">
        <is>
          <t>La ficha registra 0 taxones, por debajo del mínimo de 15 que exige el formato V5</t>
        </is>
      </c>
      <c r="D14" s="36" t="inlineStr">
        <is>
          <t>SUSTANTIVA</t>
        </is>
      </c>
      <c r="E14" s="33" t="inlineStr">
        <is>
          <t>Registro florístico preliminar, sin colecta ni determinación botánica formal. Debe cerrarse con colecta botánica en la siguiente campaña.</t>
        </is>
      </c>
    </row>
    <row r="15" ht="48" customHeight="1">
      <c r="A15" s="35" t="inlineStr">
        <is>
          <t>D-06</t>
        </is>
      </c>
      <c r="B15" s="35" t="inlineStr">
        <is>
          <t>Representatividad del levantamiento</t>
        </is>
      </c>
      <c r="C15" s="35" t="inlineStr">
        <is>
          <t>Ninguna de las estaciones fotográficas georreferenciadas se localiza dentro del polígono del bloque</t>
        </is>
      </c>
      <c r="D15" s="36" t="inlineStr">
        <is>
          <t>SUSTANTIVA</t>
        </is>
      </c>
      <c r="E15" s="35" t="inlineStr">
        <is>
          <t>La verificación documenta el perímetro y la vista panorámica del bloque, no su interior. Los parámetros que exigen recorrido interno se consignan «Por determinar».</t>
        </is>
      </c>
    </row>
    <row r="16" ht="48" customHeight="1">
      <c r="A16" s="33" t="inlineStr">
        <is>
          <t>D-07</t>
        </is>
      </c>
      <c r="B16" s="33" t="inlineStr">
        <is>
          <t>Centro poblado asociado</t>
        </is>
      </c>
      <c r="C16" s="33" t="inlineStr">
        <is>
          <t>La ficha DT declara «Buenos Aires»; el cruce INEI-Bloques V5 identifica 1 centro(s) poblado(s) en el bloque: LA ALBERCA</t>
        </is>
      </c>
      <c r="D16" s="15" t="inlineStr">
        <is>
          <t>NO SUSTANTIVA</t>
        </is>
      </c>
      <c r="E16" s="33" t="inlineStr">
        <is>
          <t>Se conserva el registro de campo como referencia y se adopta el listado INEI para el diagnóstico social y el cálculo de población beneficiaria.</t>
        </is>
      </c>
    </row>
    <row r="17" ht="48" customHeight="1">
      <c r="A17" s="35" t="inlineStr">
        <is>
          <t>D-08</t>
        </is>
      </c>
      <c r="B17" s="35" t="inlineStr">
        <is>
          <t>Peligro integrado (MCA-AHP)</t>
        </is>
      </c>
      <c r="C17" s="35" t="inlineStr">
        <is>
          <t>El nivel de peligro integrado no está disponible en los insumos de este entregable</t>
        </is>
      </c>
      <c r="D17" s="36" t="inlineStr">
        <is>
          <t>SUSTANTIVA</t>
        </is>
      </c>
      <c r="E17" s="35" t="inlineStr">
        <is>
          <t>Debe tomarse del modelamiento de mesolocalización (PMM + EPH + PGI ponderados por AHP) antes de fijar la prioridad definitiva de intervención del bloque.</t>
        </is>
      </c>
    </row>
    <row r="18" ht="48" customHeight="1">
      <c r="A18" s="33" t="inlineStr">
        <is>
          <t>D-09</t>
        </is>
      </c>
      <c r="B18" s="33" t="inlineStr">
        <is>
          <t>Plan de Ingreso</t>
        </is>
      </c>
      <c r="C18" s="33" t="inlineStr">
        <is>
          <t>Altitud = 0 msnm (captura por defecto del aplicativo)</t>
        </is>
      </c>
      <c r="D18" s="37" t="inlineStr">
        <is>
          <t>CORREGIDO</t>
        </is>
      </c>
      <c r="E18" s="33" t="inlineStr">
        <is>
          <t>Se reemplaza por la altitud GPS de campo (200 msnm)</t>
        </is>
      </c>
    </row>
    <row r="19" ht="48" customHeight="1">
      <c r="A19" s="35" t="inlineStr">
        <is>
          <t>D-10</t>
        </is>
      </c>
      <c r="B19" s="35" t="inlineStr">
        <is>
          <t>Ficha DT</t>
        </is>
      </c>
      <c r="C19" s="35" t="inlineStr">
        <is>
          <t>EL CONTENIDO DE LA FICHA ES UNA COPIA DEL DE M6B2-1: mismo paisaje (quebrada Q9566, microcuenca C1077), mismas coberturas, misma superficie de ecosistema (514.36 ha) y mismo UTM (645 575 · 9 416 185)</t>
        </is>
      </c>
      <c r="D19" s="36" t="inlineStr">
        <is>
          <t>SUSTANTIVA</t>
        </is>
      </c>
      <c r="E19" s="35" t="inlineStr">
        <is>
          <t>LA FICHA NO ES VÁLIDA PARA ESTE BLOQUE: levantamiento propio indispensable</t>
        </is>
      </c>
    </row>
    <row r="20" ht="48" customHeight="1">
      <c r="A20" s="33" t="inlineStr">
        <is>
          <t>D-11</t>
        </is>
      </c>
      <c r="B20" s="33" t="inlineStr">
        <is>
          <t>Ficha DT</t>
        </is>
      </c>
      <c r="C20" s="33" t="inlineStr">
        <is>
          <t>El UTM de registro (645 575 · 9 416 185) dista ≈18 km del centroide de catálogo de M7B2 (631 438 · 9 403 550)</t>
        </is>
      </c>
      <c r="D20" s="36" t="inlineStr">
        <is>
          <t>SUSTANTIVA</t>
        </is>
      </c>
      <c r="E20" s="33" t="inlineStr">
        <is>
          <t>Georreferencia por reponer</t>
        </is>
      </c>
    </row>
    <row r="21" ht="48" customHeight="1">
      <c r="A21" s="35" t="inlineStr">
        <is>
          <t>D-12</t>
        </is>
      </c>
      <c r="B21" s="35" t="inlineStr">
        <is>
          <t>F-DT-03</t>
        </is>
      </c>
      <c r="C21" s="35" t="inlineStr">
        <is>
          <t>Superficie de ecosistema declarada 514.36 ha frente a las 115.38 ha reales del bloque</t>
        </is>
      </c>
      <c r="D21" s="36" t="inlineStr">
        <is>
          <t>SUSTANTIVA</t>
        </is>
      </c>
      <c r="E21" s="35" t="inlineStr">
        <is>
          <t>Valor erróneo heredado de M6B2-1</t>
        </is>
      </c>
    </row>
    <row r="22" ht="48" customHeight="1">
      <c r="A22" s="33" t="inlineStr">
        <is>
          <t>D-13</t>
        </is>
      </c>
      <c r="B22" s="33" t="inlineStr">
        <is>
          <t>F-DT-01</t>
        </is>
      </c>
      <c r="C22" s="33" t="inlineStr">
        <is>
          <t>No se pudo acceder al interior del bloque (registro de 15 minutos) por predios privados</t>
        </is>
      </c>
      <c r="D22" s="36" t="inlineStr">
        <is>
          <t>SUSTANTIVA</t>
        </is>
      </c>
      <c r="E22" s="33" t="inlineStr">
        <is>
          <t>Gestión predial previa indispensable</t>
        </is>
      </c>
    </row>
    <row r="23" ht="48" customHeight="1">
      <c r="A23" s="35" t="inlineStr">
        <is>
          <t>D-14</t>
        </is>
      </c>
      <c r="B23" s="35" t="inlineStr">
        <is>
          <t>F-DT-03</t>
        </is>
      </c>
      <c r="C23" s="35" t="inlineStr">
        <is>
          <t>Sin composición florística ni especies clave</t>
        </is>
      </c>
      <c r="D23" s="36" t="inlineStr">
        <is>
          <t>SUSTANTIVA</t>
        </is>
      </c>
      <c r="E23" s="35" t="inlineStr">
        <is>
          <t>Inventario pendiente en su totalidad</t>
        </is>
      </c>
    </row>
    <row r="24" ht="48" customHeight="1">
      <c r="A24" s="33" t="inlineStr">
        <is>
          <t>D-15</t>
        </is>
      </c>
      <c r="B24" s="33" t="inlineStr">
        <is>
          <t>F-DT-04</t>
        </is>
      </c>
      <c r="C24" s="33" t="inlineStr">
        <is>
          <t>Matriz de causas completamente vacía (16/16) y ningún indicador cuantitativo diligenciado</t>
        </is>
      </c>
      <c r="D24" s="36" t="inlineStr">
        <is>
          <t>SUSTANTIVA</t>
        </is>
      </c>
      <c r="E24" s="33" t="inlineStr">
        <is>
          <t>Levantamiento pendiente en su totalidad</t>
        </is>
      </c>
    </row>
    <row r="25" ht="48" customHeight="1">
      <c r="A25" s="35" t="inlineStr">
        <is>
          <t>D-16</t>
        </is>
      </c>
      <c r="B25" s="35" t="inlineStr">
        <is>
          <t>F-DT-05</t>
        </is>
      </c>
      <c r="C25" s="35" t="inlineStr">
        <is>
          <t>Inventario de fuentes de agua vacío</t>
        </is>
      </c>
      <c r="D25" s="36" t="inlineStr">
        <is>
          <t>SUSTANTIVA</t>
        </is>
      </c>
      <c r="E25" s="35" t="inlineStr">
        <is>
          <t>Levantamiento pendiente</t>
        </is>
      </c>
    </row>
    <row r="26">
      <c r="A26" s="35" t="inlineStr">
        <is>
          <t>D-17</t>
        </is>
      </c>
      <c r="B26" s="35" t="inlineStr">
        <is>
          <t>Distribución areal de clases MSAVI 2024</t>
        </is>
      </c>
      <c r="C26" s="35" t="inlineStr">
        <is>
          <t>La hoja «Cobertura MSAVI-NDVI» consignaba «Por determinar» en la distribución areal de clases MSAVI 2024; se incorpora el metrado por clase medido sobre la cartografía temática MSAVI 2024 del bloque: 99.59 % del bloque (114.907 ha) bajo el umbral 0.4976 y 0.41 % sobre el umbral; clase areal dominante «Vigor muy bajo».</t>
        </is>
      </c>
      <c r="D26" s="36" t="inlineStr">
        <is>
          <t>CORREGIDO</t>
        </is>
      </c>
      <c r="E26" s="35"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7"/>
    <row r="28">
      <c r="A28" s="16" t="inlineStr">
        <is>
          <t>RESUMEN</t>
        </is>
      </c>
      <c r="B28" s="17" t="inlineStr">
        <is>
          <t>17 verificaciones</t>
        </is>
      </c>
      <c r="C28" s="17" t="inlineStr">
        <is>
          <t>CONFORME: 2 · NO SUSTANTIVA: 2 · SUSTANTIVA: 11 · CORREGIDO: 2</t>
        </is>
      </c>
      <c r="D28" s="17" t="inlineStr"/>
      <c r="E28" s="17" t="inlineStr"/>
    </row>
    <row r="29" ht="60" customHeight="1"/>
    <row r="30">
      <c r="A3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0" s="38" t="n"/>
      <c r="C30" s="38" t="n"/>
      <c r="D30" s="38" t="n"/>
      <c r="E30" s="39" t="n"/>
    </row>
  </sheetData>
  <mergeCells count="8">
    <mergeCell ref="A30:E30"/>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M7B2 — IN Piura</dc:title>
  <dc:subject>Diagnóstico Territorial por bloque de intervención</dc:subject>
  <dcterms:created xsi:type="dcterms:W3CDTF">2026-09-08T03:39:59Z</dcterms:created>
  <dcterms:modified xsi:type="dcterms:W3CDTF">2026-09-09T14:49:47Z</dcterms:modified>
</cp:coreProperties>
</file>