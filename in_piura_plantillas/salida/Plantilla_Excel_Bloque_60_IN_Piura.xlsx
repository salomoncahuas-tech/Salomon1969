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s>
  <borders count="2">
    <border>
      <left/>
      <right/>
      <top/>
      <bottom/>
      <diagonal/>
    </border>
    <border>
      <left style="thin">
        <color rgb="009C9C9C"/>
      </left>
      <right style="thin">
        <color rgb="009C9C9C"/>
      </right>
      <top style="thin">
        <color rgb="009C9C9C"/>
      </top>
      <bottom style="thin">
        <color rgb="009C9C9C"/>
      </bottom>
    </border>
  </borders>
  <cellStyleXfs count="1">
    <xf numFmtId="0" fontId="0" fillId="0" borderId="0"/>
  </cellStyleXfs>
  <cellXfs count="38">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4"/>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60</t>
        </is>
      </c>
    </row>
    <row r="6" ht="24" customHeight="1">
      <c r="A6" s="4" t="inlineStr">
        <is>
          <t>Diagnóstico Territorial — Plantilla DT Campo Check Validada V5 | Sistema de referencia: UTM WGS 84 Zona 17S (EPSG:32717)</t>
        </is>
      </c>
    </row>
    <row r="8" ht="18" customHeight="1">
      <c r="A8" s="5" t="inlineStr">
        <is>
          <t>1. IDENTIFICACIÓN Y LOCALIZACIÓN</t>
        </is>
      </c>
    </row>
    <row r="9">
      <c r="A9" s="6" t="inlineStr">
        <is>
          <t>Código del bloque</t>
        </is>
      </c>
      <c r="B9" s="7" t="inlineStr">
        <is>
          <t>60</t>
        </is>
      </c>
      <c r="C9" s="6" t="inlineStr">
        <is>
          <t>Microcuenca (catálogo)</t>
        </is>
      </c>
      <c r="D9" s="7" t="inlineStr">
        <is>
          <t>C1081-Q9591</t>
        </is>
      </c>
      <c r="E9" s="8" t="n"/>
      <c r="F9" s="8" t="n"/>
    </row>
    <row r="10">
      <c r="A10" s="6" t="inlineStr">
        <is>
          <t>Zona de planificación</t>
        </is>
      </c>
      <c r="B10" s="7" t="inlineStr">
        <is>
          <t>Z11</t>
        </is>
      </c>
      <c r="C10" s="6" t="inlineStr">
        <is>
          <t>Microcuenca declarada en ficha DT</t>
        </is>
      </c>
      <c r="D10" s="7" t="inlineStr">
        <is>
          <t>C1081-Q9591</t>
        </is>
      </c>
      <c r="E10" s="8" t="n"/>
      <c r="F10" s="8" t="n"/>
    </row>
    <row r="11">
      <c r="A11" s="6" t="inlineStr">
        <is>
          <t>Departamento</t>
        </is>
      </c>
      <c r="B11" s="7" t="inlineStr">
        <is>
          <t>Piura</t>
        </is>
      </c>
      <c r="C11" s="6" t="inlineStr">
        <is>
          <t>Provincia</t>
        </is>
      </c>
      <c r="D11" s="7" t="inlineStr">
        <is>
          <t>Huancabamba</t>
        </is>
      </c>
      <c r="E11" s="8" t="n"/>
      <c r="F11" s="8" t="n"/>
    </row>
    <row r="12">
      <c r="A12" s="6" t="inlineStr">
        <is>
          <t>Distrito</t>
        </is>
      </c>
      <c r="B12" s="7" t="inlineStr">
        <is>
          <t>Canchaque</t>
        </is>
      </c>
      <c r="C12" s="6" t="inlineStr">
        <is>
          <t>Capital distrital</t>
        </is>
      </c>
      <c r="D12" s="7" t="inlineStr">
        <is>
          <t>Canchaque</t>
        </is>
      </c>
      <c r="E12" s="8" t="n"/>
      <c r="F12" s="8" t="n"/>
    </row>
    <row r="13">
      <c r="A13" s="6" t="inlineStr">
        <is>
          <t>Centro poblado asociado</t>
        </is>
      </c>
      <c r="B13" s="7" t="inlineStr">
        <is>
          <t>Flor de Café (Canchaque; 111 hab., 41 viviendas, INEI) — a 1.06 km al NNO del punto de verificación</t>
        </is>
      </c>
      <c r="C13" s="6" t="inlineStr">
        <is>
          <t>Comunidad campesina</t>
        </is>
      </c>
      <c r="D13" s="7" t="inlineStr">
        <is>
          <t>Por verificar en gabinete social (F-DS-01)</t>
        </is>
      </c>
      <c r="E13" s="8" t="n"/>
      <c r="F13" s="8" t="n"/>
    </row>
    <row r="14">
      <c r="A14" s="6" t="inlineStr">
        <is>
          <t>Superficie de catálogo (V5/V6), ha</t>
        </is>
      </c>
      <c r="B14" s="7" t="n">
        <v>40.13</v>
      </c>
      <c r="C14" s="6" t="inlineStr">
        <is>
          <t>Fuente de superficie</t>
        </is>
      </c>
      <c r="D14" s="7" t="inlineStr">
        <is>
          <t>Catálogo maestro Bloques V5/V6</t>
        </is>
      </c>
      <c r="E14" s="8" t="n"/>
      <c r="F14" s="8" t="n"/>
    </row>
    <row r="15">
      <c r="A15" s="6" t="inlineStr">
        <is>
          <t>Centroide UTM ESTE (m)</t>
        </is>
      </c>
      <c r="B15" s="7" t="n">
        <v>653850</v>
      </c>
      <c r="C15" s="6" t="inlineStr">
        <is>
          <t>Centroide UTM NORTE (m)</t>
        </is>
      </c>
      <c r="D15" s="7" t="n">
        <v>9426236</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8" ht="18" customHeight="1">
      <c r="A18" s="5" t="inlineStr">
        <is>
          <t>2. PARÁMETROS FÍSICOS (ESTADÍSTICA ZONAL SOBRE MDE)</t>
        </is>
      </c>
    </row>
    <row r="19">
      <c r="A19" s="6" t="inlineStr">
        <is>
          <t>Altitud mínima (msnm)</t>
        </is>
      </c>
      <c r="B19" s="7" t="n">
        <v>1638</v>
      </c>
      <c r="C19" s="6" t="inlineStr">
        <is>
          <t>Altitud máxima (msnm)</t>
        </is>
      </c>
      <c r="D19" s="7" t="n">
        <v>2073</v>
      </c>
      <c r="E19" s="8" t="n"/>
      <c r="F19" s="8" t="n"/>
    </row>
    <row r="20">
      <c r="A20" s="6" t="inlineStr">
        <is>
          <t>Amplitud altitudinal (m)</t>
        </is>
      </c>
      <c r="B20" s="7" t="n">
        <v>435</v>
      </c>
      <c r="C20" s="6" t="inlineStr">
        <is>
          <t>Piso altitudinal dominante</t>
        </is>
      </c>
      <c r="D20" s="7" t="inlineStr">
        <is>
          <t>1500-2000 m (Quechua media)</t>
        </is>
      </c>
      <c r="E20" s="8" t="n"/>
      <c r="F20" s="8" t="n"/>
    </row>
    <row r="21">
      <c r="A21" s="6" t="inlineStr">
        <is>
          <t>Pendiente promedio (%)</t>
        </is>
      </c>
      <c r="B21" s="7" t="n">
        <v>32.67</v>
      </c>
      <c r="C21" s="6" t="inlineStr">
        <is>
          <t>Pendiente promedio (grados)</t>
        </is>
      </c>
      <c r="D21" s="7" t="n">
        <v>18.1</v>
      </c>
      <c r="E21" s="8" t="n"/>
      <c r="F21" s="8" t="n"/>
    </row>
    <row r="22">
      <c r="A22" s="6" t="inlineStr">
        <is>
          <t>Clase de pendiente equivalente</t>
        </is>
      </c>
      <c r="B22" s="7" t="inlineStr">
        <is>
          <t>25-50% (Mod. escarpado)</t>
        </is>
      </c>
      <c r="C22" s="6" t="inlineStr">
        <is>
          <t>Rango de pendiente declarado en campo</t>
        </is>
      </c>
      <c r="D22" s="7" t="inlineStr">
        <is>
          <t>50-75% (Escarpado)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Oeste</t>
        </is>
      </c>
      <c r="C24" s="6" t="inlineStr">
        <is>
          <t>Afloramientos rocosos</t>
        </is>
      </c>
      <c r="D24" s="7" t="inlineStr">
        <is>
          <t>Sí</t>
        </is>
      </c>
      <c r="E24" s="8" t="n"/>
      <c r="F24" s="8" t="n"/>
    </row>
    <row r="25">
      <c r="A25" s="6" t="inlineStr">
        <is>
          <t>Escarpes activos</t>
        </is>
      </c>
      <c r="B25" s="7" t="inlineStr">
        <is>
          <t>Sí</t>
        </is>
      </c>
      <c r="C25" s="6" t="inlineStr">
        <is>
          <t>Remociones en masa activas</t>
        </is>
      </c>
      <c r="D25" s="7" t="inlineStr">
        <is>
          <t>Sí</t>
        </is>
      </c>
      <c r="E25" s="8" t="n"/>
      <c r="F25" s="8" t="n"/>
    </row>
    <row r="27" ht="18" customHeight="1">
      <c r="A27" s="5" t="inlineStr">
        <is>
          <t>3. ÍNDICES DE VEGETACIÓN (SENTINEL-2)</t>
        </is>
      </c>
    </row>
    <row r="28">
      <c r="A28" s="6" t="inlineStr">
        <is>
          <t>MSAVI 2024 — media del bloque</t>
        </is>
      </c>
      <c r="B28" s="7" t="n">
        <v>0.6745</v>
      </c>
      <c r="C28" s="6" t="inlineStr">
        <is>
          <t>MSAVI 2024 — clase de la media</t>
        </is>
      </c>
      <c r="D28" s="7" t="inlineStr">
        <is>
          <t>&gt; 0.6139 (Vigor alto)</t>
        </is>
      </c>
      <c r="E28" s="8" t="n"/>
      <c r="F28" s="8" t="n"/>
    </row>
    <row r="29">
      <c r="A29" s="6" t="inlineStr">
        <is>
          <t>Condición frente al umbral 0.4976</t>
        </is>
      </c>
      <c r="B29" s="7" t="inlineStr">
        <is>
          <t>Sobre umbral</t>
        </is>
      </c>
      <c r="C29" s="6" t="inlineStr">
        <is>
          <t>NDVI mediana 2025 — clase modal</t>
        </is>
      </c>
      <c r="D29" s="7" t="inlineStr">
        <is>
          <t>Vegetación alta (99.90 %)</t>
        </is>
      </c>
      <c r="E29" s="8" t="n"/>
      <c r="F29" s="8" t="n"/>
    </row>
    <row r="30">
      <c r="A30" s="6" t="inlineStr">
        <is>
          <t>Superficie clasificada NDVI 2025 (ha)</t>
        </is>
      </c>
      <c r="B30" s="7" t="n">
        <v>40.14</v>
      </c>
      <c r="C30" s="6" t="inlineStr">
        <is>
          <t>Desviación frente al catálogo (%)</t>
        </is>
      </c>
      <c r="D30" s="7" t="n">
        <v>0.03</v>
      </c>
      <c r="E30" s="8" t="n"/>
      <c r="F30" s="8" t="n"/>
    </row>
    <row r="32" ht="18" customHeight="1">
      <c r="A32" s="5" t="inlineStr">
        <is>
          <t>4. ECOSISTEMA Y ESTADO DE CONSERVACIÓN</t>
        </is>
      </c>
    </row>
    <row r="33">
      <c r="A33" s="6" t="inlineStr">
        <is>
          <t>Tipo de ecosistema (UP)</t>
        </is>
      </c>
      <c r="B33" s="7" t="inlineStr">
        <is>
          <t>Matorral Andino subhúmedo (preliminar; reconciliar con el Mapa Nacional de Ecosistemas)</t>
        </is>
      </c>
      <c r="C33" s="6" t="inlineStr">
        <is>
          <t>Superficie de ecosistema (ha)</t>
        </is>
      </c>
      <c r="D33" s="7" t="inlineStr">
        <is>
          <t>40.13 ha (100% del bloque)</t>
        </is>
      </c>
      <c r="E33" s="8" t="n"/>
      <c r="F33" s="8" t="n"/>
    </row>
    <row r="34">
      <c r="A34" s="6" t="inlineStr">
        <is>
          <t>Estado de conservación</t>
        </is>
      </c>
      <c r="B34" s="7" t="inlineStr">
        <is>
          <t>Medianamente alterado</t>
        </is>
      </c>
      <c r="C34" s="6" t="inlineStr">
        <is>
          <t>Uso actual dominante del suelo</t>
        </is>
      </c>
      <c r="D34" s="7" t="inlineStr">
        <is>
          <t>Uso mixto</t>
        </is>
      </c>
      <c r="E34" s="8" t="n"/>
      <c r="F34" s="8" t="n"/>
    </row>
    <row r="35">
      <c r="A35" s="6" t="inlineStr">
        <is>
          <t>Tipo de cobertura dominante</t>
        </is>
      </c>
      <c r="B35" s="7" t="inlineStr">
        <is>
          <t>Matorral denso</t>
        </is>
      </c>
      <c r="C35" s="6" t="inlineStr">
        <is>
          <t>Cobertura vegetal total — campo (%)</t>
        </is>
      </c>
      <c r="D35" s="7" t="n">
        <v>85</v>
      </c>
      <c r="E35" s="8" t="n"/>
      <c r="F35" s="8" t="n"/>
    </row>
    <row r="36">
      <c r="A36" s="6" t="inlineStr">
        <is>
          <t>Suelo desnudo — campo (%)</t>
        </is>
      </c>
      <c r="B36" s="7" t="n">
        <v>5</v>
      </c>
      <c r="C36" s="6" t="inlineStr">
        <is>
          <t>Regeneración natural</t>
        </is>
      </c>
      <c r="D36" s="7" t="inlineStr">
        <is>
          <t>Regular (10-50 pl./100m²)</t>
        </is>
      </c>
      <c r="E36" s="8" t="n"/>
      <c r="F36" s="8" t="n"/>
    </row>
    <row r="37">
      <c r="A37" s="6" t="inlineStr">
        <is>
          <t>Nivel general de erosión</t>
        </is>
      </c>
      <c r="B37" s="7" t="inlineStr">
        <is>
          <t>Moderada (surcos)</t>
        </is>
      </c>
      <c r="C37" s="6" t="inlineStr">
        <is>
          <t>N.° de cárcavas registradas</t>
        </is>
      </c>
      <c r="D37" s="7" t="inlineStr">
        <is>
          <t>0 = no inventariadas</t>
        </is>
      </c>
      <c r="E37" s="8" t="n"/>
      <c r="F37" s="8" t="n"/>
    </row>
    <row r="38">
      <c r="A38" s="6" t="inlineStr">
        <is>
          <t>Elenco florístico (n.° de taxones)</t>
        </is>
      </c>
      <c r="B38" s="7" t="n">
        <v>15</v>
      </c>
      <c r="C38" s="6" t="inlineStr">
        <is>
          <t>Estado sanitario</t>
        </is>
      </c>
      <c r="D38" s="7" t="inlineStr">
        <is>
          <t>Sano</t>
        </is>
      </c>
      <c r="E38" s="8" t="n"/>
      <c r="F38" s="8" t="n"/>
    </row>
    <row r="40" ht="18" customHeight="1">
      <c r="A40" s="5" t="inlineStr">
        <is>
          <t>5. RESPONSABLE Y MODALIDAD DE LA EVALUACIÓN</t>
        </is>
      </c>
    </row>
    <row r="41">
      <c r="A41" s="6" t="inlineStr">
        <is>
          <t>Responsable de la evaluación</t>
        </is>
      </c>
      <c r="B41" s="7" t="inlineStr">
        <is>
          <t>Ing. Héctor Salomón Cahuas Miller — Especialista en Infraestructura Verde, ANIN/DIME-SESDI</t>
        </is>
      </c>
      <c r="C41" s="6" t="inlineStr">
        <is>
          <t>Fecha de evaluación</t>
        </is>
      </c>
      <c r="D41" s="7" t="inlineStr">
        <is>
          <t>2026-08-13</t>
        </is>
      </c>
      <c r="E41" s="8" t="n"/>
      <c r="F41" s="8" t="n"/>
    </row>
    <row r="42">
      <c r="A42" s="6" t="inlineStr">
        <is>
          <t>Hora de registro</t>
        </is>
      </c>
      <c r="B42" s="7" t="inlineStr">
        <is>
          <t>13:02 - 13:06 h</t>
        </is>
      </c>
      <c r="C42" s="6" t="inlineStr">
        <is>
          <t>Correlativo de ficha</t>
        </is>
      </c>
      <c r="D42" s="7" t="inlineStr">
        <is>
          <t>F-DT-01..05/B60/2026</t>
        </is>
      </c>
      <c r="E42" s="8" t="n"/>
      <c r="F42" s="8" t="n"/>
    </row>
    <row r="43">
      <c r="A43" s="6" t="inlineStr">
        <is>
          <t>Entidad</t>
        </is>
      </c>
      <c r="B43" s="7" t="inlineStr">
        <is>
          <t>ANIN - DIME - SESDI</t>
        </is>
      </c>
      <c r="C43" s="6" t="inlineStr">
        <is>
          <t>Fase del estudio</t>
        </is>
      </c>
      <c r="D43" s="7" t="inlineStr">
        <is>
          <t>Preinversión (Perfil) · Invierte.pe</t>
        </is>
      </c>
      <c r="E43" s="8" t="n"/>
      <c r="F43" s="8" t="n"/>
    </row>
    <row r="44">
      <c r="A44" s="6" t="inlineStr">
        <is>
          <t>Instrumento aplicado</t>
        </is>
      </c>
      <c r="B44" s="7" t="inlineStr">
        <is>
          <t>Fichas F-DT-01 a F-DT-05 (Plantilla V5)</t>
        </is>
      </c>
      <c r="C44" s="6" t="inlineStr">
        <is>
          <t>Parcela de muestreo</t>
        </is>
      </c>
      <c r="D44" s="7" t="inlineStr">
        <is>
          <t>Sin parcela instalada — recorrido perimetral y fotointerpretación de dron</t>
        </is>
      </c>
      <c r="E44" s="8" t="n"/>
      <c r="F44" s="8" t="n"/>
    </row>
    <row r="45">
      <c r="A45" s="6" t="inlineStr">
        <is>
          <t>Estaciones fotográficas georreferenciadas</t>
        </is>
      </c>
      <c r="B45" s="7" t="n">
        <v>5</v>
      </c>
      <c r="C45" s="6" t="inlineStr">
        <is>
          <t>Modalidad de acceso</t>
        </is>
      </c>
      <c r="D45" s="7" t="inlineStr">
        <is>
          <t>Vehicular + caminata &lt;30 min</t>
        </is>
      </c>
      <c r="E45" s="8" t="n"/>
      <c r="F45" s="8" t="n"/>
    </row>
    <row r="47" ht="18" customHeight="1">
      <c r="A47" s="5" t="inlineStr">
        <is>
          <t>6. SÍNTESIS PARA LA GESTIÓN DEL RIESGO EN CONTEXTO DE CAMBIO CLIMÁTICO</t>
        </is>
      </c>
    </row>
    <row r="48">
      <c r="A48" s="6" t="inlineStr">
        <is>
          <t>Causa subyacente principal</t>
        </is>
      </c>
      <c r="B48" s="7" t="inlineStr">
        <is>
          <t>Ocupación productiva de ladera de fuerte pendiente sin prácticas de conservación de suelos</t>
        </is>
      </c>
      <c r="C48" s="6" t="inlineStr">
        <is>
          <t>Velocidad de degradación</t>
        </is>
      </c>
      <c r="D48" s="7" t="inlineStr">
        <is>
          <t>Lenta</t>
        </is>
      </c>
      <c r="E48" s="8" t="n"/>
      <c r="F48" s="8" t="n"/>
    </row>
    <row r="49">
      <c r="A49" s="6" t="inlineStr">
        <is>
          <t>Reversibilidad técnica</t>
        </is>
      </c>
      <c r="B49" s="7" t="inlineStr">
        <is>
          <t>Totalmente reversible</t>
        </is>
      </c>
      <c r="C49" s="6" t="inlineStr">
        <is>
          <t>Urgencia de intervención</t>
        </is>
      </c>
      <c r="D49" s="7" t="inlineStr">
        <is>
          <t>Media</t>
        </is>
      </c>
      <c r="E49" s="8" t="n"/>
      <c r="F49" s="8" t="n"/>
    </row>
    <row r="50">
      <c r="A50" s="6" t="inlineStr">
        <is>
          <t>Urgencia de control de erosión</t>
        </is>
      </c>
      <c r="B50" s="7" t="inlineStr">
        <is>
          <t>Media</t>
        </is>
      </c>
      <c r="C50" s="6" t="inlineStr">
        <is>
          <t>Zona de recarga hídrica</t>
        </is>
      </c>
      <c r="D50" s="7" t="inlineStr">
        <is>
          <t>Sí</t>
        </is>
      </c>
      <c r="E50" s="8" t="n"/>
      <c r="F50" s="8" t="n"/>
    </row>
    <row r="51">
      <c r="A51" s="6" t="inlineStr">
        <is>
          <t>Peligro integrado preliminar (MCA-AHP)</t>
        </is>
      </c>
      <c r="B51" s="7" t="inlineStr">
        <is>
          <t>No disponible en los insumos; debe tomarse del modelamiento de mesolocalización</t>
        </is>
      </c>
      <c r="C51" s="6" t="inlineStr">
        <is>
          <t>Prioridad de intervención</t>
        </is>
      </c>
      <c r="D51" s="7" t="inlineStr">
        <is>
          <t>Por definir en mesolocalización</t>
        </is>
      </c>
      <c r="E51" s="8" t="n"/>
      <c r="F51" s="8" t="n"/>
    </row>
    <row r="52">
      <c r="A52" s="6" t="inlineStr">
        <is>
          <t>Estado de verificación de campo</t>
        </is>
      </c>
      <c r="B52" s="7" t="inlineStr">
        <is>
          <t>VERIFICADO</t>
        </is>
      </c>
      <c r="C52" s="6" t="inlineStr">
        <is>
          <t>Marco del indicador de brecha</t>
        </is>
      </c>
      <c r="D52" s="7" t="inlineStr">
        <is>
          <t>R.M. N.° 00213-2024-MINAM</t>
        </is>
      </c>
      <c r="E52" s="8" t="n"/>
      <c r="F52" s="8" t="n"/>
    </row>
    <row r="54" ht="72" customHeight="1">
      <c r="A54"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t>
        </is>
      </c>
    </row>
  </sheetData>
  <mergeCells count="13">
    <mergeCell ref="A2:F2"/>
    <mergeCell ref="A54:F54"/>
    <mergeCell ref="A47:F47"/>
    <mergeCell ref="A1:F1"/>
    <mergeCell ref="A5:F5"/>
    <mergeCell ref="A32:F32"/>
    <mergeCell ref="A27:F27"/>
    <mergeCell ref="A8:F8"/>
    <mergeCell ref="A6:F6"/>
    <mergeCell ref="A40:F40"/>
    <mergeCell ref="A18:F18"/>
    <mergeCell ref="A4:F4"/>
    <mergeCell ref="A3:F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6"/>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60</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11" t="inlineStr">
        <is>
          <t>&gt; 0.6139</t>
        </is>
      </c>
      <c r="B10" s="12" t="inlineStr">
        <is>
          <t>Por determinar</t>
        </is>
      </c>
      <c r="C10" s="12" t="inlineStr">
        <is>
          <t>Por determinar</t>
        </is>
      </c>
      <c r="D10" s="12" t="inlineStr">
        <is>
          <t>Vigor alto</t>
        </is>
      </c>
      <c r="E10" s="12" t="inlineStr">
        <is>
          <t>Sobre umbral</t>
        </is>
      </c>
    </row>
    <row r="11">
      <c r="A11" s="13" t="inlineStr">
        <is>
          <t>0.4976 - 0.6139</t>
        </is>
      </c>
      <c r="B11" s="14" t="inlineStr">
        <is>
          <t>Por determinar</t>
        </is>
      </c>
      <c r="C11" s="14" t="inlineStr">
        <is>
          <t>Por determinar</t>
        </is>
      </c>
      <c r="D11" s="14" t="inlineStr">
        <is>
          <t>Vigor moderado</t>
        </is>
      </c>
      <c r="E11" s="14" t="inlineStr">
        <is>
          <t>Sobre umbral</t>
        </is>
      </c>
    </row>
    <row r="12">
      <c r="A12" s="7" t="inlineStr">
        <is>
          <t>0.3813 - 0.4976</t>
        </is>
      </c>
      <c r="B12" s="15" t="inlineStr">
        <is>
          <t>Por determinar</t>
        </is>
      </c>
      <c r="C12" s="15" t="inlineStr">
        <is>
          <t>Por determinar</t>
        </is>
      </c>
      <c r="D12" s="15" t="inlineStr">
        <is>
          <t>Vigor bajo</t>
        </is>
      </c>
      <c r="E12" s="15" t="inlineStr">
        <is>
          <t>BAJO umbral 0.4976</t>
        </is>
      </c>
    </row>
    <row r="13">
      <c r="A13" s="13" t="inlineStr">
        <is>
          <t>0.2650 - 0.3813</t>
        </is>
      </c>
      <c r="B13" s="14" t="inlineStr">
        <is>
          <t>Por determinar</t>
        </is>
      </c>
      <c r="C13" s="14" t="inlineStr">
        <is>
          <t>Por determinar</t>
        </is>
      </c>
      <c r="D13" s="14" t="inlineStr">
        <is>
          <t>Vigor muy bajo</t>
        </is>
      </c>
      <c r="E13" s="14" t="inlineStr">
        <is>
          <t>BAJO umbral 0.4976</t>
        </is>
      </c>
    </row>
    <row r="14">
      <c r="A14" s="7" t="inlineStr">
        <is>
          <t>&lt;= 0.2650</t>
        </is>
      </c>
      <c r="B14" s="15" t="inlineStr">
        <is>
          <t>Por determinar</t>
        </is>
      </c>
      <c r="C14" s="15" t="inlineStr">
        <is>
          <t>Por determinar</t>
        </is>
      </c>
      <c r="D14" s="15" t="inlineStr">
        <is>
          <t>Suelo desnudo / no vegetal</t>
        </is>
      </c>
      <c r="E14" s="15" t="inlineStr">
        <is>
          <t>BAJO umbral 0.4976</t>
        </is>
      </c>
    </row>
    <row r="15">
      <c r="A15" s="16" t="inlineStr">
        <is>
          <t>MSAVI 2024 — MEDIA DEL BLOQUE</t>
        </is>
      </c>
      <c r="B15" s="17" t="n">
        <v>0.67447</v>
      </c>
      <c r="C15" s="17" t="inlineStr">
        <is>
          <t>—</t>
        </is>
      </c>
      <c r="D15" s="17" t="inlineStr">
        <is>
          <t>Vigor alto · clase &gt; 0.6139</t>
        </is>
      </c>
      <c r="E15" s="17" t="inlineStr">
        <is>
          <t>Sobre umbral</t>
        </is>
      </c>
    </row>
    <row r="17" ht="72" customHeight="1">
      <c r="A17" s="9" t="inlineStr">
        <is>
          <t>NOTA METODOLÓGICA. La media del MSAVI 2024 del bloque (0.674470) procede del catálogo maestro de bloques V5/V6 y es dato oficial. La DISTRIBUCIÓN AREAL por clase de MSAVI no está disponible como estadística zonal en los insumos de este entregable: se consigna «Por determinar» y NO se estima, conforme a la declaración de integridad de datos del proyecto. La fila resaltada indica la clase en la que cae la media del bloque. Para el dimensionamiento de metas físicas debe ejecutarse estadística zonal directa sobre el ráster MSAVI 2024 recortado al polígono.</t>
        </is>
      </c>
    </row>
    <row r="19" ht="18" customHeight="1">
      <c r="A19" s="5" t="inlineStr">
        <is>
          <t>B. NDVI MEDIANA 2025 — DISTRIBUCIÓN AREAL (ESTADÍSTICA ZONAL)</t>
        </is>
      </c>
    </row>
    <row r="20" ht="28" customHeight="1">
      <c r="A20" s="10" t="inlineStr">
        <is>
          <t>Clase NDVI</t>
        </is>
      </c>
      <c r="B20" s="10" t="inlineStr">
        <is>
          <t>Superficie (ha)</t>
        </is>
      </c>
      <c r="C20" s="10" t="inlineStr">
        <is>
          <t>% del área clasificada</t>
        </is>
      </c>
      <c r="D20" s="10" t="inlineStr">
        <is>
          <t>Interpretación</t>
        </is>
      </c>
      <c r="E20" s="10" t="inlineStr">
        <is>
          <t>Observación</t>
        </is>
      </c>
    </row>
    <row r="21">
      <c r="A21" s="7" t="inlineStr">
        <is>
          <t>Vegetación alta</t>
        </is>
      </c>
      <c r="B21" s="18" t="n">
        <v>40.0998</v>
      </c>
      <c r="C21" s="19" t="n">
        <v>99.90000000000001</v>
      </c>
      <c r="D21" s="15" t="inlineStr">
        <is>
          <t>Dosel continuo, matorral denso o mosaico agroforestal</t>
        </is>
      </c>
      <c r="E21" s="15" t="inlineStr"/>
    </row>
    <row r="22">
      <c r="A22" s="13" t="inlineStr">
        <is>
          <t>Vegetación mediana</t>
        </is>
      </c>
      <c r="B22" s="20" t="n">
        <v>0.0405</v>
      </c>
      <c r="C22" s="21" t="n">
        <v>0.1</v>
      </c>
      <c r="D22" s="14" t="inlineStr">
        <is>
          <t>Pastizal cultivado, matorral ralo, parcelas agrícolas</t>
        </is>
      </c>
      <c r="E22" s="14" t="inlineStr"/>
    </row>
    <row r="23">
      <c r="A23" s="16" t="inlineStr">
        <is>
          <t>TOTAL CLASIFICADO</t>
        </is>
      </c>
      <c r="B23" s="22">
        <f>SUM(B21:B22)</f>
        <v/>
      </c>
      <c r="C23" s="23">
        <f>SUM(C21:C22)</f>
        <v/>
      </c>
      <c r="D23" s="17" t="inlineStr"/>
      <c r="E23" s="17" t="inlineStr"/>
    </row>
    <row r="24">
      <c r="A24" s="24" t="inlineStr">
        <is>
          <t>Superficie de catálogo (V5/V6)</t>
        </is>
      </c>
      <c r="B24" s="25" t="n">
        <v>40.13</v>
      </c>
      <c r="C24" s="25" t="inlineStr">
        <is>
          <t>—</t>
        </is>
      </c>
      <c r="D24" s="25" t="inlineStr">
        <is>
          <t>Desviación planimétrica frente al catálogo</t>
        </is>
      </c>
      <c r="E24" s="25" t="inlineStr">
        <is>
          <t>+0.03 %</t>
        </is>
      </c>
    </row>
    <row r="26" ht="108" customHeight="1">
      <c r="A26"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85 % frente a un 99.90 % del polígono clasificado como «Vegetación alta» por el NDVI 2025; la observación de campo corresponde a una parcela o recorrido puntual y no es estadísticamente representativa de las 40.130 ha del bloque.</t>
        </is>
      </c>
    </row>
  </sheetData>
  <mergeCells count="10">
    <mergeCell ref="A4:E4"/>
    <mergeCell ref="A26:E26"/>
    <mergeCell ref="A2:E2"/>
    <mergeCell ref="A19:E19"/>
    <mergeCell ref="A1:E1"/>
    <mergeCell ref="A5:E5"/>
    <mergeCell ref="A8:E8"/>
    <mergeCell ref="A6:E6"/>
    <mergeCell ref="A17:E17"/>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3"/>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60</t>
        </is>
      </c>
    </row>
    <row r="6" ht="24" customHeight="1">
      <c r="A6" s="4" t="inlineStr">
        <is>
          <t>Levantamiento del 2026-08-13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5" t="inlineStr">
        <is>
          <t>Punto de muestreo declarado en ficha DT</t>
        </is>
      </c>
      <c r="C10" s="26" t="n">
        <v>653616</v>
      </c>
      <c r="D10" s="26" t="n">
        <v>9426278</v>
      </c>
      <c r="E10" s="15" t="n">
        <v>237.7</v>
      </c>
      <c r="F10" s="15" t="inlineStr"/>
      <c r="G10" s="15" t="inlineStr">
        <is>
          <t>Coordenada consignada en F-DT-01</t>
        </is>
      </c>
    </row>
    <row r="11">
      <c r="A11" s="13" t="inlineStr">
        <is>
          <t>F-01</t>
        </is>
      </c>
      <c r="B11" s="14" t="inlineStr">
        <is>
          <t>Estación fotográfica</t>
        </is>
      </c>
      <c r="C11" s="27" t="n">
        <v>653616</v>
      </c>
      <c r="D11" s="27" t="n">
        <v>9426278</v>
      </c>
      <c r="E11" s="14" t="n">
        <v>237.7</v>
      </c>
      <c r="F11" s="14" t="inlineStr"/>
      <c r="G11" s="14" t="inlineStr">
        <is>
          <t>Registro fotográfico georreferenciado</t>
        </is>
      </c>
    </row>
    <row r="12">
      <c r="A12" s="7" t="inlineStr">
        <is>
          <t>F-02</t>
        </is>
      </c>
      <c r="B12" s="15" t="inlineStr">
        <is>
          <t>Estación fotográfica</t>
        </is>
      </c>
      <c r="C12" s="26" t="n">
        <v>653619</v>
      </c>
      <c r="D12" s="26" t="n">
        <v>9426255</v>
      </c>
      <c r="E12" s="15" t="n">
        <v>231.8</v>
      </c>
      <c r="F12" s="15" t="inlineStr"/>
      <c r="G12" s="15" t="inlineStr">
        <is>
          <t>Registro fotográfico georreferenciado</t>
        </is>
      </c>
    </row>
    <row r="13">
      <c r="A13" s="13" t="inlineStr">
        <is>
          <t>F-03</t>
        </is>
      </c>
      <c r="B13" s="14" t="inlineStr">
        <is>
          <t>Estación fotográfica</t>
        </is>
      </c>
      <c r="C13" s="27" t="n">
        <v>653589</v>
      </c>
      <c r="D13" s="27" t="n">
        <v>9426303</v>
      </c>
      <c r="E13" s="14" t="n">
        <v>269.5</v>
      </c>
      <c r="F13" s="14" t="inlineStr"/>
      <c r="G13" s="14" t="inlineStr">
        <is>
          <t>Registro fotográfico georreferenciado</t>
        </is>
      </c>
    </row>
    <row r="14">
      <c r="A14" s="7" t="inlineStr">
        <is>
          <t>F-04</t>
        </is>
      </c>
      <c r="B14" s="15" t="inlineStr">
        <is>
          <t>Estación fotográfica</t>
        </is>
      </c>
      <c r="C14" s="26" t="n">
        <v>653587</v>
      </c>
      <c r="D14" s="26" t="n">
        <v>9426301</v>
      </c>
      <c r="E14" s="15" t="n">
        <v>270.9</v>
      </c>
      <c r="F14" s="15" t="inlineStr"/>
      <c r="G14" s="15" t="inlineStr">
        <is>
          <t>Registro fotográfico georreferenciado</t>
        </is>
      </c>
    </row>
    <row r="15">
      <c r="A15" s="13" t="inlineStr">
        <is>
          <t>F-05</t>
        </is>
      </c>
      <c r="B15" s="14" t="inlineStr">
        <is>
          <t>Estación fotográfica</t>
        </is>
      </c>
      <c r="C15" s="27" t="n">
        <v>653602</v>
      </c>
      <c r="D15" s="27" t="n">
        <v>9426294</v>
      </c>
      <c r="E15" s="14" t="n">
        <v>254.7</v>
      </c>
      <c r="F15" s="14" t="inlineStr"/>
      <c r="G15" s="14" t="inlineStr">
        <is>
          <t>Registro fotográfico georreferenciado</t>
        </is>
      </c>
    </row>
    <row r="16">
      <c r="A16" s="7" t="inlineStr">
        <is>
          <t>H-01</t>
        </is>
      </c>
      <c r="B16" s="15" t="inlineStr">
        <is>
          <t>Fuente de agua — Quebrada estacional</t>
        </is>
      </c>
      <c r="C16" s="26" t="n">
        <v>653619</v>
      </c>
      <c r="D16" s="26" t="n">
        <v>9426255</v>
      </c>
      <c r="E16" s="15" t="n">
        <v>231.8</v>
      </c>
      <c r="F16" s="15" t="inlineStr">
        <is>
          <t>Estacional</t>
        </is>
      </c>
      <c r="G16" s="15" t="inlineStr">
        <is>
          <t>Cauce que limita el bloque por el norte</t>
        </is>
      </c>
    </row>
    <row r="17">
      <c r="A17" s="13" t="inlineStr">
        <is>
          <t>H-02</t>
        </is>
      </c>
      <c r="B17" s="14" t="inlineStr">
        <is>
          <t>Fuente de agua — Quebrada estacional</t>
        </is>
      </c>
      <c r="C17" s="27" t="n">
        <v>653602</v>
      </c>
      <c r="D17" s="27" t="n">
        <v>9426294</v>
      </c>
      <c r="E17" s="14" t="n">
        <v>254.7</v>
      </c>
      <c r="F17" s="14" t="inlineStr">
        <is>
          <t>Estacional</t>
        </is>
      </c>
      <c r="G17" s="14" t="inlineStr">
        <is>
          <t>Cauce secundario tributario</t>
        </is>
      </c>
    </row>
    <row r="18">
      <c r="A18" s="16" t="inlineStr">
        <is>
          <t>TOTAL: 8 puntos</t>
        </is>
      </c>
      <c r="B18" s="17" t="inlineStr"/>
      <c r="C18" s="17" t="inlineStr"/>
      <c r="D18" s="17" t="inlineStr"/>
      <c r="E18" s="17" t="inlineStr"/>
      <c r="F18" s="17" t="inlineStr"/>
      <c r="G18" s="17" t="inlineStr"/>
    </row>
    <row r="20">
      <c r="A20" s="6" t="inlineStr">
        <is>
          <t>Centroide del bloque — UTM ESTE (m)</t>
        </is>
      </c>
      <c r="B20" s="7" t="n">
        <v>653850</v>
      </c>
      <c r="C20" s="6" t="inlineStr">
        <is>
          <t>Centroide del bloque — UTM NORTE (m)</t>
        </is>
      </c>
      <c r="D20" s="7" t="n">
        <v>9426236</v>
      </c>
      <c r="E20" s="8" t="n"/>
      <c r="F20" s="8" t="n"/>
      <c r="G20" s="8" t="n"/>
      <c r="H20" s="8" t="n"/>
    </row>
    <row r="21">
      <c r="A21" s="6" t="inlineStr">
        <is>
          <t>N.° de estaciones fotográficas declaradas</t>
        </is>
      </c>
      <c r="B21" s="7" t="n">
        <v>5</v>
      </c>
      <c r="C21" s="6" t="inlineStr">
        <is>
          <t>Estaciones dentro del polígono</t>
        </is>
      </c>
      <c r="D21" s="7" t="n">
        <v>0</v>
      </c>
      <c r="E21" s="8" t="n"/>
      <c r="F21" s="8" t="n"/>
      <c r="G21" s="8" t="n"/>
      <c r="H21" s="8" t="n"/>
    </row>
    <row r="23" ht="180" customHeight="1">
      <c r="A23"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VERIFICACIÓN DE CAMPO 13-08-2026 con dron DJI Phantom 4 Pro V2 (vuelo fotogramétrico y video oblicuo/cenital) y GPS Garmin GPSMAP 66sr. Puntos GPS del recorrido: 653 616/9 426 278 (1 668.9 msnm); 653 619/9 426 255 (1 678.7); 653 589/9 426 303 (1 675.0); 653 587/9 426 301 (1 674.3); 653 602/9 426 294 (1 670.9). TODOS los puntos se ubican sobre la trocha carrozable que corre al oeste del bloque, entre 15 y 30 m de su límite occidental; el interior se cubrió con vuelo de dron. PENDIENTE: estimada en gabinete sobre curvas de nivel (equidistancia 50 m) por método de Wentworth: 63.9% ≈ 32.6° (transectos E-O directos: 61.5%). ALTITUD: rango real del bloque estimado en 1 660-2 120 msnm (desnivel ≈450 m); atraviesa las clases 1500-2000 y 2000-2500; se consigna la clase dominante. INDICIOS DE REMOCIÓN EN MASA: escarpes activos en taludes de corte de la trocha y cabecera de quebrada; bloques rocosos métricos desprendidos sobre la plataforma vial; cauce con acumulación de bloques angulosos frescos (flujo de detritos reciente); terracetas y sendas de ganado (reptación).</t>
        </is>
      </c>
    </row>
  </sheetData>
  <mergeCells count="8">
    <mergeCell ref="A1:G1"/>
    <mergeCell ref="A8:G8"/>
    <mergeCell ref="A3:G3"/>
    <mergeCell ref="A6:G6"/>
    <mergeCell ref="A4:G4"/>
    <mergeCell ref="A2:G2"/>
    <mergeCell ref="A5:G5"/>
    <mergeCell ref="A23:G2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4"/>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C1081-Q9591 — BLOQUE 60</t>
        </is>
      </c>
    </row>
    <row r="6" ht="24" customHeight="1">
      <c r="A6" s="4" t="inlineStr">
        <is>
          <t>Distrito de Canchaque · Provincia de Huancabamba · Comparación de los bloques preliminares de intervención de la misma microcuenca</t>
        </is>
      </c>
    </row>
    <row r="8" ht="18" customHeight="1">
      <c r="A8" s="5" t="inlineStr">
        <is>
          <t>BLOQUES DE LA MICROCUENCA C1081-Q9591</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row>
    <row r="10">
      <c r="A10" s="7" t="inlineStr">
        <is>
          <t>66</t>
        </is>
      </c>
      <c r="B10" s="28" t="n">
        <v>102.34</v>
      </c>
      <c r="C10" s="19" t="n">
        <v>18.53</v>
      </c>
      <c r="D10" s="15" t="inlineStr">
        <is>
          <t>1171 – 1769</t>
        </is>
      </c>
      <c r="E10" s="15" t="n">
        <v>598</v>
      </c>
      <c r="F10" s="15" t="n">
        <v>31.55</v>
      </c>
      <c r="G10" s="18" t="n">
        <v>0.6403</v>
      </c>
      <c r="H10" s="19" t="n">
        <v>94.08</v>
      </c>
    </row>
    <row r="11">
      <c r="A11" s="13" t="inlineStr">
        <is>
          <t>M30B5</t>
        </is>
      </c>
      <c r="B11" s="29" t="n">
        <v>90.90000000000001</v>
      </c>
      <c r="C11" s="21" t="n">
        <v>16.46</v>
      </c>
      <c r="D11" s="14" t="inlineStr">
        <is>
          <t>1782 – 2307</t>
        </is>
      </c>
      <c r="E11" s="14" t="n">
        <v>525</v>
      </c>
      <c r="F11" s="14" t="n">
        <v>21.23</v>
      </c>
      <c r="G11" s="20" t="n">
        <v>0.5564</v>
      </c>
      <c r="H11" s="21" t="n">
        <v>79.45999999999999</v>
      </c>
    </row>
    <row r="12">
      <c r="A12" s="7" t="inlineStr">
        <is>
          <t>21</t>
        </is>
      </c>
      <c r="B12" s="28" t="n">
        <v>84.23</v>
      </c>
      <c r="C12" s="19" t="n">
        <v>15.25</v>
      </c>
      <c r="D12" s="15" t="inlineStr">
        <is>
          <t>1353 – 2004</t>
        </is>
      </c>
      <c r="E12" s="15" t="n">
        <v>651</v>
      </c>
      <c r="F12" s="15" t="n">
        <v>31.71</v>
      </c>
      <c r="G12" s="18" t="n">
        <v>0.6201</v>
      </c>
      <c r="H12" s="19" t="n">
        <v>89.39</v>
      </c>
    </row>
    <row r="13">
      <c r="A13" s="13" t="inlineStr">
        <is>
          <t>28</t>
        </is>
      </c>
      <c r="B13" s="29" t="n">
        <v>52.97</v>
      </c>
      <c r="C13" s="21" t="n">
        <v>9.59</v>
      </c>
      <c r="D13" s="14" t="inlineStr">
        <is>
          <t>1462 – 1856</t>
        </is>
      </c>
      <c r="E13" s="14" t="n">
        <v>394</v>
      </c>
      <c r="F13" s="14" t="n">
        <v>30.36</v>
      </c>
      <c r="G13" s="20" t="n">
        <v>0.6394</v>
      </c>
      <c r="H13" s="21" t="n">
        <v>96.64</v>
      </c>
    </row>
    <row r="14">
      <c r="A14" s="7" t="inlineStr">
        <is>
          <t>26</t>
        </is>
      </c>
      <c r="B14" s="28" t="n">
        <v>46.96</v>
      </c>
      <c r="C14" s="19" t="n">
        <v>8.5</v>
      </c>
      <c r="D14" s="15" t="inlineStr">
        <is>
          <t>1260 – 1855</t>
        </is>
      </c>
      <c r="E14" s="15" t="n">
        <v>595</v>
      </c>
      <c r="F14" s="15" t="n">
        <v>32.26</v>
      </c>
      <c r="G14" s="18" t="n">
        <v>0.6733</v>
      </c>
      <c r="H14" s="19" t="n">
        <v>97.29000000000001</v>
      </c>
    </row>
    <row r="15">
      <c r="A15" s="11" t="inlineStr">
        <is>
          <t>► 60</t>
        </is>
      </c>
      <c r="B15" s="30" t="n">
        <v>40.13</v>
      </c>
      <c r="C15" s="31" t="n">
        <v>7.27</v>
      </c>
      <c r="D15" s="12" t="inlineStr">
        <is>
          <t>1638 – 2073</t>
        </is>
      </c>
      <c r="E15" s="12" t="n">
        <v>435</v>
      </c>
      <c r="F15" s="12" t="n">
        <v>32.67</v>
      </c>
      <c r="G15" s="32" t="n">
        <v>0.6745</v>
      </c>
      <c r="H15" s="31" t="n">
        <v>99.90000000000001</v>
      </c>
    </row>
    <row r="16">
      <c r="A16" s="7" t="inlineStr">
        <is>
          <t>64</t>
        </is>
      </c>
      <c r="B16" s="28" t="n">
        <v>35.77</v>
      </c>
      <c r="C16" s="19" t="n">
        <v>6.48</v>
      </c>
      <c r="D16" s="15" t="inlineStr">
        <is>
          <t>2412 – 2651</t>
        </is>
      </c>
      <c r="E16" s="15" t="n">
        <v>239</v>
      </c>
      <c r="F16" s="15" t="n">
        <v>28.18</v>
      </c>
      <c r="G16" s="18" t="n">
        <v>0.5254</v>
      </c>
      <c r="H16" s="19" t="n">
        <v>78.22</v>
      </c>
    </row>
    <row r="17">
      <c r="A17" s="13" t="inlineStr">
        <is>
          <t>37</t>
        </is>
      </c>
      <c r="B17" s="29" t="n">
        <v>35.49</v>
      </c>
      <c r="C17" s="21" t="n">
        <v>6.43</v>
      </c>
      <c r="D17" s="14" t="inlineStr">
        <is>
          <t>1184 – 1455</t>
        </is>
      </c>
      <c r="E17" s="14" t="n">
        <v>271</v>
      </c>
      <c r="F17" s="14" t="n">
        <v>23.59</v>
      </c>
      <c r="G17" s="20" t="n">
        <v>0.6588000000000001</v>
      </c>
      <c r="H17" s="21" t="n">
        <v>98.02</v>
      </c>
    </row>
    <row r="18">
      <c r="A18" s="7" t="inlineStr">
        <is>
          <t>30</t>
        </is>
      </c>
      <c r="B18" s="28" t="n">
        <v>34.87</v>
      </c>
      <c r="C18" s="19" t="n">
        <v>6.31</v>
      </c>
      <c r="D18" s="15" t="inlineStr">
        <is>
          <t>1216 – 1541</t>
        </is>
      </c>
      <c r="E18" s="15" t="n">
        <v>325</v>
      </c>
      <c r="F18" s="15" t="n">
        <v>27.91</v>
      </c>
      <c r="G18" s="18" t="n">
        <v>0.6637999999999999</v>
      </c>
      <c r="H18" s="19" t="n">
        <v>99.38</v>
      </c>
    </row>
    <row r="19">
      <c r="A19" s="13" t="inlineStr">
        <is>
          <t>40</t>
        </is>
      </c>
      <c r="B19" s="29" t="n">
        <v>28.52</v>
      </c>
      <c r="C19" s="21" t="n">
        <v>5.16</v>
      </c>
      <c r="D19" s="14" t="inlineStr">
        <is>
          <t>1407 – 1656</t>
        </is>
      </c>
      <c r="E19" s="14" t="n">
        <v>249</v>
      </c>
      <c r="F19" s="14" t="n">
        <v>31.4</v>
      </c>
      <c r="G19" s="20" t="n">
        <v>0.6401</v>
      </c>
      <c r="H19" s="21" t="n">
        <v>99.55</v>
      </c>
    </row>
    <row r="20">
      <c r="A20" s="16" t="inlineStr">
        <is>
          <t>TOTAL / PROMEDIO</t>
        </is>
      </c>
      <c r="B20" s="33">
        <f>SUM(B10:B19)</f>
        <v/>
      </c>
      <c r="C20" s="23">
        <f>SUM(C10:C19)</f>
        <v/>
      </c>
      <c r="D20" s="17" t="inlineStr">
        <is>
          <t>1171 – 2651</t>
        </is>
      </c>
      <c r="E20" s="17" t="inlineStr"/>
      <c r="F20" s="17">
        <f>ROUND(AVERAGE(F10:F19),2)</f>
        <v/>
      </c>
      <c r="G20" s="22">
        <f>ROUND(AVERAGE(G10:G19),4)</f>
        <v/>
      </c>
      <c r="H20" s="23">
        <f>ROUND(AVERAGE(H10:H19),2)</f>
        <v/>
      </c>
    </row>
    <row r="22" ht="84" customHeight="1">
      <c r="A22" s="9" t="inlineStr">
        <is>
          <t>LECTURA INTRAMICROCUENCA. El bloque 60 ocupa el puesto 6 de 10 por superficie dentro de la microcuenca C1081-Q9591 (7.27 % de las 552.18 ha preliminares de la microcuenca). Su pendiente promedio (32.67 %, clase «25-50% (Mod. escarpado)») es la 10.ª más baja de 10 y se sitúa por encima del promedio de la microcuenca (29.09 %). Su MSAVI 2024 (0.6745) es el 1.º de 10 y queda por encima del promedio local (0.6292). Amplitud altitudinal del bloque: 435 m (1638–2073 msnm). El cuadro conserva todos los bloques catalogados en la microcuenca, incluidos los descartados en el tamizaje, para referencia del conjunto. Los bloques sin ficha DT figuran con sus parámetros de gabinete.</t>
        </is>
      </c>
    </row>
    <row r="24" ht="60" customHeight="1">
      <c r="A24"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t>
        </is>
      </c>
    </row>
  </sheetData>
  <mergeCells count="9">
    <mergeCell ref="A1:H1"/>
    <mergeCell ref="A4:H4"/>
    <mergeCell ref="A3:H3"/>
    <mergeCell ref="A24:H24"/>
    <mergeCell ref="A2:H2"/>
    <mergeCell ref="A5:H5"/>
    <mergeCell ref="A8:H8"/>
    <mergeCell ref="A6:H6"/>
    <mergeCell ref="A22:H2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5"/>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60</t>
        </is>
      </c>
    </row>
    <row r="6" ht="24" customHeight="1">
      <c r="A6" s="4" t="inlineStr">
        <is>
          <t>Discrepancias detectadas entre el registro de campo, los productos de gabinete y el catálogo maestro. Calificación: SUSTANTIVA / NO SUSTANTIVA / CORREGIDO / CONFORME.</t>
        </is>
      </c>
    </row>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Ficha DT y catálogo maestro coinciden en «C1081-Q9591»</t>
        </is>
      </c>
      <c r="D10" s="35" t="inlineStr">
        <is>
          <t>CONFORME</t>
        </is>
      </c>
      <c r="E10" s="34" t="inlineStr">
        <is>
          <t>Sin acción.</t>
        </is>
      </c>
    </row>
    <row r="11" ht="48" customHeight="1">
      <c r="A11" s="36" t="inlineStr">
        <is>
          <t>D-02</t>
        </is>
      </c>
      <c r="B11" s="36" t="inlineStr">
        <is>
          <t>UTM del punto de muestreo</t>
        </is>
      </c>
      <c r="C11" s="36" t="inlineStr">
        <is>
          <t>El punto de muestreo declarado dista 238 m del centroide de catálogo, compatible con la extensión del bloque</t>
        </is>
      </c>
      <c r="D11" s="35" t="inlineStr">
        <is>
          <t>CONFORME</t>
        </is>
      </c>
      <c r="E11" s="36" t="inlineStr">
        <is>
          <t>Sin acción.</t>
        </is>
      </c>
    </row>
    <row r="12" ht="48" customHeight="1">
      <c r="A12" s="34" t="inlineStr">
        <is>
          <t>D-03</t>
        </is>
      </c>
      <c r="B12" s="34" t="inlineStr">
        <is>
          <t>Superficie del polígono</t>
        </is>
      </c>
      <c r="C12" s="34" t="inlineStr">
        <is>
          <t>La superficie clasificada por el NDVI 2025 (40.140 ha) coincide con la de catálogo (40.13 ha) dentro del ±2 % (+0.03 %)</t>
        </is>
      </c>
      <c r="D12" s="35" t="inlineStr">
        <is>
          <t>CONFORME</t>
        </is>
      </c>
      <c r="E12" s="34" t="inlineStr">
        <is>
          <t>Sin acción: la segmentación valida la geometría del bloque.</t>
        </is>
      </c>
    </row>
    <row r="13" ht="48" customHeight="1">
      <c r="A13" s="36" t="inlineStr">
        <is>
          <t>D-04</t>
        </is>
      </c>
      <c r="B13" s="36" t="inlineStr">
        <is>
          <t>Rango de pendiente dominante</t>
        </is>
      </c>
      <c r="C13" s="36" t="inlineStr">
        <is>
          <t>La ficha DT declara «50-75% (Escarpado)»; la estadística zonal sobre el MDE arroja una pendiente promedio de 32.67 %, que corresponde a la clase «25-50% (Mod. escarpado)»</t>
        </is>
      </c>
      <c r="D13" s="12" t="inlineStr">
        <is>
          <t>NO SUSTANTIVA</t>
        </is>
      </c>
      <c r="E13" s="36" t="inlineStr">
        <is>
          <t>Se conserva el registro de campo como observación de sector y se adopta el valor del MDE para el cálculo intramicrocuenca. La divergencia es esperable: el dato de campo es puntual y el del MDE es promedio del polígono.</t>
        </is>
      </c>
    </row>
    <row r="14" ht="48" customHeight="1">
      <c r="A14" s="34" t="inlineStr">
        <is>
          <t>D-05</t>
        </is>
      </c>
      <c r="B14" s="34" t="inlineStr">
        <is>
          <t>Dimensiones del inventario de cárcavas</t>
        </is>
      </c>
      <c r="C14" s="34" t="inlineStr">
        <is>
          <t>Se registran 0 = no inventariadas rasgos erosivos, pero longitud, profundidad y ancho no fueron medidos instrumentalmente</t>
        </is>
      </c>
      <c r="D14" s="12" t="inlineStr">
        <is>
          <t>NO SUSTANTIVA</t>
        </is>
      </c>
      <c r="E14" s="34" t="inlineStr">
        <is>
          <t>El conteo registrado no debe usarse para calcular densidad de cárcavas por hectárea. Pendiente de levantamiento con GPS submétrico.</t>
        </is>
      </c>
    </row>
    <row r="15" ht="48" customHeight="1">
      <c r="A15" s="36" t="inlineStr">
        <is>
          <t>D-06</t>
        </is>
      </c>
      <c r="B15" s="36" t="inlineStr">
        <is>
          <t>Representatividad del levantamiento</t>
        </is>
      </c>
      <c r="C15" s="36" t="inlineStr">
        <is>
          <t>Ninguna de las estaciones fotográficas georreferenciadas se localiza dentro del polígono del bloque</t>
        </is>
      </c>
      <c r="D15" s="37" t="inlineStr">
        <is>
          <t>SUSTANTIVA</t>
        </is>
      </c>
      <c r="E15" s="36" t="inlineStr">
        <is>
          <t>La verificación documenta el perímetro y la vista panorámica del bloque, no su interior. Los parámetros que exigen recorrido interno se consignan «Por determinar».</t>
        </is>
      </c>
    </row>
    <row r="16" ht="48" customHeight="1">
      <c r="A16" s="34" t="inlineStr">
        <is>
          <t>D-07</t>
        </is>
      </c>
      <c r="B16" s="34" t="inlineStr">
        <is>
          <t>Centro poblado asociado</t>
        </is>
      </c>
      <c r="C16" s="34" t="inlineStr">
        <is>
          <t>La ficha DT declara «Flor de Café (Canchaque; 111 hab., 41 viviendas, INEI) — a 1.06 km al NNO del punto de verificación»; el cruce INEI-Bloques V5 identifica 1 centro(s) poblado(s) en el bloque: FLOR DE CAFE</t>
        </is>
      </c>
      <c r="D16" s="35" t="inlineStr">
        <is>
          <t>CONFORME</t>
        </is>
      </c>
      <c r="E16" s="34" t="inlineStr">
        <is>
          <t>Se conserva el registro de campo como referencia y se adopta el listado INEI para el diagnóstico social y el cálculo de población beneficiaria.</t>
        </is>
      </c>
    </row>
    <row r="17" ht="48" customHeight="1">
      <c r="A17" s="36" t="inlineStr">
        <is>
          <t>D-08</t>
        </is>
      </c>
      <c r="B17" s="36" t="inlineStr">
        <is>
          <t>Peligro integrado (MCA-AHP)</t>
        </is>
      </c>
      <c r="C17" s="36" t="inlineStr">
        <is>
          <t>El nivel de peligro integrado no está disponible en los insumos de este entregable</t>
        </is>
      </c>
      <c r="D17" s="37" t="inlineStr">
        <is>
          <t>SUSTANTIVA</t>
        </is>
      </c>
      <c r="E17" s="36" t="inlineStr">
        <is>
          <t>Debe tomarse del modelamiento de mesolocalización (PMM + EPH + PGI ponderados por AHP) antes de fijar la prioridad definitiva de intervención del bloque.</t>
        </is>
      </c>
    </row>
    <row r="18" ht="48" customHeight="1">
      <c r="A18" s="34" t="inlineStr">
        <is>
          <t>D-09</t>
        </is>
      </c>
      <c r="B18" s="34" t="inlineStr">
        <is>
          <t>F-DT-01</t>
        </is>
      </c>
      <c r="C18" s="34" t="inlineStr">
        <is>
          <t>Rango altitudinal real del bloque (≈1660-2120 msnm) atraviesa dos clases altitudinales; la ficha consigna solo la clase dominante 1500-2000 m</t>
        </is>
      </c>
      <c r="D18" s="12" t="inlineStr">
        <is>
          <t>NO SUSTANTIVA</t>
        </is>
      </c>
      <c r="E18" s="34" t="inlineStr">
        <is>
          <t>Declarado en la propia ficha</t>
        </is>
      </c>
    </row>
    <row r="19" ht="48" customHeight="1">
      <c r="A19" s="36" t="inlineStr">
        <is>
          <t>D-10</t>
        </is>
      </c>
      <c r="B19" s="36" t="inlineStr">
        <is>
          <t>F-DT-02</t>
        </is>
      </c>
      <c r="C19" s="36" t="inlineStr">
        <is>
          <t>N.° de cárcavas = 0 significa NO INVENTARIADAS, no ausencia verificada</t>
        </is>
      </c>
      <c r="D19" s="37" t="inlineStr">
        <is>
          <t>SUSTANTIVA</t>
        </is>
      </c>
      <c r="E19" s="36" t="inlineStr">
        <is>
          <t>No usar el valor 0 para calcular densidad por hectárea; pendiente del procesamiento del MDS del vuelo de dron</t>
        </is>
      </c>
    </row>
    <row r="20" ht="48" customHeight="1">
      <c r="A20" s="34" t="inlineStr">
        <is>
          <t>D-11</t>
        </is>
      </c>
      <c r="B20" s="34" t="inlineStr">
        <is>
          <t>F-DT-03</t>
        </is>
      </c>
      <c r="C20" s="34" t="inlineStr">
        <is>
          <t>Tipo de ecosistema MINAM «Matorral Andino subhúmedo» es preliminar</t>
        </is>
      </c>
      <c r="D20" s="12" t="inlineStr">
        <is>
          <t>NO SUSTANTIVA</t>
        </is>
      </c>
      <c r="E20" s="34" t="inlineStr">
        <is>
          <t>Reconciliar con la capa oficial del Mapa Nacional de Ecosistemas</t>
        </is>
      </c>
    </row>
    <row r="21" ht="48" customHeight="1">
      <c r="A21" s="36" t="inlineStr">
        <is>
          <t>D-12</t>
        </is>
      </c>
      <c r="B21" s="36" t="inlineStr">
        <is>
          <t>F-DT-05</t>
        </is>
      </c>
      <c r="C21" s="36" t="inlineStr">
        <is>
          <t>Requerimiento de autorización de Ronda Campesina sin dato — campo obligatorio</t>
        </is>
      </c>
      <c r="D21" s="37" t="inlineStr">
        <is>
          <t>SUSTANTIVA</t>
        </is>
      </c>
      <c r="E21" s="36" t="inlineStr">
        <is>
          <t>Cerrar con el equipo social antes de la carga definitiva al aplicativo</t>
        </is>
      </c>
    </row>
    <row r="23">
      <c r="A23" s="16" t="inlineStr">
        <is>
          <t>RESUMEN</t>
        </is>
      </c>
      <c r="B23" s="17" t="inlineStr">
        <is>
          <t>12 verificaciones</t>
        </is>
      </c>
      <c r="C23" s="17" t="inlineStr">
        <is>
          <t>CONFORME: 4 · NO SUSTANTIVA: 4 · SUSTANTIVA: 4</t>
        </is>
      </c>
      <c r="D23" s="17" t="inlineStr"/>
      <c r="E23" s="17" t="inlineStr"/>
    </row>
    <row r="25" ht="60" customHeight="1">
      <c r="A25"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row>
  </sheetData>
  <mergeCells count="8">
    <mergeCell ref="A4:E4"/>
    <mergeCell ref="A2:E2"/>
    <mergeCell ref="A25:E25"/>
    <mergeCell ref="A1:E1"/>
    <mergeCell ref="A5:E5"/>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60 — IN Piura</dc:title>
  <dc:subject>Diagnóstico Territorial por bloque de intervención</dc:subject>
  <dcterms:created xsi:type="dcterms:W3CDTF">2026-09-08T03:39:54Z</dcterms:created>
  <dcterms:modified xsi:type="dcterms:W3CDTF">2026-09-08T03:39:54Z</dcterms:modified>
</cp:coreProperties>
</file>