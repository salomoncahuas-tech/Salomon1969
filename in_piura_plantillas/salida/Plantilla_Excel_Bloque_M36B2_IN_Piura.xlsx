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2">
    <border>
      <left/>
      <right/>
      <top/>
      <bottom/>
      <diagonal/>
    </border>
    <border>
      <left style="thin">
        <color rgb="009C9C9C"/>
      </left>
      <right style="thin">
        <color rgb="009C9C9C"/>
      </right>
      <top style="thin">
        <color rgb="009C9C9C"/>
      </top>
      <bottom style="thin">
        <color rgb="009C9C9C"/>
      </bottom>
    </border>
  </borders>
  <cellStyleXfs count="1">
    <xf numFmtId="0" fontId="0" fillId="0" borderId="0"/>
  </cellStyleXfs>
  <cellXfs count="37">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M36B2</t>
        </is>
      </c>
    </row>
    <row r="6" ht="24" customHeight="1">
      <c r="A6" s="4" t="inlineStr">
        <is>
          <t>Diagnóstico Territorial — Plantilla DT Campo Check Validada V5 | Sistema de referencia: UTM WGS 84 Zona 17S (EPSG:32717)</t>
        </is>
      </c>
    </row>
    <row r="8" ht="18" customHeight="1">
      <c r="A8" s="5" t="inlineStr">
        <is>
          <t>1. IDENTIFICACIÓN Y LOCALIZACIÓN</t>
        </is>
      </c>
    </row>
    <row r="9">
      <c r="A9" s="6" t="inlineStr">
        <is>
          <t>Código del bloque</t>
        </is>
      </c>
      <c r="B9" s="7" t="inlineStr">
        <is>
          <t>M36B2</t>
        </is>
      </c>
      <c r="C9" s="6" t="inlineStr">
        <is>
          <t>Microcuenca (catálogo)</t>
        </is>
      </c>
      <c r="D9" s="7" t="inlineStr">
        <is>
          <t>C1086-Q9576</t>
        </is>
      </c>
      <c r="E9" s="8" t="n"/>
      <c r="F9" s="8" t="n"/>
    </row>
    <row r="10">
      <c r="A10" s="6" t="inlineStr">
        <is>
          <t>Zona de planificación</t>
        </is>
      </c>
      <c r="B10" s="7" t="inlineStr">
        <is>
          <t>Z04</t>
        </is>
      </c>
      <c r="C10" s="6" t="inlineStr">
        <is>
          <t>Microcuenca declarada en ficha DT</t>
        </is>
      </c>
      <c r="D10" s="7" t="inlineStr">
        <is>
          <t>C1086-Q9576</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Santa Catalina de Mossa</t>
        </is>
      </c>
      <c r="C12" s="6" t="inlineStr">
        <is>
          <t>Capital distrital</t>
        </is>
      </c>
      <c r="D12" s="7" t="inlineStr">
        <is>
          <t>Santa Catalina de Mossa</t>
        </is>
      </c>
      <c r="E12" s="8" t="n"/>
      <c r="F12" s="8" t="n"/>
    </row>
    <row r="13">
      <c r="A13" s="6" t="inlineStr">
        <is>
          <t>Centro poblado asociado</t>
        </is>
      </c>
      <c r="B13" s="7" t="inlineStr">
        <is>
          <t>Santa Rosa de Chirimoyos</t>
        </is>
      </c>
      <c r="C13" s="6" t="inlineStr">
        <is>
          <t>Comunidad campesina</t>
        </is>
      </c>
      <c r="D13" s="7" t="inlineStr">
        <is>
          <t>Por verificar (predominio de predios privados; tierras comunales y del Estado)</t>
        </is>
      </c>
      <c r="E13" s="8" t="n"/>
      <c r="F13" s="8" t="n"/>
    </row>
    <row r="14">
      <c r="A14" s="6" t="inlineStr">
        <is>
          <t>Superficie de catálogo (V5/V6), ha</t>
        </is>
      </c>
      <c r="B14" s="7" t="n">
        <v>28.19</v>
      </c>
      <c r="C14" s="6" t="inlineStr">
        <is>
          <t>Fuente de superficie</t>
        </is>
      </c>
      <c r="D14" s="7" t="inlineStr">
        <is>
          <t>Catálogo maestro Bloques V5/V6</t>
        </is>
      </c>
      <c r="E14" s="8" t="n"/>
      <c r="F14" s="8" t="n"/>
    </row>
    <row r="15">
      <c r="A15" s="6" t="inlineStr">
        <is>
          <t>Centroide UTM ESTE (m)</t>
        </is>
      </c>
      <c r="B15" s="7" t="n">
        <v>626438</v>
      </c>
      <c r="C15" s="6" t="inlineStr">
        <is>
          <t>Centroide UTM NORTE (m)</t>
        </is>
      </c>
      <c r="D15" s="7" t="n">
        <v>9435060</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8" ht="18" customHeight="1">
      <c r="A18" s="5" t="inlineStr">
        <is>
          <t>2. PARÁMETROS FÍSICOS (ESTADÍSTICA ZONAL SOBRE MDE)</t>
        </is>
      </c>
    </row>
    <row r="19">
      <c r="A19" s="6" t="inlineStr">
        <is>
          <t>Altitud mínima (msnm)</t>
        </is>
      </c>
      <c r="B19" s="7" t="n">
        <v>1331</v>
      </c>
      <c r="C19" s="6" t="inlineStr">
        <is>
          <t>Altitud máxima (msnm)</t>
        </is>
      </c>
      <c r="D19" s="7" t="n">
        <v>1533</v>
      </c>
      <c r="E19" s="8" t="n"/>
      <c r="F19" s="8" t="n"/>
    </row>
    <row r="20">
      <c r="A20" s="6" t="inlineStr">
        <is>
          <t>Amplitud altitudinal (m)</t>
        </is>
      </c>
      <c r="B20" s="7" t="n">
        <v>202</v>
      </c>
      <c r="C20" s="6" t="inlineStr">
        <is>
          <t>Piso altitudinal dominante</t>
        </is>
      </c>
      <c r="D20" s="7" t="inlineStr">
        <is>
          <t>1000-1500 m (Quechua baja)</t>
        </is>
      </c>
      <c r="E20" s="8" t="n"/>
      <c r="F20" s="8" t="n"/>
    </row>
    <row r="21">
      <c r="A21" s="6" t="inlineStr">
        <is>
          <t>Pendiente promedio (%)</t>
        </is>
      </c>
      <c r="B21" s="7" t="n">
        <v>29.67</v>
      </c>
      <c r="C21" s="6" t="inlineStr">
        <is>
          <t>Pendiente promedio (grados)</t>
        </is>
      </c>
      <c r="D21" s="7" t="n">
        <v>16.5</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Noroeste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No</t>
        </is>
      </c>
      <c r="E25" s="8" t="n"/>
      <c r="F25" s="8" t="n"/>
    </row>
    <row r="27" ht="18" customHeight="1">
      <c r="A27" s="5" t="inlineStr">
        <is>
          <t>3. ÍNDICES DE VEGETACIÓN (SENTINEL-2)</t>
        </is>
      </c>
    </row>
    <row r="28">
      <c r="A28" s="6" t="inlineStr">
        <is>
          <t>MSAVI 2024 — media del bloque</t>
        </is>
      </c>
      <c r="B28" s="7" t="n">
        <v>0.5974</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alta (82.35 %)</t>
        </is>
      </c>
      <c r="E29" s="8" t="n"/>
      <c r="F29" s="8" t="n"/>
    </row>
    <row r="30">
      <c r="A30" s="6" t="inlineStr">
        <is>
          <t>Superficie clasificada NDVI 2025 (ha)</t>
        </is>
      </c>
      <c r="B30" s="7" t="n">
        <v>28.202</v>
      </c>
      <c r="C30" s="6" t="inlineStr">
        <is>
          <t>Desviación frente al catálogo (%)</t>
        </is>
      </c>
      <c r="D30" s="7" t="n">
        <v>0.04</v>
      </c>
      <c r="E30" s="8" t="n"/>
      <c r="F30" s="8" t="n"/>
    </row>
    <row r="32" ht="18" customHeight="1">
      <c r="A32" s="5" t="inlineStr">
        <is>
          <t>4. ECOSISTEMA Y ESTADO DE CONSERVACIÓN</t>
        </is>
      </c>
    </row>
    <row r="33">
      <c r="A33" s="6" t="inlineStr">
        <is>
          <t>Tipo de ecosistema (UP)</t>
        </is>
      </c>
      <c r="B33" s="7" t="inlineStr">
        <is>
          <t>Agroecosistema / Mosaico</t>
        </is>
      </c>
      <c r="C33" s="6" t="inlineStr">
        <is>
          <t>Superficie de ecosistema (ha)</t>
        </is>
      </c>
      <c r="D33" s="7" t="inlineStr">
        <is>
          <t>28.19 ha (100% del bloque, catalogado por el MINAM como Zona agrícola)</t>
        </is>
      </c>
      <c r="E33" s="8" t="n"/>
      <c r="F33" s="8" t="n"/>
    </row>
    <row r="34">
      <c r="A34" s="6" t="inlineStr">
        <is>
          <t>Estado de conservación</t>
        </is>
      </c>
      <c r="B34" s="7" t="inlineStr">
        <is>
          <t>Alterado (intervención marcada)</t>
        </is>
      </c>
      <c r="C34" s="6" t="inlineStr">
        <is>
          <t>Uso actual dominante del suelo</t>
        </is>
      </c>
      <c r="D34" s="7" t="inlineStr">
        <is>
          <t>Uso mixto</t>
        </is>
      </c>
      <c r="E34" s="8" t="n"/>
      <c r="F34" s="8" t="n"/>
    </row>
    <row r="35">
      <c r="A35" s="6" t="inlineStr">
        <is>
          <t>Tipo de cobertura dominante</t>
        </is>
      </c>
      <c r="B35" s="7" t="inlineStr">
        <is>
          <t>Mixto / Mosaico</t>
        </is>
      </c>
      <c r="C35" s="6" t="inlineStr">
        <is>
          <t>Cobertura vegetal total — campo (%)</t>
        </is>
      </c>
      <c r="D35" s="7" t="n">
        <v>75</v>
      </c>
      <c r="E35" s="8" t="n"/>
      <c r="F35" s="8" t="n"/>
    </row>
    <row r="36">
      <c r="A36" s="6" t="inlineStr">
        <is>
          <t>Suelo desnudo — campo (%)</t>
        </is>
      </c>
      <c r="B36" s="7" t="n">
        <v>15</v>
      </c>
      <c r="C36" s="6" t="inlineStr">
        <is>
          <t>Regeneración natural</t>
        </is>
      </c>
      <c r="D36" s="7" t="inlineStr">
        <is>
          <t>Regular (10-50 pl./100m²)</t>
        </is>
      </c>
      <c r="E36" s="8" t="n"/>
      <c r="F36" s="8" t="n"/>
    </row>
    <row r="37">
      <c r="A37" s="6" t="inlineStr">
        <is>
          <t>Nivel general de erosión</t>
        </is>
      </c>
      <c r="B37" s="7" t="inlineStr">
        <is>
          <t>Moderada (surcos)</t>
        </is>
      </c>
      <c r="C37" s="6" t="inlineStr">
        <is>
          <t>N.° de cárcavas registradas</t>
        </is>
      </c>
      <c r="D37" s="7" t="n">
        <v>4</v>
      </c>
      <c r="E37" s="8" t="n"/>
      <c r="F37" s="8" t="n"/>
    </row>
    <row r="38">
      <c r="A38" s="6" t="inlineStr">
        <is>
          <t>Elenco florístico (n.° de taxones)</t>
        </is>
      </c>
      <c r="B38" s="7" t="n">
        <v>15</v>
      </c>
      <c r="C38" s="6" t="inlineStr">
        <is>
          <t>Estado sanitario</t>
        </is>
      </c>
      <c r="D38" s="7" t="inlineStr">
        <is>
          <t>Sano</t>
        </is>
      </c>
      <c r="E38" s="8" t="n"/>
      <c r="F38" s="8" t="n"/>
    </row>
    <row r="40" ht="18" customHeight="1">
      <c r="A40" s="5" t="inlineStr">
        <is>
          <t>5. RESPONSABLE Y MODALIDAD DE LA EVALUACIÓN</t>
        </is>
      </c>
    </row>
    <row r="41">
      <c r="A41" s="6" t="inlineStr">
        <is>
          <t>Responsable de la evaluación</t>
        </is>
      </c>
      <c r="B41" s="7" t="inlineStr">
        <is>
          <t>Ing. Héctor S. Cahuas Miller / Ing. Pedro Talledo Hernández</t>
        </is>
      </c>
      <c r="C41" s="6" t="inlineStr">
        <is>
          <t>Fecha de evaluación</t>
        </is>
      </c>
      <c r="D41" s="7" t="inlineStr">
        <is>
          <t>2026-06-03</t>
        </is>
      </c>
      <c r="E41" s="8" t="n"/>
      <c r="F41" s="8" t="n"/>
    </row>
    <row r="42">
      <c r="A42" s="6" t="inlineStr">
        <is>
          <t>Hora de registro</t>
        </is>
      </c>
      <c r="B42" s="7" t="inlineStr">
        <is>
          <t>14:39 - 15:33 h</t>
        </is>
      </c>
      <c r="C42" s="6" t="inlineStr">
        <is>
          <t>Correlativo de ficha</t>
        </is>
      </c>
      <c r="D42" s="7" t="inlineStr">
        <is>
          <t>F-DT-M36B2-01</t>
        </is>
      </c>
      <c r="E42" s="8" t="n"/>
      <c r="F42" s="8" t="n"/>
    </row>
    <row r="43">
      <c r="A43" s="6" t="inlineStr">
        <is>
          <t>Entidad</t>
        </is>
      </c>
      <c r="B43" s="7" t="inlineStr">
        <is>
          <t>ANIN - DIME - SESDI</t>
        </is>
      </c>
      <c r="C43" s="6" t="inlineStr">
        <is>
          <t>Fase del estudio</t>
        </is>
      </c>
      <c r="D43" s="7" t="inlineStr">
        <is>
          <t>Preinversión (Perfil) · Invierte.pe</t>
        </is>
      </c>
      <c r="E43" s="8" t="n"/>
      <c r="F43" s="8" t="n"/>
    </row>
    <row r="44">
      <c r="A44" s="6" t="inlineStr">
        <is>
          <t>Instrumento aplicado</t>
        </is>
      </c>
      <c r="B44" s="7" t="inlineStr">
        <is>
          <t>Fichas F-DT-01 a F-DT-05 (Plantilla V5)</t>
        </is>
      </c>
      <c r="C44" s="6" t="inlineStr">
        <is>
          <t>Parcela de muestreo</t>
        </is>
      </c>
      <c r="D44" s="7" t="inlineStr">
        <is>
          <t>Recorrido de bloque (transecto a pie; sin parcela fija)</t>
        </is>
      </c>
      <c r="E44" s="8" t="n"/>
      <c r="F44" s="8" t="n"/>
    </row>
    <row r="45">
      <c r="A45" s="6" t="inlineStr">
        <is>
          <t>Estaciones fotográficas georreferenciadas</t>
        </is>
      </c>
      <c r="B45" s="7" t="n">
        <v>0</v>
      </c>
      <c r="C45" s="6" t="inlineStr">
        <is>
          <t>Modalidad de acceso</t>
        </is>
      </c>
      <c r="D45" s="7" t="inlineStr">
        <is>
          <t>Vehicular + caminata &lt;30 min</t>
        </is>
      </c>
      <c r="E45" s="8" t="n"/>
      <c r="F45" s="8" t="n"/>
    </row>
    <row r="47" ht="18" customHeight="1">
      <c r="A47" s="5" t="inlineStr">
        <is>
          <t>6. SÍNTESIS PARA LA GESTIÓN DEL RIESGO EN CONTEXTO DE CAMBIO CLIMÁTICO</t>
        </is>
      </c>
    </row>
    <row r="48">
      <c r="A48" s="6" t="inlineStr">
        <is>
          <t>Causa subyacente principal</t>
        </is>
      </c>
      <c r="B48" s="7" t="inlineStr">
        <is>
          <t>Economía de subsistencia agropecuaria sin prácticas de conservación de suelos, sobre un ecosistema de ladera con fuerte pendiente</t>
        </is>
      </c>
      <c r="C48" s="6" t="inlineStr">
        <is>
          <t>Velocidad de degradación</t>
        </is>
      </c>
      <c r="D48" s="7" t="inlineStr">
        <is>
          <t>Moderada</t>
        </is>
      </c>
      <c r="E48" s="8" t="n"/>
      <c r="F48" s="8" t="n"/>
    </row>
    <row r="49">
      <c r="A49" s="6" t="inlineStr">
        <is>
          <t>Reversibilidad técnica</t>
        </is>
      </c>
      <c r="B49" s="7" t="inlineStr">
        <is>
          <t>Parcialmente reversible</t>
        </is>
      </c>
      <c r="C49" s="6" t="inlineStr">
        <is>
          <t>Urgencia de intervención</t>
        </is>
      </c>
      <c r="D49" s="7" t="inlineStr">
        <is>
          <t>Media</t>
        </is>
      </c>
      <c r="E49" s="8" t="n"/>
      <c r="F49" s="8" t="n"/>
    </row>
    <row r="50">
      <c r="A50" s="6" t="inlineStr">
        <is>
          <t>Urgencia de control de erosión</t>
        </is>
      </c>
      <c r="B50" s="7" t="inlineStr">
        <is>
          <t>Media</t>
        </is>
      </c>
      <c r="C50" s="6" t="inlineStr">
        <is>
          <t>Zona de recarga hídrica</t>
        </is>
      </c>
      <c r="D50" s="7" t="inlineStr">
        <is>
          <t>Sí</t>
        </is>
      </c>
      <c r="E50" s="8" t="n"/>
      <c r="F50" s="8" t="n"/>
    </row>
    <row r="51">
      <c r="A51" s="6" t="inlineStr">
        <is>
          <t>Peligro integrado preliminar (MCA-AHP)</t>
        </is>
      </c>
      <c r="B51" s="7" t="inlineStr">
        <is>
          <t>No disponible en los insumos; debe tomarse del modelamiento de mesolocalización</t>
        </is>
      </c>
      <c r="C51" s="6" t="inlineStr">
        <is>
          <t>Prioridad de intervención</t>
        </is>
      </c>
      <c r="D51" s="7" t="inlineStr">
        <is>
          <t>Por definir en mesolocalización</t>
        </is>
      </c>
      <c r="E51" s="8" t="n"/>
      <c r="F51" s="8" t="n"/>
    </row>
    <row r="52">
      <c r="A52" s="6" t="inlineStr">
        <is>
          <t>Estado de verificación de campo</t>
        </is>
      </c>
      <c r="B52" s="7" t="inlineStr">
        <is>
          <t>VERIFICADO</t>
        </is>
      </c>
      <c r="C52" s="6" t="inlineStr">
        <is>
          <t>Marco del indicador de brecha</t>
        </is>
      </c>
      <c r="D52" s="7" t="inlineStr">
        <is>
          <t>R.M. N.° 00213-2024-MINAM</t>
        </is>
      </c>
      <c r="E52" s="8" t="n"/>
      <c r="F52" s="8" t="n"/>
    </row>
    <row r="54" ht="72" customHeight="1">
      <c r="A54"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row>
  </sheetData>
  <mergeCells count="13">
    <mergeCell ref="A2:F2"/>
    <mergeCell ref="A54:F54"/>
    <mergeCell ref="A47:F47"/>
    <mergeCell ref="A1:F1"/>
    <mergeCell ref="A5:F5"/>
    <mergeCell ref="A32:F32"/>
    <mergeCell ref="A27:F27"/>
    <mergeCell ref="A8:F8"/>
    <mergeCell ref="A6:F6"/>
    <mergeCell ref="A40:F40"/>
    <mergeCell ref="A18:F18"/>
    <mergeCell ref="A4:F4"/>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8"/>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M36B2</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t>
        </is>
      </c>
      <c r="B10" s="11" t="inlineStr">
        <is>
          <t>Por determinar</t>
        </is>
      </c>
      <c r="C10" s="11" t="inlineStr">
        <is>
          <t>Por determinar</t>
        </is>
      </c>
      <c r="D10" s="11" t="inlineStr">
        <is>
          <t>Vigor alto</t>
        </is>
      </c>
      <c r="E10" s="11" t="inlineStr">
        <is>
          <t>Sobre umbral</t>
        </is>
      </c>
    </row>
    <row r="11">
      <c r="A11" s="12" t="inlineStr">
        <is>
          <t>0.4976 - 0.6139</t>
        </is>
      </c>
      <c r="B11" s="13" t="inlineStr">
        <is>
          <t>Por determinar</t>
        </is>
      </c>
      <c r="C11" s="13" t="inlineStr">
        <is>
          <t>Por determinar</t>
        </is>
      </c>
      <c r="D11" s="13" t="inlineStr">
        <is>
          <t>Vigor moderado</t>
        </is>
      </c>
      <c r="E11" s="13" t="inlineStr">
        <is>
          <t>Sobre umbral</t>
        </is>
      </c>
    </row>
    <row r="12">
      <c r="A12" s="7" t="inlineStr">
        <is>
          <t>0.3813 - 0.4976</t>
        </is>
      </c>
      <c r="B12" s="11" t="inlineStr">
        <is>
          <t>Por determinar</t>
        </is>
      </c>
      <c r="C12" s="11" t="inlineStr">
        <is>
          <t>Por determinar</t>
        </is>
      </c>
      <c r="D12" s="11" t="inlineStr">
        <is>
          <t>Vigor bajo</t>
        </is>
      </c>
      <c r="E12" s="11" t="inlineStr">
        <is>
          <t>BAJO umbral 0.4976</t>
        </is>
      </c>
    </row>
    <row r="13">
      <c r="A13" s="14" t="inlineStr">
        <is>
          <t>0.2650 - 0.3813</t>
        </is>
      </c>
      <c r="B13" s="15" t="inlineStr">
        <is>
          <t>Por determinar</t>
        </is>
      </c>
      <c r="C13" s="15" t="inlineStr">
        <is>
          <t>Por determinar</t>
        </is>
      </c>
      <c r="D13" s="15" t="inlineStr">
        <is>
          <t>Vigor muy bajo</t>
        </is>
      </c>
      <c r="E13" s="15" t="inlineStr">
        <is>
          <t>BAJO umbral 0.4976</t>
        </is>
      </c>
    </row>
    <row r="14">
      <c r="A14" s="7" t="inlineStr">
        <is>
          <t>&lt;= 0.2650</t>
        </is>
      </c>
      <c r="B14" s="11" t="inlineStr">
        <is>
          <t>Por determinar</t>
        </is>
      </c>
      <c r="C14" s="11" t="inlineStr">
        <is>
          <t>Por determinar</t>
        </is>
      </c>
      <c r="D14" s="11" t="inlineStr">
        <is>
          <t>Suelo desnudo / no vegetal</t>
        </is>
      </c>
      <c r="E14" s="11" t="inlineStr">
        <is>
          <t>BAJO umbral 0.4976</t>
        </is>
      </c>
    </row>
    <row r="15">
      <c r="A15" s="16" t="inlineStr">
        <is>
          <t>MSAVI 2024 — MEDIA DEL BLOQUE</t>
        </is>
      </c>
      <c r="B15" s="17" t="n">
        <v>0.597433</v>
      </c>
      <c r="C15" s="17" t="inlineStr">
        <is>
          <t>—</t>
        </is>
      </c>
      <c r="D15" s="17" t="inlineStr">
        <is>
          <t>Vigor moderado · clase 0.4976 - 0.6139</t>
        </is>
      </c>
      <c r="E15" s="17" t="inlineStr">
        <is>
          <t>Sobre umbral</t>
        </is>
      </c>
    </row>
    <row r="17" ht="72" customHeight="1">
      <c r="A17" s="9" t="inlineStr">
        <is>
          <t>NOTA METODOLÓGICA. La media del MSAVI 2024 del bloque (0.597433) procede del catálogo maestro de bloques V5/V6 y es dato oficial. La DISTRIBUCIÓN AREAL por clase de MSAVI no está disponible como estadística zonal en los insumos de este entregable: se consigna «Por determinar» y NO se estima, conforme a la declaración de integridad de datos del proyecto. La fila resaltada indica la clase en la que cae la media del bloque. Para el dimensionamiento de metas físicas debe ejecutarse estadística zonal directa sobre el ráster MSAVI 2024 recortado al polígono.</t>
        </is>
      </c>
    </row>
    <row r="19" ht="18" customHeight="1">
      <c r="A19" s="5" t="inlineStr">
        <is>
          <t>B. NDVI MEDIANA 2025 — DISTRIBUCIÓN AREAL (ESTADÍSTICA ZONAL)</t>
        </is>
      </c>
    </row>
    <row r="20" ht="28" customHeight="1">
      <c r="A20" s="10" t="inlineStr">
        <is>
          <t>Clase NDVI</t>
        </is>
      </c>
      <c r="B20" s="10" t="inlineStr">
        <is>
          <t>Superficie (ha)</t>
        </is>
      </c>
      <c r="C20" s="10" t="inlineStr">
        <is>
          <t>% del área clasificada</t>
        </is>
      </c>
      <c r="D20" s="10" t="inlineStr">
        <is>
          <t>Interpretación</t>
        </is>
      </c>
      <c r="E20" s="10" t="inlineStr">
        <is>
          <t>Observación</t>
        </is>
      </c>
    </row>
    <row r="21">
      <c r="A21" s="7" t="inlineStr">
        <is>
          <t>Vegetación alta</t>
        </is>
      </c>
      <c r="B21" s="18" t="n">
        <v>23.2233</v>
      </c>
      <c r="C21" s="19" t="n">
        <v>82.34999999999999</v>
      </c>
      <c r="D21" s="11" t="inlineStr">
        <is>
          <t>Dosel continuo, matorral denso o mosaico agroforestal</t>
        </is>
      </c>
      <c r="E21" s="11" t="inlineStr"/>
    </row>
    <row r="22">
      <c r="A22" s="14" t="inlineStr">
        <is>
          <t>Vegetación mediana</t>
        </is>
      </c>
      <c r="B22" s="20" t="n">
        <v>4.3372</v>
      </c>
      <c r="C22" s="21" t="n">
        <v>15.38</v>
      </c>
      <c r="D22" s="15" t="inlineStr">
        <is>
          <t>Pastizal cultivado, matorral ralo, parcelas agrícolas</t>
        </is>
      </c>
      <c r="E22" s="15" t="inlineStr"/>
    </row>
    <row r="23">
      <c r="A23" s="7" t="inlineStr">
        <is>
          <t>Vegetación ligera</t>
        </is>
      </c>
      <c r="B23" s="18" t="n">
        <v>0.6016</v>
      </c>
      <c r="C23" s="19" t="n">
        <v>2.13</v>
      </c>
      <c r="D23" s="11" t="inlineStr">
        <is>
          <t>Cobertura discontinua, suelo parcialmente expuesto</t>
        </is>
      </c>
      <c r="E23" s="11" t="inlineStr"/>
    </row>
    <row r="24">
      <c r="A24" s="14" t="inlineStr">
        <is>
          <t>Tierra desnuda</t>
        </is>
      </c>
      <c r="B24" s="20" t="n">
        <v>0.0396</v>
      </c>
      <c r="C24" s="21" t="n">
        <v>0.14</v>
      </c>
      <c r="D24" s="15" t="inlineStr">
        <is>
          <t>Suelo desnudo, afloramientos, plataformas y taludes</t>
        </is>
      </c>
      <c r="E24" s="15" t="inlineStr"/>
    </row>
    <row r="25">
      <c r="A25" s="16" t="inlineStr">
        <is>
          <t>TOTAL CLASIFICADO</t>
        </is>
      </c>
      <c r="B25" s="22">
        <f>SUM(B21:B24)</f>
        <v/>
      </c>
      <c r="C25" s="23">
        <f>SUM(C21:C24)</f>
        <v/>
      </c>
      <c r="D25" s="17" t="inlineStr"/>
      <c r="E25" s="17" t="inlineStr"/>
    </row>
    <row r="26">
      <c r="A26" s="24" t="inlineStr">
        <is>
          <t>Superficie de catálogo (V5/V6)</t>
        </is>
      </c>
      <c r="B26" s="25" t="n">
        <v>28.19</v>
      </c>
      <c r="C26" s="25" t="inlineStr">
        <is>
          <t>—</t>
        </is>
      </c>
      <c r="D26" s="25" t="inlineStr">
        <is>
          <t>Desviación planimétrica frente al catálogo</t>
        </is>
      </c>
      <c r="E26" s="25" t="inlineStr">
        <is>
          <t>+0.04 %</t>
        </is>
      </c>
    </row>
    <row r="28" ht="108" customHeight="1">
      <c r="A28"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75 % frente a un 82.35 % del polígono clasificado como «Vegetación alta» por el NDVI 2025; la observación de campo corresponde a una parcela o recorrido puntual y no es estadísticamente representativa de las 28.190 ha del bloque.</t>
        </is>
      </c>
    </row>
  </sheetData>
  <mergeCells count="10">
    <mergeCell ref="A4:E4"/>
    <mergeCell ref="A2:E2"/>
    <mergeCell ref="A28:E28"/>
    <mergeCell ref="A19:E19"/>
    <mergeCell ref="A1:E1"/>
    <mergeCell ref="A5:E5"/>
    <mergeCell ref="A8:E8"/>
    <mergeCell ref="A6:E6"/>
    <mergeCell ref="A17:E17"/>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3"/>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M36B2</t>
        </is>
      </c>
    </row>
    <row r="6" ht="24" customHeight="1">
      <c r="A6" s="4" t="inlineStr">
        <is>
          <t>Levantamiento del 2026-06-03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626400</v>
      </c>
      <c r="D10" s="26" t="n">
        <v>9434998</v>
      </c>
      <c r="E10" s="11" t="n">
        <v>72.7</v>
      </c>
      <c r="F10" s="11" t="inlineStr"/>
      <c r="G10" s="11" t="inlineStr">
        <is>
          <t>Coordenada consignada en F-DT-01</t>
        </is>
      </c>
    </row>
    <row r="11">
      <c r="A11" s="14" t="inlineStr">
        <is>
          <t>C-01</t>
        </is>
      </c>
      <c r="B11" s="15" t="inlineStr">
        <is>
          <t>Rasgo erosivo — Cárcava somera</t>
        </is>
      </c>
      <c r="C11" s="27" t="n">
        <v>626102</v>
      </c>
      <c r="D11" s="27" t="n">
        <v>9434928</v>
      </c>
      <c r="E11" s="15" t="n">
        <v>361</v>
      </c>
      <c r="F11" s="15" t="inlineStr">
        <is>
          <t>Por determinar</t>
        </is>
      </c>
      <c r="G11" s="15" t="inlineStr">
        <is>
          <t>Por determinar</t>
        </is>
      </c>
    </row>
    <row r="12">
      <c r="A12" s="7" t="inlineStr">
        <is>
          <t>C-02</t>
        </is>
      </c>
      <c r="B12" s="11" t="inlineStr">
        <is>
          <t>Rasgo erosivo — Cárcava incipiente</t>
        </is>
      </c>
      <c r="C12" s="26" t="n">
        <v>626547</v>
      </c>
      <c r="D12" s="26" t="n">
        <v>9435257</v>
      </c>
      <c r="E12" s="11" t="n">
        <v>225.1</v>
      </c>
      <c r="F12" s="11" t="inlineStr">
        <is>
          <t>Por determinar</t>
        </is>
      </c>
      <c r="G12" s="11" t="inlineStr">
        <is>
          <t>Por determinar</t>
        </is>
      </c>
    </row>
    <row r="13">
      <c r="A13" s="14" t="inlineStr">
        <is>
          <t>C-03</t>
        </is>
      </c>
      <c r="B13" s="15" t="inlineStr">
        <is>
          <t>Rasgo erosivo — Surco (&lt;30 cm)</t>
        </is>
      </c>
      <c r="C13" s="27" t="n">
        <v>626118</v>
      </c>
      <c r="D13" s="27" t="n">
        <v>9434932</v>
      </c>
      <c r="E13" s="15" t="n">
        <v>344.7</v>
      </c>
      <c r="F13" s="15" t="inlineStr">
        <is>
          <t>Por determinar</t>
        </is>
      </c>
      <c r="G13" s="15" t="inlineStr">
        <is>
          <t>Por determinar</t>
        </is>
      </c>
    </row>
    <row r="14">
      <c r="A14" s="7" t="inlineStr">
        <is>
          <t>C-04</t>
        </is>
      </c>
      <c r="B14" s="11" t="inlineStr">
        <is>
          <t>Rasgo erosivo — Cárcava somera</t>
        </is>
      </c>
      <c r="C14" s="26" t="n">
        <v>626314</v>
      </c>
      <c r="D14" s="26" t="n">
        <v>9434983</v>
      </c>
      <c r="E14" s="11" t="n">
        <v>146</v>
      </c>
      <c r="F14" s="11" t="inlineStr">
        <is>
          <t>Por determinar</t>
        </is>
      </c>
      <c r="G14" s="11" t="inlineStr">
        <is>
          <t>Por determinar</t>
        </is>
      </c>
    </row>
    <row r="15">
      <c r="A15" s="14" t="inlineStr">
        <is>
          <t>H-01</t>
        </is>
      </c>
      <c r="B15" s="15" t="inlineStr">
        <is>
          <t>Fuente de agua — 1</t>
        </is>
      </c>
      <c r="C15" s="27" t="inlineStr">
        <is>
          <t>Manantial / Puquio</t>
        </is>
      </c>
      <c r="D15" s="27" t="n">
        <v>626580</v>
      </c>
      <c r="E15" s="15" t="inlineStr"/>
      <c r="F15" s="15" t="n">
        <v>9435291</v>
      </c>
      <c r="G15" s="15" t="inlineStr"/>
    </row>
    <row r="16">
      <c r="A16" s="7" t="inlineStr">
        <is>
          <t>H-02</t>
        </is>
      </c>
      <c r="B16" s="11" t="inlineStr">
        <is>
          <t>Fuente de agua — 2</t>
        </is>
      </c>
      <c r="C16" s="26" t="inlineStr">
        <is>
          <t>Quebrada estacional</t>
        </is>
      </c>
      <c r="D16" s="26" t="n">
        <v>626100</v>
      </c>
      <c r="E16" s="11" t="inlineStr"/>
      <c r="F16" s="11" t="n">
        <v>9434850</v>
      </c>
      <c r="G16" s="11" t="inlineStr"/>
    </row>
    <row r="17">
      <c r="A17" s="14" t="inlineStr">
        <is>
          <t>B-03</t>
        </is>
      </c>
      <c r="B17" s="15" t="inlineStr">
        <is>
          <t>Especie clave — Angolo (Pithecellobium sp.)</t>
        </is>
      </c>
      <c r="C17" s="27" t="inlineStr">
        <is>
          <t>626339</t>
        </is>
      </c>
      <c r="D17" s="27" t="inlineStr">
        <is>
          <t>9434975</t>
        </is>
      </c>
      <c r="E17" s="15" t="n">
        <v>130.5</v>
      </c>
      <c r="F17" s="15" t="inlineStr">
        <is>
          <t>Indicadora de buen estado</t>
        </is>
      </c>
      <c r="G17" s="15" t="inlineStr">
        <is>
          <t>No aplica</t>
        </is>
      </c>
    </row>
    <row r="18">
      <c r="A18" s="16" t="inlineStr">
        <is>
          <t>TOTAL: 8 puntos</t>
        </is>
      </c>
      <c r="B18" s="17" t="inlineStr"/>
      <c r="C18" s="17" t="inlineStr"/>
      <c r="D18" s="17" t="inlineStr"/>
      <c r="E18" s="17" t="inlineStr"/>
      <c r="F18" s="17" t="inlineStr"/>
      <c r="G18" s="17" t="inlineStr"/>
    </row>
    <row r="20">
      <c r="A20" s="6" t="inlineStr">
        <is>
          <t>Centroide del bloque — UTM ESTE (m)</t>
        </is>
      </c>
      <c r="B20" s="7" t="n">
        <v>626438</v>
      </c>
      <c r="C20" s="6" t="inlineStr">
        <is>
          <t>Centroide del bloque — UTM NORTE (m)</t>
        </is>
      </c>
      <c r="D20" s="7" t="n">
        <v>9435060</v>
      </c>
      <c r="E20" s="8" t="n"/>
      <c r="F20" s="8" t="n"/>
      <c r="G20" s="8" t="n"/>
      <c r="H20" s="8" t="n"/>
    </row>
    <row r="21">
      <c r="A21" s="6" t="inlineStr">
        <is>
          <t>N.° de estaciones fotográficas declaradas</t>
        </is>
      </c>
      <c r="B21" s="7" t="n">
        <v>0</v>
      </c>
      <c r="C21" s="6" t="inlineStr">
        <is>
          <t>Estaciones dentro del polígono</t>
        </is>
      </c>
      <c r="D21" s="7" t="n">
        <v>0</v>
      </c>
      <c r="E21" s="8" t="n"/>
      <c r="F21" s="8" t="n"/>
      <c r="G21" s="8" t="n"/>
      <c r="H21" s="8" t="n"/>
    </row>
    <row r="23" ht="132" customHeight="1">
      <c r="A23"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Inspección del 03-06-2026. El punto de muestreo se refiere al hito del bloque (626 400 E / 9 434 998 N, 1 453 msnm de GPS de gabinete); el recorrido de campo (track Garmin 66sr) abarcó de 626 580 E / 9 435 291 N a 625 974 E / 9 434 966 N. Los afloramientos, el saprolito y los escarpes activos se concentran en los TALUDES DE CORTE de la trocha y los caminos de herradura (periferia del bloque), no en remociones en masa de superficie. ADVERTENCIA: algunas coordenadas de fotografías pueden presentar error por señal GPS de celular subóptima (cielo nublado y ligera lluvia).</t>
        </is>
      </c>
    </row>
  </sheetData>
  <mergeCells count="8">
    <mergeCell ref="A1:G1"/>
    <mergeCell ref="A8:G8"/>
    <mergeCell ref="A3:G3"/>
    <mergeCell ref="A6:G6"/>
    <mergeCell ref="A4:G4"/>
    <mergeCell ref="A2:G2"/>
    <mergeCell ref="A5:G5"/>
    <mergeCell ref="A23:G2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C1086-Q9576 — BLOQUE M36B2</t>
        </is>
      </c>
    </row>
    <row r="6" ht="24" customHeight="1">
      <c r="A6" s="4" t="inlineStr">
        <is>
          <t>Distrito de Santa Catalina de Mossa · Provincia de Morropon · Comparación de los bloques preliminares de intervención de la misma microcuenca</t>
        </is>
      </c>
    </row>
    <row r="8" ht="18" customHeight="1">
      <c r="A8" s="5" t="inlineStr">
        <is>
          <t>BLOQUES DE LA MICROCUENCA C1086-Q9576</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12" t="inlineStr">
        <is>
          <t>► M36B2</t>
        </is>
      </c>
      <c r="B10" s="28" t="n">
        <v>28.19</v>
      </c>
      <c r="C10" s="29" t="n">
        <v>52.34</v>
      </c>
      <c r="D10" s="13" t="inlineStr">
        <is>
          <t>1331 – 1533</t>
        </is>
      </c>
      <c r="E10" s="13" t="n">
        <v>202</v>
      </c>
      <c r="F10" s="13" t="n">
        <v>29.67</v>
      </c>
      <c r="G10" s="30" t="n">
        <v>0.5974</v>
      </c>
      <c r="H10" s="29" t="n">
        <v>82.34999999999999</v>
      </c>
    </row>
    <row r="11">
      <c r="A11" s="14" t="inlineStr">
        <is>
          <t>57</t>
        </is>
      </c>
      <c r="B11" s="31" t="n">
        <v>25.67</v>
      </c>
      <c r="C11" s="21" t="n">
        <v>47.66</v>
      </c>
      <c r="D11" s="15" t="inlineStr">
        <is>
          <t>2306 – 2624</t>
        </is>
      </c>
      <c r="E11" s="15" t="n">
        <v>318</v>
      </c>
      <c r="F11" s="15" t="n">
        <v>30.44</v>
      </c>
      <c r="G11" s="20" t="n">
        <v>0.6031</v>
      </c>
      <c r="H11" s="21" t="n">
        <v>82.90000000000001</v>
      </c>
    </row>
    <row r="12">
      <c r="A12" s="16" t="inlineStr">
        <is>
          <t>TOTAL / PROMEDIO</t>
        </is>
      </c>
      <c r="B12" s="32">
        <f>SUM(B10:B11)</f>
        <v/>
      </c>
      <c r="C12" s="23">
        <f>SUM(C10:C11)</f>
        <v/>
      </c>
      <c r="D12" s="17" t="inlineStr">
        <is>
          <t>1331 – 2624</t>
        </is>
      </c>
      <c r="E12" s="17" t="inlineStr"/>
      <c r="F12" s="17">
        <f>ROUND(AVERAGE(F10:F11),2)</f>
        <v/>
      </c>
      <c r="G12" s="22">
        <f>ROUND(AVERAGE(G10:G11),4)</f>
        <v/>
      </c>
      <c r="H12" s="23">
        <f>ROUND(AVERAGE(H10:H11),2)</f>
        <v/>
      </c>
    </row>
    <row r="14" ht="84" customHeight="1">
      <c r="A14" s="9" t="inlineStr">
        <is>
          <t>LECTURA INTRAMICROCUENCA. El bloque M36B2 ocupa el puesto 1 de 2 por superficie dentro de la microcuenca C1086-Q9576 (52.34 % de las 53.86 ha preliminares de la microcuenca). Su pendiente promedio (29.67 %, clase «25-50% (Mod. escarpado)») es la 1.ª más baja de 2 y se sitúa por debajo del promedio de la microcuenca (30.05 %). Su MSAVI 2024 (0.5974) es el 2.º de 2 y queda por debajo del promedio local (0.6002). Amplitud altitudinal del bloque: 202 m (1331–1533 msnm). El cuadro conserva todos los bloques catalogados en la microcuenca, incluidos los descartados en el tamizaje, para referencia del conjunto. Los bloques sin ficha DT figuran con sus parámetros de gabinete.</t>
        </is>
      </c>
    </row>
    <row r="16" ht="60" customHeight="1">
      <c r="A1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row>
  </sheetData>
  <mergeCells count="9">
    <mergeCell ref="A1:H1"/>
    <mergeCell ref="A4:H4"/>
    <mergeCell ref="A3:H3"/>
    <mergeCell ref="A2:H2"/>
    <mergeCell ref="A16:H16"/>
    <mergeCell ref="A14:H14"/>
    <mergeCell ref="A5:H5"/>
    <mergeCell ref="A8:H8"/>
    <mergeCell ref="A6:H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7"/>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M36B2</t>
        </is>
      </c>
    </row>
    <row r="6" ht="24" customHeight="1">
      <c r="A6" s="4" t="inlineStr">
        <is>
          <t>Discrepancias detectadas entre el registro de campo, los productos de gabinete y el catálogo maestro. Calificación: SUSTANTIVA / NO SUSTANTIVA / CORREGIDO / CONFORME.</t>
        </is>
      </c>
    </row>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3" t="inlineStr">
        <is>
          <t>D-01</t>
        </is>
      </c>
      <c r="B10" s="33" t="inlineStr">
        <is>
          <t>Código de microcuenca</t>
        </is>
      </c>
      <c r="C10" s="33" t="inlineStr">
        <is>
          <t>Ficha DT y catálogo maestro coinciden en «C1086-Q9576»</t>
        </is>
      </c>
      <c r="D10" s="34" t="inlineStr">
        <is>
          <t>CONFORME</t>
        </is>
      </c>
      <c r="E10" s="33" t="inlineStr">
        <is>
          <t>Sin acción.</t>
        </is>
      </c>
    </row>
    <row r="11" ht="48" customHeight="1">
      <c r="A11" s="35" t="inlineStr">
        <is>
          <t>D-02</t>
        </is>
      </c>
      <c r="B11" s="35" t="inlineStr">
        <is>
          <t>UTM del punto de muestreo</t>
        </is>
      </c>
      <c r="C11" s="35" t="inlineStr">
        <is>
          <t>El punto de muestreo declarado dista 73 m del centroide de catálogo, compatible con la extensión del bloque</t>
        </is>
      </c>
      <c r="D11" s="34" t="inlineStr">
        <is>
          <t>CONFORME</t>
        </is>
      </c>
      <c r="E11" s="35" t="inlineStr">
        <is>
          <t>Sin acción.</t>
        </is>
      </c>
    </row>
    <row r="12" ht="48" customHeight="1">
      <c r="A12" s="33" t="inlineStr">
        <is>
          <t>D-03</t>
        </is>
      </c>
      <c r="B12" s="33" t="inlineStr">
        <is>
          <t>Superficie del polígono</t>
        </is>
      </c>
      <c r="C12" s="33" t="inlineStr">
        <is>
          <t>La superficie clasificada por el NDVI 2025 (28.202 ha) coincide con la de catálogo (28.19 ha) dentro del ±2 % (+0.04 %)</t>
        </is>
      </c>
      <c r="D12" s="34" t="inlineStr">
        <is>
          <t>CONFORME</t>
        </is>
      </c>
      <c r="E12" s="33" t="inlineStr">
        <is>
          <t>Sin acción: la segmentación valida la geometría del bloque.</t>
        </is>
      </c>
    </row>
    <row r="13" ht="48" customHeight="1">
      <c r="A13" s="35" t="inlineStr">
        <is>
          <t>D-04</t>
        </is>
      </c>
      <c r="B13" s="35" t="inlineStr">
        <is>
          <t>Cobertura vegetal total</t>
        </is>
      </c>
      <c r="C13" s="35" t="inlineStr">
        <is>
          <t>La ficha DT estima 75 % de cobertura vegetal en campo; el NDVI mediana 2025 clasifica 99.86 % del polígono en clases de vegetación</t>
        </is>
      </c>
      <c r="D13" s="13" t="inlineStr">
        <is>
          <t>NO SUSTANTIVA</t>
        </is>
      </c>
      <c r="E13" s="35" t="inlineStr">
        <is>
          <t>Se declaran ambos valores. La observación de campo corresponde a una parcela o recorrido puntual y no es representativa de la totalidad del bloque; el índice espectral no discrimina composición ni integridad ecosistémica.</t>
        </is>
      </c>
    </row>
    <row r="14" ht="48" customHeight="1">
      <c r="A14" s="33" t="inlineStr">
        <is>
          <t>D-05</t>
        </is>
      </c>
      <c r="B14" s="33" t="inlineStr">
        <is>
          <t>Representatividad del levantamiento</t>
        </is>
      </c>
      <c r="C14" s="33" t="inlineStr">
        <is>
          <t>Ninguna de las estaciones fotográficas georreferenciadas se localiza dentro del polígono del bloque</t>
        </is>
      </c>
      <c r="D14" s="36" t="inlineStr">
        <is>
          <t>SUSTANTIVA</t>
        </is>
      </c>
      <c r="E14" s="33" t="inlineStr">
        <is>
          <t>La verificación documenta el perímetro y la vista panorámica del bloque, no su interior. Los parámetros que exigen recorrido interno se consignan «Por determinar».</t>
        </is>
      </c>
    </row>
    <row r="15" ht="48" customHeight="1">
      <c r="A15" s="35" t="inlineStr">
        <is>
          <t>D-06</t>
        </is>
      </c>
      <c r="B15" s="35" t="inlineStr">
        <is>
          <t>Centro poblado asociado</t>
        </is>
      </c>
      <c r="C15" s="35" t="inlineStr">
        <is>
          <t>La ficha DT declara «Santa Rosa de Chirimoyos»; el cruce INEI-Bloques V5 identifica 1 centro(s) poblado(s) en el bloque: SANTA ROSA DE CHIRIMOYOS</t>
        </is>
      </c>
      <c r="D15" s="34" t="inlineStr">
        <is>
          <t>CONFORME</t>
        </is>
      </c>
      <c r="E15" s="35" t="inlineStr">
        <is>
          <t>Se conserva el registro de campo como referencia y se adopta el listado INEI para el diagnóstico social y el cálculo de población beneficiaria.</t>
        </is>
      </c>
    </row>
    <row r="16" ht="48" customHeight="1">
      <c r="A16" s="33" t="inlineStr">
        <is>
          <t>D-07</t>
        </is>
      </c>
      <c r="B16" s="33" t="inlineStr">
        <is>
          <t>Peligro integrado (MCA-AHP)</t>
        </is>
      </c>
      <c r="C16" s="33" t="inlineStr">
        <is>
          <t>El nivel de peligro integrado no está disponible en los insumos de este entregable</t>
        </is>
      </c>
      <c r="D16" s="36" t="inlineStr">
        <is>
          <t>SUSTANTIVA</t>
        </is>
      </c>
      <c r="E16" s="33" t="inlineStr">
        <is>
          <t>Debe tomarse del modelamiento de mesolocalización (PMM + EPH + PGI ponderados por AHP) antes de fijar la prioridad definitiva de intervención del bloque.</t>
        </is>
      </c>
    </row>
    <row r="17" ht="48" customHeight="1">
      <c r="A17" s="35" t="inlineStr">
        <is>
          <t>D-08</t>
        </is>
      </c>
      <c r="B17" s="35" t="inlineStr">
        <is>
          <t>F-DT-01</t>
        </is>
      </c>
      <c r="C17" s="35" t="inlineStr">
        <is>
          <t>Altitud GPS declarada 1 400 m frente a los 1 453 msnm del hito del bloque (GPS de gabinete)</t>
        </is>
      </c>
      <c r="D17" s="13" t="inlineStr">
        <is>
          <t>NO SUSTANTIVA</t>
        </is>
      </c>
      <c r="E17" s="35" t="inlineStr">
        <is>
          <t>Se conservan ambos registros con indicación de su fuente</t>
        </is>
      </c>
    </row>
    <row r="18" ht="48" customHeight="1">
      <c r="A18" s="33" t="inlineStr">
        <is>
          <t>D-09</t>
        </is>
      </c>
      <c r="B18" s="33" t="inlineStr">
        <is>
          <t>F-DT-01 / F-DT-02</t>
        </is>
      </c>
      <c r="C18" s="33" t="inlineStr">
        <is>
          <t>Algunas coordenadas fotográficas pueden presentar error por señal GPS de celular subóptima (cielo nublado y ligera lluvia)</t>
        </is>
      </c>
      <c r="D18" s="36" t="inlineStr">
        <is>
          <t>SUSTANTIVA</t>
        </is>
      </c>
      <c r="E18" s="33" t="inlineStr">
        <is>
          <t>Se declara la advertencia del propio evaluador; requiere ratificación con GPS diferencial</t>
        </is>
      </c>
    </row>
    <row r="19" ht="48" customHeight="1">
      <c r="A19" s="35" t="inlineStr">
        <is>
          <t>D-10</t>
        </is>
      </c>
      <c r="B19" s="35" t="inlineStr">
        <is>
          <t>F-DT-02</t>
        </is>
      </c>
      <c r="C19" s="35" t="inlineStr">
        <is>
          <t>Inventario de cárcavas como registro rápido de 4 rasgos, sin longitud, profundidad ni ancho; el rasgo C-04 tampoco consigna estado</t>
        </is>
      </c>
      <c r="D19" s="36" t="inlineStr">
        <is>
          <t>SUSTANTIVA</t>
        </is>
      </c>
      <c r="E19" s="35" t="inlineStr">
        <is>
          <t>Pendiente de levantamiento instrumental; no se estiman dimensiones</t>
        </is>
      </c>
    </row>
    <row r="20" ht="48" customHeight="1">
      <c r="A20" s="33" t="inlineStr">
        <is>
          <t>D-11</t>
        </is>
      </c>
      <c r="B20" s="33" t="inlineStr">
        <is>
          <t>F-DT-03</t>
        </is>
      </c>
      <c r="C20" s="33" t="inlineStr">
        <is>
          <t>DAP y alturas no medidos por instrumento</t>
        </is>
      </c>
      <c r="D20" s="36" t="inlineStr">
        <is>
          <t>SUSTANTIVA</t>
        </is>
      </c>
      <c r="E20" s="33" t="inlineStr">
        <is>
          <t>POR DETERMINAR; requiere parcela de muestreo forestal</t>
        </is>
      </c>
    </row>
    <row r="21" ht="48" customHeight="1">
      <c r="A21" s="35" t="inlineStr">
        <is>
          <t>D-12</t>
        </is>
      </c>
      <c r="B21" s="35" t="inlineStr">
        <is>
          <t>F-DT-03</t>
        </is>
      </c>
      <c r="C21" s="35" t="inlineStr">
        <is>
          <t>El MINAM cataloga el bloque como Zona agrícola en su totalidad, pero en campo se verifican relictos de bosque seco y árboles nativos dispersos en las partes altas</t>
        </is>
      </c>
      <c r="D21" s="36" t="inlineStr">
        <is>
          <t>SUSTANTIVA</t>
        </is>
      </c>
      <c r="E21" s="35" t="inlineStr">
        <is>
          <t>Se conserva la clasificación cartográfica y se declara la observación de campo; corresponde precisar la unidad en gabinete</t>
        </is>
      </c>
    </row>
    <row r="22" ht="48" customHeight="1">
      <c r="A22" s="33" t="inlineStr">
        <is>
          <t>D-13</t>
        </is>
      </c>
      <c r="B22" s="33" t="inlineStr">
        <is>
          <t>F-DT-04</t>
        </is>
      </c>
      <c r="C22" s="33" t="inlineStr">
        <is>
          <t>Indicadores 3, 4, 5 y 6 sin valor consignado</t>
        </is>
      </c>
      <c r="D22" s="13" t="inlineStr">
        <is>
          <t>NO SUSTANTIVA</t>
        </is>
      </c>
      <c r="E22" s="33" t="inlineStr">
        <is>
          <t>Pendientes de levantamiento y encuesta predial</t>
        </is>
      </c>
    </row>
    <row r="23" ht="48" customHeight="1">
      <c r="A23" s="35" t="inlineStr">
        <is>
          <t>D-14</t>
        </is>
      </c>
      <c r="B23" s="35" t="inlineStr">
        <is>
          <t>F-DT-05</t>
        </is>
      </c>
      <c r="C23" s="35" t="inlineStr">
        <is>
          <t>La captación de la JASS Santa Rosa de Chirimoyos se ubica dentro o al borde del bloque</t>
        </is>
      </c>
      <c r="D23" s="36" t="inlineStr">
        <is>
          <t>SUSTANTIVA</t>
        </is>
      </c>
      <c r="E23" s="35" t="inlineStr">
        <is>
          <t>Se eleva como criterio de diseño: la protección de la fuente de consumo humano condiciona la intervención</t>
        </is>
      </c>
    </row>
    <row r="25">
      <c r="A25" s="16" t="inlineStr">
        <is>
          <t>RESUMEN</t>
        </is>
      </c>
      <c r="B25" s="17" t="inlineStr">
        <is>
          <t>14 verificaciones</t>
        </is>
      </c>
      <c r="C25" s="17" t="inlineStr">
        <is>
          <t>CONFORME: 4 · NO SUSTANTIVA: 3 · SUSTANTIVA: 7</t>
        </is>
      </c>
      <c r="D25" s="17" t="inlineStr"/>
      <c r="E25" s="17" t="inlineStr"/>
    </row>
    <row r="27" ht="60" customHeight="1">
      <c r="A27"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row>
  </sheetData>
  <mergeCells count="8">
    <mergeCell ref="A4:E4"/>
    <mergeCell ref="A2:E2"/>
    <mergeCell ref="A1:E1"/>
    <mergeCell ref="A5:E5"/>
    <mergeCell ref="A8:E8"/>
    <mergeCell ref="A6:E6"/>
    <mergeCell ref="A27:E27"/>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M36B2 — IN Piura</dc:title>
  <dc:subject>Diagnóstico Territorial por bloque de intervención</dc:subject>
  <dcterms:created xsi:type="dcterms:W3CDTF">2026-09-08T02:45:06Z</dcterms:created>
  <dcterms:modified xsi:type="dcterms:W3CDTF">2026-09-08T02:45:06Z</dcterms:modified>
</cp:coreProperties>
</file>