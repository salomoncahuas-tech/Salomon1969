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49</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Huacas (caserío Pajal, sector central del bloque)</t>
        </is>
      </c>
      <c r="C13" s="6" t="inlineStr">
        <is>
          <t>Comunidad campesina</t>
        </is>
      </c>
      <c r="D13" s="7" t="inlineStr">
        <is>
          <t>No aplica — predios rurales de propiedad privada dedicados a pastoreo y ganadería</t>
        </is>
      </c>
      <c r="E13" s="8" t="n"/>
      <c r="F13" s="8" t="n"/>
    </row>
    <row r="14">
      <c r="A14" s="6" t="inlineStr">
        <is>
          <t>Superficie de catálogo (V5/V6), ha</t>
        </is>
      </c>
      <c r="B14" s="7" t="n">
        <v>15.84</v>
      </c>
      <c r="C14" s="6" t="inlineStr">
        <is>
          <t>Fuente de superficie</t>
        </is>
      </c>
      <c r="D14" s="7" t="inlineStr">
        <is>
          <t>Catálogo maestro Bloques V5/V6</t>
        </is>
      </c>
      <c r="E14" s="8" t="n"/>
      <c r="F14" s="8" t="n"/>
    </row>
    <row r="15">
      <c r="A15" s="6" t="inlineStr">
        <is>
          <t>Centroide UTM ESTE (m)</t>
        </is>
      </c>
      <c r="B15" s="7" t="n">
        <v>642334</v>
      </c>
      <c r="C15" s="6" t="inlineStr">
        <is>
          <t>Centroide UTM NORTE (m)</t>
        </is>
      </c>
      <c r="D15" s="7" t="n">
        <v>9438263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3065</v>
      </c>
      <c r="C19" s="6" t="inlineStr">
        <is>
          <t>Altitud máxima (msnm)</t>
        </is>
      </c>
      <c r="D19" s="7" t="n">
        <v>3246</v>
      </c>
      <c r="E19" s="8" t="n"/>
      <c r="F19" s="8" t="n"/>
    </row>
    <row r="20">
      <c r="A20" s="6" t="inlineStr">
        <is>
          <t>Amplitud altitudinal (m)</t>
        </is>
      </c>
      <c r="B20" s="7" t="n">
        <v>181</v>
      </c>
      <c r="C20" s="6" t="inlineStr">
        <is>
          <t>Piso altitudinal dominante</t>
        </is>
      </c>
      <c r="D20" s="7" t="inlineStr">
        <is>
          <t>3000-3500 m (Puna baja)</t>
        </is>
      </c>
      <c r="E20" s="8" t="n"/>
      <c r="F20" s="8" t="n"/>
    </row>
    <row r="21">
      <c r="A21" s="6" t="inlineStr">
        <is>
          <t>Pendiente promedio (%)</t>
        </is>
      </c>
      <c r="B21" s="7" t="n">
        <v>25.96</v>
      </c>
      <c r="C21" s="6" t="inlineStr">
        <is>
          <t>Pendiente promedio (grados)</t>
        </is>
      </c>
      <c r="D21" s="7" t="n">
        <v>14.6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0.6860000000000001</v>
      </c>
      <c r="C28" s="6" t="inlineStr">
        <is>
          <t>MSAVI 2024 — clase de la media</t>
        </is>
      </c>
      <c r="D28" s="7" t="inlineStr">
        <is>
          <t>&gt; 0.6139 (Vigor alto)</t>
        </is>
      </c>
      <c r="E28" s="8" t="n"/>
      <c r="F28" s="8" t="n"/>
    </row>
    <row r="29">
      <c r="A29" s="6" t="inlineStr">
        <is>
          <t>Condición frente al umbral 0.4976</t>
        </is>
      </c>
      <c r="B29" s="7" t="inlineStr">
        <is>
          <t>Sobre umbral · distribución areal: 3.79 % del bloque BAJO el umbral (0.600 ha de 15.840 ha)</t>
        </is>
      </c>
      <c r="C29" s="6" t="inlineStr">
        <is>
          <t>NDVI mediana 2025 — clase modal</t>
        </is>
      </c>
      <c r="D29" s="7" t="inlineStr">
        <is>
          <t>Vegetación alta (98.80 %)</t>
        </is>
      </c>
      <c r="E29" s="8" t="n"/>
      <c r="F29" s="8" t="n"/>
    </row>
    <row r="30">
      <c r="A30" s="6" t="inlineStr">
        <is>
          <t>MSAVI 2024 — superficie BAJO el umbral 0.4976 (ha)</t>
        </is>
      </c>
      <c r="B30" s="7" t="n">
        <v>0.6</v>
      </c>
      <c r="C30" s="6" t="inlineStr">
        <is>
          <t>MSAVI 2024 — % del bloque BAJO el umbral</t>
        </is>
      </c>
      <c r="D30" s="7" t="n">
        <v>3.79</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(MSAVI Bloque 49.png)</t>
        </is>
      </c>
      <c r="E31" s="8" t="n"/>
      <c r="F31" s="8" t="n"/>
    </row>
    <row r="32" ht="18" customHeight="1">
      <c r="A32" s="6" t="inlineStr">
        <is>
          <t>Superficie clasificada NDVI 2025 (ha)</t>
        </is>
      </c>
      <c r="B32" s="7" t="n">
        <v>15.844</v>
      </c>
      <c r="C32" s="6" t="inlineStr">
        <is>
          <t>Desviación frente al catálogo (%)</t>
        </is>
      </c>
      <c r="D32" s="7" t="n">
        <v>0.02</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15.84 ha (mosaico agropecuario con relictos de bosque montano)</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Pastizal natural</t>
        </is>
      </c>
      <c r="C37" s="6" t="inlineStr">
        <is>
          <t>Cobertura vegetal total — campo (%)</t>
        </is>
      </c>
      <c r="D37" s="7" t="n">
        <v>85</v>
      </c>
      <c r="E37" s="8" t="n"/>
      <c r="F37" s="8" t="n"/>
    </row>
    <row r="38">
      <c r="A38" s="6" t="inlineStr">
        <is>
          <t>Suelo desnudo — campo (%)</t>
        </is>
      </c>
      <c r="B38" s="7" t="n">
        <v>10</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n">
        <v>2</v>
      </c>
      <c r="E39" s="8" t="n"/>
      <c r="F39" s="8" t="n"/>
    </row>
    <row r="40" ht="18" customHeight="1">
      <c r="A40" s="6" t="inlineStr">
        <is>
          <t>Elenco florístico (n.° de taxones)</t>
        </is>
      </c>
      <c r="B40" s="7" t="n">
        <v>13</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Salomón Cahuas Miller</t>
        </is>
      </c>
      <c r="C43" s="6" t="inlineStr">
        <is>
          <t>Fecha de evaluación</t>
        </is>
      </c>
      <c r="D43" s="7" t="inlineStr">
        <is>
          <t>2026-05-26</t>
        </is>
      </c>
      <c r="E43" s="8" t="n"/>
      <c r="F43" s="8" t="n"/>
    </row>
    <row r="44">
      <c r="A44" s="6" t="inlineStr">
        <is>
          <t>Hora de registro</t>
        </is>
      </c>
      <c r="B44" s="7" t="inlineStr">
        <is>
          <t>12:05 h</t>
        </is>
      </c>
      <c r="C44" s="6" t="inlineStr">
        <is>
          <t>Correlativo de ficha</t>
        </is>
      </c>
      <c r="D44" s="7" t="inlineStr">
        <is>
          <t>DT-B49-001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Transecto de reconocimiento T-01 (sector central)</t>
        </is>
      </c>
      <c r="E46" s="8" t="n"/>
      <c r="F46" s="8" t="n"/>
    </row>
    <row r="47" ht="18" customHeight="1">
      <c r="A47" s="6" t="inlineStr">
        <is>
          <t>Estaciones fotográficas georreferenciadas</t>
        </is>
      </c>
      <c r="B47" s="7" t="n">
        <v>8</v>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Dependencia económica de la ganadería extensiva de subsistencia, sin ordenamiento del uso del suelo ni manejo del pastizal</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2" t="n">
        <v>12.4059</v>
      </c>
      <c r="C10" s="31" t="n">
        <v>78.31999999999999</v>
      </c>
      <c r="D10" s="12" t="inlineStr">
        <is>
          <t>Vigor alto</t>
        </is>
      </c>
      <c r="E10" s="12" t="inlineStr">
        <is>
          <t>Sobre umbral</t>
        </is>
      </c>
    </row>
    <row r="11">
      <c r="A11" s="13" t="inlineStr">
        <is>
          <t>0.4976 - 0.6139</t>
        </is>
      </c>
      <c r="B11" s="20" t="n">
        <v>2.8338</v>
      </c>
      <c r="C11" s="21" t="n">
        <v>17.89</v>
      </c>
      <c r="D11" s="14" t="inlineStr">
        <is>
          <t>Vigor moderado</t>
        </is>
      </c>
      <c r="E11" s="14" t="inlineStr">
        <is>
          <t>Sobre umbral</t>
        </is>
      </c>
    </row>
    <row r="12">
      <c r="A12" s="7" t="inlineStr">
        <is>
          <t>0.3813 - 0.4976</t>
        </is>
      </c>
      <c r="B12" s="18" t="n">
        <v>0.6002999999999999</v>
      </c>
      <c r="C12" s="19" t="n">
        <v>3.79</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0.686036</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15.6532</v>
      </c>
      <c r="C22" s="19" t="n">
        <v>98.8</v>
      </c>
      <c r="D22" s="15" t="inlineStr">
        <is>
          <t>Dosel continuo, matorral denso o mosaico agroforestal</t>
        </is>
      </c>
      <c r="E22" s="15" t="inlineStr"/>
    </row>
    <row r="23">
      <c r="A23" s="13" t="inlineStr">
        <is>
          <t>Vegetación mediana</t>
        </is>
      </c>
      <c r="B23" s="20" t="n">
        <v>0.1907</v>
      </c>
      <c r="C23" s="21" t="n">
        <v>1.2</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15.84</v>
      </c>
      <c r="C25" s="25" t="inlineStr">
        <is>
          <t>—</t>
        </is>
      </c>
      <c r="D25" s="25" t="inlineStr">
        <is>
          <t>Desviación planimétrica frente al catálogo</t>
        </is>
      </c>
      <c r="E25" s="25" t="inlineStr">
        <is>
          <t>+0.02 %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98.80 % del polígono clasificado como «Vegetación alta» por el NDVI 2025; la observación de campo corresponde a una parcela o recorrido puntual y no es estadísticamente representativa de las 15.840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49</t>
        </is>
      </c>
    </row>
    <row r="6" ht="24" customHeight="1">
      <c r="A6" s="4" t="inlineStr">
        <is>
          <t>Levantamiento del 2026-05-26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642408</v>
      </c>
      <c r="D10" s="26" t="n">
        <v>9438034</v>
      </c>
      <c r="E10" s="15" t="n">
        <v>240.7</v>
      </c>
      <c r="F10" s="15" t="inlineStr"/>
      <c r="G10" s="15" t="inlineStr">
        <is>
          <t>Coordenada consignada en F-DT-01</t>
        </is>
      </c>
    </row>
    <row r="11">
      <c r="A11" s="13" t="inlineStr">
        <is>
          <t>C-01</t>
        </is>
      </c>
      <c r="B11" s="14" t="inlineStr">
        <is>
          <t>Rasgo erosivo — Cárcava incipiente</t>
        </is>
      </c>
      <c r="C11" s="27" t="n">
        <v>642497</v>
      </c>
      <c r="D11" s="27" t="n">
        <v>9438160</v>
      </c>
      <c r="E11" s="14" t="n">
        <v>192.8</v>
      </c>
      <c r="F11" s="14" t="inlineStr">
        <is>
          <t>Semi-activa</t>
        </is>
      </c>
      <c r="G11" s="14" t="inlineStr">
        <is>
          <t>Caminos / huellas de ganado</t>
        </is>
      </c>
    </row>
    <row r="12">
      <c r="A12" s="7" t="inlineStr">
        <is>
          <t>C-02</t>
        </is>
      </c>
      <c r="B12" s="15" t="inlineStr">
        <is>
          <t>Rasgo erosivo — Cárcava somera</t>
        </is>
      </c>
      <c r="C12" s="26" t="n">
        <v>642387</v>
      </c>
      <c r="D12" s="26" t="n">
        <v>9437997</v>
      </c>
      <c r="E12" s="15" t="n">
        <v>271.2</v>
      </c>
      <c r="F12" s="15" t="inlineStr">
        <is>
          <t>Activa</t>
        </is>
      </c>
      <c r="G12" s="15" t="inlineStr">
        <is>
          <t>Caminos / huellas de ganado</t>
        </is>
      </c>
    </row>
    <row r="13">
      <c r="A13" s="13" t="inlineStr">
        <is>
          <t>H-01</t>
        </is>
      </c>
      <c r="B13" s="14" t="inlineStr">
        <is>
          <t>Fuente de agua — Quebrada permanente</t>
        </is>
      </c>
      <c r="C13" s="27" t="n">
        <v>642690</v>
      </c>
      <c r="D13" s="27" t="n">
        <v>9438400</v>
      </c>
      <c r="E13" s="14" t="n">
        <v>381.5</v>
      </c>
      <c r="F13" s="14" t="inlineStr">
        <is>
          <t>Permanente</t>
        </is>
      </c>
      <c r="G13" s="14" t="inlineStr">
        <is>
          <t>Quebrada Huacas — drenaje</t>
        </is>
      </c>
    </row>
    <row r="14">
      <c r="A14" s="7" t="inlineStr">
        <is>
          <t>H-02</t>
        </is>
      </c>
      <c r="B14" s="15" t="inlineStr">
        <is>
          <t>Fuente de agua — Quebrada estacional</t>
        </is>
      </c>
      <c r="C14" s="26" t="n">
        <v>642425</v>
      </c>
      <c r="D14" s="26" t="n">
        <v>9438096</v>
      </c>
      <c r="E14" s="15" t="n">
        <v>190.2</v>
      </c>
      <c r="F14" s="15" t="inlineStr">
        <is>
          <t>Estacional (lluvias)</t>
        </is>
      </c>
      <c r="G14" s="15" t="inlineStr">
        <is>
          <t>Cauce menor interno</t>
        </is>
      </c>
    </row>
    <row r="15">
      <c r="A15" s="13" t="inlineStr">
        <is>
          <t>B-01</t>
        </is>
      </c>
      <c r="B15" s="14" t="inlineStr">
        <is>
          <t>Especie clave — Nogal andino (Juglans neotropica)</t>
        </is>
      </c>
      <c r="C15" s="27" t="n">
        <v>642430</v>
      </c>
      <c r="D15" s="27" t="n">
        <v>9438050</v>
      </c>
      <c r="E15" s="14" t="n">
        <v>233.6</v>
      </c>
      <c r="F15" s="14" t="inlineStr">
        <is>
          <t>Amenazada D.S. 043</t>
        </is>
      </c>
      <c r="G15" s="14" t="inlineStr">
        <is>
          <t>EN — En Peligro</t>
        </is>
      </c>
    </row>
    <row r="16">
      <c r="A16" s="7" t="inlineStr">
        <is>
          <t>B-02</t>
        </is>
      </c>
      <c r="B16" s="15" t="inlineStr">
        <is>
          <t>Especie clave — Queñua (Polylepis sp.)</t>
        </is>
      </c>
      <c r="C16" s="26" t="n">
        <v>642400</v>
      </c>
      <c r="D16" s="26" t="n">
        <v>9438300</v>
      </c>
      <c r="E16" s="15" t="n">
        <v>75.7</v>
      </c>
      <c r="F16" s="15" t="inlineStr">
        <is>
          <t>Amenazada D.S. 043</t>
        </is>
      </c>
      <c r="G16" s="15" t="inlineStr">
        <is>
          <t>VU — Vulnerable</t>
        </is>
      </c>
    </row>
    <row r="17">
      <c r="A17" s="13" t="inlineStr">
        <is>
          <t>B-03</t>
        </is>
      </c>
      <c r="B17" s="14" t="inlineStr">
        <is>
          <t>Especie clave — Aliso (Alnus acuminata)</t>
        </is>
      </c>
      <c r="C17" s="27" t="n">
        <v>642450</v>
      </c>
      <c r="D17" s="27" t="n">
        <v>9438120</v>
      </c>
      <c r="E17" s="14" t="n">
        <v>184.1</v>
      </c>
      <c r="F17" s="14" t="inlineStr">
        <is>
          <t>Indicadora de buen estado</t>
        </is>
      </c>
      <c r="G17" s="14" t="inlineStr">
        <is>
          <t>LC</t>
        </is>
      </c>
    </row>
    <row r="18">
      <c r="A18" s="7" t="inlineStr">
        <is>
          <t>B-04</t>
        </is>
      </c>
      <c r="B18" s="15" t="inlineStr">
        <is>
          <t>Especie clave — Cascarilla / Quina (Cinchona sp.)</t>
        </is>
      </c>
      <c r="C18" s="26" t="n">
        <v>642400</v>
      </c>
      <c r="D18" s="26" t="n">
        <v>9438320</v>
      </c>
      <c r="E18" s="15" t="n">
        <v>87.2</v>
      </c>
      <c r="F18" s="15" t="inlineStr">
        <is>
          <t>Clave cultural</t>
        </is>
      </c>
      <c r="G18" s="15" t="inlineStr">
        <is>
          <t>VU — Vulnerable</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642334</v>
      </c>
      <c r="C21" s="6" t="inlineStr">
        <is>
          <t>Centroide del bloque — UTM NORTE (m)</t>
        </is>
      </c>
      <c r="D21" s="7" t="n">
        <v>9438263</v>
      </c>
      <c r="E21" s="8" t="n"/>
      <c r="F21" s="8" t="n"/>
      <c r="G21" s="8" t="n"/>
      <c r="H21" s="8" t="n"/>
    </row>
    <row r="22">
      <c r="A22" s="6" t="inlineStr">
        <is>
          <t>N.° de estaciones fotográficas declaradas</t>
        </is>
      </c>
      <c r="B22" s="7" t="n">
        <v>8</v>
      </c>
      <c r="C22" s="6" t="inlineStr">
        <is>
          <t>Estaciones dentro del polígono</t>
        </is>
      </c>
      <c r="D22" s="7" t="inlineStr">
        <is>
          <t>Por determinar</t>
        </is>
      </c>
      <c r="E22" s="8" t="n"/>
      <c r="F22" s="8" t="n"/>
      <c r="G22" s="8" t="n"/>
      <c r="H22" s="8" t="n"/>
    </row>
    <row r="24" ht="132"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Ingreso por la vía PI-124 (desde Yamango) y empalme con trocha carrozable; tramo final a pie. El bloque integra el cluster B55-B49-B52 (microcuenca C1086-Q9575, zona Z09). Predominan suelos residuales profundos (saprolito) con escasos afloramientos rocosos. Evidencias de REPTACIÓN LENTA (terracetas de pisoteo) en laderas pastoreadas y microescarpes/erosión activa LOCALIZADA en los cortes de talud de la trocha. La alta pendiente, los suelos profundos y la pérdida de cobertura boscosa configuran SUSCEPTIBILIDAD a movimientos en masa y erosión.</t>
        </is>
      </c>
      <c r="B24" s="38" t="n"/>
      <c r="C24" s="38" t="n"/>
      <c r="D24" s="38" t="n"/>
      <c r="E24" s="38" t="n"/>
      <c r="F24" s="38" t="n"/>
      <c r="G24" s="39" t="n"/>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49</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M28B4</t>
        </is>
      </c>
      <c r="B10" s="28" t="n">
        <v>283.43</v>
      </c>
      <c r="C10" s="19" t="n">
        <v>58.52</v>
      </c>
      <c r="D10" s="15" t="inlineStr">
        <is>
          <t>297 – 634</t>
        </is>
      </c>
      <c r="E10" s="15" t="n">
        <v>337</v>
      </c>
      <c r="F10" s="15" t="n">
        <v>13.75</v>
      </c>
      <c r="G10" s="18" t="n">
        <v>0.4275</v>
      </c>
      <c r="H10" s="19" t="n">
        <v>18.09</v>
      </c>
    </row>
    <row r="11">
      <c r="A11" s="13" t="inlineStr">
        <is>
          <t>M28B2</t>
        </is>
      </c>
      <c r="B11" s="29" t="n">
        <v>90.2</v>
      </c>
      <c r="C11" s="21" t="n">
        <v>18.62</v>
      </c>
      <c r="D11" s="14" t="inlineStr">
        <is>
          <t>754 – 1111</t>
        </is>
      </c>
      <c r="E11" s="14" t="n">
        <v>357</v>
      </c>
      <c r="F11" s="14" t="n">
        <v>20.65</v>
      </c>
      <c r="G11" s="20" t="n">
        <v>0.4753</v>
      </c>
      <c r="H11" s="21" t="n">
        <v>37.12</v>
      </c>
    </row>
    <row r="12">
      <c r="A12" s="7" t="inlineStr">
        <is>
          <t>M28B3</t>
        </is>
      </c>
      <c r="B12" s="28" t="n">
        <v>58.29</v>
      </c>
      <c r="C12" s="19" t="n">
        <v>12.04</v>
      </c>
      <c r="D12" s="15" t="inlineStr">
        <is>
          <t>73 – 777</t>
        </is>
      </c>
      <c r="E12" s="15" t="n">
        <v>704</v>
      </c>
      <c r="F12" s="15" t="n">
        <v>22.13</v>
      </c>
      <c r="G12" s="18" t="n">
        <v>0.5075</v>
      </c>
      <c r="H12" s="19" t="n">
        <v>45.27</v>
      </c>
    </row>
    <row r="13">
      <c r="A13" s="13" t="inlineStr">
        <is>
          <t>46</t>
        </is>
      </c>
      <c r="B13" s="29" t="n">
        <v>18.87</v>
      </c>
      <c r="C13" s="21" t="n">
        <v>3.9</v>
      </c>
      <c r="D13" s="14" t="inlineStr">
        <is>
          <t>1371 – 1655</t>
        </is>
      </c>
      <c r="E13" s="14" t="n">
        <v>284</v>
      </c>
      <c r="F13" s="14" t="n">
        <v>31.77</v>
      </c>
      <c r="G13" s="20" t="n">
        <v>0.7244</v>
      </c>
      <c r="H13" s="21" t="inlineStr">
        <is>
          <t>Por determinar</t>
        </is>
      </c>
    </row>
    <row r="14">
      <c r="A14" s="11" t="inlineStr">
        <is>
          <t>► 49</t>
        </is>
      </c>
      <c r="B14" s="30" t="n">
        <v>15.84</v>
      </c>
      <c r="C14" s="31" t="n">
        <v>3.27</v>
      </c>
      <c r="D14" s="12" t="inlineStr">
        <is>
          <t>3065 – 3246</t>
        </is>
      </c>
      <c r="E14" s="12" t="n">
        <v>181</v>
      </c>
      <c r="F14" s="12" t="n">
        <v>25.96</v>
      </c>
      <c r="G14" s="32" t="n">
        <v>0.6860000000000001</v>
      </c>
      <c r="H14" s="31" t="n">
        <v>98.8</v>
      </c>
    </row>
    <row r="15">
      <c r="A15" s="13" t="inlineStr">
        <is>
          <t>52</t>
        </is>
      </c>
      <c r="B15" s="29" t="n">
        <v>11.06</v>
      </c>
      <c r="C15" s="21" t="n">
        <v>2.28</v>
      </c>
      <c r="D15" s="14" t="inlineStr">
        <is>
          <t>3011 – 3164</t>
        </is>
      </c>
      <c r="E15" s="14" t="n">
        <v>153</v>
      </c>
      <c r="F15" s="14" t="n">
        <v>26.16</v>
      </c>
      <c r="G15" s="20" t="n">
        <v>0.6685</v>
      </c>
      <c r="H15" s="21" t="n">
        <v>97.31999999999999</v>
      </c>
    </row>
    <row r="16">
      <c r="A16" s="7" t="inlineStr">
        <is>
          <t>48</t>
        </is>
      </c>
      <c r="B16" s="28" t="n">
        <v>5.75</v>
      </c>
      <c r="C16" s="19" t="n">
        <v>1.19</v>
      </c>
      <c r="D16" s="15" t="inlineStr">
        <is>
          <t>1458 – 1595</t>
        </is>
      </c>
      <c r="E16" s="15" t="n">
        <v>137</v>
      </c>
      <c r="F16" s="15" t="n">
        <v>33.6</v>
      </c>
      <c r="G16" s="18" t="n">
        <v>0.6978</v>
      </c>
      <c r="H16" s="19" t="inlineStr">
        <is>
          <t>Por determinar</t>
        </is>
      </c>
    </row>
    <row r="17">
      <c r="A17" s="13" t="inlineStr">
        <is>
          <t>55</t>
        </is>
      </c>
      <c r="B17" s="29" t="n">
        <v>0.86</v>
      </c>
      <c r="C17" s="21" t="n">
        <v>0.18</v>
      </c>
      <c r="D17" s="14" t="inlineStr">
        <is>
          <t>3066 – 3131</t>
        </is>
      </c>
      <c r="E17" s="14" t="n">
        <v>65</v>
      </c>
      <c r="F17" s="14" t="n">
        <v>30.04</v>
      </c>
      <c r="G17" s="20" t="n">
        <v>0.63</v>
      </c>
      <c r="H17" s="21" t="n">
        <v>100</v>
      </c>
    </row>
    <row r="18">
      <c r="A18" s="16" t="inlineStr">
        <is>
          <t>TOTAL / PROMEDIO</t>
        </is>
      </c>
      <c r="B18" s="33">
        <f>SUM(B10:B17)</f>
        <v/>
      </c>
      <c r="C18" s="23">
        <f>SUM(C10:C17)</f>
        <v/>
      </c>
      <c r="D18" s="17" t="inlineStr">
        <is>
          <t>73 – 3246</t>
        </is>
      </c>
      <c r="E18" s="17" t="inlineStr"/>
      <c r="F18" s="17">
        <f>ROUND(AVERAGE(F10:F17),2)</f>
        <v/>
      </c>
      <c r="G18" s="22">
        <f>ROUND(AVERAGE(G10:G17),4)</f>
        <v/>
      </c>
      <c r="H18" s="23">
        <f>ROUND(AVERAGE(H10:H17),2)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38" t="n"/>
      <c r="C19" s="38" t="n"/>
      <c r="D19" s="38" t="n"/>
      <c r="E19" s="38" t="n"/>
      <c r="F19" s="38" t="n"/>
      <c r="G19" s="38" t="n"/>
      <c r="H19" s="39" t="n"/>
    </row>
    <row r="21" ht="84" customHeight="1">
      <c r="A21" s="9" t="inlineStr">
        <is>
          <t>LECTURA INTRAMICROCUENCA. El bloque 49 ocupa el puesto 5 de 8 por superficie dentro de la microcuenca C1086-Q9575 (3.27 % de las 484.30 ha preliminares de la microcuenca). Su pendiente promedio (25.96 %, clase «25-50% (Mod. escarpado)») es la 4.ª más baja de 8 y se sitúa por encima del promedio de la microcuenca (25.51 %). Su MSAVI 2024 (0.6860) es el 3.º de 8 y queda por encima del promedio local (0.6021). Amplitud altitudinal del bloque: 181 m (3065–3246 msnm). El cuadro conserva todos los bloques catalogados en la microcuenca, incluidos los descartados en el tamizaje, para referencia del conjunto. Los bloques sin ficha DT figuran con sus parámetros de gabinete.</t>
        </is>
      </c>
      <c r="B21" s="38" t="n"/>
      <c r="C21" s="38" t="n"/>
      <c r="D21" s="38" t="n"/>
      <c r="E21" s="38" t="n"/>
      <c r="F21" s="38" t="n"/>
      <c r="G21" s="38" t="n"/>
      <c r="H21" s="39" t="n"/>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3" s="38" t="n"/>
      <c r="C23" s="38" t="n"/>
      <c r="D23" s="38" t="n"/>
      <c r="E23" s="38" t="n"/>
      <c r="F23" s="38" t="n"/>
      <c r="G23" s="38" t="n"/>
      <c r="H23" s="39" t="n"/>
    </row>
  </sheetData>
  <mergeCells count="10">
    <mergeCell ref="A1:H1"/>
    <mergeCell ref="A4:H4"/>
    <mergeCell ref="A3:H3"/>
    <mergeCell ref="A21:H21"/>
    <mergeCell ref="A2:H2"/>
    <mergeCell ref="A19:H19"/>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«C1086-Q9575»</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241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(15.844 ha) coincide con la de catálogo (15.84 ha) dentro del ±2 % (+0.02 %)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13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«Huacas (caserío Pajal, sector central del bloque)»; el cruce INEI-Bloques V5 identifica 1 centro(s) poblado(s) en el bloque: LAS HUACAS</t>
        </is>
      </c>
      <c r="D14" s="12" t="inlineStr">
        <is>
          <t>NO SUSTANTIVA</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3.79 % del bloque (0.600 ha) bajo el umbral 0.4976 y 96.21 % sobre el umbral; clase areal dominante «Vigor alto».</t>
        </is>
      </c>
      <c r="D16" s="37"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3 · NO SUSTANTIVA: 1 · SUSTANTIVA: 2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49 — IN Piura</dc:title>
  <dc:subject>Diagnóstico Territorial por bloque de intervención</dc:subject>
  <dcterms:created xsi:type="dcterms:W3CDTF">2026-09-08T03:39:56Z</dcterms:created>
  <dcterms:modified xsi:type="dcterms:W3CDTF">2026-09-09T14:49:42Z</dcterms:modified>
</cp:coreProperties>
</file>