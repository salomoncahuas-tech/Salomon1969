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M4B4</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M4B4</t>
        </is>
      </c>
      <c r="C9" s="6" t="inlineStr">
        <is>
          <t>Microcuenca (catálogo)</t>
        </is>
      </c>
      <c r="D9" s="7" t="inlineStr">
        <is>
          <t>C1076-Q9589</t>
        </is>
      </c>
      <c r="E9" s="8" t="n"/>
      <c r="F9" s="8" t="n"/>
    </row>
    <row r="10">
      <c r="A10" s="6" t="inlineStr">
        <is>
          <t>Zona de planificación</t>
        </is>
      </c>
      <c r="B10" s="7" t="inlineStr">
        <is>
          <t>Z14</t>
        </is>
      </c>
      <c r="C10" s="6" t="inlineStr">
        <is>
          <t>Microcuenca declarada en ficha DT</t>
        </is>
      </c>
      <c r="D10" s="7" t="inlineStr">
        <is>
          <t>C1076-Q9584 (según ficha — valor por defecto de plantilla; catálogo: C1076-Q9589)</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Hualcas I y II (Hualcas Alto)</t>
        </is>
      </c>
      <c r="C13" s="6" t="inlineStr">
        <is>
          <t>Comunidad campesina</t>
        </is>
      </c>
      <c r="D13" s="7" t="inlineStr">
        <is>
          <t>No consignada</t>
        </is>
      </c>
      <c r="E13" s="8" t="n"/>
      <c r="F13" s="8" t="n"/>
    </row>
    <row r="14">
      <c r="A14" s="6" t="inlineStr">
        <is>
          <t>Superficie de catálogo (V5/V6), ha</t>
        </is>
      </c>
      <c r="B14" s="7" t="n">
        <v>289.91</v>
      </c>
      <c r="C14" s="6" t="inlineStr">
        <is>
          <t>Fuente de superficie</t>
        </is>
      </c>
      <c r="D14" s="7" t="inlineStr">
        <is>
          <t>Catálogo maestro Bloques V5/V6</t>
        </is>
      </c>
      <c r="E14" s="8" t="n"/>
      <c r="F14" s="8" t="n"/>
    </row>
    <row r="15">
      <c r="A15" s="6" t="inlineStr">
        <is>
          <t>Centroide UTM ESTE (m)</t>
        </is>
      </c>
      <c r="B15" s="7" t="n">
        <v>642775</v>
      </c>
      <c r="C15" s="6" t="inlineStr">
        <is>
          <t>Centroide UTM NORTE (m)</t>
        </is>
      </c>
      <c r="D15" s="7" t="n">
        <v>9388574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314</v>
      </c>
      <c r="C19" s="6" t="inlineStr">
        <is>
          <t>Altitud máxima (msnm)</t>
        </is>
      </c>
      <c r="D19" s="7" t="n">
        <v>686</v>
      </c>
      <c r="E19" s="8" t="n"/>
      <c r="F19" s="8" t="n"/>
    </row>
    <row r="20">
      <c r="A20" s="6" t="inlineStr">
        <is>
          <t>Amplitud altitudinal (m)</t>
        </is>
      </c>
      <c r="B20" s="7" t="n">
        <v>372</v>
      </c>
      <c r="C20" s="6" t="inlineStr">
        <is>
          <t>Piso altitudinal dominante</t>
        </is>
      </c>
      <c r="D20" s="7" t="inlineStr">
        <is>
          <t>&lt;1000 m (Yunga)</t>
        </is>
      </c>
      <c r="E20" s="8" t="n"/>
      <c r="F20" s="8" t="n"/>
    </row>
    <row r="21">
      <c r="A21" s="6" t="inlineStr">
        <is>
          <t>Pendiente promedio (%)</t>
        </is>
      </c>
      <c r="B21" s="7" t="n">
        <v>16.23</v>
      </c>
      <c r="C21" s="6" t="inlineStr">
        <is>
          <t>Pendiente promedio (grados)</t>
        </is>
      </c>
      <c r="D21" s="7" t="n">
        <v>9.199999999999999</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0.3198</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(58.75 %)</t>
        </is>
      </c>
      <c r="E29" s="8" t="n"/>
      <c r="F29" s="8" t="n"/>
    </row>
    <row r="30">
      <c r="A30" s="6" t="inlineStr">
        <is>
          <t>Superficie clasificada NDVI 2025 (ha)</t>
        </is>
      </c>
      <c r="B30" s="7" t="n">
        <v>290</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150 ha (de 289.91 ha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ralo (30-70%)</t>
        </is>
      </c>
      <c r="C35" s="6" t="inlineStr">
        <is>
          <t>Cobertura vegetal total — campo (%)</t>
        </is>
      </c>
      <c r="D35" s="7" t="n">
        <v>65</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7</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t>
        </is>
      </c>
      <c r="C41" s="6" t="inlineStr">
        <is>
          <t>Fecha de evaluación</t>
        </is>
      </c>
      <c r="D41" s="7" t="inlineStr">
        <is>
          <t>2026-08-10</t>
        </is>
      </c>
      <c r="E41" s="8" t="n"/>
      <c r="F41" s="8" t="n"/>
    </row>
    <row r="42">
      <c r="A42" s="6" t="inlineStr">
        <is>
          <t>Hora de registro</t>
        </is>
      </c>
      <c r="B42" s="7" t="inlineStr">
        <is>
          <t>11:46 h</t>
        </is>
      </c>
      <c r="C42" s="6" t="inlineStr">
        <is>
          <t>Correlativo de ficha</t>
        </is>
      </c>
      <c r="D42" s="7" t="inlineStr">
        <is>
          <t>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M4B4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0.319788</v>
      </c>
      <c r="C15" s="17" t="inlineStr">
        <is>
          <t>—</t>
        </is>
      </c>
      <c r="D15" s="17" t="inlineStr">
        <is>
          <t>Vigor muy bajo · clase 0.2650 - 0.3813</t>
        </is>
      </c>
      <c r="E15" s="17" t="inlineStr">
        <is>
          <t>BAJO umbral 0.4976</t>
        </is>
      </c>
    </row>
    <row r="17" ht="72" customHeight="1">
      <c r="A17" s="9" t="inlineStr">
        <is>
          <t>NOTA METODOLÓGICA. La media del MSAVI 2024 del bloque (0.319788)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2.9907</v>
      </c>
      <c r="C21" s="19" t="n">
        <v>1.03</v>
      </c>
      <c r="D21" s="11" t="inlineStr">
        <is>
          <t>Dosel continuo, matorral denso o mosaico agroforestal</t>
        </is>
      </c>
      <c r="E21" s="11" t="inlineStr"/>
    </row>
    <row r="22">
      <c r="A22" s="12" t="inlineStr">
        <is>
          <t>Vegetación mediana</t>
        </is>
      </c>
      <c r="B22" s="20" t="n">
        <v>114.0808</v>
      </c>
      <c r="C22" s="21" t="n">
        <v>39.34</v>
      </c>
      <c r="D22" s="13" t="inlineStr">
        <is>
          <t>Pastizal cultivado, matorral ralo, parcelas agrícolas</t>
        </is>
      </c>
      <c r="E22" s="13" t="inlineStr"/>
    </row>
    <row r="23">
      <c r="A23" s="7" t="inlineStr">
        <is>
          <t>Vegetación ligera</t>
        </is>
      </c>
      <c r="B23" s="18" t="n">
        <v>170.379</v>
      </c>
      <c r="C23" s="19" t="n">
        <v>58.75</v>
      </c>
      <c r="D23" s="11" t="inlineStr">
        <is>
          <t>Cobertura discontinua, suelo parcialmente expuesto</t>
        </is>
      </c>
      <c r="E23" s="11" t="inlineStr"/>
    </row>
    <row r="24">
      <c r="A24" s="12" t="inlineStr">
        <is>
          <t>Tierra desnuda</t>
        </is>
      </c>
      <c r="B24" s="20" t="n">
        <v>2.5494</v>
      </c>
      <c r="C24" s="21" t="n">
        <v>0.88</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289.91</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1.03 % del polígono clasificado como «Vegetación alta» por el NDVI 2025; la observación de campo corresponde a una parcela o recorrido puntual y no es estadísticamente representativa de las 289.910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M4B4</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643261</v>
      </c>
      <c r="D10" s="26" t="n">
        <v>9389812</v>
      </c>
      <c r="E10" s="11" t="n">
        <v>1330</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642775</v>
      </c>
      <c r="C13" s="6" t="inlineStr">
        <is>
          <t>Centroide del bloque — UTM NORTE (m)</t>
        </is>
      </c>
      <c r="D13" s="7" t="n">
        <v>9388574</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5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≈300 msnm. Presenta AFLORAMIENTO ROCOSO, abundantes rocas semienterradas y piedras medianas a grandes dispersas (pese a que el campo de lista consigna «No»). Zonas con cobertura vegetal remanente. LA LADERA ES EMPLEADA PARA PASTOREO EXTENSIVO DE GANADO CAPRINO del centro poblado próximo. LEÑA APILADA en viviendas próximas. El suelo presenta erosión eólica; estrías y surcos por tránsito de ganado; caminos de herradura dentro del bloque y áreas de suelo desprovistas de vegetación. NOTA (D-01): el punto de muestreo (643 261 E · 9 389 812 N) se sitúa a ≈1.3 km al norte del centroide catastral, SOBRE EL BORDE SEPTENTRIONAL DEL POLÍGONO, Y ES COMPARTIDO CON LA FICHA DE M4B3.</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C1076-Q9589 — BLOQUE M4B4</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C1076-Q9589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M4B4</t>
        </is>
      </c>
      <c r="B10" s="27" t="n">
        <v>289.91</v>
      </c>
      <c r="C10" s="28" t="n">
        <v>55.33</v>
      </c>
      <c r="D10" s="15" t="inlineStr">
        <is>
          <t>314 – 686</t>
        </is>
      </c>
      <c r="E10" s="15" t="n">
        <v>372</v>
      </c>
      <c r="F10" s="15" t="n">
        <v>16.23</v>
      </c>
      <c r="G10" s="29" t="n">
        <v>0.3198</v>
      </c>
      <c r="H10" s="28" t="n">
        <v>1.03</v>
      </c>
    </row>
    <row r="11">
      <c r="A11" s="12" t="inlineStr">
        <is>
          <t>M4B3</t>
        </is>
      </c>
      <c r="B11" s="30" t="n">
        <v>234.07</v>
      </c>
      <c r="C11" s="21" t="n">
        <v>44.67</v>
      </c>
      <c r="D11" s="13" t="inlineStr">
        <is>
          <t>367 – 682</t>
        </is>
      </c>
      <c r="E11" s="13" t="n">
        <v>315</v>
      </c>
      <c r="F11" s="13" t="n">
        <v>17.22</v>
      </c>
      <c r="G11" s="20" t="n">
        <v>0.3222</v>
      </c>
      <c r="H11" s="21" t="n">
        <v>1.97</v>
      </c>
    </row>
    <row r="12">
      <c r="A12" s="16" t="inlineStr">
        <is>
          <t>TOTAL / PROMEDIO</t>
        </is>
      </c>
      <c r="B12" s="31">
        <f>SUM(B10:B11)</f>
        <v/>
      </c>
      <c r="C12" s="23">
        <f>SUM(C10:C11)</f>
        <v/>
      </c>
      <c r="D12" s="17" t="inlineStr">
        <is>
          <t>314 – 686</t>
        </is>
      </c>
      <c r="E12" s="17" t="inlineStr"/>
      <c r="F12" s="17">
        <f>ROUND(AVERAGE(F10:F11),2)</f>
        <v/>
      </c>
      <c r="G12" s="22">
        <f>ROUND(AVERAGE(G10:G11),4)</f>
        <v/>
      </c>
      <c r="H12" s="23">
        <f>ROUND(AVERAGE(H10:H11),2)</f>
        <v/>
      </c>
    </row>
    <row r="14" ht="84" customHeight="1">
      <c r="A14" s="9" t="inlineStr">
        <is>
          <t>LECTURA INTRAMICROCUENCA. El bloque M4B4 ocupa el puesto 1 de 2 por superficie dentro de la microcuenca C1076-Q9589 (55.33 % de las 523.98 ha preliminares de la microcuenca). Su pendiente promedio (16.23 %, clase «15-25% (Fuert. inclinado)») es la 1.ª más baja de 2 y se sitúa por debajo del promedio de la microcuenca (16.73 %). Su MSAVI 2024 (0.3198) es el 2.º de 2 y queda por debajo del promedio local (0.3210). Amplitud altitudinal del bloque: 372 m (314–686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M4B4</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(según ficha — valor por defecto de plantilla; catálogo: C1076-Q9589)»; el catálogo maestro V5/V6 asigna el bloque a «C1076-Q9589»</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El punto de muestreo declarado (643261 E / 9389812 N) dista 1,330 m del centroide de catálogo (642775 E / 9388574 N), distancia incompatible con la superficie del bloque (289.91 ha)</t>
        </is>
      </c>
      <c r="D11" s="33"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(290.000 ha) coincide con la de catálogo (289.91 ha) dentro del ±2 % (+0.03 %)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16.23 %,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65 % de cobertura vegetal en campo; el NDVI mediana 2025 clasifica 99.12 % del polígono en clases de vegetación</t>
        </is>
      </c>
      <c r="D14" s="15"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7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3"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«Hualcas I y II (Hualcas Alto)»; el cruce INEI-Bloques V5 identifica 2 centro(s) poblado(s) en el bloque: HUALCAS I, HUALCAS II</t>
        </is>
      </c>
      <c r="D17" s="35"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3"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Ficha DT</t>
        </is>
      </c>
      <c r="C19" s="34" t="inlineStr">
        <is>
          <t>La ficha consigna microcuenca C1076-Q9584; el catálogo maestro asigna a M4B4 la microcuenca C1076-Q9589</t>
        </is>
      </c>
      <c r="D19" s="33" t="inlineStr">
        <is>
          <t>SUSTANTIVA</t>
        </is>
      </c>
      <c r="E19" s="34" t="inlineStr">
        <is>
          <t>Valor por defecto de la plantilla; se conserva el del catálogo</t>
        </is>
      </c>
    </row>
    <row r="20" ht="48" customHeight="1">
      <c r="A20" s="32" t="inlineStr">
        <is>
          <t>D-11</t>
        </is>
      </c>
      <c r="B20" s="32" t="inlineStr">
        <is>
          <t>F-DT-01</t>
        </is>
      </c>
      <c r="C20" s="32" t="inlineStr">
        <is>
          <t>D-01: el punto de muestreo está a ≈1.3 km al norte del centroide, sobre el borde septentrional, y es COMPARTIDO con la ficha de M4B3</t>
        </is>
      </c>
      <c r="D20" s="33" t="inlineStr">
        <is>
          <t>SUSTANTIVA</t>
        </is>
      </c>
      <c r="E20" s="32" t="inlineStr">
        <is>
          <t>Una sola estación sirvió a tres bloques distintos</t>
        </is>
      </c>
    </row>
    <row r="21" ht="48" customHeight="1">
      <c r="A21" s="34" t="inlineStr">
        <is>
          <t>D-12</t>
        </is>
      </c>
      <c r="B21" s="34" t="inlineStr">
        <is>
          <t>F-DT-01</t>
        </is>
      </c>
      <c r="C21" s="34" t="inlineStr">
        <is>
          <t>Afloramientos rocosos consignados «No» pese a que la narrativa describe afloramiento rocoso y rocas semienterradas</t>
        </is>
      </c>
      <c r="D21" s="15" t="inlineStr">
        <is>
          <t>NO SUSTANTIVA</t>
        </is>
      </c>
      <c r="E21" s="34" t="inlineStr">
        <is>
          <t>Inconsistencia interna a corregir</t>
        </is>
      </c>
    </row>
    <row r="22" ht="48" customHeight="1">
      <c r="A22" s="32" t="inlineStr">
        <is>
          <t>D-13</t>
        </is>
      </c>
      <c r="B22" s="32" t="inlineStr">
        <is>
          <t>F-DT-02</t>
        </is>
      </c>
      <c r="C22" s="32" t="inlineStr">
        <is>
          <t>Sin ficha F-DT-02 firmada en el ANEXO 01; inventario de cárcavas pendiente</t>
        </is>
      </c>
      <c r="D22" s="33" t="inlineStr">
        <is>
          <t>SUSTANTIVA</t>
        </is>
      </c>
      <c r="E22" s="32" t="inlineStr">
        <is>
          <t>Levantamiento pendiente</t>
        </is>
      </c>
    </row>
    <row r="23" ht="48" customHeight="1">
      <c r="A23" s="34" t="inlineStr">
        <is>
          <t>D-14</t>
        </is>
      </c>
      <c r="B23" s="34" t="inlineStr">
        <is>
          <t>F-DT-03</t>
        </is>
      </c>
      <c r="C23" s="34" t="inlineStr">
        <is>
          <t>D-02: valores estructurales idénticos a M4B3 y muy próximos a M12B1, a la misma hora — estimación visual global no diferenciada</t>
        </is>
      </c>
      <c r="D23" s="33" t="inlineStr">
        <is>
          <t>SUSTANTIVA</t>
        </is>
      </c>
      <c r="E23" s="34" t="inlineStr">
        <is>
          <t>Los datos NO son específicos de este bloque</t>
        </is>
      </c>
    </row>
    <row r="24" ht="48" customHeight="1">
      <c r="A24" s="32" t="inlineStr">
        <is>
          <t>D-15</t>
        </is>
      </c>
      <c r="B24" s="32" t="inlineStr">
        <is>
          <t>F-DT-03</t>
        </is>
      </c>
      <c r="C24" s="32" t="inlineStr">
        <is>
          <t>Solo 7 taxones registrados frente al mínimo de 15 exigido</t>
        </is>
      </c>
      <c r="D24" s="33" t="inlineStr">
        <is>
          <t>SUSTANTIVA</t>
        </is>
      </c>
      <c r="E24" s="32" t="inlineStr">
        <is>
          <t>Inventario florístico incompleto</t>
        </is>
      </c>
    </row>
    <row r="25" ht="48" customHeight="1">
      <c r="A25" s="34" t="inlineStr">
        <is>
          <t>D-16</t>
        </is>
      </c>
      <c r="B25" s="34" t="inlineStr">
        <is>
          <t>F-DT-04</t>
        </is>
      </c>
      <c r="C25" s="34" t="inlineStr">
        <is>
          <t>Densidad de cárcavas 1 N.°/ha frente a inventario de 0 cárcavas; % pendiente &gt;50% = 35% calificado «Bajo»</t>
        </is>
      </c>
      <c r="D25" s="33" t="inlineStr">
        <is>
          <t>SUSTANTIVA</t>
        </is>
      </c>
      <c r="E25" s="34" t="inlineStr">
        <is>
          <t>Inconsistencias internas a resolver</t>
        </is>
      </c>
    </row>
    <row r="26" ht="48" customHeight="1">
      <c r="A26" s="32" t="inlineStr">
        <is>
          <t>D-17</t>
        </is>
      </c>
      <c r="B26" s="32" t="inlineStr">
        <is>
          <t>F-DT-05</t>
        </is>
      </c>
      <c r="C26" s="32" t="inlineStr">
        <is>
          <t>Sin ficha F-DT-05 en el ANEXO 01</t>
        </is>
      </c>
      <c r="D26" s="33" t="inlineStr">
        <is>
          <t>SUSTANTIVA</t>
        </is>
      </c>
      <c r="E26" s="32" t="inlineStr">
        <is>
          <t>Inventario hídrico y accesibilidad por completar</t>
        </is>
      </c>
    </row>
    <row r="28">
      <c r="A28" s="16" t="inlineStr">
        <is>
          <t>RESUMEN</t>
        </is>
      </c>
      <c r="B28" s="17" t="inlineStr">
        <is>
          <t>17 verificaciones</t>
        </is>
      </c>
      <c r="C28" s="17" t="inlineStr">
        <is>
          <t>CONFORME: 2 · NO SUSTANTIVA: 3 · SUSTANTIVA: 12</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M4B4 — IN Piura</dc:title>
  <dc:subject>Diagnóstico Territorial por bloque de intervención</dc:subject>
  <dcterms:created xsi:type="dcterms:W3CDTF">2026-09-08T03:39:59Z</dcterms:created>
  <dcterms:modified xsi:type="dcterms:W3CDTF">2026-09-08T03:39:59Z</dcterms:modified>
</cp:coreProperties>
</file>