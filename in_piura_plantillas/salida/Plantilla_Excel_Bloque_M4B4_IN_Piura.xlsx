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M4B4</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Hualcas I y II (Hualcas Alto)</t>
        </is>
      </c>
      <c r="C13" s="6" t="inlineStr">
        <is>
          <t>Comunidad campesina</t>
        </is>
      </c>
      <c r="D13" s="7" t="inlineStr">
        <is>
          <t>No consignada</t>
        </is>
      </c>
      <c r="E13" s="8" t="n"/>
      <c r="F13" s="8" t="n"/>
    </row>
    <row r="14">
      <c r="A14" s="6" t="inlineStr">
        <is>
          <t>Superficie de catálogo (V5/V6), ha</t>
        </is>
      </c>
      <c r="B14" s="7" t="n">
        <v>289.91</v>
      </c>
      <c r="C14" s="6" t="inlineStr">
        <is>
          <t>Fuente de superficie</t>
        </is>
      </c>
      <c r="D14" s="7" t="inlineStr">
        <is>
          <t>Catálogo maestro Bloques V5/V6</t>
        </is>
      </c>
      <c r="E14" s="8" t="n"/>
      <c r="F14" s="8" t="n"/>
    </row>
    <row r="15">
      <c r="A15" s="6" t="inlineStr">
        <is>
          <t>Centroide UTM ESTE (m)</t>
        </is>
      </c>
      <c r="B15" s="7" t="n">
        <v>642775</v>
      </c>
      <c r="C15" s="6" t="inlineStr">
        <is>
          <t>Centroide UTM NORTE (m)</t>
        </is>
      </c>
      <c r="D15" s="7" t="n">
        <v>9388574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314</v>
      </c>
      <c r="C19" s="6" t="inlineStr">
        <is>
          <t>Altitud máxima (msnm)</t>
        </is>
      </c>
      <c r="D19" s="7" t="n">
        <v>686</v>
      </c>
      <c r="E19" s="8" t="n"/>
      <c r="F19" s="8" t="n"/>
    </row>
    <row r="20">
      <c r="A20" s="6" t="inlineStr">
        <is>
          <t>Amplitud altitudinal (m)</t>
        </is>
      </c>
      <c r="B20" s="7" t="n">
        <v>372</v>
      </c>
      <c r="C20" s="6" t="inlineStr">
        <is>
          <t>Piso altitudinal dominante</t>
        </is>
      </c>
      <c r="D20" s="7" t="inlineStr">
        <is>
          <t>&lt;1000 m (Yunga)</t>
        </is>
      </c>
      <c r="E20" s="8" t="n"/>
      <c r="F20" s="8" t="n"/>
    </row>
    <row r="21">
      <c r="A21" s="6" t="inlineStr">
        <is>
          <t>Pendiente promedio (%)</t>
        </is>
      </c>
      <c r="B21" s="7" t="n">
        <v>16.23</v>
      </c>
      <c r="C21" s="6" t="inlineStr">
        <is>
          <t>Pendiente promedio (grados)</t>
        </is>
      </c>
      <c r="D21" s="7" t="n">
        <v>9.199999999999999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0.3198</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99.29 % del bloque BAJO el umbral (287.852 ha de 289.910 ha)</t>
        </is>
      </c>
      <c r="C29" s="6" t="inlineStr">
        <is>
          <t>NDVI mediana 2025 — clase modal</t>
        </is>
      </c>
      <c r="D29" s="7" t="inlineStr">
        <is>
          <t>Vegetación ligera (58.75 %)</t>
        </is>
      </c>
      <c r="E29" s="8" t="n"/>
      <c r="F29" s="8" t="n"/>
    </row>
    <row r="30">
      <c r="A30" s="6" t="inlineStr">
        <is>
          <t>MSAVI 2024 — superficie BAJO el umbral 0.4976 (ha)</t>
        </is>
      </c>
      <c r="B30" s="7" t="n">
        <v>287.852</v>
      </c>
      <c r="C30" s="6" t="inlineStr">
        <is>
          <t>MSAVI 2024 — % del bloque BAJO el umbral</t>
        </is>
      </c>
      <c r="D30" s="7" t="n">
        <v>99.29000000000001</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(M4B4.png)</t>
        </is>
      </c>
      <c r="E31" s="8" t="n"/>
      <c r="F31" s="8" t="n"/>
    </row>
    <row r="32" ht="18" customHeight="1">
      <c r="A32" s="6" t="inlineStr">
        <is>
          <t>Superficie clasificada NDVI 2025 (ha)</t>
        </is>
      </c>
      <c r="B32" s="7" t="n">
        <v>290</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150 ha (de 289.91 ha del bloque)</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65</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7</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t>
        </is>
      </c>
      <c r="C43" s="6" t="inlineStr">
        <is>
          <t>Fecha de evaluación</t>
        </is>
      </c>
      <c r="D43" s="7" t="inlineStr">
        <is>
          <t>2026-08-10</t>
        </is>
      </c>
      <c r="E43" s="8" t="n"/>
      <c r="F43" s="8" t="n"/>
    </row>
    <row r="44">
      <c r="A44" s="6" t="inlineStr">
        <is>
          <t>Hora de registro</t>
        </is>
      </c>
      <c r="B44" s="7" t="inlineStr">
        <is>
          <t>11:46 h</t>
        </is>
      </c>
      <c r="C44" s="6" t="inlineStr">
        <is>
          <t>Correlativo de ficha</t>
        </is>
      </c>
      <c r="D44" s="7" t="inlineStr">
        <is>
          <t>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No consignada en la ficha</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Baja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6" t="n"/>
      <c r="C56" s="36" t="n"/>
      <c r="D56" s="36" t="n"/>
      <c r="E56" s="36" t="n"/>
      <c r="F56" s="37"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2.0584</v>
      </c>
      <c r="C11" s="21" t="n">
        <v>0.71</v>
      </c>
      <c r="D11" s="13" t="inlineStr">
        <is>
          <t>Vigor moderado</t>
        </is>
      </c>
      <c r="E11" s="13" t="inlineStr">
        <is>
          <t>Sobre umbral</t>
        </is>
      </c>
    </row>
    <row r="12">
      <c r="A12" s="7" t="inlineStr">
        <is>
          <t>0.3813 - 0.4976</t>
        </is>
      </c>
      <c r="B12" s="18" t="n">
        <v>43.8054</v>
      </c>
      <c r="C12" s="19" t="n">
        <v>15.11</v>
      </c>
      <c r="D12" s="11" t="inlineStr">
        <is>
          <t>Vigor bajo</t>
        </is>
      </c>
      <c r="E12" s="11" t="inlineStr">
        <is>
          <t>BAJO umbral 0.4976</t>
        </is>
      </c>
    </row>
    <row r="13">
      <c r="A13" s="14" t="inlineStr">
        <is>
          <t>0.2650 - 0.3813</t>
        </is>
      </c>
      <c r="B13" s="29" t="n">
        <v>182.7302</v>
      </c>
      <c r="C13" s="28" t="n">
        <v>63.03</v>
      </c>
      <c r="D13" s="15" t="inlineStr">
        <is>
          <t>Vigor muy bajo</t>
        </is>
      </c>
      <c r="E13" s="15" t="inlineStr">
        <is>
          <t>BAJO umbral 0.4976</t>
        </is>
      </c>
    </row>
    <row r="14">
      <c r="A14" s="7" t="inlineStr">
        <is>
          <t>&lt;= 0.2650</t>
        </is>
      </c>
      <c r="B14" s="18" t="n">
        <v>61.316</v>
      </c>
      <c r="C14" s="19" t="n">
        <v>21.15</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0.319788</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6" t="n"/>
      <c r="C18" s="36" t="n"/>
      <c r="D18" s="36" t="n"/>
      <c r="E18" s="37"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2.9907</v>
      </c>
      <c r="C22" s="19" t="n">
        <v>1.03</v>
      </c>
      <c r="D22" s="11" t="inlineStr">
        <is>
          <t>Dosel continuo, matorral denso o mosaico agroforestal</t>
        </is>
      </c>
      <c r="E22" s="11" t="inlineStr"/>
    </row>
    <row r="23">
      <c r="A23" s="12" t="inlineStr">
        <is>
          <t>Vegetación mediana</t>
        </is>
      </c>
      <c r="B23" s="20" t="n">
        <v>114.0808</v>
      </c>
      <c r="C23" s="21" t="n">
        <v>39.34</v>
      </c>
      <c r="D23" s="13" t="inlineStr">
        <is>
          <t>Pastizal cultivado, matorral ralo, parcelas agrícolas</t>
        </is>
      </c>
      <c r="E23" s="13" t="inlineStr"/>
    </row>
    <row r="24">
      <c r="A24" s="7" t="inlineStr">
        <is>
          <t>Vegetación ligera</t>
        </is>
      </c>
      <c r="B24" s="18" t="n">
        <v>170.379</v>
      </c>
      <c r="C24" s="19" t="n">
        <v>58.75</v>
      </c>
      <c r="D24" s="11" t="inlineStr">
        <is>
          <t>Cobertura discontinua, suelo parcialmente expuesto</t>
        </is>
      </c>
      <c r="E24" s="11" t="inlineStr"/>
    </row>
    <row r="25">
      <c r="A25" s="12" t="inlineStr">
        <is>
          <t>Tierra desnuda</t>
        </is>
      </c>
      <c r="B25" s="20" t="n">
        <v>2.5494</v>
      </c>
      <c r="C25" s="21" t="n">
        <v>0.88</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289.91</v>
      </c>
      <c r="C27" s="25" t="inlineStr">
        <is>
          <t>—</t>
        </is>
      </c>
      <c r="D27" s="25" t="inlineStr">
        <is>
          <t>Desviación planimétrica frente al catálogo</t>
        </is>
      </c>
      <c r="E27" s="25" t="inlineStr">
        <is>
          <t>+0.03 %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1.03 % del polígono clasificado como «Vegetación alta» por el NDVI 2025; la observación de campo corresponde a una parcela o recorrido puntual y no es estadísticamente representativa de las 289.910 ha del bloque.</t>
        </is>
      </c>
      <c r="B29" s="36" t="n"/>
      <c r="C29" s="36" t="n"/>
      <c r="D29" s="36" t="n"/>
      <c r="E29" s="37"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M4B4</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1330</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642775</v>
      </c>
      <c r="C13" s="6" t="inlineStr">
        <is>
          <t>Centroide del bloque — UTM NORTE (m)</t>
        </is>
      </c>
      <c r="D13" s="7" t="n">
        <v>9388574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NOTA (D-01): el punto de muestreo (643 261 E · 9 389 812 N) se sitúa a ≈1.3 km al norte del centroide catastral, SOBRE EL BORDE SEPTENTRIONAL DEL POLÍGONO, Y ES COMPARTIDO CON LA FICHA DE M4B3.</t>
        </is>
      </c>
      <c r="B16" s="36" t="n"/>
      <c r="C16" s="36" t="n"/>
      <c r="D16" s="36" t="n"/>
      <c r="E16" s="36" t="n"/>
      <c r="F16" s="36" t="n"/>
      <c r="G16" s="37"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M4B4</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M4B4</t>
        </is>
      </c>
      <c r="B10" s="27" t="n">
        <v>289.91</v>
      </c>
      <c r="C10" s="28" t="n">
        <v>55.33</v>
      </c>
      <c r="D10" s="15" t="inlineStr">
        <is>
          <t>314 – 686</t>
        </is>
      </c>
      <c r="E10" s="15" t="n">
        <v>372</v>
      </c>
      <c r="F10" s="15" t="n">
        <v>16.23</v>
      </c>
      <c r="G10" s="29" t="n">
        <v>0.3198</v>
      </c>
      <c r="H10" s="28" t="n">
        <v>1.03</v>
      </c>
    </row>
    <row r="11">
      <c r="A11" s="12" t="inlineStr">
        <is>
          <t>M4B3</t>
        </is>
      </c>
      <c r="B11" s="30" t="n">
        <v>234.07</v>
      </c>
      <c r="C11" s="21" t="n">
        <v>44.67</v>
      </c>
      <c r="D11" s="13" t="inlineStr">
        <is>
          <t>367 – 682</t>
        </is>
      </c>
      <c r="E11" s="13" t="n">
        <v>315</v>
      </c>
      <c r="F11" s="13" t="n">
        <v>17.22</v>
      </c>
      <c r="G11" s="20" t="n">
        <v>0.3222</v>
      </c>
      <c r="H11" s="21" t="n">
        <v>1.97</v>
      </c>
    </row>
    <row r="12">
      <c r="A12" s="16" t="inlineStr">
        <is>
          <t>TOTAL / PROMEDIO</t>
        </is>
      </c>
      <c r="B12" s="31">
        <f>SUM(B10:B11)</f>
        <v/>
      </c>
      <c r="C12" s="23">
        <f>SUM(C10:C11)</f>
        <v/>
      </c>
      <c r="D12" s="17" t="inlineStr">
        <is>
          <t>314 – 686</t>
        </is>
      </c>
      <c r="E12" s="17" t="inlineStr"/>
      <c r="F12" s="17">
        <f>ROUND(AVERAGE(F10:F11),2)</f>
        <v/>
      </c>
      <c r="G12" s="22">
        <f>ROUND(AVERAGE(G10:G11),4)</f>
        <v/>
      </c>
      <c r="H12" s="23">
        <f>ROUND(AVERAGE(H10:H11),2)</f>
        <v/>
      </c>
    </row>
    <row r="14" ht="84" customHeight="1">
      <c r="A14" s="9" t="inlineStr">
        <is>
          <t>LECTURA INTRAMICROCUENCA. El bloque M4B4 ocupa el puesto 1 de 2 por superficie dentro de la microcuenca C1076-Q9589 (55.33 % de las 523.98 ha preliminares de la microcuenca). Su pendiente promedio (16.23 %, clase «15-25% (Fuert. inclinado)») es la 1.ª más baja de 2 y se sitúa por debajo del promedio de la microcuenca (16.73 %). Su MSAVI 2024 (0.3198) es el 2.º de 2 y queda por debajo del promedio local (0.3210). Amplitud altitudinal del bloque: 372 m (314–686 msnm). El cuadro conserva todos los bloques catalogados en la microcuenca, incluidos los descartados en el tamizaje, para referencia del conjunto. Los bloques sin ficha DT figuran con sus parámetros de gabinete.</t>
        </is>
      </c>
      <c r="B14" s="36" t="n"/>
      <c r="C14" s="36" t="n"/>
      <c r="D14" s="36" t="n"/>
      <c r="E14" s="36" t="n"/>
      <c r="F14" s="36" t="n"/>
      <c r="G14" s="36" t="n"/>
      <c r="H14" s="37"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6" t="n"/>
      <c r="C16" s="36" t="n"/>
      <c r="D16" s="36" t="n"/>
      <c r="E16" s="36" t="n"/>
      <c r="F16" s="36" t="n"/>
      <c r="G16" s="36" t="n"/>
      <c r="H16" s="37"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M4B4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C1076-Q9589)»; el catálogo maestro V5/V6 asigna el bloque a «C1076-Q9589»</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(643261 E / 9389812 N) dista 1,330 m del centroide de catálogo (642775 E / 9388574 N), distancia incompatible con la superficie del bloque (289.91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(290.000 ha) coincide con la de catálogo (289.91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16.23 %,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99.12 %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«Hualcas I y II (Hualcas Alto)»; el cruce INEI-Bloques V5 identifica 2 centro(s) poblado(s) en el bloque: HUALCAS I, HUALCAS II</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M4B4 la microcuenca C1076-Q9589</t>
        </is>
      </c>
      <c r="D19" s="33" t="inlineStr">
        <is>
          <t>SUSTANTIVA</t>
        </is>
      </c>
      <c r="E19" s="34" t="inlineStr">
        <is>
          <t>Valor por defecto de la plantilla; se conserva el del catálogo</t>
        </is>
      </c>
    </row>
    <row r="20" ht="48" customHeight="1">
      <c r="A20" s="32" t="inlineStr">
        <is>
          <t>D-11</t>
        </is>
      </c>
      <c r="B20" s="32" t="inlineStr">
        <is>
          <t>F-DT-01</t>
        </is>
      </c>
      <c r="C20" s="32" t="inlineStr">
        <is>
          <t>D-01: el punto de muestreo está a ≈1.3 km al norte del centroide, sobre el borde septentrional, y es COMPARTIDO con la ficha de M4B3</t>
        </is>
      </c>
      <c r="D20" s="33" t="inlineStr">
        <is>
          <t>SUSTANTIVA</t>
        </is>
      </c>
      <c r="E20" s="32" t="inlineStr">
        <is>
          <t>Una sola estación sirvió a tres bloques distintos</t>
        </is>
      </c>
    </row>
    <row r="21" ht="48" customHeight="1">
      <c r="A21" s="34" t="inlineStr">
        <is>
          <t>D-12</t>
        </is>
      </c>
      <c r="B21" s="34" t="inlineStr">
        <is>
          <t>F-DT-01</t>
        </is>
      </c>
      <c r="C21" s="34" t="inlineStr">
        <is>
          <t>Afloramientos rocosos consignados «No» pese a que la narrativa describe afloramiento rocoso y rocas semienterradas</t>
        </is>
      </c>
      <c r="D21" s="15" t="inlineStr">
        <is>
          <t>NO SUSTANTIVA</t>
        </is>
      </c>
      <c r="E21" s="34" t="inlineStr">
        <is>
          <t>Inconsistencia interna a corregir</t>
        </is>
      </c>
    </row>
    <row r="22" ht="48" customHeight="1">
      <c r="A22" s="32" t="inlineStr">
        <is>
          <t>D-13</t>
        </is>
      </c>
      <c r="B22" s="32" t="inlineStr">
        <is>
          <t>F-DT-02</t>
        </is>
      </c>
      <c r="C22" s="32" t="inlineStr">
        <is>
          <t>Sin ficha F-DT-02 firmada en el ANEXO 01; inventario de cárcavas pendiente</t>
        </is>
      </c>
      <c r="D22" s="33" t="inlineStr">
        <is>
          <t>SUSTANTIVA</t>
        </is>
      </c>
      <c r="E22" s="32" t="inlineStr">
        <is>
          <t>Levantamiento pendiente</t>
        </is>
      </c>
    </row>
    <row r="23" ht="48" customHeight="1">
      <c r="A23" s="34" t="inlineStr">
        <is>
          <t>D-14</t>
        </is>
      </c>
      <c r="B23" s="34" t="inlineStr">
        <is>
          <t>F-DT-03</t>
        </is>
      </c>
      <c r="C23" s="34" t="inlineStr">
        <is>
          <t>D-02: valores estructurales idénticos a M4B3 y muy próximos a M12B1, a la misma hora — estimación visual global no diferenciada</t>
        </is>
      </c>
      <c r="D23" s="33" t="inlineStr">
        <is>
          <t>SUSTANTIVA</t>
        </is>
      </c>
      <c r="E23" s="34" t="inlineStr">
        <is>
          <t>Los datos NO son específicos de este bloque</t>
        </is>
      </c>
    </row>
    <row r="24" ht="48" customHeight="1">
      <c r="A24" s="32" t="inlineStr">
        <is>
          <t>D-15</t>
        </is>
      </c>
      <c r="B24" s="32" t="inlineStr">
        <is>
          <t>F-DT-03</t>
        </is>
      </c>
      <c r="C24" s="32" t="inlineStr">
        <is>
          <t>Solo 7 taxones registrados frente al mínimo de 15 exigido</t>
        </is>
      </c>
      <c r="D24" s="33" t="inlineStr">
        <is>
          <t>SUSTANTIVA</t>
        </is>
      </c>
      <c r="E24" s="32" t="inlineStr">
        <is>
          <t>Inventario florístico incompleto</t>
        </is>
      </c>
    </row>
    <row r="25" ht="48" customHeight="1">
      <c r="A25" s="34" t="inlineStr">
        <is>
          <t>D-16</t>
        </is>
      </c>
      <c r="B25" s="34" t="inlineStr">
        <is>
          <t>F-DT-04</t>
        </is>
      </c>
      <c r="C25" s="34" t="inlineStr">
        <is>
          <t>Densidad de cárcavas 1 N.°/ha frente a inventario de 0 cárcavas; % pendiente &gt;50% = 35% calificado «Bajo»</t>
        </is>
      </c>
      <c r="D25" s="33" t="inlineStr">
        <is>
          <t>SUSTANTIVA</t>
        </is>
      </c>
      <c r="E25" s="34" t="inlineStr">
        <is>
          <t>Inconsistencias internas a resolver</t>
        </is>
      </c>
    </row>
    <row r="26" ht="48" customHeight="1">
      <c r="A26" s="32" t="inlineStr">
        <is>
          <t>D-17</t>
        </is>
      </c>
      <c r="B26" s="32" t="inlineStr">
        <is>
          <t>F-DT-05</t>
        </is>
      </c>
      <c r="C26" s="32" t="inlineStr">
        <is>
          <t>Sin ficha F-DT-05 en el ANEXO 01</t>
        </is>
      </c>
      <c r="D26" s="33" t="inlineStr">
        <is>
          <t>SUSTANTIVA</t>
        </is>
      </c>
      <c r="E26" s="32" t="inlineStr">
        <is>
          <t>Inventario hídrico y accesibilidad por completar</t>
        </is>
      </c>
    </row>
    <row r="27">
      <c r="A27" s="32" t="inlineStr">
        <is>
          <t>D-18</t>
        </is>
      </c>
      <c r="B27" s="32" t="inlineStr">
        <is>
          <t>Distribución areal de clases MSAVI 2024</t>
        </is>
      </c>
      <c r="C27" s="32" t="inlineStr">
        <is>
          <t>La hoja «Cobertura MSAVI-NDVI» consignaba «Por determinar» en la distribución areal de clases MSAVI 2024; se incorpora el metrado por clase medido sobre la cartografía temática MSAVI 2024 del bloque: 99.29 % del bloque (287.852 ha) bajo el umbral 0.4976 y 0.71 % sobre el umbral; clase areal dominante «Vigor muy bajo».</t>
        </is>
      </c>
      <c r="D27" s="33" t="inlineStr">
        <is>
          <t>CORREGIDO</t>
        </is>
      </c>
      <c r="E27" s="32"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2 · NO SUSTANTIVA: 3 · SUSTANTIVA: 12 · CORREGIDO: 1</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6" t="n"/>
      <c r="C31" s="36" t="n"/>
      <c r="D31" s="36" t="n"/>
      <c r="E31" s="37"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M4B4 — IN Piura</dc:title>
  <dc:subject>Diagnóstico Territorial por bloque de intervención</dc:subject>
  <dcterms:created xsi:type="dcterms:W3CDTF">2026-09-08T03:39:59Z</dcterms:created>
  <dcterms:modified xsi:type="dcterms:W3CDTF">2026-09-09T14:49:46Z</dcterms:modified>
</cp:coreProperties>
</file>