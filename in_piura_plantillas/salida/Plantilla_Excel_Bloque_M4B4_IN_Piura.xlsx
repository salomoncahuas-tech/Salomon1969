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M4B4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M4B4</t>
        </is>
      </c>
      <c r="C9" s="6" t="inlineStr">
        <is>
          <t>Microcuenca (catálogo)</t>
        </is>
      </c>
      <c r="D9" s="7" t="inlineStr">
        <is>
          <t>C1076-Q9589</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C1076-Q9589)</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Hualcas I y II (Hualcas Alto)</t>
        </is>
      </c>
      <c r="C13" s="6" t="inlineStr">
        <is>
          <t>Comunidad campesina</t>
        </is>
      </c>
      <c r="D13" s="7" t="inlineStr">
        <is>
          <t>No consignada</t>
        </is>
      </c>
      <c r="E13" s="8" t="n"/>
      <c r="F13" s="8" t="n"/>
    </row>
    <row r="14">
      <c r="A14" s="6" t="inlineStr">
        <is>
          <t>Superficie de catálogo (V5/V6), ha</t>
        </is>
      </c>
      <c r="B14" s="7" t="n">
        <v>289.91</v>
      </c>
      <c r="C14" s="6" t="inlineStr">
        <is>
          <t>Fuente de superficie</t>
        </is>
      </c>
      <c r="D14" s="7" t="inlineStr">
        <is>
          <t>Catálogo maestro Bloques V5/V6</t>
        </is>
      </c>
      <c r="E14" s="8" t="n"/>
      <c r="F14" s="8" t="n"/>
    </row>
    <row r="15">
      <c r="A15" s="6" t="inlineStr">
        <is>
          <t>Centroide UTM ESTE (m)</t>
        </is>
      </c>
      <c r="B15" s="7" t="n">
        <v>642775</v>
      </c>
      <c r="C15" s="6" t="inlineStr">
        <is>
          <t>Centroide UTM NORTE (m)</t>
        </is>
      </c>
      <c r="D15" s="7" t="n">
        <v>9388574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314</v>
      </c>
      <c r="C19" s="6" t="inlineStr">
        <is>
          <t>Altitud máxima (msnm)</t>
        </is>
      </c>
      <c r="D19" s="7" t="n">
        <v>686</v>
      </c>
      <c r="E19" s="8" t="n"/>
      <c r="F19" s="8" t="n"/>
    </row>
    <row r="20">
      <c r="A20" s="6" t="inlineStr">
        <is>
          <t>Amplitud altitudinal (m)</t>
        </is>
      </c>
      <c r="B20" s="7" t="n">
        <v>372</v>
      </c>
      <c r="C20" s="6" t="inlineStr">
        <is>
          <t>Piso altitudinal dominante</t>
        </is>
      </c>
      <c r="D20" s="7" t="inlineStr">
        <is>
          <t>&lt;1000 m (Yunga)</t>
        </is>
      </c>
      <c r="E20" s="8" t="n"/>
      <c r="F20" s="8" t="n"/>
    </row>
    <row r="21">
      <c r="A21" s="6" t="inlineStr">
        <is>
          <t>Pendiente promedio (%)</t>
        </is>
      </c>
      <c r="B21" s="7" t="n">
        <v>16.23</v>
      </c>
      <c r="C21" s="6" t="inlineStr">
        <is>
          <t>Pendiente promedio (grados)</t>
        </is>
      </c>
      <c r="D21" s="7" t="n">
        <v>9.199999999999999</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0.3198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(58.75 %)</t>
        </is>
      </c>
      <c r="E29" s="8" t="n"/>
      <c r="F29" s="8" t="n"/>
    </row>
    <row r="30">
      <c r="A30" s="6" t="inlineStr">
        <is>
          <t>Superficie clasificada NDVI 2025 (ha)</t>
        </is>
      </c>
      <c r="B30" s="7" t="n">
        <v>290</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150 ha (de 289.91 ha del bloque)</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65</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7</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Domínguez</t>
        </is>
      </c>
      <c r="C41" s="6" t="inlineStr">
        <is>
          <t>Fecha de evaluación</t>
        </is>
      </c>
      <c r="D41" s="7" t="inlineStr">
        <is>
          <t>2026-08-10</t>
        </is>
      </c>
      <c r="E41" s="8" t="n"/>
      <c r="F41" s="8" t="n"/>
    </row>
    <row r="42">
      <c r="A42" s="6" t="inlineStr">
        <is>
          <t>Hora de registro</t>
        </is>
      </c>
      <c r="B42" s="7" t="inlineStr">
        <is>
          <t>11:46 h</t>
        </is>
      </c>
      <c r="C42" s="6" t="inlineStr">
        <is>
          <t>Correlativo de ficha</t>
        </is>
      </c>
      <c r="D42" s="7" t="inlineStr">
        <is>
          <t>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la ficha</t>
        </is>
      </c>
      <c r="C48" s="6" t="inlineStr">
        <is>
          <t>Velocidad de degradación</t>
        </is>
      </c>
      <c r="D48" s="7" t="inlineStr">
        <is>
          <t>Lenta</t>
        </is>
      </c>
      <c r="E48" s="8" t="n"/>
      <c r="F48" s="8" t="n"/>
    </row>
    <row r="49">
      <c r="A49" s="6" t="inlineStr">
        <is>
          <t>Reversibilidad técnica</t>
        </is>
      </c>
      <c r="B49" s="7" t="inlineStr">
        <is>
          <t>Totalmente reversible</t>
        </is>
      </c>
      <c r="C49" s="6" t="inlineStr">
        <is>
          <t>Urgencia de intervención</t>
        </is>
      </c>
      <c r="D49" s="7" t="inlineStr">
        <is>
          <t>Baja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M4B4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0.319788</v>
      </c>
      <c r="C15" s="17" t="inlineStr">
        <is>
          <t>—</t>
        </is>
      </c>
      <c r="D15" s="17" t="inlineStr">
        <is>
          <t>Vigor muy bajo · clase 0.2650 - 0.3813</t>
        </is>
      </c>
      <c r="E15" s="17" t="inlineStr">
        <is>
          <t>BAJO umbral 0.4976</t>
        </is>
      </c>
    </row>
    <row r="17" ht="72" customHeight="1">
      <c r="A17" s="9" t="inlineStr">
        <is>
          <t>NOTA METODOLÓGICA. La media del MSAVI 2024 del bloque (0.319788)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2.9907</v>
      </c>
      <c r="C21" s="19" t="n">
        <v>1.03</v>
      </c>
      <c r="D21" s="11" t="inlineStr">
        <is>
          <t>Dosel continuo, matorral denso o mosaico agroforestal</t>
        </is>
      </c>
      <c r="E21" s="11" t="inlineStr"/>
    </row>
    <row r="22">
      <c r="A22" s="12" t="inlineStr">
        <is>
          <t>Vegetación mediana</t>
        </is>
      </c>
      <c r="B22" s="20" t="n">
        <v>114.0808</v>
      </c>
      <c r="C22" s="21" t="n">
        <v>39.34</v>
      </c>
      <c r="D22" s="13" t="inlineStr">
        <is>
          <t>Pastizal cultivado, matorral ralo, parcelas agrícolas</t>
        </is>
      </c>
      <c r="E22" s="13" t="inlineStr"/>
    </row>
    <row r="23">
      <c r="A23" s="7" t="inlineStr">
        <is>
          <t>Vegetación ligera</t>
        </is>
      </c>
      <c r="B23" s="18" t="n">
        <v>170.379</v>
      </c>
      <c r="C23" s="19" t="n">
        <v>58.75</v>
      </c>
      <c r="D23" s="11" t="inlineStr">
        <is>
          <t>Cobertura discontinua, suelo parcialmente expuesto</t>
        </is>
      </c>
      <c r="E23" s="11" t="inlineStr"/>
    </row>
    <row r="24">
      <c r="A24" s="12" t="inlineStr">
        <is>
          <t>Tierra desnuda</t>
        </is>
      </c>
      <c r="B24" s="20" t="n">
        <v>2.5494</v>
      </c>
      <c r="C24" s="21" t="n">
        <v>0.88</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289.91</v>
      </c>
      <c r="C26" s="25" t="inlineStr">
        <is>
          <t>—</t>
        </is>
      </c>
      <c r="D26" s="25" t="inlineStr">
        <is>
          <t>Desviación planimétrica frente al catálogo</t>
        </is>
      </c>
      <c r="E26" s="25" t="inlineStr">
        <is>
          <t>+0.03 %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1.03 % del polígono clasificado como «Vegetación alta» por el NDVI 2025; la observación de campo corresponde a una parcela o recorrido puntual y no es estadísticamente representativa de las 289.910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M4B4</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643261</v>
      </c>
      <c r="D10" s="26" t="n">
        <v>9389812</v>
      </c>
      <c r="E10" s="11" t="n">
        <v>1330</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642775</v>
      </c>
      <c r="C13" s="6" t="inlineStr">
        <is>
          <t>Centroide del bloque — UTM NORTE (m)</t>
        </is>
      </c>
      <c r="D13" s="7" t="n">
        <v>9388574</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≈300 msnm. Presenta AFLORAMIENTO ROCOSO, abundantes rocas semienterradas y piedras medianas a grandes dispersas (pese a que el campo de lista consigna «No»).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NOTA (D-01): el punto de muestreo (643 261 E · 9 389 812 N) se sitúa a ≈1.3 km al norte del centroide catastral, SOBRE EL BORDE SEPTENTRIONAL DEL POLÍGONO, Y ES COMPARTIDO CON LA FICHA DE M4B3.</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C1076-Q9589 — BLOQUE M4B4</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C1076-Q9589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M4B4</t>
        </is>
      </c>
      <c r="B10" s="27" t="n">
        <v>289.91</v>
      </c>
      <c r="C10" s="28" t="n">
        <v>55.33</v>
      </c>
      <c r="D10" s="15" t="inlineStr">
        <is>
          <t>314 – 686</t>
        </is>
      </c>
      <c r="E10" s="15" t="n">
        <v>372</v>
      </c>
      <c r="F10" s="15" t="n">
        <v>16.23</v>
      </c>
      <c r="G10" s="29" t="n">
        <v>0.3198</v>
      </c>
      <c r="H10" s="28" t="n">
        <v>1.03</v>
      </c>
    </row>
    <row r="11">
      <c r="A11" s="12" t="inlineStr">
        <is>
          <t>M4B3</t>
        </is>
      </c>
      <c r="B11" s="30" t="n">
        <v>234.07</v>
      </c>
      <c r="C11" s="21" t="n">
        <v>44.67</v>
      </c>
      <c r="D11" s="13" t="inlineStr">
        <is>
          <t>367 – 682</t>
        </is>
      </c>
      <c r="E11" s="13" t="n">
        <v>315</v>
      </c>
      <c r="F11" s="13" t="n">
        <v>17.22</v>
      </c>
      <c r="G11" s="20" t="n">
        <v>0.3222</v>
      </c>
      <c r="H11" s="21" t="n">
        <v>1.97</v>
      </c>
    </row>
    <row r="12">
      <c r="A12" s="16" t="inlineStr">
        <is>
          <t>TOTAL / PROMEDIO</t>
        </is>
      </c>
      <c r="B12" s="31">
        <f>SUM(B10:B11)</f>
        <v/>
      </c>
      <c r="C12" s="23">
        <f>SUM(C10:C11)</f>
        <v/>
      </c>
      <c r="D12" s="17" t="inlineStr">
        <is>
          <t>314 – 686</t>
        </is>
      </c>
      <c r="E12" s="17" t="inlineStr"/>
      <c r="F12" s="17">
        <f>ROUND(AVERAGE(F10:F11),2)</f>
        <v/>
      </c>
      <c r="G12" s="22">
        <f>ROUND(AVERAGE(G10:G11),4)</f>
        <v/>
      </c>
      <c r="H12" s="23">
        <f>ROUND(AVERAGE(H10:H11),2)</f>
        <v/>
      </c>
    </row>
    <row r="14" ht="84" customHeight="1">
      <c r="A14" s="9" t="inlineStr">
        <is>
          <t>LECTURA INTRAMICROCUENCA. El bloque M4B4 ocupa el puesto 1 de 2 por superficie dentro de la microcuenca C1076-Q9589 (55.33 % de las 523.98 ha preliminares de la microcuenca). Su pendiente promedio (16.23 %, clase «15-25% (Fuert. inclinado)») es la 1.ª más baja de 2 y se sitúa por debajo del promedio de la microcuenca (16.73 %). Su MSAVI 2024 (0.3198) es el 2.º de 2 y queda por debajo del promedio local (0.3210). Amplitud altitudinal del bloque: 372 m (314–686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M4B4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(según ficha — valor por defecto de plantilla; catálogo: C1076-Q9589)»; el catálogo maestro V5/V6 asigna el bloque a «C1076-Q9589»</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El punto de muestreo declarado (643261 E / 9389812 N) dista 1,330 m del centroide de catálogo (642775 E / 9388574 N), distancia incompatible con la superficie del bloque (289.91 ha)</t>
        </is>
      </c>
      <c r="D11" s="33"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(290.000 ha) coincide con la de catálogo (289.91 ha) dentro del ±2 % (+0.03 %)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16.23 %,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65 % de cobertura vegetal en campo; el NDVI mediana 2025 clasifica 99.12 % del polígono en clases de vegetación</t>
        </is>
      </c>
      <c r="D14" s="15"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7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3"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«Hualcas I y II (Hualcas Alto)»; el cruce INEI-Bloques V5 identifica 2 centro(s) poblado(s) en el bloque: HUALCAS I, HUALCAS II</t>
        </is>
      </c>
      <c r="D17" s="35"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3"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Ficha DT</t>
        </is>
      </c>
      <c r="C19" s="34" t="inlineStr">
        <is>
          <t>La ficha consigna microcuenca C1076-Q9584; el catálogo maestro asigna a M4B4 la microcuenca C1076-Q9589</t>
        </is>
      </c>
      <c r="D19" s="33" t="inlineStr">
        <is>
          <t>SUSTANTIVA</t>
        </is>
      </c>
      <c r="E19" s="34" t="inlineStr">
        <is>
          <t>Valor por defecto de la plantilla; se conserva el del catálogo</t>
        </is>
      </c>
    </row>
    <row r="20" ht="48" customHeight="1">
      <c r="A20" s="32" t="inlineStr">
        <is>
          <t>D-11</t>
        </is>
      </c>
      <c r="B20" s="32" t="inlineStr">
        <is>
          <t>F-DT-01</t>
        </is>
      </c>
      <c r="C20" s="32" t="inlineStr">
        <is>
          <t>D-01: el punto de muestreo está a ≈1.3 km al norte del centroide, sobre el borde septentrional, y es COMPARTIDO con la ficha de M4B3</t>
        </is>
      </c>
      <c r="D20" s="33" t="inlineStr">
        <is>
          <t>SUSTANTIVA</t>
        </is>
      </c>
      <c r="E20" s="32" t="inlineStr">
        <is>
          <t>Una sola estación sirvió a tres bloques distintos</t>
        </is>
      </c>
    </row>
    <row r="21" ht="48" customHeight="1">
      <c r="A21" s="34" t="inlineStr">
        <is>
          <t>D-12</t>
        </is>
      </c>
      <c r="B21" s="34" t="inlineStr">
        <is>
          <t>F-DT-01</t>
        </is>
      </c>
      <c r="C21" s="34" t="inlineStr">
        <is>
          <t>Afloramientos rocosos consignados «No» pese a que la narrativa describe afloramiento rocoso y rocas semienterradas</t>
        </is>
      </c>
      <c r="D21" s="15" t="inlineStr">
        <is>
          <t>NO SUSTANTIVA</t>
        </is>
      </c>
      <c r="E21" s="34" t="inlineStr">
        <is>
          <t>Inconsistencia interna a corregir</t>
        </is>
      </c>
    </row>
    <row r="22" ht="48" customHeight="1">
      <c r="A22" s="32" t="inlineStr">
        <is>
          <t>D-13</t>
        </is>
      </c>
      <c r="B22" s="32" t="inlineStr">
        <is>
          <t>F-DT-02</t>
        </is>
      </c>
      <c r="C22" s="32" t="inlineStr">
        <is>
          <t>Sin ficha F-DT-02 firmada en el ANEXO 01; inventario de cárcavas pendiente</t>
        </is>
      </c>
      <c r="D22" s="33" t="inlineStr">
        <is>
          <t>SUSTANTIVA</t>
        </is>
      </c>
      <c r="E22" s="32" t="inlineStr">
        <is>
          <t>Levantamiento pendiente</t>
        </is>
      </c>
    </row>
    <row r="23" ht="48" customHeight="1">
      <c r="A23" s="34" t="inlineStr">
        <is>
          <t>D-14</t>
        </is>
      </c>
      <c r="B23" s="34" t="inlineStr">
        <is>
          <t>F-DT-03</t>
        </is>
      </c>
      <c r="C23" s="34" t="inlineStr">
        <is>
          <t>D-02: valores estructurales idénticos a M4B3 y muy próximos a M12B1, a la misma hora — estimación visual global no diferenciada</t>
        </is>
      </c>
      <c r="D23" s="33" t="inlineStr">
        <is>
          <t>SUSTANTIVA</t>
        </is>
      </c>
      <c r="E23" s="34" t="inlineStr">
        <is>
          <t>Los datos NO son específicos de este bloque</t>
        </is>
      </c>
    </row>
    <row r="24" ht="48" customHeight="1">
      <c r="A24" s="32" t="inlineStr">
        <is>
          <t>D-15</t>
        </is>
      </c>
      <c r="B24" s="32" t="inlineStr">
        <is>
          <t>F-DT-03</t>
        </is>
      </c>
      <c r="C24" s="32" t="inlineStr">
        <is>
          <t>Solo 7 taxones registrados frente al mínimo de 15 exigido</t>
        </is>
      </c>
      <c r="D24" s="33" t="inlineStr">
        <is>
          <t>SUSTANTIVA</t>
        </is>
      </c>
      <c r="E24" s="32" t="inlineStr">
        <is>
          <t>Inventario florístico incompleto</t>
        </is>
      </c>
    </row>
    <row r="25" ht="48" customHeight="1">
      <c r="A25" s="34" t="inlineStr">
        <is>
          <t>D-16</t>
        </is>
      </c>
      <c r="B25" s="34" t="inlineStr">
        <is>
          <t>F-DT-04</t>
        </is>
      </c>
      <c r="C25" s="34" t="inlineStr">
        <is>
          <t>Densidad de cárcavas 1 N.°/ha frente a inventario de 0 cárcavas; % pendiente &gt;50% = 35% calificado «Bajo»</t>
        </is>
      </c>
      <c r="D25" s="33" t="inlineStr">
        <is>
          <t>SUSTANTIVA</t>
        </is>
      </c>
      <c r="E25" s="34" t="inlineStr">
        <is>
          <t>Inconsistencias internas a resolver</t>
        </is>
      </c>
    </row>
    <row r="26" ht="48" customHeight="1">
      <c r="A26" s="32" t="inlineStr">
        <is>
          <t>D-17</t>
        </is>
      </c>
      <c r="B26" s="32" t="inlineStr">
        <is>
          <t>F-DT-05</t>
        </is>
      </c>
      <c r="C26" s="32" t="inlineStr">
        <is>
          <t>Sin ficha F-DT-05 en el ANEXO 01</t>
        </is>
      </c>
      <c r="D26" s="33" t="inlineStr">
        <is>
          <t>SUSTANTIVA</t>
        </is>
      </c>
      <c r="E26" s="32" t="inlineStr">
        <is>
          <t>Inventario hídrico y accesibilidad por completar</t>
        </is>
      </c>
    </row>
    <row r="28">
      <c r="A28" s="16" t="inlineStr">
        <is>
          <t>RESUMEN</t>
        </is>
      </c>
      <c r="B28" s="17" t="inlineStr">
        <is>
          <t>17 verificaciones</t>
        </is>
      </c>
      <c r="C28" s="17" t="inlineStr">
        <is>
          <t>CONFORME: 2 · NO SUSTANTIVA: 3 · SUSTANTIVA: 12</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M4B4 — IN Piura</dc:title>
  <dc:subject>Diagnóstico Territorial por bloque de intervención</dc:subject>
  <dcterms:created xsi:type="dcterms:W3CDTF">2026-09-08T02:45:06Z</dcterms:created>
  <dcterms:modified xsi:type="dcterms:W3CDTF">2026-09-08T02:45:06Z</dcterms:modified>
</cp:coreProperties>
</file>