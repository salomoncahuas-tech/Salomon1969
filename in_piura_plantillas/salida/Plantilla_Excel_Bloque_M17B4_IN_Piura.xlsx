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
      <patternFill patternType="solid">
        <fgColor rgb="00C6E0B4"/>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M17B4</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M17B4</t>
        </is>
      </c>
      <c r="C9" s="6" t="inlineStr">
        <is>
          <t>Microcuenca (catálogo)</t>
        </is>
      </c>
      <c r="D9" s="7" t="inlineStr">
        <is>
          <t>C1096-Q9556</t>
        </is>
      </c>
      <c r="E9" s="8" t="n"/>
      <c r="F9" s="8" t="n"/>
    </row>
    <row r="10">
      <c r="A10" s="6" t="inlineStr">
        <is>
          <t>Zona de planificación</t>
        </is>
      </c>
      <c r="B10" s="7" t="inlineStr">
        <is>
          <t>Z01</t>
        </is>
      </c>
      <c r="C10" s="6" t="inlineStr">
        <is>
          <t>Microcuenca declarada en ficha DT</t>
        </is>
      </c>
      <c r="D10" s="7" t="inlineStr">
        <is>
          <t>C1076-Q9584 (según ficha — valor por defecto de plantilla; catálogo: C1096-Q9556)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Chulucanas</t>
        </is>
      </c>
      <c r="C12" s="6" t="inlineStr">
        <is>
          <t>Capital distrital</t>
        </is>
      </c>
      <c r="D12" s="7" t="inlineStr">
        <is>
          <t>Chulucanas</t>
        </is>
      </c>
      <c r="E12" s="8" t="n"/>
      <c r="F12" s="8" t="n"/>
    </row>
    <row r="13">
      <c r="A13" s="6" t="inlineStr">
        <is>
          <t>Centro poblado asociado</t>
        </is>
      </c>
      <c r="B13" s="7" t="inlineStr">
        <is>
          <t>Chililique Alto</t>
        </is>
      </c>
      <c r="C13" s="6" t="inlineStr">
        <is>
          <t>Comunidad campesina</t>
        </is>
      </c>
      <c r="D13" s="7" t="inlineStr">
        <is>
          <t>Juan Velasco Alvarado de Chililique Alto; María Ángela Alvarado Zeta</t>
        </is>
      </c>
      <c r="E13" s="8" t="n"/>
      <c r="F13" s="8" t="n"/>
    </row>
    <row r="14">
      <c r="A14" s="6" t="inlineStr">
        <is>
          <t>Superficie de catálogo (V5/V6), ha</t>
        </is>
      </c>
      <c r="B14" s="7" t="n">
        <v>124.71</v>
      </c>
      <c r="C14" s="6" t="inlineStr">
        <is>
          <t>Fuente de superficie</t>
        </is>
      </c>
      <c r="D14" s="7" t="inlineStr">
        <is>
          <t>Catálogo maestro Bloques V5/V6</t>
        </is>
      </c>
      <c r="E14" s="8" t="n"/>
      <c r="F14" s="8" t="n"/>
    </row>
    <row r="15">
      <c r="A15" s="6" t="inlineStr">
        <is>
          <t>Centroide UTM ESTE (m)</t>
        </is>
      </c>
      <c r="B15" s="7" t="n">
        <v>604926</v>
      </c>
      <c r="C15" s="6" t="inlineStr">
        <is>
          <t>Centroide UTM NORTE (m)</t>
        </is>
      </c>
      <c r="D15" s="7" t="n">
        <v>9444327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294</v>
      </c>
      <c r="C19" s="6" t="inlineStr">
        <is>
          <t>Altitud máxima (msnm)</t>
        </is>
      </c>
      <c r="D19" s="7" t="n">
        <v>629</v>
      </c>
      <c r="E19" s="8" t="n"/>
      <c r="F19" s="8" t="n"/>
    </row>
    <row r="20">
      <c r="A20" s="6" t="inlineStr">
        <is>
          <t>Amplitud altitudinal (m)</t>
        </is>
      </c>
      <c r="B20" s="7" t="n">
        <v>335</v>
      </c>
      <c r="C20" s="6" t="inlineStr">
        <is>
          <t>Piso altitudinal dominante</t>
        </is>
      </c>
      <c r="D20" s="7" t="inlineStr">
        <is>
          <t>&lt;1000 m (Yunga)</t>
        </is>
      </c>
      <c r="E20" s="8" t="n"/>
      <c r="F20" s="8" t="n"/>
    </row>
    <row r="21">
      <c r="A21" s="6" t="inlineStr">
        <is>
          <t>Pendiente promedio (%)</t>
        </is>
      </c>
      <c r="B21" s="7" t="n">
        <v>18.69</v>
      </c>
      <c r="C21" s="6" t="inlineStr">
        <is>
          <t>Pendiente promedio (grados)</t>
        </is>
      </c>
      <c r="D21" s="7" t="n">
        <v>10.6</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Noroeste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0.4235</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(80.60 %)</t>
        </is>
      </c>
      <c r="E29" s="8" t="n"/>
      <c r="F29" s="8" t="n"/>
    </row>
    <row r="30">
      <c r="A30" s="6" t="inlineStr">
        <is>
          <t>Superficie clasificada NDVI 2025 (ha)</t>
        </is>
      </c>
      <c r="B30" s="7" t="n">
        <v>124.775</v>
      </c>
      <c r="C30" s="6" t="inlineStr">
        <is>
          <t>Desviación frente al catálogo (%)</t>
        </is>
      </c>
      <c r="D30" s="7" t="n">
        <v>0.05</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110 ha (de 124.71 ha del bloque)</t>
        </is>
      </c>
      <c r="E33" s="8" t="n"/>
      <c r="F33" s="8" t="n"/>
    </row>
    <row r="34">
      <c r="A34" s="6" t="inlineStr">
        <is>
          <t>Estado de conservación</t>
        </is>
      </c>
      <c r="B34" s="7" t="inlineStr">
        <is>
          <t>Levemente alterado</t>
        </is>
      </c>
      <c r="C34" s="6" t="inlineStr">
        <is>
          <t>Uso actual dominante del suelo</t>
        </is>
      </c>
      <c r="D34" s="7" t="inlineStr">
        <is>
          <t>Pastoreo extensivo</t>
        </is>
      </c>
      <c r="E34" s="8" t="n"/>
      <c r="F34" s="8" t="n"/>
    </row>
    <row r="35">
      <c r="A35" s="6" t="inlineStr">
        <is>
          <t>Tipo de cobertura dominante</t>
        </is>
      </c>
      <c r="B35" s="7" t="inlineStr">
        <is>
          <t>Bosque denso (&gt;70%)</t>
        </is>
      </c>
      <c r="C35" s="6" t="inlineStr">
        <is>
          <t>Cobertura vegetal total — campo (%)</t>
        </is>
      </c>
      <c r="D35" s="7" t="n">
        <v>90</v>
      </c>
      <c r="E35" s="8" t="n"/>
      <c r="F35" s="8" t="n"/>
    </row>
    <row r="36">
      <c r="A36" s="6" t="inlineStr">
        <is>
          <t>Suelo desnudo — campo (%)</t>
        </is>
      </c>
      <c r="B36" s="7" t="n">
        <v>5</v>
      </c>
      <c r="C36" s="6" t="inlineStr">
        <is>
          <t>Regeneración natural</t>
        </is>
      </c>
      <c r="D36" s="7" t="inlineStr">
        <is>
          <t>Regular (10-50 pl./100m²)</t>
        </is>
      </c>
      <c r="E36" s="8" t="n"/>
      <c r="F36" s="8" t="n"/>
    </row>
    <row r="37">
      <c r="A37" s="6" t="inlineStr">
        <is>
          <t>Nivel general de erosión</t>
        </is>
      </c>
      <c r="B37" s="7" t="inlineStr">
        <is>
          <t>FICHA F-DT-02 SIN CONTENIDO. Narrativa de F-DT-01: sin surcos ni cárcavas; erosión eólica ALTA por obras viales</t>
        </is>
      </c>
      <c r="C37" s="6" t="inlineStr">
        <is>
          <t>N.° de cárcavas registradas</t>
        </is>
      </c>
      <c r="D37" s="7" t="inlineStr">
        <is>
          <t>No inventariadas (F-DT-02 sin contenido)</t>
        </is>
      </c>
      <c r="E37" s="8" t="n"/>
      <c r="F37" s="8" t="n"/>
    </row>
    <row r="38">
      <c r="A38" s="6" t="inlineStr">
        <is>
          <t>Elenco florístico (n.° de taxones)</t>
        </is>
      </c>
      <c r="B38" s="7" t="n">
        <v>6</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Juan Domínguez</t>
        </is>
      </c>
      <c r="C41" s="6" t="inlineStr">
        <is>
          <t>Fecha de evaluación</t>
        </is>
      </c>
      <c r="D41" s="7" t="inlineStr">
        <is>
          <t>2026-07-03</t>
        </is>
      </c>
      <c r="E41" s="8" t="n"/>
      <c r="F41" s="8" t="n"/>
    </row>
    <row r="42">
      <c r="A42" s="6" t="inlineStr">
        <is>
          <t>Hora de registro</t>
        </is>
      </c>
      <c r="B42" s="7" t="inlineStr">
        <is>
          <t>15:43 h</t>
        </is>
      </c>
      <c r="C42" s="6" t="inlineStr">
        <is>
          <t>Correlativo de ficha</t>
        </is>
      </c>
      <c r="D42" s="7" t="inlineStr">
        <is>
          <t>Sin registro en ficha</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Sin registro en ficha</t>
        </is>
      </c>
      <c r="E44" s="8" t="n"/>
      <c r="F44" s="8" t="n"/>
    </row>
    <row r="45">
      <c r="A45" s="6" t="inlineStr">
        <is>
          <t>Estaciones fotográficas georreferenciadas</t>
        </is>
      </c>
      <c r="B45" s="7" t="n">
        <v>0</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No consignada en la ficha</t>
        </is>
      </c>
      <c r="C48" s="6" t="inlineStr">
        <is>
          <t>Velocidad de degradación</t>
        </is>
      </c>
      <c r="D48" s="7" t="inlineStr">
        <is>
          <t>Lenta</t>
        </is>
      </c>
      <c r="E48" s="8" t="n"/>
      <c r="F48" s="8" t="n"/>
    </row>
    <row r="49">
      <c r="A49" s="6" t="inlineStr">
        <is>
          <t>Reversibilidad técnica</t>
        </is>
      </c>
      <c r="B49" s="7" t="inlineStr">
        <is>
          <t>Totalmente reversible</t>
        </is>
      </c>
      <c r="C49" s="6" t="inlineStr">
        <is>
          <t>Urgencia de intervención</t>
        </is>
      </c>
      <c r="D49" s="7" t="inlineStr">
        <is>
          <t>Baja</t>
        </is>
      </c>
      <c r="E49" s="8" t="n"/>
      <c r="F49" s="8" t="n"/>
    </row>
    <row r="50">
      <c r="A50" s="6" t="inlineStr">
        <is>
          <t>Urgencia de control de erosión</t>
        </is>
      </c>
      <c r="B50" s="7" t="inlineStr">
        <is>
          <t>Por determinar</t>
        </is>
      </c>
      <c r="C50" s="6" t="inlineStr">
        <is>
          <t>Zona de recarga hídrica</t>
        </is>
      </c>
      <c r="D50" s="7" t="inlineStr">
        <is>
          <t>Sin registro en ficha</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M17B4</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14" t="inlineStr">
        <is>
          <t>0.3813 - 0.4976</t>
        </is>
      </c>
      <c r="B12" s="15" t="inlineStr">
        <is>
          <t>Por determinar</t>
        </is>
      </c>
      <c r="C12" s="15" t="inlineStr">
        <is>
          <t>Por determinar</t>
        </is>
      </c>
      <c r="D12" s="15" t="inlineStr">
        <is>
          <t>Vigor bajo</t>
        </is>
      </c>
      <c r="E12" s="15" t="inlineStr">
        <is>
          <t>BAJO umbral 0.4976</t>
        </is>
      </c>
    </row>
    <row r="13">
      <c r="A13" s="12" t="inlineStr">
        <is>
          <t>0.2650 - 0.3813</t>
        </is>
      </c>
      <c r="B13" s="13" t="inlineStr">
        <is>
          <t>Por determinar</t>
        </is>
      </c>
      <c r="C13" s="13" t="inlineStr">
        <is>
          <t>Por determinar</t>
        </is>
      </c>
      <c r="D13" s="13" t="inlineStr">
        <is>
          <t>Vigor muy bajo</t>
        </is>
      </c>
      <c r="E13" s="13"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0.423543</v>
      </c>
      <c r="C15" s="17" t="inlineStr">
        <is>
          <t>—</t>
        </is>
      </c>
      <c r="D15" s="17" t="inlineStr">
        <is>
          <t>Vigor bajo · clase 0.3813 - 0.4976</t>
        </is>
      </c>
      <c r="E15" s="17" t="inlineStr">
        <is>
          <t>BAJO umbral 0.4976</t>
        </is>
      </c>
    </row>
    <row r="17" ht="72" customHeight="1">
      <c r="A17" s="9" t="inlineStr">
        <is>
          <t>NOTA METODOLÓGICA. La media del MSAVI 2024 del bloque (0.423543)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4.9576</v>
      </c>
      <c r="C21" s="19" t="n">
        <v>3.97</v>
      </c>
      <c r="D21" s="11" t="inlineStr">
        <is>
          <t>Dosel continuo, matorral denso o mosaico agroforestal</t>
        </is>
      </c>
      <c r="E21" s="11" t="inlineStr"/>
    </row>
    <row r="22">
      <c r="A22" s="12" t="inlineStr">
        <is>
          <t>Vegetación mediana</t>
        </is>
      </c>
      <c r="B22" s="20" t="n">
        <v>100.5718</v>
      </c>
      <c r="C22" s="21" t="n">
        <v>80.59999999999999</v>
      </c>
      <c r="D22" s="13" t="inlineStr">
        <is>
          <t>Pastizal cultivado, matorral ralo, parcelas agrícolas</t>
        </is>
      </c>
      <c r="E22" s="13" t="inlineStr"/>
    </row>
    <row r="23">
      <c r="A23" s="7" t="inlineStr">
        <is>
          <t>Vegetación ligera</t>
        </is>
      </c>
      <c r="B23" s="18" t="n">
        <v>19.2221</v>
      </c>
      <c r="C23" s="19" t="n">
        <v>15.41</v>
      </c>
      <c r="D23" s="11" t="inlineStr">
        <is>
          <t>Cobertura discontinua, suelo parcialmente expuesto</t>
        </is>
      </c>
      <c r="E23" s="11" t="inlineStr"/>
    </row>
    <row r="24">
      <c r="A24" s="12" t="inlineStr">
        <is>
          <t>Tierra desnuda</t>
        </is>
      </c>
      <c r="B24" s="20" t="n">
        <v>0.0231</v>
      </c>
      <c r="C24" s="21" t="n">
        <v>0.02</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124.71</v>
      </c>
      <c r="C26" s="25" t="inlineStr">
        <is>
          <t>—</t>
        </is>
      </c>
      <c r="D26" s="25" t="inlineStr">
        <is>
          <t>Desviación planimétrica frente al catálogo</t>
        </is>
      </c>
      <c r="E26" s="25" t="inlineStr">
        <is>
          <t>+0.05 %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90 % frente a un 3.97 % del polígono clasificado como «Vegetación alta» por el NDVI 2025; la observación de campo corresponde a una parcela o recorrido puntual y no es estadísticamente representativa de las 124.710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M17B4</t>
        </is>
      </c>
    </row>
    <row r="6" ht="24" customHeight="1">
      <c r="A6" s="4" t="inlineStr">
        <is>
          <t>Levantamiento del 2026-07-03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65082.4</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604926</v>
      </c>
      <c r="C13" s="6" t="inlineStr">
        <is>
          <t>Centroide del bloque — UTM NORTE (m)</t>
        </is>
      </c>
      <c r="D13" s="7" t="n">
        <v>9444327</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56"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se caracteriza por LADERAS DE COLINAS BAJAS, con pendientes inferiores al 60% que se vuelven progresivamente más pronunciadas al ganar altitud. La cota media ronda los 230 msnm; en su sector inferior se localizan el CCPP y una vía afirmada. Presencia de piedras pequeñas y medianas. NO SE EVIDENCIARON SURCOS NI CÁRCAVAS EN FORMACIÓN. SIN EMBARGO, LA EROSIÓN EÓLICA ES ALTA EN LA ZONA DEBIDO A OBRAS EN LA VÍA AFIRMADA. EL BLOQUE BORDEA UNA VÍA AFIRMADA EN LA CUAL ACTUALMENTE SE ESTÁ CONSTRUYENDO LA CARRETERA CHULUCANAS-FRÍAS, POR LO QUE EXISTEN OBRAS DE PERFILADO DE TALUDES Y ENSANCHAMIENTO DE VÍAS, ADEMÁS DEL TRÁNSITO DE CAMIONES Y MAQUINARIA PESADA. ATENCIÓN: el UTM del punto de registro (645 575 · 9 393 500) es el valor por defecto de la plantilla; el centroide de catálogo es 604 926 · 9 444 330.</t>
        </is>
      </c>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C1096-Q9556 — BLOQUE M17B4</t>
        </is>
      </c>
    </row>
    <row r="6" ht="24" customHeight="1">
      <c r="A6" s="4" t="inlineStr">
        <is>
          <t>Distrito de Chulucanas · Provincia de Morropon · Comparación de los bloques preliminares de intervención de la misma microcuenca</t>
        </is>
      </c>
    </row>
    <row r="8" ht="18" customHeight="1">
      <c r="A8" s="5" t="inlineStr">
        <is>
          <t>BLOQUES DE LA MICROCUENCA C1096-Q9556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M17B7</t>
        </is>
      </c>
      <c r="B10" s="27" t="n">
        <v>258.84</v>
      </c>
      <c r="C10" s="19" t="n">
        <v>29.57</v>
      </c>
      <c r="D10" s="11" t="inlineStr">
        <is>
          <t>553 – 1517</t>
        </is>
      </c>
      <c r="E10" s="11" t="n">
        <v>964</v>
      </c>
      <c r="F10" s="11" t="n">
        <v>29.82</v>
      </c>
      <c r="G10" s="18" t="n">
        <v>0.5087</v>
      </c>
      <c r="H10" s="19" t="n">
        <v>58.63</v>
      </c>
    </row>
    <row r="11">
      <c r="A11" s="14" t="inlineStr">
        <is>
          <t>► M17B4</t>
        </is>
      </c>
      <c r="B11" s="28" t="n">
        <v>124.71</v>
      </c>
      <c r="C11" s="29" t="n">
        <v>14.25</v>
      </c>
      <c r="D11" s="15" t="inlineStr">
        <is>
          <t>294 – 629</t>
        </is>
      </c>
      <c r="E11" s="15" t="n">
        <v>335</v>
      </c>
      <c r="F11" s="15" t="n">
        <v>18.69</v>
      </c>
      <c r="G11" s="30" t="n">
        <v>0.4235</v>
      </c>
      <c r="H11" s="29" t="n">
        <v>3.97</v>
      </c>
    </row>
    <row r="12">
      <c r="A12" s="7" t="inlineStr">
        <is>
          <t>M17B6</t>
        </is>
      </c>
      <c r="B12" s="27" t="n">
        <v>106.54</v>
      </c>
      <c r="C12" s="19" t="n">
        <v>12.17</v>
      </c>
      <c r="D12" s="11" t="inlineStr">
        <is>
          <t>403 – 1049</t>
        </is>
      </c>
      <c r="E12" s="11" t="n">
        <v>646</v>
      </c>
      <c r="F12" s="11" t="n">
        <v>23.42</v>
      </c>
      <c r="G12" s="18" t="n">
        <v>0.4464</v>
      </c>
      <c r="H12" s="19" t="n">
        <v>18.53</v>
      </c>
    </row>
    <row r="13">
      <c r="A13" s="12" t="inlineStr">
        <is>
          <t>22</t>
        </is>
      </c>
      <c r="B13" s="31" t="n">
        <v>79.33</v>
      </c>
      <c r="C13" s="21" t="n">
        <v>9.06</v>
      </c>
      <c r="D13" s="13" t="inlineStr">
        <is>
          <t>235 – 596</t>
        </is>
      </c>
      <c r="E13" s="13" t="n">
        <v>361</v>
      </c>
      <c r="F13" s="13" t="n">
        <v>22.51</v>
      </c>
      <c r="G13" s="20" t="n">
        <v>0.4232</v>
      </c>
      <c r="H13" s="21" t="n">
        <v>0.32</v>
      </c>
    </row>
    <row r="14">
      <c r="A14" s="7" t="inlineStr">
        <is>
          <t>27</t>
        </is>
      </c>
      <c r="B14" s="27" t="n">
        <v>78.15000000000001</v>
      </c>
      <c r="C14" s="19" t="n">
        <v>8.93</v>
      </c>
      <c r="D14" s="11" t="inlineStr">
        <is>
          <t>1518 – 1895</t>
        </is>
      </c>
      <c r="E14" s="11" t="n">
        <v>377</v>
      </c>
      <c r="F14" s="11" t="n">
        <v>30.25</v>
      </c>
      <c r="G14" s="18" t="n">
        <v>0.5323</v>
      </c>
      <c r="H14" s="19" t="n">
        <v>64.75</v>
      </c>
    </row>
    <row r="15">
      <c r="A15" s="12" t="inlineStr">
        <is>
          <t>M17B10</t>
        </is>
      </c>
      <c r="B15" s="31" t="n">
        <v>75.36</v>
      </c>
      <c r="C15" s="21" t="n">
        <v>8.609999999999999</v>
      </c>
      <c r="D15" s="13" t="inlineStr">
        <is>
          <t>466 – 902</t>
        </is>
      </c>
      <c r="E15" s="13" t="n">
        <v>436</v>
      </c>
      <c r="F15" s="13" t="n">
        <v>25.94</v>
      </c>
      <c r="G15" s="20" t="n">
        <v>0.4725</v>
      </c>
      <c r="H15" s="21" t="n">
        <v>29.2</v>
      </c>
    </row>
    <row r="16">
      <c r="A16" s="7" t="inlineStr">
        <is>
          <t>M17B5</t>
        </is>
      </c>
      <c r="B16" s="27" t="n">
        <v>74.03</v>
      </c>
      <c r="C16" s="19" t="n">
        <v>8.460000000000001</v>
      </c>
      <c r="D16" s="11" t="inlineStr">
        <is>
          <t>794 – 1317</t>
        </is>
      </c>
      <c r="E16" s="11" t="n">
        <v>523</v>
      </c>
      <c r="F16" s="11" t="n">
        <v>27.42</v>
      </c>
      <c r="G16" s="18" t="n">
        <v>0.5482</v>
      </c>
      <c r="H16" s="19" t="n">
        <v>61.34</v>
      </c>
    </row>
    <row r="17">
      <c r="A17" s="12" t="inlineStr">
        <is>
          <t>M17B1</t>
        </is>
      </c>
      <c r="B17" s="31" t="n">
        <v>42.45</v>
      </c>
      <c r="C17" s="21" t="n">
        <v>4.85</v>
      </c>
      <c r="D17" s="13" t="inlineStr">
        <is>
          <t>177 – 313</t>
        </is>
      </c>
      <c r="E17" s="13" t="n">
        <v>136</v>
      </c>
      <c r="F17" s="13" t="n">
        <v>14.73</v>
      </c>
      <c r="G17" s="20" t="n">
        <v>0.3323</v>
      </c>
      <c r="H17" s="21" t="n">
        <v>0</v>
      </c>
    </row>
    <row r="18">
      <c r="A18" s="7" t="inlineStr">
        <is>
          <t>32</t>
        </is>
      </c>
      <c r="B18" s="27" t="n">
        <v>35.83</v>
      </c>
      <c r="C18" s="19" t="n">
        <v>4.09</v>
      </c>
      <c r="D18" s="11" t="inlineStr">
        <is>
          <t>197 – 269</t>
        </is>
      </c>
      <c r="E18" s="11" t="n">
        <v>72</v>
      </c>
      <c r="F18" s="11" t="n">
        <v>12.87</v>
      </c>
      <c r="G18" s="18" t="n">
        <v>0.3716</v>
      </c>
      <c r="H18" s="19" t="inlineStr">
        <is>
          <t>Por determinar</t>
        </is>
      </c>
    </row>
    <row r="19">
      <c r="A19" s="16" t="inlineStr">
        <is>
          <t>TOTAL / PROMEDIO</t>
        </is>
      </c>
      <c r="B19" s="32">
        <f>SUM(B10:B18)</f>
        <v/>
      </c>
      <c r="C19" s="23">
        <f>SUM(C10:C18)</f>
        <v/>
      </c>
      <c r="D19" s="17" t="inlineStr">
        <is>
          <t>177 – 1895</t>
        </is>
      </c>
      <c r="E19" s="17" t="inlineStr"/>
      <c r="F19" s="17">
        <f>ROUND(AVERAGE(F10:F18),2)</f>
        <v/>
      </c>
      <c r="G19" s="22">
        <f>ROUND(AVERAGE(G10:G18),4)</f>
        <v/>
      </c>
      <c r="H19" s="23">
        <f>ROUND(AVERAGE(H10:H18),2)</f>
        <v/>
      </c>
    </row>
    <row r="21" ht="84" customHeight="1">
      <c r="A21" s="9" t="inlineStr">
        <is>
          <t>LECTURA INTRAMICROCUENCA. El bloque M17B4 ocupa el puesto 2 de 9 por superficie dentro de la microcuenca C1096-Q9556 (14.25 % de las 875.24 ha preliminares de la microcuenca). Su pendiente promedio (18.69 %, clase «15-25% (Fuert. inclinado)») es la 3.ª más baja de 9 y se sitúa por debajo del promedio de la microcuenca (22.85 %). Su MSAVI 2024 (0.4235) es el 6.º de 9 y queda por debajo del promedio local (0.4510). Amplitud altitudinal del bloque: 335 m (294–629 msnm). El cuadro conserva todos los bloques catalogados en la microcuenca, incluidos los descartados en el tamizaje, para referencia del conjunto. Los bloques sin ficha DT figuran con sus parámetros de gabinete.</t>
        </is>
      </c>
    </row>
    <row r="23" ht="60" customHeight="1">
      <c r="A23"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1:H21"/>
    <mergeCell ref="A2:H2"/>
    <mergeCell ref="A5:H5"/>
    <mergeCell ref="A23:H23"/>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M17B4</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La ficha DT declara «C1076-Q9584 (según ficha — valor por defecto de plantilla; catálogo: C1096-Q9556)»; el catálogo maestro V5/V6 asigna el bloque a «C1096-Q9556»</t>
        </is>
      </c>
      <c r="D10" s="34" t="inlineStr">
        <is>
          <t>SUSTANTIVA</t>
        </is>
      </c>
      <c r="E10" s="33" t="inlineStr">
        <is>
          <t>Se conserva el código del catálogo maestro para todo cálculo intramicrocuenca. La declaración de la ficha debe corregirse en la siguiente versión del formato V5.</t>
        </is>
      </c>
    </row>
    <row r="11" ht="48" customHeight="1">
      <c r="A11" s="35" t="inlineStr">
        <is>
          <t>D-02</t>
        </is>
      </c>
      <c r="B11" s="35" t="inlineStr">
        <is>
          <t>UTM del punto de muestreo</t>
        </is>
      </c>
      <c r="C11" s="35" t="inlineStr">
        <is>
          <t>El punto de muestreo declarado (645575 E / 9393500 N) dista 65,082 m del centroide de catálogo (604926 E / 9444327 N), distancia incompatible con la superficie del bloque (124.71 ha)</t>
        </is>
      </c>
      <c r="D11" s="34"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(124.775 ha) coincide con la de catálogo (124.71 ha) dentro del ±2 % (+0.05 %)</t>
        </is>
      </c>
      <c r="D12" s="36"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la estadística zonal sobre el MDE arroja una pendiente promedio de 18.69 %, que corresponde a la clase «15-25% (Fuert. inclinado)»</t>
        </is>
      </c>
      <c r="D13" s="15"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Dimensiones del inventario de cárcavas</t>
        </is>
      </c>
      <c r="C14" s="33" t="inlineStr">
        <is>
          <t>Se registran No inventariadas (F-DT-02 sin contenido) rasgos erosivos, pero longitud, profundidad y ancho no fueron medidos instrumentalmente</t>
        </is>
      </c>
      <c r="D14" s="15" t="inlineStr">
        <is>
          <t>NO SUSTANTIVA</t>
        </is>
      </c>
      <c r="E14" s="33" t="inlineStr">
        <is>
          <t>El conteo registrado no debe usarse para calcular densidad de cárcavas por hectárea. Pendiente de levantamiento con GPS submétrico.</t>
        </is>
      </c>
    </row>
    <row r="15" ht="48" customHeight="1">
      <c r="A15" s="35" t="inlineStr">
        <is>
          <t>D-06</t>
        </is>
      </c>
      <c r="B15" s="35" t="inlineStr">
        <is>
          <t>Elenco florístico</t>
        </is>
      </c>
      <c r="C15" s="35" t="inlineStr">
        <is>
          <t>La ficha registra 6 taxones, por debajo del mínimo de 15 que exige el formato V5</t>
        </is>
      </c>
      <c r="D15" s="34"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Representatividad del levantamiento</t>
        </is>
      </c>
      <c r="C16" s="33" t="inlineStr">
        <is>
          <t>Ninguna de las estaciones fotográficas georreferenciadas se localiza dentro del polígono del bloque</t>
        </is>
      </c>
      <c r="D16" s="34" t="inlineStr">
        <is>
          <t>SUSTANTIVA</t>
        </is>
      </c>
      <c r="E16" s="33" t="inlineStr">
        <is>
          <t>La verificación documenta el perímetro y la vista panorámica del bloque, no su interior. Los parámetros que exigen recorrido interno se consignan «Por determinar».</t>
        </is>
      </c>
    </row>
    <row r="17" ht="48" customHeight="1">
      <c r="A17" s="35" t="inlineStr">
        <is>
          <t>D-08</t>
        </is>
      </c>
      <c r="B17" s="35" t="inlineStr">
        <is>
          <t>Centro poblado asociado</t>
        </is>
      </c>
      <c r="C17" s="35" t="inlineStr">
        <is>
          <t>La ficha DT declara «Chililique Alto»; el cruce INEI-Bloques V5 identifica 1 centro(s) poblado(s) en el bloque: CHILILIQUE ALTO</t>
        </is>
      </c>
      <c r="D17" s="36" t="inlineStr">
        <is>
          <t>CONFORME</t>
        </is>
      </c>
      <c r="E17" s="35" t="inlineStr">
        <is>
          <t>Se conserva el registro de campo como referencia y se adopta el listado INEI para el diagnóstico social y el cálculo de población beneficiaria.</t>
        </is>
      </c>
    </row>
    <row r="18" ht="48" customHeight="1">
      <c r="A18" s="33" t="inlineStr">
        <is>
          <t>D-09</t>
        </is>
      </c>
      <c r="B18" s="33" t="inlineStr">
        <is>
          <t>Peligro integrado (MCA-AHP)</t>
        </is>
      </c>
      <c r="C18" s="33" t="inlineStr">
        <is>
          <t>El nivel de peligro integrado no está disponible en los insumos de este entregable</t>
        </is>
      </c>
      <c r="D18" s="34" t="inlineStr">
        <is>
          <t>SUSTANTIVA</t>
        </is>
      </c>
      <c r="E18" s="33" t="inlineStr">
        <is>
          <t>Debe tomarse del modelamiento de mesolocalización (PMM + EPH + PGI ponderados por AHP) antes de fijar la prioridad definitiva de intervención del bloque.</t>
        </is>
      </c>
    </row>
    <row r="19" ht="48" customHeight="1">
      <c r="A19" s="35" t="inlineStr">
        <is>
          <t>D-10</t>
        </is>
      </c>
      <c r="B19" s="35" t="inlineStr">
        <is>
          <t>Ficha DT</t>
        </is>
      </c>
      <c r="C19" s="35" t="inlineStr">
        <is>
          <t>La ficha consigna microcuenca C1076-Q9584; el catálogo maestro asigna a M17B4 la microcuenca C1096-Q9556</t>
        </is>
      </c>
      <c r="D19" s="34" t="inlineStr">
        <is>
          <t>SUSTANTIVA</t>
        </is>
      </c>
      <c r="E19" s="35" t="inlineStr">
        <is>
          <t>Valor por defecto de la plantilla; se conserva el del catálogo</t>
        </is>
      </c>
    </row>
    <row r="20" ht="48" customHeight="1">
      <c r="A20" s="33" t="inlineStr">
        <is>
          <t>D-11</t>
        </is>
      </c>
      <c r="B20" s="33" t="inlineStr">
        <is>
          <t>Ficha DT</t>
        </is>
      </c>
      <c r="C20" s="33" t="inlineStr">
        <is>
          <t>UTM del punto de registro (645 575 · 9 393 500) = valor por defecto; el centroide de catálogo es 604 926 · 9 444 330</t>
        </is>
      </c>
      <c r="D20" s="34" t="inlineStr">
        <is>
          <t>SUSTANTIVA</t>
        </is>
      </c>
      <c r="E20" s="33" t="inlineStr">
        <is>
          <t>Georreferencia por reponer</t>
        </is>
      </c>
    </row>
    <row r="21" ht="48" customHeight="1">
      <c r="A21" s="35" t="inlineStr">
        <is>
          <t>D-12</t>
        </is>
      </c>
      <c r="B21" s="35" t="inlineStr">
        <is>
          <t>Plan de Ingreso</t>
        </is>
      </c>
      <c r="C21" s="35" t="inlineStr">
        <is>
          <t>Altitud = 0 msnm (captura por defecto del aplicativo)</t>
        </is>
      </c>
      <c r="D21" s="37" t="inlineStr">
        <is>
          <t>CORREGIDO</t>
        </is>
      </c>
      <c r="E21" s="35" t="inlineStr">
        <is>
          <t>Se reemplaza por la altitud GPS de campo (353 msnm)</t>
        </is>
      </c>
    </row>
    <row r="22" ht="48" customHeight="1">
      <c r="A22" s="33" t="inlineStr">
        <is>
          <t>D-13</t>
        </is>
      </c>
      <c r="B22" s="33" t="inlineStr">
        <is>
          <t>F-DT-01</t>
        </is>
      </c>
      <c r="C22" s="33" t="inlineStr">
        <is>
          <t>Altitud GPS 353 msnm frente a la cota media ≈230 msnm de la narrativa</t>
        </is>
      </c>
      <c r="D22" s="15" t="inlineStr">
        <is>
          <t>NO SUSTANTIVA</t>
        </is>
      </c>
      <c r="E22" s="33" t="inlineStr">
        <is>
          <t>Conciliar</t>
        </is>
      </c>
    </row>
    <row r="23" ht="48" customHeight="1">
      <c r="A23" s="35" t="inlineStr">
        <is>
          <t>D-14</t>
        </is>
      </c>
      <c r="B23" s="35" t="inlineStr">
        <is>
          <t>F-DT-02</t>
        </is>
      </c>
      <c r="C23" s="35" t="inlineStr">
        <is>
          <t>Sección SIN CONTENIDO en el documento de origen</t>
        </is>
      </c>
      <c r="D23" s="34" t="inlineStr">
        <is>
          <t>SUSTANTIVA</t>
        </is>
      </c>
      <c r="E23" s="35" t="inlineStr">
        <is>
          <t>Levantamiento pendiente en su totalidad</t>
        </is>
      </c>
    </row>
    <row r="24" ht="48" customHeight="1">
      <c r="A24" s="33" t="inlineStr">
        <is>
          <t>D-15</t>
        </is>
      </c>
      <c r="B24" s="33" t="inlineStr">
        <is>
          <t>F-DT-03</t>
        </is>
      </c>
      <c r="C24" s="33" t="inlineStr">
        <is>
          <t>Solo 6 taxones registrados, sin nombre científico ni familia, frente al mínimo de 15</t>
        </is>
      </c>
      <c r="D24" s="34" t="inlineStr">
        <is>
          <t>SUSTANTIVA</t>
        </is>
      </c>
      <c r="E24" s="33" t="inlineStr">
        <is>
          <t>Inventario florístico incompleto</t>
        </is>
      </c>
    </row>
    <row r="25" ht="48" customHeight="1">
      <c r="A25" s="35" t="inlineStr">
        <is>
          <t>D-16</t>
        </is>
      </c>
      <c r="B25" s="35" t="inlineStr">
        <is>
          <t>F-DT-03</t>
        </is>
      </c>
      <c r="C25" s="35" t="inlineStr">
        <is>
          <t>La narrativa declara alturas ≤6 m frente a los 8 m del estrato dominante; el Charán se clasifica como arbustivo</t>
        </is>
      </c>
      <c r="D25" s="15" t="inlineStr">
        <is>
          <t>NO SUSTANTIVA</t>
        </is>
      </c>
      <c r="E25" s="35" t="inlineStr">
        <is>
          <t>Inconsistencias internas</t>
        </is>
      </c>
    </row>
    <row r="26" ht="48" customHeight="1">
      <c r="A26" s="33" t="inlineStr">
        <is>
          <t>D-17</t>
        </is>
      </c>
      <c r="B26" s="33" t="inlineStr">
        <is>
          <t>F-DT-04</t>
        </is>
      </c>
      <c r="C26" s="33" t="inlineStr">
        <is>
          <t>Cobertura vegetal total 90% calificada «Bajo», incompatible con el umbral de la propia ficha</t>
        </is>
      </c>
      <c r="D26" s="34" t="inlineStr">
        <is>
          <t>SUSTANTIVA</t>
        </is>
      </c>
      <c r="E26" s="33" t="inlineStr">
        <is>
          <t>Recalificar</t>
        </is>
      </c>
    </row>
    <row r="27" ht="48" customHeight="1">
      <c r="A27" s="35" t="inlineStr">
        <is>
          <t>D-18</t>
        </is>
      </c>
      <c r="B27" s="35" t="inlineStr">
        <is>
          <t>F-DT-04</t>
        </is>
      </c>
      <c r="C27" s="35" t="inlineStr">
        <is>
          <t>Expansión vial calificada «Ligera» pese a que F-DT-01 declara erosión eólica ALTA por las obras de la carretera Chulucanas-Frías</t>
        </is>
      </c>
      <c r="D27" s="34" t="inlineStr">
        <is>
          <t>SUSTANTIVA</t>
        </is>
      </c>
      <c r="E27" s="35" t="inlineStr">
        <is>
          <t>Inconsistencia interna: la obra vial es un factor activo de degradación</t>
        </is>
      </c>
    </row>
    <row r="28" ht="48" customHeight="1">
      <c r="A28" s="33" t="inlineStr">
        <is>
          <t>D-19</t>
        </is>
      </c>
      <c r="B28" s="33" t="inlineStr">
        <is>
          <t>F-DT-04</t>
        </is>
      </c>
      <c r="C28" s="33" t="inlineStr">
        <is>
          <t>RECOMENDACIÓN DE CAMPO: evaluar la pertinencia de la intervención — el área conserva su cobertura</t>
        </is>
      </c>
      <c r="D28" s="34" t="inlineStr">
        <is>
          <t>SUSTANTIVA</t>
        </is>
      </c>
      <c r="E28" s="33" t="inlineStr">
        <is>
          <t>ELEVAR A LA SUBDIRECCIÓN: verificar si califica como ecosistema degradado (R.M. 00213-2024-MINAM)</t>
        </is>
      </c>
    </row>
    <row r="29" ht="48" customHeight="1">
      <c r="A29" s="35" t="inlineStr">
        <is>
          <t>D-20</t>
        </is>
      </c>
      <c r="B29" s="35" t="inlineStr">
        <is>
          <t>F-DT-05</t>
        </is>
      </c>
      <c r="C29" s="35" t="inlineStr">
        <is>
          <t>Inventario hídrico vacío; sin zona de recarga ni distancia a captación</t>
        </is>
      </c>
      <c r="D29" s="34" t="inlineStr">
        <is>
          <t>SUSTANTIVA</t>
        </is>
      </c>
      <c r="E29" s="35" t="inlineStr">
        <is>
          <t>Levantamiento pendiente</t>
        </is>
      </c>
    </row>
    <row r="31">
      <c r="A31" s="16" t="inlineStr">
        <is>
          <t>RESUMEN</t>
        </is>
      </c>
      <c r="B31" s="17" t="inlineStr">
        <is>
          <t>20 verificaciones</t>
        </is>
      </c>
      <c r="C31" s="17" t="inlineStr">
        <is>
          <t>CONFORME: 2 · CORREGIDO: 1 · NO SUSTANTIVA: 4 · SUSTANTIVA: 13</t>
        </is>
      </c>
      <c r="D31" s="17" t="inlineStr"/>
      <c r="E31" s="17" t="inlineStr"/>
    </row>
    <row r="33" ht="60" customHeight="1">
      <c r="A3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33:E33"/>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M17B4 — IN Piura</dc:title>
  <dc:subject>Diagnóstico Territorial por bloque de intervención</dc:subject>
  <dcterms:created xsi:type="dcterms:W3CDTF">2026-09-08T02:45:05Z</dcterms:created>
  <dcterms:modified xsi:type="dcterms:W3CDTF">2026-09-08T02:45:05Z</dcterms:modified>
</cp:coreProperties>
</file>