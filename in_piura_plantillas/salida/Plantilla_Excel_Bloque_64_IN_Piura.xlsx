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64</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64</t>
        </is>
      </c>
      <c r="C9" s="6" t="inlineStr">
        <is>
          <t>Microcuenca (catálogo)</t>
        </is>
      </c>
      <c r="D9" s="7" t="inlineStr">
        <is>
          <t>C1081-Q9591</t>
        </is>
      </c>
      <c r="E9" s="8" t="n"/>
      <c r="F9" s="8" t="n"/>
    </row>
    <row r="10">
      <c r="A10" s="6" t="inlineStr">
        <is>
          <t>Zona de planificación</t>
        </is>
      </c>
      <c r="B10" s="7" t="inlineStr">
        <is>
          <t>Z11</t>
        </is>
      </c>
      <c r="C10" s="6" t="inlineStr">
        <is>
          <t>Microcuenca declarada en ficha DT</t>
        </is>
      </c>
      <c r="D10" s="7" t="inlineStr">
        <is>
          <t>C1081-Q9591</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Huancabamba</t>
        </is>
      </c>
      <c r="C12" s="6" t="inlineStr">
        <is>
          <t>Capital distrital</t>
        </is>
      </c>
      <c r="D12" s="7" t="inlineStr">
        <is>
          <t>Huancabamba</t>
        </is>
      </c>
      <c r="E12" s="8" t="n"/>
      <c r="F12" s="8" t="n"/>
    </row>
    <row r="13">
      <c r="A13" s="6" t="inlineStr">
        <is>
          <t>Centro poblado asociado</t>
        </is>
      </c>
      <c r="B13" s="7" t="inlineStr">
        <is>
          <t>Pariamarca centro</t>
        </is>
      </c>
      <c r="C13" s="6" t="inlineStr">
        <is>
          <t>Comunidad campesina</t>
        </is>
      </c>
      <c r="D13" s="7" t="inlineStr">
        <is>
          <t>No consignada</t>
        </is>
      </c>
      <c r="E13" s="8" t="n"/>
      <c r="F13" s="8" t="n"/>
    </row>
    <row r="14">
      <c r="A14" s="6" t="inlineStr">
        <is>
          <t>Superficie de catálogo (V5/V6), ha</t>
        </is>
      </c>
      <c r="B14" s="7" t="n">
        <v>35.77</v>
      </c>
      <c r="C14" s="6" t="inlineStr">
        <is>
          <t>Fuente de superficie</t>
        </is>
      </c>
      <c r="D14" s="7" t="inlineStr">
        <is>
          <t>Catálogo maestro Bloques V5/V6</t>
        </is>
      </c>
      <c r="E14" s="8" t="n"/>
      <c r="F14" s="8" t="n"/>
    </row>
    <row r="15">
      <c r="A15" s="6" t="inlineStr">
        <is>
          <t>Centroide UTM ESTE (m)</t>
        </is>
      </c>
      <c r="B15" s="7" t="n">
        <v>657819</v>
      </c>
      <c r="C15" s="6" t="inlineStr">
        <is>
          <t>Centroide UTM NORTE (m)</t>
        </is>
      </c>
      <c r="D15" s="7" t="n">
        <v>9428541</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2412</v>
      </c>
      <c r="C19" s="6" t="inlineStr">
        <is>
          <t>Altitud máxima (msnm)</t>
        </is>
      </c>
      <c r="D19" s="7" t="n">
        <v>2651</v>
      </c>
      <c r="E19" s="8" t="n"/>
      <c r="F19" s="8" t="n"/>
    </row>
    <row r="20">
      <c r="A20" s="6" t="inlineStr">
        <is>
          <t>Amplitud altitudinal (m)</t>
        </is>
      </c>
      <c r="B20" s="7" t="n">
        <v>239</v>
      </c>
      <c r="C20" s="6" t="inlineStr">
        <is>
          <t>Piso altitudinal dominante</t>
        </is>
      </c>
      <c r="D20" s="7" t="inlineStr">
        <is>
          <t>2500-3000 m (Suni)</t>
        </is>
      </c>
      <c r="E20" s="8" t="n"/>
      <c r="F20" s="8" t="n"/>
    </row>
    <row r="21">
      <c r="A21" s="6" t="inlineStr">
        <is>
          <t>Pendiente promedio (%)</t>
        </is>
      </c>
      <c r="B21" s="7" t="n">
        <v>28.18</v>
      </c>
      <c r="C21" s="6" t="inlineStr">
        <is>
          <t>Pendiente promedio (grados)</t>
        </is>
      </c>
      <c r="D21" s="7" t="n">
        <v>15.7</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alta</t>
        </is>
      </c>
      <c r="E23" s="8" t="n"/>
      <c r="F23" s="8" t="n"/>
    </row>
    <row r="24">
      <c r="A24" s="6" t="inlineStr">
        <is>
          <t>Exposición / orientación</t>
        </is>
      </c>
      <c r="B24" s="7" t="inlineStr">
        <is>
          <t>Sur</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7" ht="18" customHeight="1">
      <c r="A27" s="5" t="inlineStr">
        <is>
          <t>3. ÍNDICES DE VEGETACIÓN (SENTINEL-2)</t>
        </is>
      </c>
    </row>
    <row r="28">
      <c r="A28" s="6" t="inlineStr">
        <is>
          <t>MSAVI 2024 — media del bloque</t>
        </is>
      </c>
      <c r="B28" s="7" t="n">
        <v>0.5254</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(78.22 %)</t>
        </is>
      </c>
      <c r="E29" s="8" t="n"/>
      <c r="F29" s="8" t="n"/>
    </row>
    <row r="30">
      <c r="A30" s="6" t="inlineStr">
        <is>
          <t>Superficie clasificada NDVI 2025 (ha)</t>
        </is>
      </c>
      <c r="B30" s="7" t="n">
        <v>35.78</v>
      </c>
      <c r="C30" s="6" t="inlineStr">
        <is>
          <t>Desviación frente al catálogo (%)</t>
        </is>
      </c>
      <c r="D30" s="7" t="n">
        <v>0.03</v>
      </c>
      <c r="E30" s="8" t="n"/>
      <c r="F30" s="8" t="n"/>
    </row>
    <row r="32" ht="18" customHeight="1">
      <c r="A32" s="5" t="inlineStr">
        <is>
          <t>4. ECOSISTEMA Y ESTADO DE CONSERVACIÓN</t>
        </is>
      </c>
    </row>
    <row r="33">
      <c r="A33" s="6" t="inlineStr">
        <is>
          <t>Tipo de ecosistema (UP)</t>
        </is>
      </c>
      <c r="B33" s="7" t="inlineStr">
        <is>
          <t>Matorral Andino subhúmedo</t>
        </is>
      </c>
      <c r="C33" s="6" t="inlineStr">
        <is>
          <t>Superficie de ecosistema (ha)</t>
        </is>
      </c>
      <c r="D33" s="7" t="inlineStr">
        <is>
          <t>5 ha de ecosistema remanente (de 35.77 ha del bloque)</t>
        </is>
      </c>
      <c r="E33" s="8" t="n"/>
      <c r="F33" s="8" t="n"/>
    </row>
    <row r="34">
      <c r="A34" s="6" t="inlineStr">
        <is>
          <t>Estado de conservación</t>
        </is>
      </c>
      <c r="B34" s="7" t="inlineStr">
        <is>
          <t>Alterado (intervención marcada)</t>
        </is>
      </c>
      <c r="C34" s="6" t="inlineStr">
        <is>
          <t>Uso actual dominante del suelo</t>
        </is>
      </c>
      <c r="D34" s="7" t="inlineStr">
        <is>
          <t>Agricultura de secano</t>
        </is>
      </c>
      <c r="E34" s="8" t="n"/>
      <c r="F34" s="8" t="n"/>
    </row>
    <row r="35">
      <c r="A35" s="6" t="inlineStr">
        <is>
          <t>Tipo de cobertura dominante</t>
        </is>
      </c>
      <c r="B35" s="7" t="inlineStr">
        <is>
          <t>Cultivo anual</t>
        </is>
      </c>
      <c r="C35" s="6" t="inlineStr">
        <is>
          <t>Cobertura vegetal total — campo (%)</t>
        </is>
      </c>
      <c r="D35" s="7" t="n">
        <v>17.5</v>
      </c>
      <c r="E35" s="8" t="n"/>
      <c r="F35" s="8" t="n"/>
    </row>
    <row r="36">
      <c r="A36" s="6" t="inlineStr">
        <is>
          <t>Suelo desnudo — campo (%)</t>
        </is>
      </c>
      <c r="B36" s="7" t="n">
        <v>5</v>
      </c>
      <c r="C36" s="6" t="inlineStr">
        <is>
          <t>Regeneración natural</t>
        </is>
      </c>
      <c r="D36" s="7" t="inlineStr">
        <is>
          <t>Ausente</t>
        </is>
      </c>
      <c r="E36" s="8" t="n"/>
      <c r="F36" s="8" t="n"/>
    </row>
    <row r="37">
      <c r="A37" s="6" t="inlineStr">
        <is>
          <t>Nivel general de erosión</t>
        </is>
      </c>
      <c r="B37" s="7" t="inlineStr">
        <is>
          <t>Moderada (surcos)</t>
        </is>
      </c>
      <c r="C37" s="6" t="inlineStr">
        <is>
          <t>N.° de cárcavas registradas</t>
        </is>
      </c>
      <c r="D37" s="7" t="inlineStr">
        <is>
          <t>0 = no inventariadas</t>
        </is>
      </c>
      <c r="E37" s="8" t="n"/>
      <c r="F37" s="8" t="n"/>
    </row>
    <row r="38">
      <c r="A38" s="6" t="inlineStr">
        <is>
          <t>Elenco florístico (n.° de taxones)</t>
        </is>
      </c>
      <c r="B38" s="7" t="n">
        <v>4</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Juan Domínguez</t>
        </is>
      </c>
      <c r="C41" s="6" t="inlineStr">
        <is>
          <t>Fecha de evaluación</t>
        </is>
      </c>
      <c r="D41" s="7" t="inlineStr">
        <is>
          <t>2026-08-11</t>
        </is>
      </c>
      <c r="E41" s="8" t="n"/>
      <c r="F41" s="8" t="n"/>
    </row>
    <row r="42">
      <c r="A42" s="6" t="inlineStr">
        <is>
          <t>Hora de registro</t>
        </is>
      </c>
      <c r="B42" s="7" t="inlineStr">
        <is>
          <t>11:54 h</t>
        </is>
      </c>
      <c r="C42" s="6" t="inlineStr">
        <is>
          <t>Correlativo de ficha</t>
        </is>
      </c>
      <c r="D42" s="7" t="inlineStr">
        <is>
          <t>F-DT-01/B64</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No consignada</t>
        </is>
      </c>
      <c r="E44" s="8" t="n"/>
      <c r="F44" s="8" t="n"/>
    </row>
    <row r="45">
      <c r="A45" s="6" t="inlineStr">
        <is>
          <t>Estaciones fotográficas georreferenciadas</t>
        </is>
      </c>
      <c r="B45" s="7" t="n">
        <v>0</v>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Por determinar (no consignado en campo)</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Media</t>
        </is>
      </c>
      <c r="E49" s="8" t="n"/>
      <c r="F49" s="8" t="n"/>
    </row>
    <row r="50">
      <c r="A50" s="6" t="inlineStr">
        <is>
          <t>Urgencia de control de erosión</t>
        </is>
      </c>
      <c r="B50" s="7" t="inlineStr">
        <is>
          <t>Alta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7"/>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64</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0.525448</v>
      </c>
      <c r="C15" s="17" t="inlineStr">
        <is>
          <t>—</t>
        </is>
      </c>
      <c r="D15" s="17" t="inlineStr">
        <is>
          <t>Vigor moderado · clase 0.4976 - 0.6139</t>
        </is>
      </c>
      <c r="E15" s="17" t="inlineStr">
        <is>
          <t>Sobre umbral</t>
        </is>
      </c>
    </row>
    <row r="17" ht="72" customHeight="1">
      <c r="A17" s="9" t="inlineStr">
        <is>
          <t>NOTA METODOLÓGICA. La media del MSAVI 2024 del bloque (0.525448)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27.9881</v>
      </c>
      <c r="C21" s="19" t="n">
        <v>78.22</v>
      </c>
      <c r="D21" s="11" t="inlineStr">
        <is>
          <t>Dosel continuo, matorral denso o mosaico agroforestal</t>
        </is>
      </c>
      <c r="E21" s="11" t="inlineStr"/>
    </row>
    <row r="22">
      <c r="A22" s="14" t="inlineStr">
        <is>
          <t>Vegetación mediana</t>
        </is>
      </c>
      <c r="B22" s="20" t="n">
        <v>7.6043</v>
      </c>
      <c r="C22" s="21" t="n">
        <v>21.25</v>
      </c>
      <c r="D22" s="15" t="inlineStr">
        <is>
          <t>Pastizal cultivado, matorral ralo, parcelas agrícolas</t>
        </is>
      </c>
      <c r="E22" s="15" t="inlineStr"/>
    </row>
    <row r="23">
      <c r="A23" s="7" t="inlineStr">
        <is>
          <t>Vegetación ligera</t>
        </is>
      </c>
      <c r="B23" s="18" t="n">
        <v>0.188</v>
      </c>
      <c r="C23" s="19" t="n">
        <v>0.53</v>
      </c>
      <c r="D23" s="11" t="inlineStr">
        <is>
          <t>Cobertura discontinua, suelo parcialmente expuesto</t>
        </is>
      </c>
      <c r="E23" s="11" t="inlineStr"/>
    </row>
    <row r="24">
      <c r="A24" s="16" t="inlineStr">
        <is>
          <t>TOTAL CLASIFICADO</t>
        </is>
      </c>
      <c r="B24" s="22">
        <f>SUM(B21:B23)</f>
        <v/>
      </c>
      <c r="C24" s="23">
        <f>SUM(C21:C23)</f>
        <v/>
      </c>
      <c r="D24" s="17" t="inlineStr"/>
      <c r="E24" s="17" t="inlineStr"/>
    </row>
    <row r="25">
      <c r="A25" s="24" t="inlineStr">
        <is>
          <t>Superficie de catálogo (V5/V6)</t>
        </is>
      </c>
      <c r="B25" s="25" t="n">
        <v>35.77</v>
      </c>
      <c r="C25" s="25" t="inlineStr">
        <is>
          <t>—</t>
        </is>
      </c>
      <c r="D25" s="25" t="inlineStr">
        <is>
          <t>Desviación planimétrica frente al catálogo</t>
        </is>
      </c>
      <c r="E25" s="25" t="inlineStr">
        <is>
          <t>+0.03 %</t>
        </is>
      </c>
    </row>
    <row r="27" ht="108" customHeight="1">
      <c r="A27"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17.5 % frente a un 78.22 % del polígono clasificado como «Vegetación alta» por el NDVI 2025; la observación de campo corresponde a una parcela o recorrido puntual y no es estadísticamente representativa de las 35.770 ha del bloque.</t>
        </is>
      </c>
    </row>
  </sheetData>
  <mergeCells count="10">
    <mergeCell ref="A4:E4"/>
    <mergeCell ref="A2:E2"/>
    <mergeCell ref="A19:E19"/>
    <mergeCell ref="A1:E1"/>
    <mergeCell ref="A5:E5"/>
    <mergeCell ref="A8:E8"/>
    <mergeCell ref="A6:E6"/>
    <mergeCell ref="A17:E17"/>
    <mergeCell ref="A27:E2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64</t>
        </is>
      </c>
    </row>
    <row r="6" ht="24" customHeight="1">
      <c r="A6" s="4" t="inlineStr">
        <is>
          <t>Levantamiento del 2026-08-11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657816</v>
      </c>
      <c r="D10" s="26" t="n">
        <v>9428952</v>
      </c>
      <c r="E10" s="11" t="n">
        <v>411</v>
      </c>
      <c r="F10" s="11" t="inlineStr"/>
      <c r="G10" s="11" t="inlineStr">
        <is>
          <t>Coordenada consignada en F-DT-01</t>
        </is>
      </c>
    </row>
    <row r="11">
      <c r="A11" s="14" t="inlineStr">
        <is>
          <t>H-01</t>
        </is>
      </c>
      <c r="B11" s="15" t="inlineStr">
        <is>
          <t>Fuente de agua — Quebrada estacional</t>
        </is>
      </c>
      <c r="C11" s="27" t="inlineStr">
        <is>
          <t>Por determinar</t>
        </is>
      </c>
      <c r="D11" s="27" t="inlineStr">
        <is>
          <t>Por determinar</t>
        </is>
      </c>
      <c r="E11" s="15" t="inlineStr"/>
      <c r="F11" s="15" t="inlineStr">
        <is>
          <t>Estacional</t>
        </is>
      </c>
      <c r="G11" s="15" t="inlineStr">
        <is>
          <t>Quebrada Q9591, colectora</t>
        </is>
      </c>
    </row>
    <row r="12">
      <c r="A12" s="16" t="inlineStr">
        <is>
          <t>TOTAL: 2 puntos</t>
        </is>
      </c>
      <c r="B12" s="17" t="inlineStr"/>
      <c r="C12" s="17" t="inlineStr"/>
      <c r="D12" s="17" t="inlineStr"/>
      <c r="E12" s="17" t="inlineStr"/>
      <c r="F12" s="17" t="inlineStr"/>
      <c r="G12" s="17" t="inlineStr"/>
    </row>
    <row r="14">
      <c r="A14" s="6" t="inlineStr">
        <is>
          <t>Centroide del bloque — UTM ESTE (m)</t>
        </is>
      </c>
      <c r="B14" s="7" t="n">
        <v>657819</v>
      </c>
      <c r="C14" s="6" t="inlineStr">
        <is>
          <t>Centroide del bloque — UTM NORTE (m)</t>
        </is>
      </c>
      <c r="D14" s="7" t="n">
        <v>9428541</v>
      </c>
      <c r="E14" s="8" t="n"/>
      <c r="F14" s="8" t="n"/>
      <c r="G14" s="8" t="n"/>
      <c r="H14" s="8" t="n"/>
    </row>
    <row r="15">
      <c r="A15" s="6" t="inlineStr">
        <is>
          <t>N.° de estaciones fotográficas declaradas</t>
        </is>
      </c>
      <c r="B15" s="7" t="n">
        <v>0</v>
      </c>
      <c r="C15" s="6" t="inlineStr">
        <is>
          <t>Estaciones dentro del polígono</t>
        </is>
      </c>
      <c r="D15" s="7" t="n">
        <v>0</v>
      </c>
      <c r="E15" s="8" t="n"/>
      <c r="F15" s="8" t="n"/>
      <c r="G15" s="8" t="n"/>
      <c r="H15" s="8" t="n"/>
    </row>
    <row r="17" ht="168" customHeight="1">
      <c r="A1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Ladera de montaña alta con pendiente general inferior al 60%, que se incrementa al ascender. Afloramientos rocosos con piedras pequeñas a medianas dispersas. La ladera es empleada para siembra de maíz y papa; en el área cercana existen rodales de plantaciones de Pinus patula. El suelo presenta erosión eólica. Dominancia de pajonal y especies achaparradas. Se desarrollan actividades de pastoreo de ganado vacuno y existe un cerco de alambre. En áreas próximas hay rodales remanentes de Polylepis y evidencia de deslizamientos. NOTA DE GABINETE (SESDI): la ficha consigna «altitud de 3 000 msnm aprox.» y una altitud GPS de 2 669 msnm, mientras el MDE sitúa el bloque entre 2 412 y 2 651 msnm y la descripción del paisaje entre 2 400 y 2 600 msnm. EL PUNTO DE MUESTREO (657 816 E / 9 428 952 N) SE LOCALIZA 146 m AL NORTE DEL LÍMITE DEL POLÍGONO y a 411 m del centroide catastral: la caracterización de campo debe considerarse de ENTORNO INMEDIATO y no de interior del bloque (D-01).</t>
        </is>
      </c>
    </row>
  </sheetData>
  <mergeCells count="8">
    <mergeCell ref="A1:G1"/>
    <mergeCell ref="A17:G1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C1081-Q9591 — BLOQUE 64</t>
        </is>
      </c>
    </row>
    <row r="6" ht="24" customHeight="1">
      <c r="A6" s="4" t="inlineStr">
        <is>
          <t>Distrito de Huancabamba · Provincia de Huancabamba · Comparación de los bloques preliminares de intervención de la misma microcuenca</t>
        </is>
      </c>
    </row>
    <row r="8" ht="18" customHeight="1">
      <c r="A8" s="5" t="inlineStr">
        <is>
          <t>BLOQUES DE LA MICROCUENCA C1081-Q9591</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66</t>
        </is>
      </c>
      <c r="B10" s="28" t="n">
        <v>102.34</v>
      </c>
      <c r="C10" s="19" t="n">
        <v>18.53</v>
      </c>
      <c r="D10" s="11" t="inlineStr">
        <is>
          <t>1171 – 1769</t>
        </is>
      </c>
      <c r="E10" s="11" t="n">
        <v>598</v>
      </c>
      <c r="F10" s="11" t="n">
        <v>31.55</v>
      </c>
      <c r="G10" s="18" t="n">
        <v>0.6403</v>
      </c>
      <c r="H10" s="19" t="n">
        <v>94.08</v>
      </c>
    </row>
    <row r="11">
      <c r="A11" s="14" t="inlineStr">
        <is>
          <t>M30B5</t>
        </is>
      </c>
      <c r="B11" s="29" t="n">
        <v>90.90000000000001</v>
      </c>
      <c r="C11" s="21" t="n">
        <v>16.46</v>
      </c>
      <c r="D11" s="15" t="inlineStr">
        <is>
          <t>1782 – 2307</t>
        </is>
      </c>
      <c r="E11" s="15" t="n">
        <v>525</v>
      </c>
      <c r="F11" s="15" t="n">
        <v>21.23</v>
      </c>
      <c r="G11" s="20" t="n">
        <v>0.5564</v>
      </c>
      <c r="H11" s="21" t="n">
        <v>79.45999999999999</v>
      </c>
    </row>
    <row r="12">
      <c r="A12" s="7" t="inlineStr">
        <is>
          <t>21</t>
        </is>
      </c>
      <c r="B12" s="28" t="n">
        <v>84.23</v>
      </c>
      <c r="C12" s="19" t="n">
        <v>15.25</v>
      </c>
      <c r="D12" s="11" t="inlineStr">
        <is>
          <t>1353 – 2004</t>
        </is>
      </c>
      <c r="E12" s="11" t="n">
        <v>651</v>
      </c>
      <c r="F12" s="11" t="n">
        <v>31.71</v>
      </c>
      <c r="G12" s="18" t="n">
        <v>0.6201</v>
      </c>
      <c r="H12" s="19" t="n">
        <v>89.39</v>
      </c>
    </row>
    <row r="13">
      <c r="A13" s="14" t="inlineStr">
        <is>
          <t>28</t>
        </is>
      </c>
      <c r="B13" s="29" t="n">
        <v>52.97</v>
      </c>
      <c r="C13" s="21" t="n">
        <v>9.59</v>
      </c>
      <c r="D13" s="15" t="inlineStr">
        <is>
          <t>1462 – 1856</t>
        </is>
      </c>
      <c r="E13" s="15" t="n">
        <v>394</v>
      </c>
      <c r="F13" s="15" t="n">
        <v>30.36</v>
      </c>
      <c r="G13" s="20" t="n">
        <v>0.6394</v>
      </c>
      <c r="H13" s="21" t="n">
        <v>96.64</v>
      </c>
    </row>
    <row r="14">
      <c r="A14" s="7" t="inlineStr">
        <is>
          <t>26</t>
        </is>
      </c>
      <c r="B14" s="28" t="n">
        <v>46.96</v>
      </c>
      <c r="C14" s="19" t="n">
        <v>8.5</v>
      </c>
      <c r="D14" s="11" t="inlineStr">
        <is>
          <t>1260 – 1855</t>
        </is>
      </c>
      <c r="E14" s="11" t="n">
        <v>595</v>
      </c>
      <c r="F14" s="11" t="n">
        <v>32.26</v>
      </c>
      <c r="G14" s="18" t="n">
        <v>0.6733</v>
      </c>
      <c r="H14" s="19" t="n">
        <v>97.29000000000001</v>
      </c>
    </row>
    <row r="15">
      <c r="A15" s="14" t="inlineStr">
        <is>
          <t>60</t>
        </is>
      </c>
      <c r="B15" s="29" t="n">
        <v>40.13</v>
      </c>
      <c r="C15" s="21" t="n">
        <v>7.27</v>
      </c>
      <c r="D15" s="15" t="inlineStr">
        <is>
          <t>1638 – 2073</t>
        </is>
      </c>
      <c r="E15" s="15" t="n">
        <v>435</v>
      </c>
      <c r="F15" s="15" t="n">
        <v>32.67</v>
      </c>
      <c r="G15" s="20" t="n">
        <v>0.6745</v>
      </c>
      <c r="H15" s="21" t="n">
        <v>99.90000000000001</v>
      </c>
    </row>
    <row r="16">
      <c r="A16" s="12" t="inlineStr">
        <is>
          <t>► 64</t>
        </is>
      </c>
      <c r="B16" s="30" t="n">
        <v>35.77</v>
      </c>
      <c r="C16" s="31" t="n">
        <v>6.48</v>
      </c>
      <c r="D16" s="13" t="inlineStr">
        <is>
          <t>2412 – 2651</t>
        </is>
      </c>
      <c r="E16" s="13" t="n">
        <v>239</v>
      </c>
      <c r="F16" s="13" t="n">
        <v>28.18</v>
      </c>
      <c r="G16" s="32" t="n">
        <v>0.5254</v>
      </c>
      <c r="H16" s="31" t="n">
        <v>78.22</v>
      </c>
    </row>
    <row r="17">
      <c r="A17" s="14" t="inlineStr">
        <is>
          <t>37</t>
        </is>
      </c>
      <c r="B17" s="29" t="n">
        <v>35.49</v>
      </c>
      <c r="C17" s="21" t="n">
        <v>6.43</v>
      </c>
      <c r="D17" s="15" t="inlineStr">
        <is>
          <t>1184 – 1455</t>
        </is>
      </c>
      <c r="E17" s="15" t="n">
        <v>271</v>
      </c>
      <c r="F17" s="15" t="n">
        <v>23.59</v>
      </c>
      <c r="G17" s="20" t="n">
        <v>0.6588000000000001</v>
      </c>
      <c r="H17" s="21" t="n">
        <v>98.02</v>
      </c>
    </row>
    <row r="18">
      <c r="A18" s="7" t="inlineStr">
        <is>
          <t>30</t>
        </is>
      </c>
      <c r="B18" s="28" t="n">
        <v>34.87</v>
      </c>
      <c r="C18" s="19" t="n">
        <v>6.31</v>
      </c>
      <c r="D18" s="11" t="inlineStr">
        <is>
          <t>1216 – 1541</t>
        </is>
      </c>
      <c r="E18" s="11" t="n">
        <v>325</v>
      </c>
      <c r="F18" s="11" t="n">
        <v>27.91</v>
      </c>
      <c r="G18" s="18" t="n">
        <v>0.6637999999999999</v>
      </c>
      <c r="H18" s="19" t="n">
        <v>99.38</v>
      </c>
    </row>
    <row r="19">
      <c r="A19" s="14" t="inlineStr">
        <is>
          <t>40</t>
        </is>
      </c>
      <c r="B19" s="29" t="n">
        <v>28.52</v>
      </c>
      <c r="C19" s="21" t="n">
        <v>5.16</v>
      </c>
      <c r="D19" s="15" t="inlineStr">
        <is>
          <t>1407 – 1656</t>
        </is>
      </c>
      <c r="E19" s="15" t="n">
        <v>249</v>
      </c>
      <c r="F19" s="15" t="n">
        <v>31.4</v>
      </c>
      <c r="G19" s="20" t="n">
        <v>0.6401</v>
      </c>
      <c r="H19" s="21" t="n">
        <v>99.55</v>
      </c>
    </row>
    <row r="20">
      <c r="A20" s="16" t="inlineStr">
        <is>
          <t>TOTAL / PROMEDIO</t>
        </is>
      </c>
      <c r="B20" s="33">
        <f>SUM(B10:B19)</f>
        <v/>
      </c>
      <c r="C20" s="23">
        <f>SUM(C10:C19)</f>
        <v/>
      </c>
      <c r="D20" s="17" t="inlineStr">
        <is>
          <t>1171 – 2651</t>
        </is>
      </c>
      <c r="E20" s="17" t="inlineStr"/>
      <c r="F20" s="17">
        <f>ROUND(AVERAGE(F10:F19),2)</f>
        <v/>
      </c>
      <c r="G20" s="22">
        <f>ROUND(AVERAGE(G10:G19),4)</f>
        <v/>
      </c>
      <c r="H20" s="23">
        <f>ROUND(AVERAGE(H10:H19),2)</f>
        <v/>
      </c>
    </row>
    <row r="22" ht="84" customHeight="1">
      <c r="A22" s="9" t="inlineStr">
        <is>
          <t>LECTURA INTRAMICROCUENCA. El bloque 64 ocupa el puesto 7 de 10 por superficie dentro de la microcuenca C1081-Q9591 (6.48 % de las 552.18 ha preliminares de la microcuenca). Su pendiente promedio (28.18 %, clase «25-50% (Mod. escarpado)») es la 4.ª más baja de 10 y se sitúa por debajo del promedio de la microcuenca (29.09 %). Su MSAVI 2024 (0.5254) es el 10.º de 10 y queda por debajo del promedio local (0.6292). Amplitud altitudinal del bloque: 239 m (2412–2651 msnm). El cuadro conserva todos los bloques catalogados en la microcuenca, incluidos los descartados en el tamizaje, para referencia del conjunto. Los bloques sin ficha DT figuran con sus parámetros de gabinete.</t>
        </is>
      </c>
    </row>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4:H24"/>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64</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«C1081-Q9591»</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411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(35.780 ha) coincide con la de catálogo (35.77 ha) dentro del ±2 % (+0.03 %)</t>
        </is>
      </c>
      <c r="D12" s="35" t="inlineStr">
        <is>
          <t>CONFORME</t>
        </is>
      </c>
      <c r="E12" s="34" t="inlineStr">
        <is>
          <t>Sin acción: la segmentación valida la geometría del bloque.</t>
        </is>
      </c>
    </row>
    <row r="13" ht="48" customHeight="1">
      <c r="A13" s="36" t="inlineStr">
        <is>
          <t>D-04</t>
        </is>
      </c>
      <c r="B13" s="36" t="inlineStr">
        <is>
          <t>Cobertura vegetal total</t>
        </is>
      </c>
      <c r="C13" s="36" t="inlineStr">
        <is>
          <t>La ficha DT estima 17.5 % de cobertura vegetal en campo; el NDVI mediana 2025 clasifica 100.00 % del polígono en clases de vegetación</t>
        </is>
      </c>
      <c r="D13" s="13" t="inlineStr">
        <is>
          <t>NO SUSTANTIVA</t>
        </is>
      </c>
      <c r="E13" s="36" t="inlineStr">
        <is>
          <t>Se declaran ambos valores. La observación de campo corresponde a una parcela o recorrido puntual y no es representativa de la totalidad del bloque; el índice espectral no discrimina composición ni integridad ecosistémica.</t>
        </is>
      </c>
    </row>
    <row r="14" ht="48" customHeight="1">
      <c r="A14" s="34" t="inlineStr">
        <is>
          <t>D-05</t>
        </is>
      </c>
      <c r="B14" s="34" t="inlineStr">
        <is>
          <t>Elenco florístico</t>
        </is>
      </c>
      <c r="C14" s="34" t="inlineStr">
        <is>
          <t>La ficha registra 4 taxones, por debajo del mínimo de 15 que exige el formato V5</t>
        </is>
      </c>
      <c r="D14" s="37" t="inlineStr">
        <is>
          <t>SUSTANTIVA</t>
        </is>
      </c>
      <c r="E14" s="34" t="inlineStr">
        <is>
          <t>Registro florístico preliminar, sin colecta ni determinación botánica formal. Debe cerrarse con colecta botánica en la siguiente campaña.</t>
        </is>
      </c>
    </row>
    <row r="15" ht="48" customHeight="1">
      <c r="A15" s="36" t="inlineStr">
        <is>
          <t>D-06</t>
        </is>
      </c>
      <c r="B15" s="36" t="inlineStr">
        <is>
          <t>Representatividad del levantamiento</t>
        </is>
      </c>
      <c r="C15" s="36" t="inlineStr">
        <is>
          <t>Ninguna de las estaciones fotográficas georreferenciadas se localiza dentro del polígono del bloque</t>
        </is>
      </c>
      <c r="D15" s="37" t="inlineStr">
        <is>
          <t>SUSTANTIVA</t>
        </is>
      </c>
      <c r="E15" s="36" t="inlineStr">
        <is>
          <t>La verificación documenta el perímetro y la vista panorámica del bloque, no su interior. Los parámetros que exigen recorrido interno se consignan «Por determinar».</t>
        </is>
      </c>
    </row>
    <row r="16" ht="48" customHeight="1">
      <c r="A16" s="34" t="inlineStr">
        <is>
          <t>D-07</t>
        </is>
      </c>
      <c r="B16" s="34" t="inlineStr">
        <is>
          <t>Centro poblado asociado</t>
        </is>
      </c>
      <c r="C16" s="34" t="inlineStr">
        <is>
          <t>La ficha DT declara «Pariamarca centro»; el cruce INEI-Bloques V5 identifica 1 centro(s) poblado(s) en el bloque: PARIAMARCA CENTRO</t>
        </is>
      </c>
      <c r="D16" s="35" t="inlineStr">
        <is>
          <t>CONFORME</t>
        </is>
      </c>
      <c r="E16" s="34" t="inlineStr">
        <is>
          <t>Se conserva el registro de campo como referencia y se adopta el listado INEI para el diagnóstico social y el cálculo de población beneficiaria.</t>
        </is>
      </c>
    </row>
    <row r="17" ht="48" customHeight="1">
      <c r="A17" s="36" t="inlineStr">
        <is>
          <t>D-08</t>
        </is>
      </c>
      <c r="B17" s="36" t="inlineStr">
        <is>
          <t>Peligro integrado (MCA-AHP)</t>
        </is>
      </c>
      <c r="C17" s="36" t="inlineStr">
        <is>
          <t>El nivel de peligro integrado no está disponible en los insumos de este entregable</t>
        </is>
      </c>
      <c r="D17" s="37" t="inlineStr">
        <is>
          <t>SUSTANTIVA</t>
        </is>
      </c>
      <c r="E17" s="36" t="inlineStr">
        <is>
          <t>Debe tomarse del modelamiento de mesolocalización (PMM + EPH + PGI ponderados por AHP) antes de fijar la prioridad definitiva de intervención del bloque.</t>
        </is>
      </c>
    </row>
    <row r="18" ht="48" customHeight="1">
      <c r="A18" s="34" t="inlineStr">
        <is>
          <t>D-09</t>
        </is>
      </c>
      <c r="B18" s="34" t="inlineStr">
        <is>
          <t>F-DT-01</t>
        </is>
      </c>
      <c r="C18" s="34" t="inlineStr">
        <is>
          <t>D-01: el punto de muestreo (657 816 E / 9 428 952 N) se localiza 146 m al NORTE del límite del polígono y a 411 m del centroide</t>
        </is>
      </c>
      <c r="D18" s="37" t="inlineStr">
        <is>
          <t>SUSTANTIVA</t>
        </is>
      </c>
      <c r="E18" s="34" t="inlineStr">
        <is>
          <t>La caracterización de campo corresponde al entorno inmediato, no al interior del bloque</t>
        </is>
      </c>
    </row>
    <row r="19" ht="48" customHeight="1">
      <c r="A19" s="36" t="inlineStr">
        <is>
          <t>D-10</t>
        </is>
      </c>
      <c r="B19" s="36" t="inlineStr">
        <is>
          <t>F-DT-01</t>
        </is>
      </c>
      <c r="C19" s="36" t="inlineStr">
        <is>
          <t>Altitud: ficha «3 000 msnm aprox.» vs. GPS 2 669 msnm vs. MDE 2 412-2 651 msnm</t>
        </is>
      </c>
      <c r="D19" s="37" t="inlineStr">
        <is>
          <t>SUSTANTIVA</t>
        </is>
      </c>
      <c r="E19" s="36" t="inlineStr">
        <is>
          <t>Tres valores incompatibles; se conserva el rango del MDE para el cálculo de piso altitudinal</t>
        </is>
      </c>
    </row>
    <row r="20" ht="48" customHeight="1">
      <c r="A20" s="34" t="inlineStr">
        <is>
          <t>D-11</t>
        </is>
      </c>
      <c r="B20" s="34" t="inlineStr">
        <is>
          <t>F-DT-02</t>
        </is>
      </c>
      <c r="C20" s="34" t="inlineStr">
        <is>
          <t>FICHA NO LEVANTADA EN CAMPO; valores derivados de F-DT-01 y F-DT-04</t>
        </is>
      </c>
      <c r="D20" s="37" t="inlineStr">
        <is>
          <t>SUSTANTIVA</t>
        </is>
      </c>
      <c r="E20" s="34" t="inlineStr">
        <is>
          <t>Levantamiento de suelo y procesos erosivos pendiente</t>
        </is>
      </c>
    </row>
    <row r="21" ht="48" customHeight="1">
      <c r="A21" s="36" t="inlineStr">
        <is>
          <t>D-12</t>
        </is>
      </c>
      <c r="B21" s="36" t="inlineStr">
        <is>
          <t>F-DT-02 / F-DT-04</t>
        </is>
      </c>
      <c r="C21" s="36" t="inlineStr">
        <is>
          <t>Densidad de cárcavas declarada 0 N.°/ha con inventario vacío</t>
        </is>
      </c>
      <c r="D21" s="37" t="inlineStr">
        <is>
          <t>SUSTANTIVA</t>
        </is>
      </c>
      <c r="E21" s="36" t="inlineStr">
        <is>
          <t>Incompatibilidad a resolver en campo</t>
        </is>
      </c>
    </row>
    <row r="22" ht="48" customHeight="1">
      <c r="A22" s="34" t="inlineStr">
        <is>
          <t>D-13</t>
        </is>
      </c>
      <c r="B22" s="34" t="inlineStr">
        <is>
          <t>F-DT-03</t>
        </is>
      </c>
      <c r="C22" s="34" t="inlineStr">
        <is>
          <t>D-02 / D-03: registro florístico de 3 especies nativas frente al mínimo de 15 exigido; especies clave en blanco</t>
        </is>
      </c>
      <c r="D22" s="37" t="inlineStr">
        <is>
          <t>SUSTANTIVA</t>
        </is>
      </c>
      <c r="E22" s="34" t="inlineStr">
        <is>
          <t>Colecta y determinación botánica formal pendientes, en particular del género Polylepis</t>
        </is>
      </c>
    </row>
    <row r="23" ht="48" customHeight="1">
      <c r="A23" s="36" t="inlineStr">
        <is>
          <t>D-14</t>
        </is>
      </c>
      <c r="B23" s="36" t="inlineStr">
        <is>
          <t>F-DT-04</t>
        </is>
      </c>
      <c r="C23" s="36" t="inlineStr">
        <is>
          <t>D-04: urgencia declarada «Media» pese a remociones en masa activas y 41.71% de la superficie bajo el umbral MSAVI 0.4976</t>
        </is>
      </c>
      <c r="D23" s="37" t="inlineStr">
        <is>
          <t>SUSTANTIVA</t>
        </is>
      </c>
      <c r="E23" s="36" t="inlineStr">
        <is>
          <t>Se propone elevar la urgencia a ALTA</t>
        </is>
      </c>
    </row>
    <row r="24" ht="48" customHeight="1">
      <c r="A24" s="34" t="inlineStr">
        <is>
          <t>D-15</t>
        </is>
      </c>
      <c r="B24" s="34" t="inlineStr">
        <is>
          <t>F-DT-05</t>
        </is>
      </c>
      <c r="C24" s="34" t="inlineStr">
        <is>
          <t>FICHA NO LEVANTADA EN CAMPO; datos de acceso tomados de la narrativa del entregable</t>
        </is>
      </c>
      <c r="D24" s="37" t="inlineStr">
        <is>
          <t>SUSTANTIVA</t>
        </is>
      </c>
      <c r="E24" s="34" t="inlineStr">
        <is>
          <t>Recursos hídricos y accesibilidad pendientes de levantamiento</t>
        </is>
      </c>
    </row>
    <row r="26">
      <c r="A26" s="16" t="inlineStr">
        <is>
          <t>RESUMEN</t>
        </is>
      </c>
      <c r="B26" s="17" t="inlineStr">
        <is>
          <t>15 verificaciones</t>
        </is>
      </c>
      <c r="C26" s="17" t="inlineStr">
        <is>
          <t>CONFORME: 4 · NO SUSTANTIVA: 1 · SUSTANTIVA: 10</t>
        </is>
      </c>
      <c r="D26" s="17" t="inlineStr"/>
      <c r="E26" s="17" t="inlineStr"/>
    </row>
    <row r="28" ht="60" customHeight="1">
      <c r="A28"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28:E28"/>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64 — IN Piura</dc:title>
  <dc:subject>Diagnóstico Territorial por bloque de intervención</dc:subject>
  <dcterms:created xsi:type="dcterms:W3CDTF">2026-09-08T02:45:02Z</dcterms:created>
  <dcterms:modified xsi:type="dcterms:W3CDTF">2026-09-08T02:45:02Z</dcterms:modified>
</cp:coreProperties>
</file>