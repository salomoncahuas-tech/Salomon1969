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55</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55</t>
        </is>
      </c>
      <c r="C9" s="6" t="inlineStr">
        <is>
          <t>Microcuenca (catálogo)</t>
        </is>
      </c>
      <c r="D9" s="7" t="inlineStr">
        <is>
          <t>C1086-Q9575</t>
        </is>
      </c>
      <c r="E9" s="8" t="n"/>
      <c r="F9" s="8" t="n"/>
    </row>
    <row r="10">
      <c r="A10" s="6" t="inlineStr">
        <is>
          <t>Zona de planificación</t>
        </is>
      </c>
      <c r="B10" s="7" t="inlineStr">
        <is>
          <t>Z09</t>
        </is>
      </c>
      <c r="C10" s="6" t="inlineStr">
        <is>
          <t>Microcuenca declarada en ficha DT</t>
        </is>
      </c>
      <c r="D10" s="7" t="inlineStr">
        <is>
          <t>C1086-Q9575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Yamango</t>
        </is>
      </c>
      <c r="C12" s="6" t="inlineStr">
        <is>
          <t>Capital distrital</t>
        </is>
      </c>
      <c r="D12" s="7" t="inlineStr">
        <is>
          <t>Yamango</t>
        </is>
      </c>
      <c r="E12" s="8" t="n"/>
      <c r="F12" s="8" t="n"/>
    </row>
    <row r="13">
      <c r="A13" s="6" t="inlineStr">
        <is>
          <t>Centro poblado asociado</t>
        </is>
      </c>
      <c r="B13" s="7" t="inlineStr">
        <is>
          <t>Huacas</t>
        </is>
      </c>
      <c r="C13" s="6" t="inlineStr">
        <is>
          <t>Comunidad campesina</t>
        </is>
      </c>
      <c r="D13" s="7" t="inlineStr">
        <is>
          <t>No aplica (predios de propiedad privada)</t>
        </is>
      </c>
      <c r="E13" s="8" t="n"/>
      <c r="F13" s="8" t="n"/>
    </row>
    <row r="14">
      <c r="A14" s="6" t="inlineStr">
        <is>
          <t>Superficie de catálogo (V5/V6), ha</t>
        </is>
      </c>
      <c r="B14" s="7" t="n">
        <v>0.86</v>
      </c>
      <c r="C14" s="6" t="inlineStr">
        <is>
          <t>Fuente de superficie</t>
        </is>
      </c>
      <c r="D14" s="7" t="inlineStr">
        <is>
          <t>Catálogo maestro Bloques V5/V6</t>
        </is>
      </c>
      <c r="E14" s="8" t="n"/>
      <c r="F14" s="8" t="n"/>
    </row>
    <row r="15">
      <c r="A15" s="6" t="inlineStr">
        <is>
          <t>Centroide UTM ESTE (m)</t>
        </is>
      </c>
      <c r="B15" s="7" t="n">
        <v>642690</v>
      </c>
      <c r="C15" s="6" t="inlineStr">
        <is>
          <t>Centroide UTM NORTE (m)</t>
        </is>
      </c>
      <c r="D15" s="7" t="n">
        <v>9438409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3066</v>
      </c>
      <c r="C19" s="6" t="inlineStr">
        <is>
          <t>Altitud máxima (msnm)</t>
        </is>
      </c>
      <c r="D19" s="7" t="n">
        <v>3131</v>
      </c>
      <c r="E19" s="8" t="n"/>
      <c r="F19" s="8" t="n"/>
    </row>
    <row r="20">
      <c r="A20" s="6" t="inlineStr">
        <is>
          <t>Amplitud altitudinal (m)</t>
        </is>
      </c>
      <c r="B20" s="7" t="n">
        <v>65</v>
      </c>
      <c r="C20" s="6" t="inlineStr">
        <is>
          <t>Piso altitudinal dominante</t>
        </is>
      </c>
      <c r="D20" s="7" t="inlineStr">
        <is>
          <t>3000-3500 m (Puna baja)</t>
        </is>
      </c>
      <c r="E20" s="8" t="n"/>
      <c r="F20" s="8" t="n"/>
    </row>
    <row r="21">
      <c r="A21" s="6" t="inlineStr">
        <is>
          <t>Pendiente promedio (%)</t>
        </is>
      </c>
      <c r="B21" s="7" t="n">
        <v>30.04</v>
      </c>
      <c r="C21" s="6" t="inlineStr">
        <is>
          <t>Pendiente promedio (grados)</t>
        </is>
      </c>
      <c r="D21" s="7" t="n">
        <v>16.7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0.63</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(100.00 %)</t>
        </is>
      </c>
      <c r="E29" s="8" t="n"/>
      <c r="F29" s="8" t="n"/>
    </row>
    <row r="30">
      <c r="A30" s="6" t="inlineStr">
        <is>
          <t>Superficie clasificada NDVI 2025 (ha)</t>
        </is>
      </c>
      <c r="B30" s="7" t="n">
        <v>0.86</v>
      </c>
      <c r="C30" s="6" t="inlineStr">
        <is>
          <t>Desviación frente al catálogo (%)</t>
        </is>
      </c>
      <c r="D30" s="7" t="n">
        <v>-0.06</v>
      </c>
      <c r="E30" s="8" t="n"/>
      <c r="F30" s="8" t="n"/>
    </row>
    <row r="32" ht="18" customHeight="1">
      <c r="A32" s="5" t="inlineStr">
        <is>
          <t>4. ECOSISTEMA Y ESTADO DE CONSERVACIÓN</t>
        </is>
      </c>
    </row>
    <row r="33">
      <c r="A33" s="6" t="inlineStr">
        <is>
          <t>Tipo de ecosistema (UP)</t>
        </is>
      </c>
      <c r="B33" s="7" t="inlineStr">
        <is>
          <t>Agroecosistema / Mosaico</t>
        </is>
      </c>
      <c r="C33" s="6" t="inlineStr">
        <is>
          <t>Superficie de ecosistema (ha)</t>
        </is>
      </c>
      <c r="D33" s="7" t="inlineStr">
        <is>
          <t>0.86 ha</t>
        </is>
      </c>
      <c r="E33" s="8" t="n"/>
      <c r="F33" s="8" t="n"/>
    </row>
    <row r="34">
      <c r="A34" s="6" t="inlineStr">
        <is>
          <t>Estado de conservación</t>
        </is>
      </c>
      <c r="B34" s="7" t="inlineStr">
        <is>
          <t>Alterado (intervención marcada)</t>
        </is>
      </c>
      <c r="C34" s="6" t="inlineStr">
        <is>
          <t>Uso actual dominante del suelo</t>
        </is>
      </c>
      <c r="D34" s="7" t="inlineStr">
        <is>
          <t>Pastoreo extensivo</t>
        </is>
      </c>
      <c r="E34" s="8" t="n"/>
      <c r="F34" s="8" t="n"/>
    </row>
    <row r="35">
      <c r="A35" s="6" t="inlineStr">
        <is>
          <t>Tipo de cobertura dominante</t>
        </is>
      </c>
      <c r="B35" s="7" t="inlineStr">
        <is>
          <t>Mixto / Mosaico</t>
        </is>
      </c>
      <c r="C35" s="6" t="inlineStr">
        <is>
          <t>Cobertura vegetal total — campo (%)</t>
        </is>
      </c>
      <c r="D35" s="7" t="n">
        <v>80</v>
      </c>
      <c r="E35" s="8" t="n"/>
      <c r="F35" s="8" t="n"/>
    </row>
    <row r="36">
      <c r="A36" s="6" t="inlineStr">
        <is>
          <t>Suelo desnudo — campo (%)</t>
        </is>
      </c>
      <c r="B36" s="7" t="n">
        <v>20</v>
      </c>
      <c r="C36" s="6" t="inlineStr">
        <is>
          <t>Regeneración natural</t>
        </is>
      </c>
      <c r="D36" s="7" t="inlineStr">
        <is>
          <t>Escasa (&lt;10 pl./100m²)</t>
        </is>
      </c>
      <c r="E36" s="8" t="n"/>
      <c r="F36" s="8" t="n"/>
    </row>
    <row r="37">
      <c r="A37" s="6" t="inlineStr">
        <is>
          <t>Nivel general de erosión</t>
        </is>
      </c>
      <c r="B37" s="7" t="inlineStr">
        <is>
          <t>Ligera (laminar)</t>
        </is>
      </c>
      <c r="C37" s="6" t="inlineStr">
        <is>
          <t>N.° de cárcavas registradas</t>
        </is>
      </c>
      <c r="D37" s="7" t="n">
        <v>1</v>
      </c>
      <c r="E37" s="8" t="n"/>
      <c r="F37" s="8" t="n"/>
    </row>
    <row r="38">
      <c r="A38" s="6" t="inlineStr">
        <is>
          <t>Elenco florístico (n.° de taxones)</t>
        </is>
      </c>
      <c r="B38" s="7" t="n">
        <v>14</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 (ANIN-DIME-SESDI), con Ing. Juan Carlos Domínguez Varas y Biól. Abel Aucasime Orihuela</t>
        </is>
      </c>
      <c r="C41" s="6" t="inlineStr">
        <is>
          <t>Fecha de evaluación</t>
        </is>
      </c>
      <c r="D41" s="7" t="inlineStr">
        <is>
          <t>2026-05-26</t>
        </is>
      </c>
      <c r="E41" s="8" t="n"/>
      <c r="F41" s="8" t="n"/>
    </row>
    <row r="42">
      <c r="A42" s="6" t="inlineStr">
        <is>
          <t>Hora de registro</t>
        </is>
      </c>
      <c r="B42" s="7" t="inlineStr">
        <is>
          <t>11:14 a.m. - 12:30 p.m.</t>
        </is>
      </c>
      <c r="C42" s="6" t="inlineStr">
        <is>
          <t>Correlativo de ficha</t>
        </is>
      </c>
      <c r="D42" s="7" t="inlineStr">
        <is>
          <t>F-DT-B55-2026-01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t>
        </is>
      </c>
      <c r="E44" s="8" t="n"/>
      <c r="F44" s="8" t="n"/>
    </row>
    <row r="45">
      <c r="A45" s="6" t="inlineStr">
        <is>
          <t>Estaciones fotográficas georreferenciadas</t>
        </is>
      </c>
      <c r="B45" s="7" t="n">
        <v>14</v>
      </c>
      <c r="C45" s="6" t="inlineStr">
        <is>
          <t>Modalidad de acceso</t>
        </is>
      </c>
      <c r="D45" s="7" t="inlineStr">
        <is>
          <t>Vehicular + caminata 30-90 min</t>
        </is>
      </c>
      <c r="E45" s="8" t="n"/>
      <c r="F45" s="8" t="n"/>
    </row>
    <row r="47" ht="18" customHeight="1">
      <c r="A47" s="5" t="inlineStr">
        <is>
          <t>6. SÍNTESIS PARA LA GESTIÓN DEL RIESGO EN CONTEXTO DE CAMBIO CLIMÁTICO</t>
        </is>
      </c>
    </row>
    <row r="48">
      <c r="A48" s="6" t="inlineStr">
        <is>
          <t>Causa subyacente principal</t>
        </is>
      </c>
      <c r="B48" s="7" t="inlineStr">
        <is>
          <t>Economía ganadera de subsistencia en predios privados sin manejo silvopastoril, sumada a la debilidad de la gobernanza del territorio</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Baja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55</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12" t="inlineStr">
        <is>
          <t>Por determinar</t>
        </is>
      </c>
      <c r="C10" s="12" t="inlineStr">
        <is>
          <t>Por determinar</t>
        </is>
      </c>
      <c r="D10" s="12" t="inlineStr">
        <is>
          <t>Vigor alto</t>
        </is>
      </c>
      <c r="E10" s="12" t="inlineStr">
        <is>
          <t>Sobre umbral</t>
        </is>
      </c>
    </row>
    <row r="11">
      <c r="A11" s="13" t="inlineStr">
        <is>
          <t>0.4976 - 0.6139</t>
        </is>
      </c>
      <c r="B11" s="14" t="inlineStr">
        <is>
          <t>Por determinar</t>
        </is>
      </c>
      <c r="C11" s="14" t="inlineStr">
        <is>
          <t>Por determinar</t>
        </is>
      </c>
      <c r="D11" s="14" t="inlineStr">
        <is>
          <t>Vigor moderado</t>
        </is>
      </c>
      <c r="E11" s="14" t="inlineStr">
        <is>
          <t>Sobre umbral</t>
        </is>
      </c>
    </row>
    <row r="12">
      <c r="A12" s="7" t="inlineStr">
        <is>
          <t>0.3813 - 0.4976</t>
        </is>
      </c>
      <c r="B12" s="15" t="inlineStr">
        <is>
          <t>Por determinar</t>
        </is>
      </c>
      <c r="C12" s="15" t="inlineStr">
        <is>
          <t>Por determinar</t>
        </is>
      </c>
      <c r="D12" s="15" t="inlineStr">
        <is>
          <t>Vigor bajo</t>
        </is>
      </c>
      <c r="E12" s="15" t="inlineStr">
        <is>
          <t>BAJO umbral 0.4976</t>
        </is>
      </c>
    </row>
    <row r="13">
      <c r="A13" s="13" t="inlineStr">
        <is>
          <t>0.2650 - 0.3813</t>
        </is>
      </c>
      <c r="B13" s="14" t="inlineStr">
        <is>
          <t>Por determinar</t>
        </is>
      </c>
      <c r="C13" s="14" t="inlineStr">
        <is>
          <t>Por determinar</t>
        </is>
      </c>
      <c r="D13" s="14" t="inlineStr">
        <is>
          <t>Vigor muy bajo</t>
        </is>
      </c>
      <c r="E13" s="14" t="inlineStr">
        <is>
          <t>BAJO umbral 0.4976</t>
        </is>
      </c>
    </row>
    <row r="14">
      <c r="A14" s="7" t="inlineStr">
        <is>
          <t>&lt;= 0.2650</t>
        </is>
      </c>
      <c r="B14" s="15" t="inlineStr">
        <is>
          <t>Por determinar</t>
        </is>
      </c>
      <c r="C14" s="15" t="inlineStr">
        <is>
          <t>Por determinar</t>
        </is>
      </c>
      <c r="D14" s="15" t="inlineStr">
        <is>
          <t>Suelo desnudo / no vegetal</t>
        </is>
      </c>
      <c r="E14" s="15" t="inlineStr">
        <is>
          <t>BAJO umbral 0.4976</t>
        </is>
      </c>
    </row>
    <row r="15">
      <c r="A15" s="16" t="inlineStr">
        <is>
          <t>MSAVI 2024 — MEDIA DEL BLOQUE</t>
        </is>
      </c>
      <c r="B15" s="17" t="n">
        <v>0.630032</v>
      </c>
      <c r="C15" s="17" t="inlineStr">
        <is>
          <t>—</t>
        </is>
      </c>
      <c r="D15" s="17" t="inlineStr">
        <is>
          <t>Vigor alto · clase &gt; 0.6139</t>
        </is>
      </c>
      <c r="E15" s="17" t="inlineStr">
        <is>
          <t>Sobre umbral</t>
        </is>
      </c>
    </row>
    <row r="17" ht="72" customHeight="1">
      <c r="A17" s="9" t="inlineStr">
        <is>
          <t>NOTA METODOLÓGICA. La media del MSAVI 2024 del bloque (0.630032)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0.8595</v>
      </c>
      <c r="C21" s="19" t="n">
        <v>100</v>
      </c>
      <c r="D21" s="15" t="inlineStr">
        <is>
          <t>Dosel continuo, matorral denso o mosaico agroforestal</t>
        </is>
      </c>
      <c r="E21" s="15" t="inlineStr"/>
    </row>
    <row r="22">
      <c r="A22" s="16" t="inlineStr">
        <is>
          <t>TOTAL CLASIFICADO</t>
        </is>
      </c>
      <c r="B22" s="20">
        <f>SUM(B21:B21)</f>
        <v/>
      </c>
      <c r="C22" s="21">
        <f>SUM(C21:C21)</f>
        <v/>
      </c>
      <c r="D22" s="17" t="inlineStr"/>
      <c r="E22" s="17" t="inlineStr"/>
    </row>
    <row r="23">
      <c r="A23" s="22" t="inlineStr">
        <is>
          <t>Superficie de catálogo (V5/V6)</t>
        </is>
      </c>
      <c r="B23" s="23" t="n">
        <v>0.86</v>
      </c>
      <c r="C23" s="23" t="inlineStr">
        <is>
          <t>—</t>
        </is>
      </c>
      <c r="D23" s="23" t="inlineStr">
        <is>
          <t>Desviación planimétrica frente al catálogo</t>
        </is>
      </c>
      <c r="E23" s="23" t="inlineStr">
        <is>
          <t>-0.06 %</t>
        </is>
      </c>
    </row>
    <row r="25" ht="108" customHeight="1">
      <c r="A25"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100.00 % del polígono clasificado como «Vegetación alta» por el NDVI 2025; la observación de campo corresponde a una parcela o recorrido puntual y no es estadísticamente representativa de las 0.860 ha del bloque.</t>
        </is>
      </c>
    </row>
  </sheetData>
  <mergeCells count="10">
    <mergeCell ref="A4:E4"/>
    <mergeCell ref="A2:E2"/>
    <mergeCell ref="A25:E25"/>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55</t>
        </is>
      </c>
    </row>
    <row r="6" ht="24" customHeight="1">
      <c r="A6" s="4" t="inlineStr">
        <is>
          <t>Levantamiento del 2026-05-26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4" t="n">
        <v>642690</v>
      </c>
      <c r="D10" s="24" t="n">
        <v>9438400</v>
      </c>
      <c r="E10" s="15" t="n">
        <v>9</v>
      </c>
      <c r="F10" s="15" t="inlineStr"/>
      <c r="G10" s="15" t="inlineStr">
        <is>
          <t>Coordenada consignada en F-DT-01</t>
        </is>
      </c>
    </row>
    <row r="11">
      <c r="A11" s="13" t="inlineStr">
        <is>
          <t>C-01</t>
        </is>
      </c>
      <c r="B11" s="14" t="inlineStr">
        <is>
          <t>Rasgo erosivo — Surco (&lt;30 cm)</t>
        </is>
      </c>
      <c r="C11" s="25" t="n">
        <v>641610</v>
      </c>
      <c r="D11" s="25" t="n">
        <v>9437872</v>
      </c>
      <c r="E11" s="14" t="n">
        <v>1206.1</v>
      </c>
      <c r="F11" s="14" t="inlineStr">
        <is>
          <t>Activa</t>
        </is>
      </c>
      <c r="G11" s="14" t="inlineStr">
        <is>
          <t>Caminos / huellas de ganado</t>
        </is>
      </c>
    </row>
    <row r="12">
      <c r="A12" s="7" t="inlineStr">
        <is>
          <t>C-02</t>
        </is>
      </c>
      <c r="B12" s="15" t="inlineStr">
        <is>
          <t>Rasgo erosivo — Cárcava incipiente (30-50 cm)</t>
        </is>
      </c>
      <c r="C12" s="24" t="n">
        <v>641586</v>
      </c>
      <c r="D12" s="24" t="n">
        <v>9437832</v>
      </c>
      <c r="E12" s="15" t="n">
        <v>1245.7</v>
      </c>
      <c r="F12" s="15" t="inlineStr">
        <is>
          <t>Semi-activa</t>
        </is>
      </c>
      <c r="G12" s="15" t="inlineStr">
        <is>
          <t>Sobrepastoreo</t>
        </is>
      </c>
    </row>
    <row r="13">
      <c r="A13" s="13" t="inlineStr">
        <is>
          <t>C-03</t>
        </is>
      </c>
      <c r="B13" s="14" t="inlineStr">
        <is>
          <t>Rasgo erosivo — Cárcava somera (0.5-2 m)</t>
        </is>
      </c>
      <c r="C13" s="25" t="n">
        <v>641360</v>
      </c>
      <c r="D13" s="25" t="n">
        <v>9437903</v>
      </c>
      <c r="E13" s="14" t="n">
        <v>1423</v>
      </c>
      <c r="F13" s="14" t="inlineStr">
        <is>
          <t>Activa</t>
        </is>
      </c>
      <c r="G13" s="14" t="inlineStr">
        <is>
          <t>Concentración natural de escorrentía</t>
        </is>
      </c>
    </row>
    <row r="14">
      <c r="A14" s="7" t="inlineStr">
        <is>
          <t>H-01</t>
        </is>
      </c>
      <c r="B14" s="15" t="inlineStr">
        <is>
          <t>Fuente de agua — Quebrada estacional</t>
        </is>
      </c>
      <c r="C14" s="24" t="n">
        <v>641450</v>
      </c>
      <c r="D14" s="24" t="n">
        <v>9438050</v>
      </c>
      <c r="E14" s="15" t="n">
        <v>1290.9</v>
      </c>
      <c r="F14" s="15" t="inlineStr">
        <is>
          <t>Estacional (lluvias)</t>
        </is>
      </c>
      <c r="G14" s="15" t="inlineStr">
        <is>
          <t>Drenaje natural Q9575</t>
        </is>
      </c>
    </row>
    <row r="15">
      <c r="A15" s="13" t="inlineStr">
        <is>
          <t>H-02</t>
        </is>
      </c>
      <c r="B15" s="14" t="inlineStr">
        <is>
          <t>Fuente de agua — Manantial / Puquio</t>
        </is>
      </c>
      <c r="C15" s="25" t="n">
        <v>641680</v>
      </c>
      <c r="D15" s="25" t="n">
        <v>9437950</v>
      </c>
      <c r="E15" s="14" t="n">
        <v>1109.4</v>
      </c>
      <c r="F15" s="14" t="inlineStr">
        <is>
          <t>Permanente</t>
        </is>
      </c>
      <c r="G15" s="14" t="inlineStr">
        <is>
          <t>Manantial pequeño</t>
        </is>
      </c>
    </row>
    <row r="16">
      <c r="A16" s="7" t="inlineStr">
        <is>
          <t>B-01</t>
        </is>
      </c>
      <c r="B16" s="15" t="inlineStr">
        <is>
          <t>Especie clave — Polylepis racemosa (Queñual)</t>
        </is>
      </c>
      <c r="C16" s="24" t="n">
        <v>641675</v>
      </c>
      <c r="D16" s="24" t="n">
        <v>9437943</v>
      </c>
      <c r="E16" s="15" t="n">
        <v>1116.9</v>
      </c>
      <c r="F16" s="15" t="inlineStr">
        <is>
          <t>Amenazada D.S. 043</t>
        </is>
      </c>
      <c r="G16" s="15" t="inlineStr">
        <is>
          <t>VU — Vulnerable</t>
        </is>
      </c>
    </row>
    <row r="17">
      <c r="A17" s="13" t="inlineStr">
        <is>
          <t>B-02</t>
        </is>
      </c>
      <c r="B17" s="14" t="inlineStr">
        <is>
          <t>Especie clave — Juglans neotropica (Nogal)</t>
        </is>
      </c>
      <c r="C17" s="25" t="n">
        <v>641675</v>
      </c>
      <c r="D17" s="25" t="n">
        <v>9437943</v>
      </c>
      <c r="E17" s="14" t="n">
        <v>1116.9</v>
      </c>
      <c r="F17" s="14" t="inlineStr">
        <is>
          <t>Amenazada D.S. 043</t>
        </is>
      </c>
      <c r="G17" s="14" t="inlineStr">
        <is>
          <t>EN — En Peligro</t>
        </is>
      </c>
    </row>
    <row r="18">
      <c r="A18" s="7" t="inlineStr">
        <is>
          <t>B-03</t>
        </is>
      </c>
      <c r="B18" s="15" t="inlineStr">
        <is>
          <t>Especie clave — Cedrela montana (Cedro)</t>
        </is>
      </c>
      <c r="C18" s="24" t="n">
        <v>641675</v>
      </c>
      <c r="D18" s="24" t="n">
        <v>9437943</v>
      </c>
      <c r="E18" s="15" t="n">
        <v>1116.9</v>
      </c>
      <c r="F18" s="15" t="inlineStr">
        <is>
          <t>Amenazada D.S. 043</t>
        </is>
      </c>
      <c r="G18" s="15" t="inlineStr">
        <is>
          <t>VU — Vulnerable</t>
        </is>
      </c>
    </row>
    <row r="19">
      <c r="A19" s="13" t="inlineStr">
        <is>
          <t>B-04</t>
        </is>
      </c>
      <c r="B19" s="14" t="inlineStr">
        <is>
          <t>Especie clave — Podocarpus oleifolius (Romerillo)</t>
        </is>
      </c>
      <c r="C19" s="25" t="n">
        <v>641675</v>
      </c>
      <c r="D19" s="25" t="n">
        <v>9437943</v>
      </c>
      <c r="E19" s="14" t="n">
        <v>1116.9</v>
      </c>
      <c r="F19" s="14" t="inlineStr">
        <is>
          <t>Amenazada D.S. 043</t>
        </is>
      </c>
      <c r="G19" s="14" t="inlineStr">
        <is>
          <t>NT — Casi Amenazado</t>
        </is>
      </c>
    </row>
    <row r="20">
      <c r="A20" s="7" t="inlineStr">
        <is>
          <t>B-05</t>
        </is>
      </c>
      <c r="B20" s="15" t="inlineStr">
        <is>
          <t>Especie clave — Alnus acuminata (Aliso)</t>
        </is>
      </c>
      <c r="C20" s="24" t="n">
        <v>641618</v>
      </c>
      <c r="D20" s="24" t="n">
        <v>9437881</v>
      </c>
      <c r="E20" s="15" t="n">
        <v>1195</v>
      </c>
      <c r="F20" s="15" t="inlineStr">
        <is>
          <t>Indicadora de buen estado</t>
        </is>
      </c>
      <c r="G20" s="15" t="inlineStr">
        <is>
          <t>LC</t>
        </is>
      </c>
    </row>
    <row r="21">
      <c r="A21" s="16" t="inlineStr">
        <is>
          <t>TOTAL: 11 puntos</t>
        </is>
      </c>
      <c r="B21" s="17" t="inlineStr"/>
      <c r="C21" s="17" t="inlineStr"/>
      <c r="D21" s="17" t="inlineStr"/>
      <c r="E21" s="17" t="inlineStr"/>
      <c r="F21" s="17" t="inlineStr"/>
      <c r="G21" s="17" t="inlineStr"/>
    </row>
    <row r="23">
      <c r="A23" s="6" t="inlineStr">
        <is>
          <t>Centroide del bloque — UTM ESTE (m)</t>
        </is>
      </c>
      <c r="B23" s="7" t="n">
        <v>642690</v>
      </c>
      <c r="C23" s="6" t="inlineStr">
        <is>
          <t>Centroide del bloque — UTM NORTE (m)</t>
        </is>
      </c>
      <c r="D23" s="7" t="n">
        <v>9438409</v>
      </c>
      <c r="E23" s="8" t="n"/>
      <c r="F23" s="8" t="n"/>
      <c r="G23" s="8" t="n"/>
      <c r="H23" s="8" t="n"/>
    </row>
    <row r="24">
      <c r="A24" s="6" t="inlineStr">
        <is>
          <t>N.° de estaciones fotográficas declaradas</t>
        </is>
      </c>
      <c r="B24" s="7" t="n">
        <v>14</v>
      </c>
      <c r="C24" s="6" t="inlineStr">
        <is>
          <t>Estaciones dentro del polígono</t>
        </is>
      </c>
      <c r="D24" s="7" t="inlineStr">
        <is>
          <t>Por determinar</t>
        </is>
      </c>
      <c r="E24" s="8" t="n"/>
      <c r="F24" s="8" t="n"/>
      <c r="G24" s="8" t="n"/>
      <c r="H24" s="8" t="n"/>
    </row>
    <row r="26" ht="120" customHeight="1">
      <c r="A2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por carretera PI-124 desde Yamango, empalmando con trocha carrozable; ingreso final a pie (~40 min) desde 643951 E / 9438198 N. La MORFOLOGÍA EN HONDONADA/ANFITEATRO CÓNCAVO sugiere un proceso de remoción en masa RELICTO (antiguo), hoy estabilizado por cobertura vegetal. En el corte de talud de la trocha se observan suelos residuales (saprolíticos) y raíces expuestas, susceptibles a desprendimientos en época lluviosa.</t>
        </is>
      </c>
    </row>
  </sheetData>
  <mergeCells count="8">
    <mergeCell ref="A1:G1"/>
    <mergeCell ref="A8:G8"/>
    <mergeCell ref="A3:G3"/>
    <mergeCell ref="A6:G6"/>
    <mergeCell ref="A4:G4"/>
    <mergeCell ref="A26:G26"/>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C1086-Q9575 — BLOQUE 55</t>
        </is>
      </c>
    </row>
    <row r="6" ht="24" customHeight="1">
      <c r="A6" s="4" t="inlineStr">
        <is>
          <t>Distrito de Yamango · Provincia de Morropon · Comparación de los bloques preliminares de intervención de la misma microcuenca</t>
        </is>
      </c>
    </row>
    <row r="8" ht="18" customHeight="1">
      <c r="A8" s="5" t="inlineStr">
        <is>
          <t>BLOQUES DE LA MICROCUENCA C1086-Q9575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M28B4</t>
        </is>
      </c>
      <c r="B10" s="26" t="n">
        <v>283.43</v>
      </c>
      <c r="C10" s="19" t="n">
        <v>58.52</v>
      </c>
      <c r="D10" s="15" t="inlineStr">
        <is>
          <t>297 – 634</t>
        </is>
      </c>
      <c r="E10" s="15" t="n">
        <v>337</v>
      </c>
      <c r="F10" s="15" t="n">
        <v>13.75</v>
      </c>
      <c r="G10" s="18" t="n">
        <v>0.4275</v>
      </c>
      <c r="H10" s="19" t="n">
        <v>18.09</v>
      </c>
    </row>
    <row r="11">
      <c r="A11" s="13" t="inlineStr">
        <is>
          <t>M28B2</t>
        </is>
      </c>
      <c r="B11" s="27" t="n">
        <v>90.2</v>
      </c>
      <c r="C11" s="28" t="n">
        <v>18.62</v>
      </c>
      <c r="D11" s="14" t="inlineStr">
        <is>
          <t>754 – 1111</t>
        </is>
      </c>
      <c r="E11" s="14" t="n">
        <v>357</v>
      </c>
      <c r="F11" s="14" t="n">
        <v>20.65</v>
      </c>
      <c r="G11" s="29" t="n">
        <v>0.4753</v>
      </c>
      <c r="H11" s="28" t="n">
        <v>37.12</v>
      </c>
    </row>
    <row r="12">
      <c r="A12" s="7" t="inlineStr">
        <is>
          <t>M28B3</t>
        </is>
      </c>
      <c r="B12" s="26" t="n">
        <v>58.29</v>
      </c>
      <c r="C12" s="19" t="n">
        <v>12.04</v>
      </c>
      <c r="D12" s="15" t="inlineStr">
        <is>
          <t>73 – 777</t>
        </is>
      </c>
      <c r="E12" s="15" t="n">
        <v>704</v>
      </c>
      <c r="F12" s="15" t="n">
        <v>22.13</v>
      </c>
      <c r="G12" s="18" t="n">
        <v>0.5075</v>
      </c>
      <c r="H12" s="19" t="n">
        <v>45.27</v>
      </c>
    </row>
    <row r="13">
      <c r="A13" s="13" t="inlineStr">
        <is>
          <t>46</t>
        </is>
      </c>
      <c r="B13" s="27" t="n">
        <v>18.87</v>
      </c>
      <c r="C13" s="28" t="n">
        <v>3.9</v>
      </c>
      <c r="D13" s="14" t="inlineStr">
        <is>
          <t>1371 – 1655</t>
        </is>
      </c>
      <c r="E13" s="14" t="n">
        <v>284</v>
      </c>
      <c r="F13" s="14" t="n">
        <v>31.77</v>
      </c>
      <c r="G13" s="29" t="n">
        <v>0.7244</v>
      </c>
      <c r="H13" s="28" t="inlineStr">
        <is>
          <t>Por determinar</t>
        </is>
      </c>
    </row>
    <row r="14">
      <c r="A14" s="7" t="inlineStr">
        <is>
          <t>49</t>
        </is>
      </c>
      <c r="B14" s="26" t="n">
        <v>15.84</v>
      </c>
      <c r="C14" s="19" t="n">
        <v>3.27</v>
      </c>
      <c r="D14" s="15" t="inlineStr">
        <is>
          <t>3065 – 3246</t>
        </is>
      </c>
      <c r="E14" s="15" t="n">
        <v>181</v>
      </c>
      <c r="F14" s="15" t="n">
        <v>25.96</v>
      </c>
      <c r="G14" s="18" t="n">
        <v>0.6860000000000001</v>
      </c>
      <c r="H14" s="19" t="n">
        <v>98.8</v>
      </c>
    </row>
    <row r="15">
      <c r="A15" s="13" t="inlineStr">
        <is>
          <t>52</t>
        </is>
      </c>
      <c r="B15" s="27" t="n">
        <v>11.06</v>
      </c>
      <c r="C15" s="28" t="n">
        <v>2.28</v>
      </c>
      <c r="D15" s="14" t="inlineStr">
        <is>
          <t>3011 – 3164</t>
        </is>
      </c>
      <c r="E15" s="14" t="n">
        <v>153</v>
      </c>
      <c r="F15" s="14" t="n">
        <v>26.16</v>
      </c>
      <c r="G15" s="29" t="n">
        <v>0.6685</v>
      </c>
      <c r="H15" s="28" t="n">
        <v>97.31999999999999</v>
      </c>
    </row>
    <row r="16">
      <c r="A16" s="7" t="inlineStr">
        <is>
          <t>48</t>
        </is>
      </c>
      <c r="B16" s="26" t="n">
        <v>5.75</v>
      </c>
      <c r="C16" s="19" t="n">
        <v>1.19</v>
      </c>
      <c r="D16" s="15" t="inlineStr">
        <is>
          <t>1458 – 1595</t>
        </is>
      </c>
      <c r="E16" s="15" t="n">
        <v>137</v>
      </c>
      <c r="F16" s="15" t="n">
        <v>33.6</v>
      </c>
      <c r="G16" s="18" t="n">
        <v>0.6978</v>
      </c>
      <c r="H16" s="19" t="inlineStr">
        <is>
          <t>Por determinar</t>
        </is>
      </c>
    </row>
    <row r="17">
      <c r="A17" s="11" t="inlineStr">
        <is>
          <t>► 55</t>
        </is>
      </c>
      <c r="B17" s="30" t="n">
        <v>0.86</v>
      </c>
      <c r="C17" s="31" t="n">
        <v>0.18</v>
      </c>
      <c r="D17" s="12" t="inlineStr">
        <is>
          <t>3066 – 3131</t>
        </is>
      </c>
      <c r="E17" s="12" t="n">
        <v>65</v>
      </c>
      <c r="F17" s="12" t="n">
        <v>30.04</v>
      </c>
      <c r="G17" s="32" t="n">
        <v>0.63</v>
      </c>
      <c r="H17" s="31" t="n">
        <v>100</v>
      </c>
    </row>
    <row r="18">
      <c r="A18" s="16" t="inlineStr">
        <is>
          <t>TOTAL / PROMEDIO</t>
        </is>
      </c>
      <c r="B18" s="33">
        <f>SUM(B10:B17)</f>
        <v/>
      </c>
      <c r="C18" s="21">
        <f>SUM(C10:C17)</f>
        <v/>
      </c>
      <c r="D18" s="17" t="inlineStr">
        <is>
          <t>73 – 3246</t>
        </is>
      </c>
      <c r="E18" s="17" t="inlineStr"/>
      <c r="F18" s="17">
        <f>ROUND(AVERAGE(F10:F17),2)</f>
        <v/>
      </c>
      <c r="G18" s="20">
        <f>ROUND(AVERAGE(G10:G17),4)</f>
        <v/>
      </c>
      <c r="H18" s="21">
        <f>ROUND(AVERAGE(H10:H17),2)</f>
        <v/>
      </c>
    </row>
    <row r="20" ht="84" customHeight="1">
      <c r="A20" s="9" t="inlineStr">
        <is>
          <t>LECTURA INTRAMICROCUENCA. El bloque 55 ocupa el puesto 8 de 8 por superficie dentro de la microcuenca C1086-Q9575 (0.18 % de las 484.30 ha preliminares de la microcuenca). Su pendiente promedio (30.04 %, clase «25-50% (Mod. escarpado)») es la 6.ª más baja de 8 y se sitúa por encima del promedio de la microcuenca (25.51 %). Su MSAVI 2024 (0.6300) es el 5.º de 8 y queda por encima del promedio local (0.6021). Amplitud altitudinal del bloque: 65 m (3066–3131 msnm). El cuadro conserva todos los bloques catalogados en la microcuenca, incluidos los descartados en el tamizaje, para referencia del conjunto. Los bloques sin ficha DT figuran con sus parámetros de gabinete.</t>
        </is>
      </c>
    </row>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0:H20"/>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55</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«C1086-Q9575»</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9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(0.860 ha) coincide con la de catálogo (0.86 ha) dentro del ±2 % (-0.06 %)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80 % de cobertura vegetal en campo; el NDVI mediana 2025 clasifica 100.00 % del polígono en clases de vegetación</t>
        </is>
      </c>
      <c r="D13" s="12"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Elenco florístico</t>
        </is>
      </c>
      <c r="C14" s="34" t="inlineStr">
        <is>
          <t>La ficha registra 14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Centro poblado asociado</t>
        </is>
      </c>
      <c r="C15" s="36" t="inlineStr">
        <is>
          <t>La ficha DT declara «Huacas»; el cruce INEI-Bloques V5 identifica 1 centro(s) poblado(s) en el bloque: LAS HUACAS</t>
        </is>
      </c>
      <c r="D15" s="12" t="inlineStr">
        <is>
          <t>NO SUSTANTIVA</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8">
      <c r="A18" s="16" t="inlineStr">
        <is>
          <t>RESUMEN</t>
        </is>
      </c>
      <c r="B18" s="17" t="inlineStr">
        <is>
          <t>7 verificaciones</t>
        </is>
      </c>
      <c r="C18" s="17" t="inlineStr">
        <is>
          <t>CONFORME: 3 · NO SUSTANTIVA: 2 · SUSTANTIVA: 2</t>
        </is>
      </c>
      <c r="D18" s="17" t="inlineStr"/>
      <c r="E18" s="17" t="inlineStr"/>
    </row>
    <row r="20" ht="60" customHeight="1">
      <c r="A2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0:E20"/>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55 — IN Piura</dc:title>
  <dc:subject>Diagnóstico Territorial por bloque de intervención</dc:subject>
  <dcterms:created xsi:type="dcterms:W3CDTF">2026-09-08T02:45:02Z</dcterms:created>
  <dcterms:modified xsi:type="dcterms:W3CDTF">2026-09-08T02:45:02Z</dcterms:modified>
</cp:coreProperties>
</file>