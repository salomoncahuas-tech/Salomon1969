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55</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t>
        </is>
      </c>
      <c r="C13" s="6" t="inlineStr">
        <is>
          <t>Comunidad campesina</t>
        </is>
      </c>
      <c r="D13" s="7" t="inlineStr">
        <is>
          <t>No aplica (predios de propiedad privada)</t>
        </is>
      </c>
      <c r="E13" s="8" t="n"/>
      <c r="F13" s="8" t="n"/>
    </row>
    <row r="14">
      <c r="A14" s="6" t="inlineStr">
        <is>
          <t>Superficie de catálogo (V5/V6), ha</t>
        </is>
      </c>
      <c r="B14" s="7" t="n">
        <v>0.86</v>
      </c>
      <c r="C14" s="6" t="inlineStr">
        <is>
          <t>Fuente de superficie</t>
        </is>
      </c>
      <c r="D14" s="7" t="inlineStr">
        <is>
          <t>Catálogo maestro Bloques V5/V6</t>
        </is>
      </c>
      <c r="E14" s="8" t="n"/>
      <c r="F14" s="8" t="n"/>
    </row>
    <row r="15">
      <c r="A15" s="6" t="inlineStr">
        <is>
          <t>Centroide UTM ESTE (m)</t>
        </is>
      </c>
      <c r="B15" s="7" t="n">
        <v>642690</v>
      </c>
      <c r="C15" s="6" t="inlineStr">
        <is>
          <t>Centroide UTM NORTE (m)</t>
        </is>
      </c>
      <c r="D15" s="7" t="n">
        <v>9438409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3066</v>
      </c>
      <c r="C19" s="6" t="inlineStr">
        <is>
          <t>Altitud máxima (msnm)</t>
        </is>
      </c>
      <c r="D19" s="7" t="n">
        <v>3131</v>
      </c>
      <c r="E19" s="8" t="n"/>
      <c r="F19" s="8" t="n"/>
    </row>
    <row r="20">
      <c r="A20" s="6" t="inlineStr">
        <is>
          <t>Amplitud altitudinal (m)</t>
        </is>
      </c>
      <c r="B20" s="7" t="n">
        <v>65</v>
      </c>
      <c r="C20" s="6" t="inlineStr">
        <is>
          <t>Piso altitudinal dominante</t>
        </is>
      </c>
      <c r="D20" s="7" t="inlineStr">
        <is>
          <t>3000-3500 m (Puna baja)</t>
        </is>
      </c>
      <c r="E20" s="8" t="n"/>
      <c r="F20" s="8" t="n"/>
    </row>
    <row r="21">
      <c r="A21" s="6" t="inlineStr">
        <is>
          <t>Pendiente promedio (%)</t>
        </is>
      </c>
      <c r="B21" s="7" t="n">
        <v>30.04</v>
      </c>
      <c r="C21" s="6" t="inlineStr">
        <is>
          <t>Pendiente promedio (grados)</t>
        </is>
      </c>
      <c r="D21" s="7" t="n">
        <v>16.7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v>
      </c>
      <c r="C28" s="6" t="inlineStr">
        <is>
          <t>MSAVI 2024 — clase de la media</t>
        </is>
      </c>
      <c r="D28" s="7" t="inlineStr">
        <is>
          <t>&gt; 0.6139 (Vigor alto)</t>
        </is>
      </c>
      <c r="E28" s="8" t="n"/>
      <c r="F28" s="8" t="n"/>
    </row>
    <row r="29">
      <c r="A29" s="6" t="inlineStr">
        <is>
          <t>Condición frente al umbral 0.4976</t>
        </is>
      </c>
      <c r="B29" s="7" t="inlineStr">
        <is>
          <t>Sobre umbral · distribución areal: 2.17 % del bloque BAJO el umbral (0.019 ha de 0.860 ha)</t>
        </is>
      </c>
      <c r="C29" s="6" t="inlineStr">
        <is>
          <t>NDVI mediana 2025 — clase modal</t>
        </is>
      </c>
      <c r="D29" s="7" t="inlineStr">
        <is>
          <t>Vegetación alta (100.00 %)</t>
        </is>
      </c>
      <c r="E29" s="8" t="n"/>
      <c r="F29" s="8" t="n"/>
    </row>
    <row r="30">
      <c r="A30" s="6" t="inlineStr">
        <is>
          <t>MSAVI 2024 — superficie BAJO el umbral 0.4976 (ha)</t>
        </is>
      </c>
      <c r="B30" s="7" t="n">
        <v>0.019</v>
      </c>
      <c r="C30" s="6" t="inlineStr">
        <is>
          <t>MSAVI 2024 — % del bloque BAJO el umbral</t>
        </is>
      </c>
      <c r="D30" s="7" t="n">
        <v>2.17</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(MSAVI Bloque 55.png)</t>
        </is>
      </c>
      <c r="E31" s="8" t="n"/>
      <c r="F31" s="8" t="n"/>
    </row>
    <row r="32" ht="18" customHeight="1">
      <c r="A32" s="6" t="inlineStr">
        <is>
          <t>Superficie clasificada NDVI 2025 (ha)</t>
        </is>
      </c>
      <c r="B32" s="7" t="n">
        <v>0.86</v>
      </c>
      <c r="C32" s="6" t="inlineStr">
        <is>
          <t>Desviación frente al catálogo (%)</t>
        </is>
      </c>
      <c r="D32" s="7" t="n">
        <v>-0.06</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0.86 ha</t>
        </is>
      </c>
      <c r="E35" s="8" t="n"/>
      <c r="F35" s="8" t="n"/>
    </row>
    <row r="36">
      <c r="A36" s="6" t="inlineStr">
        <is>
          <t>Estado de conservación</t>
        </is>
      </c>
      <c r="B36" s="7" t="inlineStr">
        <is>
          <t>Alterado (intervención marcada)</t>
        </is>
      </c>
      <c r="C36" s="6" t="inlineStr">
        <is>
          <t>Uso actual dominante del suelo</t>
        </is>
      </c>
      <c r="D36" s="7" t="inlineStr">
        <is>
          <t>Pastoreo extensivo</t>
        </is>
      </c>
      <c r="E36" s="8" t="n"/>
      <c r="F36" s="8" t="n"/>
    </row>
    <row r="37">
      <c r="A37" s="6" t="inlineStr">
        <is>
          <t>Tipo de cobertura dominante</t>
        </is>
      </c>
      <c r="B37" s="7" t="inlineStr">
        <is>
          <t>Mixto / Mosaico</t>
        </is>
      </c>
      <c r="C37" s="6" t="inlineStr">
        <is>
          <t>Cobertura vegetal total — campo (%)</t>
        </is>
      </c>
      <c r="D37" s="7" t="n">
        <v>80</v>
      </c>
      <c r="E37" s="8" t="n"/>
      <c r="F37" s="8" t="n"/>
    </row>
    <row r="38">
      <c r="A38" s="6" t="inlineStr">
        <is>
          <t>Suelo desnudo — campo (%)</t>
        </is>
      </c>
      <c r="B38" s="7" t="n">
        <v>20</v>
      </c>
      <c r="C38" s="6" t="inlineStr">
        <is>
          <t>Regeneración natural</t>
        </is>
      </c>
      <c r="D38" s="7" t="inlineStr">
        <is>
          <t>Escasa (&lt;10 pl./100m²)</t>
        </is>
      </c>
      <c r="E38" s="8" t="n"/>
      <c r="F38" s="8" t="n"/>
    </row>
    <row r="39">
      <c r="A39" s="6" t="inlineStr">
        <is>
          <t>Nivel general de erosión</t>
        </is>
      </c>
      <c r="B39" s="7" t="inlineStr">
        <is>
          <t>Ligera (laminar)</t>
        </is>
      </c>
      <c r="C39" s="6" t="inlineStr">
        <is>
          <t>N.° de cárcavas registradas</t>
        </is>
      </c>
      <c r="D39" s="7" t="n">
        <v>1</v>
      </c>
      <c r="E39" s="8" t="n"/>
      <c r="F39" s="8" t="n"/>
    </row>
    <row r="40" ht="18" customHeight="1">
      <c r="A40" s="6" t="inlineStr">
        <is>
          <t>Elenco florístico (n.° de taxones)</t>
        </is>
      </c>
      <c r="B40" s="7" t="n">
        <v>14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 con Ing. Juan Carlos Domínguez Varas y Biól. Abel Aucasime Orihuela</t>
        </is>
      </c>
      <c r="C43" s="6" t="inlineStr">
        <is>
          <t>Fecha de evaluación</t>
        </is>
      </c>
      <c r="D43" s="7" t="inlineStr">
        <is>
          <t>2026-05-26</t>
        </is>
      </c>
      <c r="E43" s="8" t="n"/>
      <c r="F43" s="8" t="n"/>
    </row>
    <row r="44">
      <c r="A44" s="6" t="inlineStr">
        <is>
          <t>Hora de registro</t>
        </is>
      </c>
      <c r="B44" s="7" t="inlineStr">
        <is>
          <t>11:14 a.m. - 12:30 p.m.</t>
        </is>
      </c>
      <c r="C44" s="6" t="inlineStr">
        <is>
          <t>Correlativo de ficha</t>
        </is>
      </c>
      <c r="D44" s="7" t="inlineStr">
        <is>
          <t>F-DT-B55-2026-01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14</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Economía ganadera de subsistencia en predios privados sin manejo silvopastoril, sumada a la debilidad de la gobernanza del territorio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Baja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0.4681</v>
      </c>
      <c r="C10" s="31" t="n">
        <v>54.44</v>
      </c>
      <c r="D10" s="12" t="inlineStr">
        <is>
          <t>Vigor alto</t>
        </is>
      </c>
      <c r="E10" s="12" t="inlineStr">
        <is>
          <t>Sobre umbral</t>
        </is>
      </c>
    </row>
    <row r="11">
      <c r="A11" s="13" t="inlineStr">
        <is>
          <t>0.4976 - 0.6139</t>
        </is>
      </c>
      <c r="B11" s="29" t="n">
        <v>0.3732</v>
      </c>
      <c r="C11" s="28" t="n">
        <v>43.39</v>
      </c>
      <c r="D11" s="14" t="inlineStr">
        <is>
          <t>Vigor moderado</t>
        </is>
      </c>
      <c r="E11" s="14" t="inlineStr">
        <is>
          <t>Sobre umbral</t>
        </is>
      </c>
    </row>
    <row r="12">
      <c r="A12" s="7" t="inlineStr">
        <is>
          <t>0.3813 - 0.4976</t>
        </is>
      </c>
      <c r="B12" s="18" t="n">
        <v>0.0187</v>
      </c>
      <c r="C12" s="19" t="n">
        <v>2.17</v>
      </c>
      <c r="D12" s="15" t="inlineStr">
        <is>
          <t>Vigor bajo</t>
        </is>
      </c>
      <c r="E12" s="15" t="inlineStr">
        <is>
          <t>BAJO umbral 0.4976</t>
        </is>
      </c>
    </row>
    <row r="13">
      <c r="A13" s="13" t="inlineStr">
        <is>
          <t>0.2650 - 0.3813</t>
        </is>
      </c>
      <c r="B13" s="29" t="n">
        <v>0</v>
      </c>
      <c r="C13" s="28"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0.630032</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0.8595</v>
      </c>
      <c r="C22" s="19" t="n">
        <v>100</v>
      </c>
      <c r="D22" s="15" t="inlineStr">
        <is>
          <t>Dosel continuo, matorral denso o mosaico agroforestal</t>
        </is>
      </c>
      <c r="E22" s="15" t="inlineStr"/>
    </row>
    <row r="23">
      <c r="A23" s="16" t="inlineStr">
        <is>
          <t>TOTAL CLASIFICADO</t>
        </is>
      </c>
      <c r="B23" s="20">
        <f>SUM(B21:B21)</f>
        <v/>
      </c>
      <c r="C23" s="21">
        <f>SUM(C21:C21)</f>
        <v/>
      </c>
      <c r="D23" s="17" t="inlineStr"/>
      <c r="E23" s="17" t="inlineStr"/>
    </row>
    <row r="24">
      <c r="A24" s="22" t="inlineStr">
        <is>
          <t>Superficie de catálogo (V5/V6)</t>
        </is>
      </c>
      <c r="B24" s="23" t="n">
        <v>0.86</v>
      </c>
      <c r="C24" s="23" t="inlineStr">
        <is>
          <t>—</t>
        </is>
      </c>
      <c r="D24" s="23" t="inlineStr">
        <is>
          <t>Desviación planimétrica frente al catálogo</t>
        </is>
      </c>
      <c r="E24" s="23" t="inlineStr">
        <is>
          <t>-0.06 %</t>
        </is>
      </c>
    </row>
    <row r="25" ht="108" customHeight="1"/>
    <row r="26">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100.00 % del polígono clasificado como «Vegetación alta» por el NDVI 2025; la observación de campo corresponde a una parcela o recorrido puntual y no es estadísticamente representativa de las 0.860 ha del bloque.</t>
        </is>
      </c>
      <c r="B26" s="38" t="n"/>
      <c r="C26" s="38" t="n"/>
      <c r="D26" s="38" t="n"/>
      <c r="E26" s="39" t="n"/>
    </row>
  </sheetData>
  <mergeCells count="10">
    <mergeCell ref="A4:E4"/>
    <mergeCell ref="A26:E26"/>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55</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4" t="n">
        <v>642690</v>
      </c>
      <c r="D10" s="24" t="n">
        <v>9438400</v>
      </c>
      <c r="E10" s="15" t="n">
        <v>9</v>
      </c>
      <c r="F10" s="15" t="inlineStr"/>
      <c r="G10" s="15" t="inlineStr">
        <is>
          <t>Coordenada consignada en F-DT-01</t>
        </is>
      </c>
    </row>
    <row r="11">
      <c r="A11" s="13" t="inlineStr">
        <is>
          <t>C-01</t>
        </is>
      </c>
      <c r="B11" s="14" t="inlineStr">
        <is>
          <t>Rasgo erosivo — Surco (&lt;30 cm)</t>
        </is>
      </c>
      <c r="C11" s="25" t="n">
        <v>641610</v>
      </c>
      <c r="D11" s="25" t="n">
        <v>9437872</v>
      </c>
      <c r="E11" s="14" t="n">
        <v>1206.1</v>
      </c>
      <c r="F11" s="14" t="inlineStr">
        <is>
          <t>Activa</t>
        </is>
      </c>
      <c r="G11" s="14" t="inlineStr">
        <is>
          <t>Caminos / huellas de ganado</t>
        </is>
      </c>
    </row>
    <row r="12">
      <c r="A12" s="7" t="inlineStr">
        <is>
          <t>C-02</t>
        </is>
      </c>
      <c r="B12" s="15" t="inlineStr">
        <is>
          <t>Rasgo erosivo — Cárcava incipiente (30-50 cm)</t>
        </is>
      </c>
      <c r="C12" s="24" t="n">
        <v>641586</v>
      </c>
      <c r="D12" s="24" t="n">
        <v>9437832</v>
      </c>
      <c r="E12" s="15" t="n">
        <v>1245.7</v>
      </c>
      <c r="F12" s="15" t="inlineStr">
        <is>
          <t>Semi-activa</t>
        </is>
      </c>
      <c r="G12" s="15" t="inlineStr">
        <is>
          <t>Sobrepastoreo</t>
        </is>
      </c>
    </row>
    <row r="13">
      <c r="A13" s="13" t="inlineStr">
        <is>
          <t>C-03</t>
        </is>
      </c>
      <c r="B13" s="14" t="inlineStr">
        <is>
          <t>Rasgo erosivo — Cárcava somera (0.5-2 m)</t>
        </is>
      </c>
      <c r="C13" s="25" t="n">
        <v>641360</v>
      </c>
      <c r="D13" s="25" t="n">
        <v>9437903</v>
      </c>
      <c r="E13" s="14" t="n">
        <v>1423</v>
      </c>
      <c r="F13" s="14" t="inlineStr">
        <is>
          <t>Activa</t>
        </is>
      </c>
      <c r="G13" s="14" t="inlineStr">
        <is>
          <t>Concentración natural de escorrentía</t>
        </is>
      </c>
    </row>
    <row r="14">
      <c r="A14" s="7" t="inlineStr">
        <is>
          <t>H-01</t>
        </is>
      </c>
      <c r="B14" s="15" t="inlineStr">
        <is>
          <t>Fuente de agua — Quebrada estacional</t>
        </is>
      </c>
      <c r="C14" s="24" t="n">
        <v>641450</v>
      </c>
      <c r="D14" s="24" t="n">
        <v>9438050</v>
      </c>
      <c r="E14" s="15" t="n">
        <v>1290.9</v>
      </c>
      <c r="F14" s="15" t="inlineStr">
        <is>
          <t>Estacional (lluvias)</t>
        </is>
      </c>
      <c r="G14" s="15" t="inlineStr">
        <is>
          <t>Drenaje natural Q9575</t>
        </is>
      </c>
    </row>
    <row r="15">
      <c r="A15" s="13" t="inlineStr">
        <is>
          <t>H-02</t>
        </is>
      </c>
      <c r="B15" s="14" t="inlineStr">
        <is>
          <t>Fuente de agua — Manantial / Puquio</t>
        </is>
      </c>
      <c r="C15" s="25" t="n">
        <v>641680</v>
      </c>
      <c r="D15" s="25" t="n">
        <v>9437950</v>
      </c>
      <c r="E15" s="14" t="n">
        <v>1109.4</v>
      </c>
      <c r="F15" s="14" t="inlineStr">
        <is>
          <t>Permanente</t>
        </is>
      </c>
      <c r="G15" s="14" t="inlineStr">
        <is>
          <t>Manantial pequeño</t>
        </is>
      </c>
    </row>
    <row r="16">
      <c r="A16" s="7" t="inlineStr">
        <is>
          <t>B-01</t>
        </is>
      </c>
      <c r="B16" s="15" t="inlineStr">
        <is>
          <t>Especie clave — Polylepis racemosa (Queñual)</t>
        </is>
      </c>
      <c r="C16" s="24" t="n">
        <v>641675</v>
      </c>
      <c r="D16" s="24" t="n">
        <v>9437943</v>
      </c>
      <c r="E16" s="15" t="n">
        <v>1116.9</v>
      </c>
      <c r="F16" s="15" t="inlineStr">
        <is>
          <t>Amenazada D.S. 043</t>
        </is>
      </c>
      <c r="G16" s="15" t="inlineStr">
        <is>
          <t>VU — Vulnerable</t>
        </is>
      </c>
    </row>
    <row r="17">
      <c r="A17" s="13" t="inlineStr">
        <is>
          <t>B-02</t>
        </is>
      </c>
      <c r="B17" s="14" t="inlineStr">
        <is>
          <t>Especie clave — Juglans neotropica (Nogal)</t>
        </is>
      </c>
      <c r="C17" s="25" t="n">
        <v>641675</v>
      </c>
      <c r="D17" s="25" t="n">
        <v>9437943</v>
      </c>
      <c r="E17" s="14" t="n">
        <v>1116.9</v>
      </c>
      <c r="F17" s="14" t="inlineStr">
        <is>
          <t>Amenazada D.S. 043</t>
        </is>
      </c>
      <c r="G17" s="14" t="inlineStr">
        <is>
          <t>EN — En Peligro</t>
        </is>
      </c>
    </row>
    <row r="18">
      <c r="A18" s="7" t="inlineStr">
        <is>
          <t>B-03</t>
        </is>
      </c>
      <c r="B18" s="15" t="inlineStr">
        <is>
          <t>Especie clave — Cedrela montana (Cedro)</t>
        </is>
      </c>
      <c r="C18" s="24" t="n">
        <v>641675</v>
      </c>
      <c r="D18" s="24" t="n">
        <v>9437943</v>
      </c>
      <c r="E18" s="15" t="n">
        <v>1116.9</v>
      </c>
      <c r="F18" s="15" t="inlineStr">
        <is>
          <t>Amenazada D.S. 043</t>
        </is>
      </c>
      <c r="G18" s="15" t="inlineStr">
        <is>
          <t>VU — Vulnerable</t>
        </is>
      </c>
    </row>
    <row r="19">
      <c r="A19" s="13" t="inlineStr">
        <is>
          <t>B-04</t>
        </is>
      </c>
      <c r="B19" s="14" t="inlineStr">
        <is>
          <t>Especie clave — Podocarpus oleifolius (Romerillo)</t>
        </is>
      </c>
      <c r="C19" s="25" t="n">
        <v>641675</v>
      </c>
      <c r="D19" s="25" t="n">
        <v>9437943</v>
      </c>
      <c r="E19" s="14" t="n">
        <v>1116.9</v>
      </c>
      <c r="F19" s="14" t="inlineStr">
        <is>
          <t>Amenazada D.S. 043</t>
        </is>
      </c>
      <c r="G19" s="14" t="inlineStr">
        <is>
          <t>NT — Casi Amenazado</t>
        </is>
      </c>
    </row>
    <row r="20">
      <c r="A20" s="7" t="inlineStr">
        <is>
          <t>B-05</t>
        </is>
      </c>
      <c r="B20" s="15" t="inlineStr">
        <is>
          <t>Especie clave — Alnus acuminata (Aliso)</t>
        </is>
      </c>
      <c r="C20" s="24" t="n">
        <v>641618</v>
      </c>
      <c r="D20" s="24" t="n">
        <v>9437881</v>
      </c>
      <c r="E20" s="15" t="n">
        <v>1195</v>
      </c>
      <c r="F20" s="15" t="inlineStr">
        <is>
          <t>Indicadora de buen estado</t>
        </is>
      </c>
      <c r="G20" s="15" t="inlineStr">
        <is>
          <t>LC</t>
        </is>
      </c>
    </row>
    <row r="21">
      <c r="A21" s="16" t="inlineStr">
        <is>
          <t>TOTAL: 11 puntos</t>
        </is>
      </c>
      <c r="B21" s="17" t="inlineStr"/>
      <c r="C21" s="17" t="inlineStr"/>
      <c r="D21" s="17" t="inlineStr"/>
      <c r="E21" s="17" t="inlineStr"/>
      <c r="F21" s="17" t="inlineStr"/>
      <c r="G21" s="17" t="inlineStr"/>
    </row>
    <row r="23">
      <c r="A23" s="6" t="inlineStr">
        <is>
          <t>Centroide del bloque — UTM ESTE (m)</t>
        </is>
      </c>
      <c r="B23" s="7" t="n">
        <v>642690</v>
      </c>
      <c r="C23" s="6" t="inlineStr">
        <is>
          <t>Centroide del bloque — UTM NORTE (m)</t>
        </is>
      </c>
      <c r="D23" s="7" t="n">
        <v>9438409</v>
      </c>
      <c r="E23" s="8" t="n"/>
      <c r="F23" s="8" t="n"/>
      <c r="G23" s="8" t="n"/>
      <c r="H23" s="8" t="n"/>
    </row>
    <row r="24">
      <c r="A24" s="6" t="inlineStr">
        <is>
          <t>N.° de estaciones fotográficas declaradas</t>
        </is>
      </c>
      <c r="B24" s="7" t="n">
        <v>14</v>
      </c>
      <c r="C24" s="6" t="inlineStr">
        <is>
          <t>Estaciones dentro del polígono</t>
        </is>
      </c>
      <c r="D24" s="7" t="inlineStr">
        <is>
          <t>Por determinar</t>
        </is>
      </c>
      <c r="E24" s="8" t="n"/>
      <c r="F24" s="8" t="n"/>
      <c r="G24" s="8" t="n"/>
      <c r="H24" s="8" t="n"/>
    </row>
    <row r="26" ht="120" customHeight="1">
      <c r="A2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carretera PI-124 desde Yamango, empalmando con trocha carrozable; ingreso final a pie (~40 min) desde 643951 E / 9438198 N. La MORFOLOGÍA EN HONDONADA/ANFITEATRO CÓNCAVO sugiere un proceso de remoción en masa RELICTO (antiguo), hoy estabilizado por cobertura vegetal. En el corte de talud de la trocha se observan suelos residuales (saprolíticos) y raíces expuestas, susceptibles a desprendimientos en época lluviosa.</t>
        </is>
      </c>
      <c r="B26" s="38" t="n"/>
      <c r="C26" s="38" t="n"/>
      <c r="D26" s="38" t="n"/>
      <c r="E26" s="38" t="n"/>
      <c r="F26" s="38" t="n"/>
      <c r="G26" s="39" t="n"/>
    </row>
  </sheetData>
  <mergeCells count="8">
    <mergeCell ref="A1:G1"/>
    <mergeCell ref="A8:G8"/>
    <mergeCell ref="A3:G3"/>
    <mergeCell ref="A6:G6"/>
    <mergeCell ref="A4:G4"/>
    <mergeCell ref="A26:G26"/>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55</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6" t="n">
        <v>283.43</v>
      </c>
      <c r="C10" s="19" t="n">
        <v>58.52</v>
      </c>
      <c r="D10" s="15" t="inlineStr">
        <is>
          <t>297 – 634</t>
        </is>
      </c>
      <c r="E10" s="15" t="n">
        <v>337</v>
      </c>
      <c r="F10" s="15" t="n">
        <v>13.75</v>
      </c>
      <c r="G10" s="18" t="n">
        <v>0.4275</v>
      </c>
      <c r="H10" s="19" t="n">
        <v>18.09</v>
      </c>
    </row>
    <row r="11">
      <c r="A11" s="13" t="inlineStr">
        <is>
          <t>M28B2</t>
        </is>
      </c>
      <c r="B11" s="27" t="n">
        <v>90.2</v>
      </c>
      <c r="C11" s="28" t="n">
        <v>18.62</v>
      </c>
      <c r="D11" s="14" t="inlineStr">
        <is>
          <t>754 – 1111</t>
        </is>
      </c>
      <c r="E11" s="14" t="n">
        <v>357</v>
      </c>
      <c r="F11" s="14" t="n">
        <v>20.65</v>
      </c>
      <c r="G11" s="29" t="n">
        <v>0.4753</v>
      </c>
      <c r="H11" s="28" t="n">
        <v>37.12</v>
      </c>
    </row>
    <row r="12">
      <c r="A12" s="7" t="inlineStr">
        <is>
          <t>M28B3</t>
        </is>
      </c>
      <c r="B12" s="26" t="n">
        <v>58.29</v>
      </c>
      <c r="C12" s="19" t="n">
        <v>12.04</v>
      </c>
      <c r="D12" s="15" t="inlineStr">
        <is>
          <t>73 – 777</t>
        </is>
      </c>
      <c r="E12" s="15" t="n">
        <v>704</v>
      </c>
      <c r="F12" s="15" t="n">
        <v>22.13</v>
      </c>
      <c r="G12" s="18" t="n">
        <v>0.5075</v>
      </c>
      <c r="H12" s="19" t="n">
        <v>45.27</v>
      </c>
    </row>
    <row r="13">
      <c r="A13" s="13" t="inlineStr">
        <is>
          <t>46</t>
        </is>
      </c>
      <c r="B13" s="27" t="n">
        <v>18.87</v>
      </c>
      <c r="C13" s="28" t="n">
        <v>3.9</v>
      </c>
      <c r="D13" s="14" t="inlineStr">
        <is>
          <t>1371 – 1655</t>
        </is>
      </c>
      <c r="E13" s="14" t="n">
        <v>284</v>
      </c>
      <c r="F13" s="14" t="n">
        <v>31.77</v>
      </c>
      <c r="G13" s="29" t="n">
        <v>0.7244</v>
      </c>
      <c r="H13" s="28" t="inlineStr">
        <is>
          <t>Por determinar</t>
        </is>
      </c>
    </row>
    <row r="14">
      <c r="A14" s="7" t="inlineStr">
        <is>
          <t>49</t>
        </is>
      </c>
      <c r="B14" s="26" t="n">
        <v>15.84</v>
      </c>
      <c r="C14" s="19" t="n">
        <v>3.27</v>
      </c>
      <c r="D14" s="15" t="inlineStr">
        <is>
          <t>3065 – 3246</t>
        </is>
      </c>
      <c r="E14" s="15" t="n">
        <v>181</v>
      </c>
      <c r="F14" s="15" t="n">
        <v>25.96</v>
      </c>
      <c r="G14" s="18" t="n">
        <v>0.6860000000000001</v>
      </c>
      <c r="H14" s="19" t="n">
        <v>98.8</v>
      </c>
    </row>
    <row r="15">
      <c r="A15" s="13" t="inlineStr">
        <is>
          <t>52</t>
        </is>
      </c>
      <c r="B15" s="27" t="n">
        <v>11.06</v>
      </c>
      <c r="C15" s="28" t="n">
        <v>2.28</v>
      </c>
      <c r="D15" s="14" t="inlineStr">
        <is>
          <t>3011 – 3164</t>
        </is>
      </c>
      <c r="E15" s="14" t="n">
        <v>153</v>
      </c>
      <c r="F15" s="14" t="n">
        <v>26.16</v>
      </c>
      <c r="G15" s="29" t="n">
        <v>0.6685</v>
      </c>
      <c r="H15" s="28" t="n">
        <v>97.31999999999999</v>
      </c>
    </row>
    <row r="16">
      <c r="A16" s="7" t="inlineStr">
        <is>
          <t>48</t>
        </is>
      </c>
      <c r="B16" s="26" t="n">
        <v>5.75</v>
      </c>
      <c r="C16" s="19" t="n">
        <v>1.19</v>
      </c>
      <c r="D16" s="15" t="inlineStr">
        <is>
          <t>1458 – 1595</t>
        </is>
      </c>
      <c r="E16" s="15" t="n">
        <v>137</v>
      </c>
      <c r="F16" s="15" t="n">
        <v>33.6</v>
      </c>
      <c r="G16" s="18" t="n">
        <v>0.6978</v>
      </c>
      <c r="H16" s="19" t="inlineStr">
        <is>
          <t>Por determinar</t>
        </is>
      </c>
    </row>
    <row r="17">
      <c r="A17" s="11" t="inlineStr">
        <is>
          <t>► 55</t>
        </is>
      </c>
      <c r="B17" s="30" t="n">
        <v>0.86</v>
      </c>
      <c r="C17" s="31" t="n">
        <v>0.18</v>
      </c>
      <c r="D17" s="12" t="inlineStr">
        <is>
          <t>3066 – 3131</t>
        </is>
      </c>
      <c r="E17" s="12" t="n">
        <v>65</v>
      </c>
      <c r="F17" s="12" t="n">
        <v>30.04</v>
      </c>
      <c r="G17" s="32" t="n">
        <v>0.63</v>
      </c>
      <c r="H17" s="31" t="n">
        <v>100</v>
      </c>
    </row>
    <row r="18">
      <c r="A18" s="16" t="inlineStr">
        <is>
          <t>TOTAL / PROMEDIO</t>
        </is>
      </c>
      <c r="B18" s="33">
        <f>SUM(B10:B17)</f>
        <v/>
      </c>
      <c r="C18" s="21">
        <f>SUM(C10:C17)</f>
        <v/>
      </c>
      <c r="D18" s="17" t="inlineStr">
        <is>
          <t>73 – 3246</t>
        </is>
      </c>
      <c r="E18" s="17" t="inlineStr"/>
      <c r="F18" s="17">
        <f>ROUND(AVERAGE(F10:F17),2)</f>
        <v/>
      </c>
      <c r="G18" s="20">
        <f>ROUND(AVERAGE(G10:G17),4)</f>
        <v/>
      </c>
      <c r="H18" s="21">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38" t="n"/>
      <c r="C19" s="38" t="n"/>
      <c r="D19" s="38" t="n"/>
      <c r="E19" s="38" t="n"/>
      <c r="F19" s="38" t="n"/>
      <c r="G19" s="38" t="n"/>
      <c r="H19" s="39" t="n"/>
    </row>
    <row r="21" ht="84" customHeight="1">
      <c r="A21" s="9" t="inlineStr">
        <is>
          <t>LECTURA INTRAMICROCUENCA. El bloque 55 ocupa el puesto 8 de 8 por superficie dentro de la microcuenca C1086-Q9575 (0.18 % de las 484.30 ha preliminares de la microcuenca). Su pendiente promedio (30.04 %, clase «25-50% (Mod. escarpado)») es la 6.ª más baja de 8 y se sitúa por encima del promedio de la microcuenca (25.51 %). Su MSAVI 2024 (0.6300) es el 5.º de 8 y queda por encima del promedio local (0.6021). Amplitud altitudinal del bloque: 65 m (3066–3131 msnm). El cuadro conserva todos los bloques catalogados en la microcuenca, incluidos los descartados en el tamizaje, para referencia del conjunto. Los bloques sin ficha DT figuran con sus parámetros de gabinete.</t>
        </is>
      </c>
      <c r="B21" s="38" t="n"/>
      <c r="C21" s="38" t="n"/>
      <c r="D21" s="38" t="n"/>
      <c r="E21" s="38" t="n"/>
      <c r="F21" s="38" t="n"/>
      <c r="G21" s="38" t="n"/>
      <c r="H21" s="39"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3" s="38" t="n"/>
      <c r="C23" s="38" t="n"/>
      <c r="D23" s="38" t="n"/>
      <c r="E23" s="38" t="n"/>
      <c r="F23" s="38" t="n"/>
      <c r="G23" s="38" t="n"/>
      <c r="H23" s="39" t="n"/>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(0.860 ha) coincide con la de catálogo (0.86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«Huacas»; el cruce INEI-Bloques V5 identifica 1 centro(s) poblado(s) en el bloque: LAS HUACAS</t>
        </is>
      </c>
      <c r="D15" s="12"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2.17 % del bloque (0.019 ha) bajo el umbral 0.4976 y 97.83 % sobre el umbral; clase areal dominante «Vigor alto».</t>
        </is>
      </c>
      <c r="D17" s="37"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3 · NO SUSTANTIVA: 2 · SUSTANTIVA: 2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55 — IN Piura</dc:title>
  <dc:subject>Diagnóstico Territorial por bloque de intervención</dc:subject>
  <dcterms:created xsi:type="dcterms:W3CDTF">2026-09-08T03:39:54Z</dcterms:created>
  <dcterms:modified xsi:type="dcterms:W3CDTF">2026-09-09T14:49:43Z</dcterms:modified>
</cp:coreProperties>
</file>