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M22B1</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M22B1</t>
        </is>
      </c>
      <c r="C9" s="6" t="inlineStr">
        <is>
          <t>Microcuenca (catálogo)</t>
        </is>
      </c>
      <c r="D9" s="7" t="inlineStr">
        <is>
          <t>C1076-Q9586</t>
        </is>
      </c>
      <c r="E9" s="8" t="n"/>
      <c r="F9" s="8" t="n"/>
    </row>
    <row r="10">
      <c r="A10" s="6" t="inlineStr">
        <is>
          <t>Zona de planificación</t>
        </is>
      </c>
      <c r="B10" s="7" t="inlineStr">
        <is>
          <t>Z12</t>
        </is>
      </c>
      <c r="C10" s="6" t="inlineStr">
        <is>
          <t>Microcuenca declarada en ficha DT</t>
        </is>
      </c>
      <c r="D10" s="7" t="inlineStr">
        <is>
          <t>C1076-Q9586</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San Miguel de El Faique</t>
        </is>
      </c>
      <c r="C12" s="6" t="inlineStr">
        <is>
          <t>Capital distrital</t>
        </is>
      </c>
      <c r="D12" s="7" t="inlineStr">
        <is>
          <t>San Miguel de El Faique</t>
        </is>
      </c>
      <c r="E12" s="8" t="n"/>
      <c r="F12" s="8" t="n"/>
    </row>
    <row r="13">
      <c r="A13" s="6" t="inlineStr">
        <is>
          <t>Centro poblado asociado</t>
        </is>
      </c>
      <c r="B13" s="7" t="inlineStr">
        <is>
          <t>Santa Rosa</t>
        </is>
      </c>
      <c r="C13" s="6" t="inlineStr">
        <is>
          <t>Comunidad campesina</t>
        </is>
      </c>
      <c r="D13" s="7" t="inlineStr">
        <is>
          <t>No consignada</t>
        </is>
      </c>
      <c r="E13" s="8" t="n"/>
      <c r="F13" s="8" t="n"/>
    </row>
    <row r="14">
      <c r="A14" s="6" t="inlineStr">
        <is>
          <t>Superficie de catálogo (V5/V6), ha</t>
        </is>
      </c>
      <c r="B14" s="7" t="n">
        <v>55.17</v>
      </c>
      <c r="C14" s="6" t="inlineStr">
        <is>
          <t>Fuente de superficie</t>
        </is>
      </c>
      <c r="D14" s="7" t="inlineStr">
        <is>
          <t>Catálogo maestro Bloques V5/V6</t>
        </is>
      </c>
      <c r="E14" s="8" t="n"/>
      <c r="F14" s="8" t="n"/>
    </row>
    <row r="15">
      <c r="A15" s="6" t="inlineStr">
        <is>
          <t>Centroide UTM ESTE (m)</t>
        </is>
      </c>
      <c r="B15" s="7" t="n">
        <v>664082</v>
      </c>
      <c r="C15" s="6" t="inlineStr">
        <is>
          <t>Centroide UTM NORTE (m)</t>
        </is>
      </c>
      <c r="D15" s="7" t="n">
        <v>9404172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3216</v>
      </c>
      <c r="C19" s="6" t="inlineStr">
        <is>
          <t>Altitud máxima (msnm)</t>
        </is>
      </c>
      <c r="D19" s="7" t="n">
        <v>3436</v>
      </c>
      <c r="E19" s="8" t="n"/>
      <c r="F19" s="8" t="n"/>
    </row>
    <row r="20">
      <c r="A20" s="6" t="inlineStr">
        <is>
          <t>Amplitud altitudinal (m)</t>
        </is>
      </c>
      <c r="B20" s="7" t="n">
        <v>220</v>
      </c>
      <c r="C20" s="6" t="inlineStr">
        <is>
          <t>Piso altitudinal dominante</t>
        </is>
      </c>
      <c r="D20" s="7" t="inlineStr">
        <is>
          <t>3000-3500 m (Puna baja)</t>
        </is>
      </c>
      <c r="E20" s="8" t="n"/>
      <c r="F20" s="8" t="n"/>
    </row>
    <row r="21">
      <c r="A21" s="6" t="inlineStr">
        <is>
          <t>Pendiente promedio (%)</t>
        </is>
      </c>
      <c r="B21" s="7" t="n">
        <v>19.98</v>
      </c>
      <c r="C21" s="6" t="inlineStr">
        <is>
          <t>Pendiente promedio (grados)</t>
        </is>
      </c>
      <c r="D21" s="7" t="n">
        <v>11.3</v>
      </c>
      <c r="E21" s="8" t="n"/>
      <c r="F21" s="8" t="n"/>
    </row>
    <row r="22">
      <c r="A22" s="6" t="inlineStr">
        <is>
          <t>Clase de pendiente equivalente</t>
        </is>
      </c>
      <c r="B22" s="7" t="inlineStr">
        <is>
          <t>15-25% (Fuert. inclinado)</t>
        </is>
      </c>
      <c r="C22" s="6" t="inlineStr">
        <is>
          <t>Rango de pendiente declarado en campo</t>
        </is>
      </c>
      <c r="D22" s="7" t="inlineStr">
        <is>
          <t>25-50% (Mod. escarpado) — pendiente media 26.5%, máxima 44.3% según MDE</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 (derivada del perfil del MDE, no de lectura de brújula en campo)</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Por determinar</t>
        </is>
      </c>
      <c r="E25" s="8" t="n"/>
      <c r="F25" s="8" t="n"/>
    </row>
    <row r="26"/>
    <row r="27" ht="18" customHeight="1">
      <c r="A27" s="5" t="inlineStr">
        <is>
          <t>3. ÍNDICES DE VEGETACIÓN (SENTINEL-2)</t>
        </is>
      </c>
    </row>
    <row r="28">
      <c r="A28" s="6" t="inlineStr">
        <is>
          <t>MSAVI 2024 — media del bloque</t>
        </is>
      </c>
      <c r="B28" s="7" t="n">
        <v>0.594</v>
      </c>
      <c r="C28" s="6" t="inlineStr">
        <is>
          <t>MSAVI 2024 — clase de la media</t>
        </is>
      </c>
      <c r="D28" s="7" t="inlineStr">
        <is>
          <t>0.4976 - 0.6139 (Vigor moderado)</t>
        </is>
      </c>
      <c r="E28" s="8" t="n"/>
      <c r="F28" s="8" t="n"/>
    </row>
    <row r="29">
      <c r="A29" s="6" t="inlineStr">
        <is>
          <t>Condición frente al umbral 0.4976</t>
        </is>
      </c>
      <c r="B29" s="7" t="inlineStr">
        <is>
          <t>Sobre umbral · distribución areal: 3.90 % del bloque BAJO el umbral (2.152 ha de 55.170 ha)</t>
        </is>
      </c>
      <c r="C29" s="6" t="inlineStr">
        <is>
          <t>NDVI mediana 2025 — clase modal</t>
        </is>
      </c>
      <c r="D29" s="7" t="inlineStr">
        <is>
          <t>Vegetación alta (91.05 %)</t>
        </is>
      </c>
      <c r="E29" s="8" t="n"/>
      <c r="F29" s="8" t="n"/>
    </row>
    <row r="30">
      <c r="A30" s="6" t="inlineStr">
        <is>
          <t>MSAVI 2024 — superficie BAJO el umbral 0.4976 (ha)</t>
        </is>
      </c>
      <c r="B30" s="7" t="n">
        <v>2.152</v>
      </c>
      <c r="C30" s="6" t="inlineStr">
        <is>
          <t>MSAVI 2024 — % del bloque BAJO el umbral</t>
        </is>
      </c>
      <c r="D30" s="7" t="n">
        <v>3.9</v>
      </c>
      <c r="E30" s="8" t="n"/>
      <c r="F30" s="8" t="n"/>
    </row>
    <row r="31">
      <c r="A31" s="6" t="inlineStr">
        <is>
          <t>MSAVI 2024 — clase areal dominante</t>
        </is>
      </c>
      <c r="B31" s="7" t="inlineStr">
        <is>
          <t>Vigor moderado</t>
        </is>
      </c>
      <c r="C31" s="6" t="inlineStr">
        <is>
          <t>MSAVI 2024 — fuente de la distribución areal</t>
        </is>
      </c>
      <c r="D31" s="7" t="inlineStr">
        <is>
          <t>Conteo de celdas sobre la cartografía MSAVI 2024 del bloque (M22B1.png)</t>
        </is>
      </c>
      <c r="E31" s="8" t="n"/>
      <c r="F31" s="8" t="n"/>
    </row>
    <row r="32" ht="18" customHeight="1">
      <c r="A32" s="6" t="inlineStr">
        <is>
          <t>Superficie clasificada NDVI 2025 (ha)</t>
        </is>
      </c>
      <c r="B32" s="7" t="n">
        <v>55.177</v>
      </c>
      <c r="C32" s="6" t="inlineStr">
        <is>
          <t>Desviación frente al catálogo (%)</t>
        </is>
      </c>
      <c r="D32" s="7" t="n">
        <v>0.01</v>
      </c>
      <c r="E32" s="8" t="n"/>
      <c r="F32" s="8" t="n"/>
    </row>
    <row r="33"/>
    <row r="34">
      <c r="A34" s="5" t="inlineStr">
        <is>
          <t>4. ECOSISTEMA Y ESTADO DE CONSERVACIÓN</t>
        </is>
      </c>
    </row>
    <row r="35">
      <c r="A35" s="6" t="inlineStr">
        <is>
          <t>Tipo de ecosistema (UP)</t>
        </is>
      </c>
      <c r="B35" s="7" t="inlineStr">
        <is>
          <t>Páramo (44.89 ha, 81.4%) y Matorral andino (10.28 ha, 18.6%)</t>
        </is>
      </c>
      <c r="C35" s="6" t="inlineStr">
        <is>
          <t>Superficie de ecosistema (ha)</t>
        </is>
      </c>
      <c r="D35" s="7" t="inlineStr">
        <is>
          <t>55.17 ha (100% del bloque): 44.89 ha de Páramo + 10.28 ha de Matorral andino</t>
        </is>
      </c>
      <c r="E35" s="8" t="n"/>
      <c r="F35" s="8" t="n"/>
    </row>
    <row r="36">
      <c r="A36" s="6" t="inlineStr">
        <is>
          <t>Estado de conservación</t>
        </is>
      </c>
      <c r="B36" s="7" t="inlineStr">
        <is>
          <t>Medianamente alterado</t>
        </is>
      </c>
      <c r="C36" s="6" t="inlineStr">
        <is>
          <t>Uso actual dominante del suelo</t>
        </is>
      </c>
      <c r="D36" s="7" t="inlineStr">
        <is>
          <t>Pastoreo extensivo con quema de renovación</t>
        </is>
      </c>
      <c r="E36" s="8" t="n"/>
      <c r="F36" s="8" t="n"/>
    </row>
    <row r="37">
      <c r="A37" s="6" t="inlineStr">
        <is>
          <t>Tipo de cobertura dominante</t>
        </is>
      </c>
      <c r="B37" s="7" t="inlineStr">
        <is>
          <t>Matorral / pajonal de páramo</t>
        </is>
      </c>
      <c r="C37" s="6" t="inlineStr">
        <is>
          <t>Cobertura vegetal total — campo (%)</t>
        </is>
      </c>
      <c r="D37" s="7" t="n">
        <v>85</v>
      </c>
      <c r="E37" s="8" t="n"/>
      <c r="F37" s="8" t="n"/>
    </row>
    <row r="38">
      <c r="A38" s="6" t="inlineStr">
        <is>
          <t>Suelo desnudo — campo (%)</t>
        </is>
      </c>
      <c r="B38" s="7" t="n">
        <v>8</v>
      </c>
      <c r="C38" s="6" t="inlineStr">
        <is>
          <t>Regeneración natural</t>
        </is>
      </c>
      <c r="D38" s="7" t="inlineStr">
        <is>
          <t>Por determinar</t>
        </is>
      </c>
      <c r="E38" s="8" t="n"/>
      <c r="F38" s="8" t="n"/>
    </row>
    <row r="39">
      <c r="A39" s="6" t="inlineStr">
        <is>
          <t>Nivel general de erosión</t>
        </is>
      </c>
      <c r="B39" s="7" t="inlineStr">
        <is>
          <t>Moderada (surcos)</t>
        </is>
      </c>
      <c r="C39" s="6" t="inlineStr">
        <is>
          <t>N.° de cárcavas registradas</t>
        </is>
      </c>
      <c r="D39" s="7" t="n">
        <v>1</v>
      </c>
      <c r="E39" s="8" t="n"/>
      <c r="F39" s="8" t="n"/>
    </row>
    <row r="40" ht="18" customHeight="1">
      <c r="A40" s="6" t="inlineStr">
        <is>
          <t>Elenco florístico (n.° de taxones)</t>
        </is>
      </c>
      <c r="B40" s="7" t="n">
        <v>15</v>
      </c>
      <c r="C40" s="6" t="inlineStr">
        <is>
          <t>Estado sanitario</t>
        </is>
      </c>
      <c r="D40" s="7" t="inlineStr">
        <is>
          <t>Rebrote vigoroso (rebrote observado entre fustes carbonizados)</t>
        </is>
      </c>
      <c r="E40" s="8" t="n"/>
      <c r="F40" s="8" t="n"/>
    </row>
    <row r="41"/>
    <row r="42">
      <c r="A42" s="5" t="inlineStr">
        <is>
          <t>5. RESPONSABLE Y MODALIDAD DE LA EVALUACIÓN</t>
        </is>
      </c>
    </row>
    <row r="43">
      <c r="A43" s="6" t="inlineStr">
        <is>
          <t>Responsable de la evaluación</t>
        </is>
      </c>
      <c r="B43" s="7" t="inlineStr">
        <is>
          <t>Ing. Héctor S. Cahuas Miller</t>
        </is>
      </c>
      <c r="C43" s="6" t="inlineStr">
        <is>
          <t>Fecha de evaluación</t>
        </is>
      </c>
      <c r="D43" s="7" t="inlineStr">
        <is>
          <t>2026-07-22</t>
        </is>
      </c>
      <c r="E43" s="8" t="n"/>
      <c r="F43" s="8" t="n"/>
    </row>
    <row r="44">
      <c r="A44" s="6" t="inlineStr">
        <is>
          <t>Hora de registro</t>
        </is>
      </c>
      <c r="B44" s="7" t="inlineStr">
        <is>
          <t>10:27 - 12:01 h</t>
        </is>
      </c>
      <c r="C44" s="6" t="inlineStr">
        <is>
          <t>Correlativo de ficha</t>
        </is>
      </c>
      <c r="D44" s="7" t="inlineStr">
        <is>
          <t>F-DT-M22B1-01</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Por determinar</t>
        </is>
      </c>
      <c r="E46" s="8" t="n"/>
      <c r="F46" s="8" t="n"/>
    </row>
    <row r="47" ht="18" customHeight="1">
      <c r="A47" s="6" t="inlineStr">
        <is>
          <t>Estaciones fotográficas georreferenciadas</t>
        </is>
      </c>
      <c r="B47" s="7" t="n">
        <v>11</v>
      </c>
      <c r="C47" s="6" t="inlineStr">
        <is>
          <t>Modalidad de acceso</t>
        </is>
      </c>
      <c r="D47" s="7" t="inlineStr">
        <is>
          <t>Vehicular + caminata</t>
        </is>
      </c>
      <c r="E47" s="8" t="n"/>
      <c r="F47" s="8" t="n"/>
    </row>
    <row r="48"/>
    <row r="49">
      <c r="A49" s="5" t="inlineStr">
        <is>
          <t>6. SÍNTESIS PARA LA GESTIÓN DEL RIESGO EN CONTEXTO DE CAMBIO CLIMÁTICO</t>
        </is>
      </c>
    </row>
    <row r="50">
      <c r="A50" s="6" t="inlineStr">
        <is>
          <t>Causa subyacente principal</t>
        </is>
      </c>
      <c r="B50" s="7" t="inlineStr">
        <is>
          <t>No consignada en el formato de campo</t>
        </is>
      </c>
      <c r="C50" s="6" t="inlineStr">
        <is>
          <t>Velocidad de degradación</t>
        </is>
      </c>
      <c r="D50" s="7" t="inlineStr">
        <is>
          <t>Moderada</t>
        </is>
      </c>
      <c r="E50" s="8" t="n"/>
      <c r="F50" s="8" t="n"/>
    </row>
    <row r="51">
      <c r="A51" s="6" t="inlineStr">
        <is>
          <t>Reversibilidad técnica</t>
        </is>
      </c>
      <c r="B51" s="7" t="inlineStr">
        <is>
          <t>Parcialmente reversible</t>
        </is>
      </c>
      <c r="C51" s="6" t="inlineStr">
        <is>
          <t>Urgencia de intervención</t>
        </is>
      </c>
      <c r="D51" s="7" t="inlineStr">
        <is>
          <t>Alta</t>
        </is>
      </c>
      <c r="E51" s="8" t="n"/>
      <c r="F51" s="8" t="n"/>
    </row>
    <row r="52">
      <c r="A52" s="6" t="inlineStr">
        <is>
          <t>Urgencia de control de erosión</t>
        </is>
      </c>
      <c r="B52" s="7" t="inlineStr">
        <is>
          <t>Alta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8" t="n"/>
      <c r="C56" s="38" t="n"/>
      <c r="D56" s="38" t="n"/>
      <c r="E56" s="38" t="n"/>
      <c r="F56" s="39"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M22B1</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18.7964</v>
      </c>
      <c r="C10" s="19" t="n">
        <v>34.07</v>
      </c>
      <c r="D10" s="11" t="inlineStr">
        <is>
          <t>Vigor alto</t>
        </is>
      </c>
      <c r="E10" s="11" t="inlineStr">
        <is>
          <t>Sobre umbral</t>
        </is>
      </c>
    </row>
    <row r="11">
      <c r="A11" s="12" t="inlineStr">
        <is>
          <t>0.4976 - 0.6139</t>
        </is>
      </c>
      <c r="B11" s="31" t="n">
        <v>34.222</v>
      </c>
      <c r="C11" s="30" t="n">
        <v>62.03</v>
      </c>
      <c r="D11" s="13" t="inlineStr">
        <is>
          <t>Vigor moderado</t>
        </is>
      </c>
      <c r="E11" s="13" t="inlineStr">
        <is>
          <t>Sobre umbral</t>
        </is>
      </c>
    </row>
    <row r="12">
      <c r="A12" s="7" t="inlineStr">
        <is>
          <t>0.3813 - 0.4976</t>
        </is>
      </c>
      <c r="B12" s="18" t="n">
        <v>2.1516</v>
      </c>
      <c r="C12" s="19" t="n">
        <v>3.9</v>
      </c>
      <c r="D12" s="11" t="inlineStr">
        <is>
          <t>Vigor bajo</t>
        </is>
      </c>
      <c r="E12" s="11" t="inlineStr">
        <is>
          <t>BAJO umbral 0.4976</t>
        </is>
      </c>
    </row>
    <row r="13">
      <c r="A13" s="14" t="inlineStr">
        <is>
          <t>0.2650 - 0.3813</t>
        </is>
      </c>
      <c r="B13" s="20" t="n">
        <v>0</v>
      </c>
      <c r="C13" s="21" t="n">
        <v>0</v>
      </c>
      <c r="D13" s="15" t="inlineStr">
        <is>
          <t>Vigor muy bajo</t>
        </is>
      </c>
      <c r="E13" s="15" t="inlineStr">
        <is>
          <t>BAJO umbral 0.4976</t>
        </is>
      </c>
    </row>
    <row r="14">
      <c r="A14" s="7" t="inlineStr">
        <is>
          <t>&lt;= 0.2650</t>
        </is>
      </c>
      <c r="B14" s="18" t="n">
        <v>0</v>
      </c>
      <c r="C14" s="19" t="n">
        <v>0</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0.594025</v>
      </c>
      <c r="C16" s="17" t="inlineStr">
        <is>
          <t>—</t>
        </is>
      </c>
      <c r="D16" s="17" t="inlineStr">
        <is>
          <t>Vigor moderado · clase 0.4976 - 0.6139</t>
        </is>
      </c>
      <c r="E16" s="17" t="inlineStr">
        <is>
          <t>Sobre umbral</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8" t="n"/>
      <c r="C18" s="38" t="n"/>
      <c r="D18" s="38" t="n"/>
      <c r="E18" s="39"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50.2362</v>
      </c>
      <c r="C22" s="19" t="n">
        <v>91.05</v>
      </c>
      <c r="D22" s="11" t="inlineStr">
        <is>
          <t>Dosel continuo, matorral denso o mosaico agroforestal</t>
        </is>
      </c>
      <c r="E22" s="11" t="inlineStr"/>
    </row>
    <row r="23">
      <c r="A23" s="14" t="inlineStr">
        <is>
          <t>Vegetación mediana</t>
        </is>
      </c>
      <c r="B23" s="20" t="n">
        <v>4.941</v>
      </c>
      <c r="C23" s="21" t="n">
        <v>8.949999999999999</v>
      </c>
      <c r="D23" s="15" t="inlineStr">
        <is>
          <t>Pastizal cultivado, matorral ralo, parcelas agrícolas</t>
        </is>
      </c>
      <c r="E23" s="15" t="inlineStr"/>
    </row>
    <row r="24">
      <c r="A24" s="16" t="inlineStr">
        <is>
          <t>TOTAL CLASIFICADO</t>
        </is>
      </c>
      <c r="B24" s="22">
        <f>SUM(B21:B22)</f>
        <v/>
      </c>
      <c r="C24" s="23">
        <f>SUM(C21:C22)</f>
        <v/>
      </c>
      <c r="D24" s="17" t="inlineStr"/>
      <c r="E24" s="17" t="inlineStr"/>
    </row>
    <row r="25">
      <c r="A25" s="24" t="inlineStr">
        <is>
          <t>Superficie de catálogo (V5/V6)</t>
        </is>
      </c>
      <c r="B25" s="25" t="n">
        <v>55.17</v>
      </c>
      <c r="C25" s="25" t="inlineStr">
        <is>
          <t>—</t>
        </is>
      </c>
      <c r="D25" s="25" t="inlineStr">
        <is>
          <t>Desviación planimétrica frente al catálogo</t>
        </is>
      </c>
      <c r="E25" s="25" t="inlineStr">
        <is>
          <t>+0.01 %</t>
        </is>
      </c>
    </row>
    <row r="26" ht="108" customHeight="1"/>
    <row r="27">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91.05 % del polígono clasificado como «Vegetación alta» por el NDVI 2025; la observación de campo corresponde a una parcela o recorrido puntual y no es estadísticamente representativa de las 55.170 ha del bloque.</t>
        </is>
      </c>
      <c r="B27" s="38" t="n"/>
      <c r="C27" s="38" t="n"/>
      <c r="D27" s="38" t="n"/>
      <c r="E27" s="39" t="n"/>
    </row>
  </sheetData>
  <mergeCells count="10">
    <mergeCell ref="A4:E4"/>
    <mergeCell ref="A20:E20"/>
    <mergeCell ref="A2:E2"/>
    <mergeCell ref="A5:E5"/>
    <mergeCell ref="A1:E1"/>
    <mergeCell ref="A8:E8"/>
    <mergeCell ref="A6:E6"/>
    <mergeCell ref="A18:E18"/>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M22B1</t>
        </is>
      </c>
    </row>
    <row r="6" ht="24" customHeight="1">
      <c r="A6" s="4" t="inlineStr">
        <is>
          <t>Levantamiento del 2026-07-22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663663</v>
      </c>
      <c r="D10" s="26" t="n">
        <v>9404682</v>
      </c>
      <c r="E10" s="11" t="n">
        <v>660</v>
      </c>
      <c r="F10" s="11" t="inlineStr"/>
      <c r="G10" s="11" t="inlineStr">
        <is>
          <t>Coordenada consignada en F-DT-01</t>
        </is>
      </c>
    </row>
    <row r="11">
      <c r="A11" s="14" t="inlineStr">
        <is>
          <t>E-01</t>
        </is>
      </c>
      <c r="B11" s="15" t="inlineStr">
        <is>
          <t>Rasgo erosivo — 663617</t>
        </is>
      </c>
      <c r="C11" s="27" t="n">
        <v>9404700</v>
      </c>
      <c r="D11" s="27" t="inlineStr">
        <is>
          <t>Escarpe con material residual rojizo; vegetación arbustiva quemada aguas arriba de la cárcava</t>
        </is>
      </c>
      <c r="E11" s="15" t="inlineStr"/>
      <c r="F11" s="15" t="inlineStr"/>
      <c r="G11" s="15" t="inlineStr"/>
    </row>
    <row r="12">
      <c r="A12" s="7" t="inlineStr">
        <is>
          <t>H-01</t>
        </is>
      </c>
      <c r="B12" s="11" t="inlineStr">
        <is>
          <t>Fuente de agua — Fuente 1</t>
        </is>
      </c>
      <c r="C12" s="26" t="inlineStr">
        <is>
          <t>Manantial con captación de concreto</t>
        </is>
      </c>
      <c r="D12" s="26" t="n">
        <v>663845</v>
      </c>
      <c r="E12" s="11" t="inlineStr"/>
      <c r="F12" s="11" t="n">
        <v>9404560</v>
      </c>
      <c r="G12" s="11" t="inlineStr"/>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664082</v>
      </c>
      <c r="C15" s="6" t="inlineStr">
        <is>
          <t>Centroide del bloque — UTM NORTE (m)</t>
        </is>
      </c>
      <c r="D15" s="7" t="n">
        <v>9404172</v>
      </c>
      <c r="E15" s="8" t="n"/>
      <c r="F15" s="8" t="n"/>
      <c r="G15" s="8" t="n"/>
      <c r="H15" s="8" t="n"/>
    </row>
    <row r="16">
      <c r="A16" s="6" t="inlineStr">
        <is>
          <t>N.° de estaciones fotográficas declaradas</t>
        </is>
      </c>
      <c r="B16" s="7" t="n">
        <v>11</v>
      </c>
      <c r="C16" s="6" t="inlineStr">
        <is>
          <t>Estaciones dentro del polígono</t>
        </is>
      </c>
      <c r="D16" s="7" t="inlineStr">
        <is>
          <t>Por determinar</t>
        </is>
      </c>
      <c r="E16" s="8" t="n"/>
      <c r="F16" s="8" t="n"/>
      <c r="G16" s="8" t="n"/>
      <c r="H16" s="8" t="n"/>
    </row>
    <row r="18" ht="96"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La altitud GPS no fue registrada en campo (celda en blanco). El rango altitudinal y la exposición se derivan del modelo digital de elevaciones, lo que se declara expresamente para no atribuir a la ficha datos que no contiene.</t>
        </is>
      </c>
      <c r="B18" s="38" t="n"/>
      <c r="C18" s="38" t="n"/>
      <c r="D18" s="38" t="n"/>
      <c r="E18" s="38" t="n"/>
      <c r="F18" s="38" t="n"/>
      <c r="G18" s="39" t="n"/>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C1076-Q9586 — BLOQUE M22B1</t>
        </is>
      </c>
    </row>
    <row r="6" ht="24" customHeight="1">
      <c r="A6" s="4" t="inlineStr">
        <is>
          <t>Distrito de San Miguel de El Faique · Provincia de Huancabamba · Comparación de los bloques preliminares de intervención de la misma microcuenca</t>
        </is>
      </c>
    </row>
    <row r="8" ht="18" customHeight="1">
      <c r="A8" s="5" t="inlineStr">
        <is>
          <t>BLOQUES DE LA MICROCUENCA C1076-Q9586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9</t>
        </is>
      </c>
      <c r="B10" s="28" t="n">
        <v>109.86</v>
      </c>
      <c r="C10" s="19" t="n">
        <v>40.1</v>
      </c>
      <c r="D10" s="11" t="inlineStr">
        <is>
          <t>1529 – 2264</t>
        </is>
      </c>
      <c r="E10" s="11" t="n">
        <v>735</v>
      </c>
      <c r="F10" s="11" t="n">
        <v>34.82</v>
      </c>
      <c r="G10" s="18" t="n">
        <v>0.5745</v>
      </c>
      <c r="H10" s="19" t="n">
        <v>90.23999999999999</v>
      </c>
    </row>
    <row r="11">
      <c r="A11" s="12" t="inlineStr">
        <is>
          <t>► M22B1</t>
        </is>
      </c>
      <c r="B11" s="29" t="n">
        <v>55.17</v>
      </c>
      <c r="C11" s="30" t="n">
        <v>20.14</v>
      </c>
      <c r="D11" s="13" t="inlineStr">
        <is>
          <t>3216 – 3436</t>
        </is>
      </c>
      <c r="E11" s="13" t="n">
        <v>220</v>
      </c>
      <c r="F11" s="13" t="n">
        <v>19.98</v>
      </c>
      <c r="G11" s="31" t="n">
        <v>0.594</v>
      </c>
      <c r="H11" s="30" t="n">
        <v>91.05</v>
      </c>
    </row>
    <row r="12">
      <c r="A12" s="7" t="inlineStr">
        <is>
          <t>35</t>
        </is>
      </c>
      <c r="B12" s="28" t="n">
        <v>30.8</v>
      </c>
      <c r="C12" s="19" t="n">
        <v>11.24</v>
      </c>
      <c r="D12" s="11" t="inlineStr">
        <is>
          <t>1376 – 1621</t>
        </is>
      </c>
      <c r="E12" s="11" t="n">
        <v>245</v>
      </c>
      <c r="F12" s="11" t="n">
        <v>33.66</v>
      </c>
      <c r="G12" s="18" t="n">
        <v>0.6245000000000001</v>
      </c>
      <c r="H12" s="19" t="n">
        <v>98.17</v>
      </c>
    </row>
    <row r="13">
      <c r="A13" s="14" t="inlineStr">
        <is>
          <t>44</t>
        </is>
      </c>
      <c r="B13" s="32" t="n">
        <v>28.23</v>
      </c>
      <c r="C13" s="21" t="n">
        <v>10.3</v>
      </c>
      <c r="D13" s="15" t="inlineStr">
        <is>
          <t>3091 – 3277</t>
        </is>
      </c>
      <c r="E13" s="15" t="n">
        <v>186</v>
      </c>
      <c r="F13" s="15" t="n">
        <v>22.21</v>
      </c>
      <c r="G13" s="20" t="n">
        <v>0.5113</v>
      </c>
      <c r="H13" s="21" t="n">
        <v>83.84999999999999</v>
      </c>
    </row>
    <row r="14">
      <c r="A14" s="7" t="inlineStr">
        <is>
          <t>43</t>
        </is>
      </c>
      <c r="B14" s="28" t="n">
        <v>23.17</v>
      </c>
      <c r="C14" s="19" t="n">
        <v>8.460000000000001</v>
      </c>
      <c r="D14" s="11" t="inlineStr">
        <is>
          <t>251 – 811</t>
        </is>
      </c>
      <c r="E14" s="11" t="n">
        <v>560</v>
      </c>
      <c r="F14" s="11" t="n">
        <v>31.39</v>
      </c>
      <c r="G14" s="18" t="n">
        <v>0.5515</v>
      </c>
      <c r="H14" s="19" t="n">
        <v>78.91</v>
      </c>
    </row>
    <row r="15">
      <c r="A15" s="14" t="inlineStr">
        <is>
          <t>47</t>
        </is>
      </c>
      <c r="B15" s="32" t="n">
        <v>13.55</v>
      </c>
      <c r="C15" s="21" t="n">
        <v>4.95</v>
      </c>
      <c r="D15" s="15" t="inlineStr">
        <is>
          <t>2105 – 2333</t>
        </is>
      </c>
      <c r="E15" s="15" t="n">
        <v>228</v>
      </c>
      <c r="F15" s="15" t="n">
        <v>32.43</v>
      </c>
      <c r="G15" s="20" t="n">
        <v>0.5936</v>
      </c>
      <c r="H15" s="21" t="n">
        <v>91.26000000000001</v>
      </c>
    </row>
    <row r="16">
      <c r="A16" s="7" t="inlineStr">
        <is>
          <t>67</t>
        </is>
      </c>
      <c r="B16" s="28" t="n">
        <v>13.18</v>
      </c>
      <c r="C16" s="19" t="n">
        <v>4.81</v>
      </c>
      <c r="D16" s="11" t="inlineStr">
        <is>
          <t>1575 – 1770</t>
        </is>
      </c>
      <c r="E16" s="11" t="n">
        <v>195</v>
      </c>
      <c r="F16" s="11" t="n">
        <v>30.33</v>
      </c>
      <c r="G16" s="18" t="n">
        <v>0.6052999999999999</v>
      </c>
      <c r="H16" s="19" t="n">
        <v>97.5</v>
      </c>
    </row>
    <row r="17">
      <c r="A17" s="16" t="inlineStr">
        <is>
          <t>TOTAL / PROMEDIO</t>
        </is>
      </c>
      <c r="B17" s="33">
        <f>SUM(B10:B16)</f>
        <v/>
      </c>
      <c r="C17" s="23">
        <f>SUM(C10:C16)</f>
        <v/>
      </c>
      <c r="D17" s="17" t="inlineStr">
        <is>
          <t>251 – 3436</t>
        </is>
      </c>
      <c r="E17" s="17" t="inlineStr"/>
      <c r="F17" s="17">
        <f>ROUND(AVERAGE(F10:F16),2)</f>
        <v/>
      </c>
      <c r="G17" s="22">
        <f>ROUND(AVERAGE(G10:G16),4)</f>
        <v/>
      </c>
      <c r="H17" s="23">
        <f>ROUND(AVERAGE(H10:H16),2)</f>
        <v/>
      </c>
    </row>
    <row r="19" ht="84" customHeight="1">
      <c r="A19" s="9" t="inlineStr">
        <is>
          <t>LECTURA INTRAMICROCUENCA. El bloque M22B1 ocupa el puesto 2 de 7 por superficie dentro de la microcuenca C1076-Q9586 (20.14 % de las 273.96 ha preliminares de la microcuenca). Su pendiente promedio (19.98 %, clase «15-25% (Fuert. inclinado)») es la 1.ª más baja de 7 y se sitúa por debajo del promedio de la microcuenca (29.26 %). Su MSAVI 2024 (0.5940) es el 3.º de 7 y queda por encima del promedio local (0.5793). Amplitud altitudinal del bloque: 220 m (3216–3436 msnm). El cuadro conserva todos los bloques catalogados en la microcuenca, incluidos los descartados en el tamizaje, para referencia del conjunto. Los bloques sin ficha DT figuran con sus parámetros de gabinete.</t>
        </is>
      </c>
      <c r="B19" s="38" t="n"/>
      <c r="C19" s="38" t="n"/>
      <c r="D19" s="38" t="n"/>
      <c r="E19" s="38" t="n"/>
      <c r="F19" s="38" t="n"/>
      <c r="G19" s="38" t="n"/>
      <c r="H19" s="39" t="n"/>
    </row>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21" s="38" t="n"/>
      <c r="C21" s="38" t="n"/>
      <c r="D21" s="38" t="n"/>
      <c r="E21" s="38" t="n"/>
      <c r="F21" s="38" t="n"/>
      <c r="G21" s="38" t="n"/>
      <c r="H21" s="39" t="n"/>
    </row>
  </sheetData>
  <mergeCells count="9">
    <mergeCell ref="A1:H1"/>
    <mergeCell ref="A4:H4"/>
    <mergeCell ref="A3:H3"/>
    <mergeCell ref="A21:H21"/>
    <mergeCell ref="A2:H2"/>
    <mergeCell ref="A19:H19"/>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6"/>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M22B1</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«C1076-Q9586»</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660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(55.177 ha) coincide con la de catálogo (55.17 ha) dentro del ±2 % (+0.01 %)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«25-50% (Mod. escarpado) — pendiente media 26.5%, máxima 44.3% según MDE»; la estadística zonal sobre el MDE arroja una pendiente promedio de 19.98 %, que corresponde a la clase «15-25% (Fuert. inclinado)»</t>
        </is>
      </c>
      <c r="D13" s="13"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Dimensiones del inventario de cárcavas</t>
        </is>
      </c>
      <c r="C14" s="34" t="inlineStr">
        <is>
          <t>Se registran 1 rasgos erosivos, pero longitud, profundidad y ancho no fueron medidos instrumentalmente</t>
        </is>
      </c>
      <c r="D14" s="13" t="inlineStr">
        <is>
          <t>NO SUSTANTIVA</t>
        </is>
      </c>
      <c r="E14" s="34" t="inlineStr">
        <is>
          <t>El conteo registrado no debe usarse para calcular densidad de cárcavas por hectárea. Pendiente de levantamiento con GPS submétrico.</t>
        </is>
      </c>
    </row>
    <row r="15" ht="48" customHeight="1">
      <c r="A15" s="36" t="inlineStr">
        <is>
          <t>D-06</t>
        </is>
      </c>
      <c r="B15" s="36" t="inlineStr">
        <is>
          <t>Centro poblado asociado</t>
        </is>
      </c>
      <c r="C15" s="36" t="inlineStr">
        <is>
          <t>La ficha DT declara «Santa Rosa»; el cruce INEI-Bloques V5 identifica 1 centro(s) poblado(s) en el bloque: SANTA ROSA</t>
        </is>
      </c>
      <c r="D15" s="35" t="inlineStr">
        <is>
          <t>CONFORME</t>
        </is>
      </c>
      <c r="E15" s="36" t="inlineStr">
        <is>
          <t>Se conserva el registro de campo como referencia y se adopta el listado INEI para el diagnóstico social y el cálculo de población beneficiaria.</t>
        </is>
      </c>
    </row>
    <row r="16" ht="48" customHeight="1">
      <c r="A16" s="34" t="inlineStr">
        <is>
          <t>D-07</t>
        </is>
      </c>
      <c r="B16" s="34" t="inlineStr">
        <is>
          <t>Peligro integrado (MCA-AHP)</t>
        </is>
      </c>
      <c r="C16" s="34" t="inlineStr">
        <is>
          <t>El nivel de peligro integrado no está disponible en los insumos de este entregable</t>
        </is>
      </c>
      <c r="D16" s="37" t="inlineStr">
        <is>
          <t>SUSTANTIVA</t>
        </is>
      </c>
      <c r="E16" s="34" t="inlineStr">
        <is>
          <t>Debe tomarse del modelamiento de mesolocalización (PMM + EPH + PGI ponderados por AHP) antes de fijar la prioridad definitiva de intervención del bloque.</t>
        </is>
      </c>
    </row>
    <row r="17" ht="48" customHeight="1">
      <c r="A17" s="36" t="inlineStr">
        <is>
          <t>D-08</t>
        </is>
      </c>
      <c r="B17" s="36" t="inlineStr">
        <is>
          <t>F-DT-01</t>
        </is>
      </c>
      <c r="C17" s="36" t="inlineStr">
        <is>
          <t>Altitud GPS no registrada en campo (celda en blanco)</t>
        </is>
      </c>
      <c r="D17" s="37" t="inlineStr">
        <is>
          <t>SUSTANTIVA</t>
        </is>
      </c>
      <c r="E17" s="36" t="inlineStr">
        <is>
          <t>No se consigna valor; el perfil altitudinal (3 207 - 3 378 msnm) se toma del MDE y se declara como tal</t>
        </is>
      </c>
    </row>
    <row r="18" ht="48" customHeight="1">
      <c r="A18" s="34" t="inlineStr">
        <is>
          <t>D-09</t>
        </is>
      </c>
      <c r="B18" s="34" t="inlineStr">
        <is>
          <t>F-DT-01</t>
        </is>
      </c>
      <c r="C18" s="34" t="inlineStr">
        <is>
          <t>La exposición (SO) se deriva del perfil del MDE y no de lectura de brújula en campo</t>
        </is>
      </c>
      <c r="D18" s="13" t="inlineStr">
        <is>
          <t>NO SUSTANTIVA</t>
        </is>
      </c>
      <c r="E18" s="34" t="inlineStr">
        <is>
          <t>Se declara la fuente del dato</t>
        </is>
      </c>
    </row>
    <row r="19" ht="48" customHeight="1">
      <c r="A19" s="36" t="inlineStr">
        <is>
          <t>D-10</t>
        </is>
      </c>
      <c r="B19" s="36" t="inlineStr">
        <is>
          <t>F-DT-03</t>
        </is>
      </c>
      <c r="C19" s="36" t="inlineStr">
        <is>
          <t>Los 15 taxones figuran como "por confirmar" o indeterminados; no hay determinación botánica formal</t>
        </is>
      </c>
      <c r="D19" s="37" t="inlineStr">
        <is>
          <t>SUSTANTIVA</t>
        </is>
      </c>
      <c r="E19" s="36" t="inlineStr">
        <is>
          <t>Se declara la ausencia de determinación taxonómica; requiere colecta e identificación</t>
        </is>
      </c>
    </row>
    <row r="20" ht="48" customHeight="1">
      <c r="A20" s="34" t="inlineStr">
        <is>
          <t>D-11</t>
        </is>
      </c>
      <c r="B20" s="34" t="inlineStr">
        <is>
          <t>F-DT-04</t>
        </is>
      </c>
      <c r="C20" s="34" t="inlineStr">
        <is>
          <t>Pinus sp. registrada como especie invasora causante de degradación</t>
        </is>
      </c>
      <c r="D20" s="37" t="inlineStr">
        <is>
          <t>SUSTANTIVA</t>
        </is>
      </c>
      <c r="E20" s="34" t="inlineStr">
        <is>
          <t>Se eleva a la Subdirección: el vivero del GORE Piura (663 568 / 9 404 100) oferta Pinus radiata, en tensión con esta ficha</t>
        </is>
      </c>
    </row>
    <row r="21" ht="48" customHeight="1">
      <c r="A21" s="36" t="inlineStr">
        <is>
          <t>D-12</t>
        </is>
      </c>
      <c r="B21" s="36" t="inlineStr">
        <is>
          <t>F-DT-01</t>
        </is>
      </c>
      <c r="C21" s="36" t="inlineStr">
        <is>
          <t>MSAVI 2024 = 0.594 (superior al umbral de brecha 0.4976 de la R.M. N.° 00213-2024-MINAM)</t>
        </is>
      </c>
      <c r="D21" s="37" t="inlineStr">
        <is>
          <t>SUSTANTIVA</t>
        </is>
      </c>
      <c r="E21" s="36" t="inlineStr">
        <is>
          <t>Corresponde ratificar la condición de ecosistema degradado del bloque ante la Subdirección</t>
        </is>
      </c>
    </row>
    <row r="22">
      <c r="A22" s="36" t="inlineStr">
        <is>
          <t>D-13</t>
        </is>
      </c>
      <c r="B22" s="36" t="inlineStr">
        <is>
          <t>Distribución areal de clases MSAVI 2024</t>
        </is>
      </c>
      <c r="C22" s="36" t="inlineStr">
        <is>
          <t>La hoja «Cobertura MSAVI-NDVI» consignaba «Por determinar» en la distribución areal de clases MSAVI 2024; se incorpora el metrado por clase medido sobre la cartografía temática MSAVI 2024 del bloque: 3.90 % del bloque (2.152 ha) bajo el umbral 0.4976 y 96.10 % sobre el umbral; clase areal dominante «Vigor moderado».</t>
        </is>
      </c>
      <c r="D22" s="37" t="inlineStr">
        <is>
          <t>CORREGIDO</t>
        </is>
      </c>
      <c r="E22" s="36"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23"/>
    <row r="24">
      <c r="A24" s="16" t="inlineStr">
        <is>
          <t>RESUMEN</t>
        </is>
      </c>
      <c r="B24" s="17" t="inlineStr">
        <is>
          <t>13 verificaciones</t>
        </is>
      </c>
      <c r="C24" s="17" t="inlineStr">
        <is>
          <t>CONFORME: 4 · NO SUSTANTIVA: 3 · SUSTANTIVA: 5 · CORREGIDO: 1</t>
        </is>
      </c>
      <c r="D24" s="17" t="inlineStr"/>
      <c r="E24" s="17" t="inlineStr"/>
    </row>
    <row r="25" ht="60" customHeight="1"/>
    <row r="26">
      <c r="A26"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6" s="38" t="n"/>
      <c r="C26" s="38" t="n"/>
      <c r="D26" s="38" t="n"/>
      <c r="E26" s="39" t="n"/>
    </row>
  </sheetData>
  <mergeCells count="8">
    <mergeCell ref="A4:E4"/>
    <mergeCell ref="A26:E26"/>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M22B1 — IN Piura</dc:title>
  <dc:subject>Diagnóstico Territorial por bloque de intervención</dc:subject>
  <dcterms:created xsi:type="dcterms:W3CDTF">2026-09-08T03:39:59Z</dcterms:created>
  <dcterms:modified xsi:type="dcterms:W3CDTF">2026-09-09T14:49:45Z</dcterms:modified>
</cp:coreProperties>
</file>