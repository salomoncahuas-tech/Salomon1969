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30</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30</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Chamelico y Sapce</t>
        </is>
      </c>
      <c r="C13" s="6" t="inlineStr">
        <is>
          <t>Comunidad campesina</t>
        </is>
      </c>
      <c r="D13" s="7" t="inlineStr">
        <is>
          <t>Por verificar</t>
        </is>
      </c>
      <c r="E13" s="8" t="n"/>
      <c r="F13" s="8" t="n"/>
    </row>
    <row r="14">
      <c r="A14" s="6" t="inlineStr">
        <is>
          <t>Superficie de catálogo (V5/V6), ha</t>
        </is>
      </c>
      <c r="B14" s="7" t="n">
        <v>34.87</v>
      </c>
      <c r="C14" s="6" t="inlineStr">
        <is>
          <t>Fuente de superficie</t>
        </is>
      </c>
      <c r="D14" s="7" t="inlineStr">
        <is>
          <t>Catálogo maestro Bloques V5/V6</t>
        </is>
      </c>
      <c r="E14" s="8" t="n"/>
      <c r="F14" s="8" t="n"/>
    </row>
    <row r="15">
      <c r="A15" s="6" t="inlineStr">
        <is>
          <t>Centroide UTM ESTE (m)</t>
        </is>
      </c>
      <c r="B15" s="7" t="n">
        <v>652758</v>
      </c>
      <c r="C15" s="6" t="inlineStr">
        <is>
          <t>Centroide UTM NORTE (m)</t>
        </is>
      </c>
      <c r="D15" s="7" t="n">
        <v>9424380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1216</v>
      </c>
      <c r="C19" s="6" t="inlineStr">
        <is>
          <t>Altitud máxima (msnm)</t>
        </is>
      </c>
      <c r="D19" s="7" t="n">
        <v>1541</v>
      </c>
      <c r="E19" s="8" t="n"/>
      <c r="F19" s="8" t="n"/>
    </row>
    <row r="20">
      <c r="A20" s="6" t="inlineStr">
        <is>
          <t>Amplitud altitudinal (m)</t>
        </is>
      </c>
      <c r="B20" s="7" t="n">
        <v>325</v>
      </c>
      <c r="C20" s="6" t="inlineStr">
        <is>
          <t>Piso altitudinal dominante</t>
        </is>
      </c>
      <c r="D20" s="7" t="inlineStr">
        <is>
          <t>1000-1500 m (Quechua baja)</t>
        </is>
      </c>
      <c r="E20" s="8" t="n"/>
      <c r="F20" s="8" t="n"/>
    </row>
    <row r="21">
      <c r="A21" s="6" t="inlineStr">
        <is>
          <t>Pendiente promedio (%)</t>
        </is>
      </c>
      <c r="B21" s="7" t="n">
        <v>27.91</v>
      </c>
      <c r="C21" s="6" t="inlineStr">
        <is>
          <t>Pendiente promedio (grados)</t>
        </is>
      </c>
      <c r="D21" s="7" t="n">
        <v>15.6</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0.6637999999999999</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(99.38 %)</t>
        </is>
      </c>
      <c r="E29" s="8" t="n"/>
      <c r="F29" s="8" t="n"/>
    </row>
    <row r="30">
      <c r="A30" s="6" t="inlineStr">
        <is>
          <t>Superficie clasificada NDVI 2025 (ha)</t>
        </is>
      </c>
      <c r="B30" s="7" t="n">
        <v>34.882</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Agroecosistema / Mosaico</t>
        </is>
      </c>
      <c r="C33" s="6" t="inlineStr">
        <is>
          <t>Superficie de ecosistema (ha)</t>
        </is>
      </c>
      <c r="D33" s="7" t="inlineStr">
        <is>
          <t>Por determinar</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Por determinar</t>
        </is>
      </c>
      <c r="E35" s="8" t="n"/>
      <c r="F35" s="8" t="n"/>
    </row>
    <row r="36">
      <c r="A36" s="6" t="inlineStr">
        <is>
          <t>Suelo desnudo — campo (%)</t>
        </is>
      </c>
      <c r="B36" s="7" t="inlineStr">
        <is>
          <t>Por determinar</t>
        </is>
      </c>
      <c r="C36" s="6" t="inlineStr">
        <is>
          <t>Regeneración natural</t>
        </is>
      </c>
      <c r="D36" s="7" t="inlineStr">
        <is>
          <t>Escasa (&lt;10 pl./100m²)</t>
        </is>
      </c>
      <c r="E36" s="8" t="n"/>
      <c r="F36" s="8" t="n"/>
    </row>
    <row r="37">
      <c r="A37" s="6" t="inlineStr">
        <is>
          <t>Nivel general de erosión</t>
        </is>
      </c>
      <c r="B37" s="7" t="inlineStr">
        <is>
          <t>Fuerte (cárcavas incipientes)</t>
        </is>
      </c>
      <c r="C37" s="6" t="inlineStr">
        <is>
          <t>N.° de cárcavas registradas</t>
        </is>
      </c>
      <c r="D37" s="7" t="n">
        <v>0</v>
      </c>
      <c r="E37" s="8" t="n"/>
      <c r="F37" s="8" t="n"/>
    </row>
    <row r="38">
      <c r="A38" s="6" t="inlineStr">
        <is>
          <t>Elenco florístico (n.° de taxones)</t>
        </is>
      </c>
      <c r="B38" s="7" t="n">
        <v>11</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Juan Domínguez e Ing. Pedro Talledo</t>
        </is>
      </c>
      <c r="C41" s="6" t="inlineStr">
        <is>
          <t>Fecha de evaluación</t>
        </is>
      </c>
      <c r="D41" s="7" t="inlineStr">
        <is>
          <t>2026-08-03</t>
        </is>
      </c>
      <c r="E41" s="8" t="n"/>
      <c r="F41" s="8" t="n"/>
    </row>
    <row r="42">
      <c r="A42" s="6" t="inlineStr">
        <is>
          <t>Hora de registro</t>
        </is>
      </c>
      <c r="B42" s="7" t="inlineStr">
        <is>
          <t>Por registrar</t>
        </is>
      </c>
      <c r="C42" s="6" t="inlineStr">
        <is>
          <t>Correlativo de ficha</t>
        </is>
      </c>
      <c r="D42" s="7" t="inlineStr">
        <is>
          <t>F-DT-01-30</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Por determinar</t>
        </is>
      </c>
      <c r="E44" s="8" t="n"/>
      <c r="F44" s="8" t="n"/>
    </row>
    <row r="45">
      <c r="A45" s="6" t="inlineStr">
        <is>
          <t>Estaciones fotográficas georreferenciadas</t>
        </is>
      </c>
      <c r="B45" s="7" t="inlineStr">
        <is>
          <t>Sin registro en la ficha DT</t>
        </is>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Ocupación productiva de laderas de fuerte pendiente sin prácticas de conservación de suelos, favorecida por la accesibilidad vial</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t>
        </is>
      </c>
      <c r="B10" s="12" t="inlineStr">
        <is>
          <t>Por determinar</t>
        </is>
      </c>
      <c r="C10" s="12" t="inlineStr">
        <is>
          <t>Por determinar</t>
        </is>
      </c>
      <c r="D10" s="12" t="inlineStr">
        <is>
          <t>Vigor alto</t>
        </is>
      </c>
      <c r="E10" s="12" t="inlineStr">
        <is>
          <t>Sobre umbral</t>
        </is>
      </c>
    </row>
    <row r="11">
      <c r="A11" s="13" t="inlineStr">
        <is>
          <t>0.4976 - 0.6139</t>
        </is>
      </c>
      <c r="B11" s="14" t="inlineStr">
        <is>
          <t>Por determinar</t>
        </is>
      </c>
      <c r="C11" s="14" t="inlineStr">
        <is>
          <t>Por determinar</t>
        </is>
      </c>
      <c r="D11" s="14" t="inlineStr">
        <is>
          <t>Vigor moderado</t>
        </is>
      </c>
      <c r="E11" s="14" t="inlineStr">
        <is>
          <t>Sobre umbral</t>
        </is>
      </c>
    </row>
    <row r="12">
      <c r="A12" s="7" t="inlineStr">
        <is>
          <t>0.3813 - 0.4976</t>
        </is>
      </c>
      <c r="B12" s="15" t="inlineStr">
        <is>
          <t>Por determinar</t>
        </is>
      </c>
      <c r="C12" s="15" t="inlineStr">
        <is>
          <t>Por determinar</t>
        </is>
      </c>
      <c r="D12" s="15" t="inlineStr">
        <is>
          <t>Vigor bajo</t>
        </is>
      </c>
      <c r="E12" s="15" t="inlineStr">
        <is>
          <t>BAJO umbral 0.4976</t>
        </is>
      </c>
    </row>
    <row r="13">
      <c r="A13" s="13" t="inlineStr">
        <is>
          <t>0.2650 - 0.3813</t>
        </is>
      </c>
      <c r="B13" s="14" t="inlineStr">
        <is>
          <t>Por determinar</t>
        </is>
      </c>
      <c r="C13" s="14" t="inlineStr">
        <is>
          <t>Por determinar</t>
        </is>
      </c>
      <c r="D13" s="14" t="inlineStr">
        <is>
          <t>Vigor muy bajo</t>
        </is>
      </c>
      <c r="E13" s="14" t="inlineStr">
        <is>
          <t>BAJO umbral 0.4976</t>
        </is>
      </c>
    </row>
    <row r="14">
      <c r="A14" s="7" t="inlineStr">
        <is>
          <t>&lt;= 0.2650</t>
        </is>
      </c>
      <c r="B14" s="15" t="inlineStr">
        <is>
          <t>Por determinar</t>
        </is>
      </c>
      <c r="C14" s="15" t="inlineStr">
        <is>
          <t>Por determinar</t>
        </is>
      </c>
      <c r="D14" s="15" t="inlineStr">
        <is>
          <t>Suelo desnudo / no vegetal</t>
        </is>
      </c>
      <c r="E14" s="15" t="inlineStr">
        <is>
          <t>BAJO umbral 0.4976</t>
        </is>
      </c>
    </row>
    <row r="15">
      <c r="A15" s="16" t="inlineStr">
        <is>
          <t>MSAVI 2024 — MEDIA DEL BLOQUE</t>
        </is>
      </c>
      <c r="B15" s="17" t="n">
        <v>0.6638039999999999</v>
      </c>
      <c r="C15" s="17" t="inlineStr">
        <is>
          <t>—</t>
        </is>
      </c>
      <c r="D15" s="17" t="inlineStr">
        <is>
          <t>Vigor alto · clase &gt; 0.6139</t>
        </is>
      </c>
      <c r="E15" s="17" t="inlineStr">
        <is>
          <t>Sobre umbral</t>
        </is>
      </c>
    </row>
    <row r="17" ht="72" customHeight="1">
      <c r="A17" s="9" t="inlineStr">
        <is>
          <t>NOTA METODOLÓGICA. La media del MSAVI 2024 del bloque (0.663804)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34.6669</v>
      </c>
      <c r="C21" s="19" t="n">
        <v>99.38</v>
      </c>
      <c r="D21" s="15" t="inlineStr">
        <is>
          <t>Dosel continuo, matorral denso o mosaico agroforestal</t>
        </is>
      </c>
      <c r="E21" s="15" t="inlineStr"/>
    </row>
    <row r="22">
      <c r="A22" s="13" t="inlineStr">
        <is>
          <t>Vegetación mediana</t>
        </is>
      </c>
      <c r="B22" s="20" t="n">
        <v>0.2146</v>
      </c>
      <c r="C22" s="21" t="n">
        <v>0.62</v>
      </c>
      <c r="D22" s="14" t="inlineStr">
        <is>
          <t>Pastizal cultivado, matorral ralo, parcelas agrícolas</t>
        </is>
      </c>
      <c r="E22" s="14" t="inlineStr"/>
    </row>
    <row r="23">
      <c r="A23" s="16" t="inlineStr">
        <is>
          <t>TOTAL CLASIFICADO</t>
        </is>
      </c>
      <c r="B23" s="22">
        <f>SUM(B21:B22)</f>
        <v/>
      </c>
      <c r="C23" s="23">
        <f>SUM(C21:C22)</f>
        <v/>
      </c>
      <c r="D23" s="17" t="inlineStr"/>
      <c r="E23" s="17" t="inlineStr"/>
    </row>
    <row r="24">
      <c r="A24" s="24" t="inlineStr">
        <is>
          <t>Superficie de catálogo (V5/V6)</t>
        </is>
      </c>
      <c r="B24" s="25" t="n">
        <v>34.87</v>
      </c>
      <c r="C24" s="25" t="inlineStr">
        <is>
          <t>—</t>
        </is>
      </c>
      <c r="D24" s="25" t="inlineStr">
        <is>
          <t>Desviación planimétrica frente al catálogo</t>
        </is>
      </c>
      <c r="E24" s="25" t="inlineStr">
        <is>
          <t>+0.03 %</t>
        </is>
      </c>
    </row>
    <row r="26" ht="72"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30</t>
        </is>
      </c>
    </row>
    <row r="6" ht="24" customHeight="1">
      <c r="A6" s="4" t="inlineStr">
        <is>
          <t>Levantamiento del 2026-08-03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652758</v>
      </c>
      <c r="D10" s="26" t="n">
        <v>9424380</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Quebrada s/n colindante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652758</v>
      </c>
      <c r="C14" s="6" t="inlineStr">
        <is>
          <t>Centroide del bloque — UTM NORTE (m)</t>
        </is>
      </c>
      <c r="D14" s="7" t="n">
        <v>9424380</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7" ht="96"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1220 msnm. Rango altitudinal según MDE: 1216-1541 msnm (amplitud 325 m); pendiente promedio 27.91%. Acceso: vía afirmada Los Ranchos – Sapce, margen derecha de una quebrada s/n.</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30</t>
        </is>
      </c>
    </row>
    <row r="6" ht="24" customHeight="1">
      <c r="A6" s="4" t="inlineStr">
        <is>
          <t>Distrito de Canchaque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66</t>
        </is>
      </c>
      <c r="B10" s="28" t="n">
        <v>102.34</v>
      </c>
      <c r="C10" s="19" t="n">
        <v>18.53</v>
      </c>
      <c r="D10" s="15" t="inlineStr">
        <is>
          <t>1171 – 1769</t>
        </is>
      </c>
      <c r="E10" s="15" t="n">
        <v>598</v>
      </c>
      <c r="F10" s="15" t="n">
        <v>31.55</v>
      </c>
      <c r="G10" s="18" t="n">
        <v>0.6403</v>
      </c>
      <c r="H10" s="19" t="n">
        <v>94.08</v>
      </c>
    </row>
    <row r="11">
      <c r="A11" s="13" t="inlineStr">
        <is>
          <t>M30B5</t>
        </is>
      </c>
      <c r="B11" s="29" t="n">
        <v>90.90000000000001</v>
      </c>
      <c r="C11" s="21" t="n">
        <v>16.46</v>
      </c>
      <c r="D11" s="14" t="inlineStr">
        <is>
          <t>1782 – 2307</t>
        </is>
      </c>
      <c r="E11" s="14" t="n">
        <v>525</v>
      </c>
      <c r="F11" s="14" t="n">
        <v>21.23</v>
      </c>
      <c r="G11" s="20" t="n">
        <v>0.5564</v>
      </c>
      <c r="H11" s="21" t="n">
        <v>79.45999999999999</v>
      </c>
    </row>
    <row r="12">
      <c r="A12" s="7" t="inlineStr">
        <is>
          <t>21</t>
        </is>
      </c>
      <c r="B12" s="28" t="n">
        <v>84.23</v>
      </c>
      <c r="C12" s="19" t="n">
        <v>15.25</v>
      </c>
      <c r="D12" s="15" t="inlineStr">
        <is>
          <t>1353 – 2004</t>
        </is>
      </c>
      <c r="E12" s="15" t="n">
        <v>651</v>
      </c>
      <c r="F12" s="15" t="n">
        <v>31.71</v>
      </c>
      <c r="G12" s="18" t="n">
        <v>0.6201</v>
      </c>
      <c r="H12" s="19" t="n">
        <v>89.39</v>
      </c>
    </row>
    <row r="13">
      <c r="A13" s="13" t="inlineStr">
        <is>
          <t>28</t>
        </is>
      </c>
      <c r="B13" s="29" t="n">
        <v>52.97</v>
      </c>
      <c r="C13" s="21" t="n">
        <v>9.59</v>
      </c>
      <c r="D13" s="14" t="inlineStr">
        <is>
          <t>1462 – 1856</t>
        </is>
      </c>
      <c r="E13" s="14" t="n">
        <v>394</v>
      </c>
      <c r="F13" s="14" t="n">
        <v>30.36</v>
      </c>
      <c r="G13" s="20" t="n">
        <v>0.6394</v>
      </c>
      <c r="H13" s="21" t="n">
        <v>96.64</v>
      </c>
    </row>
    <row r="14">
      <c r="A14" s="7" t="inlineStr">
        <is>
          <t>26</t>
        </is>
      </c>
      <c r="B14" s="28" t="n">
        <v>46.96</v>
      </c>
      <c r="C14" s="19" t="n">
        <v>8.5</v>
      </c>
      <c r="D14" s="15" t="inlineStr">
        <is>
          <t>1260 – 1855</t>
        </is>
      </c>
      <c r="E14" s="15" t="n">
        <v>595</v>
      </c>
      <c r="F14" s="15" t="n">
        <v>32.26</v>
      </c>
      <c r="G14" s="18" t="n">
        <v>0.6733</v>
      </c>
      <c r="H14" s="19" t="n">
        <v>97.29000000000001</v>
      </c>
    </row>
    <row r="15">
      <c r="A15" s="13" t="inlineStr">
        <is>
          <t>60</t>
        </is>
      </c>
      <c r="B15" s="29" t="n">
        <v>40.13</v>
      </c>
      <c r="C15" s="21" t="n">
        <v>7.27</v>
      </c>
      <c r="D15" s="14" t="inlineStr">
        <is>
          <t>1638 – 2073</t>
        </is>
      </c>
      <c r="E15" s="14" t="n">
        <v>435</v>
      </c>
      <c r="F15" s="14" t="n">
        <v>32.67</v>
      </c>
      <c r="G15" s="20" t="n">
        <v>0.6745</v>
      </c>
      <c r="H15" s="21" t="n">
        <v>99.90000000000001</v>
      </c>
    </row>
    <row r="16">
      <c r="A16" s="7" t="inlineStr">
        <is>
          <t>64</t>
        </is>
      </c>
      <c r="B16" s="28" t="n">
        <v>35.77</v>
      </c>
      <c r="C16" s="19" t="n">
        <v>6.48</v>
      </c>
      <c r="D16" s="15" t="inlineStr">
        <is>
          <t>2412 – 2651</t>
        </is>
      </c>
      <c r="E16" s="15" t="n">
        <v>239</v>
      </c>
      <c r="F16" s="15" t="n">
        <v>28.18</v>
      </c>
      <c r="G16" s="18" t="n">
        <v>0.5254</v>
      </c>
      <c r="H16" s="19" t="n">
        <v>78.22</v>
      </c>
    </row>
    <row r="17">
      <c r="A17" s="13" t="inlineStr">
        <is>
          <t>37</t>
        </is>
      </c>
      <c r="B17" s="29" t="n">
        <v>35.49</v>
      </c>
      <c r="C17" s="21" t="n">
        <v>6.43</v>
      </c>
      <c r="D17" s="14" t="inlineStr">
        <is>
          <t>1184 – 1455</t>
        </is>
      </c>
      <c r="E17" s="14" t="n">
        <v>271</v>
      </c>
      <c r="F17" s="14" t="n">
        <v>23.59</v>
      </c>
      <c r="G17" s="20" t="n">
        <v>0.6588000000000001</v>
      </c>
      <c r="H17" s="21" t="n">
        <v>98.02</v>
      </c>
    </row>
    <row r="18">
      <c r="A18" s="11" t="inlineStr">
        <is>
          <t>► 30</t>
        </is>
      </c>
      <c r="B18" s="30" t="n">
        <v>34.87</v>
      </c>
      <c r="C18" s="31" t="n">
        <v>6.31</v>
      </c>
      <c r="D18" s="12" t="inlineStr">
        <is>
          <t>1216 – 1541</t>
        </is>
      </c>
      <c r="E18" s="12" t="n">
        <v>325</v>
      </c>
      <c r="F18" s="12" t="n">
        <v>27.91</v>
      </c>
      <c r="G18" s="32" t="n">
        <v>0.6637999999999999</v>
      </c>
      <c r="H18" s="31" t="n">
        <v>99.38</v>
      </c>
    </row>
    <row r="19">
      <c r="A19" s="13" t="inlineStr">
        <is>
          <t>40</t>
        </is>
      </c>
      <c r="B19" s="29" t="n">
        <v>28.52</v>
      </c>
      <c r="C19" s="21" t="n">
        <v>5.16</v>
      </c>
      <c r="D19" s="14" t="inlineStr">
        <is>
          <t>1407 – 1656</t>
        </is>
      </c>
      <c r="E19" s="14" t="n">
        <v>249</v>
      </c>
      <c r="F19" s="14" t="n">
        <v>31.4</v>
      </c>
      <c r="G19" s="20" t="n">
        <v>0.6401</v>
      </c>
      <c r="H19" s="21" t="n">
        <v>99.55</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row>
    <row r="22" ht="84" customHeight="1">
      <c r="A22" s="9" t="inlineStr">
        <is>
          <t>LECTURA INTRAMICROCUENCA. El bloque 30 ocupa el puesto 9 de 10 por superficie dentro de la microcuenca C1081-Q9591 (6.31 % de las 552.18 ha preliminares de la microcuenca). Su pendiente promedio (27.91 %, clase «25-50% (Mod. escarpado)») es la 3.ª más baja de 10 y se sitúa por debajo del promedio de la microcuenca (29.09 %). Su MSAVI 2024 (0.6638) es el 3.º de 10 y queda por encima del promedio local (0.6292). Amplitud altitudinal del bloque: 325 m (1216–1541 msnm). El cuadro conserva todos los bloques catalogados en la microcuenca, incluidos los descartados en el tamizaje, para referencia del conjunto. Los bloques sin ficha DT figuran con sus parámetros de gabinete.</t>
        </is>
      </c>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30</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(34.882 ha) coincide con la de catálogo (34.87 ha) dentro del ±2 % (+0.03 %)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11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Centro poblado asociado</t>
        </is>
      </c>
      <c r="C14" s="34" t="inlineStr">
        <is>
          <t>La ficha DT declara «Chamelico y Sapce»; el cruce INEI-Bloques V5 identifica 2 centro(s) poblado(s) en el bloque: CHAMELICO, SAPCE</t>
        </is>
      </c>
      <c r="D14" s="35" t="inlineStr">
        <is>
          <t>CONFORME</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7">
      <c r="A17" s="16" t="inlineStr">
        <is>
          <t>RESUMEN</t>
        </is>
      </c>
      <c r="B17" s="17" t="inlineStr">
        <is>
          <t>6 verificaciones</t>
        </is>
      </c>
      <c r="C17" s="17" t="inlineStr">
        <is>
          <t>CONFORME: 4 · SUSTANTIVA: 2</t>
        </is>
      </c>
      <c r="D17" s="17" t="inlineStr"/>
      <c r="E17" s="17" t="inlineStr"/>
    </row>
    <row r="19" ht="60" customHeight="1">
      <c r="A19"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9:E19"/>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30 — IN Piura</dc:title>
  <dc:subject>Diagnóstico Territorial por bloque de intervención</dc:subject>
  <dcterms:created xsi:type="dcterms:W3CDTF">2026-09-08T03:39:54Z</dcterms:created>
  <dcterms:modified xsi:type="dcterms:W3CDTF">2026-09-08T03:39:54Z</dcterms:modified>
</cp:coreProperties>
</file>