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81</t>
        </is>
      </c>
      <c r="C9" s="6" t="inlineStr">
        <is>
          <t>Microcuenca (catálogo)</t>
        </is>
      </c>
      <c r="D9" s="7" t="inlineStr">
        <is>
          <t>C1076-Q9585</t>
        </is>
      </c>
      <c r="E9" s="8" t="n"/>
      <c r="F9" s="8" t="n"/>
    </row>
    <row r="10">
      <c r="A10" s="6" t="inlineStr">
        <is>
          <t>Zona de planificación</t>
        </is>
      </c>
      <c r="B10" s="7" t="inlineStr">
        <is>
          <t>Z11</t>
        </is>
      </c>
      <c r="C10" s="6" t="inlineStr">
        <is>
          <t>Microcuenca declarada en ficha DT</t>
        </is>
      </c>
      <c r="D10" s="7" t="inlineStr">
        <is>
          <t>C1076-Q9585</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Hualtacal</t>
        </is>
      </c>
      <c r="C13" s="6" t="inlineStr">
        <is>
          <t>Comunidad campesina</t>
        </is>
      </c>
      <c r="D13" s="7" t="inlineStr">
        <is>
          <t>Por verificar</t>
        </is>
      </c>
      <c r="E13" s="8" t="n"/>
      <c r="F13" s="8" t="n"/>
    </row>
    <row r="14">
      <c r="A14" s="6" t="inlineStr">
        <is>
          <t>Superficie de catálogo (V5/V6), ha</t>
        </is>
      </c>
      <c r="B14" s="7" t="n">
        <v>8.93</v>
      </c>
      <c r="C14" s="6" t="inlineStr">
        <is>
          <t>Fuente de superficie</t>
        </is>
      </c>
      <c r="D14" s="7" t="inlineStr">
        <is>
          <t>Catálogo maestro Bloques V5/V6</t>
        </is>
      </c>
      <c r="E14" s="8" t="n"/>
      <c r="F14" s="8" t="n"/>
    </row>
    <row r="15">
      <c r="A15" s="6" t="inlineStr">
        <is>
          <t>Centroide UTM ESTE (m)</t>
        </is>
      </c>
      <c r="B15" s="7" t="n">
        <v>641538</v>
      </c>
      <c r="C15" s="6" t="inlineStr">
        <is>
          <t>Centroide UTM NORTE (m)</t>
        </is>
      </c>
      <c r="D15" s="7" t="n">
        <v>9401360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272</v>
      </c>
      <c r="C19" s="6" t="inlineStr">
        <is>
          <t>Altitud máxima (msnm)</t>
        </is>
      </c>
      <c r="D19" s="7" t="n">
        <v>371</v>
      </c>
      <c r="E19" s="8" t="n"/>
      <c r="F19" s="8" t="n"/>
    </row>
    <row r="20">
      <c r="A20" s="6" t="inlineStr">
        <is>
          <t>Amplitud altitudinal (m)</t>
        </is>
      </c>
      <c r="B20" s="7" t="n">
        <v>99</v>
      </c>
      <c r="C20" s="6" t="inlineStr">
        <is>
          <t>Piso altitudinal dominante</t>
        </is>
      </c>
      <c r="D20" s="7" t="inlineStr">
        <is>
          <t>&lt;1000 m (Yunga)</t>
        </is>
      </c>
      <c r="E20" s="8" t="n"/>
      <c r="F20" s="8" t="n"/>
    </row>
    <row r="21">
      <c r="A21" s="6" t="inlineStr">
        <is>
          <t>Pendiente promedio (%)</t>
        </is>
      </c>
      <c r="B21" s="7" t="n">
        <v>16.05</v>
      </c>
      <c r="C21" s="6" t="inlineStr">
        <is>
          <t>Pendiente promedio (grados)</t>
        </is>
      </c>
      <c r="D21" s="7" t="n">
        <v>9.1</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0.2747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(75.21 %)</t>
        </is>
      </c>
      <c r="E29" s="8" t="n"/>
      <c r="F29" s="8" t="n"/>
    </row>
    <row r="30">
      <c r="A30" s="6" t="inlineStr">
        <is>
          <t>Superficie clasificada NDVI 2025 (ha)</t>
        </is>
      </c>
      <c r="B30" s="7" t="n">
        <v>8.930999999999999</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8.93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Bosque ralo (30-70%)</t>
        </is>
      </c>
      <c r="C35" s="6" t="inlineStr">
        <is>
          <t>Cobertura vegetal total — campo (%)</t>
        </is>
      </c>
      <c r="D35" s="7" t="n">
        <v>70</v>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2026-07-20</t>
        </is>
      </c>
      <c r="E41" s="8" t="n"/>
      <c r="F41" s="8" t="n"/>
    </row>
    <row r="42">
      <c r="A42" s="6" t="inlineStr">
        <is>
          <t>Hora de registro</t>
        </is>
      </c>
      <c r="B42" s="7" t="inlineStr">
        <is>
          <t>11:43-12:15</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consignada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Demanda de leña y presión agropecuaria comunal sobre el bosque seco, sin prácticas de manejo y conservación</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0.274714</v>
      </c>
      <c r="C15" s="17" t="inlineStr">
        <is>
          <t>—</t>
        </is>
      </c>
      <c r="D15" s="17" t="inlineStr">
        <is>
          <t>Vigor muy bajo · clase 0.2650 - 0.3813</t>
        </is>
      </c>
      <c r="E15" s="17" t="inlineStr">
        <is>
          <t>BAJO umbral 0.4976</t>
        </is>
      </c>
    </row>
    <row r="17" ht="72" customHeight="1">
      <c r="A17" s="9" t="inlineStr">
        <is>
          <t>NOTA METODOLÓGICA. La media del MSAVI 2024 del bloque (0.274714)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mediana</t>
        </is>
      </c>
      <c r="B21" s="18" t="n">
        <v>1.2826</v>
      </c>
      <c r="C21" s="19" t="n">
        <v>14.36</v>
      </c>
      <c r="D21" s="11" t="inlineStr">
        <is>
          <t>Pastizal cultivado, matorral ralo, parcelas agrícolas</t>
        </is>
      </c>
      <c r="E21" s="11" t="inlineStr"/>
    </row>
    <row r="22">
      <c r="A22" s="12" t="inlineStr">
        <is>
          <t>Vegetación ligera</t>
        </is>
      </c>
      <c r="B22" s="20" t="n">
        <v>6.7175</v>
      </c>
      <c r="C22" s="21" t="n">
        <v>75.20999999999999</v>
      </c>
      <c r="D22" s="13" t="inlineStr">
        <is>
          <t>Cobertura discontinua, suelo parcialmente expuesto</t>
        </is>
      </c>
      <c r="E22" s="13" t="inlineStr"/>
    </row>
    <row r="23">
      <c r="A23" s="7" t="inlineStr">
        <is>
          <t>Tierra desnuda</t>
        </is>
      </c>
      <c r="B23" s="18" t="n">
        <v>0.9313</v>
      </c>
      <c r="C23" s="19" t="n">
        <v>10.43</v>
      </c>
      <c r="D23" s="11" t="inlineStr">
        <is>
          <t>Suelo desnudo, afloramientos, plataformas y taludes</t>
        </is>
      </c>
      <c r="E23" s="11" t="inlineStr"/>
    </row>
    <row r="24">
      <c r="A24" s="16" t="inlineStr">
        <is>
          <t>TOTAL CLASIFICADO</t>
        </is>
      </c>
      <c r="B24" s="22">
        <f>SUM(B21:B23)</f>
        <v/>
      </c>
      <c r="C24" s="23">
        <f>SUM(C21:C23)</f>
        <v/>
      </c>
      <c r="D24" s="17" t="inlineStr"/>
      <c r="E24" s="17" t="inlineStr"/>
    </row>
    <row r="25">
      <c r="A25" s="24" t="inlineStr">
        <is>
          <t>Superficie de catálogo (V5/V6)</t>
        </is>
      </c>
      <c r="B25" s="25" t="n">
        <v>8.93</v>
      </c>
      <c r="C25" s="25" t="inlineStr">
        <is>
          <t>—</t>
        </is>
      </c>
      <c r="D25" s="25" t="inlineStr">
        <is>
          <t>Desviación planimétrica frente al catálogo</t>
        </is>
      </c>
      <c r="E25" s="25" t="inlineStr">
        <is>
          <t>+0.02 %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0.00 % del polígono clasificado como «Vegetación alta» por el NDVI 2025; la observación de campo corresponde a una parcela o recorrido puntual y no es estadísticamente representativa de las 8.930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81</t>
        </is>
      </c>
    </row>
    <row r="6" ht="24" customHeight="1">
      <c r="A6" s="4" t="inlineStr">
        <is>
          <t>Levantamiento del 2026-07-20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E-01</t>
        </is>
      </c>
      <c r="B10" s="11" t="inlineStr">
        <is>
          <t>Rasgo erosivo — Surco/cárcava</t>
        </is>
      </c>
      <c r="C10" s="26" t="n">
        <v>641368</v>
      </c>
      <c r="D10" s="26" t="n">
        <v>9401094</v>
      </c>
      <c r="E10" s="11" t="n">
        <v>315.7</v>
      </c>
      <c r="F10" s="11" t="inlineStr">
        <is>
          <t>Activa</t>
        </is>
      </c>
      <c r="G10" s="11" t="inlineStr">
        <is>
          <t>Caminos / huellas de ganado</t>
        </is>
      </c>
    </row>
    <row r="11">
      <c r="A11" s="12" t="inlineStr">
        <is>
          <t>E-02</t>
        </is>
      </c>
      <c r="B11" s="13" t="inlineStr">
        <is>
          <t>Rasgo erosivo — Surco/cárcava</t>
        </is>
      </c>
      <c r="C11" s="27" t="n">
        <v>641365</v>
      </c>
      <c r="D11" s="27" t="n">
        <v>9401097</v>
      </c>
      <c r="E11" s="13" t="n">
        <v>314.8</v>
      </c>
      <c r="F11" s="13" t="inlineStr">
        <is>
          <t>Semi-activa</t>
        </is>
      </c>
      <c r="G11" s="13" t="inlineStr">
        <is>
          <t>Socavamiento de cauce</t>
        </is>
      </c>
    </row>
    <row r="12">
      <c r="A12" s="7" t="inlineStr">
        <is>
          <t>H-01</t>
        </is>
      </c>
      <c r="B12" s="11" t="inlineStr">
        <is>
          <t>Fuente de agua — Quebrada permanente</t>
        </is>
      </c>
      <c r="C12" s="26" t="n">
        <v>641365</v>
      </c>
      <c r="D12" s="26" t="n">
        <v>9401097</v>
      </c>
      <c r="E12" s="11" t="n">
        <v>314.8</v>
      </c>
      <c r="F12" s="11" t="inlineStr">
        <is>
          <t>Permanente</t>
        </is>
      </c>
      <c r="G12" s="11" t="inlineStr">
        <is>
          <t>Discurre por el borde</t>
        </is>
      </c>
    </row>
    <row r="13">
      <c r="A13" s="12" t="inlineStr">
        <is>
          <t>H-02</t>
        </is>
      </c>
      <c r="B13" s="13" t="inlineStr">
        <is>
          <t>Fuente de agua — Canal de riego</t>
        </is>
      </c>
      <c r="C13" s="27" t="n">
        <v>641626</v>
      </c>
      <c r="D13" s="27" t="n">
        <v>9401035</v>
      </c>
      <c r="E13" s="13" t="n">
        <v>336.7</v>
      </c>
      <c r="F13" s="13" t="inlineStr">
        <is>
          <t>Permanente</t>
        </is>
      </c>
      <c r="G13" s="13" t="inlineStr">
        <is>
          <t>Canal revestido en operación</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641538</v>
      </c>
      <c r="C16" s="6" t="inlineStr">
        <is>
          <t>Centroide del bloque — UTM NORTE (m)</t>
        </is>
      </c>
      <c r="D16" s="7" t="n">
        <v>9401360</v>
      </c>
      <c r="E16" s="8" t="n"/>
      <c r="F16" s="8" t="n"/>
      <c r="G16" s="8" t="n"/>
      <c r="H16" s="8" t="n"/>
    </row>
    <row r="17">
      <c r="A17" s="6" t="inlineStr">
        <is>
          <t>N.° de estaciones fotográficas declaradas</t>
        </is>
      </c>
      <c r="B17" s="7" t="inlineStr">
        <is>
          <t>Sin registro en la ficha DT</t>
        </is>
      </c>
      <c r="C17" s="6" t="inlineStr">
        <is>
          <t>Estaciones dentro del polígono</t>
        </is>
      </c>
      <c r="D17" s="7" t="inlineStr">
        <is>
          <t>Por determinar</t>
        </is>
      </c>
      <c r="E17" s="8" t="n"/>
      <c r="F17" s="8" t="n"/>
      <c r="G17" s="8" t="n"/>
      <c r="H17" s="8" t="n"/>
    </row>
    <row r="19" ht="8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Terreno de la Comunidad Campesina de Andanjo. Opera el Vivero Forestal Hualtacal (Proyecto Pusmalca). Altitud GPS de campo por verificar.</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C1076-Q9585 — BLOQUE 81</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C1076-Q9585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M20B1</t>
        </is>
      </c>
      <c r="B10" s="28" t="n">
        <v>279.68</v>
      </c>
      <c r="C10" s="19" t="n">
        <v>96.91</v>
      </c>
      <c r="D10" s="11" t="inlineStr">
        <is>
          <t>249 – 525</t>
        </is>
      </c>
      <c r="E10" s="11" t="n">
        <v>276</v>
      </c>
      <c r="F10" s="11" t="n">
        <v>15.53</v>
      </c>
      <c r="G10" s="18" t="n">
        <v>0.3553</v>
      </c>
      <c r="H10" s="19" t="n">
        <v>8.960000000000001</v>
      </c>
    </row>
    <row r="11">
      <c r="A11" s="14" t="inlineStr">
        <is>
          <t>► 81</t>
        </is>
      </c>
      <c r="B11" s="29" t="n">
        <v>8.93</v>
      </c>
      <c r="C11" s="30" t="n">
        <v>3.09</v>
      </c>
      <c r="D11" s="15" t="inlineStr">
        <is>
          <t>272 – 371</t>
        </is>
      </c>
      <c r="E11" s="15" t="n">
        <v>99</v>
      </c>
      <c r="F11" s="15" t="n">
        <v>16.05</v>
      </c>
      <c r="G11" s="31" t="n">
        <v>0.2747</v>
      </c>
      <c r="H11" s="30" t="n">
        <v>0</v>
      </c>
    </row>
    <row r="12">
      <c r="A12" s="16" t="inlineStr">
        <is>
          <t>TOTAL / PROMEDIO</t>
        </is>
      </c>
      <c r="B12" s="32">
        <f>SUM(B10:B11)</f>
        <v/>
      </c>
      <c r="C12" s="23">
        <f>SUM(C10:C11)</f>
        <v/>
      </c>
      <c r="D12" s="17" t="inlineStr">
        <is>
          <t>249 – 525</t>
        </is>
      </c>
      <c r="E12" s="17" t="inlineStr"/>
      <c r="F12" s="17">
        <f>ROUND(AVERAGE(F10:F11),2)</f>
        <v/>
      </c>
      <c r="G12" s="22">
        <f>ROUND(AVERAGE(G10:G11),4)</f>
        <v/>
      </c>
      <c r="H12" s="23">
        <f>ROUND(AVERAGE(H10:H11),2)</f>
        <v/>
      </c>
    </row>
    <row r="14" ht="84" customHeight="1">
      <c r="A14" s="9" t="inlineStr">
        <is>
          <t>LECTURA INTRAMICROCUENCA. El bloque 81 ocupa el puesto 2 de 2 por superficie dentro de la microcuenca C1076-Q9585 (3.09 % de las 288.61 ha preliminares de la microcuenca). Su pendiente promedio (16.05 %, clase «15-25% (Fuert. inclinado)») es la 2.ª más baja de 2 y se sitúa por encima del promedio de la microcuenca (15.79 %). Su MSAVI 2024 (0.2747) es el 2.º de 2 y queda por debajo del promedio local (0.3150). Amplitud altitudinal del bloque: 99 m (272–371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«C1076-Q9585»</t>
        </is>
      </c>
      <c r="D10" s="34" t="inlineStr">
        <is>
          <t>CONFORME</t>
        </is>
      </c>
      <c r="E10" s="33" t="inlineStr">
        <is>
          <t>Sin acción.</t>
        </is>
      </c>
    </row>
    <row r="11" ht="48" customHeight="1">
      <c r="A11" s="35" t="inlineStr">
        <is>
          <t>D-02</t>
        </is>
      </c>
      <c r="B11" s="35" t="inlineStr">
        <is>
          <t>UTM del punto de muestreo</t>
        </is>
      </c>
      <c r="C11" s="35" t="inlineStr">
        <is>
          <t>Las celdas de UTM ESTE / NORTE del punto de muestreo están vacías o incompletas en la ficha DT</t>
        </is>
      </c>
      <c r="D11" s="36" t="inlineStr">
        <is>
          <t>SUSTANTIVA</t>
        </is>
      </c>
      <c r="E11" s="35" t="inlineStr">
        <is>
          <t>No se sustituye por el centroide del catálogo. Se consigna «Por registrar en campo».</t>
        </is>
      </c>
    </row>
    <row r="12" ht="48" customHeight="1">
      <c r="A12" s="33" t="inlineStr">
        <is>
          <t>D-03</t>
        </is>
      </c>
      <c r="B12" s="33" t="inlineStr">
        <is>
          <t>Superficie del polígono</t>
        </is>
      </c>
      <c r="C12" s="33" t="inlineStr">
        <is>
          <t>La superficie clasificada por el NDVI 2025 (8.931 ha) coincide con la de catálogo (8.93 ha) dentro del ±2 % (+0.02 %)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70 % de cobertura vegetal en campo; el NDVI mediana 2025 clasifica 89.57 % del polígono en clases de vegetación</t>
        </is>
      </c>
      <c r="D13" s="15"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Altitud GPS del punto de muestreo</t>
        </is>
      </c>
      <c r="C14" s="33" t="inlineStr">
        <is>
          <t>La aplicación de captura no registró altitud GPS en campo</t>
        </is>
      </c>
      <c r="D14" s="15" t="inlineStr">
        <is>
          <t>NO SUSTANTIVA</t>
        </is>
      </c>
      <c r="E14" s="33" t="inlineStr">
        <is>
          <t>El rango altitudinal del bloque (272–371 msnm) y la pendiente promedio (16.05 %) se toman de la estadística zonal sobre el MDE, no de medición de campo. Se declara la fuente.</t>
        </is>
      </c>
    </row>
    <row r="15" ht="48" customHeight="1">
      <c r="A15" s="35" t="inlineStr">
        <is>
          <t>D-06</t>
        </is>
      </c>
      <c r="B15" s="35" t="inlineStr">
        <is>
          <t>Dimensiones del inventario de cárcavas</t>
        </is>
      </c>
      <c r="C15" s="35" t="inlineStr">
        <is>
          <t>Se registran 2 rasgos erosivos, pero longitud, profundidad y ancho no fueron medidos instrumentalmente</t>
        </is>
      </c>
      <c r="D15" s="15" t="inlineStr">
        <is>
          <t>NO SUSTANTIVA</t>
        </is>
      </c>
      <c r="E15" s="35" t="inlineStr">
        <is>
          <t>El conteo registrado no debe usarse para calcular densidad de cárcavas por hectárea. Pendiente de levantamiento con GPS submétrico.</t>
        </is>
      </c>
    </row>
    <row r="16" ht="48" customHeight="1">
      <c r="A16" s="33" t="inlineStr">
        <is>
          <t>D-07</t>
        </is>
      </c>
      <c r="B16" s="33" t="inlineStr">
        <is>
          <t>Elenco florístico</t>
        </is>
      </c>
      <c r="C16" s="33" t="inlineStr">
        <is>
          <t>La ficha registra 14 taxones, por debajo del mínimo de 15 que exige el formato V5</t>
        </is>
      </c>
      <c r="D16" s="36" t="inlineStr">
        <is>
          <t>SUSTANTIVA</t>
        </is>
      </c>
      <c r="E16" s="33" t="inlineStr">
        <is>
          <t>Registro florístico preliminar, sin colecta ni determinación botánica formal. Debe cerrarse con colecta botánica en la siguiente campaña.</t>
        </is>
      </c>
    </row>
    <row r="17" ht="48" customHeight="1">
      <c r="A17" s="35" t="inlineStr">
        <is>
          <t>D-08</t>
        </is>
      </c>
      <c r="B17" s="35" t="inlineStr">
        <is>
          <t>Centro poblado asociado</t>
        </is>
      </c>
      <c r="C17" s="35" t="inlineStr">
        <is>
          <t>La ficha DT declara «Hualtacal»; el cruce INEI-Bloques V5 identifica 1 centro(s) poblado(s) en el bloque: HUALTACAL</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3 · NO SUSTANTIVA: 3 · SUSTANTIVA: 3</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81 — IN Piura</dc:title>
  <dc:subject>Diagnóstico Territorial por bloque de intervención</dc:subject>
  <dcterms:created xsi:type="dcterms:W3CDTF">2026-09-08T03:39:54Z</dcterms:created>
  <dcterms:modified xsi:type="dcterms:W3CDTF">2026-09-08T03:39:54Z</dcterms:modified>
</cp:coreProperties>
</file>