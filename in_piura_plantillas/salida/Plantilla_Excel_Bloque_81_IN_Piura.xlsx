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81</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81</t>
        </is>
      </c>
      <c r="C9" s="6" t="inlineStr">
        <is>
          <t>Microcuenca (catálogo)</t>
        </is>
      </c>
      <c r="D9" s="7" t="inlineStr">
        <is>
          <t>C1076-Q9585</t>
        </is>
      </c>
      <c r="E9" s="8" t="n"/>
      <c r="F9" s="8" t="n"/>
    </row>
    <row r="10">
      <c r="A10" s="6" t="inlineStr">
        <is>
          <t>Zona de planificación</t>
        </is>
      </c>
      <c r="B10" s="7" t="inlineStr">
        <is>
          <t>Z11</t>
        </is>
      </c>
      <c r="C10" s="6" t="inlineStr">
        <is>
          <t>Microcuenca declarada en ficha DT</t>
        </is>
      </c>
      <c r="D10" s="7" t="inlineStr">
        <is>
          <t>C1076-Q9585</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Canchaque</t>
        </is>
      </c>
      <c r="C12" s="6" t="inlineStr">
        <is>
          <t>Capital distrital</t>
        </is>
      </c>
      <c r="D12" s="7" t="inlineStr">
        <is>
          <t>Canchaque</t>
        </is>
      </c>
      <c r="E12" s="8" t="n"/>
      <c r="F12" s="8" t="n"/>
    </row>
    <row r="13">
      <c r="A13" s="6" t="inlineStr">
        <is>
          <t>Centro poblado asociado</t>
        </is>
      </c>
      <c r="B13" s="7" t="inlineStr">
        <is>
          <t>Hualtacal</t>
        </is>
      </c>
      <c r="C13" s="6" t="inlineStr">
        <is>
          <t>Comunidad campesina</t>
        </is>
      </c>
      <c r="D13" s="7" t="inlineStr">
        <is>
          <t>Por verificar</t>
        </is>
      </c>
      <c r="E13" s="8" t="n"/>
      <c r="F13" s="8" t="n"/>
    </row>
    <row r="14">
      <c r="A14" s="6" t="inlineStr">
        <is>
          <t>Superficie de catálogo (V5/V6), ha</t>
        </is>
      </c>
      <c r="B14" s="7" t="n">
        <v>8.93</v>
      </c>
      <c r="C14" s="6" t="inlineStr">
        <is>
          <t>Fuente de superficie</t>
        </is>
      </c>
      <c r="D14" s="7" t="inlineStr">
        <is>
          <t>Catálogo maestro Bloques V5/V6</t>
        </is>
      </c>
      <c r="E14" s="8" t="n"/>
      <c r="F14" s="8" t="n"/>
    </row>
    <row r="15">
      <c r="A15" s="6" t="inlineStr">
        <is>
          <t>Centroide UTM ESTE (m)</t>
        </is>
      </c>
      <c r="B15" s="7" t="n">
        <v>641538</v>
      </c>
      <c r="C15" s="6" t="inlineStr">
        <is>
          <t>Centroide UTM NORTE (m)</t>
        </is>
      </c>
      <c r="D15" s="7" t="n">
        <v>9401360</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272</v>
      </c>
      <c r="C19" s="6" t="inlineStr">
        <is>
          <t>Altitud máxima (msnm)</t>
        </is>
      </c>
      <c r="D19" s="7" t="n">
        <v>371</v>
      </c>
      <c r="E19" s="8" t="n"/>
      <c r="F19" s="8" t="n"/>
    </row>
    <row r="20">
      <c r="A20" s="6" t="inlineStr">
        <is>
          <t>Amplitud altitudinal (m)</t>
        </is>
      </c>
      <c r="B20" s="7" t="n">
        <v>99</v>
      </c>
      <c r="C20" s="6" t="inlineStr">
        <is>
          <t>Piso altitudinal dominante</t>
        </is>
      </c>
      <c r="D20" s="7" t="inlineStr">
        <is>
          <t>&lt;1000 m (Yunga)</t>
        </is>
      </c>
      <c r="E20" s="8" t="n"/>
      <c r="F20" s="8" t="n"/>
    </row>
    <row r="21">
      <c r="A21" s="6" t="inlineStr">
        <is>
          <t>Pendiente promedio (%)</t>
        </is>
      </c>
      <c r="B21" s="7" t="n">
        <v>16.05</v>
      </c>
      <c r="C21" s="6" t="inlineStr">
        <is>
          <t>Pendiente promedio (grados)</t>
        </is>
      </c>
      <c r="D21" s="7" t="n">
        <v>9.1</v>
      </c>
      <c r="E21" s="8" t="n"/>
      <c r="F21" s="8" t="n"/>
    </row>
    <row r="22">
      <c r="A22" s="6" t="inlineStr">
        <is>
          <t>Clase de pendiente equivalente</t>
        </is>
      </c>
      <c r="B22" s="7" t="inlineStr">
        <is>
          <t>15-25% (Fuert. inclinado)</t>
        </is>
      </c>
      <c r="C22" s="6" t="inlineStr">
        <is>
          <t>Rango de pendiente declarado en campo</t>
        </is>
      </c>
      <c r="D22" s="7" t="inlineStr">
        <is>
          <t>15-25% (Fuert. inclinado)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Noreste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0.2747</v>
      </c>
      <c r="C28" s="6" t="inlineStr">
        <is>
          <t>MSAVI 2024 — clase de la media</t>
        </is>
      </c>
      <c r="D28" s="7" t="inlineStr">
        <is>
          <t>0.2650 - 0.3813 (Vigor muy bajo)</t>
        </is>
      </c>
      <c r="E28" s="8" t="n"/>
      <c r="F28" s="8" t="n"/>
    </row>
    <row r="29">
      <c r="A29" s="6" t="inlineStr">
        <is>
          <t>Condición frente al umbral 0.4976</t>
        </is>
      </c>
      <c r="B29" s="7" t="inlineStr">
        <is>
          <t>Bajo umbral · distribución areal: 100.00 % del bloque BAJO el umbral (8.930 ha de 8.930 ha)</t>
        </is>
      </c>
      <c r="C29" s="6" t="inlineStr">
        <is>
          <t>NDVI mediana 2025 — clase modal</t>
        </is>
      </c>
      <c r="D29" s="7" t="inlineStr">
        <is>
          <t>Vegetación ligera (75.21 %)</t>
        </is>
      </c>
      <c r="E29" s="8" t="n"/>
      <c r="F29" s="8" t="n"/>
    </row>
    <row r="30">
      <c r="A30" s="6" t="inlineStr">
        <is>
          <t>MSAVI 2024 — superficie BAJO el umbral 0.4976 (ha)</t>
        </is>
      </c>
      <c r="B30" s="7" t="n">
        <v>8.93</v>
      </c>
      <c r="C30" s="6" t="inlineStr">
        <is>
          <t>MSAVI 2024 — % del bloque BAJO el umbral</t>
        </is>
      </c>
      <c r="D30" s="7" t="n">
        <v>100</v>
      </c>
      <c r="E30" s="8" t="n"/>
      <c r="F30" s="8" t="n"/>
    </row>
    <row r="31">
      <c r="A31" s="6" t="inlineStr">
        <is>
          <t>MSAVI 2024 — clase areal dominante</t>
        </is>
      </c>
      <c r="B31" s="7" t="inlineStr">
        <is>
          <t>Vigor muy bajo</t>
        </is>
      </c>
      <c r="C31" s="6" t="inlineStr">
        <is>
          <t>MSAVI 2024 — fuente de la distribución areal</t>
        </is>
      </c>
      <c r="D31" s="7" t="inlineStr">
        <is>
          <t>Conteo de celdas sobre la cartografía MSAVI 2024 del bloque (81.png)</t>
        </is>
      </c>
      <c r="E31" s="8" t="n"/>
      <c r="F31" s="8" t="n"/>
    </row>
    <row r="32" ht="18" customHeight="1">
      <c r="A32" s="6" t="inlineStr">
        <is>
          <t>Superficie clasificada NDVI 2025 (ha)</t>
        </is>
      </c>
      <c r="B32" s="7" t="n">
        <v>8.930999999999999</v>
      </c>
      <c r="C32" s="6" t="inlineStr">
        <is>
          <t>Desviación frente al catálogo (%)</t>
        </is>
      </c>
      <c r="D32" s="7" t="n">
        <v>0.02</v>
      </c>
      <c r="E32" s="8" t="n"/>
      <c r="F32" s="8" t="n"/>
    </row>
    <row r="33"/>
    <row r="34">
      <c r="A34" s="5" t="inlineStr">
        <is>
          <t>4. ECOSISTEMA Y ESTADO DE CONSERVACIÓN</t>
        </is>
      </c>
    </row>
    <row r="35">
      <c r="A35" s="6" t="inlineStr">
        <is>
          <t>Tipo de ecosistema (UP)</t>
        </is>
      </c>
      <c r="B35" s="7" t="inlineStr">
        <is>
          <t>Bosque Estacionalmente Seco Colina/Montaña (Bes-cm)</t>
        </is>
      </c>
      <c r="C35" s="6" t="inlineStr">
        <is>
          <t>Superficie de ecosistema (ha)</t>
        </is>
      </c>
      <c r="D35" s="7" t="inlineStr">
        <is>
          <t>8.93 ha</t>
        </is>
      </c>
      <c r="E35" s="8" t="n"/>
      <c r="F35" s="8" t="n"/>
    </row>
    <row r="36">
      <c r="A36" s="6" t="inlineStr">
        <is>
          <t>Estado de conservación</t>
        </is>
      </c>
      <c r="B36" s="7" t="inlineStr">
        <is>
          <t>Medianamente alterado</t>
        </is>
      </c>
      <c r="C36" s="6" t="inlineStr">
        <is>
          <t>Uso actual dominante del suelo</t>
        </is>
      </c>
      <c r="D36" s="7" t="inlineStr">
        <is>
          <t>Uso mixto</t>
        </is>
      </c>
      <c r="E36" s="8" t="n"/>
      <c r="F36" s="8" t="n"/>
    </row>
    <row r="37">
      <c r="A37" s="6" t="inlineStr">
        <is>
          <t>Tipo de cobertura dominante</t>
        </is>
      </c>
      <c r="B37" s="7" t="inlineStr">
        <is>
          <t>Bosque ralo (30-70%)</t>
        </is>
      </c>
      <c r="C37" s="6" t="inlineStr">
        <is>
          <t>Cobertura vegetal total — campo (%)</t>
        </is>
      </c>
      <c r="D37" s="7" t="n">
        <v>70</v>
      </c>
      <c r="E37" s="8" t="n"/>
      <c r="F37" s="8" t="n"/>
    </row>
    <row r="38">
      <c r="A38" s="6" t="inlineStr">
        <is>
          <t>Suelo desnudo — campo (%)</t>
        </is>
      </c>
      <c r="B38" s="7" t="n">
        <v>15</v>
      </c>
      <c r="C38" s="6" t="inlineStr">
        <is>
          <t>Regeneración natural</t>
        </is>
      </c>
      <c r="D38" s="7" t="inlineStr">
        <is>
          <t>Regular (10-50 pl./100m²)</t>
        </is>
      </c>
      <c r="E38" s="8" t="n"/>
      <c r="F38" s="8" t="n"/>
    </row>
    <row r="39">
      <c r="A39" s="6" t="inlineStr">
        <is>
          <t>Nivel general de erosión</t>
        </is>
      </c>
      <c r="B39" s="7" t="inlineStr">
        <is>
          <t>Moderada (surcos)</t>
        </is>
      </c>
      <c r="C39" s="6" t="inlineStr">
        <is>
          <t>N.° de cárcavas registradas</t>
        </is>
      </c>
      <c r="D39" s="7" t="n">
        <v>2</v>
      </c>
      <c r="E39" s="8" t="n"/>
      <c r="F39" s="8" t="n"/>
    </row>
    <row r="40" ht="18" customHeight="1">
      <c r="A40" s="6" t="inlineStr">
        <is>
          <t>Elenco florístico (n.° de taxones)</t>
        </is>
      </c>
      <c r="B40" s="7" t="n">
        <v>14</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Ing. Héctor S. Cahuas Miller</t>
        </is>
      </c>
      <c r="C43" s="6" t="inlineStr">
        <is>
          <t>Fecha de evaluación</t>
        </is>
      </c>
      <c r="D43" s="7" t="inlineStr">
        <is>
          <t>2026-07-20</t>
        </is>
      </c>
      <c r="E43" s="8" t="n"/>
      <c r="F43" s="8" t="n"/>
    </row>
    <row r="44">
      <c r="A44" s="6" t="inlineStr">
        <is>
          <t>Hora de registro</t>
        </is>
      </c>
      <c r="B44" s="7" t="inlineStr">
        <is>
          <t>11:43-12:15</t>
        </is>
      </c>
      <c r="C44" s="6" t="inlineStr">
        <is>
          <t>Correlativo de ficha</t>
        </is>
      </c>
      <c r="D44" s="7" t="inlineStr">
        <is>
          <t>Por registrar</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No consignada</t>
        </is>
      </c>
      <c r="E46" s="8" t="n"/>
      <c r="F46" s="8" t="n"/>
    </row>
    <row r="47" ht="18" customHeight="1">
      <c r="A47" s="6" t="inlineStr">
        <is>
          <t>Estaciones fotográficas georreferenciadas</t>
        </is>
      </c>
      <c r="B47" s="7" t="inlineStr">
        <is>
          <t>Sin registro en la ficha DT</t>
        </is>
      </c>
      <c r="C47" s="6" t="inlineStr">
        <is>
          <t>Modalidad de acceso</t>
        </is>
      </c>
      <c r="D47" s="7" t="inlineStr">
        <is>
          <t>Vehicular + caminata &lt;30 min</t>
        </is>
      </c>
      <c r="E47" s="8" t="n"/>
      <c r="F47" s="8" t="n"/>
    </row>
    <row r="48"/>
    <row r="49">
      <c r="A49" s="5" t="inlineStr">
        <is>
          <t>6. SÍNTESIS PARA LA GESTIÓN DEL RIESGO EN CONTEXTO DE CAMBIO CLIMÁTICO</t>
        </is>
      </c>
    </row>
    <row r="50">
      <c r="A50" s="6" t="inlineStr">
        <is>
          <t>Causa subyacente principal</t>
        </is>
      </c>
      <c r="B50" s="7" t="inlineStr">
        <is>
          <t>Demanda de leña y presión agropecuaria comunal sobre el bosque seco, sin prácticas de manejo y conservación</t>
        </is>
      </c>
      <c r="C50" s="6" t="inlineStr">
        <is>
          <t>Velocidad de degradación</t>
        </is>
      </c>
      <c r="D50" s="7" t="inlineStr">
        <is>
          <t>Moderada</t>
        </is>
      </c>
      <c r="E50" s="8" t="n"/>
      <c r="F50" s="8" t="n"/>
    </row>
    <row r="51">
      <c r="A51" s="6" t="inlineStr">
        <is>
          <t>Reversibilidad técnica</t>
        </is>
      </c>
      <c r="B51" s="7" t="inlineStr">
        <is>
          <t>Parcialmente reversible</t>
        </is>
      </c>
      <c r="C51" s="6" t="inlineStr">
        <is>
          <t>Urgencia de intervención</t>
        </is>
      </c>
      <c r="D51" s="7" t="inlineStr">
        <is>
          <t>Media</t>
        </is>
      </c>
      <c r="E51" s="8" t="n"/>
      <c r="F51" s="8" t="n"/>
    </row>
    <row r="52">
      <c r="A52" s="6" t="inlineStr">
        <is>
          <t>Urgencia de control de erosión</t>
        </is>
      </c>
      <c r="B52" s="7" t="inlineStr">
        <is>
          <t>Media</t>
        </is>
      </c>
      <c r="C52" s="6" t="inlineStr">
        <is>
          <t>Zona de recarga hídrica</t>
        </is>
      </c>
      <c r="D52" s="7" t="inlineStr">
        <is>
          <t>Sí</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7" t="n"/>
      <c r="C56" s="37" t="n"/>
      <c r="D56" s="37" t="n"/>
      <c r="E56" s="37" t="n"/>
      <c r="F56" s="38"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81</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0</v>
      </c>
      <c r="C10" s="19" t="n">
        <v>0</v>
      </c>
      <c r="D10" s="11" t="inlineStr">
        <is>
          <t>Vigor alto</t>
        </is>
      </c>
      <c r="E10" s="11" t="inlineStr">
        <is>
          <t>Sobre umbral</t>
        </is>
      </c>
    </row>
    <row r="11">
      <c r="A11" s="12" t="inlineStr">
        <is>
          <t>0.4976 - 0.6139</t>
        </is>
      </c>
      <c r="B11" s="20" t="n">
        <v>0</v>
      </c>
      <c r="C11" s="21" t="n">
        <v>0</v>
      </c>
      <c r="D11" s="13" t="inlineStr">
        <is>
          <t>Vigor moderado</t>
        </is>
      </c>
      <c r="E11" s="13" t="inlineStr">
        <is>
          <t>Sobre umbral</t>
        </is>
      </c>
    </row>
    <row r="12">
      <c r="A12" s="7" t="inlineStr">
        <is>
          <t>0.3813 - 0.4976</t>
        </is>
      </c>
      <c r="B12" s="18" t="n">
        <v>0.1375</v>
      </c>
      <c r="C12" s="19" t="n">
        <v>1.54</v>
      </c>
      <c r="D12" s="11" t="inlineStr">
        <is>
          <t>Vigor bajo</t>
        </is>
      </c>
      <c r="E12" s="11" t="inlineStr">
        <is>
          <t>BAJO umbral 0.4976</t>
        </is>
      </c>
    </row>
    <row r="13">
      <c r="A13" s="14" t="inlineStr">
        <is>
          <t>0.2650 - 0.3813</t>
        </is>
      </c>
      <c r="B13" s="31" t="n">
        <v>4.7892</v>
      </c>
      <c r="C13" s="30" t="n">
        <v>53.63</v>
      </c>
      <c r="D13" s="15" t="inlineStr">
        <is>
          <t>Vigor muy bajo</t>
        </is>
      </c>
      <c r="E13" s="15" t="inlineStr">
        <is>
          <t>BAJO umbral 0.4976</t>
        </is>
      </c>
    </row>
    <row r="14">
      <c r="A14" s="7" t="inlineStr">
        <is>
          <t>&lt;= 0.2650</t>
        </is>
      </c>
      <c r="B14" s="18" t="n">
        <v>4.0033</v>
      </c>
      <c r="C14" s="19" t="n">
        <v>44.83</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0.274714</v>
      </c>
      <c r="C16" s="17" t="inlineStr">
        <is>
          <t>—</t>
        </is>
      </c>
      <c r="D16" s="17" t="inlineStr">
        <is>
          <t>Vigor muy bajo · clase 0.2650 - 0.3813</t>
        </is>
      </c>
      <c r="E16" s="17" t="inlineStr">
        <is>
          <t>BAJO umbral 0.4976</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7" t="n"/>
      <c r="C18" s="37" t="n"/>
      <c r="D18" s="37" t="n"/>
      <c r="E18" s="38"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mediana</t>
        </is>
      </c>
      <c r="B22" s="18" t="n">
        <v>1.2826</v>
      </c>
      <c r="C22" s="19" t="n">
        <v>14.36</v>
      </c>
      <c r="D22" s="11" t="inlineStr">
        <is>
          <t>Pastizal cultivado, matorral ralo, parcelas agrícolas</t>
        </is>
      </c>
      <c r="E22" s="11" t="inlineStr"/>
    </row>
    <row r="23">
      <c r="A23" s="12" t="inlineStr">
        <is>
          <t>Vegetación ligera</t>
        </is>
      </c>
      <c r="B23" s="20" t="n">
        <v>6.7175</v>
      </c>
      <c r="C23" s="21" t="n">
        <v>75.20999999999999</v>
      </c>
      <c r="D23" s="13" t="inlineStr">
        <is>
          <t>Cobertura discontinua, suelo parcialmente expuesto</t>
        </is>
      </c>
      <c r="E23" s="13" t="inlineStr"/>
    </row>
    <row r="24">
      <c r="A24" s="7" t="inlineStr">
        <is>
          <t>Tierra desnuda</t>
        </is>
      </c>
      <c r="B24" s="18" t="n">
        <v>0.9313</v>
      </c>
      <c r="C24" s="19" t="n">
        <v>10.43</v>
      </c>
      <c r="D24" s="11" t="inlineStr">
        <is>
          <t>Suelo desnudo, afloramientos, plataformas y taludes</t>
        </is>
      </c>
      <c r="E24" s="11" t="inlineStr"/>
    </row>
    <row r="25">
      <c r="A25" s="16" t="inlineStr">
        <is>
          <t>TOTAL CLASIFICADO</t>
        </is>
      </c>
      <c r="B25" s="22">
        <f>SUM(B21:B23)</f>
        <v/>
      </c>
      <c r="C25" s="23">
        <f>SUM(C21:C23)</f>
        <v/>
      </c>
      <c r="D25" s="17" t="inlineStr"/>
      <c r="E25" s="17" t="inlineStr"/>
    </row>
    <row r="26">
      <c r="A26" s="24" t="inlineStr">
        <is>
          <t>Superficie de catálogo (V5/V6)</t>
        </is>
      </c>
      <c r="B26" s="25" t="n">
        <v>8.93</v>
      </c>
      <c r="C26" s="25" t="inlineStr">
        <is>
          <t>—</t>
        </is>
      </c>
      <c r="D26" s="25" t="inlineStr">
        <is>
          <t>Desviación planimétrica frente al catálogo</t>
        </is>
      </c>
      <c r="E26" s="25" t="inlineStr">
        <is>
          <t>+0.02 %</t>
        </is>
      </c>
    </row>
    <row r="27" ht="108" customHeight="1"/>
    <row r="28">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70 % frente a un 0.00 % del polígono clasificado como «Vegetación alta» por el NDVI 2025; la observación de campo corresponde a una parcela o recorrido puntual y no es estadísticamente representativa de las 8.930 ha del bloque.</t>
        </is>
      </c>
      <c r="B28" s="37" t="n"/>
      <c r="C28" s="37" t="n"/>
      <c r="D28" s="37" t="n"/>
      <c r="E28" s="38" t="n"/>
    </row>
  </sheetData>
  <mergeCells count="10">
    <mergeCell ref="A4:E4"/>
    <mergeCell ref="A20:E20"/>
    <mergeCell ref="A2:E2"/>
    <mergeCell ref="A28:E28"/>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81</t>
        </is>
      </c>
    </row>
    <row r="6" ht="24" customHeight="1">
      <c r="A6" s="4" t="inlineStr">
        <is>
          <t>Levantamiento del 2026-07-20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E-01</t>
        </is>
      </c>
      <c r="B10" s="11" t="inlineStr">
        <is>
          <t>Rasgo erosivo — Surco/cárcava</t>
        </is>
      </c>
      <c r="C10" s="26" t="n">
        <v>641368</v>
      </c>
      <c r="D10" s="26" t="n">
        <v>9401094</v>
      </c>
      <c r="E10" s="11" t="n">
        <v>315.7</v>
      </c>
      <c r="F10" s="11" t="inlineStr">
        <is>
          <t>Activa</t>
        </is>
      </c>
      <c r="G10" s="11" t="inlineStr">
        <is>
          <t>Caminos / huellas de ganado</t>
        </is>
      </c>
    </row>
    <row r="11">
      <c r="A11" s="12" t="inlineStr">
        <is>
          <t>E-02</t>
        </is>
      </c>
      <c r="B11" s="13" t="inlineStr">
        <is>
          <t>Rasgo erosivo — Surco/cárcava</t>
        </is>
      </c>
      <c r="C11" s="27" t="n">
        <v>641365</v>
      </c>
      <c r="D11" s="27" t="n">
        <v>9401097</v>
      </c>
      <c r="E11" s="13" t="n">
        <v>314.8</v>
      </c>
      <c r="F11" s="13" t="inlineStr">
        <is>
          <t>Semi-activa</t>
        </is>
      </c>
      <c r="G11" s="13" t="inlineStr">
        <is>
          <t>Socavamiento de cauce</t>
        </is>
      </c>
    </row>
    <row r="12">
      <c r="A12" s="7" t="inlineStr">
        <is>
          <t>H-01</t>
        </is>
      </c>
      <c r="B12" s="11" t="inlineStr">
        <is>
          <t>Fuente de agua — Quebrada permanente</t>
        </is>
      </c>
      <c r="C12" s="26" t="n">
        <v>641365</v>
      </c>
      <c r="D12" s="26" t="n">
        <v>9401097</v>
      </c>
      <c r="E12" s="11" t="n">
        <v>314.8</v>
      </c>
      <c r="F12" s="11" t="inlineStr">
        <is>
          <t>Permanente</t>
        </is>
      </c>
      <c r="G12" s="11" t="inlineStr">
        <is>
          <t>Discurre por el borde</t>
        </is>
      </c>
    </row>
    <row r="13">
      <c r="A13" s="12" t="inlineStr">
        <is>
          <t>H-02</t>
        </is>
      </c>
      <c r="B13" s="13" t="inlineStr">
        <is>
          <t>Fuente de agua — Canal de riego</t>
        </is>
      </c>
      <c r="C13" s="27" t="n">
        <v>641626</v>
      </c>
      <c r="D13" s="27" t="n">
        <v>9401035</v>
      </c>
      <c r="E13" s="13" t="n">
        <v>336.7</v>
      </c>
      <c r="F13" s="13" t="inlineStr">
        <is>
          <t>Permanente</t>
        </is>
      </c>
      <c r="G13" s="13" t="inlineStr">
        <is>
          <t>Canal revestido en operación</t>
        </is>
      </c>
    </row>
    <row r="14">
      <c r="A14" s="16" t="inlineStr">
        <is>
          <t>TOTAL: 4 puntos</t>
        </is>
      </c>
      <c r="B14" s="17" t="inlineStr"/>
      <c r="C14" s="17" t="inlineStr"/>
      <c r="D14" s="17" t="inlineStr"/>
      <c r="E14" s="17" t="inlineStr"/>
      <c r="F14" s="17" t="inlineStr"/>
      <c r="G14" s="17" t="inlineStr"/>
    </row>
    <row r="16">
      <c r="A16" s="6" t="inlineStr">
        <is>
          <t>Centroide del bloque — UTM ESTE (m)</t>
        </is>
      </c>
      <c r="B16" s="7" t="n">
        <v>641538</v>
      </c>
      <c r="C16" s="6" t="inlineStr">
        <is>
          <t>Centroide del bloque — UTM NORTE (m)</t>
        </is>
      </c>
      <c r="D16" s="7" t="n">
        <v>9401360</v>
      </c>
      <c r="E16" s="8" t="n"/>
      <c r="F16" s="8" t="n"/>
      <c r="G16" s="8" t="n"/>
      <c r="H16" s="8" t="n"/>
    </row>
    <row r="17">
      <c r="A17" s="6" t="inlineStr">
        <is>
          <t>N.° de estaciones fotográficas declaradas</t>
        </is>
      </c>
      <c r="B17" s="7" t="inlineStr">
        <is>
          <t>Sin registro en la ficha DT</t>
        </is>
      </c>
      <c r="C17" s="6" t="inlineStr">
        <is>
          <t>Estaciones dentro del polígono</t>
        </is>
      </c>
      <c r="D17" s="7" t="inlineStr">
        <is>
          <t>Por determinar</t>
        </is>
      </c>
      <c r="E17" s="8" t="n"/>
      <c r="F17" s="8" t="n"/>
      <c r="G17" s="8" t="n"/>
      <c r="H17" s="8" t="n"/>
    </row>
    <row r="19" ht="84" customHeight="1">
      <c r="A19"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Terreno de la Comunidad Campesina de Andanjo. Opera el Vivero Forestal Hualtacal (Proyecto Pusmalca). Altitud GPS de campo por verificar.</t>
        </is>
      </c>
      <c r="B19" s="37" t="n"/>
      <c r="C19" s="37" t="n"/>
      <c r="D19" s="37" t="n"/>
      <c r="E19" s="37" t="n"/>
      <c r="F19" s="37" t="n"/>
      <c r="G19" s="38" t="n"/>
    </row>
  </sheetData>
  <mergeCells count="8">
    <mergeCell ref="A1:G1"/>
    <mergeCell ref="A8:G8"/>
    <mergeCell ref="A3:G3"/>
    <mergeCell ref="A6:G6"/>
    <mergeCell ref="A4:G4"/>
    <mergeCell ref="A2:G2"/>
    <mergeCell ref="A19:G19"/>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C1076-Q9585 — BLOQUE 81</t>
        </is>
      </c>
    </row>
    <row r="6" ht="24" customHeight="1">
      <c r="A6" s="4" t="inlineStr">
        <is>
          <t>Distrito de Canchaque · Provincia de Huancabamba · Comparación de los bloques preliminares de intervención de la misma microcuenca</t>
        </is>
      </c>
    </row>
    <row r="8" ht="18" customHeight="1">
      <c r="A8" s="5" t="inlineStr">
        <is>
          <t>BLOQUES DE LA MICROCUENCA C1076-Q9585</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M20B1</t>
        </is>
      </c>
      <c r="B10" s="28" t="n">
        <v>279.68</v>
      </c>
      <c r="C10" s="19" t="n">
        <v>96.91</v>
      </c>
      <c r="D10" s="11" t="inlineStr">
        <is>
          <t>249 – 525</t>
        </is>
      </c>
      <c r="E10" s="11" t="n">
        <v>276</v>
      </c>
      <c r="F10" s="11" t="n">
        <v>15.53</v>
      </c>
      <c r="G10" s="18" t="n">
        <v>0.3553</v>
      </c>
      <c r="H10" s="19" t="n">
        <v>8.960000000000001</v>
      </c>
    </row>
    <row r="11">
      <c r="A11" s="14" t="inlineStr">
        <is>
          <t>► 81</t>
        </is>
      </c>
      <c r="B11" s="29" t="n">
        <v>8.93</v>
      </c>
      <c r="C11" s="30" t="n">
        <v>3.09</v>
      </c>
      <c r="D11" s="15" t="inlineStr">
        <is>
          <t>272 – 371</t>
        </is>
      </c>
      <c r="E11" s="15" t="n">
        <v>99</v>
      </c>
      <c r="F11" s="15" t="n">
        <v>16.05</v>
      </c>
      <c r="G11" s="31" t="n">
        <v>0.2747</v>
      </c>
      <c r="H11" s="30" t="n">
        <v>0</v>
      </c>
    </row>
    <row r="12">
      <c r="A12" s="16" t="inlineStr">
        <is>
          <t>TOTAL / PROMEDIO</t>
        </is>
      </c>
      <c r="B12" s="32">
        <f>SUM(B10:B11)</f>
        <v/>
      </c>
      <c r="C12" s="23">
        <f>SUM(C10:C11)</f>
        <v/>
      </c>
      <c r="D12" s="17" t="inlineStr">
        <is>
          <t>249 – 525</t>
        </is>
      </c>
      <c r="E12" s="17" t="inlineStr"/>
      <c r="F12" s="17">
        <f>ROUND(AVERAGE(F10:F11),2)</f>
        <v/>
      </c>
      <c r="G12" s="22">
        <f>ROUND(AVERAGE(G10:G11),4)</f>
        <v/>
      </c>
      <c r="H12" s="23">
        <f>ROUND(AVERAGE(H10:H11),2)</f>
        <v/>
      </c>
    </row>
    <row r="14" ht="84" customHeight="1">
      <c r="A14" s="9" t="inlineStr">
        <is>
          <t>LECTURA INTRAMICROCUENCA. El bloque 81 ocupa el puesto 2 de 2 por superficie dentro de la microcuenca C1076-Q9585 (3.09 % de las 288.61 ha preliminares de la microcuenca). Su pendiente promedio (16.05 %, clase «15-25% (Fuert. inclinado)») es la 2.ª más baja de 2 y se sitúa por encima del promedio de la microcuenca (15.79 %). Su MSAVI 2024 (0.2747) es el 2.º de 2 y queda por debajo del promedio local (0.3150). Amplitud altitudinal del bloque: 99 m (272–371 msnm). El cuadro conserva todos los bloques catalogados en la microcuenca, incluidos los descartados en el tamizaje, para referencia del conjunto. Los bloques sin ficha DT figuran con sus parámetros de gabinete.</t>
        </is>
      </c>
      <c r="B14" s="37" t="n"/>
      <c r="C14" s="37" t="n"/>
      <c r="D14" s="37" t="n"/>
      <c r="E14" s="37" t="n"/>
      <c r="F14" s="37" t="n"/>
      <c r="G14" s="37" t="n"/>
      <c r="H14" s="38" t="n"/>
    </row>
    <row r="16" ht="60" customHeight="1">
      <c r="A1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16" s="37" t="n"/>
      <c r="C16" s="37" t="n"/>
      <c r="D16" s="37" t="n"/>
      <c r="E16" s="37" t="n"/>
      <c r="F16" s="37" t="n"/>
      <c r="G16" s="37" t="n"/>
      <c r="H16" s="38" t="n"/>
    </row>
  </sheetData>
  <mergeCells count="9">
    <mergeCell ref="A1:H1"/>
    <mergeCell ref="A4:H4"/>
    <mergeCell ref="A3:H3"/>
    <mergeCell ref="A2:H2"/>
    <mergeCell ref="A16:H16"/>
    <mergeCell ref="A14:H14"/>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3"/>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81</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Ficha DT y catálogo maestro coinciden en «C1076-Q9585»</t>
        </is>
      </c>
      <c r="D10" s="34" t="inlineStr">
        <is>
          <t>CONFORME</t>
        </is>
      </c>
      <c r="E10" s="33" t="inlineStr">
        <is>
          <t>Sin acción.</t>
        </is>
      </c>
    </row>
    <row r="11" ht="48" customHeight="1">
      <c r="A11" s="35" t="inlineStr">
        <is>
          <t>D-02</t>
        </is>
      </c>
      <c r="B11" s="35" t="inlineStr">
        <is>
          <t>UTM del punto de muestreo</t>
        </is>
      </c>
      <c r="C11" s="35" t="inlineStr">
        <is>
          <t>Las celdas de UTM ESTE / NORTE del punto de muestreo están vacías o incompletas en la ficha DT</t>
        </is>
      </c>
      <c r="D11" s="36" t="inlineStr">
        <is>
          <t>SUSTANTIVA</t>
        </is>
      </c>
      <c r="E11" s="35" t="inlineStr">
        <is>
          <t>No se sustituye por el centroide del catálogo. Se consigna «Por registrar en campo».</t>
        </is>
      </c>
    </row>
    <row r="12" ht="48" customHeight="1">
      <c r="A12" s="33" t="inlineStr">
        <is>
          <t>D-03</t>
        </is>
      </c>
      <c r="B12" s="33" t="inlineStr">
        <is>
          <t>Superficie del polígono</t>
        </is>
      </c>
      <c r="C12" s="33" t="inlineStr">
        <is>
          <t>La superficie clasificada por el NDVI 2025 (8.931 ha) coincide con la de catálogo (8.93 ha) dentro del ±2 % (+0.02 %)</t>
        </is>
      </c>
      <c r="D12" s="34" t="inlineStr">
        <is>
          <t>CONFORME</t>
        </is>
      </c>
      <c r="E12" s="33" t="inlineStr">
        <is>
          <t>Sin acción: la segmentación valida la geometría del bloque.</t>
        </is>
      </c>
    </row>
    <row r="13" ht="48" customHeight="1">
      <c r="A13" s="35" t="inlineStr">
        <is>
          <t>D-04</t>
        </is>
      </c>
      <c r="B13" s="35" t="inlineStr">
        <is>
          <t>Cobertura vegetal total</t>
        </is>
      </c>
      <c r="C13" s="35" t="inlineStr">
        <is>
          <t>La ficha DT estima 70 % de cobertura vegetal en campo; el NDVI mediana 2025 clasifica 89.57 % del polígono en clases de vegetación</t>
        </is>
      </c>
      <c r="D13" s="15" t="inlineStr">
        <is>
          <t>NO SUSTANTIVA</t>
        </is>
      </c>
      <c r="E13" s="35"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3" t="inlineStr">
        <is>
          <t>D-05</t>
        </is>
      </c>
      <c r="B14" s="33" t="inlineStr">
        <is>
          <t>Altitud GPS del punto de muestreo</t>
        </is>
      </c>
      <c r="C14" s="33" t="inlineStr">
        <is>
          <t>La aplicación de captura no registró altitud GPS en campo</t>
        </is>
      </c>
      <c r="D14" s="15" t="inlineStr">
        <is>
          <t>NO SUSTANTIVA</t>
        </is>
      </c>
      <c r="E14" s="33" t="inlineStr">
        <is>
          <t>El rango altitudinal del bloque (272–371 msnm) y la pendiente promedio (16.05 %) se toman de la estadística zonal sobre el MDE, no de medición de campo. Se declara la fuente.</t>
        </is>
      </c>
    </row>
    <row r="15" ht="48" customHeight="1">
      <c r="A15" s="35" t="inlineStr">
        <is>
          <t>D-06</t>
        </is>
      </c>
      <c r="B15" s="35" t="inlineStr">
        <is>
          <t>Dimensiones del inventario de cárcavas</t>
        </is>
      </c>
      <c r="C15" s="35" t="inlineStr">
        <is>
          <t>Se registran 2 rasgos erosivos, pero longitud, profundidad y ancho no fueron medidos instrumentalmente</t>
        </is>
      </c>
      <c r="D15" s="15" t="inlineStr">
        <is>
          <t>NO SUSTANTIVA</t>
        </is>
      </c>
      <c r="E15" s="35" t="inlineStr">
        <is>
          <t>El conteo registrado no debe usarse para calcular densidad de cárcavas por hectárea. Pendiente de levantamiento con GPS submétrico.</t>
        </is>
      </c>
    </row>
    <row r="16" ht="48" customHeight="1">
      <c r="A16" s="33" t="inlineStr">
        <is>
          <t>D-07</t>
        </is>
      </c>
      <c r="B16" s="33" t="inlineStr">
        <is>
          <t>Elenco florístico</t>
        </is>
      </c>
      <c r="C16" s="33" t="inlineStr">
        <is>
          <t>La ficha registra 14 taxones, por debajo del mínimo de 15 que exige el formato V5</t>
        </is>
      </c>
      <c r="D16" s="36" t="inlineStr">
        <is>
          <t>SUSTANTIVA</t>
        </is>
      </c>
      <c r="E16" s="33" t="inlineStr">
        <is>
          <t>Registro florístico preliminar, sin colecta ni determinación botánica formal. Debe cerrarse con colecta botánica en la siguiente campaña.</t>
        </is>
      </c>
    </row>
    <row r="17" ht="48" customHeight="1">
      <c r="A17" s="35" t="inlineStr">
        <is>
          <t>D-08</t>
        </is>
      </c>
      <c r="B17" s="35" t="inlineStr">
        <is>
          <t>Centro poblado asociado</t>
        </is>
      </c>
      <c r="C17" s="35" t="inlineStr">
        <is>
          <t>La ficha DT declara «Hualtacal»; el cruce INEI-Bloques V5 identifica 1 centro(s) poblado(s) en el bloque: HUALTACAL</t>
        </is>
      </c>
      <c r="D17" s="34" t="inlineStr">
        <is>
          <t>CONFORME</t>
        </is>
      </c>
      <c r="E17" s="35" t="inlineStr">
        <is>
          <t>Se conserva el registro de campo como referencia y se adopta el listado INEI para el diagnóstico social y el cálculo de población beneficiaria.</t>
        </is>
      </c>
    </row>
    <row r="18" ht="48" customHeight="1">
      <c r="A18" s="33" t="inlineStr">
        <is>
          <t>D-09</t>
        </is>
      </c>
      <c r="B18" s="33" t="inlineStr">
        <is>
          <t>Peligro integrado (MCA-AHP)</t>
        </is>
      </c>
      <c r="C18" s="33" t="inlineStr">
        <is>
          <t>El nivel de peligro integrado no está disponible en los insumos de este entregable</t>
        </is>
      </c>
      <c r="D18" s="36" t="inlineStr">
        <is>
          <t>SUSTANTIVA</t>
        </is>
      </c>
      <c r="E18" s="33" t="inlineStr">
        <is>
          <t>Debe tomarse del modelamiento de mesolocalización (PMM + EPH + PGI ponderados por AHP) antes de fijar la prioridad definitiva de intervención del bloque.</t>
        </is>
      </c>
    </row>
    <row r="19">
      <c r="A19" s="33" t="inlineStr">
        <is>
          <t>D-10</t>
        </is>
      </c>
      <c r="B19" s="33" t="inlineStr">
        <is>
          <t>Distribución areal de clases MSAVI 2024</t>
        </is>
      </c>
      <c r="C19" s="33" t="inlineStr">
        <is>
          <t>La hoja «Cobertura MSAVI-NDVI» consignaba «Por determinar» en la distribución areal de clases MSAVI 2024; se incorpora el metrado por clase medido sobre la cartografía temática MSAVI 2024 del bloque: 100.00 % del bloque (8.930 ha) bajo el umbral 0.4976 y 0.00 % sobre el umbral; clase areal dominante «Vigor muy bajo».</t>
        </is>
      </c>
      <c r="D19" s="36" t="inlineStr">
        <is>
          <t>CORREGIDO</t>
        </is>
      </c>
      <c r="E19" s="33"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20"/>
    <row r="21">
      <c r="A21" s="16" t="inlineStr">
        <is>
          <t>RESUMEN</t>
        </is>
      </c>
      <c r="B21" s="17" t="inlineStr">
        <is>
          <t>10 verificaciones</t>
        </is>
      </c>
      <c r="C21" s="17" t="inlineStr">
        <is>
          <t>CONFORME: 3 · NO SUSTANTIVA: 3 · SUSTANTIVA: 3 · CORREGIDO: 1</t>
        </is>
      </c>
      <c r="D21" s="17" t="inlineStr"/>
      <c r="E21" s="17" t="inlineStr"/>
    </row>
    <row r="22" ht="60" customHeight="1"/>
    <row r="23">
      <c r="A23"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3" s="37" t="n"/>
      <c r="C23" s="37" t="n"/>
      <c r="D23" s="37" t="n"/>
      <c r="E23" s="38" t="n"/>
    </row>
  </sheetData>
  <mergeCells count="8">
    <mergeCell ref="A4:E4"/>
    <mergeCell ref="A2:E2"/>
    <mergeCell ref="A5:E5"/>
    <mergeCell ref="A1:E1"/>
    <mergeCell ref="A23:E23"/>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81 — IN Piura</dc:title>
  <dc:subject>Diagnóstico Territorial por bloque de intervención</dc:subject>
  <dcterms:created xsi:type="dcterms:W3CDTF">2026-09-08T03:39:54Z</dcterms:created>
  <dcterms:modified xsi:type="dcterms:W3CDTF">2026-09-09T14:49:44Z</dcterms:modified>
</cp:coreProperties>
</file>