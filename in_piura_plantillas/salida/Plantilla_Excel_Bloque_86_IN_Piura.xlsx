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86</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86</t>
        </is>
      </c>
      <c r="C9" s="6" t="inlineStr">
        <is>
          <t>Microcuenca (catálogo)</t>
        </is>
      </c>
      <c r="D9" s="7" t="inlineStr">
        <is>
          <t>C1081-Q9583</t>
        </is>
      </c>
      <c r="E9" s="8" t="n"/>
      <c r="F9" s="8" t="n"/>
    </row>
    <row r="10">
      <c r="A10" s="6" t="inlineStr">
        <is>
          <t>Zona de planificación</t>
        </is>
      </c>
      <c r="B10" s="7" t="inlineStr">
        <is>
          <t>Z08</t>
        </is>
      </c>
      <c r="C10" s="6" t="inlineStr">
        <is>
          <t>Microcuenca declarada en ficha DT</t>
        </is>
      </c>
      <c r="D10" s="7" t="inlineStr">
        <is>
          <t>C1081-Q9583</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Nueva Esperanza (C.P. Nueva Esperanza); Dotor al norte</t>
        </is>
      </c>
      <c r="C13" s="6" t="inlineStr">
        <is>
          <t>Comunidad campesina</t>
        </is>
      </c>
      <c r="D13" s="7" t="inlineStr">
        <is>
          <t>En blanco (no consignada)</t>
        </is>
      </c>
      <c r="E13" s="8" t="n"/>
      <c r="F13" s="8" t="n"/>
    </row>
    <row r="14">
      <c r="A14" s="6" t="inlineStr">
        <is>
          <t>Superficie de catálogo (V5/V6), ha</t>
        </is>
      </c>
      <c r="B14" s="7" t="n">
        <v>30.001</v>
      </c>
      <c r="C14" s="6" t="inlineStr">
        <is>
          <t>Fuente de superficie</t>
        </is>
      </c>
      <c r="D14" s="7" t="inlineStr">
        <is>
          <t>Catálogo maestro Bloques V5/V6</t>
        </is>
      </c>
      <c r="E14" s="8" t="n"/>
      <c r="F14" s="8" t="n"/>
    </row>
    <row r="15">
      <c r="A15" s="6" t="inlineStr">
        <is>
          <t>Centroide UTM ESTE (m)</t>
        </is>
      </c>
      <c r="B15" s="7" t="n">
        <v>642415</v>
      </c>
      <c r="C15" s="6" t="inlineStr">
        <is>
          <t>Centroide UTM NORTE (m)</t>
        </is>
      </c>
      <c r="D15" s="7" t="n">
        <v>9410216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0</v>
      </c>
      <c r="C19" s="6" t="inlineStr">
        <is>
          <t>Altitud máxima (msnm)</t>
        </is>
      </c>
      <c r="D19" s="7" t="n">
        <v>0</v>
      </c>
      <c r="E19" s="8" t="n"/>
      <c r="F19" s="8" t="n"/>
    </row>
    <row r="20">
      <c r="A20" s="6" t="inlineStr">
        <is>
          <t>Amplitud altitudinal (m)</t>
        </is>
      </c>
      <c r="B20" s="7" t="n">
        <v>0</v>
      </c>
      <c r="C20" s="6" t="inlineStr">
        <is>
          <t>Piso altitudinal dominante</t>
        </is>
      </c>
      <c r="D20" s="7" t="inlineStr">
        <is>
          <t>&lt;1000 m (Yunga)</t>
        </is>
      </c>
      <c r="E20" s="8" t="n"/>
      <c r="F20" s="8" t="n"/>
    </row>
    <row r="21">
      <c r="A21" s="6" t="inlineStr">
        <is>
          <t>Pendiente promedio (%)</t>
        </is>
      </c>
      <c r="B21" s="7" t="n">
        <v>0</v>
      </c>
      <c r="C21" s="6" t="inlineStr">
        <is>
          <t>Pendiente promedio (grados)</t>
        </is>
      </c>
      <c r="D21" s="7" t="n">
        <v>0</v>
      </c>
      <c r="E21" s="8" t="n"/>
      <c r="F21" s="8" t="n"/>
    </row>
    <row r="22">
      <c r="A22" s="6" t="inlineStr">
        <is>
          <t>Clase de pendiente equivalente</t>
        </is>
      </c>
      <c r="B22" s="7" t="inlineStr">
        <is>
          <t>0-8% (Plano-lig.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Oeste (exposición mixta: el bloque abarca ambos flancos de la lomada)</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0.2735</v>
      </c>
      <c r="C28" s="6" t="inlineStr">
        <is>
          <t>MSAVI 2024 — clase de la media</t>
        </is>
      </c>
      <c r="D28" s="7" t="inlineStr">
        <is>
          <t>0.2650 - 0.3813 (Vigor muy bajo)</t>
        </is>
      </c>
      <c r="E28" s="8" t="n"/>
      <c r="F28" s="8" t="n"/>
    </row>
    <row r="29">
      <c r="A29" s="6" t="inlineStr">
        <is>
          <t>Condición frente al umbral 0.4976</t>
        </is>
      </c>
      <c r="B29" s="7" t="inlineStr">
        <is>
          <t>Bajo umbral · distribución areal: 99.87 % del bloque BAJO el umbral (29.962 ha de 30.001 ha)</t>
        </is>
      </c>
      <c r="C29" s="6" t="inlineStr">
        <is>
          <t>NDVI mediana 2025 — clase modal</t>
        </is>
      </c>
      <c r="D29" s="7" t="inlineStr">
        <is>
          <t>Vegetación ligera (68.30 %)</t>
        </is>
      </c>
      <c r="E29" s="8" t="n"/>
      <c r="F29" s="8" t="n"/>
    </row>
    <row r="30">
      <c r="A30" s="6" t="inlineStr">
        <is>
          <t>MSAVI 2024 — superficie BAJO el umbral 0.4976 (ha)</t>
        </is>
      </c>
      <c r="B30" s="7" t="n">
        <v>29.962</v>
      </c>
      <c r="C30" s="6" t="inlineStr">
        <is>
          <t>MSAVI 2024 — % del bloque BAJO el umbral</t>
        </is>
      </c>
      <c r="D30" s="7" t="n">
        <v>99.87</v>
      </c>
      <c r="E30" s="8" t="n"/>
      <c r="F30" s="8" t="n"/>
    </row>
    <row r="31">
      <c r="A31" s="6" t="inlineStr">
        <is>
          <t>MSAVI 2024 — clase areal dominante</t>
        </is>
      </c>
      <c r="B31" s="7" t="inlineStr">
        <is>
          <t>Suelo desnudo / no vegetal</t>
        </is>
      </c>
      <c r="C31" s="6" t="inlineStr">
        <is>
          <t>MSAVI 2024 — fuente de la distribución areal</t>
        </is>
      </c>
      <c r="D31" s="7" t="inlineStr">
        <is>
          <t>Conteo de celdas sobre la cartografía MSAVI 2024 del bloque (MSAVI Bloque 86.png)</t>
        </is>
      </c>
      <c r="E31" s="8" t="n"/>
      <c r="F31" s="8" t="n"/>
    </row>
    <row r="32" ht="18" customHeight="1">
      <c r="A32" s="6" t="inlineStr">
        <is>
          <t>Superficie clasificada NDVI 2025 (ha)</t>
        </is>
      </c>
      <c r="B32" s="7" t="n">
        <v>30.01</v>
      </c>
      <c r="C32" s="6" t="inlineStr">
        <is>
          <t>Desviación frente al catálogo (%)</t>
        </is>
      </c>
      <c r="D32" s="7" t="n">
        <v>0.03</v>
      </c>
      <c r="E32" s="8" t="n"/>
      <c r="F32" s="8" t="n"/>
    </row>
    <row r="33"/>
    <row r="34">
      <c r="A34" s="5" t="inlineStr">
        <is>
          <t>4. ECOSISTEMA Y ESTADO DE CONSERVACIÓN</t>
        </is>
      </c>
    </row>
    <row r="35">
      <c r="A35" s="6" t="inlineStr">
        <is>
          <t>Tipo de ecosistema (UP)</t>
        </is>
      </c>
      <c r="B35" s="7" t="inlineStr">
        <is>
          <t>Bosque Estacionalmente Seco de Colina y Montaña (Bes-cm) — asignación POR VERIFICAR</t>
        </is>
      </c>
      <c r="C35" s="6" t="inlineStr">
        <is>
          <t>Superficie de ecosistema (ha)</t>
        </is>
      </c>
      <c r="D35" s="7" t="inlineStr">
        <is>
          <t>30.01 ha (100% del bloque)</t>
        </is>
      </c>
      <c r="E35" s="8" t="n"/>
      <c r="F35" s="8" t="n"/>
    </row>
    <row r="36">
      <c r="A36" s="6" t="inlineStr">
        <is>
          <t>Estado de conservación</t>
        </is>
      </c>
      <c r="B36" s="7" t="inlineStr">
        <is>
          <t>Alterado (intervención marcada)</t>
        </is>
      </c>
      <c r="C36" s="6" t="inlineStr">
        <is>
          <t>Uso actual dominante del suelo</t>
        </is>
      </c>
      <c r="D36" s="7" t="inlineStr">
        <is>
          <t>Pastoreo extensivo</t>
        </is>
      </c>
      <c r="E36" s="8" t="n"/>
      <c r="F36" s="8" t="n"/>
    </row>
    <row r="37">
      <c r="A37" s="6" t="inlineStr">
        <is>
          <t>Tipo de cobertura dominante</t>
        </is>
      </c>
      <c r="B37" s="7" t="inlineStr">
        <is>
          <t>Matorral ralo</t>
        </is>
      </c>
      <c r="C37" s="6" t="inlineStr">
        <is>
          <t>Cobertura vegetal total — campo (%)</t>
        </is>
      </c>
      <c r="D37" s="7" t="n">
        <v>24</v>
      </c>
      <c r="E37" s="8" t="n"/>
      <c r="F37" s="8" t="n"/>
    </row>
    <row r="38">
      <c r="A38" s="6" t="inlineStr">
        <is>
          <t>Suelo desnudo — campo (%)</t>
        </is>
      </c>
      <c r="B38" s="7" t="n">
        <v>50</v>
      </c>
      <c r="C38" s="6" t="inlineStr">
        <is>
          <t>Regeneración natural</t>
        </is>
      </c>
      <c r="D38" s="7" t="inlineStr">
        <is>
          <t>Escasa (&lt;10 pl./100m²)</t>
        </is>
      </c>
      <c r="E38" s="8" t="n"/>
      <c r="F38" s="8" t="n"/>
    </row>
    <row r="39">
      <c r="A39" s="6" t="inlineStr">
        <is>
          <t>Nivel general de erosión</t>
        </is>
      </c>
      <c r="B39" s="7" t="inlineStr">
        <is>
          <t>Moderada (surcos)</t>
        </is>
      </c>
      <c r="C39" s="6" t="inlineStr">
        <is>
          <t>N.° de cárcavas registradas</t>
        </is>
      </c>
      <c r="D39" s="7" t="inlineStr">
        <is>
          <t>No inventariadas</t>
        </is>
      </c>
      <c r="E39" s="8" t="n"/>
      <c r="F39" s="8" t="n"/>
    </row>
    <row r="40" ht="18" customHeight="1">
      <c r="A40" s="6" t="inlineStr">
        <is>
          <t>Elenco florístico (n.° de taxones)</t>
        </is>
      </c>
      <c r="B40" s="7" t="n">
        <v>15</v>
      </c>
      <c r="C40" s="6" t="inlineStr">
        <is>
          <t>Estado sanitario</t>
        </is>
      </c>
      <c r="D40" s="7" t="inlineStr">
        <is>
          <t>En blanco (sin mediciones)</t>
        </is>
      </c>
      <c r="E40" s="8" t="n"/>
      <c r="F40" s="8" t="n"/>
    </row>
    <row r="41"/>
    <row r="42">
      <c r="A42" s="5" t="inlineStr">
        <is>
          <t>5. RESPONSABLE Y MODALIDAD DE LA EVALUACIÓN</t>
        </is>
      </c>
    </row>
    <row r="43">
      <c r="A43" s="6" t="inlineStr">
        <is>
          <t>Responsable de la evaluación</t>
        </is>
      </c>
      <c r="B43" s="7" t="inlineStr">
        <is>
          <t>Brigada de campo IN Piura — levantamiento fotogramétrico RPA; nominación POR CONFIRMAR según parte diario</t>
        </is>
      </c>
      <c r="C43" s="6" t="inlineStr">
        <is>
          <t>Fecha de evaluación</t>
        </is>
      </c>
      <c r="D43" s="7" t="inlineStr">
        <is>
          <t>2026-08-14</t>
        </is>
      </c>
      <c r="E43" s="8" t="n"/>
      <c r="F43" s="8" t="n"/>
    </row>
    <row r="44">
      <c r="A44" s="6" t="inlineStr">
        <is>
          <t>Hora de registro</t>
        </is>
      </c>
      <c r="B44" s="7" t="inlineStr">
        <is>
          <t>11:58 h</t>
        </is>
      </c>
      <c r="C44" s="6" t="inlineStr">
        <is>
          <t>Correlativo de ficha</t>
        </is>
      </c>
      <c r="D44" s="7" t="inlineStr">
        <is>
          <t>F-DT-01-B86-2026</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No instalada — fotointerpretación de ortofoto RPA</t>
        </is>
      </c>
      <c r="E46" s="8" t="n"/>
      <c r="F46" s="8" t="n"/>
    </row>
    <row r="47" ht="18" customHeight="1">
      <c r="A47" s="6" t="inlineStr">
        <is>
          <t>Estaciones fotográficas georreferenciadas</t>
        </is>
      </c>
      <c r="B47" s="7" t="n">
        <v>13</v>
      </c>
      <c r="C47" s="6" t="inlineStr">
        <is>
          <t>Modalidad de acceso</t>
        </is>
      </c>
      <c r="D47" s="7" t="inlineStr">
        <is>
          <t>Vehicular 4x4 hasta el bloque</t>
        </is>
      </c>
      <c r="E47" s="8" t="n"/>
      <c r="F47" s="8" t="n"/>
    </row>
    <row r="48"/>
    <row r="49">
      <c r="A49" s="5" t="inlineStr">
        <is>
          <t>6. SÍNTESIS PARA LA GESTIÓN DEL RIESGO EN CONTEXTO DE CAMBIO CLIMÁTICO</t>
        </is>
      </c>
    </row>
    <row r="50">
      <c r="A50" s="6" t="inlineStr">
        <is>
          <t>Causa subyacente principal</t>
        </is>
      </c>
      <c r="B50" s="7" t="inlineStr">
        <is>
          <t>Ausencia de régimen de manejo del pastoreo comunal combinada con la presión de expansión de las áreas irrigadas</t>
        </is>
      </c>
      <c r="C50" s="6" t="inlineStr">
        <is>
          <t>Velocidad de degradación</t>
        </is>
      </c>
      <c r="D50" s="7" t="inlineStr">
        <is>
          <t>EN BLANCO — no se dispone de serie Theil-Sen (TAU) ni de MSAVI multianual</t>
        </is>
      </c>
      <c r="E50" s="8" t="n"/>
      <c r="F50" s="8" t="n"/>
    </row>
    <row r="51">
      <c r="A51" s="6" t="inlineStr">
        <is>
          <t>Reversibilidad técnica</t>
        </is>
      </c>
      <c r="B51" s="7" t="inlineStr">
        <is>
          <t>Parcialmente reversible</t>
        </is>
      </c>
      <c r="C51" s="6" t="inlineStr">
        <is>
          <t>Urgencia de intervención</t>
        </is>
      </c>
      <c r="D51" s="7" t="inlineStr">
        <is>
          <t>Alta</t>
        </is>
      </c>
      <c r="E51" s="8" t="n"/>
      <c r="F51" s="8" t="n"/>
    </row>
    <row r="52">
      <c r="A52" s="6" t="inlineStr">
        <is>
          <t>Urgencia de control de erosión</t>
        </is>
      </c>
      <c r="B52" s="7" t="inlineStr">
        <is>
          <t>Alta</t>
        </is>
      </c>
      <c r="C52" s="6" t="inlineStr">
        <is>
          <t>Zona de recarga hídrica</t>
        </is>
      </c>
      <c r="D52" s="7" t="inlineStr">
        <is>
          <t>No</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86</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0</v>
      </c>
      <c r="C10" s="19" t="n">
        <v>0</v>
      </c>
      <c r="D10" s="11" t="inlineStr">
        <is>
          <t>Vigor alto</t>
        </is>
      </c>
      <c r="E10" s="11" t="inlineStr">
        <is>
          <t>Sobre umbral</t>
        </is>
      </c>
    </row>
    <row r="11">
      <c r="A11" s="12" t="inlineStr">
        <is>
          <t>0.4976 - 0.6139</t>
        </is>
      </c>
      <c r="B11" s="20" t="n">
        <v>0.039</v>
      </c>
      <c r="C11" s="21" t="n">
        <v>0.13</v>
      </c>
      <c r="D11" s="13" t="inlineStr">
        <is>
          <t>Vigor moderado</t>
        </is>
      </c>
      <c r="E11" s="13" t="inlineStr">
        <is>
          <t>Sobre umbral</t>
        </is>
      </c>
    </row>
    <row r="12">
      <c r="A12" s="7" t="inlineStr">
        <is>
          <t>0.3813 - 0.4976</t>
        </is>
      </c>
      <c r="B12" s="18" t="n">
        <v>1.395</v>
      </c>
      <c r="C12" s="19" t="n">
        <v>4.65</v>
      </c>
      <c r="D12" s="11" t="inlineStr">
        <is>
          <t>Vigor bajo</t>
        </is>
      </c>
      <c r="E12" s="11" t="inlineStr">
        <is>
          <t>BAJO umbral 0.4976</t>
        </is>
      </c>
    </row>
    <row r="13">
      <c r="A13" s="14" t="inlineStr">
        <is>
          <t>0.2650 - 0.3813</t>
        </is>
      </c>
      <c r="B13" s="32" t="n">
        <v>13.2814</v>
      </c>
      <c r="C13" s="31" t="n">
        <v>44.27</v>
      </c>
      <c r="D13" s="15" t="inlineStr">
        <is>
          <t>Vigor muy bajo</t>
        </is>
      </c>
      <c r="E13" s="15" t="inlineStr">
        <is>
          <t>BAJO umbral 0.4976</t>
        </is>
      </c>
    </row>
    <row r="14">
      <c r="A14" s="7" t="inlineStr">
        <is>
          <t>&lt;= 0.2650</t>
        </is>
      </c>
      <c r="B14" s="18" t="n">
        <v>15.2856</v>
      </c>
      <c r="C14" s="19" t="n">
        <v>50.95</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0.273472</v>
      </c>
      <c r="C16" s="17" t="inlineStr">
        <is>
          <t>—</t>
        </is>
      </c>
      <c r="D16" s="17" t="inlineStr">
        <is>
          <t>Vigor muy bajo · clase 0.2650 - 0.3813</t>
        </is>
      </c>
      <c r="E16" s="17" t="inlineStr">
        <is>
          <t>BAJO umbral 0.4976</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0.3153</v>
      </c>
      <c r="C22" s="19" t="n">
        <v>1.05</v>
      </c>
      <c r="D22" s="11" t="inlineStr">
        <is>
          <t>Dosel continuo, matorral denso o mosaico agroforestal</t>
        </is>
      </c>
      <c r="E22" s="11" t="inlineStr"/>
    </row>
    <row r="23">
      <c r="A23" s="12" t="inlineStr">
        <is>
          <t>Vegetación mediana</t>
        </is>
      </c>
      <c r="B23" s="20" t="n">
        <v>2.6483</v>
      </c>
      <c r="C23" s="21" t="n">
        <v>8.82</v>
      </c>
      <c r="D23" s="13" t="inlineStr">
        <is>
          <t>Pastizal cultivado, matorral ralo, parcelas agrícolas</t>
        </is>
      </c>
      <c r="E23" s="13" t="inlineStr"/>
    </row>
    <row r="24">
      <c r="A24" s="7" t="inlineStr">
        <is>
          <t>Vegetación ligera</t>
        </is>
      </c>
      <c r="B24" s="18" t="n">
        <v>20.4961</v>
      </c>
      <c r="C24" s="19" t="n">
        <v>68.3</v>
      </c>
      <c r="D24" s="11" t="inlineStr">
        <is>
          <t>Cobertura discontinua, suelo parcialmente expuesto</t>
        </is>
      </c>
      <c r="E24" s="11" t="inlineStr"/>
    </row>
    <row r="25">
      <c r="A25" s="12" t="inlineStr">
        <is>
          <t>Tierra desnuda</t>
        </is>
      </c>
      <c r="B25" s="20" t="n">
        <v>6.5505</v>
      </c>
      <c r="C25" s="21" t="n">
        <v>21.83</v>
      </c>
      <c r="D25" s="13" t="inlineStr">
        <is>
          <t>Suelo desnudo, afloramientos, plataformas y taludes</t>
        </is>
      </c>
      <c r="E25" s="13" t="inlineStr"/>
    </row>
    <row r="26">
      <c r="A26" s="16" t="inlineStr">
        <is>
          <t>TOTAL CLASIFICADO</t>
        </is>
      </c>
      <c r="B26" s="22">
        <f>SUM(B21:B24)</f>
        <v/>
      </c>
      <c r="C26" s="23">
        <f>SUM(C21:C24)</f>
        <v/>
      </c>
      <c r="D26" s="17" t="inlineStr"/>
      <c r="E26" s="17" t="inlineStr"/>
    </row>
    <row r="27">
      <c r="A27" s="24" t="inlineStr">
        <is>
          <t>Superficie de catálogo (V5/V6)</t>
        </is>
      </c>
      <c r="B27" s="25" t="n">
        <v>30.001</v>
      </c>
      <c r="C27" s="25" t="inlineStr">
        <is>
          <t>—</t>
        </is>
      </c>
      <c r="D27" s="25" t="inlineStr">
        <is>
          <t>Desviación planimétrica frente al catálogo</t>
        </is>
      </c>
      <c r="E27" s="25" t="inlineStr">
        <is>
          <t>+0.03 %</t>
        </is>
      </c>
    </row>
    <row r="28" ht="108" customHeight="1"/>
    <row r="29">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24 % frente a un 1.05 % del polígono clasificado como «Vegetación alta» por el NDVI 2025; la observación de campo corresponde a una parcela o recorrido puntual y no es estadísticamente representativa de las 30.001 ha del bloque.</t>
        </is>
      </c>
      <c r="B29" s="38" t="n"/>
      <c r="C29" s="38" t="n"/>
      <c r="D29" s="38" t="n"/>
      <c r="E29" s="39" t="n"/>
    </row>
  </sheetData>
  <mergeCells count="10">
    <mergeCell ref="A29:E29"/>
    <mergeCell ref="A4:E4"/>
    <mergeCell ref="A20:E20"/>
    <mergeCell ref="A2:E2"/>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86</t>
        </is>
      </c>
    </row>
    <row r="6" ht="24" customHeight="1">
      <c r="A6" s="4" t="inlineStr">
        <is>
          <t>Levantamiento del 2026-08-14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17012.1</v>
      </c>
      <c r="F10" s="11" t="inlineStr"/>
      <c r="G10" s="11" t="inlineStr">
        <is>
          <t>Coordenada consignada en F-DT-01</t>
        </is>
      </c>
    </row>
    <row r="11">
      <c r="A11" s="12" t="inlineStr">
        <is>
          <t>H-01</t>
        </is>
      </c>
      <c r="B11" s="13" t="inlineStr">
        <is>
          <t>Fuente de agua — Quebrada estacional</t>
        </is>
      </c>
      <c r="C11" s="27" t="n">
        <v>642519</v>
      </c>
      <c r="D11" s="27" t="n">
        <v>9410439</v>
      </c>
      <c r="E11" s="13" t="n">
        <v>246.1</v>
      </c>
      <c r="F11" s="13" t="inlineStr">
        <is>
          <t>POR VERIFICAR</t>
        </is>
      </c>
      <c r="G11" s="13" t="inlineStr">
        <is>
          <t>Cauce que limita el bloque</t>
        </is>
      </c>
    </row>
    <row r="12">
      <c r="A12" s="7" t="inlineStr">
        <is>
          <t>H-02</t>
        </is>
      </c>
      <c r="B12" s="11" t="inlineStr">
        <is>
          <t>Fuente de agua — Quebrada estacional</t>
        </is>
      </c>
      <c r="C12" s="26" t="n">
        <v>642478</v>
      </c>
      <c r="D12" s="26" t="n">
        <v>9410660</v>
      </c>
      <c r="E12" s="11" t="n">
        <v>448.4</v>
      </c>
      <c r="F12" s="11" t="inlineStr">
        <is>
          <t>POR VERIFICAR</t>
        </is>
      </c>
      <c r="G12" s="11" t="inlineStr">
        <is>
          <t>Continuación del mismo cauce</t>
        </is>
      </c>
    </row>
    <row r="13">
      <c r="A13" s="12" t="inlineStr">
        <is>
          <t>H-03</t>
        </is>
      </c>
      <c r="B13" s="13" t="inlineStr">
        <is>
          <t>Fuente de agua — Canal de riego</t>
        </is>
      </c>
      <c r="C13" s="27" t="n">
        <v>642184</v>
      </c>
      <c r="D13" s="27" t="n">
        <v>9410274</v>
      </c>
      <c r="E13" s="13" t="n">
        <v>238.2</v>
      </c>
      <c r="F13" s="13" t="inlineStr">
        <is>
          <t>POR VERIFICAR</t>
        </is>
      </c>
      <c r="G13" s="13" t="inlineStr">
        <is>
          <t>Canal de conducción</t>
        </is>
      </c>
    </row>
    <row r="14">
      <c r="A14" s="7" t="inlineStr">
        <is>
          <t>H-04</t>
        </is>
      </c>
      <c r="B14" s="11" t="inlineStr">
        <is>
          <t>Fuente de agua — Río</t>
        </is>
      </c>
      <c r="C14" s="26" t="n">
        <v>642014</v>
      </c>
      <c r="D14" s="26" t="n">
        <v>9410696</v>
      </c>
      <c r="E14" s="11" t="n">
        <v>625.5</v>
      </c>
      <c r="F14" s="11" t="inlineStr">
        <is>
          <t>POR VERIFICAR</t>
        </is>
      </c>
      <c r="G14" s="11" t="inlineStr">
        <is>
          <t>Curso principal</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642415</v>
      </c>
      <c r="C17" s="6" t="inlineStr">
        <is>
          <t>Centroide del bloque — UTM NORTE (m)</t>
        </is>
      </c>
      <c r="D17" s="7" t="n">
        <v>9410216</v>
      </c>
      <c r="E17" s="8" t="n"/>
      <c r="F17" s="8" t="n"/>
      <c r="G17" s="8" t="n"/>
      <c r="H17" s="8" t="n"/>
    </row>
    <row r="18">
      <c r="A18" s="6" t="inlineStr">
        <is>
          <t>N.° de estaciones fotográficas declaradas</t>
        </is>
      </c>
      <c r="B18" s="7" t="n">
        <v>13</v>
      </c>
      <c r="C18" s="6" t="inlineStr">
        <is>
          <t>Estaciones dentro del polígono</t>
        </is>
      </c>
      <c r="D18" s="7" t="n">
        <v>0</v>
      </c>
      <c r="E18" s="8" t="n"/>
      <c r="F18" s="8" t="n"/>
      <c r="G18" s="8" t="n"/>
      <c r="H18" s="8" t="n"/>
    </row>
    <row r="20" ht="180"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ALCANCE DE LA EVIDENCIA. EL BLOQUE 86 NO CUENTA CON FICHAS F-DT-01 A F-DT-05 LEVANTADAS EN CAMPO. La información procede de: (i) levantamiento fotogramétrico con RPA del 14-08-2026, 13 fotogramas cenitales georreferenciados por EXIF sobre el ámbito de los bloques 85-87; (ii) cartografía NDVI mediana 2025 y MSAVI 2024; (iii) imagen Google Earth / Airbus del 09-11-2023 y perfil de elevación sobre transecto oeste-este de 607 m. BLOQUE FUERA DEL CATÁLOGO MAESTRO: no figura en «Bloques V4» ni en Bloques V5; solo en el REPORTE_BLOQUES_V6 y en «Bloques extras». Centroide por restitución cartográfica (E 642 380 / N 9 410 190, ±25 m). PENDIENTE Y ALTITUD: el transecto de 607 m registra cotas de 245 – 287 – 314 msnm, pendiente media 17.8% en el ascenso y −15.0% en el descenso, con máximas de 30.5% y −34.2%. POR VERIFICAR con estadística zonal del DEM. EXPOSICIÓN MIXTA: se consigna «Oeste» por ser el flanco de mayor superficie y el que enfrenta al centro poblado; el análisis de aspecto del DEM deberá confirmarlo. ATENCIÓN: el UTM del punto de registro (645 575 · 9 393 500) es el valor por defecto de la plantilla.</t>
        </is>
      </c>
      <c r="B20" s="38" t="n"/>
      <c r="C20" s="38" t="n"/>
      <c r="D20" s="38" t="n"/>
      <c r="E20" s="38" t="n"/>
      <c r="F20" s="38" t="n"/>
      <c r="G20" s="39" t="n"/>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86</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M11B3</t>
        </is>
      </c>
      <c r="B10" s="28" t="n">
        <v>106.03</v>
      </c>
      <c r="C10" s="19" t="n">
        <v>26.64</v>
      </c>
      <c r="D10" s="11" t="inlineStr">
        <is>
          <t>278 – 477</t>
        </is>
      </c>
      <c r="E10" s="11" t="n">
        <v>199</v>
      </c>
      <c r="F10" s="11" t="n">
        <v>18.11</v>
      </c>
      <c r="G10" s="18" t="n">
        <v>0.3956</v>
      </c>
      <c r="H10" s="19" t="n">
        <v>21.16</v>
      </c>
    </row>
    <row r="11">
      <c r="A11" s="12" t="inlineStr">
        <is>
          <t>24</t>
        </is>
      </c>
      <c r="B11" s="29" t="n">
        <v>90.16</v>
      </c>
      <c r="C11" s="21" t="n">
        <v>22.65</v>
      </c>
      <c r="D11" s="13" t="inlineStr">
        <is>
          <t>1319 – 1887</t>
        </is>
      </c>
      <c r="E11" s="13" t="n">
        <v>568</v>
      </c>
      <c r="F11" s="13" t="n">
        <v>32.98</v>
      </c>
      <c r="G11" s="20" t="n">
        <v>0.6748</v>
      </c>
      <c r="H11" s="21" t="n">
        <v>98.51000000000001</v>
      </c>
    </row>
    <row r="12">
      <c r="A12" s="7" t="inlineStr">
        <is>
          <t>87</t>
        </is>
      </c>
      <c r="B12" s="28" t="n">
        <v>62.219</v>
      </c>
      <c r="C12" s="19" t="n">
        <v>15.63</v>
      </c>
      <c r="D12" s="11" t="inlineStr">
        <is>
          <t>Por determinar</t>
        </is>
      </c>
      <c r="E12" s="11" t="inlineStr">
        <is>
          <t>Por determinar</t>
        </is>
      </c>
      <c r="F12" s="11" t="inlineStr">
        <is>
          <t>Por determinar</t>
        </is>
      </c>
      <c r="G12" s="18" t="n">
        <v>0.2487</v>
      </c>
      <c r="H12" s="19" t="n">
        <v>0.34</v>
      </c>
    </row>
    <row r="13">
      <c r="A13" s="12" t="inlineStr">
        <is>
          <t>63</t>
        </is>
      </c>
      <c r="B13" s="29" t="n">
        <v>50.46</v>
      </c>
      <c r="C13" s="21" t="n">
        <v>12.68</v>
      </c>
      <c r="D13" s="13" t="inlineStr">
        <is>
          <t>1508 – 2080</t>
        </is>
      </c>
      <c r="E13" s="13" t="n">
        <v>572</v>
      </c>
      <c r="F13" s="13" t="n">
        <v>35.5</v>
      </c>
      <c r="G13" s="20" t="n">
        <v>0.6036</v>
      </c>
      <c r="H13" s="21" t="n">
        <v>99.2</v>
      </c>
    </row>
    <row r="14">
      <c r="A14" s="14" t="inlineStr">
        <is>
          <t>► 86</t>
        </is>
      </c>
      <c r="B14" s="30" t="n">
        <v>30.001</v>
      </c>
      <c r="C14" s="31" t="n">
        <v>7.54</v>
      </c>
      <c r="D14" s="15" t="inlineStr">
        <is>
          <t>Por determinar</t>
        </is>
      </c>
      <c r="E14" s="15" t="inlineStr">
        <is>
          <t>Por determinar</t>
        </is>
      </c>
      <c r="F14" s="15" t="inlineStr">
        <is>
          <t>Por determinar</t>
        </is>
      </c>
      <c r="G14" s="32" t="n">
        <v>0.2735</v>
      </c>
      <c r="H14" s="31" t="n">
        <v>1.05</v>
      </c>
    </row>
    <row r="15">
      <c r="A15" s="12" t="inlineStr">
        <is>
          <t>83</t>
        </is>
      </c>
      <c r="B15" s="29" t="n">
        <v>24.344</v>
      </c>
      <c r="C15" s="21" t="n">
        <v>6.12</v>
      </c>
      <c r="D15" s="13" t="inlineStr">
        <is>
          <t>Por determinar</t>
        </is>
      </c>
      <c r="E15" s="13" t="inlineStr">
        <is>
          <t>Por determinar</t>
        </is>
      </c>
      <c r="F15" s="13" t="inlineStr">
        <is>
          <t>Por determinar</t>
        </is>
      </c>
      <c r="G15" s="20" t="n">
        <v>0.3055</v>
      </c>
      <c r="H15" s="21" t="n">
        <v>2.88</v>
      </c>
    </row>
    <row r="16">
      <c r="A16" s="7" t="inlineStr">
        <is>
          <t>77</t>
        </is>
      </c>
      <c r="B16" s="28" t="n">
        <v>17.82</v>
      </c>
      <c r="C16" s="19" t="n">
        <v>4.48</v>
      </c>
      <c r="D16" s="11" t="inlineStr">
        <is>
          <t>242 – 346</t>
        </is>
      </c>
      <c r="E16" s="11" t="n">
        <v>104</v>
      </c>
      <c r="F16" s="11" t="n">
        <v>13.71</v>
      </c>
      <c r="G16" s="18" t="n">
        <v>0.2725</v>
      </c>
      <c r="H16" s="19" t="n">
        <v>0.11</v>
      </c>
    </row>
    <row r="17">
      <c r="A17" s="12" t="inlineStr">
        <is>
          <t>85</t>
        </is>
      </c>
      <c r="B17" s="29" t="n">
        <v>11.906</v>
      </c>
      <c r="C17" s="21" t="n">
        <v>2.99</v>
      </c>
      <c r="D17" s="13" t="inlineStr">
        <is>
          <t>Por determinar</t>
        </is>
      </c>
      <c r="E17" s="13" t="inlineStr">
        <is>
          <t>Por determinar</t>
        </is>
      </c>
      <c r="F17" s="13" t="inlineStr">
        <is>
          <t>Por determinar</t>
        </is>
      </c>
      <c r="G17" s="20" t="n">
        <v>0.2289</v>
      </c>
      <c r="H17" s="21" t="n">
        <v>0</v>
      </c>
    </row>
    <row r="18">
      <c r="A18" s="7" t="inlineStr">
        <is>
          <t>84</t>
        </is>
      </c>
      <c r="B18" s="28" t="n">
        <v>5.097</v>
      </c>
      <c r="C18" s="19" t="n">
        <v>1.28</v>
      </c>
      <c r="D18" s="11" t="inlineStr">
        <is>
          <t>Por determinar</t>
        </is>
      </c>
      <c r="E18" s="11" t="inlineStr">
        <is>
          <t>Por determinar</t>
        </is>
      </c>
      <c r="F18" s="11" t="inlineStr">
        <is>
          <t>Por determinar</t>
        </is>
      </c>
      <c r="G18" s="18" t="n">
        <v>0.2516</v>
      </c>
      <c r="H18" s="19" t="n">
        <v>0</v>
      </c>
    </row>
    <row r="19">
      <c r="A19" s="16" t="inlineStr">
        <is>
          <t>TOTAL / PROMEDIO</t>
        </is>
      </c>
      <c r="B19" s="33">
        <f>SUM(B10:B18)</f>
        <v/>
      </c>
      <c r="C19" s="23">
        <f>SUM(C10:C18)</f>
        <v/>
      </c>
      <c r="D19" s="17" t="inlineStr">
        <is>
          <t>242 – 2080</t>
        </is>
      </c>
      <c r="E19" s="17" t="inlineStr"/>
      <c r="F19" s="17">
        <f>ROUND(AVERAGE(F10:F18),2)</f>
        <v/>
      </c>
      <c r="G19" s="22">
        <f>ROUND(AVERAGE(G10:G18),4)</f>
        <v/>
      </c>
      <c r="H19" s="23">
        <f>ROUND(AVERAGE(H10:H18),2)</f>
        <v/>
      </c>
    </row>
    <row r="20" ht="48" customHeight="1">
      <c r="A20" s="9" t="inlineStr">
        <is>
          <t>ALCANCE DE LOS PROMEDIOS. La fila TOTAL / PROMEDIO omite las celdas «Por determinar»: los promedios de PENDIENTE y MSAVI 2024 se calculan sobre 4 de los 9 bloques de la microcuenca; los 5 bloques restantes carecen de dato derivado del MDE. Los totales de ÁREA y % de microcuenca sí comprenden la totalidad de los 9 bloques. No se estima ningún valor ausente.</t>
        </is>
      </c>
      <c r="B20" s="38" t="n"/>
      <c r="C20" s="38" t="n"/>
      <c r="D20" s="38" t="n"/>
      <c r="E20" s="38" t="n"/>
      <c r="F20" s="38" t="n"/>
      <c r="G20" s="38" t="n"/>
      <c r="H20" s="39" t="n"/>
    </row>
    <row r="22" ht="48" customHeight="1">
      <c r="A22" s="9" t="inlineStr">
        <is>
          <t>LECTURA INTRAMICROCUENCA. El bloque 86 ocupa el puesto 5 de 9 por superficie dentro de la microcuenca C1081-Q9583 (7.54 % de las 398.04 ha preliminares de la microcuenca). El cuadro conserva todos los bloques catalogados en la microcuenca, incluidos los descartados en el tamizaje, para referencia del conjunto. Los bloques sin ficha DT figuran con sus parámetros de gabinete.</t>
        </is>
      </c>
      <c r="B22" s="38" t="n"/>
      <c r="C22" s="38" t="n"/>
      <c r="D22" s="38" t="n"/>
      <c r="E22" s="38" t="n"/>
      <c r="F22" s="38" t="n"/>
      <c r="G22" s="38" t="n"/>
      <c r="H22" s="39"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4" s="38" t="n"/>
      <c r="C24" s="38" t="n"/>
      <c r="D24" s="38" t="n"/>
      <c r="E24" s="38" t="n"/>
      <c r="F24" s="38" t="n"/>
      <c r="G24" s="38" t="n"/>
      <c r="H24" s="39" t="n"/>
    </row>
  </sheetData>
  <mergeCells count="10">
    <mergeCell ref="A1:H1"/>
    <mergeCell ref="A4:H4"/>
    <mergeCell ref="A3:H3"/>
    <mergeCell ref="A20:H20"/>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5"/>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86</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«C1081-Q9583»</t>
        </is>
      </c>
      <c r="D10" s="35" t="inlineStr">
        <is>
          <t>CONFORME</t>
        </is>
      </c>
      <c r="E10" s="34" t="inlineStr">
        <is>
          <t>Sin acción.</t>
        </is>
      </c>
    </row>
    <row r="11" ht="48" customHeight="1">
      <c r="A11" s="36" t="inlineStr">
        <is>
          <t>D-02</t>
        </is>
      </c>
      <c r="B11" s="36" t="inlineStr">
        <is>
          <t>UTM del punto de muestreo</t>
        </is>
      </c>
      <c r="C11" s="36" t="inlineStr">
        <is>
          <t>El punto de muestreo declarado (645575 E / 9393500 N) dista 17,012 m del centroide de catálogo (642415 E / 9410216 N), distancia incompatible con la superficie del bloque (30.001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(30.010 ha) coincide con la de catálogo (30.001 ha) dentro del ±2 % (+0.03 %)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«15-25% (Fuert. inclinado)»; la estadística zonal sobre el MDE arroja una pendiente promedio de 0.00 %, que corresponde a la clase «0-8% (Plano-lig.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24 % de cobertura vegetal en campo; el NDVI mediana 2025 clasifica 78.17 %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ht="48" customHeight="1">
      <c r="A17" s="36" t="inlineStr">
        <is>
          <t>D-08</t>
        </is>
      </c>
      <c r="B17" s="36" t="inlineStr">
        <is>
          <t>F-DT-01</t>
        </is>
      </c>
      <c r="C17" s="36" t="inlineStr">
        <is>
          <t>Ninguna ficha F-DT fue levantada en campo: la información procede de levantamiento fotogramétrico RPA (14-08-2026), cartografía NDVI/MSAVI e imagen Google Earth</t>
        </is>
      </c>
      <c r="D17" s="37" t="inlineStr">
        <is>
          <t>SUSTANTIVA</t>
        </is>
      </c>
      <c r="E17" s="36" t="inlineStr">
        <is>
          <t>Levantamiento de campo pendiente</t>
        </is>
      </c>
    </row>
    <row r="18" ht="48" customHeight="1">
      <c r="A18" s="34" t="inlineStr">
        <is>
          <t>D-09</t>
        </is>
      </c>
      <c r="B18" s="34" t="inlineStr">
        <is>
          <t>F-DT-01</t>
        </is>
      </c>
      <c r="C18" s="34" t="inlineStr">
        <is>
          <t>La ficha declara que el bloque no figura en «Bloques V4» ni «Bloques V5»; solo en REPORTE_BLOQUES_V6 y en la capa «Bloques extras». Centroide por restitución cartográfica (±25 m)</t>
        </is>
      </c>
      <c r="D18" s="37" t="inlineStr">
        <is>
          <t>SUSTANTIVA</t>
        </is>
      </c>
      <c r="E18" s="34" t="inlineStr">
        <is>
          <t>Regularizar en el catálogo maestro; el catálogo V5 empleado en esta plantilla sí lo contiene</t>
        </is>
      </c>
    </row>
    <row r="19" ht="48" customHeight="1">
      <c r="A19" s="36" t="inlineStr">
        <is>
          <t>D-10</t>
        </is>
      </c>
      <c r="B19" s="36" t="inlineStr">
        <is>
          <t>F-DT-01</t>
        </is>
      </c>
      <c r="C19" s="36" t="inlineStr">
        <is>
          <t>Altitud GPS en blanco: el EXIF registra la cota de la aeronave (393 msnm), no la del terreno</t>
        </is>
      </c>
      <c r="D19" s="37" t="inlineStr">
        <is>
          <t>SUSTANTIVA</t>
        </is>
      </c>
      <c r="E19" s="36" t="inlineStr">
        <is>
          <t>Medición GPS a nivel de suelo pendiente</t>
        </is>
      </c>
    </row>
    <row r="20" ht="48" customHeight="1">
      <c r="A20" s="34" t="inlineStr">
        <is>
          <t>D-11</t>
        </is>
      </c>
      <c r="B20" s="34" t="inlineStr">
        <is>
          <t>F-DT-01</t>
        </is>
      </c>
      <c r="C20" s="34" t="inlineStr">
        <is>
          <t>Pendiente derivada de un único transecto de Google Earth</t>
        </is>
      </c>
      <c r="D20" s="37" t="inlineStr">
        <is>
          <t>SUSTANTIVA</t>
        </is>
      </c>
      <c r="E20" s="34" t="inlineStr">
        <is>
          <t>Verificar mediante estadística zonal del DEM</t>
        </is>
      </c>
    </row>
    <row r="21" ht="48" customHeight="1">
      <c r="A21" s="36" t="inlineStr">
        <is>
          <t>D-12</t>
        </is>
      </c>
      <c r="B21" s="36" t="inlineStr">
        <is>
          <t>F-DT-02</t>
        </is>
      </c>
      <c r="C21" s="36" t="inlineStr">
        <is>
          <t>Inventario georreferenciado de cárcavas NO ejecutado</t>
        </is>
      </c>
      <c r="D21" s="37" t="inlineStr">
        <is>
          <t>SUSTANTIVA</t>
        </is>
      </c>
      <c r="E21" s="36" t="inlineStr">
        <is>
          <t>La ausencia de registro no equivale a ausencia del proceso</t>
        </is>
      </c>
    </row>
    <row r="22" ht="48" customHeight="1">
      <c r="A22" s="34" t="inlineStr">
        <is>
          <t>D-13</t>
        </is>
      </c>
      <c r="B22" s="34" t="inlineStr">
        <is>
          <t>F-DT-03</t>
        </is>
      </c>
      <c r="C22" s="34" t="inlineStr">
        <is>
          <t>Lista florística comunicada por la Subdirección para el ámbito 85-87; no procede de muestreo por parcela del bloque</t>
        </is>
      </c>
      <c r="D22" s="37" t="inlineStr">
        <is>
          <t>SUSTANTIVA</t>
        </is>
      </c>
      <c r="E22" s="34" t="inlineStr">
        <is>
          <t>Colecta y determinación botánica formal pendientes</t>
        </is>
      </c>
    </row>
    <row r="23" ht="48" customHeight="1">
      <c r="A23" s="36" t="inlineStr">
        <is>
          <t>D-14</t>
        </is>
      </c>
      <c r="B23" s="36" t="inlineStr">
        <is>
          <t>F-DT-04</t>
        </is>
      </c>
      <c r="C23" s="36" t="inlineStr">
        <is>
          <t>Velocidad de degradación en blanco: no se dispone de serie Theil-Sen (TAU) ni de MSAVI multianual</t>
        </is>
      </c>
      <c r="D23" s="37" t="inlineStr">
        <is>
          <t>SUSTANTIVA</t>
        </is>
      </c>
      <c r="E23" s="36" t="inlineStr">
        <is>
          <t>Procesar serie temporal</t>
        </is>
      </c>
    </row>
    <row r="24" ht="48" customHeight="1">
      <c r="A24" s="34" t="inlineStr">
        <is>
          <t>D-15</t>
        </is>
      </c>
      <c r="B24" s="34" t="inlineStr">
        <is>
          <t>F-DT-04</t>
        </is>
      </c>
      <c r="C24" s="34" t="inlineStr">
        <is>
          <t>Indicadores 3 a 7 sin valor (densidad de cárcavas, invasoras, carga ganadera, quemas, % pendiente &gt;50%)</t>
        </is>
      </c>
      <c r="D24" s="37" t="inlineStr">
        <is>
          <t>SUSTANTIVA</t>
        </is>
      </c>
      <c r="E24" s="34" t="inlineStr">
        <is>
          <t>Levantamiento y estadística zonal pendientes</t>
        </is>
      </c>
    </row>
    <row r="25" ht="48" customHeight="1">
      <c r="A25" s="36" t="inlineStr">
        <is>
          <t>D-16</t>
        </is>
      </c>
      <c r="B25" s="36" t="inlineStr">
        <is>
          <t>F-DT-05</t>
        </is>
      </c>
      <c r="C25" s="36" t="inlineStr">
        <is>
          <t>Inventario hídrico no levantado en campo; coordenadas = centro del fotograma</t>
        </is>
      </c>
      <c r="D25" s="15" t="inlineStr">
        <is>
          <t>NO SUSTANTIVA</t>
        </is>
      </c>
      <c r="E25" s="36" t="inlineStr">
        <is>
          <t>Relevar con GPS</t>
        </is>
      </c>
    </row>
    <row r="26" ht="48" customHeight="1">
      <c r="A26" s="34" t="inlineStr">
        <is>
          <t>D-17</t>
        </is>
      </c>
      <c r="B26" s="34" t="inlineStr">
        <is>
          <t>Ficha DT</t>
        </is>
      </c>
      <c r="C26" s="34" t="inlineStr">
        <is>
          <t>UTM del punto de registro (645 575 · 9 393 500) = valor por defecto de la plantilla; centroide de catálogo 642 415 · 9 410 216</t>
        </is>
      </c>
      <c r="D26" s="37" t="inlineStr">
        <is>
          <t>SUSTANTIVA</t>
        </is>
      </c>
      <c r="E26" s="34" t="inlineStr">
        <is>
          <t>Georreferencia por reponer</t>
        </is>
      </c>
    </row>
    <row r="27" ht="48" customHeight="1">
      <c r="A27" s="36" t="inlineStr">
        <is>
          <t>D-18</t>
        </is>
      </c>
      <c r="B27" s="36" t="inlineStr">
        <is>
          <t>F-DT-01</t>
        </is>
      </c>
      <c r="C27" s="36" t="inlineStr">
        <is>
          <t>Exposición consignada «Oeste» pese a que el bloque abarca ambos flancos de la lomada</t>
        </is>
      </c>
      <c r="D27" s="15" t="inlineStr">
        <is>
          <t>NO SUSTANTIVA</t>
        </is>
      </c>
      <c r="E27" s="36" t="inlineStr">
        <is>
          <t>Confirmar con análisis de aspecto del DEM</t>
        </is>
      </c>
    </row>
    <row r="28" ht="48" customHeight="1">
      <c r="A28" s="34" t="inlineStr">
        <is>
          <t>D-19</t>
        </is>
      </c>
      <c r="B28" s="34" t="inlineStr">
        <is>
          <t>F-DT-04</t>
        </is>
      </c>
      <c r="C28" s="34" t="inlineStr">
        <is>
          <t>Distancia a vía vecinal (300 m) por restitución cartográfica; existe una trocha más próxima no medida</t>
        </is>
      </c>
      <c r="D28" s="15" t="inlineStr">
        <is>
          <t>NO SUSTANTIVA</t>
        </is>
      </c>
      <c r="E28" s="34" t="inlineStr">
        <is>
          <t>Medición pendiente</t>
        </is>
      </c>
    </row>
    <row r="29" ht="48" customHeight="1">
      <c r="A29" s="36" t="inlineStr">
        <is>
          <t>D-20</t>
        </is>
      </c>
      <c r="B29" s="36" t="inlineStr">
        <is>
          <t>F-DT-05</t>
        </is>
      </c>
      <c r="C29" s="36" t="inlineStr">
        <is>
          <t>Interferencia con riego: canal de conducción contiguo al límite occidental</t>
        </is>
      </c>
      <c r="D29" s="37" t="inlineStr">
        <is>
          <t>SUSTANTIVA</t>
        </is>
      </c>
      <c r="E29" s="36" t="inlineStr">
        <is>
          <t>Coordinar con la organización de usuarios antes de cualquier obra en ese borde</t>
        </is>
      </c>
    </row>
    <row r="30" ht="48" customHeight="1">
      <c r="A30" s="34" t="inlineStr">
        <is>
          <t>D-21</t>
        </is>
      </c>
      <c r="B30" s="34" t="inlineStr">
        <is>
          <t>F-DT-03</t>
        </is>
      </c>
      <c r="C30" s="34" t="inlineStr">
        <is>
          <t>Los núcleos de vegetación mediana y alta del flanco oriental son el principal activo ecológico del conglomerado</t>
        </is>
      </c>
      <c r="D30" s="37" t="inlineStr">
        <is>
          <t>SUSTANTIVA</t>
        </is>
      </c>
      <c r="E30" s="34" t="inlineStr">
        <is>
          <t>Tratar como área de conservación y fuente de propágulos, no como área a intervenir</t>
        </is>
      </c>
    </row>
    <row r="31">
      <c r="A31" s="34" t="inlineStr">
        <is>
          <t>D-22</t>
        </is>
      </c>
      <c r="B31" s="34" t="inlineStr">
        <is>
          <t>Distribución areal de clases MSAVI 2024</t>
        </is>
      </c>
      <c r="C31" s="34" t="inlineStr">
        <is>
          <t>La hoja «Cobertura MSAVI-NDVI» consignaba «Por determinar» en la distribución areal de clases MSAVI 2024; se incorpora el metrado por clase medido sobre la cartografía temática MSAVI 2024 del bloque: 99.87 % del bloque (29.962 ha) bajo el umbral 0.4976 y 0.13 % sobre el umbral; clase areal dominante «Suelo desnudo / no vegetal».</t>
        </is>
      </c>
      <c r="D31" s="37" t="inlineStr">
        <is>
          <t>CORREGIDO</t>
        </is>
      </c>
      <c r="E31" s="34"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32"/>
    <row r="33">
      <c r="A33" s="16" t="inlineStr">
        <is>
          <t>RESUMEN</t>
        </is>
      </c>
      <c r="B33" s="17" t="inlineStr">
        <is>
          <t>22 verificaciones</t>
        </is>
      </c>
      <c r="C33" s="17" t="inlineStr">
        <is>
          <t>CONFORME: 2 · NO SUSTANTIVA: 5 · SUSTANTIVA: 14 · CORREGIDO: 1</t>
        </is>
      </c>
      <c r="D33" s="17" t="inlineStr"/>
      <c r="E33" s="17" t="inlineStr"/>
    </row>
    <row r="34" ht="60" customHeight="1"/>
    <row r="35">
      <c r="A35"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5" s="38" t="n"/>
      <c r="C35" s="38" t="n"/>
      <c r="D35" s="38" t="n"/>
      <c r="E35" s="39" t="n"/>
    </row>
  </sheetData>
  <mergeCells count="8">
    <mergeCell ref="A35:E35"/>
    <mergeCell ref="A4:E4"/>
    <mergeCell ref="A2:E2"/>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86 — IN Piura</dc:title>
  <dc:subject>Diagnóstico Territorial por bloque de intervención</dc:subject>
  <dcterms:created xsi:type="dcterms:W3CDTF">2026-09-08T03:40:00Z</dcterms:created>
  <dcterms:modified xsi:type="dcterms:W3CDTF">2026-09-09T14:49:44Z</dcterms:modified>
</cp:coreProperties>
</file>