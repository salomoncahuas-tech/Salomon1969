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6">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41</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Cambrurán</t>
        </is>
      </c>
      <c r="C13" s="6" t="inlineStr">
        <is>
          <t>Comunidad campesina</t>
        </is>
      </c>
      <c r="D13" s="7" t="inlineStr">
        <is>
          <t>Por verificar</t>
        </is>
      </c>
      <c r="E13" s="8" t="n"/>
      <c r="F13" s="8" t="n"/>
    </row>
    <row r="14">
      <c r="A14" s="6" t="inlineStr">
        <is>
          <t>Superficie de catálogo (V5/V6), ha</t>
        </is>
      </c>
      <c r="B14" s="7" t="n">
        <v>64.92</v>
      </c>
      <c r="C14" s="6" t="inlineStr">
        <is>
          <t>Fuente de superficie</t>
        </is>
      </c>
      <c r="D14" s="7" t="inlineStr">
        <is>
          <t>Catálogo maestro Bloques V5/V6</t>
        </is>
      </c>
      <c r="E14" s="8" t="n"/>
      <c r="F14" s="8" t="n"/>
    </row>
    <row r="15">
      <c r="A15" s="6" t="inlineStr">
        <is>
          <t>Centroide UTM ESTE (m)</t>
        </is>
      </c>
      <c r="B15" s="7" t="n">
        <v>660525</v>
      </c>
      <c r="C15" s="6" t="inlineStr">
        <is>
          <t>Centroide UTM NORTE (m)</t>
        </is>
      </c>
      <c r="D15" s="7" t="n">
        <v>9394327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1536</v>
      </c>
      <c r="C19" s="6" t="inlineStr">
        <is>
          <t>Altitud máxima (msnm)</t>
        </is>
      </c>
      <c r="D19" s="7" t="n">
        <v>1818</v>
      </c>
      <c r="E19" s="8" t="n"/>
      <c r="F19" s="8" t="n"/>
    </row>
    <row r="20">
      <c r="A20" s="6" t="inlineStr">
        <is>
          <t>Amplitud altitudinal (m)</t>
        </is>
      </c>
      <c r="B20" s="7" t="n">
        <v>282</v>
      </c>
      <c r="C20" s="6" t="inlineStr">
        <is>
          <t>Piso altitudinal dominante</t>
        </is>
      </c>
      <c r="D20" s="7" t="inlineStr">
        <is>
          <t>1500-2000 m (Quechua media)</t>
        </is>
      </c>
      <c r="E20" s="8" t="n"/>
      <c r="F20" s="8" t="n"/>
    </row>
    <row r="21">
      <c r="A21" s="6" t="inlineStr">
        <is>
          <t>Pendiente promedio (%)</t>
        </is>
      </c>
      <c r="B21" s="7" t="n">
        <v>25.53</v>
      </c>
      <c r="C21" s="6" t="inlineStr">
        <is>
          <t>Pendiente promedio (grados)</t>
        </is>
      </c>
      <c r="D21" s="7" t="n">
        <v>14.3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0.5927</v>
      </c>
      <c r="C28" s="6" t="inlineStr">
        <is>
          <t>MSAVI 2024 — clase de la media</t>
        </is>
      </c>
      <c r="D28" s="7" t="inlineStr">
        <is>
          <t>0.4976 - 0.6139 (Vigor moderado)</t>
        </is>
      </c>
      <c r="E28" s="8" t="n"/>
      <c r="F28" s="8" t="n"/>
    </row>
    <row r="29">
      <c r="A29" s="6" t="inlineStr">
        <is>
          <t>Condición frente al umbral 0.4976</t>
        </is>
      </c>
      <c r="B29" s="7" t="inlineStr">
        <is>
          <t>Sobre umbral · distribución areal: 11.93 % del bloque BAJO el umbral (7.745 ha de 64.920 ha)</t>
        </is>
      </c>
      <c r="C29" s="6" t="inlineStr">
        <is>
          <t>NDVI mediana 2025 — clase modal</t>
        </is>
      </c>
      <c r="D29" s="7" t="inlineStr">
        <is>
          <t>Vegetación alta (98.02 %)</t>
        </is>
      </c>
      <c r="E29" s="8" t="n"/>
      <c r="F29" s="8" t="n"/>
    </row>
    <row r="30">
      <c r="A30" s="6" t="inlineStr">
        <is>
          <t>MSAVI 2024 — superficie BAJO el umbral 0.4976 (ha)</t>
        </is>
      </c>
      <c r="B30" s="7" t="n">
        <v>7.745</v>
      </c>
      <c r="C30" s="6" t="inlineStr">
        <is>
          <t>MSAVI 2024 — % del bloque BAJO el umbral</t>
        </is>
      </c>
      <c r="D30" s="7" t="n">
        <v>11.93</v>
      </c>
      <c r="E30" s="8" t="n"/>
      <c r="F30" s="8" t="n"/>
    </row>
    <row r="31">
      <c r="A31" s="6" t="inlineStr">
        <is>
          <t>MSAVI 2024 — clase areal dominante</t>
        </is>
      </c>
      <c r="B31" s="7" t="inlineStr">
        <is>
          <t>Vigor moderado</t>
        </is>
      </c>
      <c r="C31" s="6" t="inlineStr">
        <is>
          <t>MSAVI 2024 — fuente de la distribución areal</t>
        </is>
      </c>
      <c r="D31" s="7" t="inlineStr">
        <is>
          <t>Conteo de celdas sobre la cartografía MSAVI 2024 del bloque (41.png)</t>
        </is>
      </c>
      <c r="E31" s="8" t="n"/>
      <c r="F31" s="8" t="n"/>
    </row>
    <row r="32" ht="18" customHeight="1">
      <c r="A32" s="6" t="inlineStr">
        <is>
          <t>Superficie clasificada NDVI 2025 (ha)</t>
        </is>
      </c>
      <c r="B32" s="7" t="n">
        <v>64.93300000000001</v>
      </c>
      <c r="C32" s="6" t="inlineStr">
        <is>
          <t>Desviación frente al catálogo (%)</t>
        </is>
      </c>
      <c r="D32" s="7" t="n">
        <v>0.02</v>
      </c>
      <c r="E32" s="8" t="n"/>
      <c r="F32" s="8" t="n"/>
    </row>
    <row r="33"/>
    <row r="34">
      <c r="A34" s="5" t="inlineStr">
        <is>
          <t>4. ECOSISTEMA Y ESTADO DE CONSERVACIÓN</t>
        </is>
      </c>
    </row>
    <row r="35">
      <c r="A35" s="6" t="inlineStr">
        <is>
          <t>Tipo de ecosistema (UP)</t>
        </is>
      </c>
      <c r="B35" s="7" t="inlineStr">
        <is>
          <t>Agroecosistema / Mosaico</t>
        </is>
      </c>
      <c r="C35" s="6" t="inlineStr">
        <is>
          <t>Superficie de ecosistema (ha)</t>
        </is>
      </c>
      <c r="D35" s="7" t="inlineStr">
        <is>
          <t>64.92 ha</t>
        </is>
      </c>
      <c r="E35" s="8" t="n"/>
      <c r="F35" s="8" t="n"/>
    </row>
    <row r="36">
      <c r="A36" s="6" t="inlineStr">
        <is>
          <t>Estado de conservación</t>
        </is>
      </c>
      <c r="B36" s="7" t="inlineStr">
        <is>
          <t>Medianamente alterado</t>
        </is>
      </c>
      <c r="C36" s="6" t="inlineStr">
        <is>
          <t>Uso actual dominante del suelo</t>
        </is>
      </c>
      <c r="D36" s="7" t="inlineStr">
        <is>
          <t>Uso mixto</t>
        </is>
      </c>
      <c r="E36" s="8" t="n"/>
      <c r="F36" s="8" t="n"/>
    </row>
    <row r="37">
      <c r="A37" s="6" t="inlineStr">
        <is>
          <t>Tipo de cobertura dominante</t>
        </is>
      </c>
      <c r="B37" s="7" t="inlineStr">
        <is>
          <t>Mixto / Mosaico</t>
        </is>
      </c>
      <c r="C37" s="6" t="inlineStr">
        <is>
          <t>Cobertura vegetal total — campo (%)</t>
        </is>
      </c>
      <c r="D37" s="7" t="n">
        <v>85</v>
      </c>
      <c r="E37" s="8" t="n"/>
      <c r="F37" s="8" t="n"/>
    </row>
    <row r="38">
      <c r="A38" s="6" t="inlineStr">
        <is>
          <t>Suelo desnudo — campo (%)</t>
        </is>
      </c>
      <c r="B38" s="7" t="n">
        <v>10</v>
      </c>
      <c r="C38" s="6" t="inlineStr">
        <is>
          <t>Regeneración natural</t>
        </is>
      </c>
      <c r="D38" s="7" t="inlineStr">
        <is>
          <t>Regular (10-50 pl./100m²)</t>
        </is>
      </c>
      <c r="E38" s="8" t="n"/>
      <c r="F38" s="8" t="n"/>
    </row>
    <row r="39">
      <c r="A39" s="6" t="inlineStr">
        <is>
          <t>Nivel general de erosión</t>
        </is>
      </c>
      <c r="B39" s="7" t="inlineStr">
        <is>
          <t>Moderada (surcos)</t>
        </is>
      </c>
      <c r="C39" s="6" t="inlineStr">
        <is>
          <t>N.° de cárcavas registradas</t>
        </is>
      </c>
      <c r="D39" s="7" t="n">
        <v>4</v>
      </c>
      <c r="E39" s="8" t="n"/>
      <c r="F39" s="8" t="n"/>
    </row>
    <row r="40" ht="18" customHeight="1">
      <c r="A40" s="6" t="inlineStr">
        <is>
          <t>Elenco florístico (n.° de taxones)</t>
        </is>
      </c>
      <c r="B40" s="7" t="n">
        <v>15</v>
      </c>
      <c r="C40" s="6" t="inlineStr">
        <is>
          <t>Estado sanitario</t>
        </is>
      </c>
      <c r="D40" s="7" t="inlineStr">
        <is>
          <t>Sano</t>
        </is>
      </c>
      <c r="E40" s="8" t="n"/>
      <c r="F40" s="8" t="n"/>
    </row>
    <row r="41"/>
    <row r="42">
      <c r="A42" s="5" t="inlineStr">
        <is>
          <t>5. RESPONSABLE Y MODALIDAD DE LA EVALUACIÓN</t>
        </is>
      </c>
    </row>
    <row r="43">
      <c r="A43" s="6" t="inlineStr">
        <is>
          <t>Responsable de la evaluación</t>
        </is>
      </c>
      <c r="B43" s="7" t="inlineStr">
        <is>
          <t>Ing. Héctor Cahuas; brigada: Ing. Albert Flores Mendoza (operador RPAS)</t>
        </is>
      </c>
      <c r="C43" s="6" t="inlineStr">
        <is>
          <t>Fecha de evaluación</t>
        </is>
      </c>
      <c r="D43" s="7" t="inlineStr">
        <is>
          <t>2026-08-11</t>
        </is>
      </c>
      <c r="E43" s="8" t="n"/>
      <c r="F43" s="8" t="n"/>
    </row>
    <row r="44">
      <c r="A44" s="6" t="inlineStr">
        <is>
          <t>Hora de registro</t>
        </is>
      </c>
      <c r="B44" s="7" t="inlineStr">
        <is>
          <t>17:47 - 17:58 h</t>
        </is>
      </c>
      <c r="C44" s="6" t="inlineStr">
        <is>
          <t>Correlativo de ficha</t>
        </is>
      </c>
      <c r="D44" s="7" t="inlineStr">
        <is>
          <t>DT-B41-01</t>
        </is>
      </c>
      <c r="E44" s="8" t="n"/>
      <c r="F44" s="8" t="n"/>
    </row>
    <row r="45">
      <c r="A45" s="6" t="inlineStr">
        <is>
          <t>Entidad</t>
        </is>
      </c>
      <c r="B45" s="7" t="inlineStr">
        <is>
          <t>ANIN - DIME - SESDI</t>
        </is>
      </c>
      <c r="C45" s="6" t="inlineStr">
        <is>
          <t>Fase del estudio</t>
        </is>
      </c>
      <c r="D45" s="7" t="inlineStr">
        <is>
          <t>Preinversión (Perfil) · Invierte.pe</t>
        </is>
      </c>
      <c r="E45" s="8" t="n"/>
      <c r="F45" s="8" t="n"/>
    </row>
    <row r="46">
      <c r="A46" s="6" t="inlineStr">
        <is>
          <t>Instrumento aplicado</t>
        </is>
      </c>
      <c r="B46" s="7" t="inlineStr">
        <is>
          <t>Fichas F-DT-01 a F-DT-05 (Plantilla V5)</t>
        </is>
      </c>
      <c r="C46" s="6" t="inlineStr">
        <is>
          <t>Parcela de muestreo</t>
        </is>
      </c>
      <c r="D46" s="7" t="inlineStr">
        <is>
          <t>No aplica – verificación aérea perimetral</t>
        </is>
      </c>
      <c r="E46" s="8" t="n"/>
      <c r="F46" s="8" t="n"/>
    </row>
    <row r="47" ht="18" customHeight="1">
      <c r="A47" s="6" t="inlineStr">
        <is>
          <t>Estaciones fotográficas georreferenciadas</t>
        </is>
      </c>
      <c r="B47" s="7" t="n">
        <v>12</v>
      </c>
      <c r="C47" s="6" t="inlineStr">
        <is>
          <t>Modalidad de acceso</t>
        </is>
      </c>
      <c r="D47" s="7" t="inlineStr">
        <is>
          <t>Vehicular + caminata 30-90 min</t>
        </is>
      </c>
      <c r="E47" s="8" t="n"/>
      <c r="F47" s="8" t="n"/>
    </row>
    <row r="48"/>
    <row r="49">
      <c r="A49" s="5" t="inlineStr">
        <is>
          <t>6. SÍNTESIS PARA LA GESTIÓN DEL RIESGO EN CONTEXTO DE CAMBIO CLIMÁTICO</t>
        </is>
      </c>
    </row>
    <row r="50">
      <c r="A50" s="6" t="inlineStr">
        <is>
          <t>Causa subyacente principal</t>
        </is>
      </c>
      <c r="B50" s="7" t="inlineStr">
        <is>
          <t>Economía agropecuaria familiar de subsistencia con acceso vial reciente, que amplía la frontera de cultivo y de pastoreo</t>
        </is>
      </c>
      <c r="C50" s="6" t="inlineStr">
        <is>
          <t>Velocidad de degradación</t>
        </is>
      </c>
      <c r="D50" s="7" t="inlineStr">
        <is>
          <t>Lenta</t>
        </is>
      </c>
      <c r="E50" s="8" t="n"/>
      <c r="F50" s="8" t="n"/>
    </row>
    <row r="51">
      <c r="A51" s="6" t="inlineStr">
        <is>
          <t>Reversibilidad técnica</t>
        </is>
      </c>
      <c r="B51" s="7" t="inlineStr">
        <is>
          <t>Parcialmente reversible</t>
        </is>
      </c>
      <c r="C51" s="6" t="inlineStr">
        <is>
          <t>Urgencia de intervención</t>
        </is>
      </c>
      <c r="D51" s="7" t="inlineStr">
        <is>
          <t>Media</t>
        </is>
      </c>
      <c r="E51" s="8" t="n"/>
      <c r="F51" s="8" t="n"/>
    </row>
    <row r="52">
      <c r="A52" s="6" t="inlineStr">
        <is>
          <t>Urgencia de control de erosión</t>
        </is>
      </c>
      <c r="B52" s="7" t="inlineStr">
        <is>
          <t>Media</t>
        </is>
      </c>
      <c r="C52" s="6" t="inlineStr">
        <is>
          <t>Zona de recarga hídrica</t>
        </is>
      </c>
      <c r="D52" s="7" t="inlineStr">
        <is>
          <t>Sí</t>
        </is>
      </c>
      <c r="E52" s="8" t="n"/>
      <c r="F52" s="8" t="n"/>
    </row>
    <row r="53">
      <c r="A53" s="6" t="inlineStr">
        <is>
          <t>Peligro integrado preliminar (MCA-AHP)</t>
        </is>
      </c>
      <c r="B53" s="7" t="inlineStr">
        <is>
          <t>No disponible en los insumos; debe tomarse del modelamiento de mesolocalización</t>
        </is>
      </c>
      <c r="C53" s="6" t="inlineStr">
        <is>
          <t>Prioridad de intervención</t>
        </is>
      </c>
      <c r="D53" s="7" t="inlineStr">
        <is>
          <t>Por definir en mesolocalización</t>
        </is>
      </c>
      <c r="E53" s="8" t="n"/>
      <c r="F53" s="8" t="n"/>
    </row>
    <row r="54" ht="72" customHeight="1">
      <c r="A54" s="6" t="inlineStr">
        <is>
          <t>Estado de verificación de campo</t>
        </is>
      </c>
      <c r="B54" s="7" t="inlineStr">
        <is>
          <t>VERIFICADO</t>
        </is>
      </c>
      <c r="C54" s="6" t="inlineStr">
        <is>
          <t>Marco del indicador de brecha</t>
        </is>
      </c>
      <c r="D54" s="7" t="inlineStr">
        <is>
          <t>R.M. N.° 00213-2024-MINAM</t>
        </is>
      </c>
      <c r="E54" s="8" t="n"/>
      <c r="F54" s="8" t="n"/>
    </row>
    <row r="55"/>
    <row r="56">
      <c r="A56"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c r="B56" s="38" t="n"/>
      <c r="C56" s="38" t="n"/>
      <c r="D56" s="38" t="n"/>
      <c r="E56" s="38" t="n"/>
      <c r="F56" s="39" t="n"/>
    </row>
  </sheetData>
  <mergeCells count="13">
    <mergeCell ref="A27:F27"/>
    <mergeCell ref="A34:F34"/>
    <mergeCell ref="A18:F18"/>
    <mergeCell ref="A56:F56"/>
    <mergeCell ref="A3:F3"/>
    <mergeCell ref="A2:F2"/>
    <mergeCell ref="A49:F49"/>
    <mergeCell ref="A42:F42"/>
    <mergeCell ref="A1:F1"/>
    <mergeCell ref="A5:F5"/>
    <mergeCell ref="A8:F8"/>
    <mergeCell ref="A6:F6"/>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8" t="n">
        <v>27.8896</v>
      </c>
      <c r="C10" s="19" t="n">
        <v>42.96</v>
      </c>
      <c r="D10" s="11" t="inlineStr">
        <is>
          <t>Vigor alto</t>
        </is>
      </c>
      <c r="E10" s="11" t="inlineStr">
        <is>
          <t>Sobre umbral</t>
        </is>
      </c>
    </row>
    <row r="11">
      <c r="A11" s="12" t="inlineStr">
        <is>
          <t>0.4976 - 0.6139</t>
        </is>
      </c>
      <c r="B11" s="32" t="n">
        <v>29.2854</v>
      </c>
      <c r="C11" s="31" t="n">
        <v>45.11</v>
      </c>
      <c r="D11" s="13" t="inlineStr">
        <is>
          <t>Vigor moderado</t>
        </is>
      </c>
      <c r="E11" s="13" t="inlineStr">
        <is>
          <t>Sobre umbral</t>
        </is>
      </c>
    </row>
    <row r="12">
      <c r="A12" s="7" t="inlineStr">
        <is>
          <t>0.3813 - 0.4976</t>
        </is>
      </c>
      <c r="B12" s="18" t="n">
        <v>7.5697</v>
      </c>
      <c r="C12" s="19" t="n">
        <v>11.66</v>
      </c>
      <c r="D12" s="11" t="inlineStr">
        <is>
          <t>Vigor bajo</t>
        </is>
      </c>
      <c r="E12" s="11" t="inlineStr">
        <is>
          <t>BAJO umbral 0.4976</t>
        </is>
      </c>
    </row>
    <row r="13">
      <c r="A13" s="14" t="inlineStr">
        <is>
          <t>0.2650 - 0.3813</t>
        </is>
      </c>
      <c r="B13" s="20" t="n">
        <v>0.1753</v>
      </c>
      <c r="C13" s="21" t="n">
        <v>0.27</v>
      </c>
      <c r="D13" s="15" t="inlineStr">
        <is>
          <t>Vigor muy bajo</t>
        </is>
      </c>
      <c r="E13" s="15" t="inlineStr">
        <is>
          <t>BAJO umbral 0.4976</t>
        </is>
      </c>
    </row>
    <row r="14">
      <c r="A14" s="7" t="inlineStr">
        <is>
          <t>&lt;= 0.2650</t>
        </is>
      </c>
      <c r="B14" s="18" t="n">
        <v>0</v>
      </c>
      <c r="C14" s="19" t="n">
        <v>0</v>
      </c>
      <c r="D14" s="11" t="inlineStr">
        <is>
          <t>Suelo desnudo / no vegetal</t>
        </is>
      </c>
      <c r="E14" s="11" t="inlineStr">
        <is>
          <t>BAJO umbral 0.4976</t>
        </is>
      </c>
    </row>
    <row r="15">
      <c r="A15" s="7" t="inlineStr">
        <is>
          <t>TOTAL CLASIFICADO</t>
        </is>
      </c>
      <c r="B15" s="18">
        <f>SUM(B10:B14)</f>
        <v/>
      </c>
      <c r="C15" s="19">
        <f>SUM(C10:C14)</f>
        <v/>
      </c>
      <c r="D15" s="11" t="inlineStr">
        <is>
          <t>Suma de las cinco clases MSAVI 2024</t>
        </is>
      </c>
      <c r="E15" s="11" t="inlineStr">
        <is>
          <t>Iguala la superficie de catálogo (V5/V6)</t>
        </is>
      </c>
    </row>
    <row r="16">
      <c r="A16" s="16" t="inlineStr">
        <is>
          <t>MSAVI 2024 — MEDIA DEL BLOQUE</t>
        </is>
      </c>
      <c r="B16" s="17" t="n">
        <v>0.592669</v>
      </c>
      <c r="C16" s="17" t="inlineStr">
        <is>
          <t>—</t>
        </is>
      </c>
      <c r="D16" s="17" t="inlineStr">
        <is>
          <t>Vigor moderado · clase 0.4976 - 0.6139</t>
        </is>
      </c>
      <c r="E16" s="17" t="inlineStr">
        <is>
          <t>Sobre umbral</t>
        </is>
      </c>
    </row>
    <row r="17" ht="72" customHeight="1"/>
    <row r="18">
      <c r="A18" s="9" t="inlineStr">
        <is>
          <t>NOTA METODOLÓGICA. La media del MSAVI 2024 del bloque procede del catálogo maestro de bloques V5/V6 y es dato oficial. La DISTRIBUCIÓN AREAL por clase se obtuvo por conteo de celdas sobre la cartografía temática MSAVI 2024 del bloque (carpeta Drive «MSAVI BLOQUES V6»), clasificada con la paleta RdYlGn de cinco clases y los mismos umbrales del proyecto. El reparto porcentual es el medido sobre el polígono del bloque; las hectáreas se obtienen aplicando ese reparto a la superficie de catálogo (V5/V6) declarada en la hoja «Resumen», de modo que el total por clase cuadra con la superficie oficial. Umbral de brecha 0.4976 conforme a la R.M. N.° 00213-2024-MINAM. CONTRASTE INDEPENDIENTE: la tabla de intersección vectorial «BLOQUES_V6_INTERSECC_MSAVI» reproduce el mismo ordenamiento de bloques (correlación de Pearson 0.949 sobre el porcentaje bajo umbral en los 117 bloques); no se usa para el metrado porque su campo AREA_M2 conserva el área del polígono padre y no la de cada pieza de intersección. El refrendo por estadística zonal directa sobre el ráster MSAVI 2024 recortado al polígono queda pendiente.</t>
        </is>
      </c>
      <c r="B18" s="38" t="n"/>
      <c r="C18" s="38" t="n"/>
      <c r="D18" s="38" t="n"/>
      <c r="E18" s="39" t="n"/>
    </row>
    <row r="19" ht="18" customHeight="1"/>
    <row r="20" ht="28" customHeight="1">
      <c r="A20" s="5" t="inlineStr">
        <is>
          <t>B. NDVI MEDIANA 2025 — DISTRIBUCIÓN AREAL (ESTADÍSTICA ZONAL)</t>
        </is>
      </c>
    </row>
    <row r="21">
      <c r="A21" s="10" t="inlineStr">
        <is>
          <t>Clase NDVI</t>
        </is>
      </c>
      <c r="B21" s="10" t="inlineStr">
        <is>
          <t>Superficie (ha)</t>
        </is>
      </c>
      <c r="C21" s="10" t="inlineStr">
        <is>
          <t>% del área clasificada</t>
        </is>
      </c>
      <c r="D21" s="10" t="inlineStr">
        <is>
          <t>Interpretación</t>
        </is>
      </c>
      <c r="E21" s="10" t="inlineStr">
        <is>
          <t>Observación</t>
        </is>
      </c>
    </row>
    <row r="22">
      <c r="A22" s="7" t="inlineStr">
        <is>
          <t>Vegetación alta</t>
        </is>
      </c>
      <c r="B22" s="18" t="n">
        <v>63.6485</v>
      </c>
      <c r="C22" s="19" t="n">
        <v>98.02</v>
      </c>
      <c r="D22" s="11" t="inlineStr">
        <is>
          <t>Dosel continuo, matorral denso o mosaico agroforestal</t>
        </is>
      </c>
      <c r="E22" s="11" t="inlineStr"/>
    </row>
    <row r="23">
      <c r="A23" s="14" t="inlineStr">
        <is>
          <t>Vegetación mediana</t>
        </is>
      </c>
      <c r="B23" s="20" t="n">
        <v>1.2847</v>
      </c>
      <c r="C23" s="21" t="n">
        <v>1.98</v>
      </c>
      <c r="D23" s="15" t="inlineStr">
        <is>
          <t>Pastizal cultivado, matorral ralo, parcelas agrícolas</t>
        </is>
      </c>
      <c r="E23" s="15" t="inlineStr"/>
    </row>
    <row r="24">
      <c r="A24" s="16" t="inlineStr">
        <is>
          <t>TOTAL CLASIFICADO</t>
        </is>
      </c>
      <c r="B24" s="22">
        <f>SUM(B21:B22)</f>
        <v/>
      </c>
      <c r="C24" s="23">
        <f>SUM(C21:C22)</f>
        <v/>
      </c>
      <c r="D24" s="17" t="inlineStr"/>
      <c r="E24" s="17" t="inlineStr"/>
    </row>
    <row r="25">
      <c r="A25" s="24" t="inlineStr">
        <is>
          <t>Superficie de catálogo (V5/V6)</t>
        </is>
      </c>
      <c r="B25" s="25" t="n">
        <v>64.92</v>
      </c>
      <c r="C25" s="25" t="inlineStr">
        <is>
          <t>—</t>
        </is>
      </c>
      <c r="D25" s="25" t="inlineStr">
        <is>
          <t>Desviación planimétrica frente al catálogo</t>
        </is>
      </c>
      <c r="E25" s="25" t="inlineStr">
        <is>
          <t>+0.02 %</t>
        </is>
      </c>
    </row>
    <row r="26" ht="108" customHeight="1"/>
    <row r="27">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98.02 % del polígono clasificado como «Vegetación alta» por el NDVI 2025; la observación de campo corresponde a una parcela o recorrido puntual y no es estadísticamente representativa de las 64.920 ha del bloque.</t>
        </is>
      </c>
      <c r="B27" s="38" t="n"/>
      <c r="C27" s="38" t="n"/>
      <c r="D27" s="38" t="n"/>
      <c r="E27" s="39" t="n"/>
    </row>
  </sheetData>
  <mergeCells count="10">
    <mergeCell ref="A4:E4"/>
    <mergeCell ref="A20:E20"/>
    <mergeCell ref="A2:E2"/>
    <mergeCell ref="A5:E5"/>
    <mergeCell ref="A1:E1"/>
    <mergeCell ref="A8:E8"/>
    <mergeCell ref="A6:E6"/>
    <mergeCell ref="A18:E18"/>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41</t>
        </is>
      </c>
    </row>
    <row r="6" ht="24" customHeight="1">
      <c r="A6" s="4" t="inlineStr">
        <is>
          <t>Levantamiento del 2026-08-11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660525</v>
      </c>
      <c r="D10" s="26" t="n">
        <v>9394327</v>
      </c>
      <c r="E10" s="11" t="n">
        <v>0</v>
      </c>
      <c r="F10" s="11" t="inlineStr"/>
      <c r="G10" s="11" t="inlineStr">
        <is>
          <t>Coordenada consignada en F-DT-01</t>
        </is>
      </c>
    </row>
    <row r="11">
      <c r="A11" s="14" t="inlineStr">
        <is>
          <t>R-41-01</t>
        </is>
      </c>
      <c r="B11" s="15" t="inlineStr">
        <is>
          <t>Rasgo erosivo — Surco (&lt;30 cm)</t>
        </is>
      </c>
      <c r="C11" s="27" t="n">
        <v>660702</v>
      </c>
      <c r="D11" s="27" t="n">
        <v>9393218</v>
      </c>
      <c r="E11" s="15" t="n">
        <v>1123</v>
      </c>
      <c r="F11" s="15" t="inlineStr">
        <is>
          <t>Activa</t>
        </is>
      </c>
      <c r="G11" s="15" t="inlineStr">
        <is>
          <t>Caminos / huellas de ganado</t>
        </is>
      </c>
    </row>
    <row r="12">
      <c r="A12" s="7" t="inlineStr">
        <is>
          <t>R-41-02</t>
        </is>
      </c>
      <c r="B12" s="11" t="inlineStr">
        <is>
          <t>Rasgo erosivo — Surco (&lt;30 cm)</t>
        </is>
      </c>
      <c r="C12" s="26" t="n">
        <v>660677</v>
      </c>
      <c r="D12" s="26" t="n">
        <v>9393198</v>
      </c>
      <c r="E12" s="11" t="n">
        <v>1139.2</v>
      </c>
      <c r="F12" s="11" t="inlineStr">
        <is>
          <t>Activa</t>
        </is>
      </c>
      <c r="G12" s="11" t="inlineStr">
        <is>
          <t>Sobrepastoreo</t>
        </is>
      </c>
    </row>
    <row r="13">
      <c r="A13" s="14" t="inlineStr">
        <is>
          <t>R-41-03</t>
        </is>
      </c>
      <c r="B13" s="15" t="inlineStr">
        <is>
          <t>Rasgo erosivo — Cárcava incipiente (30-50 cm)</t>
        </is>
      </c>
      <c r="C13" s="27" t="n">
        <v>660659</v>
      </c>
      <c r="D13" s="27" t="n">
        <v>9393232</v>
      </c>
      <c r="E13" s="15" t="n">
        <v>1103.2</v>
      </c>
      <c r="F13" s="15" t="inlineStr">
        <is>
          <t>Activa</t>
        </is>
      </c>
      <c r="G13" s="15" t="inlineStr">
        <is>
          <t>Concentración natural de escorrentía</t>
        </is>
      </c>
    </row>
    <row r="14">
      <c r="A14" s="7" t="inlineStr">
        <is>
          <t>R-41-04</t>
        </is>
      </c>
      <c r="B14" s="11" t="inlineStr">
        <is>
          <t>Rasgo erosivo — Surco (&lt;30 cm)</t>
        </is>
      </c>
      <c r="C14" s="26" t="n">
        <v>660828</v>
      </c>
      <c r="D14" s="26" t="n">
        <v>9393207</v>
      </c>
      <c r="E14" s="11" t="n">
        <v>1160.3</v>
      </c>
      <c r="F14" s="11" t="inlineStr">
        <is>
          <t>Activa</t>
        </is>
      </c>
      <c r="G14" s="11" t="inlineStr">
        <is>
          <t>Surcos de labranza en pendiente</t>
        </is>
      </c>
    </row>
    <row r="15">
      <c r="A15" s="14" t="inlineStr">
        <is>
          <t>H-01</t>
        </is>
      </c>
      <c r="B15" s="15" t="inlineStr">
        <is>
          <t>Fuente de agua — Quebrada estacional</t>
        </is>
      </c>
      <c r="C15" s="27" t="n">
        <v>660705</v>
      </c>
      <c r="D15" s="27" t="n">
        <v>9393252</v>
      </c>
      <c r="E15" s="15" t="n">
        <v>1090</v>
      </c>
      <c r="F15" s="15" t="inlineStr">
        <is>
          <t>Estacional</t>
        </is>
      </c>
      <c r="G15" s="15" t="inlineStr">
        <is>
          <t>Quebrada de la red de drenaje</t>
        </is>
      </c>
    </row>
    <row r="16">
      <c r="A16" s="7" t="inlineStr">
        <is>
          <t>H-02</t>
        </is>
      </c>
      <c r="B16" s="11" t="inlineStr">
        <is>
          <t>Fuente de agua — Otro (línea de conducción)</t>
        </is>
      </c>
      <c r="C16" s="26" t="n">
        <v>660702</v>
      </c>
      <c r="D16" s="26" t="n">
        <v>9393218</v>
      </c>
      <c r="E16" s="11" t="n">
        <v>1123</v>
      </c>
      <c r="F16" s="11" t="inlineStr">
        <is>
          <t>Permanente</t>
        </is>
      </c>
      <c r="G16" s="11" t="inlineStr">
        <is>
          <t>Línea de conducción</t>
        </is>
      </c>
    </row>
    <row r="17">
      <c r="A17" s="14" t="inlineStr">
        <is>
          <t>H-03</t>
        </is>
      </c>
      <c r="B17" s="15" t="inlineStr">
        <is>
          <t>Fuente de agua — Otro (caja de reunión)</t>
        </is>
      </c>
      <c r="C17" s="27" t="n">
        <v>660677</v>
      </c>
      <c r="D17" s="27" t="n">
        <v>9393198</v>
      </c>
      <c r="E17" s="15" t="n">
        <v>1139.2</v>
      </c>
      <c r="F17" s="15" t="inlineStr">
        <is>
          <t>Permanente</t>
        </is>
      </c>
      <c r="G17" s="15" t="inlineStr">
        <is>
          <t>Segunda caja de reunión</t>
        </is>
      </c>
    </row>
    <row r="18">
      <c r="A18" s="7" t="inlineStr">
        <is>
          <t>B-01</t>
        </is>
      </c>
      <c r="B18" s="11" t="inlineStr">
        <is>
          <t>Especie clave — Guadua angustifolia (bambú)</t>
        </is>
      </c>
      <c r="C18" s="26" t="n">
        <v>660705</v>
      </c>
      <c r="D18" s="26" t="n">
        <v>9393252</v>
      </c>
      <c r="E18" s="11" t="n">
        <v>1090</v>
      </c>
      <c r="F18" s="11" t="inlineStr">
        <is>
          <t>Indicadora de buen estado</t>
        </is>
      </c>
      <c r="G18" s="11" t="inlineStr">
        <is>
          <t>No aplica</t>
        </is>
      </c>
    </row>
    <row r="19">
      <c r="A19" s="14" t="inlineStr">
        <is>
          <t>B-02</t>
        </is>
      </c>
      <c r="B19" s="15" t="inlineStr">
        <is>
          <t>Especie clave — Neoraimondia / Armatocereus sp.</t>
        </is>
      </c>
      <c r="C19" s="27" t="n">
        <v>660702</v>
      </c>
      <c r="D19" s="27" t="n">
        <v>9393218</v>
      </c>
      <c r="E19" s="15" t="n">
        <v>1123</v>
      </c>
      <c r="F19" s="15" t="inlineStr">
        <is>
          <t>Amenazada D.S. 043</t>
        </is>
      </c>
      <c r="G19" s="15" t="inlineStr">
        <is>
          <t>DD — Datos Insuficientes</t>
        </is>
      </c>
    </row>
    <row r="20">
      <c r="A20" s="7" t="inlineStr">
        <is>
          <t>B-03</t>
        </is>
      </c>
      <c r="B20" s="11" t="inlineStr">
        <is>
          <t>Especie clave — Ficus sp. (higuerón)</t>
        </is>
      </c>
      <c r="C20" s="26" t="n">
        <v>660804</v>
      </c>
      <c r="D20" s="26" t="n">
        <v>9393011</v>
      </c>
      <c r="E20" s="11" t="n">
        <v>1345.2</v>
      </c>
      <c r="F20" s="11" t="inlineStr">
        <is>
          <t>Indicadora de buen estado</t>
        </is>
      </c>
      <c r="G20" s="11" t="inlineStr">
        <is>
          <t>No aplica</t>
        </is>
      </c>
    </row>
    <row r="21">
      <c r="A21" s="14" t="inlineStr">
        <is>
          <t>B-04</t>
        </is>
      </c>
      <c r="B21" s="15" t="inlineStr">
        <is>
          <t>Especie clave — Tillandsia sp. (bromeliácea)</t>
        </is>
      </c>
      <c r="C21" s="27" t="n">
        <v>660737</v>
      </c>
      <c r="D21" s="27" t="n">
        <v>9393181</v>
      </c>
      <c r="E21" s="15" t="n">
        <v>1165.4</v>
      </c>
      <c r="F21" s="15" t="inlineStr">
        <is>
          <t>Indicadora de buen estado</t>
        </is>
      </c>
      <c r="G21" s="15" t="inlineStr">
        <is>
          <t>No aplica</t>
        </is>
      </c>
    </row>
    <row r="22">
      <c r="A22" s="7" t="inlineStr">
        <is>
          <t>B-05</t>
        </is>
      </c>
      <c r="B22" s="11" t="inlineStr">
        <is>
          <t>Especie clave — Ricinus communis (higuerilla)</t>
        </is>
      </c>
      <c r="C22" s="26" t="n">
        <v>660793</v>
      </c>
      <c r="D22" s="26" t="n">
        <v>9393019</v>
      </c>
      <c r="E22" s="11" t="n">
        <v>1335.2</v>
      </c>
      <c r="F22" s="11" t="inlineStr">
        <is>
          <t>Indicadora de perturbación</t>
        </is>
      </c>
      <c r="G22" s="11" t="inlineStr">
        <is>
          <t>No aplica</t>
        </is>
      </c>
    </row>
    <row r="23">
      <c r="A23" s="14" t="inlineStr">
        <is>
          <t>B-06</t>
        </is>
      </c>
      <c r="B23" s="15" t="inlineStr">
        <is>
          <t>Especie clave — Baccharis latifolia (chilca)</t>
        </is>
      </c>
      <c r="C23" s="27" t="n">
        <v>660677</v>
      </c>
      <c r="D23" s="27" t="n">
        <v>9393198</v>
      </c>
      <c r="E23" s="15" t="n">
        <v>1139.2</v>
      </c>
      <c r="F23" s="15" t="inlineStr">
        <is>
          <t>Indicadora de perturbación</t>
        </is>
      </c>
      <c r="G23" s="15" t="inlineStr">
        <is>
          <t>No aplica</t>
        </is>
      </c>
    </row>
    <row r="24">
      <c r="A24" s="7" t="inlineStr">
        <is>
          <t>B-07</t>
        </is>
      </c>
      <c r="B24" s="11" t="inlineStr">
        <is>
          <t>Especie clave — Eucalyptus globulus / Grevillea</t>
        </is>
      </c>
      <c r="C24" s="26" t="n">
        <v>660845</v>
      </c>
      <c r="D24" s="26" t="n">
        <v>9393030</v>
      </c>
      <c r="E24" s="11" t="n">
        <v>1335.9</v>
      </c>
      <c r="F24" s="11" t="inlineStr">
        <is>
          <t>Indicadora de perturbación</t>
        </is>
      </c>
      <c r="G24" s="11" t="inlineStr">
        <is>
          <t>No aplica</t>
        </is>
      </c>
    </row>
    <row r="25">
      <c r="A25" s="16" t="inlineStr">
        <is>
          <t>TOTAL: 15 puntos</t>
        </is>
      </c>
      <c r="B25" s="17" t="inlineStr"/>
      <c r="C25" s="17" t="inlineStr"/>
      <c r="D25" s="17" t="inlineStr"/>
      <c r="E25" s="17" t="inlineStr"/>
      <c r="F25" s="17" t="inlineStr"/>
      <c r="G25" s="17" t="inlineStr"/>
    </row>
    <row r="27">
      <c r="A27" s="6" t="inlineStr">
        <is>
          <t>Centroide del bloque — UTM ESTE (m)</t>
        </is>
      </c>
      <c r="B27" s="7" t="n">
        <v>660525</v>
      </c>
      <c r="C27" s="6" t="inlineStr">
        <is>
          <t>Centroide del bloque — UTM NORTE (m)</t>
        </is>
      </c>
      <c r="D27" s="7" t="n">
        <v>9394327</v>
      </c>
      <c r="E27" s="8" t="n"/>
      <c r="F27" s="8" t="n"/>
      <c r="G27" s="8" t="n"/>
      <c r="H27" s="8" t="n"/>
    </row>
    <row r="28">
      <c r="A28" s="6" t="inlineStr">
        <is>
          <t>N.° de estaciones fotográficas declaradas</t>
        </is>
      </c>
      <c r="B28" s="7" t="n">
        <v>12</v>
      </c>
      <c r="C28" s="6" t="inlineStr">
        <is>
          <t>Estaciones dentro del polígono</t>
        </is>
      </c>
      <c r="D28" s="7" t="n">
        <v>0</v>
      </c>
      <c r="E28" s="8" t="n"/>
      <c r="F28" s="8" t="n"/>
      <c r="G28" s="8" t="n"/>
      <c r="H28" s="8" t="n"/>
    </row>
    <row r="30" ht="120" customHeight="1">
      <c r="A3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PERIMETRAL. Las 10 estaciones RPAS y las 2 tomas terrestres se sitúan entre 337 y 597 m al SSE del límite sur del polígono, a una cota de 1327 msnm — 209 m POR DEBAJO de la cota mínima del bloque (1536 msnm). El interior del Bloque 41 NO fue sobrevolado ni recorrido. Los parámetros fisiográficos proceden de estadística zonal sobre MDE; los indicios de inestabilidad corresponden al corredor de aproximación y se transfieren al bloque POR ANALOGÍA DE VERTIENTE, con carácter referencial.</t>
        </is>
      </c>
      <c r="B30" s="38" t="n"/>
      <c r="C30" s="38" t="n"/>
      <c r="D30" s="38" t="n"/>
      <c r="E30" s="38" t="n"/>
      <c r="F30" s="38" t="n"/>
      <c r="G30" s="39" t="n"/>
    </row>
  </sheetData>
  <mergeCells count="8">
    <mergeCell ref="A1:G1"/>
    <mergeCell ref="A8:G8"/>
    <mergeCell ref="A3:G3"/>
    <mergeCell ref="A6:G6"/>
    <mergeCell ref="A4:G4"/>
    <mergeCell ref="A30:G3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41</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18</t>
        </is>
      </c>
      <c r="B10" s="28" t="n">
        <v>103.62</v>
      </c>
      <c r="C10" s="19" t="n">
        <v>21.54</v>
      </c>
      <c r="D10" s="11" t="inlineStr">
        <is>
          <t>1218 – 1904</t>
        </is>
      </c>
      <c r="E10" s="11" t="n">
        <v>686</v>
      </c>
      <c r="F10" s="11" t="n">
        <v>28.7</v>
      </c>
      <c r="G10" s="18" t="n">
        <v>0.6402</v>
      </c>
      <c r="H10" s="19" t="n">
        <v>96.64</v>
      </c>
    </row>
    <row r="11">
      <c r="A11" s="14" t="inlineStr">
        <is>
          <t>19</t>
        </is>
      </c>
      <c r="B11" s="29" t="n">
        <v>82.09</v>
      </c>
      <c r="C11" s="21" t="n">
        <v>17.06</v>
      </c>
      <c r="D11" s="15" t="inlineStr">
        <is>
          <t>2064 – 2503</t>
        </is>
      </c>
      <c r="E11" s="15" t="n">
        <v>439</v>
      </c>
      <c r="F11" s="15" t="n">
        <v>31.01</v>
      </c>
      <c r="G11" s="20" t="n">
        <v>0.5372</v>
      </c>
      <c r="H11" s="21" t="n">
        <v>60.33</v>
      </c>
    </row>
    <row r="12">
      <c r="A12" s="12" t="inlineStr">
        <is>
          <t>► 41</t>
        </is>
      </c>
      <c r="B12" s="30" t="n">
        <v>64.92</v>
      </c>
      <c r="C12" s="31" t="n">
        <v>13.49</v>
      </c>
      <c r="D12" s="13" t="inlineStr">
        <is>
          <t>1536 – 1818</t>
        </is>
      </c>
      <c r="E12" s="13" t="n">
        <v>282</v>
      </c>
      <c r="F12" s="13" t="n">
        <v>25.53</v>
      </c>
      <c r="G12" s="32" t="n">
        <v>0.5927</v>
      </c>
      <c r="H12" s="31" t="n">
        <v>98.02</v>
      </c>
    </row>
    <row r="13">
      <c r="A13" s="14" t="inlineStr">
        <is>
          <t>73</t>
        </is>
      </c>
      <c r="B13" s="29" t="n">
        <v>54.29</v>
      </c>
      <c r="C13" s="21" t="n">
        <v>11.28</v>
      </c>
      <c r="D13" s="15" t="inlineStr">
        <is>
          <t>1845 – 2305</t>
        </is>
      </c>
      <c r="E13" s="15" t="n">
        <v>460</v>
      </c>
      <c r="F13" s="15" t="n">
        <v>36.34</v>
      </c>
      <c r="G13" s="20" t="n">
        <v>0.555</v>
      </c>
      <c r="H13" s="21" t="n">
        <v>88.8</v>
      </c>
    </row>
    <row r="14">
      <c r="A14" s="7" t="inlineStr">
        <is>
          <t>31</t>
        </is>
      </c>
      <c r="B14" s="28" t="n">
        <v>47.58</v>
      </c>
      <c r="C14" s="19" t="n">
        <v>9.890000000000001</v>
      </c>
      <c r="D14" s="11" t="inlineStr">
        <is>
          <t>1741 – 2234</t>
        </is>
      </c>
      <c r="E14" s="11" t="n">
        <v>493</v>
      </c>
      <c r="F14" s="11" t="n">
        <v>27.08</v>
      </c>
      <c r="G14" s="18" t="n">
        <v>0.4358</v>
      </c>
      <c r="H14" s="19" t="n">
        <v>18.56</v>
      </c>
    </row>
    <row r="15">
      <c r="A15" s="14" t="inlineStr">
        <is>
          <t>29</t>
        </is>
      </c>
      <c r="B15" s="29" t="n">
        <v>40.1</v>
      </c>
      <c r="C15" s="21" t="n">
        <v>8.33</v>
      </c>
      <c r="D15" s="15" t="inlineStr">
        <is>
          <t>2142 – 2391</t>
        </is>
      </c>
      <c r="E15" s="15" t="n">
        <v>249</v>
      </c>
      <c r="F15" s="15" t="n">
        <v>31.54</v>
      </c>
      <c r="G15" s="20" t="n">
        <v>0.5482</v>
      </c>
      <c r="H15" s="21" t="inlineStr">
        <is>
          <t>Por determinar</t>
        </is>
      </c>
    </row>
    <row r="16">
      <c r="A16" s="7" t="inlineStr">
        <is>
          <t>70</t>
        </is>
      </c>
      <c r="B16" s="28" t="n">
        <v>22.39</v>
      </c>
      <c r="C16" s="19" t="n">
        <v>4.65</v>
      </c>
      <c r="D16" s="11" t="inlineStr">
        <is>
          <t>2326 – 2536</t>
        </is>
      </c>
      <c r="E16" s="11" t="n">
        <v>210</v>
      </c>
      <c r="F16" s="11" t="n">
        <v>23.2</v>
      </c>
      <c r="G16" s="18" t="n">
        <v>0.6223</v>
      </c>
      <c r="H16" s="19" t="n">
        <v>98.39</v>
      </c>
    </row>
    <row r="17">
      <c r="A17" s="14" t="inlineStr">
        <is>
          <t>68</t>
        </is>
      </c>
      <c r="B17" s="29" t="n">
        <v>21.29</v>
      </c>
      <c r="C17" s="21" t="n">
        <v>4.42</v>
      </c>
      <c r="D17" s="15" t="inlineStr">
        <is>
          <t>2086 – 2374</t>
        </is>
      </c>
      <c r="E17" s="15" t="n">
        <v>288</v>
      </c>
      <c r="F17" s="15" t="n">
        <v>36.81</v>
      </c>
      <c r="G17" s="20" t="n">
        <v>0.483</v>
      </c>
      <c r="H17" s="21" t="inlineStr">
        <is>
          <t>Por determinar</t>
        </is>
      </c>
    </row>
    <row r="18">
      <c r="A18" s="7" t="inlineStr">
        <is>
          <t>69</t>
        </is>
      </c>
      <c r="B18" s="28" t="n">
        <v>19.43</v>
      </c>
      <c r="C18" s="19" t="n">
        <v>4.04</v>
      </c>
      <c r="D18" s="11" t="inlineStr">
        <is>
          <t>1931 – 2205</t>
        </is>
      </c>
      <c r="E18" s="11" t="n">
        <v>274</v>
      </c>
      <c r="F18" s="11" t="n">
        <v>27.95</v>
      </c>
      <c r="G18" s="18" t="n">
        <v>0.4489</v>
      </c>
      <c r="H18" s="19" t="n">
        <v>22.92</v>
      </c>
    </row>
    <row r="19">
      <c r="A19" s="14" t="inlineStr">
        <is>
          <t>53</t>
        </is>
      </c>
      <c r="B19" s="29" t="n">
        <v>13.06</v>
      </c>
      <c r="C19" s="21" t="n">
        <v>2.71</v>
      </c>
      <c r="D19" s="15" t="inlineStr">
        <is>
          <t>2235 – 2540</t>
        </is>
      </c>
      <c r="E19" s="15" t="n">
        <v>305</v>
      </c>
      <c r="F19" s="15" t="n">
        <v>26.89</v>
      </c>
      <c r="G19" s="20" t="n">
        <v>0.5963000000000001</v>
      </c>
      <c r="H19" s="21" t="n">
        <v>86.15000000000001</v>
      </c>
    </row>
    <row r="20">
      <c r="A20" s="7" t="inlineStr">
        <is>
          <t>72</t>
        </is>
      </c>
      <c r="B20" s="28" t="n">
        <v>12.4</v>
      </c>
      <c r="C20" s="19" t="n">
        <v>2.58</v>
      </c>
      <c r="D20" s="11" t="inlineStr">
        <is>
          <t>1538 – 1742</t>
        </is>
      </c>
      <c r="E20" s="11" t="n">
        <v>204</v>
      </c>
      <c r="F20" s="11" t="n">
        <v>28.25</v>
      </c>
      <c r="G20" s="18" t="n">
        <v>0.5185</v>
      </c>
      <c r="H20" s="19" t="n">
        <v>92.44</v>
      </c>
    </row>
    <row r="21">
      <c r="A21" s="16" t="inlineStr">
        <is>
          <t>TOTAL / PROMEDIO</t>
        </is>
      </c>
      <c r="B21" s="33">
        <f>SUM(B10:B20)</f>
        <v/>
      </c>
      <c r="C21" s="23">
        <f>SUM(C10:C20)</f>
        <v/>
      </c>
      <c r="D21" s="17" t="inlineStr">
        <is>
          <t>1218 – 2540</t>
        </is>
      </c>
      <c r="E21" s="17" t="inlineStr"/>
      <c r="F21" s="17">
        <f>ROUND(AVERAGE(F10:F20),2)</f>
        <v/>
      </c>
      <c r="G21" s="22">
        <f>ROUND(AVERAGE(G10:G20),4)</f>
        <v/>
      </c>
      <c r="H21" s="23">
        <f>ROUND(AVERAGE(H10:H20),2)</f>
        <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38" t="n"/>
      <c r="C22" s="38" t="n"/>
      <c r="D22" s="38" t="n"/>
      <c r="E22" s="38" t="n"/>
      <c r="F22" s="38" t="n"/>
      <c r="G22" s="38" t="n"/>
      <c r="H22" s="39" t="n"/>
    </row>
    <row r="24" ht="84" customHeight="1">
      <c r="A24" s="9" t="inlineStr">
        <is>
          <t>LECTURA INTRAMICROCUENCA. El bloque 41 ocupa el puesto 3 de 11 por superficie dentro de la microcuenca C1076-Q9592 (13.49 % de las 481.17 ha preliminares de la microcuenca). Su pendiente promedio (25.53 %, clase «25-50% (Mod. escarpado)») es la 2.ª más baja de 11 y se sitúa por debajo del promedio de la microcuenca (29.39 %). Su MSAVI 2024 (0.5927) es el 4.º de 11 y queda por encima del promedio local (0.5435). Amplitud altitudinal del bloque: 282 m (1536–1818 msnm). El cuadro conserva todos los bloques catalogados en la microcuenca, incluidos los descartados en el tamizaje, para referencia del conjunto. Los bloques sin ficha DT figuran con sus parámetros de gabinete.</t>
        </is>
      </c>
      <c r="B24" s="38" t="n"/>
      <c r="C24" s="38" t="n"/>
      <c r="D24" s="38" t="n"/>
      <c r="E24" s="38" t="n"/>
      <c r="F24" s="38" t="n"/>
      <c r="G24" s="38" t="n"/>
      <c r="H24" s="39"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c r="B26" s="38" t="n"/>
      <c r="C26" s="38" t="n"/>
      <c r="D26" s="38" t="n"/>
      <c r="E26" s="38" t="n"/>
      <c r="F26" s="38" t="n"/>
      <c r="G26" s="38" t="n"/>
      <c r="H26" s="39" t="n"/>
    </row>
  </sheetData>
  <mergeCells count="10">
    <mergeCell ref="A1:H1"/>
    <mergeCell ref="A4:H4"/>
    <mergeCell ref="A3:H3"/>
    <mergeCell ref="A26:H26"/>
    <mergeCell ref="A24:H24"/>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41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«C1076-Q9592»</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(64.933 ha) coincide con la de catálogo (64.92 ha) dentro del ±2 % (+0.02 %)</t>
        </is>
      </c>
      <c r="D12" s="35" t="inlineStr">
        <is>
          <t>CONFORME</t>
        </is>
      </c>
      <c r="E12" s="34" t="inlineStr">
        <is>
          <t>Sin acción: la segmentación valida la geometría del bloque.</t>
        </is>
      </c>
    </row>
    <row r="13" ht="48" customHeight="1">
      <c r="A13" s="36" t="inlineStr">
        <is>
          <t>D-04</t>
        </is>
      </c>
      <c r="B13" s="36" t="inlineStr">
        <is>
          <t>Representatividad del levantamiento</t>
        </is>
      </c>
      <c r="C13" s="36" t="inlineStr">
        <is>
          <t>Ninguna de las estaciones fotográficas georreferenciadas se localiza dentro del polígono del bloque</t>
        </is>
      </c>
      <c r="D13" s="37" t="inlineStr">
        <is>
          <t>SUSTANTIVA</t>
        </is>
      </c>
      <c r="E13" s="36" t="inlineStr">
        <is>
          <t>La verificación documenta el perímetro y la vista panorámica del bloque, no su interior. Los parámetros que exigen recorrido interno se consignan «Por determinar».</t>
        </is>
      </c>
    </row>
    <row r="14" ht="48" customHeight="1">
      <c r="A14" s="34" t="inlineStr">
        <is>
          <t>D-05</t>
        </is>
      </c>
      <c r="B14" s="34" t="inlineStr">
        <is>
          <t>Centro poblado asociado</t>
        </is>
      </c>
      <c r="C14" s="34" t="inlineStr">
        <is>
          <t>La ficha DT declara «Cambrurán»; el cruce INEI-Bloques V5 identifica 1 centro(s) poblado(s) en el bloque: CAMBRURAN</t>
        </is>
      </c>
      <c r="D14" s="13" t="inlineStr">
        <is>
          <t>NO SUSTANTIVA</t>
        </is>
      </c>
      <c r="E14" s="34" t="inlineStr">
        <is>
          <t>Se conserva el registro de campo como referencia y se adopta el listado INEI para el diagnóstico social y el cálculo de población beneficiaria.</t>
        </is>
      </c>
    </row>
    <row r="15" ht="48" customHeight="1">
      <c r="A15" s="36" t="inlineStr">
        <is>
          <t>D-06</t>
        </is>
      </c>
      <c r="B15" s="36" t="inlineStr">
        <is>
          <t>Peligro integrado (MCA-AHP)</t>
        </is>
      </c>
      <c r="C15" s="36" t="inlineStr">
        <is>
          <t>El nivel de peligro integrado no está disponible en los insumos de este entregable</t>
        </is>
      </c>
      <c r="D15" s="37" t="inlineStr">
        <is>
          <t>SUSTANTIVA</t>
        </is>
      </c>
      <c r="E15" s="36" t="inlineStr">
        <is>
          <t>Debe tomarse del modelamiento de mesolocalización (PMM + EPH + PGI ponderados por AHP) antes de fijar la prioridad definitiva de intervención del bloque.</t>
        </is>
      </c>
    </row>
    <row r="16">
      <c r="A16" s="36" t="inlineStr">
        <is>
          <t>D-07</t>
        </is>
      </c>
      <c r="B16" s="36" t="inlineStr">
        <is>
          <t>Distribución areal de clases MSAVI 2024</t>
        </is>
      </c>
      <c r="C16" s="36" t="inlineStr">
        <is>
          <t>La hoja «Cobertura MSAVI-NDVI» consignaba «Por determinar» en la distribución areal de clases MSAVI 2024; se incorpora el metrado por clase medido sobre la cartografía temática MSAVI 2024 del bloque: 11.93 % del bloque (7.745 ha) bajo el umbral 0.4976 y 88.07 % sobre el umbral; clase areal dominante «Vigor moderado».</t>
        </is>
      </c>
      <c r="D16" s="37" t="inlineStr">
        <is>
          <t>CORREGIDO</t>
        </is>
      </c>
      <c r="E16" s="36" t="inlineStr">
        <is>
          <t>Se sustituye «Por determinar» por el metrado por clase. Las hectáreas se derivan del reparto porcentual medido aplicado a la superficie de catálogo (V5/V6) del bloque, por lo que la suma de las cinco clases iguala dicha superficie. Pendiente de refrendo con estadística zonal directa sobre el ráster MSAVI 2024 cuando se disponga del insumo.</t>
        </is>
      </c>
    </row>
    <row r="17"/>
    <row r="18">
      <c r="A18" s="16" t="inlineStr">
        <is>
          <t>RESUMEN</t>
        </is>
      </c>
      <c r="B18" s="17" t="inlineStr">
        <is>
          <t>7 verificaciones</t>
        </is>
      </c>
      <c r="C18" s="17" t="inlineStr">
        <is>
          <t>CONFORME: 3 · NO SUSTANTIVA: 1 · SUSTANTIVA: 2 · CORREGIDO: 1</t>
        </is>
      </c>
      <c r="D18" s="17" t="inlineStr"/>
      <c r="E18" s="17" t="inlineStr"/>
    </row>
    <row r="19" ht="60" customHeight="1"/>
    <row r="20">
      <c r="A20"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0" s="38" t="n"/>
      <c r="C20" s="38" t="n"/>
      <c r="D20" s="38" t="n"/>
      <c r="E20" s="39" t="n"/>
    </row>
  </sheetData>
  <mergeCells count="8">
    <mergeCell ref="A4:E4"/>
    <mergeCell ref="A20:E20"/>
    <mergeCell ref="A2:E2"/>
    <mergeCell ref="A5:E5"/>
    <mergeCell ref="A1:E1"/>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41 — IN Piura</dc:title>
  <dc:subject>Diagnóstico Territorial por bloque de intervención</dc:subject>
  <dcterms:created xsi:type="dcterms:W3CDTF">2026-09-08T03:39:56Z</dcterms:created>
  <dcterms:modified xsi:type="dcterms:W3CDTF">2026-09-09T14:49:42Z</dcterms:modified>
</cp:coreProperties>
</file>