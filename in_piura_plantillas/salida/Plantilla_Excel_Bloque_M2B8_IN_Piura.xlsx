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M2B8</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M2B8</t>
        </is>
      </c>
      <c r="C9" s="6" t="inlineStr">
        <is>
          <t>Microcuenca (catálogo)</t>
        </is>
      </c>
      <c r="D9" s="7" t="inlineStr">
        <is>
          <t>C1076-Q9584</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Huacas Baja</t>
        </is>
      </c>
      <c r="C13" s="6" t="inlineStr">
        <is>
          <t>Comunidad campesina</t>
        </is>
      </c>
      <c r="D13" s="7" t="inlineStr">
        <is>
          <t>No consignada</t>
        </is>
      </c>
      <c r="E13" s="8" t="n"/>
      <c r="F13" s="8" t="n"/>
    </row>
    <row r="14">
      <c r="A14" s="6" t="inlineStr">
        <is>
          <t>Superficie de catálogo (V5/V6), ha</t>
        </is>
      </c>
      <c r="B14" s="7" t="n">
        <v>116.1</v>
      </c>
      <c r="C14" s="6" t="inlineStr">
        <is>
          <t>Fuente de superficie</t>
        </is>
      </c>
      <c r="D14" s="7" t="inlineStr">
        <is>
          <t>Catálogo maestro Bloques V5/V6</t>
        </is>
      </c>
      <c r="E14" s="8" t="n"/>
      <c r="F14" s="8" t="n"/>
    </row>
    <row r="15">
      <c r="A15" s="6" t="inlineStr">
        <is>
          <t>Centroide UTM ESTE (m)</t>
        </is>
      </c>
      <c r="B15" s="7" t="n">
        <v>639059</v>
      </c>
      <c r="C15" s="6" t="inlineStr">
        <is>
          <t>Centroide UTM NORTE (m)</t>
        </is>
      </c>
      <c r="D15" s="7" t="n">
        <v>9398295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244</v>
      </c>
      <c r="C19" s="6" t="inlineStr">
        <is>
          <t>Altitud máxima (msnm)</t>
        </is>
      </c>
      <c r="D19" s="7" t="n">
        <v>673</v>
      </c>
      <c r="E19" s="8" t="n"/>
      <c r="F19" s="8" t="n"/>
    </row>
    <row r="20">
      <c r="A20" s="6" t="inlineStr">
        <is>
          <t>Amplitud altitudinal (m)</t>
        </is>
      </c>
      <c r="B20" s="7" t="n">
        <v>429</v>
      </c>
      <c r="C20" s="6" t="inlineStr">
        <is>
          <t>Piso altitudinal dominante</t>
        </is>
      </c>
      <c r="D20" s="7" t="inlineStr">
        <is>
          <t>&lt;1000 m (Yunga)</t>
        </is>
      </c>
      <c r="E20" s="8" t="n"/>
      <c r="F20" s="8" t="n"/>
    </row>
    <row r="21">
      <c r="A21" s="6" t="inlineStr">
        <is>
          <t>Pendiente promedio (%)</t>
        </is>
      </c>
      <c r="B21" s="7" t="n">
        <v>19.24</v>
      </c>
      <c r="C21" s="6" t="inlineStr">
        <is>
          <t>Pendiente promedio (grados)</t>
        </is>
      </c>
      <c r="D21" s="7" t="n">
        <v>10.9</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0.3752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(58.83 %)</t>
        </is>
      </c>
      <c r="E29" s="8" t="n"/>
      <c r="F29" s="8" t="n"/>
    </row>
    <row r="30">
      <c r="A30" s="6" t="inlineStr">
        <is>
          <t>Superficie clasificada NDVI 2025 (ha)</t>
        </is>
      </c>
      <c r="B30" s="7" t="n">
        <v>116.136</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80 ha (de 116.10 ha del bloque)</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80</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7</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t>
        </is>
      </c>
      <c r="C41" s="6" t="inlineStr">
        <is>
          <t>Fecha de evaluación</t>
        </is>
      </c>
      <c r="D41" s="7" t="inlineStr">
        <is>
          <t>2026-08-04</t>
        </is>
      </c>
      <c r="E41" s="8" t="n"/>
      <c r="F41" s="8" t="n"/>
    </row>
    <row r="42">
      <c r="A42" s="6" t="inlineStr">
        <is>
          <t>Hora de registro</t>
        </is>
      </c>
      <c r="B42" s="7" t="inlineStr">
        <is>
          <t>15:26 h</t>
        </is>
      </c>
      <c r="C42" s="6" t="inlineStr">
        <is>
          <t>Correlativo de ficha</t>
        </is>
      </c>
      <c r="D42" s="7" t="inlineStr">
        <is>
          <t>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la ficha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Baja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0.375171</v>
      </c>
      <c r="C15" s="17" t="inlineStr">
        <is>
          <t>—</t>
        </is>
      </c>
      <c r="D15" s="17" t="inlineStr">
        <is>
          <t>Vigor muy bajo · clase 0.2650 - 0.3813</t>
        </is>
      </c>
      <c r="E15" s="17" t="inlineStr">
        <is>
          <t>BAJO umbral 0.4976</t>
        </is>
      </c>
    </row>
    <row r="17" ht="72" customHeight="1">
      <c r="A17" s="9" t="inlineStr">
        <is>
          <t>NOTA METODOLÓGICA. La media del MSAVI 2024 del bloque (0.375171)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19.3268</v>
      </c>
      <c r="C21" s="19" t="n">
        <v>16.64</v>
      </c>
      <c r="D21" s="11" t="inlineStr">
        <is>
          <t>Dosel continuo, matorral denso o mosaico agroforestal</t>
        </is>
      </c>
      <c r="E21" s="11" t="inlineStr"/>
    </row>
    <row r="22">
      <c r="A22" s="12" t="inlineStr">
        <is>
          <t>Vegetación mediana</t>
        </is>
      </c>
      <c r="B22" s="20" t="n">
        <v>68.3261</v>
      </c>
      <c r="C22" s="21" t="n">
        <v>58.83</v>
      </c>
      <c r="D22" s="13" t="inlineStr">
        <is>
          <t>Pastizal cultivado, matorral ralo, parcelas agrícolas</t>
        </is>
      </c>
      <c r="E22" s="13" t="inlineStr"/>
    </row>
    <row r="23">
      <c r="A23" s="7" t="inlineStr">
        <is>
          <t>Vegetación ligera</t>
        </is>
      </c>
      <c r="B23" s="18" t="n">
        <v>28.4833</v>
      </c>
      <c r="C23" s="19" t="n">
        <v>24.53</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116.1</v>
      </c>
      <c r="C25" s="25" t="inlineStr">
        <is>
          <t>—</t>
        </is>
      </c>
      <c r="D25" s="25" t="inlineStr">
        <is>
          <t>Desviación planimétrica frente al catálogo</t>
        </is>
      </c>
      <c r="E25" s="25" t="inlineStr">
        <is>
          <t>+0.03 %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16.64 % del polígono clasificado como «Vegetación alta» por el NDVI 2025; la observación de campo corresponde a una parcela o recorrido puntual y no es estadísticamente representativa de las 116.100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M2B8</t>
        </is>
      </c>
    </row>
    <row r="6" ht="24" customHeight="1">
      <c r="A6" s="4" t="inlineStr">
        <is>
          <t>Levantamiento del 2026-08-04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638286</v>
      </c>
      <c r="D10" s="26" t="n">
        <v>9398789</v>
      </c>
      <c r="E10" s="11" t="n">
        <v>917.4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639059</v>
      </c>
      <c r="C13" s="6" t="inlineStr">
        <is>
          <t>Centroide del bloque — UTM NORTE (m)</t>
        </is>
      </c>
      <c r="D13" s="7" t="n">
        <v>9398295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≈250 msnm. LA LADERA ES EMPLEADA PARA EL PASTOREO EXTENSIVO DE GANADO CAPRINO Y VACUNO del centro poblado asentado al pie del bloque. Se ubica cerca de una VÍA ASFALTADA y de ÁREAS DE CULTIVO. Se ha evidenciado LEÑA APILADA en viviendas próximas. El suelo presenta erosión eólica e hídrica; en la ladera se observan estrías y surcos dejados por el tránsito habitual del ganado. Existen caminos de herradura dentro del bloque y áreas de suelo desprovistas de vegetación expuestas a lluvia. ES EL ÚNICO DE LOS SEIS BLOQUES DEL GRUPO EN EL QUE SE REGISTRA REPTACIÓN DE SUELO.</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M2B8</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t>
        </is>
      </c>
      <c r="B10" s="27" t="n">
        <v>1370.96</v>
      </c>
      <c r="C10" s="19" t="n">
        <v>77.31999999999999</v>
      </c>
      <c r="D10" s="11" t="inlineStr">
        <is>
          <t>291 – 1204</t>
        </is>
      </c>
      <c r="E10" s="11" t="n">
        <v>913</v>
      </c>
      <c r="F10" s="11" t="n">
        <v>21.39</v>
      </c>
      <c r="G10" s="18" t="n">
        <v>0.4545</v>
      </c>
      <c r="H10" s="19" t="inlineStr">
        <is>
          <t>Por determinar</t>
        </is>
      </c>
    </row>
    <row r="11">
      <c r="A11" s="12" t="inlineStr">
        <is>
          <t>7</t>
        </is>
      </c>
      <c r="B11" s="28" t="n">
        <v>173.43</v>
      </c>
      <c r="C11" s="21" t="n">
        <v>9.779999999999999</v>
      </c>
      <c r="D11" s="13" t="inlineStr">
        <is>
          <t>257 – 577</t>
        </is>
      </c>
      <c r="E11" s="13" t="n">
        <v>320</v>
      </c>
      <c r="F11" s="13" t="n">
        <v>18.59</v>
      </c>
      <c r="G11" s="20" t="n">
        <v>0.3753</v>
      </c>
      <c r="H11" s="21" t="inlineStr">
        <is>
          <t>Por determinar</t>
        </is>
      </c>
    </row>
    <row r="12">
      <c r="A12" s="14" t="inlineStr">
        <is>
          <t>► M2B8</t>
        </is>
      </c>
      <c r="B12" s="29" t="n">
        <v>116.1</v>
      </c>
      <c r="C12" s="30" t="n">
        <v>6.55</v>
      </c>
      <c r="D12" s="15" t="inlineStr">
        <is>
          <t>244 – 673</t>
        </is>
      </c>
      <c r="E12" s="15" t="n">
        <v>429</v>
      </c>
      <c r="F12" s="15" t="n">
        <v>19.24</v>
      </c>
      <c r="G12" s="31" t="n">
        <v>0.3752</v>
      </c>
      <c r="H12" s="30" t="n">
        <v>16.64</v>
      </c>
    </row>
    <row r="13">
      <c r="A13" s="12" t="inlineStr">
        <is>
          <t>M2B1</t>
        </is>
      </c>
      <c r="B13" s="28" t="n">
        <v>81.79000000000001</v>
      </c>
      <c r="C13" s="21" t="n">
        <v>4.61</v>
      </c>
      <c r="D13" s="13" t="inlineStr">
        <is>
          <t>235 – 446</t>
        </is>
      </c>
      <c r="E13" s="13" t="n">
        <v>211</v>
      </c>
      <c r="F13" s="13" t="n">
        <v>17.48</v>
      </c>
      <c r="G13" s="20" t="n">
        <v>0.2984</v>
      </c>
      <c r="H13" s="21" t="n">
        <v>0.04</v>
      </c>
    </row>
    <row r="14">
      <c r="A14" s="7" t="inlineStr">
        <is>
          <t>M2B5</t>
        </is>
      </c>
      <c r="B14" s="27" t="n">
        <v>30.91</v>
      </c>
      <c r="C14" s="19" t="n">
        <v>1.74</v>
      </c>
      <c r="D14" s="11" t="inlineStr">
        <is>
          <t>68 – 322</t>
        </is>
      </c>
      <c r="E14" s="11" t="n">
        <v>254</v>
      </c>
      <c r="F14" s="11" t="n">
        <v>8.32</v>
      </c>
      <c r="G14" s="18" t="n">
        <v>0.3047</v>
      </c>
      <c r="H14" s="19" t="n">
        <v>5.14</v>
      </c>
    </row>
    <row r="15">
      <c r="A15" s="16" t="inlineStr">
        <is>
          <t>TOTAL / PROMEDIO</t>
        </is>
      </c>
      <c r="B15" s="32">
        <f>SUM(B10:B14)</f>
        <v/>
      </c>
      <c r="C15" s="23">
        <f>SUM(C10:C14)</f>
        <v/>
      </c>
      <c r="D15" s="17" t="inlineStr">
        <is>
          <t>68 – 1204</t>
        </is>
      </c>
      <c r="E15" s="17" t="inlineStr"/>
      <c r="F15" s="17">
        <f>ROUND(AVERAGE(F10:F14),2)</f>
        <v/>
      </c>
      <c r="G15" s="22">
        <f>ROUND(AVERAGE(G10:G14),4)</f>
        <v/>
      </c>
      <c r="H15" s="23">
        <f>ROUND(AVERAGE(H10:H14),2)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row>
    <row r="18" ht="84" customHeight="1">
      <c r="A18" s="9" t="inlineStr">
        <is>
          <t>LECTURA INTRAMICROCUENCA. El bloque M2B8 ocupa el puesto 3 de 5 por superficie dentro de la microcuenca C1076-Q9584 (6.55 % de las 1773.19 ha preliminares de la microcuenca). Su pendiente promedio (19.24 %, clase «15-25% (Fuert. inclinado)») es la 4.ª más baja de 5 y se sitúa por encima del promedio de la microcuenca (17.00 %). Su MSAVI 2024 (0.3752) es el 3.º de 5 y queda por encima del promedio local (0.3616). Amplitud altitudinal del bloque: 429 m (244–673 msnm). El cuadro conserva todos los bloques catalogados en la microcuenca, incluidos los descartados en el tamizaje, para referencia del conjunto. Los bloques sin ficha DT figuran con sus parámetros de gabinete.</t>
        </is>
      </c>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18:H18"/>
    <mergeCell ref="A3:H3"/>
    <mergeCell ref="A20:H20"/>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M2B8</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«C1076-Q9584»</t>
        </is>
      </c>
      <c r="D10" s="34" t="inlineStr">
        <is>
          <t>CONFORME</t>
        </is>
      </c>
      <c r="E10" s="33" t="inlineStr">
        <is>
          <t>Sin acción.</t>
        </is>
      </c>
    </row>
    <row r="11" ht="48" customHeight="1">
      <c r="A11" s="35" t="inlineStr">
        <is>
          <t>D-02</t>
        </is>
      </c>
      <c r="B11" s="35" t="inlineStr">
        <is>
          <t>UTM del punto de muestreo</t>
        </is>
      </c>
      <c r="C11" s="35" t="inlineStr">
        <is>
          <t>El punto de muestreo declarado (638286 E / 9398789 N) dista 917 m del centroide de catálogo (639059 E / 9398295 N), distancia incompatible con la superficie del bloque (116.1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(116.136 ha) coincide con la de catálogo (116.1 ha) dentro del ±2 % (+0.03 %)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19.24 %,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80 % de cobertura vegetal en campo; el NDVI mediana 2025 clasifica 100.00 %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Elenco florístico</t>
        </is>
      </c>
      <c r="C15" s="35" t="inlineStr">
        <is>
          <t>La ficha registra 7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«Huacas Baja»; el cruce INEI-Bloques V5 identifica 2 centro(s) poblado(s) en el bloque: HUACAS BAJA, LAS HUACAS</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F-DT-02</t>
        </is>
      </c>
      <c r="C19" s="35" t="inlineStr">
        <is>
          <t>Sin ficha F-DT-02 firmada en el ANEXO 01; inventario georreferenciado de cárcavas pendiente</t>
        </is>
      </c>
      <c r="D19" s="36" t="inlineStr">
        <is>
          <t>SUSTANTIVA</t>
        </is>
      </c>
      <c r="E19" s="35" t="inlineStr">
        <is>
          <t>Levantamiento pendiente</t>
        </is>
      </c>
    </row>
    <row r="20" ht="48" customHeight="1">
      <c r="A20" s="33" t="inlineStr">
        <is>
          <t>D-11</t>
        </is>
      </c>
      <c r="B20" s="33" t="inlineStr">
        <is>
          <t>F-DT-02 / F-DT-04</t>
        </is>
      </c>
      <c r="C20" s="33" t="inlineStr">
        <is>
          <t>Densidad de cárcavas: F-DT-02 consigna 0 cárcavas y F-DT-04 declara 1 N.°/ha</t>
        </is>
      </c>
      <c r="D20" s="36" t="inlineStr">
        <is>
          <t>SUSTANTIVA</t>
        </is>
      </c>
      <c r="E20" s="33" t="inlineStr">
        <is>
          <t>Inconsistencia interna a resolver</t>
        </is>
      </c>
    </row>
    <row r="21" ht="48" customHeight="1">
      <c r="A21" s="35" t="inlineStr">
        <is>
          <t>D-12</t>
        </is>
      </c>
      <c r="B21" s="35" t="inlineStr">
        <is>
          <t>F-DT-03</t>
        </is>
      </c>
      <c r="C21" s="35" t="inlineStr">
        <is>
          <t>D-07: las observaciones señalan que «abundan ceibos» pero la tabla florística registró solo 7 especies</t>
        </is>
      </c>
      <c r="D21" s="36" t="inlineStr">
        <is>
          <t>SUSTANTIVA</t>
        </is>
      </c>
      <c r="E21" s="35" t="inlineStr">
        <is>
          <t>Inventario florístico incompleto (mínimo exigido: 15)</t>
        </is>
      </c>
    </row>
    <row r="22" ht="48" customHeight="1">
      <c r="A22" s="33" t="inlineStr">
        <is>
          <t>D-13</t>
        </is>
      </c>
      <c r="B22" s="33" t="inlineStr">
        <is>
          <t>F-DT-03</t>
        </is>
      </c>
      <c r="C22" s="33" t="inlineStr">
        <is>
          <t>Cobertura de dosel 80% incompatible con el tipo de cobertura dominante «Bosque ralo (30-70%)»</t>
        </is>
      </c>
      <c r="D22" s="36" t="inlineStr">
        <is>
          <t>SUSTANTIVA</t>
        </is>
      </c>
      <c r="E22" s="33" t="inlineStr">
        <is>
          <t>Inconsistencia interna a resolver</t>
        </is>
      </c>
    </row>
    <row r="23" ht="48" customHeight="1">
      <c r="A23" s="35" t="inlineStr">
        <is>
          <t>D-14</t>
        </is>
      </c>
      <c r="B23" s="35" t="inlineStr">
        <is>
          <t>F-DT-03</t>
        </is>
      </c>
      <c r="C23" s="35" t="inlineStr">
        <is>
          <t>Categoría UICN del Palo santo consignada «No aplica» pese a declararse amenazada por el D.S. 043</t>
        </is>
      </c>
      <c r="D23" s="15" t="inlineStr">
        <is>
          <t>NO SUSTANTIVA</t>
        </is>
      </c>
      <c r="E23" s="35" t="inlineStr">
        <is>
          <t>Completar categoría</t>
        </is>
      </c>
    </row>
    <row r="24" ht="48" customHeight="1">
      <c r="A24" s="33" t="inlineStr">
        <is>
          <t>D-15</t>
        </is>
      </c>
      <c r="B24" s="33" t="inlineStr">
        <is>
          <t>F-DT-05</t>
        </is>
      </c>
      <c r="C24" s="33" t="inlineStr">
        <is>
          <t>Sin ficha F-DT-05 en el ANEXO 01: inventario hídrico, JASS, tiempos, señal y Ronda por completar</t>
        </is>
      </c>
      <c r="D24" s="36" t="inlineStr">
        <is>
          <t>SUSTANTIVA</t>
        </is>
      </c>
      <c r="E24" s="33" t="inlineStr">
        <is>
          <t>Levantamiento pendiente</t>
        </is>
      </c>
    </row>
    <row r="25" ht="48" customHeight="1">
      <c r="A25" s="35" t="inlineStr">
        <is>
          <t>D-16</t>
        </is>
      </c>
      <c r="B25" s="35" t="inlineStr">
        <is>
          <t>F-DT-04</t>
        </is>
      </c>
      <c r="C25" s="35" t="inlineStr">
        <is>
          <t>Recomendación de campo de redelimitar el bloque excluyendo las áreas conservadas</t>
        </is>
      </c>
      <c r="D25" s="36" t="inlineStr">
        <is>
          <t>SUSTANTIVA</t>
        </is>
      </c>
      <c r="E25" s="35" t="inlineStr">
        <is>
          <t>Elevar a la Subdirección; el terreno está cercado y requiere gestión con titulares</t>
        </is>
      </c>
    </row>
    <row r="27">
      <c r="A27" s="16" t="inlineStr">
        <is>
          <t>RESUMEN</t>
        </is>
      </c>
      <c r="B27" s="17" t="inlineStr">
        <is>
          <t>16 verificaciones</t>
        </is>
      </c>
      <c r="C27" s="17" t="inlineStr">
        <is>
          <t>CONFORME: 3 · NO SUSTANTIVA: 3 · SUSTANTIVA: 10</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M2B8 — IN Piura</dc:title>
  <dc:subject>Diagnóstico Territorial por bloque de intervención</dc:subject>
  <dcterms:created xsi:type="dcterms:W3CDTF">2026-09-08T03:39:54Z</dcterms:created>
  <dcterms:modified xsi:type="dcterms:W3CDTF">2026-09-08T03:39:54Z</dcterms:modified>
</cp:coreProperties>
</file>