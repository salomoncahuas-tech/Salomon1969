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M2B8</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M2B8</t>
        </is>
      </c>
      <c r="C9" s="6" t="inlineStr">
        <is>
          <t>Microcuenca (catálogo)</t>
        </is>
      </c>
      <c r="D9" s="7" t="inlineStr">
        <is>
          <t>C1076-Q9584</t>
        </is>
      </c>
      <c r="E9" s="8" t="n"/>
      <c r="F9" s="8" t="n"/>
    </row>
    <row r="10">
      <c r="A10" s="6" t="inlineStr">
        <is>
          <t>Zona de planificación</t>
        </is>
      </c>
      <c r="B10" s="7" t="inlineStr">
        <is>
          <t>Z12</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Huacas Baja</t>
        </is>
      </c>
      <c r="C13" s="6" t="inlineStr">
        <is>
          <t>Comunidad campesina</t>
        </is>
      </c>
      <c r="D13" s="7" t="inlineStr">
        <is>
          <t>No consignada</t>
        </is>
      </c>
      <c r="E13" s="8" t="n"/>
      <c r="F13" s="8" t="n"/>
    </row>
    <row r="14">
      <c r="A14" s="6" t="inlineStr">
        <is>
          <t>Superficie de catálogo (V5/V6), ha</t>
        </is>
      </c>
      <c r="B14" s="7" t="n">
        <v>116.1</v>
      </c>
      <c r="C14" s="6" t="inlineStr">
        <is>
          <t>Fuente de superficie</t>
        </is>
      </c>
      <c r="D14" s="7" t="inlineStr">
        <is>
          <t>Catálogo maestro Bloques V5/V6</t>
        </is>
      </c>
      <c r="E14" s="8" t="n"/>
      <c r="F14" s="8" t="n"/>
    </row>
    <row r="15">
      <c r="A15" s="6" t="inlineStr">
        <is>
          <t>Centroide UTM ESTE (m)</t>
        </is>
      </c>
      <c r="B15" s="7" t="n">
        <v>639059</v>
      </c>
      <c r="C15" s="6" t="inlineStr">
        <is>
          <t>Centroide UTM NORTE (m)</t>
        </is>
      </c>
      <c r="D15" s="7" t="n">
        <v>9398295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244</v>
      </c>
      <c r="C19" s="6" t="inlineStr">
        <is>
          <t>Altitud máxima (msnm)</t>
        </is>
      </c>
      <c r="D19" s="7" t="n">
        <v>673</v>
      </c>
      <c r="E19" s="8" t="n"/>
      <c r="F19" s="8" t="n"/>
    </row>
    <row r="20">
      <c r="A20" s="6" t="inlineStr">
        <is>
          <t>Amplitud altitudinal (m)</t>
        </is>
      </c>
      <c r="B20" s="7" t="n">
        <v>429</v>
      </c>
      <c r="C20" s="6" t="inlineStr">
        <is>
          <t>Piso altitudinal dominante</t>
        </is>
      </c>
      <c r="D20" s="7" t="inlineStr">
        <is>
          <t>&lt;1000 m (Yunga)</t>
        </is>
      </c>
      <c r="E20" s="8" t="n"/>
      <c r="F20" s="8" t="n"/>
    </row>
    <row r="21">
      <c r="A21" s="6" t="inlineStr">
        <is>
          <t>Pendiente promedio (%)</t>
        </is>
      </c>
      <c r="B21" s="7" t="n">
        <v>19.24</v>
      </c>
      <c r="C21" s="6" t="inlineStr">
        <is>
          <t>Pendiente promedio (grados)</t>
        </is>
      </c>
      <c r="D21" s="7" t="n">
        <v>10.9</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Suroeste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0.3752</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92.41 % del bloque BAJO el umbral (107.288 ha de 116.100 ha)</t>
        </is>
      </c>
      <c r="C29" s="6" t="inlineStr">
        <is>
          <t>NDVI mediana 2025 — clase modal</t>
        </is>
      </c>
      <c r="D29" s="7" t="inlineStr">
        <is>
          <t>Vegetación mediana (58.83 %)</t>
        </is>
      </c>
      <c r="E29" s="8" t="n"/>
      <c r="F29" s="8" t="n"/>
    </row>
    <row r="30">
      <c r="A30" s="6" t="inlineStr">
        <is>
          <t>MSAVI 2024 — superficie BAJO el umbral 0.4976 (ha)</t>
        </is>
      </c>
      <c r="B30" s="7" t="n">
        <v>107.288</v>
      </c>
      <c r="C30" s="6" t="inlineStr">
        <is>
          <t>MSAVI 2024 — % del bloque BAJO el umbral</t>
        </is>
      </c>
      <c r="D30" s="7" t="n">
        <v>92.41</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(M2B8.png)</t>
        </is>
      </c>
      <c r="E31" s="8" t="n"/>
      <c r="F31" s="8" t="n"/>
    </row>
    <row r="32" ht="18" customHeight="1">
      <c r="A32" s="6" t="inlineStr">
        <is>
          <t>Superficie clasificada NDVI 2025 (ha)</t>
        </is>
      </c>
      <c r="B32" s="7" t="n">
        <v>116.136</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80 ha (de 116.10 ha del bloque)</t>
        </is>
      </c>
      <c r="E35" s="8" t="n"/>
      <c r="F35" s="8" t="n"/>
    </row>
    <row r="36">
      <c r="A36" s="6" t="inlineStr">
        <is>
          <t>Estado de conservación</t>
        </is>
      </c>
      <c r="B36" s="7" t="inlineStr">
        <is>
          <t>Medianamente alterado</t>
        </is>
      </c>
      <c r="C36" s="6" t="inlineStr">
        <is>
          <t>Uso actual dominante del suelo</t>
        </is>
      </c>
      <c r="D36" s="7" t="inlineStr">
        <is>
          <t>Pastoreo extensivo</t>
        </is>
      </c>
      <c r="E36" s="8" t="n"/>
      <c r="F36" s="8" t="n"/>
    </row>
    <row r="37">
      <c r="A37" s="6" t="inlineStr">
        <is>
          <t>Tipo de cobertura dominante</t>
        </is>
      </c>
      <c r="B37" s="7" t="inlineStr">
        <is>
          <t>Bosque ralo (30-70%)</t>
        </is>
      </c>
      <c r="C37" s="6" t="inlineStr">
        <is>
          <t>Cobertura vegetal total — campo (%)</t>
        </is>
      </c>
      <c r="D37" s="7" t="n">
        <v>80</v>
      </c>
      <c r="E37" s="8" t="n"/>
      <c r="F37" s="8" t="n"/>
    </row>
    <row r="38">
      <c r="A38" s="6" t="inlineStr">
        <is>
          <t>Suelo desnudo — campo (%)</t>
        </is>
      </c>
      <c r="B38" s="7" t="n">
        <v>10</v>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n">
        <v>0</v>
      </c>
      <c r="E39" s="8" t="n"/>
      <c r="F39" s="8" t="n"/>
    </row>
    <row r="40" ht="18" customHeight="1">
      <c r="A40" s="6" t="inlineStr">
        <is>
          <t>Elenco florístico (n.° de taxones)</t>
        </is>
      </c>
      <c r="B40" s="7" t="n">
        <v>7</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Juan Domínguez</t>
        </is>
      </c>
      <c r="C43" s="6" t="inlineStr">
        <is>
          <t>Fecha de evaluación</t>
        </is>
      </c>
      <c r="D43" s="7" t="inlineStr">
        <is>
          <t>2026-08-04</t>
        </is>
      </c>
      <c r="E43" s="8" t="n"/>
      <c r="F43" s="8" t="n"/>
    </row>
    <row r="44">
      <c r="A44" s="6" t="inlineStr">
        <is>
          <t>Hora de registro</t>
        </is>
      </c>
      <c r="B44" s="7" t="inlineStr">
        <is>
          <t>15:26 h</t>
        </is>
      </c>
      <c r="C44" s="6" t="inlineStr">
        <is>
          <t>Correlativo de ficha</t>
        </is>
      </c>
      <c r="D44" s="7" t="inlineStr">
        <is>
          <t>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No consignada en la ficha</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Baja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7" t="n"/>
      <c r="C56" s="37" t="n"/>
      <c r="D56" s="37" t="n"/>
      <c r="E56" s="37" t="n"/>
      <c r="F56" s="38"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M2B8</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0.0232</v>
      </c>
      <c r="C10" s="19" t="n">
        <v>0.02</v>
      </c>
      <c r="D10" s="11" t="inlineStr">
        <is>
          <t>Vigor alto</t>
        </is>
      </c>
      <c r="E10" s="11" t="inlineStr">
        <is>
          <t>Sobre umbral</t>
        </is>
      </c>
    </row>
    <row r="11">
      <c r="A11" s="12" t="inlineStr">
        <is>
          <t>0.4976 - 0.6139</t>
        </is>
      </c>
      <c r="B11" s="20" t="n">
        <v>8.7888</v>
      </c>
      <c r="C11" s="21" t="n">
        <v>7.57</v>
      </c>
      <c r="D11" s="13" t="inlineStr">
        <is>
          <t>Vigor moderado</t>
        </is>
      </c>
      <c r="E11" s="13" t="inlineStr">
        <is>
          <t>Sobre umbral</t>
        </is>
      </c>
    </row>
    <row r="12">
      <c r="A12" s="7" t="inlineStr">
        <is>
          <t>0.3813 - 0.4976</t>
        </is>
      </c>
      <c r="B12" s="18" t="n">
        <v>43.3285</v>
      </c>
      <c r="C12" s="19" t="n">
        <v>37.32</v>
      </c>
      <c r="D12" s="11" t="inlineStr">
        <is>
          <t>Vigor bajo</t>
        </is>
      </c>
      <c r="E12" s="11" t="inlineStr">
        <is>
          <t>BAJO umbral 0.4976</t>
        </is>
      </c>
    </row>
    <row r="13">
      <c r="A13" s="14" t="inlineStr">
        <is>
          <t>0.2650 - 0.3813</t>
        </is>
      </c>
      <c r="B13" s="31" t="n">
        <v>55.0895</v>
      </c>
      <c r="C13" s="30" t="n">
        <v>47.45</v>
      </c>
      <c r="D13" s="15" t="inlineStr">
        <is>
          <t>Vigor muy bajo</t>
        </is>
      </c>
      <c r="E13" s="15" t="inlineStr">
        <is>
          <t>BAJO umbral 0.4976</t>
        </is>
      </c>
    </row>
    <row r="14">
      <c r="A14" s="7" t="inlineStr">
        <is>
          <t>&lt;= 0.2650</t>
        </is>
      </c>
      <c r="B14" s="18" t="n">
        <v>8.869999999999999</v>
      </c>
      <c r="C14" s="19" t="n">
        <v>7.64</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0.375171</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7" t="n"/>
      <c r="C18" s="37" t="n"/>
      <c r="D18" s="37" t="n"/>
      <c r="E18" s="38"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19.3268</v>
      </c>
      <c r="C22" s="19" t="n">
        <v>16.64</v>
      </c>
      <c r="D22" s="11" t="inlineStr">
        <is>
          <t>Dosel continuo, matorral denso o mosaico agroforestal</t>
        </is>
      </c>
      <c r="E22" s="11" t="inlineStr"/>
    </row>
    <row r="23">
      <c r="A23" s="12" t="inlineStr">
        <is>
          <t>Vegetación mediana</t>
        </is>
      </c>
      <c r="B23" s="20" t="n">
        <v>68.3261</v>
      </c>
      <c r="C23" s="21" t="n">
        <v>58.83</v>
      </c>
      <c r="D23" s="13" t="inlineStr">
        <is>
          <t>Pastizal cultivado, matorral ralo, parcelas agrícolas</t>
        </is>
      </c>
      <c r="E23" s="13" t="inlineStr"/>
    </row>
    <row r="24">
      <c r="A24" s="7" t="inlineStr">
        <is>
          <t>Vegetación ligera</t>
        </is>
      </c>
      <c r="B24" s="18" t="n">
        <v>28.4833</v>
      </c>
      <c r="C24" s="19" t="n">
        <v>24.53</v>
      </c>
      <c r="D24" s="11" t="inlineStr">
        <is>
          <t>Cobertura discontinua, suelo parcialmente expuesto</t>
        </is>
      </c>
      <c r="E24" s="11" t="inlineStr"/>
    </row>
    <row r="25">
      <c r="A25" s="16" t="inlineStr">
        <is>
          <t>TOTAL CLASIFICADO</t>
        </is>
      </c>
      <c r="B25" s="22">
        <f>SUM(B21:B23)</f>
        <v/>
      </c>
      <c r="C25" s="23">
        <f>SUM(C21:C23)</f>
        <v/>
      </c>
      <c r="D25" s="17" t="inlineStr"/>
      <c r="E25" s="17" t="inlineStr"/>
    </row>
    <row r="26">
      <c r="A26" s="24" t="inlineStr">
        <is>
          <t>Superficie de catálogo (V5/V6)</t>
        </is>
      </c>
      <c r="B26" s="25" t="n">
        <v>116.1</v>
      </c>
      <c r="C26" s="25" t="inlineStr">
        <is>
          <t>—</t>
        </is>
      </c>
      <c r="D26" s="25" t="inlineStr">
        <is>
          <t>Desviación planimétrica frente al catálogo</t>
        </is>
      </c>
      <c r="E26" s="25" t="inlineStr">
        <is>
          <t>+0.03 %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16.64 % del polígono clasificado como «Vegetación alta» por el NDVI 2025; la observación de campo corresponde a una parcela o recorrido puntual y no es estadísticamente representativa de las 116.100 ha del bloque.</t>
        </is>
      </c>
      <c r="B28" s="37" t="n"/>
      <c r="C28" s="37" t="n"/>
      <c r="D28" s="37" t="n"/>
      <c r="E28" s="38"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M2B8</t>
        </is>
      </c>
    </row>
    <row r="6" ht="24" customHeight="1">
      <c r="A6" s="4" t="inlineStr">
        <is>
          <t>Levantamiento del 2026-08-04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638286</v>
      </c>
      <c r="D10" s="26" t="n">
        <v>9398789</v>
      </c>
      <c r="E10" s="11" t="n">
        <v>917.4</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639059</v>
      </c>
      <c r="C13" s="6" t="inlineStr">
        <is>
          <t>Centroide del bloque — UTM NORTE (m)</t>
        </is>
      </c>
      <c r="D13" s="7" t="n">
        <v>9398295</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44"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ubica en una ladera de colina alta, con pendiente menor a 60%; el terreno se inclina más conforme se asciende. Altitud ≈250 msnm. LA LADERA ES EMPLEADA PARA EL PASTOREO EXTENSIVO DE GANADO CAPRINO Y VACUNO del centro poblado asentado al pie del bloque. Se ubica cerca de una VÍA ASFALTADA y de ÁREAS DE CULTIVO. Se ha evidenciado LEÑA APILADA en viviendas próximas. El suelo presenta erosión eólica e hídrica; en la ladera se observan estrías y surcos dejados por el tránsito habitual del ganado. Existen caminos de herradura dentro del bloque y áreas de suelo desprovistas de vegetación expuestas a lluvia. ES EL ÚNICO DE LOS SEIS BLOQUES DEL GRUPO EN EL QUE SE REGISTRA REPTACIÓN DE SUELO.</t>
        </is>
      </c>
      <c r="B16" s="37" t="n"/>
      <c r="C16" s="37" t="n"/>
      <c r="D16" s="37" t="n"/>
      <c r="E16" s="37" t="n"/>
      <c r="F16" s="37" t="n"/>
      <c r="G16" s="38"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C1076-Q9584 — BLOQUE M2B8</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t>
        </is>
      </c>
      <c r="B10" s="27" t="n">
        <v>1370.96</v>
      </c>
      <c r="C10" s="19" t="n">
        <v>77.31999999999999</v>
      </c>
      <c r="D10" s="11" t="inlineStr">
        <is>
          <t>291 – 1204</t>
        </is>
      </c>
      <c r="E10" s="11" t="n">
        <v>913</v>
      </c>
      <c r="F10" s="11" t="n">
        <v>21.39</v>
      </c>
      <c r="G10" s="18" t="n">
        <v>0.4545</v>
      </c>
      <c r="H10" s="19" t="inlineStr">
        <is>
          <t>Por determinar</t>
        </is>
      </c>
    </row>
    <row r="11">
      <c r="A11" s="12" t="inlineStr">
        <is>
          <t>7</t>
        </is>
      </c>
      <c r="B11" s="28" t="n">
        <v>173.43</v>
      </c>
      <c r="C11" s="21" t="n">
        <v>9.779999999999999</v>
      </c>
      <c r="D11" s="13" t="inlineStr">
        <is>
          <t>257 – 577</t>
        </is>
      </c>
      <c r="E11" s="13" t="n">
        <v>320</v>
      </c>
      <c r="F11" s="13" t="n">
        <v>18.59</v>
      </c>
      <c r="G11" s="20" t="n">
        <v>0.3753</v>
      </c>
      <c r="H11" s="21" t="inlineStr">
        <is>
          <t>Por determinar</t>
        </is>
      </c>
    </row>
    <row r="12">
      <c r="A12" s="14" t="inlineStr">
        <is>
          <t>► M2B8</t>
        </is>
      </c>
      <c r="B12" s="29" t="n">
        <v>116.1</v>
      </c>
      <c r="C12" s="30" t="n">
        <v>6.55</v>
      </c>
      <c r="D12" s="15" t="inlineStr">
        <is>
          <t>244 – 673</t>
        </is>
      </c>
      <c r="E12" s="15" t="n">
        <v>429</v>
      </c>
      <c r="F12" s="15" t="n">
        <v>19.24</v>
      </c>
      <c r="G12" s="31" t="n">
        <v>0.3752</v>
      </c>
      <c r="H12" s="30" t="n">
        <v>16.64</v>
      </c>
    </row>
    <row r="13">
      <c r="A13" s="12" t="inlineStr">
        <is>
          <t>M2B1</t>
        </is>
      </c>
      <c r="B13" s="28" t="n">
        <v>81.79000000000001</v>
      </c>
      <c r="C13" s="21" t="n">
        <v>4.61</v>
      </c>
      <c r="D13" s="13" t="inlineStr">
        <is>
          <t>235 – 446</t>
        </is>
      </c>
      <c r="E13" s="13" t="n">
        <v>211</v>
      </c>
      <c r="F13" s="13" t="n">
        <v>17.48</v>
      </c>
      <c r="G13" s="20" t="n">
        <v>0.2984</v>
      </c>
      <c r="H13" s="21" t="n">
        <v>0.04</v>
      </c>
    </row>
    <row r="14">
      <c r="A14" s="7" t="inlineStr">
        <is>
          <t>M2B5</t>
        </is>
      </c>
      <c r="B14" s="27" t="n">
        <v>30.91</v>
      </c>
      <c r="C14" s="19" t="n">
        <v>1.74</v>
      </c>
      <c r="D14" s="11" t="inlineStr">
        <is>
          <t>68 – 322</t>
        </is>
      </c>
      <c r="E14" s="11" t="n">
        <v>254</v>
      </c>
      <c r="F14" s="11" t="n">
        <v>8.32</v>
      </c>
      <c r="G14" s="18" t="n">
        <v>0.3047</v>
      </c>
      <c r="H14" s="19" t="n">
        <v>5.14</v>
      </c>
    </row>
    <row r="15">
      <c r="A15" s="16" t="inlineStr">
        <is>
          <t>TOTAL / PROMEDIO</t>
        </is>
      </c>
      <c r="B15" s="32">
        <f>SUM(B10:B14)</f>
        <v/>
      </c>
      <c r="C15" s="23">
        <f>SUM(C10:C14)</f>
        <v/>
      </c>
      <c r="D15" s="17" t="inlineStr">
        <is>
          <t>68 – 1204</t>
        </is>
      </c>
      <c r="E15" s="17" t="inlineStr"/>
      <c r="F15" s="17">
        <f>ROUND(AVERAGE(F10:F14),2)</f>
        <v/>
      </c>
      <c r="G15" s="22">
        <f>ROUND(AVERAGE(G10:G14),4)</f>
        <v/>
      </c>
      <c r="H15" s="23">
        <f>ROUND(AVERAGE(H10:H14),2)</f>
        <v/>
      </c>
    </row>
    <row r="16" ht="48" customHeight="1">
      <c r="A16" s="9" t="inlineStr">
        <is>
          <t>ALCANCE DE LOS PROMEDIOS. La fila TOTAL / PROMEDIO omite las celdas «Por determinar»: el promedio de VEGETACIÓN ALTA (NDVI 2025) se calcula sobre 3 de los 5 bloques; los 2 bloques restantes carecen de estadística zonal de NDVI. Los totales de ÁREA y % de microcuenca sí comprenden la totalidad de los 5 bloques. No se estima ningún valor ausente.</t>
        </is>
      </c>
      <c r="B16" s="37" t="n"/>
      <c r="C16" s="37" t="n"/>
      <c r="D16" s="37" t="n"/>
      <c r="E16" s="37" t="n"/>
      <c r="F16" s="37" t="n"/>
      <c r="G16" s="37" t="n"/>
      <c r="H16" s="38" t="n"/>
    </row>
    <row r="18" ht="84" customHeight="1">
      <c r="A18" s="9" t="inlineStr">
        <is>
          <t>LECTURA INTRAMICROCUENCA. El bloque M2B8 ocupa el puesto 3 de 5 por superficie dentro de la microcuenca C1076-Q9584 (6.55 % de las 1773.19 ha preliminares de la microcuenca). Su pendiente promedio (19.24 %, clase «15-25% (Fuert. inclinado)») es la 4.ª más baja de 5 y se sitúa por encima del promedio de la microcuenca (17.00 %). Su MSAVI 2024 (0.3752) es el 3.º de 5 y queda por encima del promedio local (0.3616). Amplitud altitudinal del bloque: 429 m (244–673 msnm). El cuadro conserva todos los bloques catalogados en la microcuenca, incluidos los descartados en el tamizaje, para referencia del conjunto. Los bloques sin ficha DT figuran con sus parámetros de gabinete.</t>
        </is>
      </c>
      <c r="B18" s="37" t="n"/>
      <c r="C18" s="37" t="n"/>
      <c r="D18" s="37" t="n"/>
      <c r="E18" s="37" t="n"/>
      <c r="F18" s="37" t="n"/>
      <c r="G18" s="37" t="n"/>
      <c r="H18" s="38" t="n"/>
    </row>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0" s="37" t="n"/>
      <c r="C20" s="37" t="n"/>
      <c r="D20" s="37" t="n"/>
      <c r="E20" s="37" t="n"/>
      <c r="F20" s="37" t="n"/>
      <c r="G20" s="37" t="n"/>
      <c r="H20" s="38" t="n"/>
    </row>
  </sheetData>
  <mergeCells count="10">
    <mergeCell ref="A18:H18"/>
    <mergeCell ref="A4:H4"/>
    <mergeCell ref="A1:H1"/>
    <mergeCell ref="A3:H3"/>
    <mergeCell ref="A20:H20"/>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M2B8</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«C1076-Q9584»</t>
        </is>
      </c>
      <c r="D10" s="34" t="inlineStr">
        <is>
          <t>CONFORME</t>
        </is>
      </c>
      <c r="E10" s="33" t="inlineStr">
        <is>
          <t>Sin acción.</t>
        </is>
      </c>
    </row>
    <row r="11" ht="48" customHeight="1">
      <c r="A11" s="35" t="inlineStr">
        <is>
          <t>D-02</t>
        </is>
      </c>
      <c r="B11" s="35" t="inlineStr">
        <is>
          <t>UTM del punto de muestreo</t>
        </is>
      </c>
      <c r="C11" s="35" t="inlineStr">
        <is>
          <t>El punto de muestreo declarado (638286 E / 9398789 N) dista 917 m del centroide de catálogo (639059 E / 9398295 N), distancia incompatible con la superficie del bloque (116.1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(116.136 ha) coincide con la de catálogo (116.1 ha) dentro del ±2 % (+0.03 %)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19.24 %,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Cobertura vegetal total</t>
        </is>
      </c>
      <c r="C14" s="33" t="inlineStr">
        <is>
          <t>La ficha DT estima 80 % de cobertura vegetal en campo; el NDVI mediana 2025 clasifica 100.00 % del polígono en clases de vegetación</t>
        </is>
      </c>
      <c r="D14" s="15" t="inlineStr">
        <is>
          <t>NO SUSTANTIVA</t>
        </is>
      </c>
      <c r="E14" s="33"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5" t="inlineStr">
        <is>
          <t>D-06</t>
        </is>
      </c>
      <c r="B15" s="35" t="inlineStr">
        <is>
          <t>Elenco florístico</t>
        </is>
      </c>
      <c r="C15" s="35" t="inlineStr">
        <is>
          <t>La ficha registra 7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«Huacas Baja»; el cruce INEI-Bloques V5 identifica 2 centro(s) poblado(s) en el bloque: HUACAS BAJA, LAS HUACAS</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F-DT-02</t>
        </is>
      </c>
      <c r="C19" s="35" t="inlineStr">
        <is>
          <t>Sin ficha F-DT-02 firmada en el ANEXO 01; inventario georreferenciado de cárcavas pendiente</t>
        </is>
      </c>
      <c r="D19" s="36" t="inlineStr">
        <is>
          <t>SUSTANTIVA</t>
        </is>
      </c>
      <c r="E19" s="35" t="inlineStr">
        <is>
          <t>Levantamiento pendiente</t>
        </is>
      </c>
    </row>
    <row r="20" ht="48" customHeight="1">
      <c r="A20" s="33" t="inlineStr">
        <is>
          <t>D-11</t>
        </is>
      </c>
      <c r="B20" s="33" t="inlineStr">
        <is>
          <t>F-DT-02 / F-DT-04</t>
        </is>
      </c>
      <c r="C20" s="33" t="inlineStr">
        <is>
          <t>Densidad de cárcavas: F-DT-02 consigna 0 cárcavas y F-DT-04 declara 1 N.°/ha</t>
        </is>
      </c>
      <c r="D20" s="36" t="inlineStr">
        <is>
          <t>SUSTANTIVA</t>
        </is>
      </c>
      <c r="E20" s="33" t="inlineStr">
        <is>
          <t>Inconsistencia interna a resolver</t>
        </is>
      </c>
    </row>
    <row r="21" ht="48" customHeight="1">
      <c r="A21" s="35" t="inlineStr">
        <is>
          <t>D-12</t>
        </is>
      </c>
      <c r="B21" s="35" t="inlineStr">
        <is>
          <t>F-DT-03</t>
        </is>
      </c>
      <c r="C21" s="35" t="inlineStr">
        <is>
          <t>D-07: las observaciones señalan que «abundan ceibos» pero la tabla florística registró solo 7 especies</t>
        </is>
      </c>
      <c r="D21" s="36" t="inlineStr">
        <is>
          <t>SUSTANTIVA</t>
        </is>
      </c>
      <c r="E21" s="35" t="inlineStr">
        <is>
          <t>Inventario florístico incompleto (mínimo exigido: 15)</t>
        </is>
      </c>
    </row>
    <row r="22" ht="48" customHeight="1">
      <c r="A22" s="33" t="inlineStr">
        <is>
          <t>D-13</t>
        </is>
      </c>
      <c r="B22" s="33" t="inlineStr">
        <is>
          <t>F-DT-03</t>
        </is>
      </c>
      <c r="C22" s="33" t="inlineStr">
        <is>
          <t>Cobertura de dosel 80% incompatible con el tipo de cobertura dominante «Bosque ralo (30-70%)»</t>
        </is>
      </c>
      <c r="D22" s="36" t="inlineStr">
        <is>
          <t>SUSTANTIVA</t>
        </is>
      </c>
      <c r="E22" s="33" t="inlineStr">
        <is>
          <t>Inconsistencia interna a resolver</t>
        </is>
      </c>
    </row>
    <row r="23" ht="48" customHeight="1">
      <c r="A23" s="35" t="inlineStr">
        <is>
          <t>D-14</t>
        </is>
      </c>
      <c r="B23" s="35" t="inlineStr">
        <is>
          <t>F-DT-03</t>
        </is>
      </c>
      <c r="C23" s="35" t="inlineStr">
        <is>
          <t>Categoría UICN del Palo santo consignada «No aplica» pese a declararse amenazada por el D.S. 043</t>
        </is>
      </c>
      <c r="D23" s="15" t="inlineStr">
        <is>
          <t>NO SUSTANTIVA</t>
        </is>
      </c>
      <c r="E23" s="35" t="inlineStr">
        <is>
          <t>Completar categoría</t>
        </is>
      </c>
    </row>
    <row r="24" ht="48" customHeight="1">
      <c r="A24" s="33" t="inlineStr">
        <is>
          <t>D-15</t>
        </is>
      </c>
      <c r="B24" s="33" t="inlineStr">
        <is>
          <t>F-DT-05</t>
        </is>
      </c>
      <c r="C24" s="33" t="inlineStr">
        <is>
          <t>Sin ficha F-DT-05 en el ANEXO 01: inventario hídrico, JASS, tiempos, señal y Ronda por completar</t>
        </is>
      </c>
      <c r="D24" s="36" t="inlineStr">
        <is>
          <t>SUSTANTIVA</t>
        </is>
      </c>
      <c r="E24" s="33" t="inlineStr">
        <is>
          <t>Levantamiento pendiente</t>
        </is>
      </c>
    </row>
    <row r="25" ht="48" customHeight="1">
      <c r="A25" s="35" t="inlineStr">
        <is>
          <t>D-16</t>
        </is>
      </c>
      <c r="B25" s="35" t="inlineStr">
        <is>
          <t>F-DT-04</t>
        </is>
      </c>
      <c r="C25" s="35" t="inlineStr">
        <is>
          <t>Recomendación de campo de redelimitar el bloque excluyendo las áreas conservadas</t>
        </is>
      </c>
      <c r="D25" s="36" t="inlineStr">
        <is>
          <t>SUSTANTIVA</t>
        </is>
      </c>
      <c r="E25" s="35" t="inlineStr">
        <is>
          <t>Elevar a la Subdirección; el terreno está cercado y requiere gestión con titulares</t>
        </is>
      </c>
    </row>
    <row r="26">
      <c r="A26" s="35" t="inlineStr">
        <is>
          <t>D-17</t>
        </is>
      </c>
      <c r="B26" s="35" t="inlineStr">
        <is>
          <t>Distribución areal de clases MSAVI 2024</t>
        </is>
      </c>
      <c r="C26" s="35" t="inlineStr">
        <is>
          <t>La hoja «Cobertura MSAVI-NDVI» consignaba «Por determinar» en la distribución areal de clases MSAVI 2024; se incorpora el metrado por clase medido sobre la cartografía temática MSAVI 2024 del bloque: 92.41 % del bloque (107.288 ha) bajo el umbral 0.4976 y 7.59 % sobre el umbral; clase areal dominante «Vigor muy bajo».</t>
        </is>
      </c>
      <c r="D26" s="36" t="inlineStr">
        <is>
          <t>CORREGIDO</t>
        </is>
      </c>
      <c r="E26" s="35"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7"/>
    <row r="28">
      <c r="A28" s="16" t="inlineStr">
        <is>
          <t>RESUMEN</t>
        </is>
      </c>
      <c r="B28" s="17" t="inlineStr">
        <is>
          <t>17 verificaciones</t>
        </is>
      </c>
      <c r="C28" s="17" t="inlineStr">
        <is>
          <t>CONFORME: 3 · NO SUSTANTIVA: 3 · SUSTANTIVA: 10 · CORREGIDO: 1</t>
        </is>
      </c>
      <c r="D28" s="17" t="inlineStr"/>
      <c r="E28" s="17" t="inlineStr"/>
    </row>
    <row r="29" ht="60" customHeight="1"/>
    <row r="30">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37" t="n"/>
      <c r="C30" s="37" t="n"/>
      <c r="D30" s="37" t="n"/>
      <c r="E30" s="38"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M2B8 — IN Piura</dc:title>
  <dc:subject>Diagnóstico Territorial por bloque de intervención</dc:subject>
  <dcterms:created xsi:type="dcterms:W3CDTF">2026-09-08T03:39:54Z</dcterms:created>
  <dcterms:modified xsi:type="dcterms:W3CDTF">2026-09-09T14:49:46Z</dcterms:modified>
</cp:coreProperties>
</file>