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M2B8</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M2B8</t>
        </is>
      </c>
      <c r="C9" s="6" t="inlineStr">
        <is>
          <t>Microcuenca (catálogo)</t>
        </is>
      </c>
      <c r="D9" s="7" t="inlineStr">
        <is>
          <t>C1076-Q9584</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Huacas Baja</t>
        </is>
      </c>
      <c r="C13" s="6" t="inlineStr">
        <is>
          <t>Comunidad campesina</t>
        </is>
      </c>
      <c r="D13" s="7" t="inlineStr">
        <is>
          <t>No consignada</t>
        </is>
      </c>
      <c r="E13" s="8" t="n"/>
      <c r="F13" s="8" t="n"/>
    </row>
    <row r="14">
      <c r="A14" s="6" t="inlineStr">
        <is>
          <t>Superficie de catálogo (V5/V6), ha</t>
        </is>
      </c>
      <c r="B14" s="7" t="n">
        <v>116.1</v>
      </c>
      <c r="C14" s="6" t="inlineStr">
        <is>
          <t>Fuente de superficie</t>
        </is>
      </c>
      <c r="D14" s="7" t="inlineStr">
        <is>
          <t>Catálogo maestro Bloques V5/V6</t>
        </is>
      </c>
      <c r="E14" s="8" t="n"/>
      <c r="F14" s="8" t="n"/>
    </row>
    <row r="15">
      <c r="A15" s="6" t="inlineStr">
        <is>
          <t>Centroide UTM ESTE (m)</t>
        </is>
      </c>
      <c r="B15" s="7" t="n">
        <v>639059</v>
      </c>
      <c r="C15" s="6" t="inlineStr">
        <is>
          <t>Centroide UTM NORTE (m)</t>
        </is>
      </c>
      <c r="D15" s="7" t="n">
        <v>9398295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244</v>
      </c>
      <c r="C19" s="6" t="inlineStr">
        <is>
          <t>Altitud máxima (msnm)</t>
        </is>
      </c>
      <c r="D19" s="7" t="n">
        <v>673</v>
      </c>
      <c r="E19" s="8" t="n"/>
      <c r="F19" s="8" t="n"/>
    </row>
    <row r="20">
      <c r="A20" s="6" t="inlineStr">
        <is>
          <t>Amplitud altitudinal (m)</t>
        </is>
      </c>
      <c r="B20" s="7" t="n">
        <v>429</v>
      </c>
      <c r="C20" s="6" t="inlineStr">
        <is>
          <t>Piso altitudinal dominante</t>
        </is>
      </c>
      <c r="D20" s="7" t="inlineStr">
        <is>
          <t>&lt;1000 m (Yunga)</t>
        </is>
      </c>
      <c r="E20" s="8" t="n"/>
      <c r="F20" s="8" t="n"/>
    </row>
    <row r="21">
      <c r="A21" s="6" t="inlineStr">
        <is>
          <t>Pendiente promedio (%)</t>
        </is>
      </c>
      <c r="B21" s="7" t="n">
        <v>19.24</v>
      </c>
      <c r="C21" s="6" t="inlineStr">
        <is>
          <t>Pendiente promedio (grados)</t>
        </is>
      </c>
      <c r="D21" s="7" t="n">
        <v>10.9</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0.3752</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(58.83 %)</t>
        </is>
      </c>
      <c r="E29" s="8" t="n"/>
      <c r="F29" s="8" t="n"/>
    </row>
    <row r="30">
      <c r="A30" s="6" t="inlineStr">
        <is>
          <t>Superficie clasificada NDVI 2025 (ha)</t>
        </is>
      </c>
      <c r="B30" s="7" t="n">
        <v>116.136</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80 ha (de 116.10 ha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ralo (30-70%)</t>
        </is>
      </c>
      <c r="C35" s="6" t="inlineStr">
        <is>
          <t>Cobertura vegetal total — campo (%)</t>
        </is>
      </c>
      <c r="D35" s="7" t="n">
        <v>80</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7</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t>
        </is>
      </c>
      <c r="C41" s="6" t="inlineStr">
        <is>
          <t>Fecha de evaluación</t>
        </is>
      </c>
      <c r="D41" s="7" t="inlineStr">
        <is>
          <t>2026-08-04</t>
        </is>
      </c>
      <c r="E41" s="8" t="n"/>
      <c r="F41" s="8" t="n"/>
    </row>
    <row r="42">
      <c r="A42" s="6" t="inlineStr">
        <is>
          <t>Hora de registro</t>
        </is>
      </c>
      <c r="B42" s="7" t="inlineStr">
        <is>
          <t>15:26 h</t>
        </is>
      </c>
      <c r="C42" s="6" t="inlineStr">
        <is>
          <t>Correlativo de ficha</t>
        </is>
      </c>
      <c r="D42" s="7" t="inlineStr">
        <is>
          <t>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la ficha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Baja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M2B8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0.375171</v>
      </c>
      <c r="C15" s="17" t="inlineStr">
        <is>
          <t>—</t>
        </is>
      </c>
      <c r="D15" s="17" t="inlineStr">
        <is>
          <t>Vigor muy bajo · clase 0.2650 - 0.3813</t>
        </is>
      </c>
      <c r="E15" s="17" t="inlineStr">
        <is>
          <t>BAJO umbral 0.4976</t>
        </is>
      </c>
    </row>
    <row r="17" ht="72" customHeight="1">
      <c r="A17" s="9" t="inlineStr">
        <is>
          <t>NOTA METODOLÓGICA. La media del MSAVI 2024 del bloque (0.375171)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19.3268</v>
      </c>
      <c r="C21" s="19" t="n">
        <v>16.64</v>
      </c>
      <c r="D21" s="11" t="inlineStr">
        <is>
          <t>Dosel continuo, matorral denso o mosaico agroforestal</t>
        </is>
      </c>
      <c r="E21" s="11" t="inlineStr"/>
    </row>
    <row r="22">
      <c r="A22" s="12" t="inlineStr">
        <is>
          <t>Vegetación mediana</t>
        </is>
      </c>
      <c r="B22" s="20" t="n">
        <v>68.3261</v>
      </c>
      <c r="C22" s="21" t="n">
        <v>58.83</v>
      </c>
      <c r="D22" s="13" t="inlineStr">
        <is>
          <t>Pastizal cultivado, matorral ralo, parcelas agrícolas</t>
        </is>
      </c>
      <c r="E22" s="13" t="inlineStr"/>
    </row>
    <row r="23">
      <c r="A23" s="7" t="inlineStr">
        <is>
          <t>Vegetación ligera</t>
        </is>
      </c>
      <c r="B23" s="18" t="n">
        <v>28.4833</v>
      </c>
      <c r="C23" s="19" t="n">
        <v>24.53</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116.1</v>
      </c>
      <c r="C25" s="25" t="inlineStr">
        <is>
          <t>—</t>
        </is>
      </c>
      <c r="D25" s="25" t="inlineStr">
        <is>
          <t>Desviación planimétrica frente al catálogo</t>
        </is>
      </c>
      <c r="E25" s="25" t="inlineStr">
        <is>
          <t>+0.03 %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16.64 % del polígono clasificado como «Vegetación alta» por el NDVI 2025; la observación de campo corresponde a una parcela o recorrido puntual y no es estadísticamente representativa de las 116.100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M2B8</t>
        </is>
      </c>
    </row>
    <row r="6" ht="24" customHeight="1">
      <c r="A6" s="4" t="inlineStr">
        <is>
          <t>Levantamiento del 2026-08-04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638286</v>
      </c>
      <c r="D10" s="26" t="n">
        <v>9398789</v>
      </c>
      <c r="E10" s="11" t="n">
        <v>917.4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639059</v>
      </c>
      <c r="C13" s="6" t="inlineStr">
        <is>
          <t>Centroide del bloque — UTM NORTE (m)</t>
        </is>
      </c>
      <c r="D13" s="7" t="n">
        <v>9398295</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≈250 msnm. LA LADERA ES EMPLEADA PARA EL PASTOREO EXTENSIVO DE GANADO CAPRINO Y VACUNO del centro poblado asentado al pie del bloque. Se ubica cerca de una VÍA ASFALTADA y de ÁREAS DE CULTIVO. Se ha evidenciado LEÑA APILADA en viviendas próximas. El suelo presenta erosión eólica e hídrica; en la ladera se observan estrías y surcos dejados por el tránsito habitual del ganado. Existen caminos de herradura dentro del bloque y áreas de suelo desprovistas de vegetación expuestas a lluvia. ES EL ÚNICO DE LOS SEIS BLOQUES DEL GRUPO EN EL QUE SE REGISTRA REPTACIÓN DE SUELO.</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C1076-Q9584 — BLOQUE M2B8</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t>
        </is>
      </c>
      <c r="B10" s="27" t="n">
        <v>1370.96</v>
      </c>
      <c r="C10" s="19" t="n">
        <v>77.31999999999999</v>
      </c>
      <c r="D10" s="11" t="inlineStr">
        <is>
          <t>291 – 1204</t>
        </is>
      </c>
      <c r="E10" s="11" t="n">
        <v>913</v>
      </c>
      <c r="F10" s="11" t="n">
        <v>21.39</v>
      </c>
      <c r="G10" s="18" t="n">
        <v>0.4545</v>
      </c>
      <c r="H10" s="19" t="inlineStr">
        <is>
          <t>Por determinar</t>
        </is>
      </c>
    </row>
    <row r="11">
      <c r="A11" s="12" t="inlineStr">
        <is>
          <t>7</t>
        </is>
      </c>
      <c r="B11" s="28" t="n">
        <v>173.43</v>
      </c>
      <c r="C11" s="21" t="n">
        <v>9.779999999999999</v>
      </c>
      <c r="D11" s="13" t="inlineStr">
        <is>
          <t>257 – 577</t>
        </is>
      </c>
      <c r="E11" s="13" t="n">
        <v>320</v>
      </c>
      <c r="F11" s="13" t="n">
        <v>18.59</v>
      </c>
      <c r="G11" s="20" t="n">
        <v>0.3753</v>
      </c>
      <c r="H11" s="21" t="inlineStr">
        <is>
          <t>Por determinar</t>
        </is>
      </c>
    </row>
    <row r="12">
      <c r="A12" s="14" t="inlineStr">
        <is>
          <t>► M2B8</t>
        </is>
      </c>
      <c r="B12" s="29" t="n">
        <v>116.1</v>
      </c>
      <c r="C12" s="30" t="n">
        <v>6.55</v>
      </c>
      <c r="D12" s="15" t="inlineStr">
        <is>
          <t>244 – 673</t>
        </is>
      </c>
      <c r="E12" s="15" t="n">
        <v>429</v>
      </c>
      <c r="F12" s="15" t="n">
        <v>19.24</v>
      </c>
      <c r="G12" s="31" t="n">
        <v>0.3752</v>
      </c>
      <c r="H12" s="30" t="n">
        <v>16.64</v>
      </c>
    </row>
    <row r="13">
      <c r="A13" s="12" t="inlineStr">
        <is>
          <t>M2B1</t>
        </is>
      </c>
      <c r="B13" s="28" t="n">
        <v>81.79000000000001</v>
      </c>
      <c r="C13" s="21" t="n">
        <v>4.61</v>
      </c>
      <c r="D13" s="13" t="inlineStr">
        <is>
          <t>235 – 446</t>
        </is>
      </c>
      <c r="E13" s="13" t="n">
        <v>211</v>
      </c>
      <c r="F13" s="13" t="n">
        <v>17.48</v>
      </c>
      <c r="G13" s="20" t="n">
        <v>0.2984</v>
      </c>
      <c r="H13" s="21" t="n">
        <v>0.04</v>
      </c>
    </row>
    <row r="14">
      <c r="A14" s="7" t="inlineStr">
        <is>
          <t>M2B5</t>
        </is>
      </c>
      <c r="B14" s="27" t="n">
        <v>30.91</v>
      </c>
      <c r="C14" s="19" t="n">
        <v>1.74</v>
      </c>
      <c r="D14" s="11" t="inlineStr">
        <is>
          <t>68 – 322</t>
        </is>
      </c>
      <c r="E14" s="11" t="n">
        <v>254</v>
      </c>
      <c r="F14" s="11" t="n">
        <v>8.32</v>
      </c>
      <c r="G14" s="18" t="n">
        <v>0.3047</v>
      </c>
      <c r="H14" s="19" t="n">
        <v>5.14</v>
      </c>
    </row>
    <row r="15">
      <c r="A15" s="16" t="inlineStr">
        <is>
          <t>TOTAL / PROMEDIO</t>
        </is>
      </c>
      <c r="B15" s="32">
        <f>SUM(B10:B14)</f>
        <v/>
      </c>
      <c r="C15" s="23">
        <f>SUM(C10:C14)</f>
        <v/>
      </c>
      <c r="D15" s="17" t="inlineStr">
        <is>
          <t>68 – 1204</t>
        </is>
      </c>
      <c r="E15" s="17" t="inlineStr"/>
      <c r="F15" s="17">
        <f>ROUND(AVERAGE(F10:F14),2)</f>
        <v/>
      </c>
      <c r="G15" s="22">
        <f>ROUND(AVERAGE(G10:G14),4)</f>
        <v/>
      </c>
      <c r="H15" s="23">
        <f>ROUND(AVERAGE(H10:H14),2)</f>
        <v/>
      </c>
    </row>
    <row r="17" ht="84" customHeight="1">
      <c r="A17" s="9" t="inlineStr">
        <is>
          <t>LECTURA INTRAMICROCUENCA. El bloque M2B8 ocupa el puesto 3 de 5 por superficie dentro de la microcuenca C1076-Q9584 (6.55 % de las 1773.19 ha preliminares de la microcuenca). Su pendiente promedio (19.24 %, clase «15-25% (Fuert. inclinado)») es la 4.ª más baja de 5 y se sitúa por encima del promedio de la microcuenca (17.00 %). Su MSAVI 2024 (0.3752) es el 3.º de 5 y queda por encima del promedio local (0.3616). Amplitud altitudinal del bloque: 429 m (244–673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M2B8</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«C1076-Q9584»</t>
        </is>
      </c>
      <c r="D10" s="34" t="inlineStr">
        <is>
          <t>CONFORME</t>
        </is>
      </c>
      <c r="E10" s="33" t="inlineStr">
        <is>
          <t>Sin acción.</t>
        </is>
      </c>
    </row>
    <row r="11" ht="48" customHeight="1">
      <c r="A11" s="35" t="inlineStr">
        <is>
          <t>D-02</t>
        </is>
      </c>
      <c r="B11" s="35" t="inlineStr">
        <is>
          <t>UTM del punto de muestreo</t>
        </is>
      </c>
      <c r="C11" s="35" t="inlineStr">
        <is>
          <t>El punto de muestreo declarado (638286 E / 9398789 N) dista 917 m del centroide de catálogo (639059 E / 9398295 N), distancia incompatible con la superficie del bloque (116.1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(116.136 ha) coincide con la de catálogo (116.1 ha) dentro del ±2 % (+0.03 %)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19.24 %,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80 % de cobertura vegetal en campo; el NDVI mediana 2025 clasifica 100.00 %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Elenco florístico</t>
        </is>
      </c>
      <c r="C15" s="35" t="inlineStr">
        <is>
          <t>La ficha registra 7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«Huacas Baja»; el cruce INEI-Bloques V5 identifica 2 centro(s) poblado(s) en el bloque: HUACAS BAJA, LAS HUACAS</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F-DT-02</t>
        </is>
      </c>
      <c r="C19" s="35" t="inlineStr">
        <is>
          <t>Sin ficha F-DT-02 firmada en el ANEXO 01; inventario georreferenciado de cárcavas pendiente</t>
        </is>
      </c>
      <c r="D19" s="36" t="inlineStr">
        <is>
          <t>SUSTANTIVA</t>
        </is>
      </c>
      <c r="E19" s="35" t="inlineStr">
        <is>
          <t>Levantamiento pendiente</t>
        </is>
      </c>
    </row>
    <row r="20" ht="48" customHeight="1">
      <c r="A20" s="33" t="inlineStr">
        <is>
          <t>D-11</t>
        </is>
      </c>
      <c r="B20" s="33" t="inlineStr">
        <is>
          <t>F-DT-02 / F-DT-04</t>
        </is>
      </c>
      <c r="C20" s="33" t="inlineStr">
        <is>
          <t>Densidad de cárcavas: F-DT-02 consigna 0 cárcavas y F-DT-04 declara 1 N.°/ha</t>
        </is>
      </c>
      <c r="D20" s="36" t="inlineStr">
        <is>
          <t>SUSTANTIVA</t>
        </is>
      </c>
      <c r="E20" s="33" t="inlineStr">
        <is>
          <t>Inconsistencia interna a resolver</t>
        </is>
      </c>
    </row>
    <row r="21" ht="48" customHeight="1">
      <c r="A21" s="35" t="inlineStr">
        <is>
          <t>D-12</t>
        </is>
      </c>
      <c r="B21" s="35" t="inlineStr">
        <is>
          <t>F-DT-03</t>
        </is>
      </c>
      <c r="C21" s="35" t="inlineStr">
        <is>
          <t>D-07: las observaciones señalan que «abundan ceibos» pero la tabla florística registró solo 7 especies</t>
        </is>
      </c>
      <c r="D21" s="36" t="inlineStr">
        <is>
          <t>SUSTANTIVA</t>
        </is>
      </c>
      <c r="E21" s="35" t="inlineStr">
        <is>
          <t>Inventario florístico incompleto (mínimo exigido: 15)</t>
        </is>
      </c>
    </row>
    <row r="22" ht="48" customHeight="1">
      <c r="A22" s="33" t="inlineStr">
        <is>
          <t>D-13</t>
        </is>
      </c>
      <c r="B22" s="33" t="inlineStr">
        <is>
          <t>F-DT-03</t>
        </is>
      </c>
      <c r="C22" s="33" t="inlineStr">
        <is>
          <t>Cobertura de dosel 80% incompatible con el tipo de cobertura dominante «Bosque ralo (30-70%)»</t>
        </is>
      </c>
      <c r="D22" s="36" t="inlineStr">
        <is>
          <t>SUSTANTIVA</t>
        </is>
      </c>
      <c r="E22" s="33" t="inlineStr">
        <is>
          <t>Inconsistencia interna a resolver</t>
        </is>
      </c>
    </row>
    <row r="23" ht="48" customHeight="1">
      <c r="A23" s="35" t="inlineStr">
        <is>
          <t>D-14</t>
        </is>
      </c>
      <c r="B23" s="35" t="inlineStr">
        <is>
          <t>F-DT-03</t>
        </is>
      </c>
      <c r="C23" s="35" t="inlineStr">
        <is>
          <t>Categoría UICN del Palo santo consignada «No aplica» pese a declararse amenazada por el D.S. 043</t>
        </is>
      </c>
      <c r="D23" s="15" t="inlineStr">
        <is>
          <t>NO SUSTANTIVA</t>
        </is>
      </c>
      <c r="E23" s="35" t="inlineStr">
        <is>
          <t>Completar categoría</t>
        </is>
      </c>
    </row>
    <row r="24" ht="48" customHeight="1">
      <c r="A24" s="33" t="inlineStr">
        <is>
          <t>D-15</t>
        </is>
      </c>
      <c r="B24" s="33" t="inlineStr">
        <is>
          <t>F-DT-05</t>
        </is>
      </c>
      <c r="C24" s="33" t="inlineStr">
        <is>
          <t>Sin ficha F-DT-05 en el ANEXO 01: inventario hídrico, JASS, tiempos, señal y Ronda por completar</t>
        </is>
      </c>
      <c r="D24" s="36" t="inlineStr">
        <is>
          <t>SUSTANTIVA</t>
        </is>
      </c>
      <c r="E24" s="33" t="inlineStr">
        <is>
          <t>Levantamiento pendiente</t>
        </is>
      </c>
    </row>
    <row r="25" ht="48" customHeight="1">
      <c r="A25" s="35" t="inlineStr">
        <is>
          <t>D-16</t>
        </is>
      </c>
      <c r="B25" s="35" t="inlineStr">
        <is>
          <t>F-DT-04</t>
        </is>
      </c>
      <c r="C25" s="35" t="inlineStr">
        <is>
          <t>Recomendación de campo de redelimitar el bloque excluyendo las áreas conservadas</t>
        </is>
      </c>
      <c r="D25" s="36" t="inlineStr">
        <is>
          <t>SUSTANTIVA</t>
        </is>
      </c>
      <c r="E25" s="35" t="inlineStr">
        <is>
          <t>Elevar a la Subdirección; el terreno está cercado y requiere gestión con titulares</t>
        </is>
      </c>
    </row>
    <row r="27">
      <c r="A27" s="16" t="inlineStr">
        <is>
          <t>RESUMEN</t>
        </is>
      </c>
      <c r="B27" s="17" t="inlineStr">
        <is>
          <t>16 verificaciones</t>
        </is>
      </c>
      <c r="C27" s="17" t="inlineStr">
        <is>
          <t>CONFORME: 3 · NO SUSTANTIVA: 3 · SUSTANTIVA: 10</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M2B8 — IN Piura</dc:title>
  <dc:subject>Diagnóstico Territorial por bloque de intervención</dc:subject>
  <dcterms:created xsi:type="dcterms:W3CDTF">2026-09-08T02:45:02Z</dcterms:created>
  <dcterms:modified xsi:type="dcterms:W3CDTF">2026-09-08T02:45:02Z</dcterms:modified>
</cp:coreProperties>
</file>