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M28B4</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M28B4</t>
        </is>
      </c>
      <c r="C9" s="6" t="inlineStr">
        <is>
          <t>Microcuenca (catálogo)</t>
        </is>
      </c>
      <c r="D9" s="7" t="inlineStr">
        <is>
          <t>C1086-Q9575</t>
        </is>
      </c>
      <c r="E9" s="8" t="n"/>
      <c r="F9" s="8" t="n"/>
    </row>
    <row r="10">
      <c r="A10" s="6" t="inlineStr">
        <is>
          <t>Zona de planificación</t>
        </is>
      </c>
      <c r="B10" s="7" t="inlineStr">
        <is>
          <t>Z09</t>
        </is>
      </c>
      <c r="C10" s="6" t="inlineStr">
        <is>
          <t>Microcuenca declarada en ficha DT</t>
        </is>
      </c>
      <c r="D10" s="7" t="inlineStr">
        <is>
          <t>C1086-Q9575</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Yamango</t>
        </is>
      </c>
      <c r="C12" s="6" t="inlineStr">
        <is>
          <t>Capital distrital</t>
        </is>
      </c>
      <c r="D12" s="7" t="inlineStr">
        <is>
          <t>Yamango</t>
        </is>
      </c>
      <c r="E12" s="8" t="n"/>
      <c r="F12" s="8" t="n"/>
    </row>
    <row r="13">
      <c r="A13" s="6" t="inlineStr">
        <is>
          <t>Centro poblado asociado</t>
        </is>
      </c>
      <c r="B13" s="7" t="inlineStr">
        <is>
          <t>Mambluque</t>
        </is>
      </c>
      <c r="C13" s="6" t="inlineStr">
        <is>
          <t>Comunidad campesina</t>
        </is>
      </c>
      <c r="D13" s="7" t="inlineStr">
        <is>
          <t>Caserío Mambluque (predios particulares de posesionarios)</t>
        </is>
      </c>
      <c r="E13" s="8" t="n"/>
      <c r="F13" s="8" t="n"/>
    </row>
    <row r="14">
      <c r="A14" s="6" t="inlineStr">
        <is>
          <t>Superficie de catálogo (V5/V6), ha</t>
        </is>
      </c>
      <c r="B14" s="7" t="n">
        <v>283.43</v>
      </c>
      <c r="C14" s="6" t="inlineStr">
        <is>
          <t>Fuente de superficie</t>
        </is>
      </c>
      <c r="D14" s="7" t="inlineStr">
        <is>
          <t>Catálogo maestro Bloques V5/V6</t>
        </is>
      </c>
      <c r="E14" s="8" t="n"/>
      <c r="F14" s="8" t="n"/>
    </row>
    <row r="15">
      <c r="A15" s="6" t="inlineStr">
        <is>
          <t>Centroide UTM ESTE (m)</t>
        </is>
      </c>
      <c r="B15" s="7" t="n">
        <v>626078</v>
      </c>
      <c r="C15" s="6" t="inlineStr">
        <is>
          <t>Centroide UTM NORTE (m)</t>
        </is>
      </c>
      <c r="D15" s="7" t="n">
        <v>9427110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297</v>
      </c>
      <c r="C19" s="6" t="inlineStr">
        <is>
          <t>Altitud máxima (msnm)</t>
        </is>
      </c>
      <c r="D19" s="7" t="n">
        <v>634</v>
      </c>
      <c r="E19" s="8" t="n"/>
      <c r="F19" s="8" t="n"/>
    </row>
    <row r="20">
      <c r="A20" s="6" t="inlineStr">
        <is>
          <t>Amplitud altitudinal (m)</t>
        </is>
      </c>
      <c r="B20" s="7" t="n">
        <v>337</v>
      </c>
      <c r="C20" s="6" t="inlineStr">
        <is>
          <t>Piso altitudinal dominante</t>
        </is>
      </c>
      <c r="D20" s="7" t="inlineStr">
        <is>
          <t>&lt;1000 m (Yunga)</t>
        </is>
      </c>
      <c r="E20" s="8" t="n"/>
      <c r="F20" s="8" t="n"/>
    </row>
    <row r="21">
      <c r="A21" s="6" t="inlineStr">
        <is>
          <t>Pendiente promedio (%)</t>
        </is>
      </c>
      <c r="B21" s="7" t="n">
        <v>13.75</v>
      </c>
      <c r="C21" s="6" t="inlineStr">
        <is>
          <t>Pendiente promedio (grados)</t>
        </is>
      </c>
      <c r="D21" s="7" t="n">
        <v>7.8</v>
      </c>
      <c r="E21" s="8" t="n"/>
      <c r="F21" s="8" t="n"/>
    </row>
    <row r="22">
      <c r="A22" s="6" t="inlineStr">
        <is>
          <t>Clase de pendiente equivalente</t>
        </is>
      </c>
      <c r="B22" s="7" t="inlineStr">
        <is>
          <t>8-15% (Mod. inclinado)</t>
        </is>
      </c>
      <c r="C22" s="6" t="inlineStr">
        <is>
          <t>Rango de pendiente declarado en campo</t>
        </is>
      </c>
      <c r="D22" s="7" t="inlineStr">
        <is>
          <t>25-50% (Mod. escarpado) — pendiente media medida en perfil de campo 20.9%, máxima 49% (Google Earth)</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0.4275</v>
      </c>
      <c r="C28" s="6" t="inlineStr">
        <is>
          <t>MSAVI 2024 — clase de la media</t>
        </is>
      </c>
      <c r="D28" s="7" t="inlineStr">
        <is>
          <t>0.3813 - 0.4976 (Vigor bajo)</t>
        </is>
      </c>
      <c r="E28" s="8" t="n"/>
      <c r="F28" s="8" t="n"/>
    </row>
    <row r="29">
      <c r="A29" s="6" t="inlineStr">
        <is>
          <t>Condición frente al umbral 0.4976</t>
        </is>
      </c>
      <c r="B29" s="7" t="inlineStr">
        <is>
          <t>Bajo umbral · distribución areal: 75.05 % del bloque BAJO el umbral (212.714 ha de 283.430 ha)</t>
        </is>
      </c>
      <c r="C29" s="6" t="inlineStr">
        <is>
          <t>NDVI mediana 2025 — clase modal</t>
        </is>
      </c>
      <c r="D29" s="7" t="inlineStr">
        <is>
          <t>Vegetación mediana (43.51 %)</t>
        </is>
      </c>
      <c r="E29" s="8" t="n"/>
      <c r="F29" s="8" t="n"/>
    </row>
    <row r="30">
      <c r="A30" s="6" t="inlineStr">
        <is>
          <t>MSAVI 2024 — superficie BAJO el umbral 0.4976 (ha)</t>
        </is>
      </c>
      <c r="B30" s="7" t="n">
        <v>212.714</v>
      </c>
      <c r="C30" s="6" t="inlineStr">
        <is>
          <t>MSAVI 2024 — % del bloque BAJO el umbral</t>
        </is>
      </c>
      <c r="D30" s="7" t="n">
        <v>75.05</v>
      </c>
      <c r="E30" s="8" t="n"/>
      <c r="F30" s="8" t="n"/>
    </row>
    <row r="31">
      <c r="A31" s="6" t="inlineStr">
        <is>
          <t>MSAVI 2024 — clase areal dominante</t>
        </is>
      </c>
      <c r="B31" s="7" t="inlineStr">
        <is>
          <t>Vigor bajo</t>
        </is>
      </c>
      <c r="C31" s="6" t="inlineStr">
        <is>
          <t>MSAVI 2024 — fuente de la distribución areal</t>
        </is>
      </c>
      <c r="D31" s="7" t="inlineStr">
        <is>
          <t>Conteo de celdas sobre la cartografía MSAVI 2024 del bloque (MSAVI M28B4.png)</t>
        </is>
      </c>
      <c r="E31" s="8" t="n"/>
      <c r="F31" s="8" t="n"/>
    </row>
    <row r="32" ht="18" customHeight="1">
      <c r="A32" s="6" t="inlineStr">
        <is>
          <t>Superficie clasificada NDVI 2025 (ha)</t>
        </is>
      </c>
      <c r="B32" s="7" t="n">
        <v>283.543</v>
      </c>
      <c r="C32" s="6" t="inlineStr">
        <is>
          <t>Desviación frente al catálogo (%)</t>
        </is>
      </c>
      <c r="D32" s="7" t="n">
        <v>0.04</v>
      </c>
      <c r="E32" s="8" t="n"/>
      <c r="F32" s="8" t="n"/>
    </row>
    <row r="33"/>
    <row r="34">
      <c r="A34" s="5" t="inlineStr">
        <is>
          <t>4. ECOSISTEMA Y ESTADO DE CONSERVACIÓN</t>
        </is>
      </c>
    </row>
    <row r="35">
      <c r="A35" s="6" t="inlineStr">
        <is>
          <t>Tipo de ecosistema (UP)</t>
        </is>
      </c>
      <c r="B35" s="7" t="inlineStr">
        <is>
          <t>Bosque Estacionalmente Seco de Colina y Montaña (Bes-cm)</t>
        </is>
      </c>
      <c r="C35" s="6" t="inlineStr">
        <is>
          <t>Superficie de ecosistema (ha)</t>
        </is>
      </c>
      <c r="D35" s="7" t="inlineStr">
        <is>
          <t>270 ha de 283.43 ha del bloque (95.3%)</t>
        </is>
      </c>
      <c r="E35" s="8" t="n"/>
      <c r="F35" s="8" t="n"/>
    </row>
    <row r="36">
      <c r="A36" s="6" t="inlineStr">
        <is>
          <t>Estado de conservación</t>
        </is>
      </c>
      <c r="B36" s="7" t="inlineStr">
        <is>
          <t>Alterado (intervención marcada)</t>
        </is>
      </c>
      <c r="C36" s="6" t="inlineStr">
        <is>
          <t>Uso actual dominante del suelo</t>
        </is>
      </c>
      <c r="D36" s="7" t="inlineStr">
        <is>
          <t>Pastoreo extensivo</t>
        </is>
      </c>
      <c r="E36" s="8" t="n"/>
      <c r="F36" s="8" t="n"/>
    </row>
    <row r="37">
      <c r="A37" s="6" t="inlineStr">
        <is>
          <t>Tipo de cobertura dominante</t>
        </is>
      </c>
      <c r="B37" s="7" t="inlineStr">
        <is>
          <t>Bosque ralo (30-70%)</t>
        </is>
      </c>
      <c r="C37" s="6" t="inlineStr">
        <is>
          <t>Cobertura vegetal total — campo (%)</t>
        </is>
      </c>
      <c r="D37" s="7" t="n">
        <v>60</v>
      </c>
      <c r="E37" s="8" t="n"/>
      <c r="F37" s="8" t="n"/>
    </row>
    <row r="38">
      <c r="A38" s="6" t="inlineStr">
        <is>
          <t>Suelo desnudo — campo (%)</t>
        </is>
      </c>
      <c r="B38" s="7" t="n">
        <v>25</v>
      </c>
      <c r="C38" s="6" t="inlineStr">
        <is>
          <t>Regeneración natural</t>
        </is>
      </c>
      <c r="D38" s="7" t="inlineStr">
        <is>
          <t>Escasa (&lt;10 pl./100m²)</t>
        </is>
      </c>
      <c r="E38" s="8" t="n"/>
      <c r="F38" s="8" t="n"/>
    </row>
    <row r="39">
      <c r="A39" s="6" t="inlineStr">
        <is>
          <t>Nivel general de erosión</t>
        </is>
      </c>
      <c r="B39" s="7" t="inlineStr">
        <is>
          <t>Moderada (surcos)</t>
        </is>
      </c>
      <c r="C39" s="6" t="inlineStr">
        <is>
          <t>N.° de cárcavas registradas</t>
        </is>
      </c>
      <c r="D39" s="7" t="n">
        <v>3</v>
      </c>
      <c r="E39" s="8" t="n"/>
      <c r="F39" s="8" t="n"/>
    </row>
    <row r="40" ht="18" customHeight="1">
      <c r="A40" s="6" t="inlineStr">
        <is>
          <t>Elenco florístico (n.° de taxones)</t>
        </is>
      </c>
      <c r="B40" s="7" t="n">
        <v>15</v>
      </c>
      <c r="C40" s="6" t="inlineStr">
        <is>
          <t>Estado sanitario</t>
        </is>
      </c>
      <c r="D40" s="7" t="inlineStr">
        <is>
          <t>Enfermo (plaga) — infestación masiva por plantas parásitas</t>
        </is>
      </c>
      <c r="E40" s="8" t="n"/>
      <c r="F40" s="8" t="n"/>
    </row>
    <row r="41"/>
    <row r="42">
      <c r="A42" s="5" t="inlineStr">
        <is>
          <t>5. RESPONSABLE Y MODALIDAD DE LA EVALUACIÓN</t>
        </is>
      </c>
    </row>
    <row r="43">
      <c r="A43" s="6" t="inlineStr">
        <is>
          <t>Responsable de la evaluación</t>
        </is>
      </c>
      <c r="B43" s="7" t="inlineStr">
        <is>
          <t>Ing. Héctor S. Cahuas Miller / Ing. Juan Carlos Domínguez Varas (ANIN-DIME-SESDI)</t>
        </is>
      </c>
      <c r="C43" s="6" t="inlineStr">
        <is>
          <t>Fecha de evaluación</t>
        </is>
      </c>
      <c r="D43" s="7" t="inlineStr">
        <is>
          <t>2026-05-22</t>
        </is>
      </c>
      <c r="E43" s="8" t="n"/>
      <c r="F43" s="8" t="n"/>
    </row>
    <row r="44">
      <c r="A44" s="6" t="inlineStr">
        <is>
          <t>Hora de registro</t>
        </is>
      </c>
      <c r="B44" s="7" t="inlineStr">
        <is>
          <t>11:40 a.m.</t>
        </is>
      </c>
      <c r="C44" s="6" t="inlineStr">
        <is>
          <t>Correlativo de ficha</t>
        </is>
      </c>
      <c r="D44" s="7" t="inlineStr">
        <is>
          <t>DT-M28B4-01</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P-01 (bosque seco, ladera media)</t>
        </is>
      </c>
      <c r="E46" s="8" t="n"/>
      <c r="F46" s="8" t="n"/>
    </row>
    <row r="47" ht="18" customHeight="1">
      <c r="A47" s="6" t="inlineStr">
        <is>
          <t>Estaciones fotográficas georreferenciadas</t>
        </is>
      </c>
      <c r="B47" s="7" t="n">
        <v>0</v>
      </c>
      <c r="C47" s="6" t="inlineStr">
        <is>
          <t>Modalidad de acceso</t>
        </is>
      </c>
      <c r="D47" s="7" t="inlineStr">
        <is>
          <t>Vehicular + caminata 30-90 min</t>
        </is>
      </c>
      <c r="E47" s="8" t="n"/>
      <c r="F47" s="8" t="n"/>
    </row>
    <row r="48"/>
    <row r="49">
      <c r="A49" s="5" t="inlineStr">
        <is>
          <t>6. SÍNTESIS PARA LA GESTIÓN DEL RIESGO EN CONTEXTO DE CAMBIO CLIMÁTICO</t>
        </is>
      </c>
    </row>
    <row r="50">
      <c r="A50" s="6" t="inlineStr">
        <is>
          <t>Causa subyacente principal</t>
        </is>
      </c>
      <c r="B50" s="7" t="inlineStr">
        <is>
          <t>Presión socioeconómica de subsistencia sobre el bosque seco (ganadería extensiva y extracción de recursos)</t>
        </is>
      </c>
      <c r="C50" s="6" t="inlineStr">
        <is>
          <t>Velocidad de degradación</t>
        </is>
      </c>
      <c r="D50" s="7" t="inlineStr">
        <is>
          <t>Rápida</t>
        </is>
      </c>
      <c r="E50" s="8" t="n"/>
      <c r="F50" s="8" t="n"/>
    </row>
    <row r="51">
      <c r="A51" s="6" t="inlineStr">
        <is>
          <t>Reversibilidad técnica</t>
        </is>
      </c>
      <c r="B51" s="7" t="inlineStr">
        <is>
          <t>Parcialmente reversible</t>
        </is>
      </c>
      <c r="C51" s="6" t="inlineStr">
        <is>
          <t>Urgencia de intervención</t>
        </is>
      </c>
      <c r="D51" s="7" t="inlineStr">
        <is>
          <t>Alta</t>
        </is>
      </c>
      <c r="E51" s="8" t="n"/>
      <c r="F51" s="8" t="n"/>
    </row>
    <row r="52">
      <c r="A52" s="6" t="inlineStr">
        <is>
          <t>Urgencia de control de erosión</t>
        </is>
      </c>
      <c r="B52" s="7" t="inlineStr">
        <is>
          <t>Media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M28B4</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2.2391</v>
      </c>
      <c r="C10" s="19" t="n">
        <v>0.79</v>
      </c>
      <c r="D10" s="11" t="inlineStr">
        <is>
          <t>Vigor alto</t>
        </is>
      </c>
      <c r="E10" s="11" t="inlineStr">
        <is>
          <t>Sobre umbral</t>
        </is>
      </c>
    </row>
    <row r="11">
      <c r="A11" s="12" t="inlineStr">
        <is>
          <t>0.4976 - 0.6139</t>
        </is>
      </c>
      <c r="B11" s="20" t="n">
        <v>68.47669999999999</v>
      </c>
      <c r="C11" s="21" t="n">
        <v>24.16</v>
      </c>
      <c r="D11" s="13" t="inlineStr">
        <is>
          <t>Vigor moderado</t>
        </is>
      </c>
      <c r="E11" s="13" t="inlineStr">
        <is>
          <t>Sobre umbral</t>
        </is>
      </c>
    </row>
    <row r="12">
      <c r="A12" s="14" t="inlineStr">
        <is>
          <t>0.3813 - 0.4976</t>
        </is>
      </c>
      <c r="B12" s="30" t="n">
        <v>106.6263</v>
      </c>
      <c r="C12" s="29" t="n">
        <v>37.62</v>
      </c>
      <c r="D12" s="15" t="inlineStr">
        <is>
          <t>Vigor bajo</t>
        </is>
      </c>
      <c r="E12" s="15" t="inlineStr">
        <is>
          <t>BAJO umbral 0.4976</t>
        </is>
      </c>
    </row>
    <row r="13">
      <c r="A13" s="12" t="inlineStr">
        <is>
          <t>0.2650 - 0.3813</t>
        </is>
      </c>
      <c r="B13" s="20" t="n">
        <v>105.6344</v>
      </c>
      <c r="C13" s="21" t="n">
        <v>37.27</v>
      </c>
      <c r="D13" s="13" t="inlineStr">
        <is>
          <t>Vigor muy bajo</t>
        </is>
      </c>
      <c r="E13" s="13" t="inlineStr">
        <is>
          <t>BAJO umbral 0.4976</t>
        </is>
      </c>
    </row>
    <row r="14">
      <c r="A14" s="7" t="inlineStr">
        <is>
          <t>&lt;= 0.2650</t>
        </is>
      </c>
      <c r="B14" s="18" t="n">
        <v>0.4535</v>
      </c>
      <c r="C14" s="19" t="n">
        <v>0.16</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0.42751</v>
      </c>
      <c r="C16" s="17" t="inlineStr">
        <is>
          <t>—</t>
        </is>
      </c>
      <c r="D16" s="17" t="inlineStr">
        <is>
          <t>Vigor bajo · clase 0.3813 - 0.4976</t>
        </is>
      </c>
      <c r="E16" s="17" t="inlineStr">
        <is>
          <t>BAJO umbral 0.4976</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51.2943</v>
      </c>
      <c r="C22" s="19" t="n">
        <v>18.09</v>
      </c>
      <c r="D22" s="11" t="inlineStr">
        <is>
          <t>Dosel continuo, matorral denso o mosaico agroforestal</t>
        </is>
      </c>
      <c r="E22" s="11" t="inlineStr"/>
    </row>
    <row r="23">
      <c r="A23" s="12" t="inlineStr">
        <is>
          <t>Vegetación mediana</t>
        </is>
      </c>
      <c r="B23" s="20" t="n">
        <v>123.3696</v>
      </c>
      <c r="C23" s="21" t="n">
        <v>43.51</v>
      </c>
      <c r="D23" s="13" t="inlineStr">
        <is>
          <t>Pastizal cultivado, matorral ralo, parcelas agrícolas</t>
        </is>
      </c>
      <c r="E23" s="13" t="inlineStr"/>
    </row>
    <row r="24">
      <c r="A24" s="7" t="inlineStr">
        <is>
          <t>Vegetación ligera</t>
        </is>
      </c>
      <c r="B24" s="18" t="n">
        <v>105.1473</v>
      </c>
      <c r="C24" s="19" t="n">
        <v>37.08</v>
      </c>
      <c r="D24" s="11" t="inlineStr">
        <is>
          <t>Cobertura discontinua, suelo parcialmente expuesto</t>
        </is>
      </c>
      <c r="E24" s="11" t="inlineStr"/>
    </row>
    <row r="25">
      <c r="A25" s="12" t="inlineStr">
        <is>
          <t>Tierra desnuda</t>
        </is>
      </c>
      <c r="B25" s="20" t="n">
        <v>3.7322</v>
      </c>
      <c r="C25" s="21" t="n">
        <v>1.32</v>
      </c>
      <c r="D25" s="13" t="inlineStr">
        <is>
          <t>Suelo desnudo, afloramientos, plataformas y taludes</t>
        </is>
      </c>
      <c r="E25" s="13" t="inlineStr"/>
    </row>
    <row r="26">
      <c r="A26" s="16" t="inlineStr">
        <is>
          <t>TOTAL CLASIFICADO</t>
        </is>
      </c>
      <c r="B26" s="22">
        <f>SUM(B21:B24)</f>
        <v/>
      </c>
      <c r="C26" s="23">
        <f>SUM(C21:C24)</f>
        <v/>
      </c>
      <c r="D26" s="17" t="inlineStr"/>
      <c r="E26" s="17" t="inlineStr"/>
    </row>
    <row r="27">
      <c r="A27" s="24" t="inlineStr">
        <is>
          <t>Superficie de catálogo (V5/V6)</t>
        </is>
      </c>
      <c r="B27" s="25" t="n">
        <v>283.43</v>
      </c>
      <c r="C27" s="25" t="inlineStr">
        <is>
          <t>—</t>
        </is>
      </c>
      <c r="D27" s="25" t="inlineStr">
        <is>
          <t>Desviación planimétrica frente al catálogo</t>
        </is>
      </c>
      <c r="E27" s="25" t="inlineStr">
        <is>
          <t>+0.04 %</t>
        </is>
      </c>
    </row>
    <row r="28" ht="108" customHeight="1"/>
    <row r="29">
      <c r="A29"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60 % frente a un 18.09 % del polígono clasificado como «Vegetación alta» por el NDVI 2025; la observación de campo corresponde a una parcela o recorrido puntual y no es estadísticamente representativa de las 283.430 ha del bloque.</t>
        </is>
      </c>
      <c r="B29" s="38" t="n"/>
      <c r="C29" s="38" t="n"/>
      <c r="D29" s="38" t="n"/>
      <c r="E29" s="39" t="n"/>
    </row>
  </sheetData>
  <mergeCells count="10">
    <mergeCell ref="A29:E29"/>
    <mergeCell ref="A4:E4"/>
    <mergeCell ref="A20:E20"/>
    <mergeCell ref="A2:E2"/>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M28B4</t>
        </is>
      </c>
    </row>
    <row r="6" ht="24" customHeight="1">
      <c r="A6" s="4" t="inlineStr">
        <is>
          <t>Levantamiento del 2026-05-22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625873</v>
      </c>
      <c r="D10" s="26" t="n">
        <v>9427251</v>
      </c>
      <c r="E10" s="11" t="n">
        <v>248.8</v>
      </c>
      <c r="F10" s="11" t="inlineStr"/>
      <c r="G10" s="11" t="inlineStr">
        <is>
          <t>Coordenada consignada en F-DT-01</t>
        </is>
      </c>
    </row>
    <row r="11">
      <c r="A11" s="12" t="inlineStr">
        <is>
          <t>C-01</t>
        </is>
      </c>
      <c r="B11" s="13" t="inlineStr">
        <is>
          <t>Rasgo erosivo — Cárcava somera</t>
        </is>
      </c>
      <c r="C11" s="27" t="n">
        <v>625599</v>
      </c>
      <c r="D11" s="27" t="n">
        <v>9426835</v>
      </c>
      <c r="E11" s="13" t="n">
        <v>552.3</v>
      </c>
      <c r="F11" s="13" t="n">
        <v>45</v>
      </c>
      <c r="G11" s="13" t="n">
        <v>1.2</v>
      </c>
    </row>
    <row r="12">
      <c r="A12" s="7" t="inlineStr">
        <is>
          <t>C-02</t>
        </is>
      </c>
      <c r="B12" s="11" t="inlineStr">
        <is>
          <t>Rasgo erosivo — Cárcava incipiente</t>
        </is>
      </c>
      <c r="C12" s="26" t="n">
        <v>625583</v>
      </c>
      <c r="D12" s="26" t="n">
        <v>9426830</v>
      </c>
      <c r="E12" s="11" t="n">
        <v>568.7</v>
      </c>
      <c r="F12" s="11" t="n">
        <v>30</v>
      </c>
      <c r="G12" s="11" t="n">
        <v>0.4</v>
      </c>
    </row>
    <row r="13">
      <c r="A13" s="12" t="inlineStr">
        <is>
          <t>C-03</t>
        </is>
      </c>
      <c r="B13" s="13" t="inlineStr">
        <is>
          <t>Rasgo erosivo — Surco (&lt;30 cm)</t>
        </is>
      </c>
      <c r="C13" s="27" t="n">
        <v>625834</v>
      </c>
      <c r="D13" s="27" t="n">
        <v>9427153</v>
      </c>
      <c r="E13" s="13" t="n">
        <v>247.8</v>
      </c>
      <c r="F13" s="13" t="n">
        <v>25</v>
      </c>
      <c r="G13" s="13" t="n">
        <v>0.2</v>
      </c>
    </row>
    <row r="14">
      <c r="A14" s="7" t="inlineStr">
        <is>
          <t>H-01</t>
        </is>
      </c>
      <c r="B14" s="11" t="inlineStr">
        <is>
          <t>Fuente de agua — 1</t>
        </is>
      </c>
      <c r="C14" s="26" t="inlineStr">
        <is>
          <t>Quebrada estacional (Qbda. Alta)</t>
        </is>
      </c>
      <c r="D14" s="26" t="n">
        <v>625980</v>
      </c>
      <c r="E14" s="11" t="inlineStr"/>
      <c r="F14" s="11" t="n">
        <v>9427900</v>
      </c>
      <c r="G14" s="11" t="inlineStr"/>
    </row>
    <row r="15">
      <c r="A15" s="12" t="inlineStr">
        <is>
          <t>H-02</t>
        </is>
      </c>
      <c r="B15" s="13" t="inlineStr">
        <is>
          <t>Fuente de agua — 2</t>
        </is>
      </c>
      <c r="C15" s="27" t="inlineStr">
        <is>
          <t>Quebrada estacional (Qbda. Alta 2)</t>
        </is>
      </c>
      <c r="D15" s="27" t="n">
        <v>626100</v>
      </c>
      <c r="E15" s="13" t="inlineStr"/>
      <c r="F15" s="13" t="n">
        <v>9428100</v>
      </c>
      <c r="G15" s="13" t="inlineStr"/>
    </row>
    <row r="16">
      <c r="A16" s="7" t="inlineStr">
        <is>
          <t>B-01</t>
        </is>
      </c>
      <c r="B16" s="11" t="inlineStr">
        <is>
          <t>Especie clave — Hualtaco (Loxopterygium huasango)</t>
        </is>
      </c>
      <c r="C16" s="26" t="inlineStr">
        <is>
          <t>625873</t>
        </is>
      </c>
      <c r="D16" s="26" t="inlineStr">
        <is>
          <t>9427251</t>
        </is>
      </c>
      <c r="E16" s="11" t="n">
        <v>248.8</v>
      </c>
      <c r="F16" s="11" t="inlineStr">
        <is>
          <t>Amenazada (D.S. 043-2006-AG)</t>
        </is>
      </c>
      <c r="G16" s="11" t="inlineStr">
        <is>
          <t>EN - En Peligro</t>
        </is>
      </c>
    </row>
    <row r="17">
      <c r="A17" s="12" t="inlineStr">
        <is>
          <t>B-02</t>
        </is>
      </c>
      <c r="B17" s="13" t="inlineStr">
        <is>
          <t>Especie clave — Palo Santo (Bursera graveolens)</t>
        </is>
      </c>
      <c r="C17" s="27" t="inlineStr">
        <is>
          <t>625891</t>
        </is>
      </c>
      <c r="D17" s="27" t="inlineStr">
        <is>
          <t>9427272</t>
        </is>
      </c>
      <c r="E17" s="13" t="n">
        <v>247.4</v>
      </c>
      <c r="F17" s="13" t="inlineStr">
        <is>
          <t>Amenazada (D.S. 043-2006-AG)</t>
        </is>
      </c>
      <c r="G17" s="13" t="inlineStr">
        <is>
          <t>CR - En Peligro Crítico</t>
        </is>
      </c>
    </row>
    <row r="18">
      <c r="A18" s="7" t="inlineStr">
        <is>
          <t>B-03</t>
        </is>
      </c>
      <c r="B18" s="11" t="inlineStr">
        <is>
          <t>Especie clave — Sapote / Vichayo (Colicodendron scabridum)</t>
        </is>
      </c>
      <c r="C18" s="26" t="inlineStr">
        <is>
          <t>625834</t>
        </is>
      </c>
      <c r="D18" s="26" t="inlineStr">
        <is>
          <t>9427153</t>
        </is>
      </c>
      <c r="E18" s="11" t="n">
        <v>247.8</v>
      </c>
      <c r="F18" s="11" t="inlineStr">
        <is>
          <t>Amenazada (D.S. 043-2006-AG)</t>
        </is>
      </c>
      <c r="G18" s="11" t="inlineStr">
        <is>
          <t>CR - En Peligro Crítico</t>
        </is>
      </c>
    </row>
    <row r="19">
      <c r="A19" s="12" t="inlineStr">
        <is>
          <t>B-04</t>
        </is>
      </c>
      <c r="B19" s="13" t="inlineStr">
        <is>
          <t>Especie clave — Ceiba / Ceibo (Ceiba trichistandra)</t>
        </is>
      </c>
      <c r="C19" s="27" t="inlineStr">
        <is>
          <t>625530</t>
        </is>
      </c>
      <c r="D19" s="27" t="inlineStr">
        <is>
          <t>9426815</t>
        </is>
      </c>
      <c r="E19" s="13" t="n">
        <v>622.4</v>
      </c>
      <c r="F19" s="13" t="inlineStr">
        <is>
          <t>Indicadora de buen estado</t>
        </is>
      </c>
      <c r="G19" s="13" t="inlineStr">
        <is>
          <t>LC - Preocupación Menor</t>
        </is>
      </c>
    </row>
    <row r="20">
      <c r="A20" s="7" t="inlineStr">
        <is>
          <t>B-05</t>
        </is>
      </c>
      <c r="B20" s="11" t="inlineStr">
        <is>
          <t>Especie clave — Faique (Acacia macracantha)</t>
        </is>
      </c>
      <c r="C20" s="26" t="inlineStr">
        <is>
          <t>625900</t>
        </is>
      </c>
      <c r="D20" s="26" t="inlineStr">
        <is>
          <t>9427250</t>
        </is>
      </c>
      <c r="E20" s="11" t="n">
        <v>226.5</v>
      </c>
      <c r="F20" s="11" t="inlineStr">
        <is>
          <t>Amenazada (D.S. 043-2006-AG)</t>
        </is>
      </c>
      <c r="G20" s="11" t="inlineStr">
        <is>
          <t>NT - Casi Amenazada</t>
        </is>
      </c>
    </row>
    <row r="21">
      <c r="A21" s="12" t="inlineStr">
        <is>
          <t>B-06</t>
        </is>
      </c>
      <c r="B21" s="13" t="inlineStr">
        <is>
          <t>Especie clave — Algarrobo (Prosopis pallida)</t>
        </is>
      </c>
      <c r="C21" s="27" t="inlineStr">
        <is>
          <t>625600</t>
        </is>
      </c>
      <c r="D21" s="27" t="inlineStr">
        <is>
          <t>9426905</t>
        </is>
      </c>
      <c r="E21" s="13" t="n">
        <v>520.1</v>
      </c>
      <c r="F21" s="13" t="inlineStr">
        <is>
          <t>Amenazada (D.S. 043-2006-AG)</t>
        </is>
      </c>
      <c r="G21" s="13" t="inlineStr">
        <is>
          <t>VU - Vulnerable</t>
        </is>
      </c>
    </row>
    <row r="22">
      <c r="A22" s="7" t="inlineStr">
        <is>
          <t>B-07</t>
        </is>
      </c>
      <c r="B22" s="11" t="inlineStr">
        <is>
          <t>Especie clave — Muérdago (Psittacanthus sp.)</t>
        </is>
      </c>
      <c r="C22" s="26" t="inlineStr">
        <is>
          <t>625873</t>
        </is>
      </c>
      <c r="D22" s="26" t="inlineStr">
        <is>
          <t>9427251</t>
        </is>
      </c>
      <c r="E22" s="11" t="n">
        <v>248.8</v>
      </c>
      <c r="F22" s="11" t="inlineStr">
        <is>
          <t>Indicadora de perturbación</t>
        </is>
      </c>
      <c r="G22" s="11" t="inlineStr">
        <is>
          <t>No aplica</t>
        </is>
      </c>
    </row>
    <row r="23">
      <c r="A23" s="16" t="inlineStr">
        <is>
          <t>TOTAL: 13 puntos</t>
        </is>
      </c>
      <c r="B23" s="17" t="inlineStr"/>
      <c r="C23" s="17" t="inlineStr"/>
      <c r="D23" s="17" t="inlineStr"/>
      <c r="E23" s="17" t="inlineStr"/>
      <c r="F23" s="17" t="inlineStr"/>
      <c r="G23" s="17" t="inlineStr"/>
    </row>
    <row r="25">
      <c r="A25" s="6" t="inlineStr">
        <is>
          <t>Centroide del bloque — UTM ESTE (m)</t>
        </is>
      </c>
      <c r="B25" s="7" t="n">
        <v>626078</v>
      </c>
      <c r="C25" s="6" t="inlineStr">
        <is>
          <t>Centroide del bloque — UTM NORTE (m)</t>
        </is>
      </c>
      <c r="D25" s="7" t="n">
        <v>9427110</v>
      </c>
      <c r="E25" s="8" t="n"/>
      <c r="F25" s="8" t="n"/>
      <c r="G25" s="8" t="n"/>
      <c r="H25" s="8" t="n"/>
    </row>
    <row r="26">
      <c r="A26" s="6" t="inlineStr">
        <is>
          <t>N.° de estaciones fotográficas declaradas</t>
        </is>
      </c>
      <c r="B26" s="7" t="n">
        <v>0</v>
      </c>
      <c r="C26" s="6" t="inlineStr">
        <is>
          <t>Estaciones dentro del polígono</t>
        </is>
      </c>
      <c r="D26" s="7" t="n">
        <v>0</v>
      </c>
      <c r="E26" s="8" t="n"/>
      <c r="F26" s="8" t="n"/>
      <c r="G26" s="8" t="n"/>
      <c r="H26" s="8" t="n"/>
    </row>
    <row r="28" ht="120" customHeight="1">
      <c r="A2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seleccionado por su rol en la regulación de movimientos en masa y la generación de escorrentía en la ZONA DE ORIGEN de los peligros (cabecera de la microcuenca C1086-Q9575). Las acumulaciones de bloques angulosos en quebradas son compatibles con flujos de detritos antiguos; la parte alta presenta susceptibilidad latente a remociones en masa. El rango altitudinal declarado (&lt;1000 m) corresponde a la franja accesible inspeccionada; el bloque alcanza cotas superiores a 1100 msnm en la cresta NE, inaccesible durante la visita.</t>
        </is>
      </c>
      <c r="B28" s="38" t="n"/>
      <c r="C28" s="38" t="n"/>
      <c r="D28" s="38" t="n"/>
      <c r="E28" s="38" t="n"/>
      <c r="F28" s="38" t="n"/>
      <c r="G28" s="39" t="n"/>
    </row>
  </sheetData>
  <mergeCells count="8">
    <mergeCell ref="A1:G1"/>
    <mergeCell ref="A8:G8"/>
    <mergeCell ref="A3:G3"/>
    <mergeCell ref="A6:G6"/>
    <mergeCell ref="A4:G4"/>
    <mergeCell ref="A2:G2"/>
    <mergeCell ref="A28:G28"/>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C1086-Q9575 — BLOQUE M28B4</t>
        </is>
      </c>
    </row>
    <row r="6" ht="24" customHeight="1">
      <c r="A6" s="4" t="inlineStr">
        <is>
          <t>Distrito de Yamango · Provincia de Morropon · Comparación de los bloques preliminares de intervención de la misma microcuenca</t>
        </is>
      </c>
    </row>
    <row r="8" ht="18" customHeight="1">
      <c r="A8" s="5" t="inlineStr">
        <is>
          <t>BLOQUES DE LA MICROCUENCA C1086-Q9575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4" t="inlineStr">
        <is>
          <t>► M28B4</t>
        </is>
      </c>
      <c r="B10" s="28" t="n">
        <v>283.43</v>
      </c>
      <c r="C10" s="29" t="n">
        <v>58.52</v>
      </c>
      <c r="D10" s="15" t="inlineStr">
        <is>
          <t>297 – 634</t>
        </is>
      </c>
      <c r="E10" s="15" t="n">
        <v>337</v>
      </c>
      <c r="F10" s="15" t="n">
        <v>13.75</v>
      </c>
      <c r="G10" s="30" t="n">
        <v>0.4275</v>
      </c>
      <c r="H10" s="29" t="n">
        <v>18.09</v>
      </c>
    </row>
    <row r="11">
      <c r="A11" s="12" t="inlineStr">
        <is>
          <t>M28B2</t>
        </is>
      </c>
      <c r="B11" s="31" t="n">
        <v>90.2</v>
      </c>
      <c r="C11" s="21" t="n">
        <v>18.62</v>
      </c>
      <c r="D11" s="13" t="inlineStr">
        <is>
          <t>754 – 1111</t>
        </is>
      </c>
      <c r="E11" s="13" t="n">
        <v>357</v>
      </c>
      <c r="F11" s="13" t="n">
        <v>20.65</v>
      </c>
      <c r="G11" s="20" t="n">
        <v>0.4753</v>
      </c>
      <c r="H11" s="21" t="n">
        <v>37.12</v>
      </c>
    </row>
    <row r="12">
      <c r="A12" s="7" t="inlineStr">
        <is>
          <t>M28B3</t>
        </is>
      </c>
      <c r="B12" s="32" t="n">
        <v>58.29</v>
      </c>
      <c r="C12" s="19" t="n">
        <v>12.04</v>
      </c>
      <c r="D12" s="11" t="inlineStr">
        <is>
          <t>73 – 777</t>
        </is>
      </c>
      <c r="E12" s="11" t="n">
        <v>704</v>
      </c>
      <c r="F12" s="11" t="n">
        <v>22.13</v>
      </c>
      <c r="G12" s="18" t="n">
        <v>0.5075</v>
      </c>
      <c r="H12" s="19" t="n">
        <v>45.27</v>
      </c>
    </row>
    <row r="13">
      <c r="A13" s="12" t="inlineStr">
        <is>
          <t>46</t>
        </is>
      </c>
      <c r="B13" s="31" t="n">
        <v>18.87</v>
      </c>
      <c r="C13" s="21" t="n">
        <v>3.9</v>
      </c>
      <c r="D13" s="13" t="inlineStr">
        <is>
          <t>1371 – 1655</t>
        </is>
      </c>
      <c r="E13" s="13" t="n">
        <v>284</v>
      </c>
      <c r="F13" s="13" t="n">
        <v>31.77</v>
      </c>
      <c r="G13" s="20" t="n">
        <v>0.7244</v>
      </c>
      <c r="H13" s="21" t="inlineStr">
        <is>
          <t>Por determinar</t>
        </is>
      </c>
    </row>
    <row r="14">
      <c r="A14" s="7" t="inlineStr">
        <is>
          <t>49</t>
        </is>
      </c>
      <c r="B14" s="32" t="n">
        <v>15.84</v>
      </c>
      <c r="C14" s="19" t="n">
        <v>3.27</v>
      </c>
      <c r="D14" s="11" t="inlineStr">
        <is>
          <t>3065 – 3246</t>
        </is>
      </c>
      <c r="E14" s="11" t="n">
        <v>181</v>
      </c>
      <c r="F14" s="11" t="n">
        <v>25.96</v>
      </c>
      <c r="G14" s="18" t="n">
        <v>0.6860000000000001</v>
      </c>
      <c r="H14" s="19" t="n">
        <v>98.8</v>
      </c>
    </row>
    <row r="15">
      <c r="A15" s="12" t="inlineStr">
        <is>
          <t>52</t>
        </is>
      </c>
      <c r="B15" s="31" t="n">
        <v>11.06</v>
      </c>
      <c r="C15" s="21" t="n">
        <v>2.28</v>
      </c>
      <c r="D15" s="13" t="inlineStr">
        <is>
          <t>3011 – 3164</t>
        </is>
      </c>
      <c r="E15" s="13" t="n">
        <v>153</v>
      </c>
      <c r="F15" s="13" t="n">
        <v>26.16</v>
      </c>
      <c r="G15" s="20" t="n">
        <v>0.6685</v>
      </c>
      <c r="H15" s="21" t="n">
        <v>97.31999999999999</v>
      </c>
    </row>
    <row r="16">
      <c r="A16" s="7" t="inlineStr">
        <is>
          <t>48</t>
        </is>
      </c>
      <c r="B16" s="32" t="n">
        <v>5.75</v>
      </c>
      <c r="C16" s="19" t="n">
        <v>1.19</v>
      </c>
      <c r="D16" s="11" t="inlineStr">
        <is>
          <t>1458 – 1595</t>
        </is>
      </c>
      <c r="E16" s="11" t="n">
        <v>137</v>
      </c>
      <c r="F16" s="11" t="n">
        <v>33.6</v>
      </c>
      <c r="G16" s="18" t="n">
        <v>0.6978</v>
      </c>
      <c r="H16" s="19" t="inlineStr">
        <is>
          <t>Por determinar</t>
        </is>
      </c>
    </row>
    <row r="17">
      <c r="A17" s="12" t="inlineStr">
        <is>
          <t>55</t>
        </is>
      </c>
      <c r="B17" s="31" t="n">
        <v>0.86</v>
      </c>
      <c r="C17" s="21" t="n">
        <v>0.18</v>
      </c>
      <c r="D17" s="13" t="inlineStr">
        <is>
          <t>3066 – 3131</t>
        </is>
      </c>
      <c r="E17" s="13" t="n">
        <v>65</v>
      </c>
      <c r="F17" s="13" t="n">
        <v>30.04</v>
      </c>
      <c r="G17" s="20" t="n">
        <v>0.63</v>
      </c>
      <c r="H17" s="21" t="n">
        <v>100</v>
      </c>
    </row>
    <row r="18">
      <c r="A18" s="16" t="inlineStr">
        <is>
          <t>TOTAL / PROMEDIO</t>
        </is>
      </c>
      <c r="B18" s="33">
        <f>SUM(B10:B17)</f>
        <v/>
      </c>
      <c r="C18" s="23">
        <f>SUM(C10:C17)</f>
        <v/>
      </c>
      <c r="D18" s="17" t="inlineStr">
        <is>
          <t>73 – 3246</t>
        </is>
      </c>
      <c r="E18" s="17" t="inlineStr"/>
      <c r="F18" s="17">
        <f>ROUND(AVERAGE(F10:F17),2)</f>
        <v/>
      </c>
      <c r="G18" s="22">
        <f>ROUND(AVERAGE(G10:G17),4)</f>
        <v/>
      </c>
      <c r="H18" s="23">
        <f>ROUND(AVERAGE(H10:H17),2)</f>
        <v/>
      </c>
    </row>
    <row r="19" ht="48" customHeight="1">
      <c r="A19" s="9" t="inlineStr">
        <is>
          <t>ALCANCE DE LOS PROMEDIOS. La fila TOTAL / PROMEDIO omite las celdas «Por determinar»: el promedio de VEGETACIÓN ALTA (NDVI 2025) se calcula sobre 6 de los 8 bloques; los 2 bloques restantes carecen de estadística zonal de NDVI. Los totales de ÁREA y % de microcuenca sí comprenden la totalidad de los 8 bloques. No se estima ningún valor ausente.</t>
        </is>
      </c>
      <c r="B19" s="38" t="n"/>
      <c r="C19" s="38" t="n"/>
      <c r="D19" s="38" t="n"/>
      <c r="E19" s="38" t="n"/>
      <c r="F19" s="38" t="n"/>
      <c r="G19" s="38" t="n"/>
      <c r="H19" s="39" t="n"/>
    </row>
    <row r="21" ht="84" customHeight="1">
      <c r="A21" s="9" t="inlineStr">
        <is>
          <t>LECTURA INTRAMICROCUENCA. El bloque M28B4 ocupa el puesto 1 de 8 por superficie dentro de la microcuenca C1086-Q9575 (58.52 % de las 484.30 ha preliminares de la microcuenca). Su pendiente promedio (13.75 %, clase «8-15% (Mod. inclinado)») es la 1.ª más baja de 8 y se sitúa por debajo del promedio de la microcuenca (25.51 %). Su MSAVI 2024 (0.4275) es el 8.º de 8 y queda por debajo del promedio local (0.6021). Amplitud altitudinal del bloque: 337 m (297–634 msnm). El cuadro conserva todos los bloques catalogados en la microcuenca, incluidos los descartados en el tamizaje, para referencia del conjunto. Los bloques sin ficha DT figuran con sus parámetros de gabinete.</t>
        </is>
      </c>
      <c r="B21" s="38" t="n"/>
      <c r="C21" s="38" t="n"/>
      <c r="D21" s="38" t="n"/>
      <c r="E21" s="38" t="n"/>
      <c r="F21" s="38" t="n"/>
      <c r="G21" s="38" t="n"/>
      <c r="H21" s="39" t="n"/>
    </row>
    <row r="23" ht="60" customHeight="1">
      <c r="A23"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3" s="38" t="n"/>
      <c r="C23" s="38" t="n"/>
      <c r="D23" s="38" t="n"/>
      <c r="E23" s="38" t="n"/>
      <c r="F23" s="38" t="n"/>
      <c r="G23" s="38" t="n"/>
      <c r="H23" s="39" t="n"/>
    </row>
  </sheetData>
  <mergeCells count="10">
    <mergeCell ref="A1:H1"/>
    <mergeCell ref="A4:H4"/>
    <mergeCell ref="A3:H3"/>
    <mergeCell ref="A21:H21"/>
    <mergeCell ref="A2:H2"/>
    <mergeCell ref="A19:H19"/>
    <mergeCell ref="A5:H5"/>
    <mergeCell ref="A23:H23"/>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M28B4</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«C1086-Q9575»</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249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(283.543 ha) coincide con la de catálogo (283.43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 pendiente media medida en perfil de campo 20.9%, máxima 49% (Google Earth)»; la estadística zonal sobre el MDE arroja una pendiente promedio de 13.75 %, que corresponde a la clase «8-15% (Mod.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60 % de cobertura vegetal en campo; el NDVI mediana 2025 clasifica 98.68 %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«Mambluque»; el cruce INEI-Bloques V5 identifica 3 centro(s) poblado(s) en el bloque: ALTO MAMBLUQUE, MAMBLUQUE, NUEVA ESPERANZA</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F-DT-01</t>
        </is>
      </c>
      <c r="C18" s="34" t="inlineStr">
        <is>
          <t>El rango altitudinal declarado (&lt;1000 m) no cubre la totalidad del bloque, que alcanza &gt;1100 msnm en la cresta NE</t>
        </is>
      </c>
      <c r="D18" s="15" t="inlineStr">
        <is>
          <t>NO SUSTANTIVA</t>
        </is>
      </c>
      <c r="E18" s="34" t="inlineStr">
        <is>
          <t>Se declara que la clasificación corresponde a la franja accesible inspeccionada (300-500 msnm)</t>
        </is>
      </c>
    </row>
    <row r="19" ht="48" customHeight="1">
      <c r="A19" s="36" t="inlineStr">
        <is>
          <t>D-10</t>
        </is>
      </c>
      <c r="B19" s="36" t="inlineStr">
        <is>
          <t>F-DT-01</t>
        </is>
      </c>
      <c r="C19" s="36" t="inlineStr">
        <is>
          <t>La ficha declara "remociones en masa activas: No" pero la observación señala susceptibilidad latente a remociones en la parte alta y flujos de detritos antiguos</t>
        </is>
      </c>
      <c r="D19" s="15" t="inlineStr">
        <is>
          <t>NO SUSTANTIVA</t>
        </is>
      </c>
      <c r="E19" s="36" t="inlineStr">
        <is>
          <t>Se conserva la declaración y se anota la susceptibilidad latente en la observación</t>
        </is>
      </c>
    </row>
    <row r="20" ht="48" customHeight="1">
      <c r="A20" s="34" t="inlineStr">
        <is>
          <t>D-11</t>
        </is>
      </c>
      <c r="B20" s="34" t="inlineStr">
        <is>
          <t>F-DT-04</t>
        </is>
      </c>
      <c r="C20" s="34" t="inlineStr">
        <is>
          <t>La causa 15 (plagas o enfermedades forestales) registra extensión 50% y antigüedad 10 años pero no consigna intensidad, siendo el factor de degradación identificado como principal</t>
        </is>
      </c>
      <c r="D20" s="37" t="inlineStr">
        <is>
          <t>SUSTANTIVA</t>
        </is>
      </c>
      <c r="E20" s="34" t="inlineStr">
        <is>
          <t>Se declara la omisión; corresponde valorar la intensidad dada su condición de causa directa prioritaria</t>
        </is>
      </c>
    </row>
    <row r="21" ht="48" customHeight="1">
      <c r="A21" s="36" t="inlineStr">
        <is>
          <t>D-12</t>
        </is>
      </c>
      <c r="B21" s="36" t="inlineStr">
        <is>
          <t>F-DT-03</t>
        </is>
      </c>
      <c r="C21" s="36" t="inlineStr">
        <is>
          <t>El indicador de infestación por plantas parásitas no cuenta con cuantificación instrumental (% de individuos afectados)</t>
        </is>
      </c>
      <c r="D21" s="37" t="inlineStr">
        <is>
          <t>SUSTANTIVA</t>
        </is>
      </c>
      <c r="E21" s="36" t="inlineStr">
        <is>
          <t>POR DETERMINAR; requiere evaluación fitosanitaria específica para dimensionar la mortandad arbórea</t>
        </is>
      </c>
    </row>
    <row r="22">
      <c r="A22" s="36" t="inlineStr">
        <is>
          <t>D-13</t>
        </is>
      </c>
      <c r="B22" s="36" t="inlineStr">
        <is>
          <t>Distribución areal de clases MSAVI 2024</t>
        </is>
      </c>
      <c r="C22" s="36" t="inlineStr">
        <is>
          <t>La hoja «Cobertura MSAVI-NDVI» consignaba «Por determinar» en la distribución areal de clases MSAVI 2024; se incorpora el metrado por clase medido sobre la cartografía temática MSAVI 2024 del bloque: 75.05 % del bloque (212.714 ha) bajo el umbral 0.4976 y 24.95 % sobre el umbral; clase areal dominante «Vigor bajo».</t>
        </is>
      </c>
      <c r="D22" s="37" t="inlineStr">
        <is>
          <t>CORREGIDO</t>
        </is>
      </c>
      <c r="E22" s="36"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3"/>
    <row r="24">
      <c r="A24" s="16" t="inlineStr">
        <is>
          <t>RESUMEN</t>
        </is>
      </c>
      <c r="B24" s="17" t="inlineStr">
        <is>
          <t>13 verificaciones</t>
        </is>
      </c>
      <c r="C24" s="17" t="inlineStr">
        <is>
          <t>CONFORME: 4 · NO SUSTANTIVA: 4 · SUSTANTIVA: 4 · CORREGIDO: 1</t>
        </is>
      </c>
      <c r="D24" s="17" t="inlineStr"/>
      <c r="E24" s="17" t="inlineStr"/>
    </row>
    <row r="25" ht="60" customHeight="1"/>
    <row r="26">
      <c r="A26"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6" s="38" t="n"/>
      <c r="C26" s="38" t="n"/>
      <c r="D26" s="38" t="n"/>
      <c r="E26" s="39" t="n"/>
    </row>
  </sheetData>
  <mergeCells count="8">
    <mergeCell ref="A4:E4"/>
    <mergeCell ref="A26:E26"/>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M28B4 — IN Piura</dc:title>
  <dc:subject>Diagnóstico Territorial por bloque de intervención</dc:subject>
  <dcterms:created xsi:type="dcterms:W3CDTF">2026-09-08T03:39:58Z</dcterms:created>
  <dcterms:modified xsi:type="dcterms:W3CDTF">2026-09-09T14:49:46Z</dcterms:modified>
</cp:coreProperties>
</file>