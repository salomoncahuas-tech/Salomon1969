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M28B4</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Mambluque</t>
        </is>
      </c>
      <c r="C13" s="6" t="inlineStr">
        <is>
          <t>Comunidad campesina</t>
        </is>
      </c>
      <c r="D13" s="7" t="inlineStr">
        <is>
          <t>Caserío Mambluque (predios particulares de posesionarios)</t>
        </is>
      </c>
      <c r="E13" s="8" t="n"/>
      <c r="F13" s="8" t="n"/>
    </row>
    <row r="14">
      <c r="A14" s="6" t="inlineStr">
        <is>
          <t>Superficie de catálogo (V5/V6), ha</t>
        </is>
      </c>
      <c r="B14" s="7" t="n">
        <v>283.43</v>
      </c>
      <c r="C14" s="6" t="inlineStr">
        <is>
          <t>Fuente de superficie</t>
        </is>
      </c>
      <c r="D14" s="7" t="inlineStr">
        <is>
          <t>Catálogo maestro Bloques V5/V6</t>
        </is>
      </c>
      <c r="E14" s="8" t="n"/>
      <c r="F14" s="8" t="n"/>
    </row>
    <row r="15">
      <c r="A15" s="6" t="inlineStr">
        <is>
          <t>Centroide UTM ESTE (m)</t>
        </is>
      </c>
      <c r="B15" s="7" t="n">
        <v>626078</v>
      </c>
      <c r="C15" s="6" t="inlineStr">
        <is>
          <t>Centroide UTM NORTE (m)</t>
        </is>
      </c>
      <c r="D15" s="7" t="n">
        <v>9427110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297</v>
      </c>
      <c r="C19" s="6" t="inlineStr">
        <is>
          <t>Altitud máxima (msnm)</t>
        </is>
      </c>
      <c r="D19" s="7" t="n">
        <v>634</v>
      </c>
      <c r="E19" s="8" t="n"/>
      <c r="F19" s="8" t="n"/>
    </row>
    <row r="20">
      <c r="A20" s="6" t="inlineStr">
        <is>
          <t>Amplitud altitudinal (m)</t>
        </is>
      </c>
      <c r="B20" s="7" t="n">
        <v>337</v>
      </c>
      <c r="C20" s="6" t="inlineStr">
        <is>
          <t>Piso altitudinal dominante</t>
        </is>
      </c>
      <c r="D20" s="7" t="inlineStr">
        <is>
          <t>&lt;1000 m (Yunga)</t>
        </is>
      </c>
      <c r="E20" s="8" t="n"/>
      <c r="F20" s="8" t="n"/>
    </row>
    <row r="21">
      <c r="A21" s="6" t="inlineStr">
        <is>
          <t>Pendiente promedio (%)</t>
        </is>
      </c>
      <c r="B21" s="7" t="n">
        <v>13.75</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25-50% (Mod. escarpado) — pendiente media medida en perfil de campo 20.9%, máxima 49% (Google Earth)</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0.4275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(43.51 %)</t>
        </is>
      </c>
      <c r="E29" s="8" t="n"/>
      <c r="F29" s="8" t="n"/>
    </row>
    <row r="30">
      <c r="A30" s="6" t="inlineStr">
        <is>
          <t>Superficie clasificada NDVI 2025 (ha)</t>
        </is>
      </c>
      <c r="B30" s="7" t="n">
        <v>283.543</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270 ha de 283.43 ha del bloque (95.3%)</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60</v>
      </c>
      <c r="E35" s="8" t="n"/>
      <c r="F35" s="8" t="n"/>
    </row>
    <row r="36">
      <c r="A36" s="6" t="inlineStr">
        <is>
          <t>Suelo desnudo — campo (%)</t>
        </is>
      </c>
      <c r="B36" s="7" t="n">
        <v>25</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15</v>
      </c>
      <c r="C38" s="6" t="inlineStr">
        <is>
          <t>Estado sanitario</t>
        </is>
      </c>
      <c r="D38" s="7" t="inlineStr">
        <is>
          <t>Enfermo (plaga) — infestación masiva por plantas parásitas</t>
        </is>
      </c>
      <c r="E38" s="8" t="n"/>
      <c r="F38" s="8" t="n"/>
    </row>
    <row r="40" ht="18" customHeight="1">
      <c r="A40" s="5" t="inlineStr">
        <is>
          <t>5. RESPONSABLE Y MODALIDAD DE LA EVALUACIÓN</t>
        </is>
      </c>
    </row>
    <row r="41">
      <c r="A41" s="6" t="inlineStr">
        <is>
          <t>Responsable de la evaluación</t>
        </is>
      </c>
      <c r="B41" s="7" t="inlineStr">
        <is>
          <t>Ing. Héctor S. Cahuas Miller / Ing. Juan Carlos Domínguez Varas (ANIN-DIME-SESDI)</t>
        </is>
      </c>
      <c r="C41" s="6" t="inlineStr">
        <is>
          <t>Fecha de evaluación</t>
        </is>
      </c>
      <c r="D41" s="7" t="inlineStr">
        <is>
          <t>2026-05-22</t>
        </is>
      </c>
      <c r="E41" s="8" t="n"/>
      <c r="F41" s="8" t="n"/>
    </row>
    <row r="42">
      <c r="A42" s="6" t="inlineStr">
        <is>
          <t>Hora de registro</t>
        </is>
      </c>
      <c r="B42" s="7" t="inlineStr">
        <is>
          <t>11:40 a.m.</t>
        </is>
      </c>
      <c r="C42" s="6" t="inlineStr">
        <is>
          <t>Correlativo de ficha</t>
        </is>
      </c>
      <c r="D42" s="7" t="inlineStr">
        <is>
          <t>DT-M28B4-01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P-01 (bosque seco, ladera media)</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Presión socioeconómica de subsistencia sobre el bosque seco (ganadería extensiva y extracción de recursos)</t>
        </is>
      </c>
      <c r="C48" s="6" t="inlineStr">
        <is>
          <t>Velocidad de degradación</t>
        </is>
      </c>
      <c r="D48" s="7" t="inlineStr">
        <is>
          <t>Rápida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0.42751</v>
      </c>
      <c r="C15" s="17" t="inlineStr">
        <is>
          <t>—</t>
        </is>
      </c>
      <c r="D15" s="17" t="inlineStr">
        <is>
          <t>Vigor bajo · clase 0.3813 - 0.4976</t>
        </is>
      </c>
      <c r="E15" s="17" t="inlineStr">
        <is>
          <t>BAJO umbral 0.4976</t>
        </is>
      </c>
    </row>
    <row r="17" ht="72" customHeight="1">
      <c r="A17" s="9" t="inlineStr">
        <is>
          <t>NOTA METODOLÓGICA. La media del MSAVI 2024 del bloque (0.427510)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51.2943</v>
      </c>
      <c r="C21" s="19" t="n">
        <v>18.09</v>
      </c>
      <c r="D21" s="11" t="inlineStr">
        <is>
          <t>Dosel continuo, matorral denso o mosaico agroforestal</t>
        </is>
      </c>
      <c r="E21" s="11" t="inlineStr"/>
    </row>
    <row r="22">
      <c r="A22" s="12" t="inlineStr">
        <is>
          <t>Vegetación mediana</t>
        </is>
      </c>
      <c r="B22" s="20" t="n">
        <v>123.3696</v>
      </c>
      <c r="C22" s="21" t="n">
        <v>43.51</v>
      </c>
      <c r="D22" s="13" t="inlineStr">
        <is>
          <t>Pastizal cultivado, matorral ralo, parcelas agrícolas</t>
        </is>
      </c>
      <c r="E22" s="13" t="inlineStr"/>
    </row>
    <row r="23">
      <c r="A23" s="7" t="inlineStr">
        <is>
          <t>Vegetación ligera</t>
        </is>
      </c>
      <c r="B23" s="18" t="n">
        <v>105.1473</v>
      </c>
      <c r="C23" s="19" t="n">
        <v>37.08</v>
      </c>
      <c r="D23" s="11" t="inlineStr">
        <is>
          <t>Cobertura discontinua, suelo parcialmente expuesto</t>
        </is>
      </c>
      <c r="E23" s="11" t="inlineStr"/>
    </row>
    <row r="24">
      <c r="A24" s="12" t="inlineStr">
        <is>
          <t>Tierra desnuda</t>
        </is>
      </c>
      <c r="B24" s="20" t="n">
        <v>3.7322</v>
      </c>
      <c r="C24" s="21" t="n">
        <v>1.32</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283.43</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18.09 % del polígono clasificado como «Vegetación alta» por el NDVI 2025; la observación de campo corresponde a una parcela o recorrido puntual y no es estadísticamente representativa de las 283.430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M28B4</t>
        </is>
      </c>
    </row>
    <row r="6" ht="24" customHeight="1">
      <c r="A6" s="4" t="inlineStr">
        <is>
          <t>Levantamiento del 2026-05-22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625873</v>
      </c>
      <c r="D10" s="26" t="n">
        <v>9427251</v>
      </c>
      <c r="E10" s="11" t="n">
        <v>248.8</v>
      </c>
      <c r="F10" s="11" t="inlineStr"/>
      <c r="G10" s="11" t="inlineStr">
        <is>
          <t>Coordenada consignada en F-DT-01</t>
        </is>
      </c>
    </row>
    <row r="11">
      <c r="A11" s="12" t="inlineStr">
        <is>
          <t>C-01</t>
        </is>
      </c>
      <c r="B11" s="13" t="inlineStr">
        <is>
          <t>Rasgo erosivo — Cárcava somera</t>
        </is>
      </c>
      <c r="C11" s="27" t="n">
        <v>625599</v>
      </c>
      <c r="D11" s="27" t="n">
        <v>9426835</v>
      </c>
      <c r="E11" s="13" t="n">
        <v>552.3</v>
      </c>
      <c r="F11" s="13" t="n">
        <v>45</v>
      </c>
      <c r="G11" s="13" t="n">
        <v>1.2</v>
      </c>
    </row>
    <row r="12">
      <c r="A12" s="7" t="inlineStr">
        <is>
          <t>C-02</t>
        </is>
      </c>
      <c r="B12" s="11" t="inlineStr">
        <is>
          <t>Rasgo erosivo — Cárcava incipiente</t>
        </is>
      </c>
      <c r="C12" s="26" t="n">
        <v>625583</v>
      </c>
      <c r="D12" s="26" t="n">
        <v>9426830</v>
      </c>
      <c r="E12" s="11" t="n">
        <v>568.7</v>
      </c>
      <c r="F12" s="11" t="n">
        <v>30</v>
      </c>
      <c r="G12" s="11" t="n">
        <v>0.4</v>
      </c>
    </row>
    <row r="13">
      <c r="A13" s="12" t="inlineStr">
        <is>
          <t>C-03</t>
        </is>
      </c>
      <c r="B13" s="13" t="inlineStr">
        <is>
          <t>Rasgo erosivo — Surco (&lt;30 cm)</t>
        </is>
      </c>
      <c r="C13" s="27" t="n">
        <v>625834</v>
      </c>
      <c r="D13" s="27" t="n">
        <v>9427153</v>
      </c>
      <c r="E13" s="13" t="n">
        <v>247.8</v>
      </c>
      <c r="F13" s="13" t="n">
        <v>25</v>
      </c>
      <c r="G13" s="13" t="n">
        <v>0.2</v>
      </c>
    </row>
    <row r="14">
      <c r="A14" s="7" t="inlineStr">
        <is>
          <t>H-01</t>
        </is>
      </c>
      <c r="B14" s="11" t="inlineStr">
        <is>
          <t>Fuente de agua — 1</t>
        </is>
      </c>
      <c r="C14" s="26" t="inlineStr">
        <is>
          <t>Quebrada estacional (Qbda. Alta)</t>
        </is>
      </c>
      <c r="D14" s="26" t="n">
        <v>625980</v>
      </c>
      <c r="E14" s="11" t="inlineStr"/>
      <c r="F14" s="11" t="n">
        <v>9427900</v>
      </c>
      <c r="G14" s="11" t="inlineStr"/>
    </row>
    <row r="15">
      <c r="A15" s="12" t="inlineStr">
        <is>
          <t>H-02</t>
        </is>
      </c>
      <c r="B15" s="13" t="inlineStr">
        <is>
          <t>Fuente de agua — 2</t>
        </is>
      </c>
      <c r="C15" s="27" t="inlineStr">
        <is>
          <t>Quebrada estacional (Qbda. Alta 2)</t>
        </is>
      </c>
      <c r="D15" s="27" t="n">
        <v>626100</v>
      </c>
      <c r="E15" s="13" t="inlineStr"/>
      <c r="F15" s="13" t="n">
        <v>9428100</v>
      </c>
      <c r="G15" s="13" t="inlineStr"/>
    </row>
    <row r="16">
      <c r="A16" s="7" t="inlineStr">
        <is>
          <t>B-01</t>
        </is>
      </c>
      <c r="B16" s="11" t="inlineStr">
        <is>
          <t>Especie clave — Hualtaco (Loxopterygium huasango)</t>
        </is>
      </c>
      <c r="C16" s="26" t="inlineStr">
        <is>
          <t>625873</t>
        </is>
      </c>
      <c r="D16" s="26" t="inlineStr">
        <is>
          <t>9427251</t>
        </is>
      </c>
      <c r="E16" s="11" t="n">
        <v>248.8</v>
      </c>
      <c r="F16" s="11" t="inlineStr">
        <is>
          <t>Amenazada (D.S. 043-2006-AG)</t>
        </is>
      </c>
      <c r="G16" s="11" t="inlineStr">
        <is>
          <t>EN - En Peligro</t>
        </is>
      </c>
    </row>
    <row r="17">
      <c r="A17" s="12" t="inlineStr">
        <is>
          <t>B-02</t>
        </is>
      </c>
      <c r="B17" s="13" t="inlineStr">
        <is>
          <t>Especie clave — Palo Santo (Bursera graveolens)</t>
        </is>
      </c>
      <c r="C17" s="27" t="inlineStr">
        <is>
          <t>625891</t>
        </is>
      </c>
      <c r="D17" s="27" t="inlineStr">
        <is>
          <t>9427272</t>
        </is>
      </c>
      <c r="E17" s="13" t="n">
        <v>247.4</v>
      </c>
      <c r="F17" s="13" t="inlineStr">
        <is>
          <t>Amenazada (D.S. 043-2006-AG)</t>
        </is>
      </c>
      <c r="G17" s="13" t="inlineStr">
        <is>
          <t>CR - En Peligro Crítico</t>
        </is>
      </c>
    </row>
    <row r="18">
      <c r="A18" s="7" t="inlineStr">
        <is>
          <t>B-03</t>
        </is>
      </c>
      <c r="B18" s="11" t="inlineStr">
        <is>
          <t>Especie clave — Sapote / Vichayo (Colicodendron scabridum)</t>
        </is>
      </c>
      <c r="C18" s="26" t="inlineStr">
        <is>
          <t>625834</t>
        </is>
      </c>
      <c r="D18" s="26" t="inlineStr">
        <is>
          <t>9427153</t>
        </is>
      </c>
      <c r="E18" s="11" t="n">
        <v>247.8</v>
      </c>
      <c r="F18" s="11" t="inlineStr">
        <is>
          <t>Amenazada (D.S. 043-2006-AG)</t>
        </is>
      </c>
      <c r="G18" s="11" t="inlineStr">
        <is>
          <t>CR - En Peligro Crítico</t>
        </is>
      </c>
    </row>
    <row r="19">
      <c r="A19" s="12" t="inlineStr">
        <is>
          <t>B-04</t>
        </is>
      </c>
      <c r="B19" s="13" t="inlineStr">
        <is>
          <t>Especie clave — Ceiba / Ceibo (Ceiba trichistandra)</t>
        </is>
      </c>
      <c r="C19" s="27" t="inlineStr">
        <is>
          <t>625530</t>
        </is>
      </c>
      <c r="D19" s="27" t="inlineStr">
        <is>
          <t>9426815</t>
        </is>
      </c>
      <c r="E19" s="13" t="n">
        <v>622.4</v>
      </c>
      <c r="F19" s="13" t="inlineStr">
        <is>
          <t>Indicadora de buen estado</t>
        </is>
      </c>
      <c r="G19" s="13" t="inlineStr">
        <is>
          <t>LC - Preocupación Menor</t>
        </is>
      </c>
    </row>
    <row r="20">
      <c r="A20" s="7" t="inlineStr">
        <is>
          <t>B-05</t>
        </is>
      </c>
      <c r="B20" s="11" t="inlineStr">
        <is>
          <t>Especie clave — Faique (Acacia macracantha)</t>
        </is>
      </c>
      <c r="C20" s="26" t="inlineStr">
        <is>
          <t>625900</t>
        </is>
      </c>
      <c r="D20" s="26" t="inlineStr">
        <is>
          <t>9427250</t>
        </is>
      </c>
      <c r="E20" s="11" t="n">
        <v>226.5</v>
      </c>
      <c r="F20" s="11" t="inlineStr">
        <is>
          <t>Amenazada (D.S. 043-2006-AG)</t>
        </is>
      </c>
      <c r="G20" s="11" t="inlineStr">
        <is>
          <t>NT - Casi Amenazada</t>
        </is>
      </c>
    </row>
    <row r="21">
      <c r="A21" s="12" t="inlineStr">
        <is>
          <t>B-06</t>
        </is>
      </c>
      <c r="B21" s="13" t="inlineStr">
        <is>
          <t>Especie clave — Algarrobo (Prosopis pallida)</t>
        </is>
      </c>
      <c r="C21" s="27" t="inlineStr">
        <is>
          <t>625600</t>
        </is>
      </c>
      <c r="D21" s="27" t="inlineStr">
        <is>
          <t>9426905</t>
        </is>
      </c>
      <c r="E21" s="13" t="n">
        <v>520.1</v>
      </c>
      <c r="F21" s="13" t="inlineStr">
        <is>
          <t>Amenazada (D.S. 043-2006-AG)</t>
        </is>
      </c>
      <c r="G21" s="13" t="inlineStr">
        <is>
          <t>VU - Vulnerable</t>
        </is>
      </c>
    </row>
    <row r="22">
      <c r="A22" s="7" t="inlineStr">
        <is>
          <t>B-07</t>
        </is>
      </c>
      <c r="B22" s="11" t="inlineStr">
        <is>
          <t>Especie clave — Muérdago (Psittacanthus sp.)</t>
        </is>
      </c>
      <c r="C22" s="26" t="inlineStr">
        <is>
          <t>625873</t>
        </is>
      </c>
      <c r="D22" s="26" t="inlineStr">
        <is>
          <t>9427251</t>
        </is>
      </c>
      <c r="E22" s="11" t="n">
        <v>248.8</v>
      </c>
      <c r="F22" s="11" t="inlineStr">
        <is>
          <t>Indicadora de perturbación</t>
        </is>
      </c>
      <c r="G22" s="11" t="inlineStr">
        <is>
          <t>No aplica</t>
        </is>
      </c>
    </row>
    <row r="23">
      <c r="A23" s="16" t="inlineStr">
        <is>
          <t>TOTAL: 13 puntos</t>
        </is>
      </c>
      <c r="B23" s="17" t="inlineStr"/>
      <c r="C23" s="17" t="inlineStr"/>
      <c r="D23" s="17" t="inlineStr"/>
      <c r="E23" s="17" t="inlineStr"/>
      <c r="F23" s="17" t="inlineStr"/>
      <c r="G23" s="17" t="inlineStr"/>
    </row>
    <row r="25">
      <c r="A25" s="6" t="inlineStr">
        <is>
          <t>Centroide del bloque — UTM ESTE (m)</t>
        </is>
      </c>
      <c r="B25" s="7" t="n">
        <v>626078</v>
      </c>
      <c r="C25" s="6" t="inlineStr">
        <is>
          <t>Centroide del bloque — UTM NORTE (m)</t>
        </is>
      </c>
      <c r="D25" s="7" t="n">
        <v>9427110</v>
      </c>
      <c r="E25" s="8" t="n"/>
      <c r="F25" s="8" t="n"/>
      <c r="G25" s="8" t="n"/>
      <c r="H25" s="8" t="n"/>
    </row>
    <row r="26">
      <c r="A26" s="6" t="inlineStr">
        <is>
          <t>N.° de estaciones fotográficas declaradas</t>
        </is>
      </c>
      <c r="B26" s="7" t="n">
        <v>0</v>
      </c>
      <c r="C26" s="6" t="inlineStr">
        <is>
          <t>Estaciones dentro del polígono</t>
        </is>
      </c>
      <c r="D26" s="7" t="n">
        <v>0</v>
      </c>
      <c r="E26" s="8" t="n"/>
      <c r="F26" s="8" t="n"/>
      <c r="G26" s="8" t="n"/>
      <c r="H26" s="8" t="n"/>
    </row>
    <row r="28" ht="120" customHeight="1">
      <c r="A2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seleccionado por su rol en la regulación de movimientos en masa y la generación de escorrentía en la ZONA DE ORIGEN de los peligros (cabecera de la microcuenca C1086-Q9575). Las acumulaciones de bloques angulosos en quebradas son compatibles con flujos de detritos antiguos; la parte alta presenta susceptibilidad latente a remociones en masa. El rango altitudinal declarado (&lt;1000 m) corresponde a la franja accesible inspeccionada; el bloque alcanza cotas superiores a 1100 msnm en la cresta NE, inaccesible durante la visita.</t>
        </is>
      </c>
    </row>
  </sheetData>
  <mergeCells count="8">
    <mergeCell ref="A1:G1"/>
    <mergeCell ref="A8:G8"/>
    <mergeCell ref="A3:G3"/>
    <mergeCell ref="A6:G6"/>
    <mergeCell ref="A4:G4"/>
    <mergeCell ref="A2:G2"/>
    <mergeCell ref="A28:G28"/>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M28B4</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M28B4</t>
        </is>
      </c>
      <c r="B10" s="28" t="n">
        <v>283.43</v>
      </c>
      <c r="C10" s="29" t="n">
        <v>58.52</v>
      </c>
      <c r="D10" s="15" t="inlineStr">
        <is>
          <t>297 – 634</t>
        </is>
      </c>
      <c r="E10" s="15" t="n">
        <v>337</v>
      </c>
      <c r="F10" s="15" t="n">
        <v>13.75</v>
      </c>
      <c r="G10" s="30" t="n">
        <v>0.4275</v>
      </c>
      <c r="H10" s="29" t="n">
        <v>18.09</v>
      </c>
    </row>
    <row r="11">
      <c r="A11" s="12" t="inlineStr">
        <is>
          <t>M28B2</t>
        </is>
      </c>
      <c r="B11" s="31" t="n">
        <v>90.2</v>
      </c>
      <c r="C11" s="21" t="n">
        <v>18.62</v>
      </c>
      <c r="D11" s="13" t="inlineStr">
        <is>
          <t>754 – 1111</t>
        </is>
      </c>
      <c r="E11" s="13" t="n">
        <v>357</v>
      </c>
      <c r="F11" s="13" t="n">
        <v>20.65</v>
      </c>
      <c r="G11" s="20" t="n">
        <v>0.4753</v>
      </c>
      <c r="H11" s="21" t="n">
        <v>37.12</v>
      </c>
    </row>
    <row r="12">
      <c r="A12" s="7" t="inlineStr">
        <is>
          <t>M28B3</t>
        </is>
      </c>
      <c r="B12" s="32" t="n">
        <v>58.29</v>
      </c>
      <c r="C12" s="19" t="n">
        <v>12.04</v>
      </c>
      <c r="D12" s="11" t="inlineStr">
        <is>
          <t>73 – 777</t>
        </is>
      </c>
      <c r="E12" s="11" t="n">
        <v>704</v>
      </c>
      <c r="F12" s="11" t="n">
        <v>22.13</v>
      </c>
      <c r="G12" s="18" t="n">
        <v>0.5075</v>
      </c>
      <c r="H12" s="19" t="n">
        <v>45.27</v>
      </c>
    </row>
    <row r="13">
      <c r="A13" s="12" t="inlineStr">
        <is>
          <t>46</t>
        </is>
      </c>
      <c r="B13" s="31" t="n">
        <v>18.87</v>
      </c>
      <c r="C13" s="21" t="n">
        <v>3.9</v>
      </c>
      <c r="D13" s="13" t="inlineStr">
        <is>
          <t>1371 – 1655</t>
        </is>
      </c>
      <c r="E13" s="13" t="n">
        <v>284</v>
      </c>
      <c r="F13" s="13" t="n">
        <v>31.77</v>
      </c>
      <c r="G13" s="20" t="n">
        <v>0.7244</v>
      </c>
      <c r="H13" s="21" t="inlineStr">
        <is>
          <t>Por determinar</t>
        </is>
      </c>
    </row>
    <row r="14">
      <c r="A14" s="7" t="inlineStr">
        <is>
          <t>49</t>
        </is>
      </c>
      <c r="B14" s="32" t="n">
        <v>15.84</v>
      </c>
      <c r="C14" s="19" t="n">
        <v>3.27</v>
      </c>
      <c r="D14" s="11" t="inlineStr">
        <is>
          <t>3065 – 3246</t>
        </is>
      </c>
      <c r="E14" s="11" t="n">
        <v>181</v>
      </c>
      <c r="F14" s="11" t="n">
        <v>25.96</v>
      </c>
      <c r="G14" s="18" t="n">
        <v>0.6860000000000001</v>
      </c>
      <c r="H14" s="19" t="n">
        <v>98.8</v>
      </c>
    </row>
    <row r="15">
      <c r="A15" s="12" t="inlineStr">
        <is>
          <t>52</t>
        </is>
      </c>
      <c r="B15" s="31" t="n">
        <v>11.06</v>
      </c>
      <c r="C15" s="21" t="n">
        <v>2.28</v>
      </c>
      <c r="D15" s="13" t="inlineStr">
        <is>
          <t>3011 – 3164</t>
        </is>
      </c>
      <c r="E15" s="13" t="n">
        <v>153</v>
      </c>
      <c r="F15" s="13" t="n">
        <v>26.16</v>
      </c>
      <c r="G15" s="20" t="n">
        <v>0.6685</v>
      </c>
      <c r="H15" s="21" t="n">
        <v>97.31999999999999</v>
      </c>
    </row>
    <row r="16">
      <c r="A16" s="7" t="inlineStr">
        <is>
          <t>48</t>
        </is>
      </c>
      <c r="B16" s="32" t="n">
        <v>5.75</v>
      </c>
      <c r="C16" s="19" t="n">
        <v>1.19</v>
      </c>
      <c r="D16" s="11" t="inlineStr">
        <is>
          <t>1458 – 1595</t>
        </is>
      </c>
      <c r="E16" s="11" t="n">
        <v>137</v>
      </c>
      <c r="F16" s="11" t="n">
        <v>33.6</v>
      </c>
      <c r="G16" s="18" t="n">
        <v>0.6978</v>
      </c>
      <c r="H16" s="19" t="inlineStr">
        <is>
          <t>Por determinar</t>
        </is>
      </c>
    </row>
    <row r="17">
      <c r="A17" s="12" t="inlineStr">
        <is>
          <t>55</t>
        </is>
      </c>
      <c r="B17" s="31" t="n">
        <v>0.86</v>
      </c>
      <c r="C17" s="21" t="n">
        <v>0.18</v>
      </c>
      <c r="D17" s="13" t="inlineStr">
        <is>
          <t>3066 – 3131</t>
        </is>
      </c>
      <c r="E17" s="13" t="n">
        <v>65</v>
      </c>
      <c r="F17" s="13" t="n">
        <v>30.04</v>
      </c>
      <c r="G17" s="20" t="n">
        <v>0.63</v>
      </c>
      <c r="H17" s="21" t="n">
        <v>100</v>
      </c>
    </row>
    <row r="18">
      <c r="A18" s="16" t="inlineStr">
        <is>
          <t>TOTAL / PROMEDIO</t>
        </is>
      </c>
      <c r="B18" s="33">
        <f>SUM(B10:B17)</f>
        <v/>
      </c>
      <c r="C18" s="23">
        <f>SUM(C10:C17)</f>
        <v/>
      </c>
      <c r="D18" s="17" t="inlineStr">
        <is>
          <t>73 – 3246</t>
        </is>
      </c>
      <c r="E18" s="17" t="inlineStr"/>
      <c r="F18" s="17">
        <f>ROUND(AVERAGE(F10:F17),2)</f>
        <v/>
      </c>
      <c r="G18" s="22">
        <f>ROUND(AVERAGE(G10:G17),4)</f>
        <v/>
      </c>
      <c r="H18" s="23">
        <f>ROUND(AVERAGE(H10:H17),2)</f>
        <v/>
      </c>
    </row>
    <row r="20" ht="84" customHeight="1">
      <c r="A20" s="9" t="inlineStr">
        <is>
          <t>LECTURA INTRAMICROCUENCA. El bloque M28B4 ocupa el puesto 1 de 8 por superficie dentro de la microcuenca C1086-Q9575 (58.52 % de las 484.30 ha preliminares de la microcuenca). Su pendiente promedio (13.75 %, clase «8-15% (Mod. inclinado)») es la 1.ª más baja de 8 y se sitúa por debajo del promedio de la microcuenca (25.51 %). Su MSAVI 2024 (0.4275) es el 8.º de 8 y queda por debajo del promedio local (0.6021). Amplitud altitudinal del bloque: 337 m (297–634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M28B4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249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(283.543 ha) coincide con la de catálogo (283.43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 pendiente media medida en perfil de campo 20.9%, máxima 49% (Google Earth)»; la estadística zonal sobre el MDE arroja una pendiente promedio de 13.75 %,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60 % de cobertura vegetal en campo; el NDVI mediana 2025 clasifica 98.68 %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«Mambluque»; el cruce INEI-Bloques V5 identifica 3 centro(s) poblado(s) en el bloque: ALTO MAMBLUQUE, MAMBLUQUE, NUEVA ESPERANZA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El rango altitudinal declarado (&lt;1000 m) no cubre la totalidad del bloque, que alcanza &gt;1100 msnm en la cresta NE</t>
        </is>
      </c>
      <c r="D18" s="15" t="inlineStr">
        <is>
          <t>NO SUSTANTIVA</t>
        </is>
      </c>
      <c r="E18" s="34" t="inlineStr">
        <is>
          <t>Se declara que la clasificación corresponde a la franja accesible inspeccionada (300-500 msnm)</t>
        </is>
      </c>
    </row>
    <row r="19" ht="48" customHeight="1">
      <c r="A19" s="36" t="inlineStr">
        <is>
          <t>D-10</t>
        </is>
      </c>
      <c r="B19" s="36" t="inlineStr">
        <is>
          <t>F-DT-01</t>
        </is>
      </c>
      <c r="C19" s="36" t="inlineStr">
        <is>
          <t>La ficha declara "remociones en masa activas: No" pero la observación señala susceptibilidad latente a remociones en la parte alta y flujos de detritos antiguos</t>
        </is>
      </c>
      <c r="D19" s="15" t="inlineStr">
        <is>
          <t>NO SUSTANTIVA</t>
        </is>
      </c>
      <c r="E19" s="36" t="inlineStr">
        <is>
          <t>Se conserva la declaración y se anota la susceptibilidad latente en la observación</t>
        </is>
      </c>
    </row>
    <row r="20" ht="48" customHeight="1">
      <c r="A20" s="34" t="inlineStr">
        <is>
          <t>D-11</t>
        </is>
      </c>
      <c r="B20" s="34" t="inlineStr">
        <is>
          <t>F-DT-04</t>
        </is>
      </c>
      <c r="C20" s="34" t="inlineStr">
        <is>
          <t>La causa 15 (plagas o enfermedades forestales) registra extensión 50% y antigüedad 10 años pero no consigna intensidad, siendo el factor de degradación identificado como principal</t>
        </is>
      </c>
      <c r="D20" s="37" t="inlineStr">
        <is>
          <t>SUSTANTIVA</t>
        </is>
      </c>
      <c r="E20" s="34" t="inlineStr">
        <is>
          <t>Se declara la omisión; corresponde valorar la intensidad dada su condición de causa directa prioritaria</t>
        </is>
      </c>
    </row>
    <row r="21" ht="48" customHeight="1">
      <c r="A21" s="36" t="inlineStr">
        <is>
          <t>D-12</t>
        </is>
      </c>
      <c r="B21" s="36" t="inlineStr">
        <is>
          <t>F-DT-03</t>
        </is>
      </c>
      <c r="C21" s="36" t="inlineStr">
        <is>
          <t>El indicador de infestación por plantas parásitas no cuenta con cuantificación instrumental (% de individuos afectados)</t>
        </is>
      </c>
      <c r="D21" s="37" t="inlineStr">
        <is>
          <t>SUSTANTIVA</t>
        </is>
      </c>
      <c r="E21" s="36" t="inlineStr">
        <is>
          <t>POR DETERMINAR; requiere evaluación fitosanitaria específica para dimensionar la mortandad arbórea</t>
        </is>
      </c>
    </row>
    <row r="23">
      <c r="A23" s="16" t="inlineStr">
        <is>
          <t>RESUMEN</t>
        </is>
      </c>
      <c r="B23" s="17" t="inlineStr">
        <is>
          <t>12 verificaciones</t>
        </is>
      </c>
      <c r="C23" s="17" t="inlineStr">
        <is>
          <t>CONFORME: 4 · NO SUSTANTIVA: 4 · SUSTANTIVA: 4</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M28B4 — IN Piura</dc:title>
  <dc:subject>Diagnóstico Territorial por bloque de intervención</dc:subject>
  <dcterms:created xsi:type="dcterms:W3CDTF">2026-09-08T02:45:06Z</dcterms:created>
  <dcterms:modified xsi:type="dcterms:W3CDTF">2026-09-08T02:45:06Z</dcterms:modified>
</cp:coreProperties>
</file>