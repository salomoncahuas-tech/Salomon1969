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39</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39</t>
        </is>
      </c>
      <c r="C9" s="6" t="inlineStr">
        <is>
          <t>Microcuenca (catálogo)</t>
        </is>
      </c>
      <c r="D9" s="7" t="inlineStr">
        <is>
          <t>C1096-Q9564</t>
        </is>
      </c>
      <c r="E9" s="8" t="n"/>
      <c r="F9" s="8" t="n"/>
    </row>
    <row r="10">
      <c r="A10" s="6" t="inlineStr">
        <is>
          <t>Zona de planificación</t>
        </is>
      </c>
      <c r="B10" s="7" t="inlineStr">
        <is>
          <t>Z02</t>
        </is>
      </c>
      <c r="C10" s="6" t="inlineStr">
        <is>
          <t>Microcuenca declarada en ficha DT</t>
        </is>
      </c>
      <c r="D10" s="7" t="inlineStr">
        <is>
          <t>C1096-Q9564</t>
        </is>
      </c>
      <c r="E10" s="8" t="n"/>
      <c r="F10" s="8" t="n"/>
    </row>
    <row r="11">
      <c r="A11" s="6" t="inlineStr">
        <is>
          <t>Departamento</t>
        </is>
      </c>
      <c r="B11" s="7" t="inlineStr">
        <is>
          <t>Piura</t>
        </is>
      </c>
      <c r="C11" s="6" t="inlineStr">
        <is>
          <t>Provincia</t>
        </is>
      </c>
      <c r="D11" s="7" t="inlineStr">
        <is>
          <t>Ayabaca</t>
        </is>
      </c>
      <c r="E11" s="8" t="n"/>
      <c r="F11" s="8" t="n"/>
    </row>
    <row r="12">
      <c r="A12" s="6" t="inlineStr">
        <is>
          <t>Distrito</t>
        </is>
      </c>
      <c r="B12" s="7" t="inlineStr">
        <is>
          <t>Frias</t>
        </is>
      </c>
      <c r="C12" s="6" t="inlineStr">
        <is>
          <t>Capital distrital</t>
        </is>
      </c>
      <c r="D12" s="7" t="inlineStr">
        <is>
          <t>Frias</t>
        </is>
      </c>
      <c r="E12" s="8" t="n"/>
      <c r="F12" s="8" t="n"/>
    </row>
    <row r="13">
      <c r="A13" s="6" t="inlineStr">
        <is>
          <t>Centro poblado asociado</t>
        </is>
      </c>
      <c r="B13" s="7" t="inlineStr">
        <is>
          <t>La Cría</t>
        </is>
      </c>
      <c r="C13" s="6" t="inlineStr">
        <is>
          <t>Comunidad campesina</t>
        </is>
      </c>
      <c r="D13" s="7" t="inlineStr">
        <is>
          <t>Por verificar (consultar Dirección Regional Agraria Piura)</t>
        </is>
      </c>
      <c r="E13" s="8" t="n"/>
      <c r="F13" s="8" t="n"/>
    </row>
    <row r="14">
      <c r="A14" s="6" t="inlineStr">
        <is>
          <t>Superficie de catálogo (V5/V6), ha</t>
        </is>
      </c>
      <c r="B14" s="7" t="n">
        <v>68.56999999999999</v>
      </c>
      <c r="C14" s="6" t="inlineStr">
        <is>
          <t>Fuente de superficie</t>
        </is>
      </c>
      <c r="D14" s="7" t="inlineStr">
        <is>
          <t>Catálogo maestro Bloques V5/V6</t>
        </is>
      </c>
      <c r="E14" s="8" t="n"/>
      <c r="F14" s="8" t="n"/>
    </row>
    <row r="15">
      <c r="A15" s="6" t="inlineStr">
        <is>
          <t>Centroide UTM ESTE (m)</t>
        </is>
      </c>
      <c r="B15" s="7" t="n">
        <v>618523</v>
      </c>
      <c r="C15" s="6" t="inlineStr">
        <is>
          <t>Centroide UTM NORTE (m)</t>
        </is>
      </c>
      <c r="D15" s="7" t="n">
        <v>9448918</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1729</v>
      </c>
      <c r="C19" s="6" t="inlineStr">
        <is>
          <t>Altitud máxima (msnm)</t>
        </is>
      </c>
      <c r="D19" s="7" t="n">
        <v>2088</v>
      </c>
      <c r="E19" s="8" t="n"/>
      <c r="F19" s="8" t="n"/>
    </row>
    <row r="20">
      <c r="A20" s="6" t="inlineStr">
        <is>
          <t>Amplitud altitudinal (m)</t>
        </is>
      </c>
      <c r="B20" s="7" t="n">
        <v>359</v>
      </c>
      <c r="C20" s="6" t="inlineStr">
        <is>
          <t>Piso altitudinal dominante</t>
        </is>
      </c>
      <c r="D20" s="7" t="inlineStr">
        <is>
          <t>1500-2000 m (Quechua media)</t>
        </is>
      </c>
      <c r="E20" s="8" t="n"/>
      <c r="F20" s="8" t="n"/>
    </row>
    <row r="21">
      <c r="A21" s="6" t="inlineStr">
        <is>
          <t>Pendiente promedio (%)</t>
        </is>
      </c>
      <c r="B21" s="7" t="n">
        <v>22.51</v>
      </c>
      <c r="C21" s="6" t="inlineStr">
        <is>
          <t>Pendiente promedio (grados)</t>
        </is>
      </c>
      <c r="D21" s="7" t="n">
        <v>12.7</v>
      </c>
      <c r="E21" s="8" t="n"/>
      <c r="F21" s="8" t="n"/>
    </row>
    <row r="22">
      <c r="A22" s="6" t="inlineStr">
        <is>
          <t>Clase de pendiente equivalente</t>
        </is>
      </c>
      <c r="B22" s="7" t="inlineStr">
        <is>
          <t>15-25% (Fuert. inclinado)</t>
        </is>
      </c>
      <c r="C22" s="6" t="inlineStr">
        <is>
          <t>Rango de pendiente declarado en campo</t>
        </is>
      </c>
      <c r="D22" s="7" t="inlineStr">
        <is>
          <t>15-25% (Fuert. inclinado)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Norte</t>
        </is>
      </c>
      <c r="C24" s="6" t="inlineStr">
        <is>
          <t>Afloramientos rocosos</t>
        </is>
      </c>
      <c r="D24" s="7" t="inlineStr">
        <is>
          <t>Sí</t>
        </is>
      </c>
      <c r="E24" s="8" t="n"/>
      <c r="F24" s="8" t="n"/>
    </row>
    <row r="25">
      <c r="A25" s="6" t="inlineStr">
        <is>
          <t>Escarpes activos</t>
        </is>
      </c>
      <c r="B25" s="7" t="inlineStr">
        <is>
          <t>En blanco (no observable desde estación externa)</t>
        </is>
      </c>
      <c r="C25" s="6" t="inlineStr">
        <is>
          <t>Remociones en masa activas</t>
        </is>
      </c>
      <c r="D25" s="7" t="inlineStr">
        <is>
          <t>En blanco</t>
        </is>
      </c>
      <c r="E25" s="8" t="n"/>
      <c r="F25" s="8" t="n"/>
    </row>
    <row r="27" ht="18" customHeight="1">
      <c r="A27" s="5" t="inlineStr">
        <is>
          <t>3. ÍNDICES DE VEGETACIÓN (SENTINEL-2)</t>
        </is>
      </c>
    </row>
    <row r="28">
      <c r="A28" s="6" t="inlineStr">
        <is>
          <t>MSAVI 2024 — media del bloque</t>
        </is>
      </c>
      <c r="B28" s="7" t="n">
        <v>0.7016</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(94.05 %)</t>
        </is>
      </c>
      <c r="E29" s="8" t="n"/>
      <c r="F29" s="8" t="n"/>
    </row>
    <row r="30">
      <c r="A30" s="6" t="inlineStr">
        <is>
          <t>Superficie clasificada NDVI 2025 (ha)</t>
        </is>
      </c>
      <c r="B30" s="7" t="n">
        <v>68.59999999999999</v>
      </c>
      <c r="C30" s="6" t="inlineStr">
        <is>
          <t>Desviación frente al catálogo (%)</t>
        </is>
      </c>
      <c r="D30" s="7" t="n">
        <v>0.04</v>
      </c>
      <c r="E30" s="8" t="n"/>
      <c r="F30" s="8" t="n"/>
    </row>
    <row r="32" ht="18" customHeight="1">
      <c r="A32" s="5" t="inlineStr">
        <is>
          <t>4. ECOSISTEMA Y ESTADO DE CONSERVACIÓN</t>
        </is>
      </c>
    </row>
    <row r="33">
      <c r="A33" s="6" t="inlineStr">
        <is>
          <t>Tipo de ecosistema (UP)</t>
        </is>
      </c>
      <c r="B33" s="7" t="inlineStr">
        <is>
          <t>Matorral Andino subhúmedo</t>
        </is>
      </c>
      <c r="C33" s="6" t="inlineStr">
        <is>
          <t>Superficie de ecosistema (ha)</t>
        </is>
      </c>
      <c r="D33" s="7" t="inlineStr">
        <is>
          <t>68.57 ha</t>
        </is>
      </c>
      <c r="E33" s="8" t="n"/>
      <c r="F33" s="8" t="n"/>
    </row>
    <row r="34">
      <c r="A34" s="6" t="inlineStr">
        <is>
          <t>Estado de conservación</t>
        </is>
      </c>
      <c r="B34" s="7" t="inlineStr">
        <is>
          <t>Levemente alterado</t>
        </is>
      </c>
      <c r="C34" s="6" t="inlineStr">
        <is>
          <t>Uso actual dominante del suelo</t>
        </is>
      </c>
      <c r="D34" s="7" t="inlineStr">
        <is>
          <t>Forestal protección</t>
        </is>
      </c>
      <c r="E34" s="8" t="n"/>
      <c r="F34" s="8" t="n"/>
    </row>
    <row r="35">
      <c r="A35" s="6" t="inlineStr">
        <is>
          <t>Tipo de cobertura dominante</t>
        </is>
      </c>
      <c r="B35" s="7" t="inlineStr">
        <is>
          <t>Bosque denso (&gt;70%)</t>
        </is>
      </c>
      <c r="C35" s="6" t="inlineStr">
        <is>
          <t>Cobertura vegetal total — campo (%)</t>
        </is>
      </c>
      <c r="D35" s="7" t="n">
        <v>90</v>
      </c>
      <c r="E35" s="8" t="n"/>
      <c r="F35" s="8" t="n"/>
    </row>
    <row r="36">
      <c r="A36" s="6" t="inlineStr">
        <is>
          <t>Suelo desnudo — campo (%)</t>
        </is>
      </c>
      <c r="B36" s="7" t="n">
        <v>3</v>
      </c>
      <c r="C36" s="6" t="inlineStr">
        <is>
          <t>Regeneración natural</t>
        </is>
      </c>
      <c r="D36" s="7" t="inlineStr">
        <is>
          <t>En blanco (no observable desde estación externa)</t>
        </is>
      </c>
      <c r="E36" s="8" t="n"/>
      <c r="F36" s="8" t="n"/>
    </row>
    <row r="37">
      <c r="A37" s="6" t="inlineStr">
        <is>
          <t>Nivel general de erosión</t>
        </is>
      </c>
      <c r="B37" s="7" t="inlineStr">
        <is>
          <t>Ligera (laminar)</t>
        </is>
      </c>
      <c r="C37" s="6" t="inlineStr">
        <is>
          <t>N.° de cárcavas registradas</t>
        </is>
      </c>
      <c r="D37" s="7" t="inlineStr">
        <is>
          <t>No inventariado</t>
        </is>
      </c>
      <c r="E37" s="8" t="n"/>
      <c r="F37" s="8" t="n"/>
    </row>
    <row r="38">
      <c r="A38" s="6" t="inlineStr">
        <is>
          <t>Elenco florístico (n.° de taxones)</t>
        </is>
      </c>
      <c r="B38" s="7" t="n">
        <v>19</v>
      </c>
      <c r="C38" s="6" t="inlineStr">
        <is>
          <t>Estado sanitario</t>
        </is>
      </c>
      <c r="D38" s="7" t="inlineStr">
        <is>
          <t>Sano</t>
        </is>
      </c>
      <c r="E38" s="8" t="n"/>
      <c r="F38" s="8" t="n"/>
    </row>
    <row r="40" ht="18" customHeight="1">
      <c r="A40" s="5" t="inlineStr">
        <is>
          <t>5. RESPONSABLE Y MODALIDAD DE LA EVALUACIÓN</t>
        </is>
      </c>
    </row>
    <row r="41">
      <c r="A41" s="6" t="inlineStr">
        <is>
          <t>Responsable de la evaluación</t>
        </is>
      </c>
      <c r="B41" s="7" t="inlineStr">
        <is>
          <t>Ing. Héctor Salomón Cahuas Miller (ANIN / DIME – SESDI)</t>
        </is>
      </c>
      <c r="C41" s="6" t="inlineStr">
        <is>
          <t>Fecha de evaluación</t>
        </is>
      </c>
      <c r="D41" s="7" t="inlineStr">
        <is>
          <t>2026-06-24</t>
        </is>
      </c>
      <c r="E41" s="8" t="n"/>
      <c r="F41" s="8" t="n"/>
    </row>
    <row r="42">
      <c r="A42" s="6" t="inlineStr">
        <is>
          <t>Hora de registro</t>
        </is>
      </c>
      <c r="B42" s="7" t="inlineStr">
        <is>
          <t>11:49 h (24-06) · 15:39-16:42 h (04-09)</t>
        </is>
      </c>
      <c r="C42" s="6" t="inlineStr">
        <is>
          <t>Correlativo de ficha</t>
        </is>
      </c>
      <c r="D42" s="7" t="inlineStr">
        <is>
          <t>F-DT-01 / B39-2026</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No instalada – levantamiento externo</t>
        </is>
      </c>
      <c r="E44" s="8" t="n"/>
      <c r="F44" s="8" t="n"/>
    </row>
    <row r="45">
      <c r="A45" s="6" t="inlineStr">
        <is>
          <t>Estaciones fotográficas georreferenciadas</t>
        </is>
      </c>
      <c r="B45" s="7" t="n">
        <v>14</v>
      </c>
      <c r="C45" s="6" t="inlineStr">
        <is>
          <t>Modalidad de acceso</t>
        </is>
      </c>
      <c r="D45" s="7" t="inlineStr">
        <is>
          <t>Vehicular + caminata &lt;30 min</t>
        </is>
      </c>
      <c r="E45" s="8" t="n"/>
      <c r="F45" s="8" t="n"/>
    </row>
    <row r="47" ht="18" customHeight="1">
      <c r="A47" s="5" t="inlineStr">
        <is>
          <t>6. SÍNTESIS PARA LA GESTIÓN DEL RIESGO EN CONTEXTO DE CAMBIO CLIMÁTICO</t>
        </is>
      </c>
    </row>
    <row r="48">
      <c r="A48" s="6" t="inlineStr">
        <is>
          <t>Causa subyacente principal</t>
        </is>
      </c>
      <c r="B48" s="7" t="inlineStr">
        <is>
          <t>Expansión de la frontera agropecuaria familiar desde el C.P. La Cría hacia la cabecera de microcuenca</t>
        </is>
      </c>
      <c r="C48" s="6" t="inlineStr">
        <is>
          <t>Velocidad de degradación</t>
        </is>
      </c>
      <c r="D48" s="7" t="inlineStr">
        <is>
          <t>Lenta</t>
        </is>
      </c>
      <c r="E48" s="8" t="n"/>
      <c r="F48" s="8" t="n"/>
    </row>
    <row r="49">
      <c r="A49" s="6" t="inlineStr">
        <is>
          <t>Reversibilidad técnica</t>
        </is>
      </c>
      <c r="B49" s="7" t="inlineStr">
        <is>
          <t>Totalmente reversible</t>
        </is>
      </c>
      <c r="C49" s="6" t="inlineStr">
        <is>
          <t>Urgencia de intervención</t>
        </is>
      </c>
      <c r="D49" s="7" t="inlineStr">
        <is>
          <t>Baja</t>
        </is>
      </c>
      <c r="E49" s="8" t="n"/>
      <c r="F49" s="8" t="n"/>
    </row>
    <row r="50">
      <c r="A50" s="6" t="inlineStr">
        <is>
          <t>Urgencia de control de erosión</t>
        </is>
      </c>
      <c r="B50" s="7" t="inlineStr">
        <is>
          <t>Baja</t>
        </is>
      </c>
      <c r="C50" s="6" t="inlineStr">
        <is>
          <t>Zona de recarga hídrica</t>
        </is>
      </c>
      <c r="D50" s="7" t="inlineStr">
        <is>
          <t>Sí</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7"/>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39</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t>
        </is>
      </c>
      <c r="B10" s="12" t="inlineStr">
        <is>
          <t>Por determinar</t>
        </is>
      </c>
      <c r="C10" s="12" t="inlineStr">
        <is>
          <t>Por determinar</t>
        </is>
      </c>
      <c r="D10" s="12" t="inlineStr">
        <is>
          <t>Vigor alto</t>
        </is>
      </c>
      <c r="E10" s="12" t="inlineStr">
        <is>
          <t>Sobre umbral</t>
        </is>
      </c>
    </row>
    <row r="11">
      <c r="A11" s="13" t="inlineStr">
        <is>
          <t>0.4976 - 0.6139</t>
        </is>
      </c>
      <c r="B11" s="14" t="inlineStr">
        <is>
          <t>Por determinar</t>
        </is>
      </c>
      <c r="C11" s="14" t="inlineStr">
        <is>
          <t>Por determinar</t>
        </is>
      </c>
      <c r="D11" s="14" t="inlineStr">
        <is>
          <t>Vigor moderado</t>
        </is>
      </c>
      <c r="E11" s="14" t="inlineStr">
        <is>
          <t>Sobre umbral</t>
        </is>
      </c>
    </row>
    <row r="12">
      <c r="A12" s="7" t="inlineStr">
        <is>
          <t>0.3813 - 0.4976</t>
        </is>
      </c>
      <c r="B12" s="15" t="inlineStr">
        <is>
          <t>Por determinar</t>
        </is>
      </c>
      <c r="C12" s="15" t="inlineStr">
        <is>
          <t>Por determinar</t>
        </is>
      </c>
      <c r="D12" s="15" t="inlineStr">
        <is>
          <t>Vigor bajo</t>
        </is>
      </c>
      <c r="E12" s="15" t="inlineStr">
        <is>
          <t>BAJO umbral 0.4976</t>
        </is>
      </c>
    </row>
    <row r="13">
      <c r="A13" s="13" t="inlineStr">
        <is>
          <t>0.2650 - 0.3813</t>
        </is>
      </c>
      <c r="B13" s="14" t="inlineStr">
        <is>
          <t>Por determinar</t>
        </is>
      </c>
      <c r="C13" s="14" t="inlineStr">
        <is>
          <t>Por determinar</t>
        </is>
      </c>
      <c r="D13" s="14" t="inlineStr">
        <is>
          <t>Vigor muy bajo</t>
        </is>
      </c>
      <c r="E13" s="14" t="inlineStr">
        <is>
          <t>BAJO umbral 0.4976</t>
        </is>
      </c>
    </row>
    <row r="14">
      <c r="A14" s="7" t="inlineStr">
        <is>
          <t>&lt;= 0.2650</t>
        </is>
      </c>
      <c r="B14" s="15" t="inlineStr">
        <is>
          <t>Por determinar</t>
        </is>
      </c>
      <c r="C14" s="15" t="inlineStr">
        <is>
          <t>Por determinar</t>
        </is>
      </c>
      <c r="D14" s="15" t="inlineStr">
        <is>
          <t>Suelo desnudo / no vegetal</t>
        </is>
      </c>
      <c r="E14" s="15" t="inlineStr">
        <is>
          <t>BAJO umbral 0.4976</t>
        </is>
      </c>
    </row>
    <row r="15">
      <c r="A15" s="16" t="inlineStr">
        <is>
          <t>MSAVI 2024 — MEDIA DEL BLOQUE</t>
        </is>
      </c>
      <c r="B15" s="17" t="n">
        <v>0.701601</v>
      </c>
      <c r="C15" s="17" t="inlineStr">
        <is>
          <t>—</t>
        </is>
      </c>
      <c r="D15" s="17" t="inlineStr">
        <is>
          <t>Vigor alto · clase &gt; 0.6139</t>
        </is>
      </c>
      <c r="E15" s="17" t="inlineStr">
        <is>
          <t>Sobre umbral</t>
        </is>
      </c>
    </row>
    <row r="17" ht="72" customHeight="1">
      <c r="A17" s="9" t="inlineStr">
        <is>
          <t>NOTA METODOLÓGICA. La media del MSAVI 2024 del bloque (0.701601)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64.5172</v>
      </c>
      <c r="C21" s="19" t="n">
        <v>94.05</v>
      </c>
      <c r="D21" s="15" t="inlineStr">
        <is>
          <t>Dosel continuo, matorral denso o mosaico agroforestal</t>
        </is>
      </c>
      <c r="E21" s="15" t="inlineStr"/>
    </row>
    <row r="22">
      <c r="A22" s="13" t="inlineStr">
        <is>
          <t>Vegetación mediana</t>
        </is>
      </c>
      <c r="B22" s="20" t="n">
        <v>4.0607</v>
      </c>
      <c r="C22" s="21" t="n">
        <v>5.92</v>
      </c>
      <c r="D22" s="14" t="inlineStr">
        <is>
          <t>Pastizal cultivado, matorral ralo, parcelas agrícolas</t>
        </is>
      </c>
      <c r="E22" s="14" t="inlineStr"/>
    </row>
    <row r="23">
      <c r="A23" s="7" t="inlineStr">
        <is>
          <t>Vegetación ligera</t>
        </is>
      </c>
      <c r="B23" s="18" t="n">
        <v>0.0222</v>
      </c>
      <c r="C23" s="19" t="n">
        <v>0.03</v>
      </c>
      <c r="D23" s="15" t="inlineStr">
        <is>
          <t>Cobertura discontinua, suelo parcialmente expuesto</t>
        </is>
      </c>
      <c r="E23" s="15" t="inlineStr"/>
    </row>
    <row r="24">
      <c r="A24" s="16" t="inlineStr">
        <is>
          <t>TOTAL CLASIFICADO</t>
        </is>
      </c>
      <c r="B24" s="22">
        <f>SUM(B21:B23)</f>
        <v/>
      </c>
      <c r="C24" s="23">
        <f>SUM(C21:C23)</f>
        <v/>
      </c>
      <c r="D24" s="17" t="inlineStr"/>
      <c r="E24" s="17" t="inlineStr"/>
    </row>
    <row r="25">
      <c r="A25" s="24" t="inlineStr">
        <is>
          <t>Superficie de catálogo (V5/V6)</t>
        </is>
      </c>
      <c r="B25" s="25" t="n">
        <v>68.56999999999999</v>
      </c>
      <c r="C25" s="25" t="inlineStr">
        <is>
          <t>—</t>
        </is>
      </c>
      <c r="D25" s="25" t="inlineStr">
        <is>
          <t>Desviación planimétrica frente al catálogo</t>
        </is>
      </c>
      <c r="E25" s="25" t="inlineStr">
        <is>
          <t>+0.04 %</t>
        </is>
      </c>
    </row>
    <row r="27" ht="108" customHeight="1">
      <c r="A27"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90 % frente a un 94.05 % del polígono clasificado como «Vegetación alta» por el NDVI 2025; la observación de campo corresponde a una parcela o recorrido puntual y no es estadísticamente representativa de las 68.570 ha del bloque.</t>
        </is>
      </c>
    </row>
  </sheetData>
  <mergeCells count="10">
    <mergeCell ref="A4:E4"/>
    <mergeCell ref="A2:E2"/>
    <mergeCell ref="A19:E19"/>
    <mergeCell ref="A1:E1"/>
    <mergeCell ref="A5:E5"/>
    <mergeCell ref="A8:E8"/>
    <mergeCell ref="A6:E6"/>
    <mergeCell ref="A17:E17"/>
    <mergeCell ref="A27:E2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39</t>
        </is>
      </c>
    </row>
    <row r="6" ht="24" customHeight="1">
      <c r="A6" s="4" t="inlineStr">
        <is>
          <t>Levantamiento del 2026-06-24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619274</v>
      </c>
      <c r="D10" s="26" t="n">
        <v>9449187</v>
      </c>
      <c r="E10" s="15" t="n">
        <v>797.7</v>
      </c>
      <c r="F10" s="15" t="inlineStr"/>
      <c r="G10" s="15" t="inlineStr">
        <is>
          <t>Coordenada consignada en F-DT-01</t>
        </is>
      </c>
    </row>
    <row r="11">
      <c r="A11" s="13" t="inlineStr">
        <is>
          <t>E-01</t>
        </is>
      </c>
      <c r="B11" s="14" t="inlineStr">
        <is>
          <t>Rasgo erosivo — Cárcava somera (externa al polígono)</t>
        </is>
      </c>
      <c r="C11" s="27" t="n">
        <v>619281</v>
      </c>
      <c r="D11" s="27" t="n">
        <v>9449192</v>
      </c>
      <c r="E11" s="14" t="n">
        <v>806</v>
      </c>
      <c r="F11" s="14" t="inlineStr">
        <is>
          <t>Activa</t>
        </is>
      </c>
      <c r="G11" s="14" t="inlineStr">
        <is>
          <t>Caminos / huellas de ganado</t>
        </is>
      </c>
    </row>
    <row r="12">
      <c r="A12" s="7" t="inlineStr">
        <is>
          <t>E-02</t>
        </is>
      </c>
      <c r="B12" s="15" t="inlineStr">
        <is>
          <t>Rasgo erosivo — Cárcava somera (externa al polígono)</t>
        </is>
      </c>
      <c r="C12" s="26" t="n">
        <v>619265</v>
      </c>
      <c r="D12" s="26" t="n">
        <v>9449198</v>
      </c>
      <c r="E12" s="15" t="n">
        <v>793.1</v>
      </c>
      <c r="F12" s="15" t="inlineStr">
        <is>
          <t>Activa</t>
        </is>
      </c>
      <c r="G12" s="15" t="inlineStr">
        <is>
          <t>Concentración natural de escorrentía</t>
        </is>
      </c>
    </row>
    <row r="13">
      <c r="A13" s="13" t="inlineStr">
        <is>
          <t>H-01</t>
        </is>
      </c>
      <c r="B13" s="14" t="inlineStr">
        <is>
          <t>Fuente de agua — Otro (caja de captación)</t>
        </is>
      </c>
      <c r="C13" s="27" t="n">
        <v>619278</v>
      </c>
      <c r="D13" s="27" t="n">
        <v>9449154</v>
      </c>
      <c r="E13" s="14" t="n">
        <v>791</v>
      </c>
      <c r="F13" s="14" t="inlineStr"/>
      <c r="G13" s="14" t="inlineStr">
        <is>
          <t>Captación poblacional en servicio</t>
        </is>
      </c>
    </row>
    <row r="14">
      <c r="A14" s="7" t="inlineStr">
        <is>
          <t>H-02</t>
        </is>
      </c>
      <c r="B14" s="15" t="inlineStr">
        <is>
          <t>Fuente de agua — Otro</t>
        </is>
      </c>
      <c r="C14" s="26" t="inlineStr"/>
      <c r="D14" s="26" t="inlineStr"/>
      <c r="E14" s="15" t="inlineStr"/>
      <c r="F14" s="15" t="inlineStr"/>
      <c r="G14" s="15" t="inlineStr">
        <is>
          <t>Curso de agua que delimita el bloque</t>
        </is>
      </c>
    </row>
    <row r="15">
      <c r="A15" s="16" t="inlineStr">
        <is>
          <t>TOTAL: 5 puntos</t>
        </is>
      </c>
      <c r="B15" s="17" t="inlineStr"/>
      <c r="C15" s="17" t="inlineStr"/>
      <c r="D15" s="17" t="inlineStr"/>
      <c r="E15" s="17" t="inlineStr"/>
      <c r="F15" s="17" t="inlineStr"/>
      <c r="G15" s="17" t="inlineStr"/>
    </row>
    <row r="17">
      <c r="A17" s="6" t="inlineStr">
        <is>
          <t>Centroide del bloque — UTM ESTE (m)</t>
        </is>
      </c>
      <c r="B17" s="7" t="n">
        <v>618523</v>
      </c>
      <c r="C17" s="6" t="inlineStr">
        <is>
          <t>Centroide del bloque — UTM NORTE (m)</t>
        </is>
      </c>
      <c r="D17" s="7" t="n">
        <v>9448918</v>
      </c>
      <c r="E17" s="8" t="n"/>
      <c r="F17" s="8" t="n"/>
      <c r="G17" s="8" t="n"/>
      <c r="H17" s="8" t="n"/>
    </row>
    <row r="18">
      <c r="A18" s="6" t="inlineStr">
        <is>
          <t>N.° de estaciones fotográficas declaradas</t>
        </is>
      </c>
      <c r="B18" s="7" t="n">
        <v>14</v>
      </c>
      <c r="C18" s="6" t="inlineStr">
        <is>
          <t>Estaciones dentro del polígono</t>
        </is>
      </c>
      <c r="D18" s="7" t="n">
        <v>0</v>
      </c>
      <c r="E18" s="8" t="n"/>
      <c r="F18" s="8" t="n"/>
      <c r="G18" s="8" t="n"/>
      <c r="H18" s="8" t="n"/>
    </row>
    <row r="20" ht="132" customHeight="1">
      <c r="A20"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MODALIDAD DE VERIFICACIÓN EXTERNA. NINGUNA de las 14 estaciones fotográficas se localiza dentro del polígono: 13 tomas se concentran en el C.P. La Cría, entre 419 y 458 m al este del límite y a 780-817 m del centroide; la restante a 729 m al NNO. La completitud del levantamiento interno es NULA (0%). Escarpes activos, reptación, deslizamientos y remociones se dejan EN BLANCO —no «No»— porque no son observables desde estaciones externas y un «No» afirmaría una ausencia verificada que este levantamiento no sostiene. Superficie planimétrica medida ≈67.56 ha (−1.5% frente al catálogo).</t>
        </is>
      </c>
    </row>
  </sheetData>
  <mergeCells count="8">
    <mergeCell ref="A1:G1"/>
    <mergeCell ref="A8:G8"/>
    <mergeCell ref="A3:G3"/>
    <mergeCell ref="A6:G6"/>
    <mergeCell ref="A4:G4"/>
    <mergeCell ref="A20:G20"/>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7"/>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C1096-Q9564 — BLOQUE 39</t>
        </is>
      </c>
    </row>
    <row r="6" ht="24" customHeight="1">
      <c r="A6" s="4" t="inlineStr">
        <is>
          <t>Distrito de Frias · Provincia de Ayabaca · Comparación de los bloques preliminares de intervención de la misma microcuenca</t>
        </is>
      </c>
    </row>
    <row r="8" ht="18" customHeight="1">
      <c r="A8" s="5" t="inlineStr">
        <is>
          <t>BLOQUES DE LA MICROCUENCA C1096-Q9564</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13</t>
        </is>
      </c>
      <c r="B10" s="28" t="n">
        <v>100.51</v>
      </c>
      <c r="C10" s="19" t="n">
        <v>40.73</v>
      </c>
      <c r="D10" s="15" t="inlineStr">
        <is>
          <t>1649 – 2267</t>
        </is>
      </c>
      <c r="E10" s="15" t="n">
        <v>618</v>
      </c>
      <c r="F10" s="15" t="n">
        <v>28.99</v>
      </c>
      <c r="G10" s="18" t="n">
        <v>0.6711</v>
      </c>
      <c r="H10" s="19" t="n">
        <v>89.59</v>
      </c>
    </row>
    <row r="11">
      <c r="A11" s="13" t="inlineStr">
        <is>
          <t>56</t>
        </is>
      </c>
      <c r="B11" s="29" t="n">
        <v>77.67</v>
      </c>
      <c r="C11" s="21" t="n">
        <v>31.48</v>
      </c>
      <c r="D11" s="14" t="inlineStr">
        <is>
          <t>2342 – 2770</t>
        </is>
      </c>
      <c r="E11" s="14" t="n">
        <v>428</v>
      </c>
      <c r="F11" s="14" t="n">
        <v>27.27</v>
      </c>
      <c r="G11" s="20" t="n">
        <v>0.6777</v>
      </c>
      <c r="H11" s="21" t="n">
        <v>94.90000000000001</v>
      </c>
    </row>
    <row r="12">
      <c r="A12" s="11" t="inlineStr">
        <is>
          <t>► 39</t>
        </is>
      </c>
      <c r="B12" s="30" t="n">
        <v>68.56999999999999</v>
      </c>
      <c r="C12" s="31" t="n">
        <v>27.79</v>
      </c>
      <c r="D12" s="12" t="inlineStr">
        <is>
          <t>1729 – 2088</t>
        </is>
      </c>
      <c r="E12" s="12" t="n">
        <v>359</v>
      </c>
      <c r="F12" s="12" t="n">
        <v>22.51</v>
      </c>
      <c r="G12" s="32" t="n">
        <v>0.7016</v>
      </c>
      <c r="H12" s="31" t="n">
        <v>94.05</v>
      </c>
    </row>
    <row r="13">
      <c r="A13" s="16" t="inlineStr">
        <is>
          <t>TOTAL / PROMEDIO</t>
        </is>
      </c>
      <c r="B13" s="33">
        <f>SUM(B10:B12)</f>
        <v/>
      </c>
      <c r="C13" s="23">
        <f>SUM(C10:C12)</f>
        <v/>
      </c>
      <c r="D13" s="17" t="inlineStr">
        <is>
          <t>1649 – 2770</t>
        </is>
      </c>
      <c r="E13" s="17" t="inlineStr"/>
      <c r="F13" s="17">
        <f>ROUND(AVERAGE(F10:F12),2)</f>
        <v/>
      </c>
      <c r="G13" s="22">
        <f>ROUND(AVERAGE(G10:G12),4)</f>
        <v/>
      </c>
      <c r="H13" s="23">
        <f>ROUND(AVERAGE(H10:H12),2)</f>
        <v/>
      </c>
    </row>
    <row r="15" ht="84" customHeight="1">
      <c r="A15" s="9" t="inlineStr">
        <is>
          <t>LECTURA INTRAMICROCUENCA. El bloque 39 ocupa el puesto 3 de 3 por superficie dentro de la microcuenca C1096-Q9564 (27.79 % de las 246.75 ha preliminares de la microcuenca). Su pendiente promedio (22.51 %, clase «15-25% (Fuert. inclinado)») es la 1.ª más baja de 3 y se sitúa por debajo del promedio de la microcuenca (26.26 %). Su MSAVI 2024 (0.7016) es el 1.º de 3 y queda por encima del promedio local (0.6835). Amplitud altitudinal del bloque: 359 m (1729–2088 msnm). El cuadro conserva todos los bloques catalogados en la microcuenca, incluidos los descartados en el tamizaje, para referencia del conjunto. Los bloques sin ficha DT figuran con sus parámetros de gabinete.</t>
        </is>
      </c>
    </row>
    <row r="17" ht="60" customHeight="1">
      <c r="A17"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9">
    <mergeCell ref="A1:H1"/>
    <mergeCell ref="A4:H4"/>
    <mergeCell ref="A3:H3"/>
    <mergeCell ref="A15:H15"/>
    <mergeCell ref="A2:H2"/>
    <mergeCell ref="A5:H5"/>
    <mergeCell ref="A8:H8"/>
    <mergeCell ref="A6:H6"/>
    <mergeCell ref="A17:H1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39</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«C1096-Q9564»</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798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(68.600 ha) coincide con la de catálogo (68.57 ha) dentro del ±2 % (+0.04 %)</t>
        </is>
      </c>
      <c r="D12" s="35" t="inlineStr">
        <is>
          <t>CONFORME</t>
        </is>
      </c>
      <c r="E12" s="34" t="inlineStr">
        <is>
          <t>Sin acción: la segmentación valida la geometría del bloque.</t>
        </is>
      </c>
    </row>
    <row r="13" ht="48" customHeight="1">
      <c r="A13" s="36" t="inlineStr">
        <is>
          <t>D-04</t>
        </is>
      </c>
      <c r="B13" s="36" t="inlineStr">
        <is>
          <t>Representatividad del levantamiento</t>
        </is>
      </c>
      <c r="C13" s="36" t="inlineStr">
        <is>
          <t>Ninguna de las estaciones fotográficas georreferenciadas se localiza dentro del polígono del bloque</t>
        </is>
      </c>
      <c r="D13" s="37" t="inlineStr">
        <is>
          <t>SUSTANTIVA</t>
        </is>
      </c>
      <c r="E13" s="36" t="inlineStr">
        <is>
          <t>La verificación documenta el perímetro y la vista panorámica del bloque, no su interior. Los parámetros que exigen recorrido interno se consignan «Por determinar».</t>
        </is>
      </c>
    </row>
    <row r="14" ht="48" customHeight="1">
      <c r="A14" s="34" t="inlineStr">
        <is>
          <t>D-05</t>
        </is>
      </c>
      <c r="B14" s="34" t="inlineStr">
        <is>
          <t>Centro poblado asociado</t>
        </is>
      </c>
      <c r="C14" s="34" t="inlineStr">
        <is>
          <t>La ficha DT declara «La Cría»; el cruce INEI-Bloques V5 identifica 1 centro(s) poblado(s) en el bloque: LA CRIA</t>
        </is>
      </c>
      <c r="D14" s="35" t="inlineStr">
        <is>
          <t>CONFORME</t>
        </is>
      </c>
      <c r="E14" s="34" t="inlineStr">
        <is>
          <t>Se conserva el registro de campo como referencia y se adopta el listado INEI para el diagnóstico social y el cálculo de población beneficiaria.</t>
        </is>
      </c>
    </row>
    <row r="15" ht="48" customHeight="1">
      <c r="A15" s="36" t="inlineStr">
        <is>
          <t>D-06</t>
        </is>
      </c>
      <c r="B15" s="36" t="inlineStr">
        <is>
          <t>Peligro integrado (MCA-AHP)</t>
        </is>
      </c>
      <c r="C15" s="36" t="inlineStr">
        <is>
          <t>El nivel de peligro integrado no está disponible en los insumos de este entregable</t>
        </is>
      </c>
      <c r="D15" s="37" t="inlineStr">
        <is>
          <t>SUSTANTIVA</t>
        </is>
      </c>
      <c r="E15" s="36" t="inlineStr">
        <is>
          <t>Debe tomarse del modelamiento de mesolocalización (PMM + EPH + PGI ponderados por AHP) antes de fijar la prioridad definitiva de intervención del bloque.</t>
        </is>
      </c>
    </row>
    <row r="17">
      <c r="A17" s="16" t="inlineStr">
        <is>
          <t>RESUMEN</t>
        </is>
      </c>
      <c r="B17" s="17" t="inlineStr">
        <is>
          <t>6 verificaciones</t>
        </is>
      </c>
      <c r="C17" s="17" t="inlineStr">
        <is>
          <t>CONFORME: 4 · SUSTANTIVA: 2</t>
        </is>
      </c>
      <c r="D17" s="17" t="inlineStr"/>
      <c r="E17" s="17" t="inlineStr"/>
    </row>
    <row r="19" ht="60" customHeight="1">
      <c r="A19"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4:E4"/>
    <mergeCell ref="A2:E2"/>
    <mergeCell ref="A19:E19"/>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39 — IN Piura</dc:title>
  <dc:subject>Diagnóstico Territorial por bloque de intervención</dc:subject>
  <dcterms:created xsi:type="dcterms:W3CDTF">2026-09-08T03:39:59Z</dcterms:created>
  <dcterms:modified xsi:type="dcterms:W3CDTF">2026-09-08T03:39:59Z</dcterms:modified>
</cp:coreProperties>
</file>