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66</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 (según ficha — valor por defecto de plantilla; catálogo: 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t>
        </is>
      </c>
      <c r="C13" s="6" t="inlineStr">
        <is>
          <t>Comunidad campesina</t>
        </is>
      </c>
      <c r="D13" s="7" t="inlineStr">
        <is>
          <t>Por verificar</t>
        </is>
      </c>
      <c r="E13" s="8" t="n"/>
      <c r="F13" s="8" t="n"/>
    </row>
    <row r="14">
      <c r="A14" s="6" t="inlineStr">
        <is>
          <t>Superficie de catálogo (V5/V6), ha</t>
        </is>
      </c>
      <c r="B14" s="7" t="n">
        <v>102.34</v>
      </c>
      <c r="C14" s="6" t="inlineStr">
        <is>
          <t>Fuente de superficie</t>
        </is>
      </c>
      <c r="D14" s="7" t="inlineStr">
        <is>
          <t>Catálogo maestro Bloques V5/V6</t>
        </is>
      </c>
      <c r="E14" s="8" t="n"/>
      <c r="F14" s="8" t="n"/>
    </row>
    <row r="15">
      <c r="A15" s="6" t="inlineStr">
        <is>
          <t>Centroide UTM ESTE (m)</t>
        </is>
      </c>
      <c r="B15" s="7" t="n">
        <v>652566</v>
      </c>
      <c r="C15" s="6" t="inlineStr">
        <is>
          <t>Centroide UTM NORTE (m)</t>
        </is>
      </c>
      <c r="D15" s="7" t="n">
        <v>9417311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1171</v>
      </c>
      <c r="C19" s="6" t="inlineStr">
        <is>
          <t>Altitud máxima (msnm)</t>
        </is>
      </c>
      <c r="D19" s="7" t="n">
        <v>1769</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31.55</v>
      </c>
      <c r="C21" s="6" t="inlineStr">
        <is>
          <t>Pendiente promedio (grados)</t>
        </is>
      </c>
      <c r="D21" s="7" t="n">
        <v>17.5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0.6403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(94.08 %)</t>
        </is>
      </c>
      <c r="E29" s="8" t="n"/>
      <c r="F29" s="8" t="n"/>
    </row>
    <row r="30">
      <c r="A30" s="6" t="inlineStr">
        <is>
          <t>Superficie clasificada NDVI 2025 (ha)</t>
        </is>
      </c>
      <c r="B30" s="7" t="n">
        <v>102.358</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Por verificar (Reporte de Ecosistemas por Bloques V5)</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Matorral denso</t>
        </is>
      </c>
      <c r="C35" s="6" t="inlineStr">
        <is>
          <t>Cobertura vegetal total — campo (%)</t>
        </is>
      </c>
      <c r="D35" s="7" t="n">
        <v>92</v>
      </c>
      <c r="E35" s="8" t="n"/>
      <c r="F35" s="8" t="n"/>
    </row>
    <row r="36">
      <c r="A36" s="6" t="inlineStr">
        <is>
          <t>Suelo desnudo — campo (%)</t>
        </is>
      </c>
      <c r="B36" s="7" t="n">
        <v>5</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inlineStr">
        <is>
          <t>0 registradas — inventario NO ejecutado</t>
        </is>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Héctor Cahuas — brigada: Albert Flores Mendoza (operador de dron)</t>
        </is>
      </c>
      <c r="C41" s="6" t="inlineStr">
        <is>
          <t>Fecha de evaluación</t>
        </is>
      </c>
      <c r="D41" s="7" t="inlineStr">
        <is>
          <t>2026-08-10</t>
        </is>
      </c>
      <c r="E41" s="8" t="n"/>
      <c r="F41" s="8" t="n"/>
    </row>
    <row r="42">
      <c r="A42" s="6" t="inlineStr">
        <is>
          <t>Hora de registro</t>
        </is>
      </c>
      <c r="B42" s="7" t="inlineStr">
        <is>
          <t>Vuelo RPAS — hora por confirmar con EXIF</t>
        </is>
      </c>
      <c r="C42" s="6" t="inlineStr">
        <is>
          <t>Correlativo de ficha</t>
        </is>
      </c>
      <c r="D42" s="7" t="inlineStr">
        <is>
          <t>DT-66-01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aplica — lectura aérea (sin parcela instalada)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de laderas de fuerte pendiente sin prácticas de conservación de suelos, favorecida por la accesibilidad</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0.640254</v>
      </c>
      <c r="C15" s="17" t="inlineStr">
        <is>
          <t>—</t>
        </is>
      </c>
      <c r="D15" s="17" t="inlineStr">
        <is>
          <t>Vigor alto · clase &gt; 0.6139</t>
        </is>
      </c>
      <c r="E15" s="17" t="inlineStr">
        <is>
          <t>Sobre umbral</t>
        </is>
      </c>
    </row>
    <row r="17" ht="72" customHeight="1">
      <c r="A17" s="9" t="inlineStr">
        <is>
          <t>NOTA METODOLÓGICA. La media del MSAVI 2024 del bloque (0.640254)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96.2992</v>
      </c>
      <c r="C21" s="19" t="n">
        <v>94.08</v>
      </c>
      <c r="D21" s="15" t="inlineStr">
        <is>
          <t>Dosel continuo, matorral denso o mosaico agroforestal</t>
        </is>
      </c>
      <c r="E21" s="15" t="inlineStr"/>
    </row>
    <row r="22">
      <c r="A22" s="13" t="inlineStr">
        <is>
          <t>Vegetación mediana</t>
        </is>
      </c>
      <c r="B22" s="20" t="n">
        <v>5.9798</v>
      </c>
      <c r="C22" s="21" t="n">
        <v>5.84</v>
      </c>
      <c r="D22" s="14" t="inlineStr">
        <is>
          <t>Pastizal cultivado, matorral ralo, parcelas agrícolas</t>
        </is>
      </c>
      <c r="E22" s="14" t="inlineStr"/>
    </row>
    <row r="23">
      <c r="A23" s="7" t="inlineStr">
        <is>
          <t>Vegetación ligera</t>
        </is>
      </c>
      <c r="B23" s="18" t="n">
        <v>0.0791</v>
      </c>
      <c r="C23" s="19" t="n">
        <v>0.08</v>
      </c>
      <c r="D23" s="15" t="inlineStr">
        <is>
          <t>Cobertura discontinua, suelo parcialmente expuesto</t>
        </is>
      </c>
      <c r="E23" s="15" t="inlineStr"/>
    </row>
    <row r="24">
      <c r="A24" s="16" t="inlineStr">
        <is>
          <t>TOTAL CLASIFICADO</t>
        </is>
      </c>
      <c r="B24" s="22">
        <f>SUM(B21:B23)</f>
        <v/>
      </c>
      <c r="C24" s="23">
        <f>SUM(C21:C23)</f>
        <v/>
      </c>
      <c r="D24" s="17" t="inlineStr"/>
      <c r="E24" s="17" t="inlineStr"/>
    </row>
    <row r="25">
      <c r="A25" s="24" t="inlineStr">
        <is>
          <t>Superficie de catálogo (V5/V6)</t>
        </is>
      </c>
      <c r="B25" s="25" t="n">
        <v>102.34</v>
      </c>
      <c r="C25" s="25" t="inlineStr">
        <is>
          <t>—</t>
        </is>
      </c>
      <c r="D25" s="25" t="inlineStr">
        <is>
          <t>Desviación planimétrica frente al catálogo</t>
        </is>
      </c>
      <c r="E25" s="25" t="inlineStr">
        <is>
          <t>+0.02 %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92 % frente a un 94.08 % del polígono clasificado como «Vegetación alta» por el NDVI 2025; la observación de campo corresponde a una parcela o recorrido puntual y no es estadísticamente representativa de las 102.340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66</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652566</v>
      </c>
      <c r="D10" s="26" t="n">
        <v>9417311</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 del flanco</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Tributarios que disectan la ladera</t>
        </is>
      </c>
    </row>
    <row r="13">
      <c r="A13" s="13" t="inlineStr">
        <is>
          <t>H-03</t>
        </is>
      </c>
      <c r="B13" s="14" t="inlineStr">
        <is>
          <t>Fuente de agua — Río</t>
        </is>
      </c>
      <c r="C13" s="27" t="inlineStr">
        <is>
          <t>Por verificar</t>
        </is>
      </c>
      <c r="D13" s="27" t="inlineStr">
        <is>
          <t>Por verificar</t>
        </is>
      </c>
      <c r="E13" s="14" t="inlineStr"/>
      <c r="F13" s="14" t="inlineStr">
        <is>
          <t>Permanente</t>
        </is>
      </c>
      <c r="G13" s="14" t="inlineStr">
        <is>
          <t>Río de fondo de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652566</v>
      </c>
      <c r="C16" s="6" t="inlineStr">
        <is>
          <t>Centroide del bloque — UTM NORTE (m)</t>
        </is>
      </c>
      <c r="D16" s="7" t="n">
        <v>9417311</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6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EJECUTADA MEDIANTE VUELO DE DRON (RPAS) con tomas oblicuas y cenitales; NO hubo recorrido pedestre ni levantamiento GPS de puntos, por lo que las coordenadas consignadas corresponden al CENTROIDE del polígono (Bloques V4/V5). Superficie oficial 102.34 ha: EL BLOQUE MÁS EXTENSO de la microcuenca C1081-Q9591. Rango altitudinal 1 171-1 769 msnm (MDE), amplitud 598 m: el polígono cabalga las clases 1000-1500 m y 1500-2000 m; se consigna la primera por cota media (1 470 msnm) y se deja constancia del carácter transicional. Pendiente promedio zonal 31.55% ≈ 17.5° (clase 25-50%), muy por debajo del umbral de exclusión de 75%. Indicios verificados en las tomas: farallones y afloramientos en la divisoria, escarpe activo con suelo desnudo y material suelto en ladera de pastizal del sector centro-norte, terracetas y sendas de ganado (reptación) y socavamiento en el cauce principal. PMM PRELIMINAR: MEDIO-ALTO.</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66</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1" t="inlineStr">
        <is>
          <t>► 66</t>
        </is>
      </c>
      <c r="B10" s="28" t="n">
        <v>102.34</v>
      </c>
      <c r="C10" s="29" t="n">
        <v>18.53</v>
      </c>
      <c r="D10" s="12" t="inlineStr">
        <is>
          <t>1171 – 1769</t>
        </is>
      </c>
      <c r="E10" s="12" t="n">
        <v>598</v>
      </c>
      <c r="F10" s="12" t="n">
        <v>31.55</v>
      </c>
      <c r="G10" s="30" t="n">
        <v>0.6403</v>
      </c>
      <c r="H10" s="29" t="n">
        <v>94.08</v>
      </c>
    </row>
    <row r="11">
      <c r="A11" s="13" t="inlineStr">
        <is>
          <t>M30B5</t>
        </is>
      </c>
      <c r="B11" s="31" t="n">
        <v>90.90000000000001</v>
      </c>
      <c r="C11" s="21" t="n">
        <v>16.46</v>
      </c>
      <c r="D11" s="14" t="inlineStr">
        <is>
          <t>1782 – 2307</t>
        </is>
      </c>
      <c r="E11" s="14" t="n">
        <v>525</v>
      </c>
      <c r="F11" s="14" t="n">
        <v>21.23</v>
      </c>
      <c r="G11" s="20" t="n">
        <v>0.5564</v>
      </c>
      <c r="H11" s="21" t="n">
        <v>79.45999999999999</v>
      </c>
    </row>
    <row r="12">
      <c r="A12" s="7" t="inlineStr">
        <is>
          <t>21</t>
        </is>
      </c>
      <c r="B12" s="32" t="n">
        <v>84.23</v>
      </c>
      <c r="C12" s="19" t="n">
        <v>15.25</v>
      </c>
      <c r="D12" s="15" t="inlineStr">
        <is>
          <t>1353 – 2004</t>
        </is>
      </c>
      <c r="E12" s="15" t="n">
        <v>651</v>
      </c>
      <c r="F12" s="15" t="n">
        <v>31.71</v>
      </c>
      <c r="G12" s="18" t="n">
        <v>0.6201</v>
      </c>
      <c r="H12" s="19" t="n">
        <v>89.39</v>
      </c>
    </row>
    <row r="13">
      <c r="A13" s="13" t="inlineStr">
        <is>
          <t>28</t>
        </is>
      </c>
      <c r="B13" s="31" t="n">
        <v>52.97</v>
      </c>
      <c r="C13" s="21" t="n">
        <v>9.59</v>
      </c>
      <c r="D13" s="14" t="inlineStr">
        <is>
          <t>1462 – 1856</t>
        </is>
      </c>
      <c r="E13" s="14" t="n">
        <v>394</v>
      </c>
      <c r="F13" s="14" t="n">
        <v>30.36</v>
      </c>
      <c r="G13" s="20" t="n">
        <v>0.6394</v>
      </c>
      <c r="H13" s="21" t="n">
        <v>96.64</v>
      </c>
    </row>
    <row r="14">
      <c r="A14" s="7" t="inlineStr">
        <is>
          <t>26</t>
        </is>
      </c>
      <c r="B14" s="32" t="n">
        <v>46.96</v>
      </c>
      <c r="C14" s="19" t="n">
        <v>8.5</v>
      </c>
      <c r="D14" s="15" t="inlineStr">
        <is>
          <t>1260 – 1855</t>
        </is>
      </c>
      <c r="E14" s="15" t="n">
        <v>595</v>
      </c>
      <c r="F14" s="15" t="n">
        <v>32.26</v>
      </c>
      <c r="G14" s="18" t="n">
        <v>0.6733</v>
      </c>
      <c r="H14" s="19" t="n">
        <v>97.29000000000001</v>
      </c>
    </row>
    <row r="15">
      <c r="A15" s="13" t="inlineStr">
        <is>
          <t>60</t>
        </is>
      </c>
      <c r="B15" s="31" t="n">
        <v>40.13</v>
      </c>
      <c r="C15" s="21" t="n">
        <v>7.27</v>
      </c>
      <c r="D15" s="14" t="inlineStr">
        <is>
          <t>1638 – 2073</t>
        </is>
      </c>
      <c r="E15" s="14" t="n">
        <v>435</v>
      </c>
      <c r="F15" s="14" t="n">
        <v>32.67</v>
      </c>
      <c r="G15" s="20" t="n">
        <v>0.6745</v>
      </c>
      <c r="H15" s="21" t="n">
        <v>99.90000000000001</v>
      </c>
    </row>
    <row r="16">
      <c r="A16" s="7" t="inlineStr">
        <is>
          <t>64</t>
        </is>
      </c>
      <c r="B16" s="32" t="n">
        <v>35.77</v>
      </c>
      <c r="C16" s="19" t="n">
        <v>6.48</v>
      </c>
      <c r="D16" s="15" t="inlineStr">
        <is>
          <t>2412 – 2651</t>
        </is>
      </c>
      <c r="E16" s="15" t="n">
        <v>239</v>
      </c>
      <c r="F16" s="15" t="n">
        <v>28.18</v>
      </c>
      <c r="G16" s="18" t="n">
        <v>0.5254</v>
      </c>
      <c r="H16" s="19" t="n">
        <v>78.22</v>
      </c>
    </row>
    <row r="17">
      <c r="A17" s="13" t="inlineStr">
        <is>
          <t>37</t>
        </is>
      </c>
      <c r="B17" s="31" t="n">
        <v>35.49</v>
      </c>
      <c r="C17" s="21" t="n">
        <v>6.43</v>
      </c>
      <c r="D17" s="14" t="inlineStr">
        <is>
          <t>1184 – 1455</t>
        </is>
      </c>
      <c r="E17" s="14" t="n">
        <v>271</v>
      </c>
      <c r="F17" s="14" t="n">
        <v>23.59</v>
      </c>
      <c r="G17" s="20" t="n">
        <v>0.6588000000000001</v>
      </c>
      <c r="H17" s="21" t="n">
        <v>98.02</v>
      </c>
    </row>
    <row r="18">
      <c r="A18" s="7" t="inlineStr">
        <is>
          <t>30</t>
        </is>
      </c>
      <c r="B18" s="32" t="n">
        <v>34.87</v>
      </c>
      <c r="C18" s="19" t="n">
        <v>6.31</v>
      </c>
      <c r="D18" s="15" t="inlineStr">
        <is>
          <t>1216 – 1541</t>
        </is>
      </c>
      <c r="E18" s="15" t="n">
        <v>325</v>
      </c>
      <c r="F18" s="15" t="n">
        <v>27.91</v>
      </c>
      <c r="G18" s="18" t="n">
        <v>0.6637999999999999</v>
      </c>
      <c r="H18" s="19" t="n">
        <v>99.38</v>
      </c>
    </row>
    <row r="19">
      <c r="A19" s="13" t="inlineStr">
        <is>
          <t>40</t>
        </is>
      </c>
      <c r="B19" s="31"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66 ocupa el puesto 1 de 10 por superficie dentro de la microcuenca C1081-Q9591 (18.53 % de las 552.18 ha preliminares de la microcuenca). Su pendiente promedio (31.55 %, clase «25-50% (Mod. escarpado)») es la 7.ª más baja de 10 y se sitúa por encima del promedio de la microcuenca (29.09 %). Su MSAVI 2024 (0.6403) es el 5.º de 10 y queda por encima del promedio local (0.6292). Amplitud altitudinal del bloque: 598 m (1171–1769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C1081-Q9591)»; el catálogo maestro V5/V6 asigna el bloque a «C1081-Q9591»</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(102.358 ha) coincide con la de catálogo (102.34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transicional a 1500-2000 m»; el MDE sitúa el bloque entre 1171 y 1769 msnm, cuyo punto medio corresponde a «1000-1500 m (Quechua baja)»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5"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«Huamala»; el cruce INEI-Bloques V5 identifica 1 centro(s) poblado(s) en el bloque: HUAMALA BAJA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Ficha DT</t>
        </is>
      </c>
      <c r="C17" s="36" t="inlineStr">
        <is>
          <t>La ficha consigna microcuenca C1076-Q9584; el catálogo maestro asigna al bloque 66 la microcuenca C1081-Q9591</t>
        </is>
      </c>
      <c r="D17" s="35" t="inlineStr">
        <is>
          <t>SUSTANTIVA</t>
        </is>
      </c>
      <c r="E17" s="36" t="inlineStr">
        <is>
          <t>Valor por defecto de la plantilla; se conserva el del catálogo</t>
        </is>
      </c>
    </row>
    <row r="18" ht="48" customHeight="1">
      <c r="A18" s="34" t="inlineStr">
        <is>
          <t>D-09</t>
        </is>
      </c>
      <c r="B18" s="34" t="inlineStr">
        <is>
          <t>F-DT-01</t>
        </is>
      </c>
      <c r="C18" s="34" t="inlineStr">
        <is>
          <t>Verificación exclusivamente aérea (RPAS): coordenadas = centroide del polígono, no punto GPS de campo</t>
        </is>
      </c>
      <c r="D18" s="12" t="inlineStr">
        <is>
          <t>NO SUSTANTIVA</t>
        </is>
      </c>
      <c r="E18" s="34" t="inlineStr">
        <is>
          <t>Declarado en la propia ficha</t>
        </is>
      </c>
    </row>
    <row r="19" ht="48" customHeight="1">
      <c r="A19" s="36" t="inlineStr">
        <is>
          <t>D-10</t>
        </is>
      </c>
      <c r="B19" s="36" t="inlineStr">
        <is>
          <t>F-DT-01</t>
        </is>
      </c>
      <c r="C19" s="36" t="inlineStr">
        <is>
          <t>Rango altitudinal 1171-1769 msnm cabalga dos clases altitudinales</t>
        </is>
      </c>
      <c r="D19" s="12" t="inlineStr">
        <is>
          <t>NO SUSTANTIVA</t>
        </is>
      </c>
      <c r="E19" s="36" t="inlineStr">
        <is>
          <t>Se consigna la clase de la cota media y se deja constancia del carácter transicional</t>
        </is>
      </c>
    </row>
    <row r="20" ht="48" customHeight="1">
      <c r="A20" s="34" t="inlineStr">
        <is>
          <t>D-11</t>
        </is>
      </c>
      <c r="B20" s="34" t="inlineStr">
        <is>
          <t>F-DT-02</t>
        </is>
      </c>
      <c r="C20" s="34" t="inlineStr">
        <is>
          <t>0 cárcavas registradas con inventario NO ejecutado</t>
        </is>
      </c>
      <c r="D20" s="35" t="inlineStr">
        <is>
          <t>SUSTANTIVA</t>
        </is>
      </c>
      <c r="E20" s="34" t="inlineStr">
        <is>
          <t>No equivale a ausencia; pendiente de ortomosaico y MDS del propio vuelo</t>
        </is>
      </c>
    </row>
    <row r="21" ht="48" customHeight="1">
      <c r="A21" s="36" t="inlineStr">
        <is>
          <t>D-12</t>
        </is>
      </c>
      <c r="B21" s="36" t="inlineStr">
        <is>
          <t>F-DT-03</t>
        </is>
      </c>
      <c r="C21" s="36" t="inlineStr">
        <is>
          <t>Composición florística transferida POR ANALOGÍA con el Bloque 21</t>
        </is>
      </c>
      <c r="D21" s="35" t="inlineStr">
        <is>
          <t>SUSTANTIVA</t>
        </is>
      </c>
      <c r="E21" s="36" t="inlineStr">
        <is>
          <t>No constituye levantamiento propio; requiere colecta y determinación botánica</t>
        </is>
      </c>
    </row>
    <row r="22" ht="48" customHeight="1">
      <c r="A22" s="34" t="inlineStr">
        <is>
          <t>D-13</t>
        </is>
      </c>
      <c r="B22" s="34" t="inlineStr">
        <is>
          <t>F-DT-03</t>
        </is>
      </c>
      <c r="C22" s="34" t="inlineStr">
        <is>
          <t>Superficie de ecosistema por verificar contra el Reporte de Ecosistemas por Bloques V5</t>
        </is>
      </c>
      <c r="D22" s="12" t="inlineStr">
        <is>
          <t>NO SUSTANTIVA</t>
        </is>
      </c>
      <c r="E22" s="34" t="inlineStr">
        <is>
          <t>Pendiente de conciliación</t>
        </is>
      </c>
    </row>
    <row r="23" ht="48" customHeight="1">
      <c r="A23" s="36" t="inlineStr">
        <is>
          <t>D-14</t>
        </is>
      </c>
      <c r="B23" s="36" t="inlineStr">
        <is>
          <t>F-DT-04</t>
        </is>
      </c>
      <c r="C23" s="36" t="inlineStr">
        <is>
          <t>Indicador de brecha (R.M. 00213-2024-MINAM) no debe calcularse sobre las 102.34 ha del bloque</t>
        </is>
      </c>
      <c r="D23" s="35" t="inlineStr">
        <is>
          <t>SUSTANTIVA</t>
        </is>
      </c>
      <c r="E23" s="36" t="inlineStr">
        <is>
          <t>Calcular sobre la superficie efectivamente degradada</t>
        </is>
      </c>
    </row>
    <row r="25">
      <c r="A25" s="16" t="inlineStr">
        <is>
          <t>RESUMEN</t>
        </is>
      </c>
      <c r="B25" s="17" t="inlineStr">
        <is>
          <t>14 verificaciones</t>
        </is>
      </c>
      <c r="C25" s="17" t="inlineStr">
        <is>
          <t>CONFORME: 3 · NO SUSTANTIVA: 4 · SUSTANTIVA: 7</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66 — IN Piura</dc:title>
  <dc:subject>Diagnóstico Territorial por bloque de intervención</dc:subject>
  <dcterms:created xsi:type="dcterms:W3CDTF">2026-09-08T03:39:57Z</dcterms:created>
  <dcterms:modified xsi:type="dcterms:W3CDTF">2026-09-08T03:39:57Z</dcterms:modified>
</cp:coreProperties>
</file>