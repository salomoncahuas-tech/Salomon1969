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66</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66</t>
        </is>
      </c>
      <c r="C9" s="6" t="inlineStr">
        <is>
          <t>Microcuenca (catálogo)</t>
        </is>
      </c>
      <c r="D9" s="7" t="inlineStr">
        <is>
          <t>C1081-Q9591</t>
        </is>
      </c>
      <c r="E9" s="8" t="n"/>
      <c r="F9" s="8" t="n"/>
    </row>
    <row r="10">
      <c r="A10" s="6" t="inlineStr">
        <is>
          <t>Zona de planificación</t>
        </is>
      </c>
      <c r="B10" s="7" t="inlineStr">
        <is>
          <t>Z11</t>
        </is>
      </c>
      <c r="C10" s="6" t="inlineStr">
        <is>
          <t>Microcuenca declarada en ficha DT</t>
        </is>
      </c>
      <c r="D10" s="7" t="inlineStr">
        <is>
          <t>C1076-Q9584 (según ficha — valor por defecto de plantilla; catálogo: C1081-Q9591)</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Canchaque</t>
        </is>
      </c>
      <c r="C12" s="6" t="inlineStr">
        <is>
          <t>Capital distrital</t>
        </is>
      </c>
      <c r="D12" s="7" t="inlineStr">
        <is>
          <t>Canchaque</t>
        </is>
      </c>
      <c r="E12" s="8" t="n"/>
      <c r="F12" s="8" t="n"/>
    </row>
    <row r="13">
      <c r="A13" s="6" t="inlineStr">
        <is>
          <t>Centro poblado asociado</t>
        </is>
      </c>
      <c r="B13" s="7" t="inlineStr">
        <is>
          <t>Huamala</t>
        </is>
      </c>
      <c r="C13" s="6" t="inlineStr">
        <is>
          <t>Comunidad campesina</t>
        </is>
      </c>
      <c r="D13" s="7" t="inlineStr">
        <is>
          <t>Por verificar</t>
        </is>
      </c>
      <c r="E13" s="8" t="n"/>
      <c r="F13" s="8" t="n"/>
    </row>
    <row r="14">
      <c r="A14" s="6" t="inlineStr">
        <is>
          <t>Superficie de catálogo (V5/V6), ha</t>
        </is>
      </c>
      <c r="B14" s="7" t="n">
        <v>102.34</v>
      </c>
      <c r="C14" s="6" t="inlineStr">
        <is>
          <t>Fuente de superficie</t>
        </is>
      </c>
      <c r="D14" s="7" t="inlineStr">
        <is>
          <t>Catálogo maestro Bloques V5/V6</t>
        </is>
      </c>
      <c r="E14" s="8" t="n"/>
      <c r="F14" s="8" t="n"/>
    </row>
    <row r="15">
      <c r="A15" s="6" t="inlineStr">
        <is>
          <t>Centroide UTM ESTE (m)</t>
        </is>
      </c>
      <c r="B15" s="7" t="n">
        <v>652566</v>
      </c>
      <c r="C15" s="6" t="inlineStr">
        <is>
          <t>Centroide UTM NORTE (m)</t>
        </is>
      </c>
      <c r="D15" s="7" t="n">
        <v>9417311</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1171</v>
      </c>
      <c r="C19" s="6" t="inlineStr">
        <is>
          <t>Altitud máxima (msnm)</t>
        </is>
      </c>
      <c r="D19" s="7" t="n">
        <v>1769</v>
      </c>
      <c r="E19" s="8" t="n"/>
      <c r="F19" s="8" t="n"/>
    </row>
    <row r="20">
      <c r="A20" s="6" t="inlineStr">
        <is>
          <t>Amplitud altitudinal (m)</t>
        </is>
      </c>
      <c r="B20" s="7" t="n">
        <v>598</v>
      </c>
      <c r="C20" s="6" t="inlineStr">
        <is>
          <t>Piso altitudinal dominante</t>
        </is>
      </c>
      <c r="D20" s="7" t="inlineStr">
        <is>
          <t>1000-1500 m (Quechua baja)</t>
        </is>
      </c>
      <c r="E20" s="8" t="n"/>
      <c r="F20" s="8" t="n"/>
    </row>
    <row r="21">
      <c r="A21" s="6" t="inlineStr">
        <is>
          <t>Pendiente promedio (%)</t>
        </is>
      </c>
      <c r="B21" s="7" t="n">
        <v>31.55</v>
      </c>
      <c r="C21" s="6" t="inlineStr">
        <is>
          <t>Pendiente promedio (grados)</t>
        </is>
      </c>
      <c r="D21" s="7" t="n">
        <v>17.5</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7" ht="18" customHeight="1">
      <c r="A27" s="5" t="inlineStr">
        <is>
          <t>3. ÍNDICES DE VEGETACIÓN (SENTINEL-2)</t>
        </is>
      </c>
    </row>
    <row r="28">
      <c r="A28" s="6" t="inlineStr">
        <is>
          <t>MSAVI 2024 — media del bloque</t>
        </is>
      </c>
      <c r="B28" s="7" t="n">
        <v>0.6403</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(94.08 %)</t>
        </is>
      </c>
      <c r="E29" s="8" t="n"/>
      <c r="F29" s="8" t="n"/>
    </row>
    <row r="30">
      <c r="A30" s="6" t="inlineStr">
        <is>
          <t>Superficie clasificada NDVI 2025 (ha)</t>
        </is>
      </c>
      <c r="B30" s="7" t="n">
        <v>102.358</v>
      </c>
      <c r="C30" s="6" t="inlineStr">
        <is>
          <t>Desviación frente al catálogo (%)</t>
        </is>
      </c>
      <c r="D30" s="7" t="n">
        <v>0.02</v>
      </c>
      <c r="E30" s="8" t="n"/>
      <c r="F30" s="8" t="n"/>
    </row>
    <row r="32" ht="18" customHeight="1">
      <c r="A32" s="5" t="inlineStr">
        <is>
          <t>4. ECOSISTEMA Y ESTADO DE CONSERVACIÓN</t>
        </is>
      </c>
    </row>
    <row r="33">
      <c r="A33" s="6" t="inlineStr">
        <is>
          <t>Tipo de ecosistema (UP)</t>
        </is>
      </c>
      <c r="B33" s="7" t="inlineStr">
        <is>
          <t>Matorral Andino subhúmedo</t>
        </is>
      </c>
      <c r="C33" s="6" t="inlineStr">
        <is>
          <t>Superficie de ecosistema (ha)</t>
        </is>
      </c>
      <c r="D33" s="7" t="inlineStr">
        <is>
          <t>Por verificar (Reporte de Ecosistemas por Bloques V5)</t>
        </is>
      </c>
      <c r="E33" s="8" t="n"/>
      <c r="F33" s="8" t="n"/>
    </row>
    <row r="34">
      <c r="A34" s="6" t="inlineStr">
        <is>
          <t>Estado de conservación</t>
        </is>
      </c>
      <c r="B34" s="7" t="inlineStr">
        <is>
          <t>Medianamente alterado</t>
        </is>
      </c>
      <c r="C34" s="6" t="inlineStr">
        <is>
          <t>Uso actual dominante del suelo</t>
        </is>
      </c>
      <c r="D34" s="7" t="inlineStr">
        <is>
          <t>Uso mixto</t>
        </is>
      </c>
      <c r="E34" s="8" t="n"/>
      <c r="F34" s="8" t="n"/>
    </row>
    <row r="35">
      <c r="A35" s="6" t="inlineStr">
        <is>
          <t>Tipo de cobertura dominante</t>
        </is>
      </c>
      <c r="B35" s="7" t="inlineStr">
        <is>
          <t>Matorral denso</t>
        </is>
      </c>
      <c r="C35" s="6" t="inlineStr">
        <is>
          <t>Cobertura vegetal total — campo (%)</t>
        </is>
      </c>
      <c r="D35" s="7" t="n">
        <v>92</v>
      </c>
      <c r="E35" s="8" t="n"/>
      <c r="F35" s="8" t="n"/>
    </row>
    <row r="36">
      <c r="A36" s="6" t="inlineStr">
        <is>
          <t>Suelo desnudo — campo (%)</t>
        </is>
      </c>
      <c r="B36" s="7" t="n">
        <v>5</v>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inlineStr">
        <is>
          <t>0 registradas — inventario NO ejecutado</t>
        </is>
      </c>
      <c r="E37" s="8" t="n"/>
      <c r="F37" s="8" t="n"/>
    </row>
    <row r="38">
      <c r="A38" s="6" t="inlineStr">
        <is>
          <t>Elenco florístico (n.° de taxones)</t>
        </is>
      </c>
      <c r="B38" s="7" t="n">
        <v>15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Héctor Cahuas — brigada: Albert Flores Mendoza (operador de dron)</t>
        </is>
      </c>
      <c r="C41" s="6" t="inlineStr">
        <is>
          <t>Fecha de evaluación</t>
        </is>
      </c>
      <c r="D41" s="7" t="inlineStr">
        <is>
          <t>2026-08-10</t>
        </is>
      </c>
      <c r="E41" s="8" t="n"/>
      <c r="F41" s="8" t="n"/>
    </row>
    <row r="42">
      <c r="A42" s="6" t="inlineStr">
        <is>
          <t>Hora de registro</t>
        </is>
      </c>
      <c r="B42" s="7" t="inlineStr">
        <is>
          <t>Vuelo RPAS — hora por confirmar con EXIF</t>
        </is>
      </c>
      <c r="C42" s="6" t="inlineStr">
        <is>
          <t>Correlativo de ficha</t>
        </is>
      </c>
      <c r="D42" s="7" t="inlineStr">
        <is>
          <t>DT-66-01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aplica — lectura aérea (sin parcela instalada)</t>
        </is>
      </c>
      <c r="E44" s="8" t="n"/>
      <c r="F44" s="8" t="n"/>
    </row>
    <row r="45">
      <c r="A45" s="6" t="inlineStr">
        <is>
          <t>Estaciones fotográficas georreferenciadas</t>
        </is>
      </c>
      <c r="B45" s="7" t="n">
        <v>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Ocupación productiva de laderas de fuerte pendiente sin prácticas de conservación de suelos, favorecida por la accesibilidad</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66</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12" t="inlineStr">
        <is>
          <t>Por determinar</t>
        </is>
      </c>
      <c r="C10" s="12" t="inlineStr">
        <is>
          <t>Por determinar</t>
        </is>
      </c>
      <c r="D10" s="12" t="inlineStr">
        <is>
          <t>Vigor alto</t>
        </is>
      </c>
      <c r="E10" s="12" t="inlineStr">
        <is>
          <t>Sobre umbral</t>
        </is>
      </c>
    </row>
    <row r="11">
      <c r="A11" s="13" t="inlineStr">
        <is>
          <t>0.4976 - 0.6139</t>
        </is>
      </c>
      <c r="B11" s="14" t="inlineStr">
        <is>
          <t>Por determinar</t>
        </is>
      </c>
      <c r="C11" s="14" t="inlineStr">
        <is>
          <t>Por determinar</t>
        </is>
      </c>
      <c r="D11" s="14" t="inlineStr">
        <is>
          <t>Vigor moderado</t>
        </is>
      </c>
      <c r="E11" s="14" t="inlineStr">
        <is>
          <t>Sobre umbral</t>
        </is>
      </c>
    </row>
    <row r="12">
      <c r="A12" s="7" t="inlineStr">
        <is>
          <t>0.3813 - 0.4976</t>
        </is>
      </c>
      <c r="B12" s="15" t="inlineStr">
        <is>
          <t>Por determinar</t>
        </is>
      </c>
      <c r="C12" s="15" t="inlineStr">
        <is>
          <t>Por determinar</t>
        </is>
      </c>
      <c r="D12" s="15" t="inlineStr">
        <is>
          <t>Vigor bajo</t>
        </is>
      </c>
      <c r="E12" s="15" t="inlineStr">
        <is>
          <t>BAJO umbral 0.4976</t>
        </is>
      </c>
    </row>
    <row r="13">
      <c r="A13" s="13" t="inlineStr">
        <is>
          <t>0.2650 - 0.3813</t>
        </is>
      </c>
      <c r="B13" s="14" t="inlineStr">
        <is>
          <t>Por determinar</t>
        </is>
      </c>
      <c r="C13" s="14" t="inlineStr">
        <is>
          <t>Por determinar</t>
        </is>
      </c>
      <c r="D13" s="14" t="inlineStr">
        <is>
          <t>Vigor muy bajo</t>
        </is>
      </c>
      <c r="E13" s="14" t="inlineStr">
        <is>
          <t>BAJO umbral 0.4976</t>
        </is>
      </c>
    </row>
    <row r="14">
      <c r="A14" s="7"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0.640254</v>
      </c>
      <c r="C15" s="17" t="inlineStr">
        <is>
          <t>—</t>
        </is>
      </c>
      <c r="D15" s="17" t="inlineStr">
        <is>
          <t>Vigor alto · clase &gt; 0.6139</t>
        </is>
      </c>
      <c r="E15" s="17" t="inlineStr">
        <is>
          <t>Sobre umbral</t>
        </is>
      </c>
    </row>
    <row r="17" ht="72" customHeight="1">
      <c r="A17" s="9" t="inlineStr">
        <is>
          <t>NOTA METODOLÓGICA. La media del MSAVI 2024 del bloque (0.640254)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96.2992</v>
      </c>
      <c r="C21" s="19" t="n">
        <v>94.08</v>
      </c>
      <c r="D21" s="15" t="inlineStr">
        <is>
          <t>Dosel continuo, matorral denso o mosaico agroforestal</t>
        </is>
      </c>
      <c r="E21" s="15" t="inlineStr"/>
    </row>
    <row r="22">
      <c r="A22" s="13" t="inlineStr">
        <is>
          <t>Vegetación mediana</t>
        </is>
      </c>
      <c r="B22" s="20" t="n">
        <v>5.9798</v>
      </c>
      <c r="C22" s="21" t="n">
        <v>5.84</v>
      </c>
      <c r="D22" s="14" t="inlineStr">
        <is>
          <t>Pastizal cultivado, matorral ralo, parcelas agrícolas</t>
        </is>
      </c>
      <c r="E22" s="14" t="inlineStr"/>
    </row>
    <row r="23">
      <c r="A23" s="7" t="inlineStr">
        <is>
          <t>Vegetación ligera</t>
        </is>
      </c>
      <c r="B23" s="18" t="n">
        <v>0.0791</v>
      </c>
      <c r="C23" s="19" t="n">
        <v>0.08</v>
      </c>
      <c r="D23" s="15" t="inlineStr">
        <is>
          <t>Cobertura discontinua, suelo parcialmente expuesto</t>
        </is>
      </c>
      <c r="E23" s="15" t="inlineStr"/>
    </row>
    <row r="24">
      <c r="A24" s="16" t="inlineStr">
        <is>
          <t>TOTAL CLASIFICADO</t>
        </is>
      </c>
      <c r="B24" s="22">
        <f>SUM(B21:B23)</f>
        <v/>
      </c>
      <c r="C24" s="23">
        <f>SUM(C21:C23)</f>
        <v/>
      </c>
      <c r="D24" s="17" t="inlineStr"/>
      <c r="E24" s="17" t="inlineStr"/>
    </row>
    <row r="25">
      <c r="A25" s="24" t="inlineStr">
        <is>
          <t>Superficie de catálogo (V5/V6)</t>
        </is>
      </c>
      <c r="B25" s="25" t="n">
        <v>102.34</v>
      </c>
      <c r="C25" s="25" t="inlineStr">
        <is>
          <t>—</t>
        </is>
      </c>
      <c r="D25" s="25" t="inlineStr">
        <is>
          <t>Desviación planimétrica frente al catálogo</t>
        </is>
      </c>
      <c r="E25" s="25" t="inlineStr">
        <is>
          <t>+0.02 %</t>
        </is>
      </c>
    </row>
    <row r="27" ht="108"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92 % frente a un 94.08 % del polígono clasificado como «Vegetación alta» por el NDVI 2025; la observación de campo corresponde a una parcela o recorrido puntual y no es estadísticamente representativa de las 102.340 ha del bloque.</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66</t>
        </is>
      </c>
    </row>
    <row r="6" ht="24" customHeight="1">
      <c r="A6" s="4" t="inlineStr">
        <is>
          <t>Levantamiento del 2026-08-10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652566</v>
      </c>
      <c r="D10" s="26" t="n">
        <v>9417311</v>
      </c>
      <c r="E10" s="15" t="n">
        <v>0</v>
      </c>
      <c r="F10" s="15" t="inlineStr"/>
      <c r="G10" s="15" t="inlineStr">
        <is>
          <t>Coordenada consignada en F-DT-01</t>
        </is>
      </c>
    </row>
    <row r="11">
      <c r="A11" s="13" t="inlineStr">
        <is>
          <t>H-01</t>
        </is>
      </c>
      <c r="B11" s="14" t="inlineStr">
        <is>
          <t>Fuente de agua — Quebrada permanente</t>
        </is>
      </c>
      <c r="C11" s="27" t="inlineStr">
        <is>
          <t>Por verificar</t>
        </is>
      </c>
      <c r="D11" s="27" t="inlineStr">
        <is>
          <t>Por verificar</t>
        </is>
      </c>
      <c r="E11" s="14" t="inlineStr"/>
      <c r="F11" s="14" t="inlineStr">
        <is>
          <t>Permanente</t>
        </is>
      </c>
      <c r="G11" s="14" t="inlineStr">
        <is>
          <t>Cauce principal del flanco</t>
        </is>
      </c>
    </row>
    <row r="12">
      <c r="A12" s="7" t="inlineStr">
        <is>
          <t>H-02</t>
        </is>
      </c>
      <c r="B12" s="15" t="inlineStr">
        <is>
          <t>Fuente de agua — Quebrada estacional</t>
        </is>
      </c>
      <c r="C12" s="26" t="inlineStr">
        <is>
          <t>Por verificar</t>
        </is>
      </c>
      <c r="D12" s="26" t="inlineStr">
        <is>
          <t>Por verificar</t>
        </is>
      </c>
      <c r="E12" s="15" t="inlineStr"/>
      <c r="F12" s="15" t="inlineStr">
        <is>
          <t>Estacional</t>
        </is>
      </c>
      <c r="G12" s="15" t="inlineStr">
        <is>
          <t>Tributarios que disectan la ladera</t>
        </is>
      </c>
    </row>
    <row r="13">
      <c r="A13" s="13" t="inlineStr">
        <is>
          <t>H-03</t>
        </is>
      </c>
      <c r="B13" s="14" t="inlineStr">
        <is>
          <t>Fuente de agua — Río</t>
        </is>
      </c>
      <c r="C13" s="27" t="inlineStr">
        <is>
          <t>Por verificar</t>
        </is>
      </c>
      <c r="D13" s="27" t="inlineStr">
        <is>
          <t>Por verificar</t>
        </is>
      </c>
      <c r="E13" s="14" t="inlineStr"/>
      <c r="F13" s="14" t="inlineStr">
        <is>
          <t>Permanente</t>
        </is>
      </c>
      <c r="G13" s="14" t="inlineStr">
        <is>
          <t>Río de fondo de valle</t>
        </is>
      </c>
    </row>
    <row r="14">
      <c r="A14" s="16" t="inlineStr">
        <is>
          <t>TOTAL: 4 puntos</t>
        </is>
      </c>
      <c r="B14" s="17" t="inlineStr"/>
      <c r="C14" s="17" t="inlineStr"/>
      <c r="D14" s="17" t="inlineStr"/>
      <c r="E14" s="17" t="inlineStr"/>
      <c r="F14" s="17" t="inlineStr"/>
      <c r="G14" s="17" t="inlineStr"/>
    </row>
    <row r="16">
      <c r="A16" s="6" t="inlineStr">
        <is>
          <t>Centroide del bloque — UTM ESTE (m)</t>
        </is>
      </c>
      <c r="B16" s="7" t="n">
        <v>652566</v>
      </c>
      <c r="C16" s="6" t="inlineStr">
        <is>
          <t>Centroide del bloque — UTM NORTE (m)</t>
        </is>
      </c>
      <c r="D16" s="7" t="n">
        <v>9417311</v>
      </c>
      <c r="E16" s="8" t="n"/>
      <c r="F16" s="8" t="n"/>
      <c r="G16" s="8" t="n"/>
      <c r="H16" s="8" t="n"/>
    </row>
    <row r="17">
      <c r="A17" s="6" t="inlineStr">
        <is>
          <t>N.° de estaciones fotográficas declaradas</t>
        </is>
      </c>
      <c r="B17" s="7" t="n">
        <v>0</v>
      </c>
      <c r="C17" s="6" t="inlineStr">
        <is>
          <t>Estaciones dentro del polígono</t>
        </is>
      </c>
      <c r="D17" s="7" t="n">
        <v>0</v>
      </c>
      <c r="E17" s="8" t="n"/>
      <c r="F17" s="8" t="n"/>
      <c r="G17" s="8" t="n"/>
      <c r="H17" s="8" t="n"/>
    </row>
    <row r="19" ht="168" customHeight="1">
      <c r="A19"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EJECUTADA MEDIANTE VUELO DE DRON (RPAS) con tomas oblicuas y cenitales; NO hubo recorrido pedestre ni levantamiento GPS de puntos, por lo que las coordenadas consignadas corresponden al CENTROIDE del polígono (Bloques V4/V5). Superficie oficial 102.34 ha: EL BLOQUE MÁS EXTENSO de la microcuenca C1081-Q9591. Rango altitudinal 1 171-1 769 msnm (MDE), amplitud 598 m: el polígono cabalga las clases 1000-1500 m y 1500-2000 m; se consigna la primera por cota media (1 470 msnm) y se deja constancia del carácter transicional. Pendiente promedio zonal 31.55% ≈ 17.5° (clase 25-50%), muy por debajo del umbral de exclusión de 75%. Indicios verificados en las tomas: farallones y afloramientos en la divisoria, escarpe activo con suelo desnudo y material suelto en ladera de pastizal del sector centro-norte, terracetas y sendas de ganado (reptación) y socavamiento en el cauce principal. PMM PRELIMINAR: MEDIO-ALTO.</t>
        </is>
      </c>
    </row>
  </sheetData>
  <mergeCells count="8">
    <mergeCell ref="A1:G1"/>
    <mergeCell ref="A8:G8"/>
    <mergeCell ref="A3:G3"/>
    <mergeCell ref="A6:G6"/>
    <mergeCell ref="A4:G4"/>
    <mergeCell ref="A2:G2"/>
    <mergeCell ref="A19:G19"/>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C1081-Q9591 — BLOQUE 66</t>
        </is>
      </c>
    </row>
    <row r="6" ht="24" customHeight="1">
      <c r="A6" s="4" t="inlineStr">
        <is>
          <t>Distrito de Canchaque · Provincia de Huancabamba · Comparación de los bloques preliminares de intervención de la misma microcuenca</t>
        </is>
      </c>
    </row>
    <row r="8" ht="18" customHeight="1">
      <c r="A8" s="5" t="inlineStr">
        <is>
          <t>BLOQUES DE LA MICROCUENCA C1081-Q9591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1" t="inlineStr">
        <is>
          <t>► 66</t>
        </is>
      </c>
      <c r="B10" s="28" t="n">
        <v>102.34</v>
      </c>
      <c r="C10" s="29" t="n">
        <v>18.53</v>
      </c>
      <c r="D10" s="12" t="inlineStr">
        <is>
          <t>1171 – 1769</t>
        </is>
      </c>
      <c r="E10" s="12" t="n">
        <v>598</v>
      </c>
      <c r="F10" s="12" t="n">
        <v>31.55</v>
      </c>
      <c r="G10" s="30" t="n">
        <v>0.6403</v>
      </c>
      <c r="H10" s="29" t="n">
        <v>94.08</v>
      </c>
    </row>
    <row r="11">
      <c r="A11" s="13" t="inlineStr">
        <is>
          <t>M30B5</t>
        </is>
      </c>
      <c r="B11" s="31" t="n">
        <v>90.90000000000001</v>
      </c>
      <c r="C11" s="21" t="n">
        <v>16.46</v>
      </c>
      <c r="D11" s="14" t="inlineStr">
        <is>
          <t>1782 – 2307</t>
        </is>
      </c>
      <c r="E11" s="14" t="n">
        <v>525</v>
      </c>
      <c r="F11" s="14" t="n">
        <v>21.23</v>
      </c>
      <c r="G11" s="20" t="n">
        <v>0.5564</v>
      </c>
      <c r="H11" s="21" t="n">
        <v>79.45999999999999</v>
      </c>
    </row>
    <row r="12">
      <c r="A12" s="7" t="inlineStr">
        <is>
          <t>21</t>
        </is>
      </c>
      <c r="B12" s="32" t="n">
        <v>84.23</v>
      </c>
      <c r="C12" s="19" t="n">
        <v>15.25</v>
      </c>
      <c r="D12" s="15" t="inlineStr">
        <is>
          <t>1353 – 2004</t>
        </is>
      </c>
      <c r="E12" s="15" t="n">
        <v>651</v>
      </c>
      <c r="F12" s="15" t="n">
        <v>31.71</v>
      </c>
      <c r="G12" s="18" t="n">
        <v>0.6201</v>
      </c>
      <c r="H12" s="19" t="n">
        <v>89.39</v>
      </c>
    </row>
    <row r="13">
      <c r="A13" s="13" t="inlineStr">
        <is>
          <t>28</t>
        </is>
      </c>
      <c r="B13" s="31" t="n">
        <v>52.97</v>
      </c>
      <c r="C13" s="21" t="n">
        <v>9.59</v>
      </c>
      <c r="D13" s="14" t="inlineStr">
        <is>
          <t>1462 – 1856</t>
        </is>
      </c>
      <c r="E13" s="14" t="n">
        <v>394</v>
      </c>
      <c r="F13" s="14" t="n">
        <v>30.36</v>
      </c>
      <c r="G13" s="20" t="n">
        <v>0.6394</v>
      </c>
      <c r="H13" s="21" t="n">
        <v>96.64</v>
      </c>
    </row>
    <row r="14">
      <c r="A14" s="7" t="inlineStr">
        <is>
          <t>26</t>
        </is>
      </c>
      <c r="B14" s="32" t="n">
        <v>46.96</v>
      </c>
      <c r="C14" s="19" t="n">
        <v>8.5</v>
      </c>
      <c r="D14" s="15" t="inlineStr">
        <is>
          <t>1260 – 1855</t>
        </is>
      </c>
      <c r="E14" s="15" t="n">
        <v>595</v>
      </c>
      <c r="F14" s="15" t="n">
        <v>32.26</v>
      </c>
      <c r="G14" s="18" t="n">
        <v>0.6733</v>
      </c>
      <c r="H14" s="19" t="n">
        <v>97.29000000000001</v>
      </c>
    </row>
    <row r="15">
      <c r="A15" s="13" t="inlineStr">
        <is>
          <t>60</t>
        </is>
      </c>
      <c r="B15" s="31" t="n">
        <v>40.13</v>
      </c>
      <c r="C15" s="21" t="n">
        <v>7.27</v>
      </c>
      <c r="D15" s="14" t="inlineStr">
        <is>
          <t>1638 – 2073</t>
        </is>
      </c>
      <c r="E15" s="14" t="n">
        <v>435</v>
      </c>
      <c r="F15" s="14" t="n">
        <v>32.67</v>
      </c>
      <c r="G15" s="20" t="n">
        <v>0.6745</v>
      </c>
      <c r="H15" s="21" t="n">
        <v>99.90000000000001</v>
      </c>
    </row>
    <row r="16">
      <c r="A16" s="7" t="inlineStr">
        <is>
          <t>64</t>
        </is>
      </c>
      <c r="B16" s="32" t="n">
        <v>35.77</v>
      </c>
      <c r="C16" s="19" t="n">
        <v>6.48</v>
      </c>
      <c r="D16" s="15" t="inlineStr">
        <is>
          <t>2412 – 2651</t>
        </is>
      </c>
      <c r="E16" s="15" t="n">
        <v>239</v>
      </c>
      <c r="F16" s="15" t="n">
        <v>28.18</v>
      </c>
      <c r="G16" s="18" t="n">
        <v>0.5254</v>
      </c>
      <c r="H16" s="19" t="n">
        <v>78.22</v>
      </c>
    </row>
    <row r="17">
      <c r="A17" s="13" t="inlineStr">
        <is>
          <t>37</t>
        </is>
      </c>
      <c r="B17" s="31" t="n">
        <v>35.49</v>
      </c>
      <c r="C17" s="21" t="n">
        <v>6.43</v>
      </c>
      <c r="D17" s="14" t="inlineStr">
        <is>
          <t>1184 – 1455</t>
        </is>
      </c>
      <c r="E17" s="14" t="n">
        <v>271</v>
      </c>
      <c r="F17" s="14" t="n">
        <v>23.59</v>
      </c>
      <c r="G17" s="20" t="n">
        <v>0.6588000000000001</v>
      </c>
      <c r="H17" s="21" t="n">
        <v>98.02</v>
      </c>
    </row>
    <row r="18">
      <c r="A18" s="7" t="inlineStr">
        <is>
          <t>30</t>
        </is>
      </c>
      <c r="B18" s="32" t="n">
        <v>34.87</v>
      </c>
      <c r="C18" s="19" t="n">
        <v>6.31</v>
      </c>
      <c r="D18" s="15" t="inlineStr">
        <is>
          <t>1216 – 1541</t>
        </is>
      </c>
      <c r="E18" s="15" t="n">
        <v>325</v>
      </c>
      <c r="F18" s="15" t="n">
        <v>27.91</v>
      </c>
      <c r="G18" s="18" t="n">
        <v>0.6637999999999999</v>
      </c>
      <c r="H18" s="19" t="n">
        <v>99.38</v>
      </c>
    </row>
    <row r="19">
      <c r="A19" s="13" t="inlineStr">
        <is>
          <t>40</t>
        </is>
      </c>
      <c r="B19" s="31" t="n">
        <v>28.52</v>
      </c>
      <c r="C19" s="21" t="n">
        <v>5.16</v>
      </c>
      <c r="D19" s="14" t="inlineStr">
        <is>
          <t>1407 – 1656</t>
        </is>
      </c>
      <c r="E19" s="14" t="n">
        <v>249</v>
      </c>
      <c r="F19" s="14" t="n">
        <v>31.4</v>
      </c>
      <c r="G19" s="20" t="n">
        <v>0.6401</v>
      </c>
      <c r="H19" s="21" t="n">
        <v>99.55</v>
      </c>
    </row>
    <row r="20">
      <c r="A20" s="16" t="inlineStr">
        <is>
          <t>TOTAL / PROMEDIO</t>
        </is>
      </c>
      <c r="B20" s="33">
        <f>SUM(B10:B19)</f>
        <v/>
      </c>
      <c r="C20" s="23">
        <f>SUM(C10:C19)</f>
        <v/>
      </c>
      <c r="D20" s="17" t="inlineStr">
        <is>
          <t>1171 – 2651</t>
        </is>
      </c>
      <c r="E20" s="17" t="inlineStr"/>
      <c r="F20" s="17">
        <f>ROUND(AVERAGE(F10:F19),2)</f>
        <v/>
      </c>
      <c r="G20" s="22">
        <f>ROUND(AVERAGE(G10:G19),4)</f>
        <v/>
      </c>
      <c r="H20" s="23">
        <f>ROUND(AVERAGE(H10:H19),2)</f>
        <v/>
      </c>
    </row>
    <row r="22" ht="84" customHeight="1">
      <c r="A22" s="9" t="inlineStr">
        <is>
          <t>LECTURA INTRAMICROCUENCA. El bloque 66 ocupa el puesto 1 de 10 por superficie dentro de la microcuenca C1081-Q9591 (18.53 % de las 552.18 ha preliminares de la microcuenca). Su pendiente promedio (31.55 %, clase «25-50% (Mod. escarpado)») es la 7.ª más baja de 10 y se sitúa por encima del promedio de la microcuenca (29.09 %). Su MSAVI 2024 (0.6403) es el 5.º de 10 y queda por encima del promedio local (0.6292). Amplitud altitudinal del bloque: 598 m (1171–1769 msnm). El cuadro conserva todos los bloques catalogados en la microcuenca, incluidos los descartados en el tamizaje, para referencia del conjunto. Los bloques sin ficha DT figuran con sus parámetros de gabinete.</t>
        </is>
      </c>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66</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La ficha DT declara «C1076-Q9584 (según ficha — valor por defecto de plantilla; catálogo: C1081-Q9591)»; el catálogo maestro V5/V6 asigna el bloque a «C1081-Q9591»</t>
        </is>
      </c>
      <c r="D10" s="35" t="inlineStr">
        <is>
          <t>SUSTANTIVA</t>
        </is>
      </c>
      <c r="E10" s="34" t="inlineStr">
        <is>
          <t>Se conserva el código del catálogo maestro para todo cálculo intramicrocuenca. La declaración de la ficha debe corregirse en la siguiente versión del formato V5.</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7" t="inlineStr">
        <is>
          <t>CONFORME</t>
        </is>
      </c>
      <c r="E11" s="36" t="inlineStr">
        <is>
          <t>Sin acción.</t>
        </is>
      </c>
    </row>
    <row r="12" ht="48" customHeight="1">
      <c r="A12" s="34" t="inlineStr">
        <is>
          <t>D-03</t>
        </is>
      </c>
      <c r="B12" s="34" t="inlineStr">
        <is>
          <t>Superficie del polígono</t>
        </is>
      </c>
      <c r="C12" s="34" t="inlineStr">
        <is>
          <t>La superficie clasificada por el NDVI 2025 (102.358 ha) coincide con la de catálogo (102.34 ha) dentro del ±2 % (+0.02 %)</t>
        </is>
      </c>
      <c r="D12" s="37" t="inlineStr">
        <is>
          <t>CONFORME</t>
        </is>
      </c>
      <c r="E12" s="34" t="inlineStr">
        <is>
          <t>Sin acción: la segmentación valida la geometría del bloque.</t>
        </is>
      </c>
    </row>
    <row r="13" ht="48" customHeight="1">
      <c r="A13" s="36" t="inlineStr">
        <is>
          <t>D-04</t>
        </is>
      </c>
      <c r="B13" s="36" t="inlineStr">
        <is>
          <t>Rango altitudinal / piso ecológico</t>
        </is>
      </c>
      <c r="C13" s="36" t="inlineStr">
        <is>
          <t>La ficha DT declara «1000-1500 m (Quechua baja) — transicional a 1500-2000 m»; el MDE sitúa el bloque entre 1171 y 1769 msnm, cuyo punto medio corresponde a «1000-1500 m (Quechua baja)»</t>
        </is>
      </c>
      <c r="D13" s="12" t="inlineStr">
        <is>
          <t>NO SUSTANTIVA</t>
        </is>
      </c>
      <c r="E13" s="36" t="inlineStr">
        <is>
          <t>Se declara la divergencia. El bloque abarca más de un piso altitudinal cuando la amplitud supera el ancho de la clase; el registro de campo corresponde al sector recorrido.</t>
        </is>
      </c>
    </row>
    <row r="14" ht="48" customHeight="1">
      <c r="A14" s="34" t="inlineStr">
        <is>
          <t>D-05</t>
        </is>
      </c>
      <c r="B14" s="34" t="inlineStr">
        <is>
          <t>Representatividad del levantamiento</t>
        </is>
      </c>
      <c r="C14" s="34" t="inlineStr">
        <is>
          <t>Ninguna de las estaciones fotográficas georreferenciadas se localiza dentro del polígono del bloque</t>
        </is>
      </c>
      <c r="D14" s="35" t="inlineStr">
        <is>
          <t>SUSTANTIVA</t>
        </is>
      </c>
      <c r="E14" s="34" t="inlineStr">
        <is>
          <t>La verificación documenta el perímetro y la vista panorámica del bloque, no su interior. Los parámetros que exigen recorrido interno se consignan «Por determinar».</t>
        </is>
      </c>
    </row>
    <row r="15" ht="48" customHeight="1">
      <c r="A15" s="36" t="inlineStr">
        <is>
          <t>D-06</t>
        </is>
      </c>
      <c r="B15" s="36" t="inlineStr">
        <is>
          <t>Centro poblado asociado</t>
        </is>
      </c>
      <c r="C15" s="36" t="inlineStr">
        <is>
          <t>La ficha DT declara «Huamala»; el cruce INEI-Bloques V5 identifica 1 centro(s) poblado(s) en el bloque: HUAMALA BAJA</t>
        </is>
      </c>
      <c r="D15" s="37" t="inlineStr">
        <is>
          <t>CONFORME</t>
        </is>
      </c>
      <c r="E15" s="36" t="inlineStr">
        <is>
          <t>Se conserva el registro de campo como referencia y se adopta el listado INEI para el diagnóstico social y el cálculo de población beneficiaria.</t>
        </is>
      </c>
    </row>
    <row r="16" ht="48" customHeight="1">
      <c r="A16" s="34" t="inlineStr">
        <is>
          <t>D-07</t>
        </is>
      </c>
      <c r="B16" s="34" t="inlineStr">
        <is>
          <t>Peligro integrado (MCA-AHP)</t>
        </is>
      </c>
      <c r="C16" s="34" t="inlineStr">
        <is>
          <t>El nivel de peligro integrado no está disponible en los insumos de este entregable</t>
        </is>
      </c>
      <c r="D16" s="35" t="inlineStr">
        <is>
          <t>SUSTANTIVA</t>
        </is>
      </c>
      <c r="E16" s="34" t="inlineStr">
        <is>
          <t>Debe tomarse del modelamiento de mesolocalización (PMM + EPH + PGI ponderados por AHP) antes de fijar la prioridad definitiva de intervención del bloque.</t>
        </is>
      </c>
    </row>
    <row r="17" ht="48" customHeight="1">
      <c r="A17" s="36" t="inlineStr">
        <is>
          <t>D-08</t>
        </is>
      </c>
      <c r="B17" s="36" t="inlineStr">
        <is>
          <t>Ficha DT</t>
        </is>
      </c>
      <c r="C17" s="36" t="inlineStr">
        <is>
          <t>La ficha consigna microcuenca C1076-Q9584; el catálogo maestro asigna al bloque 66 la microcuenca C1081-Q9591</t>
        </is>
      </c>
      <c r="D17" s="35" t="inlineStr">
        <is>
          <t>SUSTANTIVA</t>
        </is>
      </c>
      <c r="E17" s="36" t="inlineStr">
        <is>
          <t>Valor por defecto de la plantilla; se conserva el del catálogo</t>
        </is>
      </c>
    </row>
    <row r="18" ht="48" customHeight="1">
      <c r="A18" s="34" t="inlineStr">
        <is>
          <t>D-09</t>
        </is>
      </c>
      <c r="B18" s="34" t="inlineStr">
        <is>
          <t>F-DT-01</t>
        </is>
      </c>
      <c r="C18" s="34" t="inlineStr">
        <is>
          <t>Verificación exclusivamente aérea (RPAS): coordenadas = centroide del polígono, no punto GPS de campo</t>
        </is>
      </c>
      <c r="D18" s="12" t="inlineStr">
        <is>
          <t>NO SUSTANTIVA</t>
        </is>
      </c>
      <c r="E18" s="34" t="inlineStr">
        <is>
          <t>Declarado en la propia ficha</t>
        </is>
      </c>
    </row>
    <row r="19" ht="48" customHeight="1">
      <c r="A19" s="36" t="inlineStr">
        <is>
          <t>D-10</t>
        </is>
      </c>
      <c r="B19" s="36" t="inlineStr">
        <is>
          <t>F-DT-01</t>
        </is>
      </c>
      <c r="C19" s="36" t="inlineStr">
        <is>
          <t>Rango altitudinal 1171-1769 msnm cabalga dos clases altitudinales</t>
        </is>
      </c>
      <c r="D19" s="12" t="inlineStr">
        <is>
          <t>NO SUSTANTIVA</t>
        </is>
      </c>
      <c r="E19" s="36" t="inlineStr">
        <is>
          <t>Se consigna la clase de la cota media y se deja constancia del carácter transicional</t>
        </is>
      </c>
    </row>
    <row r="20" ht="48" customHeight="1">
      <c r="A20" s="34" t="inlineStr">
        <is>
          <t>D-11</t>
        </is>
      </c>
      <c r="B20" s="34" t="inlineStr">
        <is>
          <t>F-DT-02</t>
        </is>
      </c>
      <c r="C20" s="34" t="inlineStr">
        <is>
          <t>0 cárcavas registradas con inventario NO ejecutado</t>
        </is>
      </c>
      <c r="D20" s="35" t="inlineStr">
        <is>
          <t>SUSTANTIVA</t>
        </is>
      </c>
      <c r="E20" s="34" t="inlineStr">
        <is>
          <t>No equivale a ausencia; pendiente de ortomosaico y MDS del propio vuelo</t>
        </is>
      </c>
    </row>
    <row r="21" ht="48" customHeight="1">
      <c r="A21" s="36" t="inlineStr">
        <is>
          <t>D-12</t>
        </is>
      </c>
      <c r="B21" s="36" t="inlineStr">
        <is>
          <t>F-DT-03</t>
        </is>
      </c>
      <c r="C21" s="36" t="inlineStr">
        <is>
          <t>Composición florística transferida POR ANALOGÍA con el Bloque 21</t>
        </is>
      </c>
      <c r="D21" s="35" t="inlineStr">
        <is>
          <t>SUSTANTIVA</t>
        </is>
      </c>
      <c r="E21" s="36" t="inlineStr">
        <is>
          <t>No constituye levantamiento propio; requiere colecta y determinación botánica</t>
        </is>
      </c>
    </row>
    <row r="22" ht="48" customHeight="1">
      <c r="A22" s="34" t="inlineStr">
        <is>
          <t>D-13</t>
        </is>
      </c>
      <c r="B22" s="34" t="inlineStr">
        <is>
          <t>F-DT-03</t>
        </is>
      </c>
      <c r="C22" s="34" t="inlineStr">
        <is>
          <t>Superficie de ecosistema por verificar contra el Reporte de Ecosistemas por Bloques V5</t>
        </is>
      </c>
      <c r="D22" s="12" t="inlineStr">
        <is>
          <t>NO SUSTANTIVA</t>
        </is>
      </c>
      <c r="E22" s="34" t="inlineStr">
        <is>
          <t>Pendiente de conciliación</t>
        </is>
      </c>
    </row>
    <row r="23" ht="48" customHeight="1">
      <c r="A23" s="36" t="inlineStr">
        <is>
          <t>D-14</t>
        </is>
      </c>
      <c r="B23" s="36" t="inlineStr">
        <is>
          <t>F-DT-04</t>
        </is>
      </c>
      <c r="C23" s="36" t="inlineStr">
        <is>
          <t>Indicador de brecha (R.M. 00213-2024-MINAM) no debe calcularse sobre las 102.34 ha del bloque</t>
        </is>
      </c>
      <c r="D23" s="35" t="inlineStr">
        <is>
          <t>SUSTANTIVA</t>
        </is>
      </c>
      <c r="E23" s="36" t="inlineStr">
        <is>
          <t>Calcular sobre la superficie efectivamente degradada</t>
        </is>
      </c>
    </row>
    <row r="25">
      <c r="A25" s="16" t="inlineStr">
        <is>
          <t>RESUMEN</t>
        </is>
      </c>
      <c r="B25" s="17" t="inlineStr">
        <is>
          <t>14 verificaciones</t>
        </is>
      </c>
      <c r="C25" s="17" t="inlineStr">
        <is>
          <t>CONFORME: 3 · NO SUSTANTIVA: 4 · SUSTANTIVA: 7</t>
        </is>
      </c>
      <c r="D25" s="17" t="inlineStr"/>
      <c r="E25" s="17" t="inlineStr"/>
    </row>
    <row r="27" ht="60" customHeight="1">
      <c r="A27"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E1"/>
    <mergeCell ref="A5:E5"/>
    <mergeCell ref="A8:E8"/>
    <mergeCell ref="A6:E6"/>
    <mergeCell ref="A27:E27"/>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66 — IN Piura</dc:title>
  <dc:subject>Diagnóstico Territorial por bloque de intervención</dc:subject>
  <dcterms:created xsi:type="dcterms:W3CDTF">2026-09-08T02:45:04Z</dcterms:created>
  <dcterms:modified xsi:type="dcterms:W3CDTF">2026-09-08T02:45:05Z</dcterms:modified>
</cp:coreProperties>
</file>