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M27B1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M27B1</t>
        </is>
      </c>
      <c r="C9" s="6" t="inlineStr">
        <is>
          <t>Microcuenca (catálogo)</t>
        </is>
      </c>
      <c r="D9" s="7" t="inlineStr">
        <is>
          <t>C1096-Q9557</t>
        </is>
      </c>
      <c r="E9" s="8" t="n"/>
      <c r="F9" s="8" t="n"/>
    </row>
    <row r="10">
      <c r="A10" s="6" t="inlineStr">
        <is>
          <t>Zona de planificación</t>
        </is>
      </c>
      <c r="B10" s="7" t="inlineStr">
        <is>
          <t>Z01</t>
        </is>
      </c>
      <c r="C10" s="6" t="inlineStr">
        <is>
          <t>Microcuenca declarada en ficha DT</t>
        </is>
      </c>
      <c r="D10" s="7" t="inlineStr">
        <is>
          <t>C1096-Q9557</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Vicús Santa Rosa (133 hab.); entorno: Vicús La Merced, Vicús Linderos, Huasimal</t>
        </is>
      </c>
      <c r="C13" s="6" t="inlineStr">
        <is>
          <t>Comunidad campesina</t>
        </is>
      </c>
      <c r="D13" s="7" t="inlineStr">
        <is>
          <t>Por determinar</t>
        </is>
      </c>
      <c r="E13" s="8" t="n"/>
      <c r="F13" s="8" t="n"/>
    </row>
    <row r="14">
      <c r="A14" s="6" t="inlineStr">
        <is>
          <t>Superficie de catálogo (V5/V6), ha</t>
        </is>
      </c>
      <c r="B14" s="7" t="n">
        <v>448.8</v>
      </c>
      <c r="C14" s="6" t="inlineStr">
        <is>
          <t>Fuente de superficie</t>
        </is>
      </c>
      <c r="D14" s="7" t="inlineStr">
        <is>
          <t>Catálogo maestro Bloques V5/V6</t>
        </is>
      </c>
      <c r="E14" s="8" t="n"/>
      <c r="F14" s="8" t="n"/>
    </row>
    <row r="15">
      <c r="A15" s="6" t="inlineStr">
        <is>
          <t>Centroide UTM ESTE (m)</t>
        </is>
      </c>
      <c r="B15" s="7" t="n">
        <v>593246</v>
      </c>
      <c r="C15" s="6" t="inlineStr">
        <is>
          <t>Centroide UTM NORTE (m)</t>
        </is>
      </c>
      <c r="D15" s="7" t="n">
        <v>9430139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109</v>
      </c>
      <c r="C19" s="6" t="inlineStr">
        <is>
          <t>Altitud máxima (msnm)</t>
        </is>
      </c>
      <c r="D19" s="7" t="n">
        <v>474</v>
      </c>
      <c r="E19" s="8" t="n"/>
      <c r="F19" s="8" t="n"/>
    </row>
    <row r="20">
      <c r="A20" s="6" t="inlineStr">
        <is>
          <t>Amplitud altitudinal (m)</t>
        </is>
      </c>
      <c r="B20" s="7" t="n">
        <v>365</v>
      </c>
      <c r="C20" s="6" t="inlineStr">
        <is>
          <t>Piso altitudinal dominante</t>
        </is>
      </c>
      <c r="D20" s="7" t="inlineStr">
        <is>
          <t>&lt;1000 m (Yunga)</t>
        </is>
      </c>
      <c r="E20" s="8" t="n"/>
      <c r="F20" s="8" t="n"/>
    </row>
    <row r="21">
      <c r="A21" s="6" t="inlineStr">
        <is>
          <t>Pendiente promedio (%)</t>
        </is>
      </c>
      <c r="B21" s="7" t="n">
        <v>17.86</v>
      </c>
      <c r="C21" s="6" t="inlineStr">
        <is>
          <t>Pendiente promedio (grados)</t>
        </is>
      </c>
      <c r="D21" s="7" t="n">
        <v>10.1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0.3632</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(81.56 %)</t>
        </is>
      </c>
      <c r="E29" s="8" t="n"/>
      <c r="F29" s="8" t="n"/>
    </row>
    <row r="30">
      <c r="A30" s="6" t="inlineStr">
        <is>
          <t>Superficie clasificada NDVI 2025 (ha)</t>
        </is>
      </c>
      <c r="B30" s="7" t="n">
        <v>449.066</v>
      </c>
      <c r="C30" s="6" t="inlineStr">
        <is>
          <t>Desviación frente al catálogo (%)</t>
        </is>
      </c>
      <c r="D30" s="7" t="n">
        <v>0.06</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443.83 ha de Bes-cm (Reporte de Ecosistemas por Bloques - MINAM); el bloque suma 448.80 ha, con 4.97 ha de Zona agrícola (Agri, 1.1%)</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Matorral denso</t>
        </is>
      </c>
      <c r="C35" s="6" t="inlineStr">
        <is>
          <t>Cobertura vegetal total — campo (%)</t>
        </is>
      </c>
      <c r="D35" s="7" t="n">
        <v>70</v>
      </c>
      <c r="E35" s="8" t="n"/>
      <c r="F35" s="8" t="n"/>
    </row>
    <row r="36">
      <c r="A36" s="6" t="inlineStr">
        <is>
          <t>Suelo desnudo — campo (%)</t>
        </is>
      </c>
      <c r="B36" s="7" t="n">
        <v>15</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12</v>
      </c>
      <c r="C38" s="6" t="inlineStr">
        <is>
          <t>Estado sanitario</t>
        </is>
      </c>
      <c r="D38" s="7" t="inlineStr">
        <is>
          <t>Sano (con daño foliar por insectos y hemiparásita "suelda con suelda"; afectación fitosanitaria POR VERIFICAR)</t>
        </is>
      </c>
      <c r="E38" s="8" t="n"/>
      <c r="F38" s="8" t="n"/>
    </row>
    <row r="40" ht="18" customHeight="1">
      <c r="A40" s="5" t="inlineStr">
        <is>
          <t>5. RESPONSABLE Y MODALIDAD DE LA EVALUACIÓN</t>
        </is>
      </c>
    </row>
    <row r="41">
      <c r="A41" s="6" t="inlineStr">
        <is>
          <t>Responsable de la evaluación</t>
        </is>
      </c>
      <c r="B41" s="7" t="inlineStr">
        <is>
          <t>Ing. Héctor S. Cahuas Miller (ANIN/DIME-SESDI)</t>
        </is>
      </c>
      <c r="C41" s="6" t="inlineStr">
        <is>
          <t>Fecha de evaluación</t>
        </is>
      </c>
      <c r="D41" s="7" t="inlineStr">
        <is>
          <t>2026-07-02</t>
        </is>
      </c>
      <c r="E41" s="8" t="n"/>
      <c r="F41" s="8" t="n"/>
    </row>
    <row r="42">
      <c r="A42" s="6" t="inlineStr">
        <is>
          <t>Hora de registro</t>
        </is>
      </c>
      <c r="B42" s="7" t="inlineStr">
        <is>
          <t>09:43 - 11:57 h (rango del registro fotográfico)</t>
        </is>
      </c>
      <c r="C42" s="6" t="inlineStr">
        <is>
          <t>Correlativo de ficha</t>
        </is>
      </c>
      <c r="D42" s="7" t="inlineStr">
        <is>
          <t>Por determinar</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Por determinar</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Existencia de una demanda comercial sostenida de biomasa leñosa por parte de las ladrilleras artesanales instaladas en el entorno del bloque</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M27B1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0.363228</v>
      </c>
      <c r="C15" s="17" t="inlineStr">
        <is>
          <t>—</t>
        </is>
      </c>
      <c r="D15" s="17" t="inlineStr">
        <is>
          <t>Vigor muy bajo · clase 0.2650 - 0.3813</t>
        </is>
      </c>
      <c r="E15" s="17" t="inlineStr">
        <is>
          <t>BAJO umbral 0.4976</t>
        </is>
      </c>
    </row>
    <row r="17" ht="72" customHeight="1">
      <c r="A17" s="9" t="inlineStr">
        <is>
          <t>NOTA METODOLÓGICA. La media del MSAVI 2024 del bloque (0.363228)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mediana</t>
        </is>
      </c>
      <c r="B21" s="18" t="n">
        <v>11.933</v>
      </c>
      <c r="C21" s="19" t="n">
        <v>2.66</v>
      </c>
      <c r="D21" s="11" t="inlineStr">
        <is>
          <t>Pastizal cultivado, matorral ralo, parcelas agrícolas</t>
        </is>
      </c>
      <c r="E21" s="11" t="inlineStr"/>
    </row>
    <row r="22">
      <c r="A22" s="12" t="inlineStr">
        <is>
          <t>Vegetación ligera</t>
        </is>
      </c>
      <c r="B22" s="20" t="n">
        <v>366.2395</v>
      </c>
      <c r="C22" s="21" t="n">
        <v>81.56</v>
      </c>
      <c r="D22" s="13" t="inlineStr">
        <is>
          <t>Cobertura discontinua, suelo parcialmente expuesto</t>
        </is>
      </c>
      <c r="E22" s="13" t="inlineStr"/>
    </row>
    <row r="23">
      <c r="A23" s="7" t="inlineStr">
        <is>
          <t>Tierra desnuda</t>
        </is>
      </c>
      <c r="B23" s="18" t="n">
        <v>70.8937</v>
      </c>
      <c r="C23" s="19" t="n">
        <v>15.79</v>
      </c>
      <c r="D23" s="11" t="inlineStr">
        <is>
          <t>Suelo desnudo, afloramientos, plataformas y taludes</t>
        </is>
      </c>
      <c r="E23" s="11" t="inlineStr"/>
    </row>
    <row r="24">
      <c r="A24" s="16" t="inlineStr">
        <is>
          <t>TOTAL CLASIFICADO</t>
        </is>
      </c>
      <c r="B24" s="22">
        <f>SUM(B21:B23)</f>
        <v/>
      </c>
      <c r="C24" s="23">
        <f>SUM(C21:C23)</f>
        <v/>
      </c>
      <c r="D24" s="17" t="inlineStr"/>
      <c r="E24" s="17" t="inlineStr"/>
    </row>
    <row r="25">
      <c r="A25" s="24" t="inlineStr">
        <is>
          <t>Superficie de catálogo (V5/V6)</t>
        </is>
      </c>
      <c r="B25" s="25" t="n">
        <v>448.8</v>
      </c>
      <c r="C25" s="25" t="inlineStr">
        <is>
          <t>—</t>
        </is>
      </c>
      <c r="D25" s="25" t="inlineStr">
        <is>
          <t>Desviación planimétrica frente al catálogo</t>
        </is>
      </c>
      <c r="E25" s="25" t="inlineStr">
        <is>
          <t>+0.06 %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0.00 % del polígono clasificado como «Vegetación alta» por el NDVI 2025; la observación de campo corresponde a una parcela o recorrido puntual y no es estadísticamente representativa de las 448.800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M27B1</t>
        </is>
      </c>
    </row>
    <row r="6" ht="24" customHeight="1">
      <c r="A6" s="4" t="inlineStr">
        <is>
          <t>Levantamiento del 2026-07-02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593952</v>
      </c>
      <c r="D10" s="26" t="n">
        <v>9428843</v>
      </c>
      <c r="E10" s="11" t="n">
        <v>1475.8</v>
      </c>
      <c r="F10" s="11" t="inlineStr"/>
      <c r="G10" s="11" t="inlineStr">
        <is>
          <t>Coordenada consignada en F-DT-01</t>
        </is>
      </c>
    </row>
    <row r="11">
      <c r="A11" s="12" t="inlineStr">
        <is>
          <t>H-01</t>
        </is>
      </c>
      <c r="B11" s="13" t="inlineStr">
        <is>
          <t>Fuente de agua — 1</t>
        </is>
      </c>
      <c r="C11" s="27" t="inlineStr">
        <is>
          <t>Quebrada estacional</t>
        </is>
      </c>
      <c r="D11" s="27" t="n">
        <v>594053</v>
      </c>
      <c r="E11" s="13" t="inlineStr"/>
      <c r="F11" s="13" t="n">
        <v>9428772</v>
      </c>
      <c r="G11" s="13" t="inlineStr"/>
    </row>
    <row r="12">
      <c r="A12" s="7" t="inlineStr">
        <is>
          <t>B-01</t>
        </is>
      </c>
      <c r="B12" s="11" t="inlineStr">
        <is>
          <t>Especie clave — Hualtaco (Loxopterygium huasango)</t>
        </is>
      </c>
      <c r="C12" s="26" t="inlineStr">
        <is>
          <t>593669</t>
        </is>
      </c>
      <c r="D12" s="26" t="inlineStr">
        <is>
          <t>9428929</t>
        </is>
      </c>
      <c r="E12" s="11" t="n">
        <v>1281.8</v>
      </c>
      <c r="F12" s="11" t="inlineStr">
        <is>
          <t>Amenazada (D.S. 043-2006-AG)</t>
        </is>
      </c>
      <c r="G12" s="11" t="inlineStr">
        <is>
          <t>CR - En Peligro Crítico</t>
        </is>
      </c>
    </row>
    <row r="13">
      <c r="A13" s="12" t="inlineStr">
        <is>
          <t>B-02</t>
        </is>
      </c>
      <c r="B13" s="13" t="inlineStr">
        <is>
          <t>Especie clave — Palo Santo (Bursera graveolens)</t>
        </is>
      </c>
      <c r="C13" s="27" t="inlineStr">
        <is>
          <t>593669</t>
        </is>
      </c>
      <c r="D13" s="27" t="inlineStr">
        <is>
          <t>9428926</t>
        </is>
      </c>
      <c r="E13" s="13" t="n">
        <v>1284.6</v>
      </c>
      <c r="F13" s="13" t="inlineStr">
        <is>
          <t>Amenazada (D.S. 043-2006-AG)</t>
        </is>
      </c>
      <c r="G13" s="13" t="inlineStr">
        <is>
          <t>CR - En Peligro Crítico</t>
        </is>
      </c>
    </row>
    <row r="14">
      <c r="A14" s="7" t="inlineStr">
        <is>
          <t>B-03</t>
        </is>
      </c>
      <c r="B14" s="11" t="inlineStr">
        <is>
          <t>Especie clave — Sapote (Colicodendron scabridum)</t>
        </is>
      </c>
      <c r="C14" s="26" t="inlineStr">
        <is>
          <t>593836</t>
        </is>
      </c>
      <c r="D14" s="26" t="inlineStr">
        <is>
          <t>9428846</t>
        </is>
      </c>
      <c r="E14" s="11" t="n">
        <v>1421.2</v>
      </c>
      <c r="F14" s="11" t="inlineStr">
        <is>
          <t>Amenazada (D.S. 043-2006-AG)</t>
        </is>
      </c>
      <c r="G14" s="11" t="inlineStr">
        <is>
          <t>CR - En Peligro Crítico</t>
        </is>
      </c>
    </row>
    <row r="15">
      <c r="A15" s="12" t="inlineStr">
        <is>
          <t>B-07</t>
        </is>
      </c>
      <c r="B15" s="13" t="inlineStr">
        <is>
          <t>Especie clave — Suelda con suelda (Psittacanthus sp.)</t>
        </is>
      </c>
      <c r="C15" s="27" t="inlineStr">
        <is>
          <t>594074</t>
        </is>
      </c>
      <c r="D15" s="27" t="inlineStr">
        <is>
          <t>9428782</t>
        </is>
      </c>
      <c r="E15" s="13" t="n">
        <v>1589.7</v>
      </c>
      <c r="F15" s="13" t="inlineStr">
        <is>
          <t>Indicadora de perturbación</t>
        </is>
      </c>
      <c r="G15" s="13" t="inlineStr">
        <is>
          <t>NE - No Evaluado</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593246</v>
      </c>
      <c r="C18" s="6" t="inlineStr">
        <is>
          <t>Centroide del bloque — UTM NORTE (m)</t>
        </is>
      </c>
      <c r="D18" s="7" t="n">
        <v>9430139</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6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 reconocimiento por el flanco oriental del bloque (02/07/2026). Punto de muestreo 593 952 E / 9 428 843 N (foto panorámica 10:01 h, azimut 293° NW); centroide del catálogo Bloques_V5: 593 246 E / 9 430 139 N. Forma del terreno, posición fisiográfica y exposición clasificadas por JUICIO EXPERTO a partir de imagen satelital, perfil de elevación y azimut fotográfico; requieren confirmación con DEM. Afloramientos rocosos y pedregosidad superficial abundantes. Coordenadas validadas en UTM WGS84 17S (E 593 560-594 279; N 9 428 765-9 430 798). HALLAZGO ADICIONAL (12:03 h): ladrilleras artesanales colindantes al sector norte — batería de hornos de adobe/ladrillo (593 766 E / 9 431 513 N), horno con cámara de combustión (593 777 E / 9 431 490 N) y acopio de ladrillo cocido con TROZAS DE MADERA CORTADA como combustible (593 841 E / 9 431 490 N); su ubicación dentro o fuera del polígono queda POR VERIFICAR con el shapefile oficial.</t>
        </is>
      </c>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C1096-Q9557 — BLOQUE M27B1</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M27B1</t>
        </is>
      </c>
      <c r="B10" s="28" t="n">
        <v>448.8</v>
      </c>
      <c r="C10" s="29" t="n">
        <v>100</v>
      </c>
      <c r="D10" s="15" t="inlineStr">
        <is>
          <t>109 – 474</t>
        </is>
      </c>
      <c r="E10" s="15" t="n">
        <v>365</v>
      </c>
      <c r="F10" s="15" t="n">
        <v>17.86</v>
      </c>
      <c r="G10" s="30" t="n">
        <v>0.3632</v>
      </c>
      <c r="H10" s="29" t="n">
        <v>0</v>
      </c>
    </row>
    <row r="11">
      <c r="A11" s="16" t="inlineStr">
        <is>
          <t>TOTAL / PROMEDIO</t>
        </is>
      </c>
      <c r="B11" s="31">
        <f>SUM(B10:B10)</f>
        <v/>
      </c>
      <c r="C11" s="23">
        <f>SUM(C10:C10)</f>
        <v/>
      </c>
      <c r="D11" s="17" t="inlineStr">
        <is>
          <t>109 – 474</t>
        </is>
      </c>
      <c r="E11" s="17" t="inlineStr"/>
      <c r="F11" s="17">
        <f>ROUND(AVERAGE(F10:F10),2)</f>
        <v/>
      </c>
      <c r="G11" s="22">
        <f>ROUND(AVERAGE(G10:G10),4)</f>
        <v/>
      </c>
      <c r="H11" s="23">
        <f>ROUND(AVERAGE(H10:H10),2)</f>
        <v/>
      </c>
    </row>
    <row r="13" ht="84" customHeight="1">
      <c r="A13" s="9" t="inlineStr">
        <is>
          <t>LECTURA INTRAMICROCUENCA. El bloque M27B1 ocupa el puesto 1 de 1 por superficie dentro de la microcuenca C1096-Q9557 (100.00 % de las 448.80 ha preliminares de la microcuenca). Su pendiente promedio (17.86 %, clase «15-25% (Fuert. inclinado)») es la 1.ª más baja de 1 y se sitúa por encima del promedio de la microcuenca (17.86 %). Su MSAVI 2024 (0.3632) es el 1.º de 1 y queda por debajo del promedio local (0.3632). Amplitud altitudinal del bloque: 365 m (109–474 msnm). El cuadro conserva todos los bloques catalogados en la microcuenca, incluidos los descartados en el tamizaje, para referencia del conjunto. Los bloques sin ficha DT figuran con sus parámetros de gabinete.</t>
        </is>
      </c>
    </row>
    <row r="15" ht="60" customHeight="1">
      <c r="A1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15:H15"/>
    <mergeCell ref="A2:H2"/>
    <mergeCell ref="A13:H13"/>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M27B1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Ficha DT y catálogo maestro coinciden en «C1096-Q9557»</t>
        </is>
      </c>
      <c r="D10" s="33" t="inlineStr">
        <is>
          <t>CONFORME</t>
        </is>
      </c>
      <c r="E10" s="32" t="inlineStr">
        <is>
          <t>Sin acción.</t>
        </is>
      </c>
    </row>
    <row r="11" ht="48" customHeight="1">
      <c r="A11" s="34" t="inlineStr">
        <is>
          <t>D-02</t>
        </is>
      </c>
      <c r="B11" s="34" t="inlineStr">
        <is>
          <t>UTM del punto de muestreo</t>
        </is>
      </c>
      <c r="C11" s="34" t="inlineStr">
        <is>
          <t>El punto de muestreo declarado (593952 E / 9428843 N) dista 1,476 m del centroide de catálogo (593246 E / 9430139 N), distancia incompatible con la superficie del bloque (448.8 ha)</t>
        </is>
      </c>
      <c r="D11" s="35"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(449.066 ha) coincide con la de catálogo (448.8 ha) dentro del ±2 % (+0.06 %)</t>
        </is>
      </c>
      <c r="D12" s="33"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17.86 %,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Altitud GPS del punto de muestreo</t>
        </is>
      </c>
      <c r="C14" s="32" t="inlineStr">
        <is>
          <t>La aplicación de captura no registró altitud GPS en campo</t>
        </is>
      </c>
      <c r="D14" s="15" t="inlineStr">
        <is>
          <t>NO SUSTANTIVA</t>
        </is>
      </c>
      <c r="E14" s="32" t="inlineStr">
        <is>
          <t>El rango altitudinal del bloque (109–474 msnm) y la pendiente promedio (17.86 %) se toman de la estadística zonal sobre el MDE, no de medición de campo. Se declara la fuente.</t>
        </is>
      </c>
    </row>
    <row r="15" ht="48" customHeight="1">
      <c r="A15" s="34" t="inlineStr">
        <is>
          <t>D-06</t>
        </is>
      </c>
      <c r="B15" s="34" t="inlineStr">
        <is>
          <t>Elenco florístico</t>
        </is>
      </c>
      <c r="C15" s="34" t="inlineStr">
        <is>
          <t>La ficha registra 12 taxones, por debajo del mínimo de 15 que exige el formato V5</t>
        </is>
      </c>
      <c r="D15" s="35"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5"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«Vicús Santa Rosa (133 hab.); entorno: Vicús La Merced, Vicús Linderos, Huasimal»; el cruce INEI-Bloques V5 identifica 5 centro(s) poblado(s) en el bloque: HUASIMAL, VICUS LA MERCED, VICUS LINDEROS, VICUS SANTA ROSA</t>
        </is>
      </c>
      <c r="D17" s="33"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5"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F-DT-01</t>
        </is>
      </c>
      <c r="C19" s="34" t="inlineStr">
        <is>
          <t>Altitud GPS no registrada por la aplicación de campo</t>
        </is>
      </c>
      <c r="D19" s="35" t="inlineStr">
        <is>
          <t>SUSTANTIVA</t>
        </is>
      </c>
      <c r="E19" s="34" t="inlineStr">
        <is>
          <t>Se deja POR DETERMINAR; el perfil 111-385 msnm proviene de Google Earth y se declara como tal</t>
        </is>
      </c>
    </row>
    <row r="20" ht="48" customHeight="1">
      <c r="A20" s="32" t="inlineStr">
        <is>
          <t>D-11</t>
        </is>
      </c>
      <c r="B20" s="32" t="inlineStr">
        <is>
          <t>F-DT-01</t>
        </is>
      </c>
      <c r="C20" s="32" t="inlineStr">
        <is>
          <t>Forma del terreno, posición fisiográfica y exposición clasificadas por juicio experto sobre imagen satelital y azimut fotográfico</t>
        </is>
      </c>
      <c r="D20" s="15" t="inlineStr">
        <is>
          <t>NO SUSTANTIVA</t>
        </is>
      </c>
      <c r="E20" s="32" t="inlineStr">
        <is>
          <t>Se declara la fuente; requiere confirmación con DEM</t>
        </is>
      </c>
    </row>
    <row r="21" ht="48" customHeight="1">
      <c r="A21" s="34" t="inlineStr">
        <is>
          <t>D-12</t>
        </is>
      </c>
      <c r="B21" s="34" t="inlineStr">
        <is>
          <t>F-DT-01 / F-DT-05</t>
        </is>
      </c>
      <c r="C21" s="34" t="inlineStr">
        <is>
          <t>Ladrilleras artesanales con acopio de trozas de madera detectadas en el sector norte; su ubicación dentro o fuera del polígono no está determinada</t>
        </is>
      </c>
      <c r="D21" s="35" t="inlineStr">
        <is>
          <t>SUSTANTIVA</t>
        </is>
      </c>
      <c r="E21" s="34" t="inlineStr">
        <is>
          <t>Se registran como colindantes/perimetrales; POR VERIFICAR con el shapefile oficial</t>
        </is>
      </c>
    </row>
    <row r="22" ht="48" customHeight="1">
      <c r="A22" s="32" t="inlineStr">
        <is>
          <t>D-13</t>
        </is>
      </c>
      <c r="B22" s="32" t="inlineStr">
        <is>
          <t>F-DT-03</t>
        </is>
      </c>
      <c r="C22" s="32" t="inlineStr">
        <is>
          <t>Lista florística preliminar de 12 registros frente al mínimo de 15 del formato</t>
        </is>
      </c>
      <c r="D22" s="15" t="inlineStr">
        <is>
          <t>NO SUSTANTIVA</t>
        </is>
      </c>
      <c r="E22" s="32" t="inlineStr">
        <is>
          <t>Se declara como reconocimiento preliminar</t>
        </is>
      </c>
    </row>
    <row r="23" ht="48" customHeight="1">
      <c r="A23" s="34" t="inlineStr">
        <is>
          <t>D-14</t>
        </is>
      </c>
      <c r="B23" s="34" t="inlineStr">
        <is>
          <t>F-DT-03</t>
        </is>
      </c>
      <c r="C23" s="34" t="inlineStr">
        <is>
          <t>DAP, altura dominante y altura máxima no medidos (sin parcela instalada)</t>
        </is>
      </c>
      <c r="D23" s="35" t="inlineStr">
        <is>
          <t>SUSTANTIVA</t>
        </is>
      </c>
      <c r="E23" s="34" t="inlineStr">
        <is>
          <t>POR DETERMINAR; requiere levantamiento en parcela</t>
        </is>
      </c>
    </row>
    <row r="24" ht="48" customHeight="1">
      <c r="A24" s="32" t="inlineStr">
        <is>
          <t>D-15</t>
        </is>
      </c>
      <c r="B24" s="32" t="inlineStr">
        <is>
          <t>F-DT-04</t>
        </is>
      </c>
      <c r="C24" s="32" t="inlineStr">
        <is>
          <t>Extensión y antigüedad de las 16 causas no levantadas</t>
        </is>
      </c>
      <c r="D24" s="15" t="inlineStr">
        <is>
          <t>NO SUSTANTIVA</t>
        </is>
      </c>
      <c r="E24" s="32" t="inlineStr">
        <is>
          <t>POR DETERMINAR; no se estiman por principio de no fabricación</t>
        </is>
      </c>
    </row>
    <row r="25" ht="48" customHeight="1">
      <c r="A25" s="34" t="inlineStr">
        <is>
          <t>D-16</t>
        </is>
      </c>
      <c r="B25" s="34" t="inlineStr">
        <is>
          <t>F-DT-04</t>
        </is>
      </c>
      <c r="C25" s="34" t="inlineStr">
        <is>
          <t>Indicadores 5, 6 y 7 (carga ganadera, frecuencia de quemas, % pendiente &gt;50%) sin valor</t>
        </is>
      </c>
      <c r="D25" s="15" t="inlineStr">
        <is>
          <t>NO SUSTANTIVA</t>
        </is>
      </c>
      <c r="E25" s="34" t="inlineStr">
        <is>
          <t>POR DETERMINAR en gabinete (DEM) y con información comunal</t>
        </is>
      </c>
    </row>
    <row r="26" ht="48" customHeight="1">
      <c r="A26" s="32" t="inlineStr">
        <is>
          <t>D-17</t>
        </is>
      </c>
      <c r="B26" s="32" t="inlineStr">
        <is>
          <t>F-DT-05</t>
        </is>
      </c>
      <c r="C26" s="32" t="inlineStr">
        <is>
          <t>Cerco de propiedad privada en el lindero norte</t>
        </is>
      </c>
      <c r="D26" s="35" t="inlineStr">
        <is>
          <t>SUSTANTIVA</t>
        </is>
      </c>
      <c r="E26" s="32" t="inlineStr">
        <is>
          <t>La aceptación de los titulares prediales queda POR VERIFICAR (Paso 6 del AdR-CCC territorial)</t>
        </is>
      </c>
    </row>
    <row r="28">
      <c r="A28" s="16" t="inlineStr">
        <is>
          <t>RESUMEN</t>
        </is>
      </c>
      <c r="B28" s="17" t="inlineStr">
        <is>
          <t>17 verificaciones</t>
        </is>
      </c>
      <c r="C28" s="17" t="inlineStr">
        <is>
          <t>CONFORME: 3 · NO SUSTANTIVA: 6 · SUSTANTIVA: 8</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M27B1 — IN Piura</dc:title>
  <dc:subject>Diagnóstico Territorial por bloque de intervención</dc:subject>
  <dcterms:created xsi:type="dcterms:W3CDTF">2026-09-08T03:39:58Z</dcterms:created>
  <dcterms:modified xsi:type="dcterms:W3CDTF">2026-09-08T03:39:58Z</dcterms:modified>
</cp:coreProperties>
</file>