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63</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63</t>
        </is>
      </c>
      <c r="C9" s="6" t="inlineStr">
        <is>
          <t>Microcuenca (catálogo)</t>
        </is>
      </c>
      <c r="D9" s="7" t="inlineStr">
        <is>
          <t>C1081-Q9583</t>
        </is>
      </c>
      <c r="E9" s="8" t="n"/>
      <c r="F9" s="8" t="n"/>
    </row>
    <row r="10">
      <c r="A10" s="6" t="inlineStr">
        <is>
          <t>Zona de planificación</t>
        </is>
      </c>
      <c r="B10" s="7" t="inlineStr">
        <is>
          <t>Z11</t>
        </is>
      </c>
      <c r="C10" s="6" t="inlineStr">
        <is>
          <t>Microcuenca declarada en ficha DT</t>
        </is>
      </c>
      <c r="D10" s="7" t="inlineStr">
        <is>
          <t>C1081-Q9583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Shuturumbe</t>
        </is>
      </c>
      <c r="C13" s="6" t="inlineStr">
        <is>
          <t>Comunidad campesina</t>
        </is>
      </c>
      <c r="D13" s="7" t="inlineStr">
        <is>
          <t>Por verificar</t>
        </is>
      </c>
      <c r="E13" s="8" t="n"/>
      <c r="F13" s="8" t="n"/>
    </row>
    <row r="14">
      <c r="A14" s="6" t="inlineStr">
        <is>
          <t>Superficie de catálogo (V5/V6), ha</t>
        </is>
      </c>
      <c r="B14" s="7" t="n">
        <v>50.46</v>
      </c>
      <c r="C14" s="6" t="inlineStr">
        <is>
          <t>Fuente de superficie</t>
        </is>
      </c>
      <c r="D14" s="7" t="inlineStr">
        <is>
          <t>Catálogo maestro Bloques V5/V6</t>
        </is>
      </c>
      <c r="E14" s="8" t="n"/>
      <c r="F14" s="8" t="n"/>
    </row>
    <row r="15">
      <c r="A15" s="6" t="inlineStr">
        <is>
          <t>Centroide UTM ESTE (m)</t>
        </is>
      </c>
      <c r="B15" s="7" t="n">
        <v>655059</v>
      </c>
      <c r="C15" s="6" t="inlineStr">
        <is>
          <t>Centroide UTM NORTE (m)</t>
        </is>
      </c>
      <c r="D15" s="7" t="n">
        <v>9413845</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1508</v>
      </c>
      <c r="C19" s="6" t="inlineStr">
        <is>
          <t>Altitud máxima (msnm)</t>
        </is>
      </c>
      <c r="D19" s="7" t="n">
        <v>2080</v>
      </c>
      <c r="E19" s="8" t="n"/>
      <c r="F19" s="8" t="n"/>
    </row>
    <row r="20">
      <c r="A20" s="6" t="inlineStr">
        <is>
          <t>Amplitud altitudinal (m)</t>
        </is>
      </c>
      <c r="B20" s="7" t="n">
        <v>572</v>
      </c>
      <c r="C20" s="6" t="inlineStr">
        <is>
          <t>Piso altitudinal dominante</t>
        </is>
      </c>
      <c r="D20" s="7" t="inlineStr">
        <is>
          <t>1500-2000 m (Quechua media)</t>
        </is>
      </c>
      <c r="E20" s="8" t="n"/>
      <c r="F20" s="8" t="n"/>
    </row>
    <row r="21">
      <c r="A21" s="6" t="inlineStr">
        <is>
          <t>Pendiente promedio (%)</t>
        </is>
      </c>
      <c r="B21" s="7" t="n">
        <v>35.5</v>
      </c>
      <c r="C21" s="6" t="inlineStr">
        <is>
          <t>Pendiente promedio (grados)</t>
        </is>
      </c>
      <c r="D21" s="7" t="n">
        <v>19.5</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0.6036</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(99.20 %)</t>
        </is>
      </c>
      <c r="E29" s="8" t="n"/>
      <c r="F29" s="8" t="n"/>
    </row>
    <row r="30">
      <c r="A30" s="6" t="inlineStr">
        <is>
          <t>Superficie clasificada NDVI 2025 (ha)</t>
        </is>
      </c>
      <c r="B30" s="7" t="n">
        <v>50.469</v>
      </c>
      <c r="C30" s="6" t="inlineStr">
        <is>
          <t>Desviación frente al catálogo (%)</t>
        </is>
      </c>
      <c r="D30" s="7" t="n">
        <v>0.02</v>
      </c>
      <c r="E30" s="8" t="n"/>
      <c r="F30" s="8" t="n"/>
    </row>
    <row r="32" ht="18" customHeight="1">
      <c r="A32" s="5" t="inlineStr">
        <is>
          <t>4. ECOSISTEMA Y ESTADO DE CONSERVACIÓN</t>
        </is>
      </c>
    </row>
    <row r="33">
      <c r="A33" s="6" t="inlineStr">
        <is>
          <t>Tipo de ecosistema (UP)</t>
        </is>
      </c>
      <c r="B33" s="7" t="inlineStr">
        <is>
          <t>Matorral Andino subhúmedo (declarado en campo: Matorral andino, Ma)</t>
        </is>
      </c>
      <c r="C33" s="6" t="inlineStr">
        <is>
          <t>Superficie de ecosistema (ha)</t>
        </is>
      </c>
      <c r="D33" s="7" t="inlineStr">
        <is>
          <t>Por determinar</t>
        </is>
      </c>
      <c r="E33" s="8" t="n"/>
      <c r="F33" s="8" t="n"/>
    </row>
    <row r="34">
      <c r="A34" s="6" t="inlineStr">
        <is>
          <t>Estado de conservación</t>
        </is>
      </c>
      <c r="B34" s="7" t="inlineStr">
        <is>
          <t>Alterado (intervención marcada)</t>
        </is>
      </c>
      <c r="C34" s="6" t="inlineStr">
        <is>
          <t>Uso actual dominante del suelo</t>
        </is>
      </c>
      <c r="D34" s="7" t="inlineStr">
        <is>
          <t>Pastoreo extensivo</t>
        </is>
      </c>
      <c r="E34" s="8" t="n"/>
      <c r="F34" s="8" t="n"/>
    </row>
    <row r="35">
      <c r="A35" s="6" t="inlineStr">
        <is>
          <t>Tipo de cobertura dominante</t>
        </is>
      </c>
      <c r="B35" s="7" t="inlineStr">
        <is>
          <t>Matorral ralo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Fuerte (cárcavas incipientes)</t>
        </is>
      </c>
      <c r="C37" s="6" t="inlineStr">
        <is>
          <t>N.° de cárcavas registradas</t>
        </is>
      </c>
      <c r="D37" s="7" t="inlineStr">
        <is>
          <t>0 = no inventariadas</t>
        </is>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y Blgo. Abel Aucasime</t>
        </is>
      </c>
      <c r="C41" s="6" t="inlineStr">
        <is>
          <t>Fecha de evaluación</t>
        </is>
      </c>
      <c r="D41" s="7" t="inlineStr">
        <is>
          <t>2026-07-21</t>
        </is>
      </c>
      <c r="E41" s="8" t="n"/>
      <c r="F41" s="8" t="n"/>
    </row>
    <row r="42">
      <c r="A42" s="6" t="inlineStr">
        <is>
          <t>Hora de registro</t>
        </is>
      </c>
      <c r="B42" s="7" t="inlineStr">
        <is>
          <t>Sin registro en ficha</t>
        </is>
      </c>
      <c r="C42" s="6" t="inlineStr">
        <is>
          <t>Correlativo de ficha</t>
        </is>
      </c>
      <c r="D42" s="7" t="inlineStr">
        <is>
          <t>F-DT-01-63</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consignada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63</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0.603582</v>
      </c>
      <c r="C15" s="17" t="inlineStr">
        <is>
          <t>—</t>
        </is>
      </c>
      <c r="D15" s="17" t="inlineStr">
        <is>
          <t>Vigor moderado · clase 0.4976 - 0.6139</t>
        </is>
      </c>
      <c r="E15" s="17" t="inlineStr">
        <is>
          <t>Sobre umbral</t>
        </is>
      </c>
    </row>
    <row r="17" ht="72" customHeight="1">
      <c r="A17" s="9" t="inlineStr">
        <is>
          <t>NOTA METODOLÓGICA. La media del MSAVI 2024 del bloque (0.603582)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50.0651</v>
      </c>
      <c r="C21" s="19" t="n">
        <v>99.2</v>
      </c>
      <c r="D21" s="11" t="inlineStr">
        <is>
          <t>Dosel continuo, matorral denso o mosaico agroforestal</t>
        </is>
      </c>
      <c r="E21" s="11" t="inlineStr"/>
    </row>
    <row r="22">
      <c r="A22" s="14" t="inlineStr">
        <is>
          <t>Vegetación mediana</t>
        </is>
      </c>
      <c r="B22" s="20" t="n">
        <v>0.394</v>
      </c>
      <c r="C22" s="21" t="n">
        <v>0.78</v>
      </c>
      <c r="D22" s="15" t="inlineStr">
        <is>
          <t>Pastizal cultivado, matorral ralo, parcelas agrícolas</t>
        </is>
      </c>
      <c r="E22" s="15" t="inlineStr"/>
    </row>
    <row r="23">
      <c r="A23" s="7" t="inlineStr">
        <is>
          <t>Vegetación ligera</t>
        </is>
      </c>
      <c r="B23" s="18" t="n">
        <v>0.009900000000000001</v>
      </c>
      <c r="C23" s="19" t="n">
        <v>0.02</v>
      </c>
      <c r="D23" s="11" t="inlineStr">
        <is>
          <t>Cobertura discontinua, suelo parcialmente expuesto</t>
        </is>
      </c>
      <c r="E23" s="11" t="inlineStr"/>
    </row>
    <row r="24">
      <c r="A24" s="16" t="inlineStr">
        <is>
          <t>TOTAL CLASIFICADO</t>
        </is>
      </c>
      <c r="B24" s="22">
        <f>SUM(B21:B23)</f>
        <v/>
      </c>
      <c r="C24" s="23">
        <f>SUM(C21:C23)</f>
        <v/>
      </c>
      <c r="D24" s="17" t="inlineStr"/>
      <c r="E24" s="17" t="inlineStr"/>
    </row>
    <row r="25">
      <c r="A25" s="24" t="inlineStr">
        <is>
          <t>Superficie de catálogo (V5/V6)</t>
        </is>
      </c>
      <c r="B25" s="25" t="n">
        <v>50.46</v>
      </c>
      <c r="C25" s="25" t="inlineStr">
        <is>
          <t>—</t>
        </is>
      </c>
      <c r="D25" s="25" t="inlineStr">
        <is>
          <t>Desviación planimétrica frente al catálogo</t>
        </is>
      </c>
      <c r="E25" s="25" t="inlineStr">
        <is>
          <t>+0.02 %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63</t>
        </is>
      </c>
    </row>
    <row r="6" ht="24" customHeight="1">
      <c r="A6" s="4" t="inlineStr">
        <is>
          <t>Levantamiento del 2026-07-21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655059</v>
      </c>
      <c r="D10" s="26" t="n">
        <v>9413845</v>
      </c>
      <c r="E10" s="11" t="n">
        <v>0</v>
      </c>
      <c r="F10" s="11" t="inlineStr"/>
      <c r="G10" s="11" t="inlineStr">
        <is>
          <t>Coordenada consignada en F-DT-01</t>
        </is>
      </c>
    </row>
    <row r="11">
      <c r="A11" s="14" t="inlineStr">
        <is>
          <t>H-01</t>
        </is>
      </c>
      <c r="B11" s="15" t="inlineStr">
        <is>
          <t>Fuente de agua — Quebrada permanente</t>
        </is>
      </c>
      <c r="C11" s="27" t="inlineStr">
        <is>
          <t>Por determinar</t>
        </is>
      </c>
      <c r="D11" s="27" t="inlineStr">
        <is>
          <t>Por determinar</t>
        </is>
      </c>
      <c r="E11" s="15" t="inlineStr"/>
      <c r="F11" s="15" t="inlineStr">
        <is>
          <t>Permanente</t>
        </is>
      </c>
      <c r="G11" s="15" t="inlineStr">
        <is>
          <t>Quebrada activa colindante</t>
        </is>
      </c>
    </row>
    <row r="12">
      <c r="A12" s="7" t="inlineStr">
        <is>
          <t>H-02</t>
        </is>
      </c>
      <c r="B12" s="11" t="inlineStr">
        <is>
          <t>Fuente de agua — Quebrada estacional</t>
        </is>
      </c>
      <c r="C12" s="26" t="inlineStr">
        <is>
          <t>Por determinar</t>
        </is>
      </c>
      <c r="D12" s="26" t="inlineStr">
        <is>
          <t>Por determinar</t>
        </is>
      </c>
      <c r="E12" s="11" t="inlineStr"/>
      <c r="F12" s="11" t="inlineStr">
        <is>
          <t>Estacional</t>
        </is>
      </c>
      <c r="G12" s="11" t="inlineStr">
        <is>
          <t>Drenajes tributarios</t>
        </is>
      </c>
    </row>
    <row r="13">
      <c r="A13" s="16" t="inlineStr">
        <is>
          <t>TOTAL: 3 puntos</t>
        </is>
      </c>
      <c r="B13" s="17" t="inlineStr"/>
      <c r="C13" s="17" t="inlineStr"/>
      <c r="D13" s="17" t="inlineStr"/>
      <c r="E13" s="17" t="inlineStr"/>
      <c r="F13" s="17" t="inlineStr"/>
      <c r="G13" s="17" t="inlineStr"/>
    </row>
    <row r="15">
      <c r="A15" s="6" t="inlineStr">
        <is>
          <t>Centroide del bloque — UTM ESTE (m)</t>
        </is>
      </c>
      <c r="B15" s="7" t="n">
        <v>655059</v>
      </c>
      <c r="C15" s="6" t="inlineStr">
        <is>
          <t>Centroide del bloque — UTM NORTE (m)</t>
        </is>
      </c>
      <c r="D15" s="7" t="n">
        <v>9413845</v>
      </c>
      <c r="E15" s="8" t="n"/>
      <c r="F15" s="8" t="n"/>
      <c r="G15" s="8" t="n"/>
      <c r="H15" s="8" t="n"/>
    </row>
    <row r="16">
      <c r="A16" s="6" t="inlineStr">
        <is>
          <t>N.° de estaciones fotográficas declaradas</t>
        </is>
      </c>
      <c r="B16" s="7" t="n">
        <v>0</v>
      </c>
      <c r="C16" s="6" t="inlineStr">
        <is>
          <t>Estaciones dentro del polígono</t>
        </is>
      </c>
      <c r="D16" s="7" t="n">
        <v>0</v>
      </c>
      <c r="E16" s="8" t="n"/>
      <c r="F16" s="8" t="n"/>
      <c r="G16" s="8" t="n"/>
      <c r="H16" s="8" t="n"/>
    </row>
    <row r="18" ht="108" customHeight="1">
      <c r="A18"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de campo. Altitud GPS de campo 1 520 msnm. Rango altitudinal del bloque según MDE: 1 508-2 080 msnm (amplitud 572 m); pendiente promedio 35.50%. Centro poblado asociado: Shuturumbe. Acceso: vía afirmada Canchaque – Coyona, margen izquierda de una quebrada s/n.</t>
        </is>
      </c>
    </row>
  </sheetData>
  <mergeCells count="8">
    <mergeCell ref="A1:G1"/>
    <mergeCell ref="A18:G18"/>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C1081-Q9583 — BLOQUE 63</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C1081-Q9583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M11B3</t>
        </is>
      </c>
      <c r="B10" s="28" t="n">
        <v>106.03</v>
      </c>
      <c r="C10" s="19" t="n">
        <v>26.64</v>
      </c>
      <c r="D10" s="11" t="inlineStr">
        <is>
          <t>278 – 477</t>
        </is>
      </c>
      <c r="E10" s="11" t="n">
        <v>199</v>
      </c>
      <c r="F10" s="11" t="n">
        <v>18.11</v>
      </c>
      <c r="G10" s="18" t="n">
        <v>0.3956</v>
      </c>
      <c r="H10" s="19" t="n">
        <v>21.16</v>
      </c>
    </row>
    <row r="11">
      <c r="A11" s="14" t="inlineStr">
        <is>
          <t>24</t>
        </is>
      </c>
      <c r="B11" s="29" t="n">
        <v>90.16</v>
      </c>
      <c r="C11" s="21" t="n">
        <v>22.65</v>
      </c>
      <c r="D11" s="15" t="inlineStr">
        <is>
          <t>1319 – 1887</t>
        </is>
      </c>
      <c r="E11" s="15" t="n">
        <v>568</v>
      </c>
      <c r="F11" s="15" t="n">
        <v>32.98</v>
      </c>
      <c r="G11" s="20" t="n">
        <v>0.6748</v>
      </c>
      <c r="H11" s="21" t="n">
        <v>98.51000000000001</v>
      </c>
    </row>
    <row r="12">
      <c r="A12" s="7" t="inlineStr">
        <is>
          <t>87</t>
        </is>
      </c>
      <c r="B12" s="28" t="n">
        <v>62.219</v>
      </c>
      <c r="C12" s="19" t="n">
        <v>15.63</v>
      </c>
      <c r="D12" s="11" t="inlineStr">
        <is>
          <t>Por determinar</t>
        </is>
      </c>
      <c r="E12" s="11" t="inlineStr">
        <is>
          <t>Por determinar</t>
        </is>
      </c>
      <c r="F12" s="11" t="inlineStr">
        <is>
          <t>Por determinar</t>
        </is>
      </c>
      <c r="G12" s="18" t="n">
        <v>0.2487</v>
      </c>
      <c r="H12" s="19" t="n">
        <v>0.34</v>
      </c>
    </row>
    <row r="13">
      <c r="A13" s="12" t="inlineStr">
        <is>
          <t>► 63</t>
        </is>
      </c>
      <c r="B13" s="30" t="n">
        <v>50.46</v>
      </c>
      <c r="C13" s="31" t="n">
        <v>12.68</v>
      </c>
      <c r="D13" s="13" t="inlineStr">
        <is>
          <t>1508 – 2080</t>
        </is>
      </c>
      <c r="E13" s="13" t="n">
        <v>572</v>
      </c>
      <c r="F13" s="13" t="n">
        <v>35.5</v>
      </c>
      <c r="G13" s="32" t="n">
        <v>0.6036</v>
      </c>
      <c r="H13" s="31" t="n">
        <v>99.2</v>
      </c>
    </row>
    <row r="14">
      <c r="A14" s="7" t="inlineStr">
        <is>
          <t>86</t>
        </is>
      </c>
      <c r="B14" s="28" t="n">
        <v>30.001</v>
      </c>
      <c r="C14" s="19" t="n">
        <v>7.54</v>
      </c>
      <c r="D14" s="11" t="inlineStr">
        <is>
          <t>Por determinar</t>
        </is>
      </c>
      <c r="E14" s="11" t="inlineStr">
        <is>
          <t>Por determinar</t>
        </is>
      </c>
      <c r="F14" s="11" t="inlineStr">
        <is>
          <t>Por determinar</t>
        </is>
      </c>
      <c r="G14" s="18" t="n">
        <v>0.2735</v>
      </c>
      <c r="H14" s="19" t="n">
        <v>1.05</v>
      </c>
    </row>
    <row r="15">
      <c r="A15" s="14" t="inlineStr">
        <is>
          <t>83</t>
        </is>
      </c>
      <c r="B15" s="29" t="n">
        <v>24.344</v>
      </c>
      <c r="C15" s="21" t="n">
        <v>6.12</v>
      </c>
      <c r="D15" s="15" t="inlineStr">
        <is>
          <t>Por determinar</t>
        </is>
      </c>
      <c r="E15" s="15" t="inlineStr">
        <is>
          <t>Por determinar</t>
        </is>
      </c>
      <c r="F15" s="15" t="inlineStr">
        <is>
          <t>Por determinar</t>
        </is>
      </c>
      <c r="G15" s="20" t="n">
        <v>0.3055</v>
      </c>
      <c r="H15" s="21" t="n">
        <v>2.88</v>
      </c>
    </row>
    <row r="16">
      <c r="A16" s="7" t="inlineStr">
        <is>
          <t>77</t>
        </is>
      </c>
      <c r="B16" s="28" t="n">
        <v>17.82</v>
      </c>
      <c r="C16" s="19" t="n">
        <v>4.48</v>
      </c>
      <c r="D16" s="11" t="inlineStr">
        <is>
          <t>242 – 346</t>
        </is>
      </c>
      <c r="E16" s="11" t="n">
        <v>104</v>
      </c>
      <c r="F16" s="11" t="n">
        <v>13.71</v>
      </c>
      <c r="G16" s="18" t="n">
        <v>0.2725</v>
      </c>
      <c r="H16" s="19" t="n">
        <v>0.11</v>
      </c>
    </row>
    <row r="17">
      <c r="A17" s="14" t="inlineStr">
        <is>
          <t>85</t>
        </is>
      </c>
      <c r="B17" s="29" t="n">
        <v>11.906</v>
      </c>
      <c r="C17" s="21" t="n">
        <v>2.99</v>
      </c>
      <c r="D17" s="15" t="inlineStr">
        <is>
          <t>Por determinar</t>
        </is>
      </c>
      <c r="E17" s="15" t="inlineStr">
        <is>
          <t>Por determinar</t>
        </is>
      </c>
      <c r="F17" s="15" t="inlineStr">
        <is>
          <t>Por determinar</t>
        </is>
      </c>
      <c r="G17" s="20" t="n">
        <v>0.2289</v>
      </c>
      <c r="H17" s="21" t="n">
        <v>0</v>
      </c>
    </row>
    <row r="18">
      <c r="A18" s="7" t="inlineStr">
        <is>
          <t>84</t>
        </is>
      </c>
      <c r="B18" s="28" t="n">
        <v>5.097</v>
      </c>
      <c r="C18" s="19" t="n">
        <v>1.28</v>
      </c>
      <c r="D18" s="11" t="inlineStr">
        <is>
          <t>Por determinar</t>
        </is>
      </c>
      <c r="E18" s="11" t="inlineStr">
        <is>
          <t>Por determinar</t>
        </is>
      </c>
      <c r="F18" s="11" t="inlineStr">
        <is>
          <t>Por determinar</t>
        </is>
      </c>
      <c r="G18" s="18" t="n">
        <v>0.2516</v>
      </c>
      <c r="H18" s="19" t="n">
        <v>0</v>
      </c>
    </row>
    <row r="19">
      <c r="A19" s="16" t="inlineStr">
        <is>
          <t>TOTAL / PROMEDIO</t>
        </is>
      </c>
      <c r="B19" s="33">
        <f>SUM(B10:B18)</f>
        <v/>
      </c>
      <c r="C19" s="23">
        <f>SUM(C10:C18)</f>
        <v/>
      </c>
      <c r="D19" s="17" t="inlineStr">
        <is>
          <t>242 – 2080</t>
        </is>
      </c>
      <c r="E19" s="17" t="inlineStr"/>
      <c r="F19" s="17">
        <f>ROUND(AVERAGE(F10:F18),2)</f>
        <v/>
      </c>
      <c r="G19" s="22">
        <f>ROUND(AVERAGE(G10:G18),4)</f>
        <v/>
      </c>
      <c r="H19" s="23">
        <f>ROUND(AVERAGE(H10:H18),2)</f>
        <v/>
      </c>
    </row>
    <row r="20" ht="48" customHeight="1">
      <c r="A20" s="9" t="inlineStr">
        <is>
          <t>ALCANCE DE LOS PROMEDIOS. La fila TOTAL / PROMEDIO omite las celdas «Por determinar»: los promedios de PENDIENTE y MSAVI 2024 se calculan sobre 4 de los 9 bloques de la microcuenca; los 5 bloques restantes carecen de dato derivado del MDE. Los totales de ÁREA y % de microcuenca sí comprenden la totalidad de los 9 bloques. No se estima ningún valor ausente.</t>
        </is>
      </c>
    </row>
    <row r="22" ht="84" customHeight="1">
      <c r="A22" s="9" t="inlineStr">
        <is>
          <t>LECTURA INTRAMICROCUENCA. El bloque 63 ocupa el puesto 4 de 9 por superficie dentro de la microcuenca C1081-Q9583 (12.68 % de las 398.04 ha preliminares de la microcuenca). Su pendiente promedio (35.50 %, clase «25-50% (Mod. escarpado)») es la 4.ª más baja de 4 y se sitúa por encima del promedio de la microcuenca (25.08 %). Su MSAVI 2024 (0.6036) es el 2.º de 9 y queda por encima del promedio local (0.3616). Amplitud altitudinal del bloque: 572 m (1508–2080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10">
    <mergeCell ref="A1:H1"/>
    <mergeCell ref="A4:H4"/>
    <mergeCell ref="A3:H3"/>
    <mergeCell ref="A20:H20"/>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63</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«C1081-Q9583»</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(50.469 ha) coincide con la de catálogo (50.46 ha) dentro del ±2 % (+0.02 %)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«Shuturumbe»; el cruce INEI-Bloques V5 identifica 1 centro(s) poblado(s) en el bloque: SHUTURUMBE</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F-DT-02</t>
        </is>
      </c>
      <c r="C17" s="36" t="inlineStr">
        <is>
          <t>N.° de cárcavas = 0 sin inventario georreferenciado; no equivale a ausencia verificada</t>
        </is>
      </c>
      <c r="D17" s="37" t="inlineStr">
        <is>
          <t>SUSTANTIVA</t>
        </is>
      </c>
      <c r="E17" s="36" t="inlineStr">
        <is>
          <t>Declarado en la propia ficha; levantar con ortomosaico y MDS</t>
        </is>
      </c>
    </row>
    <row r="18" ht="48" customHeight="1">
      <c r="A18" s="34" t="inlineStr">
        <is>
          <t>D-09</t>
        </is>
      </c>
      <c r="B18" s="34" t="inlineStr">
        <is>
          <t>F-DT-03</t>
        </is>
      </c>
      <c r="C18" s="34" t="inlineStr">
        <is>
          <t>Registro florístico de 10 entradas (incluidas especies cultivadas) frente a las 15 especies exigidas por la ficha</t>
        </is>
      </c>
      <c r="D18" s="37" t="inlineStr">
        <is>
          <t>SUSTANTIVA</t>
        </is>
      </c>
      <c r="E18" s="34" t="inlineStr">
        <is>
          <t>Colecta e identificación botánica pendientes</t>
        </is>
      </c>
    </row>
    <row r="19" ht="48" customHeight="1">
      <c r="A19" s="36" t="inlineStr">
        <is>
          <t>D-10</t>
        </is>
      </c>
      <c r="B19" s="36" t="inlineStr">
        <is>
          <t>F-DT-03 / F-DT-04</t>
        </is>
      </c>
      <c r="C19" s="36" t="inlineStr">
        <is>
          <t>Cobertura MSAVI 97.16% frente a estado de conservación «Alterado» y cobertura dominante «Matorral ralo»</t>
        </is>
      </c>
      <c r="D19" s="37" t="inlineStr">
        <is>
          <t>SUSTANTIVA</t>
        </is>
      </c>
      <c r="E19" s="36" t="inlineStr">
        <is>
          <t>Contraste a resolver: el MSAVI alto puede corresponder a cultivos (café, pastos) y no a ecosistema natural conservado</t>
        </is>
      </c>
    </row>
    <row r="20" ht="48" customHeight="1">
      <c r="A20" s="34" t="inlineStr">
        <is>
          <t>D-11</t>
        </is>
      </c>
      <c r="B20" s="34" t="inlineStr">
        <is>
          <t>F-DT-03</t>
        </is>
      </c>
      <c r="C20" s="34" t="inlineStr">
        <is>
          <t>Cobertura vegetal total, superficie de ecosistema, coberturas por estrato, alturas y DAP sin medición</t>
        </is>
      </c>
      <c r="D20" s="13" t="inlineStr">
        <is>
          <t>NO SUSTANTIVA</t>
        </is>
      </c>
      <c r="E20" s="34" t="inlineStr">
        <is>
          <t>Pendientes de levantamiento instrumental</t>
        </is>
      </c>
    </row>
    <row r="21" ht="48" customHeight="1">
      <c r="A21" s="36" t="inlineStr">
        <is>
          <t>D-12</t>
        </is>
      </c>
      <c r="B21" s="36" t="inlineStr">
        <is>
          <t>F-DT-01</t>
        </is>
      </c>
      <c r="C21" s="36" t="inlineStr">
        <is>
          <t>Punto de registro = centroide del polígono, no punto GPS de campo</t>
        </is>
      </c>
      <c r="D21" s="13" t="inlineStr">
        <is>
          <t>NO SUSTANTIVA</t>
        </is>
      </c>
      <c r="E21" s="36" t="inlineStr">
        <is>
          <t>Declarado en la propia ficha</t>
        </is>
      </c>
    </row>
    <row r="23">
      <c r="A23" s="16" t="inlineStr">
        <is>
          <t>RESUMEN</t>
        </is>
      </c>
      <c r="B23" s="17" t="inlineStr">
        <is>
          <t>12 verificaciones</t>
        </is>
      </c>
      <c r="C23" s="17" t="inlineStr">
        <is>
          <t>CONFORME: 4 · NO SUSTANTIVA: 2 · SUSTANTIVA: 6</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63 — IN Piura</dc:title>
  <dc:subject>Diagnóstico Territorial por bloque de intervención</dc:subject>
  <dcterms:created xsi:type="dcterms:W3CDTF">2026-09-08T03:39:54Z</dcterms:created>
  <dcterms:modified xsi:type="dcterms:W3CDTF">2026-09-08T03:39:54Z</dcterms:modified>
</cp:coreProperties>
</file>