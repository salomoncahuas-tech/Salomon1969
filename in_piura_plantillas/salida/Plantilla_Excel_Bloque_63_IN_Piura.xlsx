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63</t>
        </is>
      </c>
      <c r="C9" s="6" t="inlineStr">
        <is>
          <t>Microcuenca (catálogo)</t>
        </is>
      </c>
      <c r="D9" s="7" t="inlineStr">
        <is>
          <t>C1081-Q9583</t>
        </is>
      </c>
      <c r="E9" s="8" t="n"/>
      <c r="F9" s="8" t="n"/>
    </row>
    <row r="10">
      <c r="A10" s="6" t="inlineStr">
        <is>
          <t>Zona de planificación</t>
        </is>
      </c>
      <c r="B10" s="7" t="inlineStr">
        <is>
          <t>Z11</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Shuturumbe</t>
        </is>
      </c>
      <c r="C13" s="6" t="inlineStr">
        <is>
          <t>Comunidad campesina</t>
        </is>
      </c>
      <c r="D13" s="7" t="inlineStr">
        <is>
          <t>Por verificar</t>
        </is>
      </c>
      <c r="E13" s="8" t="n"/>
      <c r="F13" s="8" t="n"/>
    </row>
    <row r="14">
      <c r="A14" s="6" t="inlineStr">
        <is>
          <t>Superficie de catálogo (V5/V6), ha</t>
        </is>
      </c>
      <c r="B14" s="7" t="n">
        <v>50.46</v>
      </c>
      <c r="C14" s="6" t="inlineStr">
        <is>
          <t>Fuente de superficie</t>
        </is>
      </c>
      <c r="D14" s="7" t="inlineStr">
        <is>
          <t>Catálogo maestro Bloques V5/V6</t>
        </is>
      </c>
      <c r="E14" s="8" t="n"/>
      <c r="F14" s="8" t="n"/>
    </row>
    <row r="15">
      <c r="A15" s="6" t="inlineStr">
        <is>
          <t>Centroide UTM ESTE (m)</t>
        </is>
      </c>
      <c r="B15" s="7" t="n">
        <v>655059</v>
      </c>
      <c r="C15" s="6" t="inlineStr">
        <is>
          <t>Centroide UTM NORTE (m)</t>
        </is>
      </c>
      <c r="D15" s="7" t="n">
        <v>9413845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1508</v>
      </c>
      <c r="C19" s="6" t="inlineStr">
        <is>
          <t>Altitud máxima (msnm)</t>
        </is>
      </c>
      <c r="D19" s="7" t="n">
        <v>2080</v>
      </c>
      <c r="E19" s="8" t="n"/>
      <c r="F19" s="8" t="n"/>
    </row>
    <row r="20">
      <c r="A20" s="6" t="inlineStr">
        <is>
          <t>Amplitud altitudinal (m)</t>
        </is>
      </c>
      <c r="B20" s="7" t="n">
        <v>572</v>
      </c>
      <c r="C20" s="6" t="inlineStr">
        <is>
          <t>Piso altitudinal dominante</t>
        </is>
      </c>
      <c r="D20" s="7" t="inlineStr">
        <is>
          <t>1500-2000 m (Quechua media)</t>
        </is>
      </c>
      <c r="E20" s="8" t="n"/>
      <c r="F20" s="8" t="n"/>
    </row>
    <row r="21">
      <c r="A21" s="6" t="inlineStr">
        <is>
          <t>Pendiente promedio (%)</t>
        </is>
      </c>
      <c r="B21" s="7" t="n">
        <v>35.5</v>
      </c>
      <c r="C21" s="6" t="inlineStr">
        <is>
          <t>Pendiente promedio (grados)</t>
        </is>
      </c>
      <c r="D21" s="7" t="n">
        <v>19.5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0.6036</v>
      </c>
      <c r="C28" s="6" t="inlineStr">
        <is>
          <t>MSAVI 2024 — clase de la media</t>
        </is>
      </c>
      <c r="D28" s="7" t="inlineStr">
        <is>
          <t>0.4976 - 0.6139 (Vigor moderado)</t>
        </is>
      </c>
      <c r="E28" s="8" t="n"/>
      <c r="F28" s="8" t="n"/>
    </row>
    <row r="29">
      <c r="A29" s="6" t="inlineStr">
        <is>
          <t>Condición frente al umbral 0.4976</t>
        </is>
      </c>
      <c r="B29" s="7" t="inlineStr">
        <is>
          <t>Sobre umbral · distribución areal: 2.83 % del bloque BAJO el umbral (1.428 ha de 50.460 ha)</t>
        </is>
      </c>
      <c r="C29" s="6" t="inlineStr">
        <is>
          <t>NDVI mediana 2025 — clase modal</t>
        </is>
      </c>
      <c r="D29" s="7" t="inlineStr">
        <is>
          <t>Vegetación alta (99.20 %)</t>
        </is>
      </c>
      <c r="E29" s="8" t="n"/>
      <c r="F29" s="8" t="n"/>
    </row>
    <row r="30">
      <c r="A30" s="6" t="inlineStr">
        <is>
          <t>MSAVI 2024 — superficie BAJO el umbral 0.4976 (ha)</t>
        </is>
      </c>
      <c r="B30" s="7" t="n">
        <v>1.428</v>
      </c>
      <c r="C30" s="6" t="inlineStr">
        <is>
          <t>MSAVI 2024 — % del bloque BAJO el umbral</t>
        </is>
      </c>
      <c r="D30" s="7" t="n">
        <v>2.83</v>
      </c>
      <c r="E30" s="8" t="n"/>
      <c r="F30" s="8" t="n"/>
    </row>
    <row r="31">
      <c r="A31" s="6" t="inlineStr">
        <is>
          <t>MSAVI 2024 — clase areal dominante</t>
        </is>
      </c>
      <c r="B31" s="7" t="inlineStr">
        <is>
          <t>Vigor moderado</t>
        </is>
      </c>
      <c r="C31" s="6" t="inlineStr">
        <is>
          <t>MSAVI 2024 — fuente de la distribución areal</t>
        </is>
      </c>
      <c r="D31" s="7" t="inlineStr">
        <is>
          <t>Conteo de celdas sobre la cartografía MSAVI 2024 del bloque (63.png)</t>
        </is>
      </c>
      <c r="E31" s="8" t="n"/>
      <c r="F31" s="8" t="n"/>
    </row>
    <row r="32" ht="18" customHeight="1">
      <c r="A32" s="6" t="inlineStr">
        <is>
          <t>Superficie clasificada NDVI 2025 (ha)</t>
        </is>
      </c>
      <c r="B32" s="7" t="n">
        <v>50.469</v>
      </c>
      <c r="C32" s="6" t="inlineStr">
        <is>
          <t>Desviación frente al catálogo (%)</t>
        </is>
      </c>
      <c r="D32" s="7" t="n">
        <v>0.02</v>
      </c>
      <c r="E32" s="8" t="n"/>
      <c r="F32" s="8" t="n"/>
    </row>
    <row r="33"/>
    <row r="34">
      <c r="A34" s="5" t="inlineStr">
        <is>
          <t>4. ECOSISTEMA Y ESTADO DE CONSERVACIÓN</t>
        </is>
      </c>
    </row>
    <row r="35">
      <c r="A35" s="6" t="inlineStr">
        <is>
          <t>Tipo de ecosistema (UP)</t>
        </is>
      </c>
      <c r="B35" s="7" t="inlineStr">
        <is>
          <t>Matorral Andino subhúmedo (declarado en campo: Matorral andino, Ma)</t>
        </is>
      </c>
      <c r="C35" s="6" t="inlineStr">
        <is>
          <t>Superficie de ecosistema (ha)</t>
        </is>
      </c>
      <c r="D35" s="7" t="inlineStr">
        <is>
          <t>Por determinar</t>
        </is>
      </c>
      <c r="E35" s="8" t="n"/>
      <c r="F35" s="8" t="n"/>
    </row>
    <row r="36">
      <c r="A36" s="6" t="inlineStr">
        <is>
          <t>Estado de conservación</t>
        </is>
      </c>
      <c r="B36" s="7" t="inlineStr">
        <is>
          <t>Alterado (intervención marcada)</t>
        </is>
      </c>
      <c r="C36" s="6" t="inlineStr">
        <is>
          <t>Uso actual dominante del suelo</t>
        </is>
      </c>
      <c r="D36" s="7" t="inlineStr">
        <is>
          <t>Pastoreo extensivo</t>
        </is>
      </c>
      <c r="E36" s="8" t="n"/>
      <c r="F36" s="8" t="n"/>
    </row>
    <row r="37">
      <c r="A37" s="6" t="inlineStr">
        <is>
          <t>Tipo de cobertura dominante</t>
        </is>
      </c>
      <c r="B37" s="7" t="inlineStr">
        <is>
          <t>Matorral ralo</t>
        </is>
      </c>
      <c r="C37" s="6" t="inlineStr">
        <is>
          <t>Cobertura vegetal total — campo (%)</t>
        </is>
      </c>
      <c r="D37" s="7" t="inlineStr">
        <is>
          <t>Por determinar</t>
        </is>
      </c>
      <c r="E37" s="8" t="n"/>
      <c r="F37" s="8" t="n"/>
    </row>
    <row r="38">
      <c r="A38" s="6" t="inlineStr">
        <is>
          <t>Suelo desnudo — campo (%)</t>
        </is>
      </c>
      <c r="B38" s="7" t="inlineStr">
        <is>
          <t>Por determinar</t>
        </is>
      </c>
      <c r="C38" s="6" t="inlineStr">
        <is>
          <t>Regeneración natural</t>
        </is>
      </c>
      <c r="D38" s="7" t="inlineStr">
        <is>
          <t>Escasa (&lt;10 pl./100m²)</t>
        </is>
      </c>
      <c r="E38" s="8" t="n"/>
      <c r="F38" s="8" t="n"/>
    </row>
    <row r="39">
      <c r="A39" s="6" t="inlineStr">
        <is>
          <t>Nivel general de erosión</t>
        </is>
      </c>
      <c r="B39" s="7" t="inlineStr">
        <is>
          <t>Fuerte (cárcavas incipientes)</t>
        </is>
      </c>
      <c r="C39" s="6" t="inlineStr">
        <is>
          <t>N.° de cárcavas registradas</t>
        </is>
      </c>
      <c r="D39" s="7" t="inlineStr">
        <is>
          <t>0 = no inventariadas</t>
        </is>
      </c>
      <c r="E39" s="8" t="n"/>
      <c r="F39" s="8" t="n"/>
    </row>
    <row r="40" ht="18" customHeight="1">
      <c r="A40" s="6" t="inlineStr">
        <is>
          <t>Elenco florístico (n.° de taxones)</t>
        </is>
      </c>
      <c r="B40" s="7" t="n">
        <v>10</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Juan Domínguez y Blgo. Abel Aucasime</t>
        </is>
      </c>
      <c r="C43" s="6" t="inlineStr">
        <is>
          <t>Fecha de evaluación</t>
        </is>
      </c>
      <c r="D43" s="7" t="inlineStr">
        <is>
          <t>2026-07-21</t>
        </is>
      </c>
      <c r="E43" s="8" t="n"/>
      <c r="F43" s="8" t="n"/>
    </row>
    <row r="44">
      <c r="A44" s="6" t="inlineStr">
        <is>
          <t>Hora de registro</t>
        </is>
      </c>
      <c r="B44" s="7" t="inlineStr">
        <is>
          <t>Sin registro en ficha</t>
        </is>
      </c>
      <c r="C44" s="6" t="inlineStr">
        <is>
          <t>Correlativo de ficha</t>
        </is>
      </c>
      <c r="D44" s="7" t="inlineStr">
        <is>
          <t>F-DT-01-63</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No consignada</t>
        </is>
      </c>
      <c r="E46" s="8" t="n"/>
      <c r="F46" s="8" t="n"/>
    </row>
    <row r="47" ht="18" customHeight="1">
      <c r="A47" s="6" t="inlineStr">
        <is>
          <t>Estaciones fotográficas georreferenciadas</t>
        </is>
      </c>
      <c r="B47" s="7" t="n">
        <v>0</v>
      </c>
      <c r="C47" s="6" t="inlineStr">
        <is>
          <t>Modalidad de acceso</t>
        </is>
      </c>
      <c r="D47" s="7" t="inlineStr">
        <is>
          <t>Vehicular + caminata &lt;30 min</t>
        </is>
      </c>
      <c r="E47" s="8" t="n"/>
      <c r="F47" s="8" t="n"/>
    </row>
    <row r="48"/>
    <row r="49">
      <c r="A49" s="5" t="inlineStr">
        <is>
          <t>6. SÍNTESIS PARA LA GESTIÓN DEL RIESGO EN CONTEXTO DE CAMBIO CLIMÁTICO</t>
        </is>
      </c>
    </row>
    <row r="50">
      <c r="A50" s="6" t="inlineStr">
        <is>
          <t>Causa subyacente principal</t>
        </is>
      </c>
      <c r="B50" s="7" t="inlineStr">
        <is>
          <t>Ocupación productiva de laderas de fuerte pendiente sin prácticas de conservación de suelos, favorecida por la accesibilidad</t>
        </is>
      </c>
      <c r="C50" s="6" t="inlineStr">
        <is>
          <t>Velocidad de degradación</t>
        </is>
      </c>
      <c r="D50" s="7" t="inlineStr">
        <is>
          <t>Moderada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18.3725</v>
      </c>
      <c r="C10" s="19" t="n">
        <v>36.41</v>
      </c>
      <c r="D10" s="11" t="inlineStr">
        <is>
          <t>Vigor alto</t>
        </is>
      </c>
      <c r="E10" s="11" t="inlineStr">
        <is>
          <t>Sobre umbral</t>
        </is>
      </c>
    </row>
    <row r="11">
      <c r="A11" s="12" t="inlineStr">
        <is>
          <t>0.4976 - 0.6139</t>
        </is>
      </c>
      <c r="B11" s="32" t="n">
        <v>30.6595</v>
      </c>
      <c r="C11" s="31" t="n">
        <v>60.76</v>
      </c>
      <c r="D11" s="13" t="inlineStr">
        <is>
          <t>Vigor moderado</t>
        </is>
      </c>
      <c r="E11" s="13" t="inlineStr">
        <is>
          <t>Sobre umbral</t>
        </is>
      </c>
    </row>
    <row r="12">
      <c r="A12" s="7" t="inlineStr">
        <is>
          <t>0.3813 - 0.4976</t>
        </is>
      </c>
      <c r="B12" s="18" t="n">
        <v>1.428</v>
      </c>
      <c r="C12" s="19" t="n">
        <v>2.83</v>
      </c>
      <c r="D12" s="11" t="inlineStr">
        <is>
          <t>Vigor bajo</t>
        </is>
      </c>
      <c r="E12" s="11" t="inlineStr">
        <is>
          <t>BAJO umbral 0.4976</t>
        </is>
      </c>
    </row>
    <row r="13">
      <c r="A13" s="14" t="inlineStr">
        <is>
          <t>0.2650 - 0.3813</t>
        </is>
      </c>
      <c r="B13" s="20" t="n">
        <v>0</v>
      </c>
      <c r="C13" s="21" t="n">
        <v>0</v>
      </c>
      <c r="D13" s="15" t="inlineStr">
        <is>
          <t>Vigor muy bajo</t>
        </is>
      </c>
      <c r="E13" s="15" t="inlineStr">
        <is>
          <t>BAJO umbral 0.4976</t>
        </is>
      </c>
    </row>
    <row r="14">
      <c r="A14" s="7" t="inlineStr">
        <is>
          <t>&lt;= 0.2650</t>
        </is>
      </c>
      <c r="B14" s="18" t="n">
        <v>0</v>
      </c>
      <c r="C14" s="19" t="n">
        <v>0</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0.603582</v>
      </c>
      <c r="C16" s="17" t="inlineStr">
        <is>
          <t>—</t>
        </is>
      </c>
      <c r="D16" s="17" t="inlineStr">
        <is>
          <t>Vigor moderado · clase 0.4976 - 0.6139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50.0651</v>
      </c>
      <c r="C22" s="19" t="n">
        <v>99.2</v>
      </c>
      <c r="D22" s="11" t="inlineStr">
        <is>
          <t>Dosel continuo, matorral denso o mosaico agroforestal</t>
        </is>
      </c>
      <c r="E22" s="11" t="inlineStr"/>
    </row>
    <row r="23">
      <c r="A23" s="14" t="inlineStr">
        <is>
          <t>Vegetación mediana</t>
        </is>
      </c>
      <c r="B23" s="20" t="n">
        <v>0.394</v>
      </c>
      <c r="C23" s="21" t="n">
        <v>0.78</v>
      </c>
      <c r="D23" s="15" t="inlineStr">
        <is>
          <t>Pastizal cultivado, matorral ralo, parcelas agrícolas</t>
        </is>
      </c>
      <c r="E23" s="15" t="inlineStr"/>
    </row>
    <row r="24">
      <c r="A24" s="7" t="inlineStr">
        <is>
          <t>Vegetación ligera</t>
        </is>
      </c>
      <c r="B24" s="18" t="n">
        <v>0.009900000000000001</v>
      </c>
      <c r="C24" s="19" t="n">
        <v>0.02</v>
      </c>
      <c r="D24" s="11" t="inlineStr">
        <is>
          <t>Cobertura discontinua, suelo parcialmente expuesto</t>
        </is>
      </c>
      <c r="E24" s="11" t="inlineStr"/>
    </row>
    <row r="25">
      <c r="A25" s="16" t="inlineStr">
        <is>
          <t>TOTAL CLASIFICADO</t>
        </is>
      </c>
      <c r="B25" s="22">
        <f>SUM(B21:B23)</f>
        <v/>
      </c>
      <c r="C25" s="23">
        <f>SUM(C21:C23)</f>
        <v/>
      </c>
      <c r="D25" s="17" t="inlineStr"/>
      <c r="E25" s="17" t="inlineStr"/>
    </row>
    <row r="26">
      <c r="A26" s="24" t="inlineStr">
        <is>
          <t>Superficie de catálogo (V5/V6)</t>
        </is>
      </c>
      <c r="B26" s="25" t="n">
        <v>50.46</v>
      </c>
      <c r="C26" s="25" t="inlineStr">
        <is>
          <t>—</t>
        </is>
      </c>
      <c r="D26" s="25" t="inlineStr">
        <is>
          <t>Desviación planimétrica frente al catálogo</t>
        </is>
      </c>
      <c r="E26" s="25" t="inlineStr">
        <is>
          <t>+0.02 %</t>
        </is>
      </c>
    </row>
    <row r="27" ht="72" customHeight="1"/>
    <row r="28">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28" s="38" t="n"/>
      <c r="C28" s="38" t="n"/>
      <c r="D28" s="38" t="n"/>
      <c r="E28" s="39" t="n"/>
    </row>
  </sheetData>
  <mergeCells count="10">
    <mergeCell ref="A4:E4"/>
    <mergeCell ref="A20:E20"/>
    <mergeCell ref="A2:E2"/>
    <mergeCell ref="A28:E28"/>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63</t>
        </is>
      </c>
    </row>
    <row r="6" ht="24" customHeight="1">
      <c r="A6" s="4" t="inlineStr">
        <is>
          <t>Levantamiento del 2026-07-21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655059</v>
      </c>
      <c r="D10" s="26" t="n">
        <v>9413845</v>
      </c>
      <c r="E10" s="11" t="n">
        <v>0</v>
      </c>
      <c r="F10" s="11" t="inlineStr"/>
      <c r="G10" s="11" t="inlineStr">
        <is>
          <t>Coordenada consignada en F-DT-01</t>
        </is>
      </c>
    </row>
    <row r="11">
      <c r="A11" s="14" t="inlineStr">
        <is>
          <t>H-01</t>
        </is>
      </c>
      <c r="B11" s="15" t="inlineStr">
        <is>
          <t>Fuente de agua — Quebrada permanente</t>
        </is>
      </c>
      <c r="C11" s="27" t="inlineStr">
        <is>
          <t>Por determinar</t>
        </is>
      </c>
      <c r="D11" s="27" t="inlineStr">
        <is>
          <t>Por determinar</t>
        </is>
      </c>
      <c r="E11" s="15" t="inlineStr"/>
      <c r="F11" s="15" t="inlineStr">
        <is>
          <t>Permanente</t>
        </is>
      </c>
      <c r="G11" s="15" t="inlineStr">
        <is>
          <t>Quebrada activa colindante</t>
        </is>
      </c>
    </row>
    <row r="12">
      <c r="A12" s="7" t="inlineStr">
        <is>
          <t>H-02</t>
        </is>
      </c>
      <c r="B12" s="11" t="inlineStr">
        <is>
          <t>Fuente de agua — Quebrada estacional</t>
        </is>
      </c>
      <c r="C12" s="26" t="inlineStr">
        <is>
          <t>Por determinar</t>
        </is>
      </c>
      <c r="D12" s="26" t="inlineStr">
        <is>
          <t>Por determinar</t>
        </is>
      </c>
      <c r="E12" s="11" t="inlineStr"/>
      <c r="F12" s="11" t="inlineStr">
        <is>
          <t>Estacional</t>
        </is>
      </c>
      <c r="G12" s="11" t="inlineStr">
        <is>
          <t>Drenajes tributarios</t>
        </is>
      </c>
    </row>
    <row r="13">
      <c r="A13" s="16" t="inlineStr">
        <is>
          <t>TOTAL: 3 puntos</t>
        </is>
      </c>
      <c r="B13" s="17" t="inlineStr"/>
      <c r="C13" s="17" t="inlineStr"/>
      <c r="D13" s="17" t="inlineStr"/>
      <c r="E13" s="17" t="inlineStr"/>
      <c r="F13" s="17" t="inlineStr"/>
      <c r="G13" s="17" t="inlineStr"/>
    </row>
    <row r="15">
      <c r="A15" s="6" t="inlineStr">
        <is>
          <t>Centroide del bloque — UTM ESTE (m)</t>
        </is>
      </c>
      <c r="B15" s="7" t="n">
        <v>655059</v>
      </c>
      <c r="C15" s="6" t="inlineStr">
        <is>
          <t>Centroide del bloque — UTM NORTE (m)</t>
        </is>
      </c>
      <c r="D15" s="7" t="n">
        <v>9413845</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8" ht="108"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de campo. Altitud GPS de campo 1 520 msnm. Rango altitudinal del bloque según MDE: 1 508-2 080 msnm (amplitud 572 m); pendiente promedio 35.50%. Centro poblado asociado: Shuturumbe. Acceso: vía afirmada Canchaque – Coyona, margen izquierda de una quebrada s/n.</t>
        </is>
      </c>
      <c r="B18" s="38" t="n"/>
      <c r="C18" s="38" t="n"/>
      <c r="D18" s="38" t="n"/>
      <c r="E18" s="38" t="n"/>
      <c r="F18" s="38" t="n"/>
      <c r="G18" s="39"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63</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M11B3</t>
        </is>
      </c>
      <c r="B10" s="28" t="n">
        <v>106.03</v>
      </c>
      <c r="C10" s="19" t="n">
        <v>26.64</v>
      </c>
      <c r="D10" s="11" t="inlineStr">
        <is>
          <t>278 – 477</t>
        </is>
      </c>
      <c r="E10" s="11" t="n">
        <v>199</v>
      </c>
      <c r="F10" s="11" t="n">
        <v>18.11</v>
      </c>
      <c r="G10" s="18" t="n">
        <v>0.3956</v>
      </c>
      <c r="H10" s="19" t="n">
        <v>21.16</v>
      </c>
    </row>
    <row r="11">
      <c r="A11" s="14" t="inlineStr">
        <is>
          <t>24</t>
        </is>
      </c>
      <c r="B11" s="29" t="n">
        <v>90.16</v>
      </c>
      <c r="C11" s="21" t="n">
        <v>22.65</v>
      </c>
      <c r="D11" s="15" t="inlineStr">
        <is>
          <t>1319 – 1887</t>
        </is>
      </c>
      <c r="E11" s="15" t="n">
        <v>568</v>
      </c>
      <c r="F11" s="15" t="n">
        <v>32.98</v>
      </c>
      <c r="G11" s="20" t="n">
        <v>0.6748</v>
      </c>
      <c r="H11" s="21" t="n">
        <v>98.51000000000001</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row>
    <row r="13">
      <c r="A13" s="12" t="inlineStr">
        <is>
          <t>► 63</t>
        </is>
      </c>
      <c r="B13" s="30" t="n">
        <v>50.46</v>
      </c>
      <c r="C13" s="31" t="n">
        <v>12.68</v>
      </c>
      <c r="D13" s="13" t="inlineStr">
        <is>
          <t>1508 – 2080</t>
        </is>
      </c>
      <c r="E13" s="13" t="n">
        <v>572</v>
      </c>
      <c r="F13" s="13" t="n">
        <v>35.5</v>
      </c>
      <c r="G13" s="32" t="n">
        <v>0.6036</v>
      </c>
      <c r="H13" s="31" t="n">
        <v>99.2</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row>
    <row r="15">
      <c r="A15" s="14" t="inlineStr">
        <is>
          <t>83</t>
        </is>
      </c>
      <c r="B15" s="29" t="n">
        <v>24.344</v>
      </c>
      <c r="C15" s="21" t="n">
        <v>6.12</v>
      </c>
      <c r="D15" s="15" t="inlineStr">
        <is>
          <t>Por determinar</t>
        </is>
      </c>
      <c r="E15" s="15" t="inlineStr">
        <is>
          <t>Por determinar</t>
        </is>
      </c>
      <c r="F15" s="15" t="inlineStr">
        <is>
          <t>Por determinar</t>
        </is>
      </c>
      <c r="G15" s="20" t="n">
        <v>0.3055</v>
      </c>
      <c r="H15" s="21" t="n">
        <v>2.88</v>
      </c>
    </row>
    <row r="16">
      <c r="A16" s="7" t="inlineStr">
        <is>
          <t>77</t>
        </is>
      </c>
      <c r="B16" s="28" t="n">
        <v>17.82</v>
      </c>
      <c r="C16" s="19" t="n">
        <v>4.48</v>
      </c>
      <c r="D16" s="11" t="inlineStr">
        <is>
          <t>242 – 346</t>
        </is>
      </c>
      <c r="E16" s="11" t="n">
        <v>104</v>
      </c>
      <c r="F16" s="11" t="n">
        <v>13.71</v>
      </c>
      <c r="G16" s="18" t="n">
        <v>0.2725</v>
      </c>
      <c r="H16" s="19" t="n">
        <v>0.11</v>
      </c>
    </row>
    <row r="17">
      <c r="A17" s="14" t="inlineStr">
        <is>
          <t>85</t>
        </is>
      </c>
      <c r="B17" s="29" t="n">
        <v>11.906</v>
      </c>
      <c r="C17" s="21" t="n">
        <v>2.99</v>
      </c>
      <c r="D17" s="15" t="inlineStr">
        <is>
          <t>Por determinar</t>
        </is>
      </c>
      <c r="E17" s="15" t="inlineStr">
        <is>
          <t>Por determinar</t>
        </is>
      </c>
      <c r="F17" s="15" t="inlineStr">
        <is>
          <t>Por determinar</t>
        </is>
      </c>
      <c r="G17" s="20" t="n">
        <v>0.2289</v>
      </c>
      <c r="H17" s="21" t="n">
        <v>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38" t="n"/>
      <c r="C20" s="38" t="n"/>
      <c r="D20" s="38" t="n"/>
      <c r="E20" s="38" t="n"/>
      <c r="F20" s="38" t="n"/>
      <c r="G20" s="38" t="n"/>
      <c r="H20" s="39" t="n"/>
    </row>
    <row r="22" ht="84" customHeight="1">
      <c r="A22" s="9" t="inlineStr">
        <is>
          <t>LECTURA INTRAMICROCUENCA. El bloque 63 ocupa el puesto 4 de 9 por superficie dentro de la microcuenca C1081-Q9583 (12.68 % de las 398.04 ha preliminares de la microcuenca). Su pendiente promedio (35.50 %, clase «25-50% (Mod. escarpado)») es la 4.ª más baja de 4 y se sitúa por encima del promedio de la microcuenca (25.08 %). Su MSAVI 2024 (0.6036) es el 2.º de 9 y queda por encima del promedio local (0.3616). Amplitud altitudinal del bloque: 572 m (1508–2080 msnm). El cuadro conserva todos los bloques catalogados en la microcuenca, incluidos los descartados en el tamizaje, para referencia del conjunto. Los bloques sin ficha DT figuran con sus parámetros de gabinete.</t>
        </is>
      </c>
      <c r="B22" s="38" t="n"/>
      <c r="C22" s="38" t="n"/>
      <c r="D22" s="38" t="n"/>
      <c r="E22" s="38" t="n"/>
      <c r="F22" s="38" t="n"/>
      <c r="G22" s="38" t="n"/>
      <c r="H22" s="39"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4" s="38" t="n"/>
      <c r="C24" s="38" t="n"/>
      <c r="D24" s="38" t="n"/>
      <c r="E24" s="38" t="n"/>
      <c r="F24" s="38" t="n"/>
      <c r="G24" s="38" t="n"/>
      <c r="H24" s="39" t="n"/>
    </row>
  </sheetData>
  <mergeCells count="10">
    <mergeCell ref="A1:H1"/>
    <mergeCell ref="A4:H4"/>
    <mergeCell ref="A3:H3"/>
    <mergeCell ref="A20:H20"/>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(50.469 ha) coincide con la de catálogo (50.46 ha) dentro del ±2 % (+0.02 %)</t>
        </is>
      </c>
      <c r="D12" s="35"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10 taxones, por debajo del mínimo de 15 que exige el formato V5</t>
        </is>
      </c>
      <c r="D13" s="37"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Representatividad del levantamiento</t>
        </is>
      </c>
      <c r="C14" s="34" t="inlineStr">
        <is>
          <t>Ninguna de las estaciones fotográficas georreferenciadas se localiza dentro del polígono del bloque</t>
        </is>
      </c>
      <c r="D14" s="37" t="inlineStr">
        <is>
          <t>SUSTANTIVA</t>
        </is>
      </c>
      <c r="E14" s="34" t="inlineStr">
        <is>
          <t>La verificación documenta el perímetro y la vista panorámica del bloque, no su interior. Los parámetros que exigen recorrido interno se consignan «Por determinar».</t>
        </is>
      </c>
    </row>
    <row r="15" ht="48" customHeight="1">
      <c r="A15" s="36" t="inlineStr">
        <is>
          <t>D-06</t>
        </is>
      </c>
      <c r="B15" s="36" t="inlineStr">
        <is>
          <t>Centro poblado asociado</t>
        </is>
      </c>
      <c r="C15" s="36" t="inlineStr">
        <is>
          <t>La ficha DT declara «Shuturumbe»; el cruce INEI-Bloques V5 identifica 1 centro(s) poblado(s) en el bloque: SHUTURUMBE</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F-DT-02</t>
        </is>
      </c>
      <c r="C17" s="36" t="inlineStr">
        <is>
          <t>N.° de cárcavas = 0 sin inventario georreferenciado; no equivale a ausencia verificada</t>
        </is>
      </c>
      <c r="D17" s="37" t="inlineStr">
        <is>
          <t>SUSTANTIVA</t>
        </is>
      </c>
      <c r="E17" s="36" t="inlineStr">
        <is>
          <t>Declarado en la propia ficha; levantar con ortomosaico y MDS</t>
        </is>
      </c>
    </row>
    <row r="18" ht="48" customHeight="1">
      <c r="A18" s="34" t="inlineStr">
        <is>
          <t>D-09</t>
        </is>
      </c>
      <c r="B18" s="34" t="inlineStr">
        <is>
          <t>F-DT-03</t>
        </is>
      </c>
      <c r="C18" s="34" t="inlineStr">
        <is>
          <t>Registro florístico de 10 entradas (incluidas especies cultivadas) frente a las 15 especies exigidas por la ficha</t>
        </is>
      </c>
      <c r="D18" s="37" t="inlineStr">
        <is>
          <t>SUSTANTIVA</t>
        </is>
      </c>
      <c r="E18" s="34" t="inlineStr">
        <is>
          <t>Colecta e identificación botánica pendientes</t>
        </is>
      </c>
    </row>
    <row r="19" ht="48" customHeight="1">
      <c r="A19" s="36" t="inlineStr">
        <is>
          <t>D-10</t>
        </is>
      </c>
      <c r="B19" s="36" t="inlineStr">
        <is>
          <t>F-DT-03 / F-DT-04</t>
        </is>
      </c>
      <c r="C19" s="36" t="inlineStr">
        <is>
          <t>Cobertura MSAVI 97.16% frente a estado de conservación «Alterado» y cobertura dominante «Matorral ralo»</t>
        </is>
      </c>
      <c r="D19" s="37" t="inlineStr">
        <is>
          <t>SUSTANTIVA</t>
        </is>
      </c>
      <c r="E19" s="36" t="inlineStr">
        <is>
          <t>Contraste a resolver: el MSAVI alto puede corresponder a cultivos (café, pastos) y no a ecosistema natural conservado</t>
        </is>
      </c>
    </row>
    <row r="20" ht="48" customHeight="1">
      <c r="A20" s="34" t="inlineStr">
        <is>
          <t>D-11</t>
        </is>
      </c>
      <c r="B20" s="34" t="inlineStr">
        <is>
          <t>F-DT-03</t>
        </is>
      </c>
      <c r="C20" s="34" t="inlineStr">
        <is>
          <t>Cobertura vegetal total, superficie de ecosistema, coberturas por estrato, alturas y DAP sin medición</t>
        </is>
      </c>
      <c r="D20" s="13" t="inlineStr">
        <is>
          <t>NO SUSTANTIVA</t>
        </is>
      </c>
      <c r="E20" s="34" t="inlineStr">
        <is>
          <t>Pendientes de levantamiento instrumental</t>
        </is>
      </c>
    </row>
    <row r="21" ht="48" customHeight="1">
      <c r="A21" s="36" t="inlineStr">
        <is>
          <t>D-12</t>
        </is>
      </c>
      <c r="B21" s="36" t="inlineStr">
        <is>
          <t>F-DT-01</t>
        </is>
      </c>
      <c r="C21" s="36" t="inlineStr">
        <is>
          <t>Punto de registro = centroide del polígono, no punto GPS de campo</t>
        </is>
      </c>
      <c r="D21" s="13" t="inlineStr">
        <is>
          <t>NO SUSTANTIVA</t>
        </is>
      </c>
      <c r="E21" s="36" t="inlineStr">
        <is>
          <t>Declarado en la propia ficha</t>
        </is>
      </c>
    </row>
    <row r="22">
      <c r="A22" s="36" t="inlineStr">
        <is>
          <t>D-13</t>
        </is>
      </c>
      <c r="B22" s="36" t="inlineStr">
        <is>
          <t>Distribución areal de clases MSAVI 2024</t>
        </is>
      </c>
      <c r="C22" s="36" t="inlineStr">
        <is>
          <t>La hoja «Cobertura MSAVI-NDVI» consignaba «Por determinar» en la distribución areal de clases MSAVI 2024; se incorpora el metrado por clase medido sobre la cartografía temática MSAVI 2024 del bloque: 2.83 % del bloque (1.428 ha) bajo el umbral 0.4976 y 97.17 % sobre el umbral; clase areal dominante «Vigor moderado».</t>
        </is>
      </c>
      <c r="D22" s="13" t="inlineStr">
        <is>
          <t>CORREGIDO</t>
        </is>
      </c>
      <c r="E22"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23"/>
    <row r="24">
      <c r="A24" s="16" t="inlineStr">
        <is>
          <t>RESUMEN</t>
        </is>
      </c>
      <c r="B24" s="17" t="inlineStr">
        <is>
          <t>13 verificaciones</t>
        </is>
      </c>
      <c r="C24" s="17" t="inlineStr">
        <is>
          <t>CONFORME: 4 · NO SUSTANTIVA: 2 · SUSTANTIVA: 6 · CORREGIDO: 1</t>
        </is>
      </c>
      <c r="D24" s="17" t="inlineStr"/>
      <c r="E24" s="17" t="inlineStr"/>
    </row>
    <row r="25" ht="60" customHeight="1"/>
    <row r="26">
      <c r="A26"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6" s="38" t="n"/>
      <c r="C26" s="38" t="n"/>
      <c r="D26" s="38" t="n"/>
      <c r="E26" s="39" t="n"/>
    </row>
  </sheetData>
  <mergeCells count="8">
    <mergeCell ref="A4:E4"/>
    <mergeCell ref="A26:E26"/>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63 — IN Piura</dc:title>
  <dc:subject>Diagnóstico Territorial por bloque de intervención</dc:subject>
  <dcterms:created xsi:type="dcterms:W3CDTF">2026-09-08T03:39:54Z</dcterms:created>
  <dcterms:modified xsi:type="dcterms:W3CDTF">2026-09-09T14:49:43Z</dcterms:modified>
</cp:coreProperties>
</file>