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M20B1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M20B1</t>
        </is>
      </c>
      <c r="C9" s="6" t="inlineStr">
        <is>
          <t>Microcuenca (catálogo)</t>
        </is>
      </c>
      <c r="D9" s="7" t="inlineStr">
        <is>
          <t>C1076-Q9585</t>
        </is>
      </c>
      <c r="E9" s="8" t="n"/>
      <c r="F9" s="8" t="n"/>
    </row>
    <row r="10">
      <c r="A10" s="6" t="inlineStr">
        <is>
          <t>Zona de planificación</t>
        </is>
      </c>
      <c r="B10" s="7" t="inlineStr">
        <is>
          <t>Z12</t>
        </is>
      </c>
      <c r="C10" s="6" t="inlineStr">
        <is>
          <t>Microcuenca declarada en ficha DT</t>
        </is>
      </c>
      <c r="D10" s="7" t="inlineStr">
        <is>
          <t>C1076-Q9584 (valor por defecto de la plantilla; el catálogo asigna al bloque la microcuenca C1076-Q9585)</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Las Huacas</t>
        </is>
      </c>
      <c r="C13" s="6" t="inlineStr">
        <is>
          <t>Comunidad campesina</t>
        </is>
      </c>
      <c r="D13" s="7" t="inlineStr">
        <is>
          <t>No consignada</t>
        </is>
      </c>
      <c r="E13" s="8" t="n"/>
      <c r="F13" s="8" t="n"/>
    </row>
    <row r="14">
      <c r="A14" s="6" t="inlineStr">
        <is>
          <t>Superficie de catálogo (V5/V6), ha</t>
        </is>
      </c>
      <c r="B14" s="7" t="n">
        <v>279.68</v>
      </c>
      <c r="C14" s="6" t="inlineStr">
        <is>
          <t>Fuente de superficie</t>
        </is>
      </c>
      <c r="D14" s="7" t="inlineStr">
        <is>
          <t>Catálogo maestro Bloques V5/V6</t>
        </is>
      </c>
      <c r="E14" s="8" t="n"/>
      <c r="F14" s="8" t="n"/>
    </row>
    <row r="15">
      <c r="A15" s="6" t="inlineStr">
        <is>
          <t>Centroide UTM ESTE (m)</t>
        </is>
      </c>
      <c r="B15" s="7" t="n">
        <v>641196</v>
      </c>
      <c r="C15" s="6" t="inlineStr">
        <is>
          <t>Centroide UTM NORTE (m)</t>
        </is>
      </c>
      <c r="D15" s="7" t="n">
        <v>9398710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249</v>
      </c>
      <c r="C19" s="6" t="inlineStr">
        <is>
          <t>Altitud máxima (msnm)</t>
        </is>
      </c>
      <c r="D19" s="7" t="n">
        <v>525</v>
      </c>
      <c r="E19" s="8" t="n"/>
      <c r="F19" s="8" t="n"/>
    </row>
    <row r="20">
      <c r="A20" s="6" t="inlineStr">
        <is>
          <t>Amplitud altitudinal (m)</t>
        </is>
      </c>
      <c r="B20" s="7" t="n">
        <v>276</v>
      </c>
      <c r="C20" s="6" t="inlineStr">
        <is>
          <t>Piso altitudinal dominante</t>
        </is>
      </c>
      <c r="D20" s="7" t="inlineStr">
        <is>
          <t>&lt;1000 m (Yunga)</t>
        </is>
      </c>
      <c r="E20" s="8" t="n"/>
      <c r="F20" s="8" t="n"/>
    </row>
    <row r="21">
      <c r="A21" s="6" t="inlineStr">
        <is>
          <t>Pendiente promedio (%)</t>
        </is>
      </c>
      <c r="B21" s="7" t="n">
        <v>15.53</v>
      </c>
      <c r="C21" s="6" t="inlineStr">
        <is>
          <t>Pendiente promedio (grados)</t>
        </is>
      </c>
      <c r="D21" s="7" t="n">
        <v>8.800000000000001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0.3553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(54.60 %)</t>
        </is>
      </c>
      <c r="E29" s="8" t="n"/>
      <c r="F29" s="8" t="n"/>
    </row>
    <row r="30">
      <c r="A30" s="6" t="inlineStr">
        <is>
          <t>Superficie clasificada NDVI 2025 (ha)</t>
        </is>
      </c>
      <c r="B30" s="7" t="n">
        <v>279.766</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200 ha de 279.68 ha del bloque (71.5%); el 28.5% restante no fue asignado a ecosistema en la ficha</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n">
        <v>80</v>
      </c>
      <c r="E35" s="8" t="n"/>
      <c r="F35" s="8" t="n"/>
    </row>
    <row r="36">
      <c r="A36" s="6" t="inlineStr">
        <is>
          <t>Suelo desnudo — campo (%)</t>
        </is>
      </c>
      <c r="B36" s="7" t="n">
        <v>10</v>
      </c>
      <c r="C36" s="6" t="inlineStr">
        <is>
          <t>Regeneración natural</t>
        </is>
      </c>
      <c r="D36" s="7" t="inlineStr">
        <is>
          <t>Por determinar</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7</v>
      </c>
      <c r="C38" s="6" t="inlineStr">
        <is>
          <t>Estado sanitario</t>
        </is>
      </c>
      <c r="D38" s="7" t="inlineStr">
        <is>
          <t>Por determinar</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2026-08-04</t>
        </is>
      </c>
      <c r="E41" s="8" t="n"/>
      <c r="F41" s="8" t="n"/>
    </row>
    <row r="42">
      <c r="A42" s="6" t="inlineStr">
        <is>
          <t>Hora de registro</t>
        </is>
      </c>
      <c r="B42" s="7" t="inlineStr">
        <is>
          <t>15:00 h</t>
        </is>
      </c>
      <c r="C42" s="6" t="inlineStr">
        <is>
          <t>Correlativo de ficha</t>
        </is>
      </c>
      <c r="D42" s="7" t="inlineStr">
        <is>
          <t>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Por determinar</t>
        </is>
      </c>
      <c r="E44" s="8" t="n"/>
      <c r="F44" s="8" t="n"/>
    </row>
    <row r="45">
      <c r="A45" s="6" t="inlineStr">
        <is>
          <t>Estaciones fotográficas georreferenciadas</t>
        </is>
      </c>
      <c r="B45" s="7" t="n">
        <v>0</v>
      </c>
      <c r="C45" s="6" t="inlineStr">
        <is>
          <t>Modalidad de acceso</t>
        </is>
      </c>
      <c r="D45" s="7" t="inlineStr">
        <is>
          <t>Vehicular + caminata</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el formato de campo</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Media</t>
        </is>
      </c>
      <c r="C50" s="6" t="inlineStr">
        <is>
          <t>Zona de recarga hídrica</t>
        </is>
      </c>
      <c r="D50" s="7" t="inlineStr">
        <is>
          <t>Por determinar</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M20B1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0.355329</v>
      </c>
      <c r="C15" s="17" t="inlineStr">
        <is>
          <t>—</t>
        </is>
      </c>
      <c r="D15" s="17" t="inlineStr">
        <is>
          <t>Vigor muy bajo · clase 0.2650 - 0.3813</t>
        </is>
      </c>
      <c r="E15" s="17" t="inlineStr">
        <is>
          <t>BAJO umbral 0.4976</t>
        </is>
      </c>
    </row>
    <row r="17" ht="72" customHeight="1">
      <c r="A17" s="9" t="inlineStr">
        <is>
          <t>NOTA METODOLÓGICA. La media del MSAVI 2024 del bloque (0.355329)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25.0792</v>
      </c>
      <c r="C21" s="19" t="n">
        <v>8.960000000000001</v>
      </c>
      <c r="D21" s="11" t="inlineStr">
        <is>
          <t>Dosel continuo, matorral denso o mosaico agroforestal</t>
        </is>
      </c>
      <c r="E21" s="11" t="inlineStr"/>
    </row>
    <row r="22">
      <c r="A22" s="12" t="inlineStr">
        <is>
          <t>Vegetación mediana</t>
        </is>
      </c>
      <c r="B22" s="20" t="n">
        <v>152.7429</v>
      </c>
      <c r="C22" s="21" t="n">
        <v>54.6</v>
      </c>
      <c r="D22" s="13" t="inlineStr">
        <is>
          <t>Pastizal cultivado, matorral ralo, parcelas agrícolas</t>
        </is>
      </c>
      <c r="E22" s="13" t="inlineStr"/>
    </row>
    <row r="23">
      <c r="A23" s="7" t="inlineStr">
        <is>
          <t>Vegetación ligera</t>
        </is>
      </c>
      <c r="B23" s="18" t="n">
        <v>100.3404</v>
      </c>
      <c r="C23" s="19" t="n">
        <v>35.87</v>
      </c>
      <c r="D23" s="11" t="inlineStr">
        <is>
          <t>Cobertura discontinua, suelo parcialmente expuesto</t>
        </is>
      </c>
      <c r="E23" s="11" t="inlineStr"/>
    </row>
    <row r="24">
      <c r="A24" s="12" t="inlineStr">
        <is>
          <t>Tierra desnuda</t>
        </is>
      </c>
      <c r="B24" s="20" t="n">
        <v>1.6031</v>
      </c>
      <c r="C24" s="21" t="n">
        <v>0.57</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279.68</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8.96 % del polígono clasificado como «Vegetación alta» por el NDVI 2025; la observación de campo corresponde a una parcela o recorrido puntual y no es estadísticamente representativa de las 279.680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M20B1</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638996</v>
      </c>
      <c r="D10" s="26" t="n">
        <v>9399186</v>
      </c>
      <c r="E10" s="11" t="n">
        <v>2250.9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641196</v>
      </c>
      <c r="C13" s="6" t="inlineStr">
        <is>
          <t>Centroide del bloque — UTM NORTE (m)</t>
        </is>
      </c>
      <c r="D13" s="7" t="n">
        <v>9398710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9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No se registran indicadores de inestabilidad de laderas: las cinco variables evaluadas (afloramientos rocosos, escarpes, reptación, deslizamientos y remociones en masa) fueron marcadas como "No".</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C1076-Q9585 — BLOQUE M20B1</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M20B1</t>
        </is>
      </c>
      <c r="B10" s="27" t="n">
        <v>279.68</v>
      </c>
      <c r="C10" s="28" t="n">
        <v>96.91</v>
      </c>
      <c r="D10" s="15" t="inlineStr">
        <is>
          <t>249 – 525</t>
        </is>
      </c>
      <c r="E10" s="15" t="n">
        <v>276</v>
      </c>
      <c r="F10" s="15" t="n">
        <v>15.53</v>
      </c>
      <c r="G10" s="29" t="n">
        <v>0.3553</v>
      </c>
      <c r="H10" s="28" t="n">
        <v>8.960000000000001</v>
      </c>
    </row>
    <row r="11">
      <c r="A11" s="12" t="inlineStr">
        <is>
          <t>81</t>
        </is>
      </c>
      <c r="B11" s="30" t="n">
        <v>8.93</v>
      </c>
      <c r="C11" s="21" t="n">
        <v>3.09</v>
      </c>
      <c r="D11" s="13" t="inlineStr">
        <is>
          <t>272 – 371</t>
        </is>
      </c>
      <c r="E11" s="13" t="n">
        <v>99</v>
      </c>
      <c r="F11" s="13" t="n">
        <v>16.05</v>
      </c>
      <c r="G11" s="20" t="n">
        <v>0.2747</v>
      </c>
      <c r="H11" s="21" t="n">
        <v>0</v>
      </c>
    </row>
    <row r="12">
      <c r="A12" s="16" t="inlineStr">
        <is>
          <t>TOTAL / PROMEDIO</t>
        </is>
      </c>
      <c r="B12" s="31">
        <f>SUM(B10:B11)</f>
        <v/>
      </c>
      <c r="C12" s="23">
        <f>SUM(C10:C11)</f>
        <v/>
      </c>
      <c r="D12" s="17" t="inlineStr">
        <is>
          <t>249 – 525</t>
        </is>
      </c>
      <c r="E12" s="17" t="inlineStr"/>
      <c r="F12" s="17">
        <f>ROUND(AVERAGE(F10:F11),2)</f>
        <v/>
      </c>
      <c r="G12" s="22">
        <f>ROUND(AVERAGE(G10:G11),4)</f>
        <v/>
      </c>
      <c r="H12" s="23">
        <f>ROUND(AVERAGE(H10:H11),2)</f>
        <v/>
      </c>
    </row>
    <row r="14" ht="84" customHeight="1">
      <c r="A14" s="9" t="inlineStr">
        <is>
          <t>LECTURA INTRAMICROCUENCA. El bloque M20B1 ocupa el puesto 1 de 2 por superficie dentro de la microcuenca C1076-Q9585 (96.91 % de las 288.61 ha preliminares de la microcuenca). Su pendiente promedio (15.53 %, clase «15-25% (Fuert. inclinado)») es la 1.ª más baja de 2 y se sitúa por debajo del promedio de la microcuenca (15.79 %). Su MSAVI 2024 (0.3553) es el 1.º de 2 y queda por encima del promedio local (0.3150). Amplitud altitudinal del bloque: 276 m (249–525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M20B1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(valor por defecto de la plantilla; el catálogo asigna al bloque la microcuenca C1076-Q9585)»; el catálogo maestro V5/V6 asigna el bloque a «C1076-Q9585»</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(638996 E / 9399186 N) dista 2,251 m del centroide de catálogo (641196 E / 9398710 N), distancia incompatible con la superficie del bloque (279.68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(279.766 ha) coincide con la de catálogo (279.68 ha) dentro del ±2 % (+0.03 %)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15.53 %,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80 % de cobertura vegetal en campo; el NDVI mediana 2025 clasifica 99.43 %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7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«Las Huacas»; el cruce INEI-Bloques V5 identifica 1 centro(s) poblado(s) en el bloque: LAS HUACAS</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F-DT-01</t>
        </is>
      </c>
      <c r="C19" s="34" t="inlineStr">
        <is>
          <t>La microcuenca declarada (C1076-Q9584) corresponde al valor por defecto de la plantilla; el catálogo asigna al bloque la microcuenca C1076-Q9585</t>
        </is>
      </c>
      <c r="D19" s="33" t="inlineStr">
        <is>
          <t>SUSTANTIVA</t>
        </is>
      </c>
      <c r="E19" s="34" t="inlineStr">
        <is>
          <t>Se conserva la declaración de la ficha y se anota el valor del catálogo; corresponde ratificar en gabinete</t>
        </is>
      </c>
    </row>
    <row r="20" ht="48" customHeight="1">
      <c r="A20" s="32" t="inlineStr">
        <is>
          <t>D-11</t>
        </is>
      </c>
      <c r="B20" s="32" t="inlineStr">
        <is>
          <t>F-DT-02</t>
        </is>
      </c>
      <c r="C20" s="32" t="inlineStr">
        <is>
          <t>ANEXO 01 sin ficha F-DT-02 firmada</t>
        </is>
      </c>
      <c r="D20" s="33" t="inlineStr">
        <is>
          <t>SUSTANTIVA</t>
        </is>
      </c>
      <c r="E20" s="32" t="inlineStr">
        <is>
          <t>Los datos de erosión provienen de la narrativa del informe; requiere levantamiento de la ficha firmada</t>
        </is>
      </c>
    </row>
    <row r="21" ht="48" customHeight="1">
      <c r="A21" s="34" t="inlineStr">
        <is>
          <t>D-12</t>
        </is>
      </c>
      <c r="B21" s="34" t="inlineStr">
        <is>
          <t>F-DT-02 / F-DT-04</t>
        </is>
      </c>
      <c r="C21" s="34" t="inlineStr">
        <is>
          <t>D-06: la F-DT-04 declara densidad de cárcavas = 1 N.°/ha mientras la narrativa indica que "no se identifican cárcavas desarrolladas"</t>
        </is>
      </c>
      <c r="D21" s="33" t="inlineStr">
        <is>
          <t>SUSTANTIVA</t>
        </is>
      </c>
      <c r="E21" s="34" t="inlineStr">
        <is>
          <t>Se adopta 0 cárcavas (observación directa); corresponde verificación de campo</t>
        </is>
      </c>
    </row>
    <row r="22" ht="48" customHeight="1">
      <c r="A22" s="32" t="inlineStr">
        <is>
          <t>D-13</t>
        </is>
      </c>
      <c r="B22" s="32" t="inlineStr">
        <is>
          <t>F-DT-03</t>
        </is>
      </c>
      <c r="C22" s="32" t="inlineStr">
        <is>
          <t>D-05: altura dominante 8 m y DAP 30 cm son inconsistentes con la descripción narrativa (&lt;8 m y &lt;20 cm)</t>
        </is>
      </c>
      <c r="D22" s="33" t="inlineStr">
        <is>
          <t>SUSTANTIVA</t>
        </is>
      </c>
      <c r="E22" s="32" t="inlineStr">
        <is>
          <t>Se conservan ambos registros sin promediar; corresponde re-medición en parcela</t>
        </is>
      </c>
    </row>
    <row r="23" ht="48" customHeight="1">
      <c r="A23" s="34" t="inlineStr">
        <is>
          <t>D-14</t>
        </is>
      </c>
      <c r="B23" s="34" t="inlineStr">
        <is>
          <t>F-DT-03</t>
        </is>
      </c>
      <c r="C23" s="34" t="inlineStr">
        <is>
          <t>Sección 5 de la ficha en blanco; sólo 7 taxones de los 15 previstos</t>
        </is>
      </c>
      <c r="D23" s="15" t="inlineStr">
        <is>
          <t>NO SUSTANTIVA</t>
        </is>
      </c>
      <c r="E23" s="34" t="inlineStr">
        <is>
          <t>Se declara como registro incompleto</t>
        </is>
      </c>
    </row>
    <row r="24" ht="48" customHeight="1">
      <c r="A24" s="32" t="inlineStr">
        <is>
          <t>D-15</t>
        </is>
      </c>
      <c r="B24" s="32" t="inlineStr">
        <is>
          <t>F-DT-05</t>
        </is>
      </c>
      <c r="C24" s="32" t="inlineStr">
        <is>
          <t>ANEXO 01 sin ficha F-DT-05; inventario hídrico vacío</t>
        </is>
      </c>
      <c r="D24" s="33" t="inlineStr">
        <is>
          <t>SUSTANTIVA</t>
        </is>
      </c>
      <c r="E24" s="32" t="inlineStr">
        <is>
          <t>Sin registro de fuentes de agua; requiere levantamiento complementario</t>
        </is>
      </c>
    </row>
    <row r="25" ht="48" customHeight="1">
      <c r="A25" s="34" t="inlineStr">
        <is>
          <t>D-16</t>
        </is>
      </c>
      <c r="B25" s="34" t="inlineStr">
        <is>
          <t>F-DT-04</t>
        </is>
      </c>
      <c r="C25" s="34" t="inlineStr">
        <is>
          <t>La ficha recomienda redelimitar el bloque priorizando las áreas próximas a los centros poblados</t>
        </is>
      </c>
      <c r="D25" s="15" t="inlineStr">
        <is>
          <t>NO SUSTANTIVA</t>
        </is>
      </c>
      <c r="E25" s="34" t="inlineStr">
        <is>
          <t>Se eleva la recomendación a la Subdirección de Estudios de Inversión</t>
        </is>
      </c>
    </row>
    <row r="27">
      <c r="A27" s="16" t="inlineStr">
        <is>
          <t>RESUMEN</t>
        </is>
      </c>
      <c r="B27" s="17" t="inlineStr">
        <is>
          <t>16 verificaciones</t>
        </is>
      </c>
      <c r="C27" s="17" t="inlineStr">
        <is>
          <t>CONFORME: 2 · NO SUSTANTIVA: 4 · SUSTANTIVA: 10</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M20B1 — IN Piura</dc:title>
  <dc:subject>Diagnóstico Territorial por bloque de intervención</dc:subject>
  <dcterms:created xsi:type="dcterms:W3CDTF">2026-09-08T02:45:05Z</dcterms:created>
  <dcterms:modified xsi:type="dcterms:W3CDTF">2026-09-08T02:45:06Z</dcterms:modified>
</cp:coreProperties>
</file>