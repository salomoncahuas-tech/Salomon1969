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M20B1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M20B1</t>
        </is>
      </c>
      <c r="C9" s="6" t="inlineStr">
        <is>
          <t>Microcuenca (catálogo)</t>
        </is>
      </c>
      <c r="D9" s="7" t="inlineStr">
        <is>
          <t>C1076-Q9585</t>
        </is>
      </c>
      <c r="E9" s="8" t="n"/>
      <c r="F9" s="8" t="n"/>
    </row>
    <row r="10">
      <c r="A10" s="6" t="inlineStr">
        <is>
          <t>Zona de planificación</t>
        </is>
      </c>
      <c r="B10" s="7" t="inlineStr">
        <is>
          <t>Z12</t>
        </is>
      </c>
      <c r="C10" s="6" t="inlineStr">
        <is>
          <t>Microcuenca declarada en ficha DT</t>
        </is>
      </c>
      <c r="D10" s="7" t="inlineStr">
        <is>
          <t>C1076-Q9584 (valor por defecto de la plantilla; el catálogo asigna al bloque la microcuenca 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Las Huacas</t>
        </is>
      </c>
      <c r="C13" s="6" t="inlineStr">
        <is>
          <t>Comunidad campesina</t>
        </is>
      </c>
      <c r="D13" s="7" t="inlineStr">
        <is>
          <t>No consignada</t>
        </is>
      </c>
      <c r="E13" s="8" t="n"/>
      <c r="F13" s="8" t="n"/>
    </row>
    <row r="14">
      <c r="A14" s="6" t="inlineStr">
        <is>
          <t>Superficie de catálogo (V5/V6), ha</t>
        </is>
      </c>
      <c r="B14" s="7" t="n">
        <v>279.68</v>
      </c>
      <c r="C14" s="6" t="inlineStr">
        <is>
          <t>Fuente de superficie</t>
        </is>
      </c>
      <c r="D14" s="7" t="inlineStr">
        <is>
          <t>Catálogo maestro Bloques V5/V6</t>
        </is>
      </c>
      <c r="E14" s="8" t="n"/>
      <c r="F14" s="8" t="n"/>
    </row>
    <row r="15">
      <c r="A15" s="6" t="inlineStr">
        <is>
          <t>Centroide UTM ESTE (m)</t>
        </is>
      </c>
      <c r="B15" s="7" t="n">
        <v>641196</v>
      </c>
      <c r="C15" s="6" t="inlineStr">
        <is>
          <t>Centroide UTM NORTE (m)</t>
        </is>
      </c>
      <c r="D15" s="7" t="n">
        <v>9398710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249</v>
      </c>
      <c r="C19" s="6" t="inlineStr">
        <is>
          <t>Altitud máxima (msnm)</t>
        </is>
      </c>
      <c r="D19" s="7" t="n">
        <v>525</v>
      </c>
      <c r="E19" s="8" t="n"/>
      <c r="F19" s="8" t="n"/>
    </row>
    <row r="20">
      <c r="A20" s="6" t="inlineStr">
        <is>
          <t>Amplitud altitudinal (m)</t>
        </is>
      </c>
      <c r="B20" s="7" t="n">
        <v>276</v>
      </c>
      <c r="C20" s="6" t="inlineStr">
        <is>
          <t>Piso altitudinal dominante</t>
        </is>
      </c>
      <c r="D20" s="7" t="inlineStr">
        <is>
          <t>&lt;1000 m (Yunga)</t>
        </is>
      </c>
      <c r="E20" s="8" t="n"/>
      <c r="F20" s="8" t="n"/>
    </row>
    <row r="21">
      <c r="A21" s="6" t="inlineStr">
        <is>
          <t>Pendiente promedio (%)</t>
        </is>
      </c>
      <c r="B21" s="7" t="n">
        <v>15.53</v>
      </c>
      <c r="C21" s="6" t="inlineStr">
        <is>
          <t>Pendiente promedio (grados)</t>
        </is>
      </c>
      <c r="D21" s="7" t="n">
        <v>8.800000000000001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0.3553</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97.34 % del bloque BAJO el umbral (272.240 ha de 279.680 ha)</t>
        </is>
      </c>
      <c r="C29" s="6" t="inlineStr">
        <is>
          <t>NDVI mediana 2025 — clase modal</t>
        </is>
      </c>
      <c r="D29" s="7" t="inlineStr">
        <is>
          <t>Vegetación mediana (54.60 %)</t>
        </is>
      </c>
      <c r="E29" s="8" t="n"/>
      <c r="F29" s="8" t="n"/>
    </row>
    <row r="30">
      <c r="A30" s="6" t="inlineStr">
        <is>
          <t>MSAVI 2024 — superficie BAJO el umbral 0.4976 (ha)</t>
        </is>
      </c>
      <c r="B30" s="7" t="n">
        <v>272.24</v>
      </c>
      <c r="C30" s="6" t="inlineStr">
        <is>
          <t>MSAVI 2024 — % del bloque BAJO el umbral</t>
        </is>
      </c>
      <c r="D30" s="7" t="n">
        <v>97.34</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(M20B1.png)</t>
        </is>
      </c>
      <c r="E31" s="8" t="n"/>
      <c r="F31" s="8" t="n"/>
    </row>
    <row r="32" ht="18" customHeight="1">
      <c r="A32" s="6" t="inlineStr">
        <is>
          <t>Superficie clasificada NDVI 2025 (ha)</t>
        </is>
      </c>
      <c r="B32" s="7" t="n">
        <v>279.766</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200 ha de 279.68 ha del bloque (71.5%); el 28.5% restante no fue asignado a ecosistema en la ficha</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Bosque denso (&gt;70%)</t>
        </is>
      </c>
      <c r="C37" s="6" t="inlineStr">
        <is>
          <t>Cobertura vegetal total — campo (%)</t>
        </is>
      </c>
      <c r="D37" s="7" t="n">
        <v>80</v>
      </c>
      <c r="E37" s="8" t="n"/>
      <c r="F37" s="8" t="n"/>
    </row>
    <row r="38">
      <c r="A38" s="6" t="inlineStr">
        <is>
          <t>Suelo desnudo — campo (%)</t>
        </is>
      </c>
      <c r="B38" s="7" t="n">
        <v>10</v>
      </c>
      <c r="C38" s="6" t="inlineStr">
        <is>
          <t>Regeneración natural</t>
        </is>
      </c>
      <c r="D38" s="7" t="inlineStr">
        <is>
          <t>Por determinar</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7</v>
      </c>
      <c r="C40" s="6" t="inlineStr">
        <is>
          <t>Estado sanitario</t>
        </is>
      </c>
      <c r="D40" s="7" t="inlineStr">
        <is>
          <t>Por determinar</t>
        </is>
      </c>
      <c r="E40" s="8" t="n"/>
      <c r="F40" s="8" t="n"/>
    </row>
    <row r="41"/>
    <row r="42">
      <c r="A42" s="5" t="inlineStr">
        <is>
          <t>5. RESPONSABLE Y MODALIDAD DE LA EVALUACIÓN</t>
        </is>
      </c>
    </row>
    <row r="43">
      <c r="A43" s="6" t="inlineStr">
        <is>
          <t>Responsable de la evaluación</t>
        </is>
      </c>
      <c r="B43" s="7" t="inlineStr">
        <is>
          <t>Ing. Juan Domínguez</t>
        </is>
      </c>
      <c r="C43" s="6" t="inlineStr">
        <is>
          <t>Fecha de evaluación</t>
        </is>
      </c>
      <c r="D43" s="7" t="inlineStr">
        <is>
          <t>2026-08-04</t>
        </is>
      </c>
      <c r="E43" s="8" t="n"/>
      <c r="F43" s="8" t="n"/>
    </row>
    <row r="44">
      <c r="A44" s="6" t="inlineStr">
        <is>
          <t>Hora de registro</t>
        </is>
      </c>
      <c r="B44" s="7" t="inlineStr">
        <is>
          <t>15:00 h</t>
        </is>
      </c>
      <c r="C44" s="6" t="inlineStr">
        <is>
          <t>Correlativo de ficha</t>
        </is>
      </c>
      <c r="D44" s="7" t="inlineStr">
        <is>
          <t>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Por determinar</t>
        </is>
      </c>
      <c r="E46" s="8" t="n"/>
      <c r="F46" s="8" t="n"/>
    </row>
    <row r="47" ht="18" customHeight="1">
      <c r="A47" s="6" t="inlineStr">
        <is>
          <t>Estaciones fotográficas georreferenciadas</t>
        </is>
      </c>
      <c r="B47" s="7" t="n">
        <v>0</v>
      </c>
      <c r="C47" s="6" t="inlineStr">
        <is>
          <t>Modalidad de acceso</t>
        </is>
      </c>
      <c r="D47" s="7" t="inlineStr">
        <is>
          <t>Vehicular + caminata</t>
        </is>
      </c>
      <c r="E47" s="8" t="n"/>
      <c r="F47" s="8" t="n"/>
    </row>
    <row r="48"/>
    <row r="49">
      <c r="A49" s="5" t="inlineStr">
        <is>
          <t>6. SÍNTESIS PARA LA GESTIÓN DEL RIESGO EN CONTEXTO DE CAMBIO CLIMÁTICO</t>
        </is>
      </c>
    </row>
    <row r="50">
      <c r="A50" s="6" t="inlineStr">
        <is>
          <t>Causa subyacente principal</t>
        </is>
      </c>
      <c r="B50" s="7" t="inlineStr">
        <is>
          <t>No consignada en el formato de campo</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Media</t>
        </is>
      </c>
      <c r="C52" s="6" t="inlineStr">
        <is>
          <t>Zona de recarga hídrica</t>
        </is>
      </c>
      <c r="D52" s="7" t="inlineStr">
        <is>
          <t>Por determinar</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6" t="n"/>
      <c r="C56" s="36" t="n"/>
      <c r="D56" s="36" t="n"/>
      <c r="E56" s="36" t="n"/>
      <c r="F56" s="37"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M20B1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0.2517</v>
      </c>
      <c r="C10" s="19" t="n">
        <v>0.09</v>
      </c>
      <c r="D10" s="11" t="inlineStr">
        <is>
          <t>Vigor alto</t>
        </is>
      </c>
      <c r="E10" s="11" t="inlineStr">
        <is>
          <t>Sobre umbral</t>
        </is>
      </c>
    </row>
    <row r="11">
      <c r="A11" s="12" t="inlineStr">
        <is>
          <t>0.4976 - 0.6139</t>
        </is>
      </c>
      <c r="B11" s="20" t="n">
        <v>7.1878</v>
      </c>
      <c r="C11" s="21" t="n">
        <v>2.57</v>
      </c>
      <c r="D11" s="13" t="inlineStr">
        <is>
          <t>Vigor moderado</t>
        </is>
      </c>
      <c r="E11" s="13" t="inlineStr">
        <is>
          <t>Sobre umbral</t>
        </is>
      </c>
    </row>
    <row r="12">
      <c r="A12" s="7" t="inlineStr">
        <is>
          <t>0.3813 - 0.4976</t>
        </is>
      </c>
      <c r="B12" s="18" t="n">
        <v>79.4012</v>
      </c>
      <c r="C12" s="19" t="n">
        <v>28.39</v>
      </c>
      <c r="D12" s="11" t="inlineStr">
        <is>
          <t>Vigor bajo</t>
        </is>
      </c>
      <c r="E12" s="11" t="inlineStr">
        <is>
          <t>BAJO umbral 0.4976</t>
        </is>
      </c>
    </row>
    <row r="13">
      <c r="A13" s="14" t="inlineStr">
        <is>
          <t>0.2650 - 0.3813</t>
        </is>
      </c>
      <c r="B13" s="29" t="n">
        <v>177.0094</v>
      </c>
      <c r="C13" s="28" t="n">
        <v>63.29</v>
      </c>
      <c r="D13" s="15" t="inlineStr">
        <is>
          <t>Vigor muy bajo</t>
        </is>
      </c>
      <c r="E13" s="15" t="inlineStr">
        <is>
          <t>BAJO umbral 0.4976</t>
        </is>
      </c>
    </row>
    <row r="14">
      <c r="A14" s="7" t="inlineStr">
        <is>
          <t>&lt;= 0.2650</t>
        </is>
      </c>
      <c r="B14" s="18" t="n">
        <v>15.8299</v>
      </c>
      <c r="C14" s="19" t="n">
        <v>5.66</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0.355329</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6" t="n"/>
      <c r="C18" s="36" t="n"/>
      <c r="D18" s="36" t="n"/>
      <c r="E18" s="37"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25.0792</v>
      </c>
      <c r="C22" s="19" t="n">
        <v>8.960000000000001</v>
      </c>
      <c r="D22" s="11" t="inlineStr">
        <is>
          <t>Dosel continuo, matorral denso o mosaico agroforestal</t>
        </is>
      </c>
      <c r="E22" s="11" t="inlineStr"/>
    </row>
    <row r="23">
      <c r="A23" s="12" t="inlineStr">
        <is>
          <t>Vegetación mediana</t>
        </is>
      </c>
      <c r="B23" s="20" t="n">
        <v>152.7429</v>
      </c>
      <c r="C23" s="21" t="n">
        <v>54.6</v>
      </c>
      <c r="D23" s="13" t="inlineStr">
        <is>
          <t>Pastizal cultivado, matorral ralo, parcelas agrícolas</t>
        </is>
      </c>
      <c r="E23" s="13" t="inlineStr"/>
    </row>
    <row r="24">
      <c r="A24" s="7" t="inlineStr">
        <is>
          <t>Vegetación ligera</t>
        </is>
      </c>
      <c r="B24" s="18" t="n">
        <v>100.3404</v>
      </c>
      <c r="C24" s="19" t="n">
        <v>35.87</v>
      </c>
      <c r="D24" s="11" t="inlineStr">
        <is>
          <t>Cobertura discontinua, suelo parcialmente expuesto</t>
        </is>
      </c>
      <c r="E24" s="11" t="inlineStr"/>
    </row>
    <row r="25">
      <c r="A25" s="12" t="inlineStr">
        <is>
          <t>Tierra desnuda</t>
        </is>
      </c>
      <c r="B25" s="20" t="n">
        <v>1.6031</v>
      </c>
      <c r="C25" s="21" t="n">
        <v>0.57</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279.68</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8.96 % del polígono clasificado como «Vegetación alta» por el NDVI 2025; la observación de campo corresponde a una parcela o recorrido puntual y no es estadísticamente representativa de las 279.680 ha del bloque.</t>
        </is>
      </c>
      <c r="B29" s="36" t="n"/>
      <c r="C29" s="36" t="n"/>
      <c r="D29" s="36" t="n"/>
      <c r="E29" s="37"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M20B1</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638996</v>
      </c>
      <c r="D10" s="26" t="n">
        <v>9399186</v>
      </c>
      <c r="E10" s="11" t="n">
        <v>2250.9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641196</v>
      </c>
      <c r="C13" s="6" t="inlineStr">
        <is>
          <t>Centroide del bloque — UTM NORTE (m)</t>
        </is>
      </c>
      <c r="D13" s="7" t="n">
        <v>9398710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9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registran indicadores de inestabilidad de laderas: las cinco variables evaluadas (afloramientos rocosos, escarpes, reptación, deslizamientos y remociones en masa) fueron marcadas como "No".</t>
        </is>
      </c>
      <c r="B16" s="36" t="n"/>
      <c r="C16" s="36" t="n"/>
      <c r="D16" s="36" t="n"/>
      <c r="E16" s="36" t="n"/>
      <c r="F16" s="36" t="n"/>
      <c r="G16" s="37"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M20B1</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M20B1</t>
        </is>
      </c>
      <c r="B10" s="27" t="n">
        <v>279.68</v>
      </c>
      <c r="C10" s="28" t="n">
        <v>96.91</v>
      </c>
      <c r="D10" s="15" t="inlineStr">
        <is>
          <t>249 – 525</t>
        </is>
      </c>
      <c r="E10" s="15" t="n">
        <v>276</v>
      </c>
      <c r="F10" s="15" t="n">
        <v>15.53</v>
      </c>
      <c r="G10" s="29" t="n">
        <v>0.3553</v>
      </c>
      <c r="H10" s="28" t="n">
        <v>8.960000000000001</v>
      </c>
    </row>
    <row r="11">
      <c r="A11" s="12" t="inlineStr">
        <is>
          <t>81</t>
        </is>
      </c>
      <c r="B11" s="30" t="n">
        <v>8.93</v>
      </c>
      <c r="C11" s="21" t="n">
        <v>3.09</v>
      </c>
      <c r="D11" s="13" t="inlineStr">
        <is>
          <t>272 – 371</t>
        </is>
      </c>
      <c r="E11" s="13" t="n">
        <v>99</v>
      </c>
      <c r="F11" s="13" t="n">
        <v>16.05</v>
      </c>
      <c r="G11" s="20" t="n">
        <v>0.2747</v>
      </c>
      <c r="H11" s="21" t="n">
        <v>0</v>
      </c>
    </row>
    <row r="12">
      <c r="A12" s="16" t="inlineStr">
        <is>
          <t>TOTAL / PROMEDIO</t>
        </is>
      </c>
      <c r="B12" s="31">
        <f>SUM(B10:B11)</f>
        <v/>
      </c>
      <c r="C12" s="23">
        <f>SUM(C10:C11)</f>
        <v/>
      </c>
      <c r="D12" s="17" t="inlineStr">
        <is>
          <t>249 – 525</t>
        </is>
      </c>
      <c r="E12" s="17" t="inlineStr"/>
      <c r="F12" s="17">
        <f>ROUND(AVERAGE(F10:F11),2)</f>
        <v/>
      </c>
      <c r="G12" s="22">
        <f>ROUND(AVERAGE(G10:G11),4)</f>
        <v/>
      </c>
      <c r="H12" s="23">
        <f>ROUND(AVERAGE(H10:H11),2)</f>
        <v/>
      </c>
    </row>
    <row r="14" ht="84" customHeight="1">
      <c r="A14" s="9" t="inlineStr">
        <is>
          <t>LECTURA INTRAMICROCUENCA. El bloque M20B1 ocupa el puesto 1 de 2 por superficie dentro de la microcuenca C1076-Q9585 (96.91 % de las 288.61 ha preliminares de la microcuenca). Su pendiente promedio (15.53 %, clase «15-25% (Fuert. inclinado)») es la 1.ª más baja de 2 y se sitúa por debajo del promedio de la microcuenca (15.79 %). Su MSAVI 2024 (0.3553) es el 1.º de 2 y queda por encima del promedio local (0.3150). Amplitud altitudinal del bloque: 276 m (249–525 msnm). El cuadro conserva todos los bloques catalogados en la microcuenca, incluidos los descartados en el tamizaje, para referencia del conjunto. Los bloques sin ficha DT figuran con sus parámetros de gabinete.</t>
        </is>
      </c>
      <c r="B14" s="36" t="n"/>
      <c r="C14" s="36" t="n"/>
      <c r="D14" s="36" t="n"/>
      <c r="E14" s="36" t="n"/>
      <c r="F14" s="36" t="n"/>
      <c r="G14" s="36" t="n"/>
      <c r="H14" s="37"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6" s="36" t="n"/>
      <c r="C16" s="36" t="n"/>
      <c r="D16" s="36" t="n"/>
      <c r="E16" s="36" t="n"/>
      <c r="F16" s="36" t="n"/>
      <c r="G16" s="36" t="n"/>
      <c r="H16" s="37" t="n"/>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M20B1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(valor por defecto de la plantilla; el catálogo asigna al bloque la microcuenca C1076-Q9585)»; el catálogo maestro V5/V6 asigna el bloque a «C1076-Q9585»</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(638996 E / 9399186 N) dista 2,251 m del centroide de catálogo (641196 E / 9398710 N), distancia incompatible con la superficie del bloque (279.68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(279.766 ha) coincide con la de catálogo (279.68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15.53 %,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80 % de cobertura vegetal en campo; el NDVI mediana 2025 clasifica 99.43 %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«Las Huacas»; el cruce INEI-Bloques V5 identifica 1 centro(s) poblado(s) en el bloque: LAS HUACAS</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F-DT-01</t>
        </is>
      </c>
      <c r="C19" s="34" t="inlineStr">
        <is>
          <t>La microcuenca declarada (C1076-Q9584) corresponde al valor por defecto de la plantilla; el catálogo asigna al bloque la microcuenca C1076-Q9585</t>
        </is>
      </c>
      <c r="D19" s="33" t="inlineStr">
        <is>
          <t>SUSTANTIVA</t>
        </is>
      </c>
      <c r="E19" s="34" t="inlineStr">
        <is>
          <t>Se conserva la declaración de la ficha y se anota el valor del catálogo; corresponde ratificar en gabinete</t>
        </is>
      </c>
    </row>
    <row r="20" ht="48" customHeight="1">
      <c r="A20" s="32" t="inlineStr">
        <is>
          <t>D-11</t>
        </is>
      </c>
      <c r="B20" s="32" t="inlineStr">
        <is>
          <t>F-DT-02</t>
        </is>
      </c>
      <c r="C20" s="32" t="inlineStr">
        <is>
          <t>ANEXO 01 sin ficha F-DT-02 firmada</t>
        </is>
      </c>
      <c r="D20" s="33" t="inlineStr">
        <is>
          <t>SUSTANTIVA</t>
        </is>
      </c>
      <c r="E20" s="32" t="inlineStr">
        <is>
          <t>Los datos de erosión provienen de la narrativa del informe; requiere levantamiento de la ficha firmada</t>
        </is>
      </c>
    </row>
    <row r="21" ht="48" customHeight="1">
      <c r="A21" s="34" t="inlineStr">
        <is>
          <t>D-12</t>
        </is>
      </c>
      <c r="B21" s="34" t="inlineStr">
        <is>
          <t>F-DT-02 / F-DT-04</t>
        </is>
      </c>
      <c r="C21" s="34" t="inlineStr">
        <is>
          <t>D-06: la F-DT-04 declara densidad de cárcavas = 1 N.°/ha mientras la narrativa indica que "no se identifican cárcavas desarrolladas"</t>
        </is>
      </c>
      <c r="D21" s="33" t="inlineStr">
        <is>
          <t>SUSTANTIVA</t>
        </is>
      </c>
      <c r="E21" s="34" t="inlineStr">
        <is>
          <t>Se adopta 0 cárcavas (observación directa); corresponde verificación de campo</t>
        </is>
      </c>
    </row>
    <row r="22" ht="48" customHeight="1">
      <c r="A22" s="32" t="inlineStr">
        <is>
          <t>D-13</t>
        </is>
      </c>
      <c r="B22" s="32" t="inlineStr">
        <is>
          <t>F-DT-03</t>
        </is>
      </c>
      <c r="C22" s="32" t="inlineStr">
        <is>
          <t>D-05: altura dominante 8 m y DAP 30 cm son inconsistentes con la descripción narrativa (&lt;8 m y &lt;20 cm)</t>
        </is>
      </c>
      <c r="D22" s="33" t="inlineStr">
        <is>
          <t>SUSTANTIVA</t>
        </is>
      </c>
      <c r="E22" s="32" t="inlineStr">
        <is>
          <t>Se conservan ambos registros sin promediar; corresponde re-medición en parcela</t>
        </is>
      </c>
    </row>
    <row r="23" ht="48" customHeight="1">
      <c r="A23" s="34" t="inlineStr">
        <is>
          <t>D-14</t>
        </is>
      </c>
      <c r="B23" s="34" t="inlineStr">
        <is>
          <t>F-DT-03</t>
        </is>
      </c>
      <c r="C23" s="34" t="inlineStr">
        <is>
          <t>Sección 5 de la ficha en blanco; sólo 7 taxones de los 15 previstos</t>
        </is>
      </c>
      <c r="D23" s="15" t="inlineStr">
        <is>
          <t>NO SUSTANTIVA</t>
        </is>
      </c>
      <c r="E23" s="34" t="inlineStr">
        <is>
          <t>Se declara como registro incompleto</t>
        </is>
      </c>
    </row>
    <row r="24" ht="48" customHeight="1">
      <c r="A24" s="32" t="inlineStr">
        <is>
          <t>D-15</t>
        </is>
      </c>
      <c r="B24" s="32" t="inlineStr">
        <is>
          <t>F-DT-05</t>
        </is>
      </c>
      <c r="C24" s="32" t="inlineStr">
        <is>
          <t>ANEXO 01 sin ficha F-DT-05; inventario hídrico vacío</t>
        </is>
      </c>
      <c r="D24" s="33" t="inlineStr">
        <is>
          <t>SUSTANTIVA</t>
        </is>
      </c>
      <c r="E24" s="32" t="inlineStr">
        <is>
          <t>Sin registro de fuentes de agua; requiere levantamiento complementario</t>
        </is>
      </c>
    </row>
    <row r="25" ht="48" customHeight="1">
      <c r="A25" s="34" t="inlineStr">
        <is>
          <t>D-16</t>
        </is>
      </c>
      <c r="B25" s="34" t="inlineStr">
        <is>
          <t>F-DT-04</t>
        </is>
      </c>
      <c r="C25" s="34" t="inlineStr">
        <is>
          <t>La ficha recomienda redelimitar el bloque priorizando las áreas próximas a los centros poblados</t>
        </is>
      </c>
      <c r="D25" s="15" t="inlineStr">
        <is>
          <t>NO SUSTANTIVA</t>
        </is>
      </c>
      <c r="E25" s="34" t="inlineStr">
        <is>
          <t>Se eleva la recomendación a la Subdirección de Estudios de Inversión</t>
        </is>
      </c>
    </row>
    <row r="26">
      <c r="A26" s="34" t="inlineStr">
        <is>
          <t>D-17</t>
        </is>
      </c>
      <c r="B26" s="34" t="inlineStr">
        <is>
          <t>Distribución areal de clases MSAVI 2024</t>
        </is>
      </c>
      <c r="C26" s="34" t="inlineStr">
        <is>
          <t>La hoja «Cobertura MSAVI-NDVI» consignaba «Por determinar» en la distribución areal de clases MSAVI 2024; se incorpora el metrado por clase medido sobre la cartografía temática MSAVI 2024 del bloque: 97.34 % del bloque (272.240 ha) bajo el umbral 0.4976 y 2.66 % sobre el umbral; clase areal dominante «Vigor muy bajo».</t>
        </is>
      </c>
      <c r="D26" s="15" t="inlineStr">
        <is>
          <t>CORREGIDO</t>
        </is>
      </c>
      <c r="E26"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7"/>
    <row r="28">
      <c r="A28" s="16" t="inlineStr">
        <is>
          <t>RESUMEN</t>
        </is>
      </c>
      <c r="B28" s="17" t="inlineStr">
        <is>
          <t>17 verificaciones</t>
        </is>
      </c>
      <c r="C28" s="17" t="inlineStr">
        <is>
          <t>CONFORME: 2 · NO SUSTANTIVA: 4 · SUSTANTIVA: 10 · CORREGIDO: 1</t>
        </is>
      </c>
      <c r="D28" s="17" t="inlineStr"/>
      <c r="E28" s="17" t="inlineStr"/>
    </row>
    <row r="29" ht="60" customHeight="1"/>
    <row r="30">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36" t="n"/>
      <c r="C30" s="36" t="n"/>
      <c r="D30" s="36" t="n"/>
      <c r="E30" s="37"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M20B1 — IN Piura</dc:title>
  <dc:subject>Diagnóstico Territorial por bloque de intervención</dc:subject>
  <dcterms:created xsi:type="dcterms:W3CDTF">2026-09-08T03:39:58Z</dcterms:created>
  <dcterms:modified xsi:type="dcterms:W3CDTF">2026-09-09T14:49:45Z</dcterms:modified>
</cp:coreProperties>
</file>