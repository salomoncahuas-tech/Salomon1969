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10</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10</t>
        </is>
      </c>
      <c r="C9" s="6" t="inlineStr">
        <is>
          <t>Microcuenca (catálogo)</t>
        </is>
      </c>
      <c r="D9" s="7" t="inlineStr">
        <is>
          <t>C1076-Q9593</t>
        </is>
      </c>
      <c r="E9" s="8" t="n"/>
      <c r="F9" s="8" t="n"/>
    </row>
    <row r="10">
      <c r="A10" s="6" t="inlineStr">
        <is>
          <t>Zona de planificación</t>
        </is>
      </c>
      <c r="B10" s="7" t="inlineStr">
        <is>
          <t>Z14</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La Peña · Peña Grande</t>
        </is>
      </c>
      <c r="C13" s="6" t="inlineStr">
        <is>
          <t>Comunidad campesina</t>
        </is>
      </c>
      <c r="D13" s="7" t="inlineStr">
        <is>
          <t>Por verificar</t>
        </is>
      </c>
      <c r="E13" s="8" t="n"/>
      <c r="F13" s="8" t="n"/>
    </row>
    <row r="14">
      <c r="A14" s="6" t="inlineStr">
        <is>
          <t>Superficie de catálogo (V5/V6), ha</t>
        </is>
      </c>
      <c r="B14" s="7" t="n">
        <v>150.21</v>
      </c>
      <c r="C14" s="6" t="inlineStr">
        <is>
          <t>Fuente de superficie</t>
        </is>
      </c>
      <c r="D14" s="7" t="inlineStr">
        <is>
          <t>Catálogo maestro Bloques V5/V6</t>
        </is>
      </c>
      <c r="E14" s="8" t="n"/>
      <c r="F14" s="8" t="n"/>
    </row>
    <row r="15">
      <c r="A15" s="6" t="inlineStr">
        <is>
          <t>Centroide UTM ESTE (m)</t>
        </is>
      </c>
      <c r="B15" s="7" t="n">
        <v>650830</v>
      </c>
      <c r="C15" s="6" t="inlineStr">
        <is>
          <t>Centroide UTM NORTE (m)</t>
        </is>
      </c>
      <c r="D15" s="7" t="n">
        <v>9382303</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912</v>
      </c>
      <c r="C19" s="6" t="inlineStr">
        <is>
          <t>Altitud máxima (msnm)</t>
        </is>
      </c>
      <c r="D19" s="7" t="n">
        <v>1510</v>
      </c>
      <c r="E19" s="8" t="n"/>
      <c r="F19" s="8" t="n"/>
    </row>
    <row r="20">
      <c r="A20" s="6" t="inlineStr">
        <is>
          <t>Amplitud altitudinal (m)</t>
        </is>
      </c>
      <c r="B20" s="7" t="n">
        <v>598</v>
      </c>
      <c r="C20" s="6" t="inlineStr">
        <is>
          <t>Piso altitudinal dominante</t>
        </is>
      </c>
      <c r="D20" s="7" t="inlineStr">
        <is>
          <t>1000-1500 m (Quechua baja)</t>
        </is>
      </c>
      <c r="E20" s="8" t="n"/>
      <c r="F20" s="8" t="n"/>
    </row>
    <row r="21">
      <c r="A21" s="6" t="inlineStr">
        <is>
          <t>Pendiente promedio (%)</t>
        </is>
      </c>
      <c r="B21" s="7" t="n">
        <v>27.39</v>
      </c>
      <c r="C21" s="6" t="inlineStr">
        <is>
          <t>Pendiente promedio (grados)</t>
        </is>
      </c>
      <c r="D21" s="7" t="n">
        <v>15.3</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0.5465</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(85.18 %)</t>
        </is>
      </c>
      <c r="E29" s="8" t="n"/>
      <c r="F29" s="8" t="n"/>
    </row>
    <row r="30">
      <c r="A30" s="6" t="inlineStr">
        <is>
          <t>Superficie clasificada NDVI 2025 (ha)</t>
        </is>
      </c>
      <c r="B30" s="7" t="n">
        <v>150.25</v>
      </c>
      <c r="C30" s="6" t="inlineStr">
        <is>
          <t>Desviación frente al catálogo (%)</t>
        </is>
      </c>
      <c r="D30" s="7" t="n">
        <v>0.03</v>
      </c>
      <c r="E30" s="8" t="n"/>
      <c r="F30" s="8" t="n"/>
    </row>
    <row r="32" ht="18" customHeight="1">
      <c r="A32" s="5" t="inlineStr">
        <is>
          <t>4. ECOSISTEMA Y ESTADO DE CONSERVACIÓN</t>
        </is>
      </c>
    </row>
    <row r="33">
      <c r="A33" s="6" t="inlineStr">
        <is>
          <t>Tipo de ecosistema (UP)</t>
        </is>
      </c>
      <c r="B33" s="7" t="inlineStr">
        <is>
          <t>Bosque Estacionalmente Seco Colina/Montaña (Bes-cm)</t>
        </is>
      </c>
      <c r="C33" s="6" t="inlineStr">
        <is>
          <t>Superficie de ecosistema (ha)</t>
        </is>
      </c>
      <c r="D33" s="7" t="inlineStr">
        <is>
          <t>Por determinar</t>
        </is>
      </c>
      <c r="E33" s="8" t="n"/>
      <c r="F33" s="8" t="n"/>
    </row>
    <row r="34">
      <c r="A34" s="6" t="inlineStr">
        <is>
          <t>Estado de conservación</t>
        </is>
      </c>
      <c r="B34" s="7" t="inlineStr">
        <is>
          <t>Alterado (intervención marcada)</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inlineStr">
        <is>
          <t>Por determinar</t>
        </is>
      </c>
      <c r="E35" s="8" t="n"/>
      <c r="F35" s="8" t="n"/>
    </row>
    <row r="36">
      <c r="A36" s="6" t="inlineStr">
        <is>
          <t>Suelo desnudo — campo (%)</t>
        </is>
      </c>
      <c r="B36" s="7" t="inlineStr">
        <is>
          <t>Por determinar</t>
        </is>
      </c>
      <c r="C36" s="6" t="inlineStr">
        <is>
          <t>Regeneración natural</t>
        </is>
      </c>
      <c r="D36" s="7" t="inlineStr">
        <is>
          <t>Por determinar</t>
        </is>
      </c>
      <c r="E36" s="8" t="n"/>
      <c r="F36" s="8" t="n"/>
    </row>
    <row r="37">
      <c r="A37" s="6" t="inlineStr">
        <is>
          <t>Nivel general de erosión</t>
        </is>
      </c>
      <c r="B37" s="7" t="inlineStr">
        <is>
          <t>Moderada (surcos)</t>
        </is>
      </c>
      <c r="C37" s="6" t="inlineStr">
        <is>
          <t>N.° de cárcavas registradas</t>
        </is>
      </c>
      <c r="D37" s="7" t="inlineStr">
        <is>
          <t>Por determinar</t>
        </is>
      </c>
      <c r="E37" s="8" t="n"/>
      <c r="F37" s="8" t="n"/>
    </row>
    <row r="38">
      <c r="A38" s="6" t="inlineStr">
        <is>
          <t>Elenco florístico (n.° de taxones)</t>
        </is>
      </c>
      <c r="B38" s="7" t="n">
        <v>7</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Brigada SESDI – IN Piura</t>
        </is>
      </c>
      <c r="C41" s="6" t="inlineStr">
        <is>
          <t>Fecha de evaluación</t>
        </is>
      </c>
      <c r="D41" s="7" t="inlineStr">
        <is>
          <t>2026-08-12</t>
        </is>
      </c>
      <c r="E41" s="8" t="n"/>
      <c r="F41" s="8" t="n"/>
    </row>
    <row r="42">
      <c r="A42" s="6" t="inlineStr">
        <is>
          <t>Hora de registro</t>
        </is>
      </c>
      <c r="B42" s="7" t="inlineStr">
        <is>
          <t>12:40 - 14:22 h</t>
        </is>
      </c>
      <c r="C42" s="6" t="inlineStr">
        <is>
          <t>Correlativo de ficha</t>
        </is>
      </c>
      <c r="D42" s="7" t="inlineStr">
        <is>
          <t>F-DT-01-B10-2026</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instalada</t>
        </is>
      </c>
      <c r="E44" s="8" t="n"/>
      <c r="F44" s="8" t="n"/>
    </row>
    <row r="45">
      <c r="A45" s="6" t="inlineStr">
        <is>
          <t>Estaciones fotográficas georreferenciadas</t>
        </is>
      </c>
      <c r="B45" s="7" t="n">
        <v>5</v>
      </c>
      <c r="C45" s="6" t="inlineStr">
        <is>
          <t>Modalidad de acceso</t>
        </is>
      </c>
      <c r="D45" s="7" t="inlineStr">
        <is>
          <t>Vehicular 4x4 hasta el bloque</t>
        </is>
      </c>
      <c r="E45" s="8" t="n"/>
      <c r="F45" s="8" t="n"/>
    </row>
    <row r="47" ht="18" customHeight="1">
      <c r="A47" s="5" t="inlineStr">
        <is>
          <t>6. SÍNTESIS PARA LA GESTIÓN DEL RIESGO EN CONTEXTO DE CAMBIO CLIMÁTICO</t>
        </is>
      </c>
    </row>
    <row r="48">
      <c r="A48" s="6" t="inlineStr">
        <is>
          <t>Causa subyacente principal</t>
        </is>
      </c>
      <c r="B48" s="7" t="inlineStr">
        <is>
          <t>Ocupación y habilitación vial del interior del bloque sin instrumento de manejo, sobre laderas con aptitud forestal</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Alta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10</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0.546492</v>
      </c>
      <c r="C15" s="17" t="inlineStr">
        <is>
          <t>—</t>
        </is>
      </c>
      <c r="D15" s="17" t="inlineStr">
        <is>
          <t>Vigor moderado · clase 0.4976 - 0.6139</t>
        </is>
      </c>
      <c r="E15" s="17" t="inlineStr">
        <is>
          <t>Sobre umbral</t>
        </is>
      </c>
    </row>
    <row r="17" ht="72" customHeight="1">
      <c r="A17" s="9" t="inlineStr">
        <is>
          <t>NOTA METODOLÓGICA. La media del MSAVI 2024 del bloque (0.546492)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127.9822</v>
      </c>
      <c r="C21" s="19" t="n">
        <v>85.18000000000001</v>
      </c>
      <c r="D21" s="11" t="inlineStr">
        <is>
          <t>Dosel continuo, matorral denso o mosaico agroforestal</t>
        </is>
      </c>
      <c r="E21" s="11" t="inlineStr"/>
    </row>
    <row r="22">
      <c r="A22" s="14" t="inlineStr">
        <is>
          <t>Vegetación mediana</t>
        </is>
      </c>
      <c r="B22" s="20" t="n">
        <v>18.5976</v>
      </c>
      <c r="C22" s="21" t="n">
        <v>12.38</v>
      </c>
      <c r="D22" s="15" t="inlineStr">
        <is>
          <t>Pastizal cultivado, matorral ralo, parcelas agrícolas</t>
        </is>
      </c>
      <c r="E22" s="15" t="inlineStr"/>
    </row>
    <row r="23">
      <c r="A23" s="7" t="inlineStr">
        <is>
          <t>Vegetación ligera</t>
        </is>
      </c>
      <c r="B23" s="18" t="n">
        <v>2.5427</v>
      </c>
      <c r="C23" s="19" t="n">
        <v>1.69</v>
      </c>
      <c r="D23" s="11" t="inlineStr">
        <is>
          <t>Cobertura discontinua, suelo parcialmente expuesto</t>
        </is>
      </c>
      <c r="E23" s="11" t="inlineStr"/>
    </row>
    <row r="24">
      <c r="A24" s="14" t="inlineStr">
        <is>
          <t>Tierra desnuda</t>
        </is>
      </c>
      <c r="B24" s="20" t="n">
        <v>1.1271</v>
      </c>
      <c r="C24" s="21" t="n">
        <v>0.75</v>
      </c>
      <c r="D24" s="15" t="inlineStr">
        <is>
          <t>Suelo desnudo, afloramientos, plataformas y taludes</t>
        </is>
      </c>
      <c r="E24" s="15" t="inlineStr"/>
    </row>
    <row r="25">
      <c r="A25" s="16" t="inlineStr">
        <is>
          <t>TOTAL CLASIFICADO</t>
        </is>
      </c>
      <c r="B25" s="22">
        <f>SUM(B21:B24)</f>
        <v/>
      </c>
      <c r="C25" s="23">
        <f>SUM(C21:C24)</f>
        <v/>
      </c>
      <c r="D25" s="17" t="inlineStr"/>
      <c r="E25" s="17" t="inlineStr"/>
    </row>
    <row r="26">
      <c r="A26" s="24" t="inlineStr">
        <is>
          <t>Superficie de catálogo (V5/V6)</t>
        </is>
      </c>
      <c r="B26" s="25" t="n">
        <v>150.21</v>
      </c>
      <c r="C26" s="25" t="inlineStr">
        <is>
          <t>—</t>
        </is>
      </c>
      <c r="D26" s="25" t="inlineStr">
        <is>
          <t>Desviación planimétrica frente al catálogo</t>
        </is>
      </c>
      <c r="E26" s="25" t="inlineStr">
        <is>
          <t>+0.03 %</t>
        </is>
      </c>
    </row>
    <row r="28" ht="72"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10</t>
        </is>
      </c>
    </row>
    <row r="6" ht="24" customHeight="1">
      <c r="A6" s="4" t="inlineStr">
        <is>
          <t>Levantamiento del 2026-08-12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651184</v>
      </c>
      <c r="D10" s="26" t="n">
        <v>9382309</v>
      </c>
      <c r="E10" s="11" t="n">
        <v>354.1</v>
      </c>
      <c r="F10" s="11" t="inlineStr"/>
      <c r="G10" s="11" t="inlineStr">
        <is>
          <t>Coordenada consignada en F-DT-01</t>
        </is>
      </c>
    </row>
    <row r="11">
      <c r="A11" s="14" t="inlineStr">
        <is>
          <t>H-01</t>
        </is>
      </c>
      <c r="B11" s="15" t="inlineStr">
        <is>
          <t>Fuente de agua — Quebrada estacional</t>
        </is>
      </c>
      <c r="C11" s="27" t="inlineStr">
        <is>
          <t>Por determinar</t>
        </is>
      </c>
      <c r="D11" s="27" t="inlineStr">
        <is>
          <t>Por determinar</t>
        </is>
      </c>
      <c r="E11" s="15" t="inlineStr"/>
      <c r="F11" s="15" t="inlineStr">
        <is>
          <t>Estacional</t>
        </is>
      </c>
      <c r="G11" s="15" t="inlineStr">
        <is>
          <t>Red de vaguadas tributarias</t>
        </is>
      </c>
    </row>
    <row r="12">
      <c r="A12" s="16" t="inlineStr">
        <is>
          <t>TOTAL: 2 puntos</t>
        </is>
      </c>
      <c r="B12" s="17" t="inlineStr"/>
      <c r="C12" s="17" t="inlineStr"/>
      <c r="D12" s="17" t="inlineStr"/>
      <c r="E12" s="17" t="inlineStr"/>
      <c r="F12" s="17" t="inlineStr"/>
      <c r="G12" s="17" t="inlineStr"/>
    </row>
    <row r="14">
      <c r="A14" s="6" t="inlineStr">
        <is>
          <t>Centroide del bloque — UTM ESTE (m)</t>
        </is>
      </c>
      <c r="B14" s="7" t="n">
        <v>650830</v>
      </c>
      <c r="C14" s="6" t="inlineStr">
        <is>
          <t>Centroide del bloque — UTM NORTE (m)</t>
        </is>
      </c>
      <c r="D14" s="7" t="n">
        <v>9382303</v>
      </c>
      <c r="E14" s="8" t="n"/>
      <c r="F14" s="8" t="n"/>
      <c r="G14" s="8" t="n"/>
      <c r="H14" s="8" t="n"/>
    </row>
    <row r="15">
      <c r="A15" s="6" t="inlineStr">
        <is>
          <t>N.° de estaciones fotográficas declaradas</t>
        </is>
      </c>
      <c r="B15" s="7" t="n">
        <v>5</v>
      </c>
      <c r="C15" s="6" t="inlineStr">
        <is>
          <t>Estaciones dentro del polígono</t>
        </is>
      </c>
      <c r="D15" s="7" t="n">
        <v>4</v>
      </c>
      <c r="E15" s="8" t="n"/>
      <c r="F15" s="8" t="n"/>
      <c r="G15" s="8" t="n"/>
      <c r="H15" s="8" t="n"/>
    </row>
    <row r="17" ht="96"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PRELLENADO DE GABINETE. Reconocimiento del 12-08-2026 por recorrido vehicular con registro fotográfico georreferenciado; la ficha NO fue diligenciada en campo. Cuatro de las cinco estaciones se ubican DENTRO del polígono (249-302 m del borde); la restante a ~570 m al NE.</t>
        </is>
      </c>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2"/>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C1076-Q9593 — BLOQUE 10</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C1076-Q9593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12" t="inlineStr">
        <is>
          <t>► 10</t>
        </is>
      </c>
      <c r="B10" s="28" t="n">
        <v>150.21</v>
      </c>
      <c r="C10" s="29" t="n">
        <v>28.67</v>
      </c>
      <c r="D10" s="13" t="inlineStr">
        <is>
          <t>912 – 1510</t>
        </is>
      </c>
      <c r="E10" s="13" t="n">
        <v>598</v>
      </c>
      <c r="F10" s="13" t="n">
        <v>27.39</v>
      </c>
      <c r="G10" s="30" t="n">
        <v>0.5465</v>
      </c>
      <c r="H10" s="29" t="n">
        <v>85.18000000000001</v>
      </c>
    </row>
    <row r="11">
      <c r="A11" s="14" t="inlineStr">
        <is>
          <t>8</t>
        </is>
      </c>
      <c r="B11" s="31" t="n">
        <v>126.95</v>
      </c>
      <c r="C11" s="21" t="n">
        <v>24.23</v>
      </c>
      <c r="D11" s="15" t="inlineStr">
        <is>
          <t>1504 – 1970</t>
        </is>
      </c>
      <c r="E11" s="15" t="n">
        <v>466</v>
      </c>
      <c r="F11" s="15" t="n">
        <v>29.85</v>
      </c>
      <c r="G11" s="20" t="n">
        <v>0.5548</v>
      </c>
      <c r="H11" s="21" t="n">
        <v>72.25</v>
      </c>
    </row>
    <row r="12">
      <c r="A12" s="7" t="inlineStr">
        <is>
          <t>16</t>
        </is>
      </c>
      <c r="B12" s="32" t="n">
        <v>83.33</v>
      </c>
      <c r="C12" s="19" t="n">
        <v>15.91</v>
      </c>
      <c r="D12" s="11" t="inlineStr">
        <is>
          <t>1349 – 1746</t>
        </is>
      </c>
      <c r="E12" s="11" t="n">
        <v>397</v>
      </c>
      <c r="F12" s="11" t="n">
        <v>22.34</v>
      </c>
      <c r="G12" s="18" t="n">
        <v>0.6284</v>
      </c>
      <c r="H12" s="19" t="n">
        <v>94.13</v>
      </c>
    </row>
    <row r="13">
      <c r="A13" s="14" t="inlineStr">
        <is>
          <t>20</t>
        </is>
      </c>
      <c r="B13" s="31" t="n">
        <v>81.33</v>
      </c>
      <c r="C13" s="21" t="n">
        <v>15.52</v>
      </c>
      <c r="D13" s="15" t="inlineStr">
        <is>
          <t>1217 – 1607</t>
        </is>
      </c>
      <c r="E13" s="15" t="n">
        <v>390</v>
      </c>
      <c r="F13" s="15" t="n">
        <v>24.54</v>
      </c>
      <c r="G13" s="20" t="n">
        <v>0.4851</v>
      </c>
      <c r="H13" s="21" t="n">
        <v>52.44</v>
      </c>
    </row>
    <row r="14">
      <c r="A14" s="7" t="inlineStr">
        <is>
          <t>80</t>
        </is>
      </c>
      <c r="B14" s="32" t="n">
        <v>28.83</v>
      </c>
      <c r="C14" s="19" t="n">
        <v>5.5</v>
      </c>
      <c r="D14" s="11" t="inlineStr">
        <is>
          <t>2180 – 2491</t>
        </is>
      </c>
      <c r="E14" s="11" t="n">
        <v>311</v>
      </c>
      <c r="F14" s="11" t="n">
        <v>32.9</v>
      </c>
      <c r="G14" s="18" t="n">
        <v>0.5931</v>
      </c>
      <c r="H14" s="19" t="n">
        <v>78.73</v>
      </c>
    </row>
    <row r="15">
      <c r="A15" s="14" t="inlineStr">
        <is>
          <t>51</t>
        </is>
      </c>
      <c r="B15" s="31" t="n">
        <v>22.93</v>
      </c>
      <c r="C15" s="21" t="n">
        <v>4.38</v>
      </c>
      <c r="D15" s="15" t="inlineStr">
        <is>
          <t>1734 – 2018</t>
        </is>
      </c>
      <c r="E15" s="15" t="n">
        <v>284</v>
      </c>
      <c r="F15" s="15" t="n">
        <v>31.74</v>
      </c>
      <c r="G15" s="20" t="n">
        <v>0.5238</v>
      </c>
      <c r="H15" s="21" t="n">
        <v>69.45999999999999</v>
      </c>
    </row>
    <row r="16">
      <c r="A16" s="7" t="inlineStr">
        <is>
          <t>76</t>
        </is>
      </c>
      <c r="B16" s="32" t="n">
        <v>19.62</v>
      </c>
      <c r="C16" s="19" t="n">
        <v>3.75</v>
      </c>
      <c r="D16" s="11" t="inlineStr">
        <is>
          <t>1647 – 1838</t>
        </is>
      </c>
      <c r="E16" s="11" t="n">
        <v>191</v>
      </c>
      <c r="F16" s="11" t="n">
        <v>26.25</v>
      </c>
      <c r="G16" s="18" t="n">
        <v>0.4925</v>
      </c>
      <c r="H16" s="19" t="n">
        <v>46.27</v>
      </c>
    </row>
    <row r="17">
      <c r="A17" s="14" t="inlineStr">
        <is>
          <t>71</t>
        </is>
      </c>
      <c r="B17" s="31" t="n">
        <v>10.67</v>
      </c>
      <c r="C17" s="21" t="n">
        <v>2.04</v>
      </c>
      <c r="D17" s="15" t="inlineStr">
        <is>
          <t>1478 – 1609</t>
        </is>
      </c>
      <c r="E17" s="15" t="n">
        <v>131</v>
      </c>
      <c r="F17" s="15" t="n">
        <v>29.45</v>
      </c>
      <c r="G17" s="20" t="n">
        <v>0.5571</v>
      </c>
      <c r="H17" s="21" t="n">
        <v>81.37</v>
      </c>
    </row>
    <row r="18">
      <c r="A18" s="16" t="inlineStr">
        <is>
          <t>TOTAL / PROMEDIO</t>
        </is>
      </c>
      <c r="B18" s="33">
        <f>SUM(B10:B17)</f>
        <v/>
      </c>
      <c r="C18" s="23">
        <f>SUM(C10:C17)</f>
        <v/>
      </c>
      <c r="D18" s="17" t="inlineStr">
        <is>
          <t>912 – 2491</t>
        </is>
      </c>
      <c r="E18" s="17" t="inlineStr"/>
      <c r="F18" s="17">
        <f>ROUND(AVERAGE(F10:F17),2)</f>
        <v/>
      </c>
      <c r="G18" s="22">
        <f>ROUND(AVERAGE(G10:G17),4)</f>
        <v/>
      </c>
      <c r="H18" s="23">
        <f>ROUND(AVERAGE(H10:H17),2)</f>
        <v/>
      </c>
    </row>
    <row r="20" ht="84" customHeight="1">
      <c r="A20" s="9" t="inlineStr">
        <is>
          <t>LECTURA INTRAMICROCUENCA. El bloque 10 ocupa el puesto 1 de 8 por superficie dentro de la microcuenca C1076-Q9593 (28.67 % de las 523.87 ha preliminares de la microcuenca). Su pendiente promedio (27.39 %, clase «25-50% (Mod. escarpado)») es la 4.ª más baja de 8 y se sitúa por debajo del promedio de la microcuenca (28.06 %). Su MSAVI 2024 (0.5465) es el 5.º de 8 y queda por debajo del promedio local (0.5477). Amplitud altitudinal del bloque: 598 m (912–1510 msnm). El cuadro conserva todos los bloques catalogados en la microcuenca, incluidos los descartados en el tamizaje, para referencia del conjunto. Los bloques sin ficha DT figuran con sus parámetros de gabinete.</t>
        </is>
      </c>
    </row>
    <row r="22" ht="60" customHeight="1">
      <c r="A22"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0:H20"/>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10</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La ficha DT declara «C1076-Q9584»; el catálogo maestro V5/V6 asigna el bloque a «C1076-Q9593»</t>
        </is>
      </c>
      <c r="D10" s="35" t="inlineStr">
        <is>
          <t>SUSTANTIVA</t>
        </is>
      </c>
      <c r="E10" s="34" t="inlineStr">
        <is>
          <t>Se conserva el código del catálogo maestro para todo cálculo intramicrocuenca. La declaración de la ficha debe corregirse en la siguiente versión del formato V5.</t>
        </is>
      </c>
    </row>
    <row r="11" ht="48" customHeight="1">
      <c r="A11" s="36" t="inlineStr">
        <is>
          <t>D-02</t>
        </is>
      </c>
      <c r="B11" s="36" t="inlineStr">
        <is>
          <t>UTM del punto de muestreo</t>
        </is>
      </c>
      <c r="C11" s="36" t="inlineStr">
        <is>
          <t>El punto de muestreo declarado dista 354 m del centroide de catálogo, compatible con la extensión del bloque</t>
        </is>
      </c>
      <c r="D11" s="37" t="inlineStr">
        <is>
          <t>CONFORME</t>
        </is>
      </c>
      <c r="E11" s="36" t="inlineStr">
        <is>
          <t>Sin acción.</t>
        </is>
      </c>
    </row>
    <row r="12" ht="48" customHeight="1">
      <c r="A12" s="34" t="inlineStr">
        <is>
          <t>D-03</t>
        </is>
      </c>
      <c r="B12" s="34" t="inlineStr">
        <is>
          <t>Superficie del polígono</t>
        </is>
      </c>
      <c r="C12" s="34" t="inlineStr">
        <is>
          <t>La superficie clasificada por el NDVI 2025 (150.250 ha) coincide con la de catálogo (150.21 ha) dentro del ±2 % (+0.03 %)</t>
        </is>
      </c>
      <c r="D12" s="37" t="inlineStr">
        <is>
          <t>CONFORME</t>
        </is>
      </c>
      <c r="E12" s="34" t="inlineStr">
        <is>
          <t>Sin acción: la segmentación valida la geometría del bloque.</t>
        </is>
      </c>
    </row>
    <row r="13" ht="48" customHeight="1">
      <c r="A13" s="36" t="inlineStr">
        <is>
          <t>D-04</t>
        </is>
      </c>
      <c r="B13" s="36" t="inlineStr">
        <is>
          <t>Altitud GPS del punto de muestreo</t>
        </is>
      </c>
      <c r="C13" s="36" t="inlineStr">
        <is>
          <t>La aplicación de captura no registró altitud GPS en campo</t>
        </is>
      </c>
      <c r="D13" s="13" t="inlineStr">
        <is>
          <t>NO SUSTANTIVA</t>
        </is>
      </c>
      <c r="E13" s="36" t="inlineStr">
        <is>
          <t>El rango altitudinal del bloque (912–1510 msnm) y la pendiente promedio (27.39 %) se toman de la estadística zonal sobre el MDE, no de medición de campo. Se declara la fuente.</t>
        </is>
      </c>
    </row>
    <row r="14" ht="48" customHeight="1">
      <c r="A14" s="34" t="inlineStr">
        <is>
          <t>D-05</t>
        </is>
      </c>
      <c r="B14" s="34" t="inlineStr">
        <is>
          <t>Inventario georreferenciado de cárcavas</t>
        </is>
      </c>
      <c r="C14" s="34" t="inlineStr">
        <is>
          <t>El inventario de cárcavas no fue ejecutado o no consta en la ficha DT</t>
        </is>
      </c>
      <c r="D14" s="35" t="inlineStr">
        <is>
          <t>SUSTANTIVA</t>
        </is>
      </c>
      <c r="E14" s="34" t="inlineStr">
        <is>
          <t>La ausencia de registros NO equivale a ausencia verificada de cárcavas. Queda pendiente el levantamiento instrumental a cargo del especialista de Infraestructura Marrón antes de fijar metas físicas de infraestructura gris.</t>
        </is>
      </c>
    </row>
    <row r="15" ht="48" customHeight="1">
      <c r="A15" s="36" t="inlineStr">
        <is>
          <t>D-06</t>
        </is>
      </c>
      <c r="B15" s="36" t="inlineStr">
        <is>
          <t>Elenco florístico</t>
        </is>
      </c>
      <c r="C15" s="36" t="inlineStr">
        <is>
          <t>La ficha registra 7 taxones, por debajo del mínimo de 15 que exige el formato V5</t>
        </is>
      </c>
      <c r="D15" s="35" t="inlineStr">
        <is>
          <t>SUSTANTIVA</t>
        </is>
      </c>
      <c r="E15" s="36" t="inlineStr">
        <is>
          <t>Registro florístico preliminar, sin colecta ni determinación botánica formal. Debe cerrarse con colecta botánica en la siguiente campaña.</t>
        </is>
      </c>
    </row>
    <row r="16" ht="48" customHeight="1">
      <c r="A16" s="34" t="inlineStr">
        <is>
          <t>D-07</t>
        </is>
      </c>
      <c r="B16" s="34" t="inlineStr">
        <is>
          <t>Centro poblado asociado</t>
        </is>
      </c>
      <c r="C16" s="34" t="inlineStr">
        <is>
          <t>La ficha DT declara «La Peña · Peña Grande»; el cruce INEI-Bloques V5 identifica 1 centro(s) poblado(s) en el bloque: LA PEÑA</t>
        </is>
      </c>
      <c r="D16" s="37"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5" t="inlineStr">
        <is>
          <t>SUSTANTIVA</t>
        </is>
      </c>
      <c r="E17" s="36" t="inlineStr">
        <is>
          <t>Debe tomarse del modelamiento de mesolocalización (PMM + EPH + PGI ponderados por AHP) antes de fijar la prioridad definitiva de intervención del bloque.</t>
        </is>
      </c>
    </row>
    <row r="19">
      <c r="A19" s="16" t="inlineStr">
        <is>
          <t>RESUMEN</t>
        </is>
      </c>
      <c r="B19" s="17" t="inlineStr">
        <is>
          <t>8 verificaciones</t>
        </is>
      </c>
      <c r="C19" s="17" t="inlineStr">
        <is>
          <t>CONFORME: 3 · NO SUSTANTIVA: 1 · SUSTANTIVA: 4</t>
        </is>
      </c>
      <c r="D19" s="17" t="inlineStr"/>
      <c r="E19" s="17" t="inlineStr"/>
    </row>
    <row r="21" ht="60" customHeight="1">
      <c r="A2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21:E21"/>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10 — IN Piura</dc:title>
  <dc:subject>Diagnóstico Territorial por bloque de intervención</dc:subject>
  <dcterms:created xsi:type="dcterms:W3CDTF">2026-09-08T02:45:07Z</dcterms:created>
  <dcterms:modified xsi:type="dcterms:W3CDTF">2026-09-08T02:45:07Z</dcterms:modified>
</cp:coreProperties>
</file>