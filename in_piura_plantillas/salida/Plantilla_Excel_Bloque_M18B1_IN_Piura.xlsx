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M18B1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M18B1</t>
        </is>
      </c>
      <c r="C9" s="6" t="inlineStr">
        <is>
          <t>Microcuenca (catálogo)</t>
        </is>
      </c>
      <c r="D9" s="7" t="inlineStr">
        <is>
          <t>C1077-Q9579</t>
        </is>
      </c>
      <c r="E9" s="8" t="n"/>
      <c r="F9" s="8" t="n"/>
    </row>
    <row r="10">
      <c r="A10" s="6" t="inlineStr">
        <is>
          <t>Zona de planificación</t>
        </is>
      </c>
      <c r="B10" s="7" t="inlineStr">
        <is>
          <t>Z06</t>
        </is>
      </c>
      <c r="C10" s="6" t="inlineStr">
        <is>
          <t>Microcuenca declarada en ficha DT</t>
        </is>
      </c>
      <c r="D10" s="7" t="inlineStr">
        <is>
          <t>C1077-Q9579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Hualas / Villa Malacasí / Mangamanga</t>
        </is>
      </c>
      <c r="C13" s="6" t="inlineStr">
        <is>
          <t>Comunidad campesina</t>
        </is>
      </c>
      <c r="D13" s="7" t="inlineStr">
        <is>
          <t>Sin registro en ficha</t>
        </is>
      </c>
      <c r="E13" s="8" t="n"/>
      <c r="F13" s="8" t="n"/>
    </row>
    <row r="14">
      <c r="A14" s="6" t="inlineStr">
        <is>
          <t>Superficie de catálogo (V5/V6), ha</t>
        </is>
      </c>
      <c r="B14" s="7" t="n">
        <v>160.36</v>
      </c>
      <c r="C14" s="6" t="inlineStr">
        <is>
          <t>Fuente de superficie</t>
        </is>
      </c>
      <c r="D14" s="7" t="inlineStr">
        <is>
          <t>Catálogo maestro Bloques V5/V6</t>
        </is>
      </c>
      <c r="E14" s="8" t="n"/>
      <c r="F14" s="8" t="n"/>
    </row>
    <row r="15">
      <c r="A15" s="6" t="inlineStr">
        <is>
          <t>Centroide UTM ESTE (m)</t>
        </is>
      </c>
      <c r="B15" s="7" t="n">
        <v>621058</v>
      </c>
      <c r="C15" s="6" t="inlineStr">
        <is>
          <t>Centroide UTM NORTE (m)</t>
        </is>
      </c>
      <c r="D15" s="7" t="n">
        <v>9410427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153</v>
      </c>
      <c r="C19" s="6" t="inlineStr">
        <is>
          <t>Altitud máxima (msnm)</t>
        </is>
      </c>
      <c r="D19" s="7" t="n">
        <v>396</v>
      </c>
      <c r="E19" s="8" t="n"/>
      <c r="F19" s="8" t="n"/>
    </row>
    <row r="20">
      <c r="A20" s="6" t="inlineStr">
        <is>
          <t>Amplitud altitudinal (m)</t>
        </is>
      </c>
      <c r="B20" s="7" t="n">
        <v>243</v>
      </c>
      <c r="C20" s="6" t="inlineStr">
        <is>
          <t>Piso altitudinal dominante</t>
        </is>
      </c>
      <c r="D20" s="7" t="inlineStr">
        <is>
          <t>&lt;1000 m (Yunga)</t>
        </is>
      </c>
      <c r="E20" s="8" t="n"/>
      <c r="F20" s="8" t="n"/>
    </row>
    <row r="21">
      <c r="A21" s="6" t="inlineStr">
        <is>
          <t>Pendiente promedio (%)</t>
        </is>
      </c>
      <c r="B21" s="7" t="n">
        <v>20.37</v>
      </c>
      <c r="C21" s="6" t="inlineStr">
        <is>
          <t>Pendiente promedio (grados)</t>
        </is>
      </c>
      <c r="D21" s="7" t="n">
        <v>11.5</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0.3343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(69.97 %)</t>
        </is>
      </c>
      <c r="E29" s="8" t="n"/>
      <c r="F29" s="8" t="n"/>
    </row>
    <row r="30">
      <c r="A30" s="6" t="inlineStr">
        <is>
          <t>Superficie clasificada NDVI 2025 (ha)</t>
        </is>
      </c>
      <c r="B30" s="7" t="n">
        <v>160.43</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160.36 ha (100% del bloque)</t>
        </is>
      </c>
      <c r="E33" s="8" t="n"/>
      <c r="F33" s="8" t="n"/>
    </row>
    <row r="34">
      <c r="A34" s="6" t="inlineStr">
        <is>
          <t>Estado de conservación</t>
        </is>
      </c>
      <c r="B34" s="7" t="inlineStr">
        <is>
          <t>Medianamente alterado</t>
        </is>
      </c>
      <c r="C34" s="6" t="inlineStr">
        <is>
          <t>Uso actual dominante del suelo</t>
        </is>
      </c>
      <c r="D34" s="7" t="inlineStr">
        <is>
          <t>Forestal de protección</t>
        </is>
      </c>
      <c r="E34" s="8" t="n"/>
      <c r="F34" s="8" t="n"/>
    </row>
    <row r="35">
      <c r="A35" s="6" t="inlineStr">
        <is>
          <t>Tipo de cobertura dominante</t>
        </is>
      </c>
      <c r="B35" s="7" t="inlineStr">
        <is>
          <t>Bosque ralo (30-70%)</t>
        </is>
      </c>
      <c r="C35" s="6" t="inlineStr">
        <is>
          <t>Cobertura vegetal total — campo (%)</t>
        </is>
      </c>
      <c r="D35" s="7" t="n">
        <v>60</v>
      </c>
      <c r="E35" s="8" t="n"/>
      <c r="F35" s="8" t="n"/>
    </row>
    <row r="36">
      <c r="A36" s="6" t="inlineStr">
        <is>
          <t>Suelo desnudo — campo (%)</t>
        </is>
      </c>
      <c r="B36" s="7" t="n">
        <v>40</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 S. Cahuas Miller</t>
        </is>
      </c>
      <c r="C41" s="6" t="inlineStr">
        <is>
          <t>Fecha de evaluación</t>
        </is>
      </c>
      <c r="D41" s="7" t="inlineStr">
        <is>
          <t>2026-05-14</t>
        </is>
      </c>
      <c r="E41" s="8" t="n"/>
      <c r="F41" s="8" t="n"/>
    </row>
    <row r="42">
      <c r="A42" s="6" t="inlineStr">
        <is>
          <t>Hora de registro</t>
        </is>
      </c>
      <c r="B42" s="7" t="inlineStr">
        <is>
          <t>08:00 - 09:20 h</t>
        </is>
      </c>
      <c r="C42" s="6" t="inlineStr">
        <is>
          <t>Correlativo de ficha</t>
        </is>
      </c>
      <c r="D42" s="7" t="inlineStr">
        <is>
          <t>DT-M18B1-001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P-01 (punto representativo de bloque)</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antrópica difusa por proximidad a centros poblados (Hualas, Villa Malacasí, Mangamanga) y al eje de la vía nacional PE-02A</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M18B1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0.334299</v>
      </c>
      <c r="C15" s="17" t="inlineStr">
        <is>
          <t>—</t>
        </is>
      </c>
      <c r="D15" s="17" t="inlineStr">
        <is>
          <t>Vigor muy bajo · clase 0.2650 - 0.3813</t>
        </is>
      </c>
      <c r="E15" s="17" t="inlineStr">
        <is>
          <t>BAJO umbral 0.4976</t>
        </is>
      </c>
    </row>
    <row r="17" ht="72" customHeight="1">
      <c r="A17" s="9" t="inlineStr">
        <is>
          <t>NOTA METODOLÓGICA. La media del MSAVI 2024 del bloque (0.334299)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2.2624</v>
      </c>
      <c r="C21" s="19" t="n">
        <v>1.41</v>
      </c>
      <c r="D21" s="11" t="inlineStr">
        <is>
          <t>Dosel continuo, matorral denso o mosaico agroforestal</t>
        </is>
      </c>
      <c r="E21" s="11" t="inlineStr"/>
    </row>
    <row r="22">
      <c r="A22" s="12" t="inlineStr">
        <is>
          <t>Vegetación mediana</t>
        </is>
      </c>
      <c r="B22" s="20" t="n">
        <v>112.2516</v>
      </c>
      <c r="C22" s="21" t="n">
        <v>69.97</v>
      </c>
      <c r="D22" s="13" t="inlineStr">
        <is>
          <t>Pastizal cultivado, matorral ralo, parcelas agrícolas</t>
        </is>
      </c>
      <c r="E22" s="13" t="inlineStr"/>
    </row>
    <row r="23">
      <c r="A23" s="7" t="inlineStr">
        <is>
          <t>Vegetación ligera</t>
        </is>
      </c>
      <c r="B23" s="18" t="n">
        <v>44.8367</v>
      </c>
      <c r="C23" s="19" t="n">
        <v>27.95</v>
      </c>
      <c r="D23" s="11" t="inlineStr">
        <is>
          <t>Cobertura discontinua, suelo parcialmente expuesto</t>
        </is>
      </c>
      <c r="E23" s="11" t="inlineStr"/>
    </row>
    <row r="24">
      <c r="A24" s="12" t="inlineStr">
        <is>
          <t>Tierra desnuda</t>
        </is>
      </c>
      <c r="B24" s="20" t="n">
        <v>1.0794</v>
      </c>
      <c r="C24" s="21" t="n">
        <v>0.67</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160.36</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1.41 % del polígono clasificado como «Vegetación alta» por el NDVI 2025; la observación de campo corresponde a una parcela o recorrido puntual y no es estadísticamente representativa de las 160.360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M18B1</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621200</v>
      </c>
      <c r="D10" s="26" t="n">
        <v>9410650</v>
      </c>
      <c r="E10" s="11" t="n">
        <v>264.4</v>
      </c>
      <c r="F10" s="11" t="inlineStr"/>
      <c r="G10" s="11" t="inlineStr">
        <is>
          <t>Coordenada consignada en F-DT-01</t>
        </is>
      </c>
    </row>
    <row r="11">
      <c r="A11" s="12" t="inlineStr">
        <is>
          <t>H-01</t>
        </is>
      </c>
      <c r="B11" s="13" t="inlineStr">
        <is>
          <t>Fuente de agua — Quebrada estacional</t>
        </is>
      </c>
      <c r="C11" s="27" t="n">
        <v>621317</v>
      </c>
      <c r="D11" s="27" t="n">
        <v>9410690</v>
      </c>
      <c r="E11" s="13" t="n">
        <v>369.1</v>
      </c>
      <c r="F11" s="13" t="inlineStr">
        <is>
          <t>Estacional</t>
        </is>
      </c>
      <c r="G11" s="13" t="inlineStr">
        <is>
          <t>Qbda. Hualas — drena el bloque</t>
        </is>
      </c>
    </row>
    <row r="12">
      <c r="A12" s="7" t="inlineStr">
        <is>
          <t>H-02</t>
        </is>
      </c>
      <c r="B12" s="11" t="inlineStr">
        <is>
          <t>Fuente de agua — Río</t>
        </is>
      </c>
      <c r="C12" s="26" t="n">
        <v>621442</v>
      </c>
      <c r="D12" s="26" t="n">
        <v>9411300</v>
      </c>
      <c r="E12" s="11" t="n">
        <v>953.7</v>
      </c>
      <c r="F12" s="11" t="inlineStr">
        <is>
          <t>Permanente</t>
        </is>
      </c>
      <c r="G12" s="11" t="inlineStr">
        <is>
          <t>Río Piura — receptor de la escorrentía</t>
        </is>
      </c>
    </row>
    <row r="13">
      <c r="A13" s="12" t="inlineStr">
        <is>
          <t>H-03</t>
        </is>
      </c>
      <c r="B13" s="13" t="inlineStr">
        <is>
          <t>Fuente de agua — Quebrada estacional</t>
        </is>
      </c>
      <c r="C13" s="27" t="n">
        <v>621158</v>
      </c>
      <c r="D13" s="27" t="n">
        <v>9410869</v>
      </c>
      <c r="E13" s="13" t="n">
        <v>453.2</v>
      </c>
      <c r="F13" s="13" t="inlineStr">
        <is>
          <t>Estacional</t>
        </is>
      </c>
      <c r="G13" s="13" t="inlineStr">
        <is>
          <t>Río Seco</t>
        </is>
      </c>
    </row>
    <row r="14">
      <c r="A14" s="7" t="inlineStr">
        <is>
          <t>H-04</t>
        </is>
      </c>
      <c r="B14" s="11" t="inlineStr">
        <is>
          <t>Fuente de agua — Quebrada estacional</t>
        </is>
      </c>
      <c r="C14" s="26" t="n">
        <v>621501</v>
      </c>
      <c r="D14" s="26" t="n">
        <v>9410664</v>
      </c>
      <c r="E14" s="11" t="n">
        <v>502.4</v>
      </c>
      <c r="F14" s="11" t="inlineStr">
        <is>
          <t>Estacional</t>
        </is>
      </c>
      <c r="G14" s="11" t="inlineStr">
        <is>
          <t>Qbda. Mayor — drenaje del flanco oriental</t>
        </is>
      </c>
    </row>
    <row r="15">
      <c r="A15" s="12" t="inlineStr">
        <is>
          <t>H-05</t>
        </is>
      </c>
      <c r="B15" s="13" t="inlineStr">
        <is>
          <t>Fuente de agua — Pozo / Galería filtrante</t>
        </is>
      </c>
      <c r="C15" s="27" t="n">
        <v>621256</v>
      </c>
      <c r="D15" s="27" t="n">
        <v>9410755</v>
      </c>
      <c r="E15" s="13" t="n">
        <v>383.1</v>
      </c>
      <c r="F15" s="13" t="inlineStr">
        <is>
          <t>Permanente</t>
        </is>
      </c>
      <c r="G15" s="13" t="inlineStr">
        <is>
          <t>CAPTACIÓN CON TANQUE ELEVADO (JASS Hualas)</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621058</v>
      </c>
      <c r="C18" s="6" t="inlineStr">
        <is>
          <t>Centroide del bloque — UTM NORTE (m)</t>
        </is>
      </c>
      <c r="D18" s="7" t="n">
        <v>9410427</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32"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accesible desde el CP Hualas por trocha de herradura ascendente. EL SECTOR NE LIMITA CON LA VÍA NACIONAL PE-02A (Buenos Aires-Salitral), QUE CONSTITUYE EL PRINCIPAL EJE DE PRESIÓN ANTRÓPICA. Afloramientos rocosos masivos observados en la cabecera de la Qbda. Hualas (621 118 · 9 410 535), correspondientes a ROCAS METAMÓRFICAS-ÍGNEAS DEL COMPLEJO BASAL. La pendiente máxima puntual alcanza 46% en los flancos de la Qbda. Mayor, con pendiente media de 17-25% en la mayor parte del bloque. NO SE IDENTIFICARON EVIDENCIAS DE MOVIMIENTOS EN MASA ACTUALES NI PASADOS.</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C1077-Q9579 — BLOQUE M18B1</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C1077-Q9579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M18B3</t>
        </is>
      </c>
      <c r="B10" s="28" t="n">
        <v>373.81</v>
      </c>
      <c r="C10" s="19" t="n">
        <v>51.1</v>
      </c>
      <c r="D10" s="11" t="inlineStr">
        <is>
          <t>159 – 533</t>
        </is>
      </c>
      <c r="E10" s="11" t="n">
        <v>374</v>
      </c>
      <c r="F10" s="11" t="n">
        <v>21.52</v>
      </c>
      <c r="G10" s="18" t="n">
        <v>0.3694</v>
      </c>
      <c r="H10" s="19" t="n">
        <v>9.02</v>
      </c>
    </row>
    <row r="11">
      <c r="A11" s="12" t="inlineStr">
        <is>
          <t>M18B5</t>
        </is>
      </c>
      <c r="B11" s="29" t="n">
        <v>197.35</v>
      </c>
      <c r="C11" s="21" t="n">
        <v>26.98</v>
      </c>
      <c r="D11" s="13" t="inlineStr">
        <is>
          <t>157 – 645</t>
        </is>
      </c>
      <c r="E11" s="13" t="n">
        <v>488</v>
      </c>
      <c r="F11" s="13" t="n">
        <v>18.19</v>
      </c>
      <c r="G11" s="20" t="n">
        <v>0.3565</v>
      </c>
      <c r="H11" s="21" t="inlineStr">
        <is>
          <t>Por determinar</t>
        </is>
      </c>
    </row>
    <row r="12">
      <c r="A12" s="14" t="inlineStr">
        <is>
          <t>► M18B1</t>
        </is>
      </c>
      <c r="B12" s="30" t="n">
        <v>160.36</v>
      </c>
      <c r="C12" s="31" t="n">
        <v>21.92</v>
      </c>
      <c r="D12" s="15" t="inlineStr">
        <is>
          <t>153 – 396</t>
        </is>
      </c>
      <c r="E12" s="15" t="n">
        <v>243</v>
      </c>
      <c r="F12" s="15" t="n">
        <v>20.37</v>
      </c>
      <c r="G12" s="32" t="n">
        <v>0.3343</v>
      </c>
      <c r="H12" s="31" t="n">
        <v>1.41</v>
      </c>
    </row>
    <row r="13">
      <c r="A13" s="16" t="inlineStr">
        <is>
          <t>TOTAL / PROMEDIO</t>
        </is>
      </c>
      <c r="B13" s="33">
        <f>SUM(B10:B12)</f>
        <v/>
      </c>
      <c r="C13" s="23">
        <f>SUM(C10:C12)</f>
        <v/>
      </c>
      <c r="D13" s="17" t="inlineStr">
        <is>
          <t>153 – 645</t>
        </is>
      </c>
      <c r="E13" s="17" t="inlineStr"/>
      <c r="F13" s="17">
        <f>ROUND(AVERAGE(F10:F12),2)</f>
        <v/>
      </c>
      <c r="G13" s="22">
        <f>ROUND(AVERAGE(G10:G12),4)</f>
        <v/>
      </c>
      <c r="H13" s="23">
        <f>ROUND(AVERAGE(H10:H12),2)</f>
        <v/>
      </c>
    </row>
    <row r="14" ht="48" customHeight="1">
      <c r="A14" s="9" t="inlineStr">
        <is>
          <t>ALCANCE DE LOS PROMEDIOS. La fila TOTAL / PROMEDIO omite las celdas «Por determinar»: el promedio de VEGETACIÓN ALTA (NDVI 2025) se calcula sobre 2 de los 3 bloques; el bloque restante carece de estadística zonal de NDVI. Los totales de ÁREA y % de microcuenca sí comprenden la totalidad de los 3 bloques. No se estima ningún valor ausente.</t>
        </is>
      </c>
    </row>
    <row r="16" ht="84" customHeight="1">
      <c r="A16" s="9" t="inlineStr">
        <is>
          <t>LECTURA INTRAMICROCUENCA. El bloque M18B1 ocupa el puesto 3 de 3 por superficie dentro de la microcuenca C1077-Q9579 (21.92 % de las 731.52 ha preliminares de la microcuenca). Su pendiente promedio (20.37 %, clase «15-25% (Fuert. inclinado)») es la 2.ª más baja de 3 y se sitúa por encima del promedio de la microcuenca (20.03 %). Su MSAVI 2024 (0.3343) es el 3.º de 3 y queda por debajo del promedio local (0.3534). Amplitud altitudinal del bloque: 243 m (153–396 msnm). El cuadro conserva todos los bloques catalogados en la microcuenca, incluidos los descartados en el tamizaje, para referencia del conjunto. Los bloques sin ficha DT figuran con sus parámetros de gabinete.</t>
        </is>
      </c>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18:H18"/>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M18B1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«C1077-Q9579»</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264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(160.430 ha) coincide con la de catálogo (160.36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60 % de cobertura vegetal en campo; el NDVI mediana 2025 clasifica 99.33 %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11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«Hualas / Villa Malacasí / Mangamanga»; el cruce INEI-Bloques V5 identifica 1 centro(s) poblado(s) en el bloque: HUALAS</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(150 msnm)</t>
        </is>
      </c>
    </row>
    <row r="19" ht="48" customHeight="1">
      <c r="A19" s="36" t="inlineStr">
        <is>
          <t>D-10</t>
        </is>
      </c>
      <c r="B19" s="36" t="inlineStr">
        <is>
          <t>F-DT-02</t>
        </is>
      </c>
      <c r="C19" s="36" t="inlineStr">
        <is>
          <t>La observación declara erosión laminar en ≈25% del área frente al 10% consignado en el campo</t>
        </is>
      </c>
      <c r="D19" s="37" t="inlineStr">
        <is>
          <t>SUSTANTIVA</t>
        </is>
      </c>
      <c r="E19" s="36" t="inlineStr">
        <is>
          <t>Inconsistencia interna a resolver</t>
        </is>
      </c>
    </row>
    <row r="20" ht="48" customHeight="1">
      <c r="A20" s="34" t="inlineStr">
        <is>
          <t>D-11</t>
        </is>
      </c>
      <c r="B20" s="34" t="inlineStr">
        <is>
          <t>F-DT-03 / F-DT-04</t>
        </is>
      </c>
      <c r="C20" s="34" t="inlineStr">
        <is>
          <t>Suelo desnudo: 40% en F-DT-03 frente a 15% en el indicador N.° 2</t>
        </is>
      </c>
      <c r="D20" s="37" t="inlineStr">
        <is>
          <t>SUSTANTIVA</t>
        </is>
      </c>
      <c r="E20" s="34" t="inlineStr">
        <is>
          <t>Inconsistencia interna a resolver</t>
        </is>
      </c>
    </row>
    <row r="21" ht="48" customHeight="1">
      <c r="A21" s="36" t="inlineStr">
        <is>
          <t>D-12</t>
        </is>
      </c>
      <c r="B21" s="36" t="inlineStr">
        <is>
          <t>F-DT-03</t>
        </is>
      </c>
      <c r="C21" s="36" t="inlineStr">
        <is>
          <t>Cobertura vegetal total: 60% en el campo frente a 65% en la observación</t>
        </is>
      </c>
      <c r="D21" s="15" t="inlineStr">
        <is>
          <t>NO SUSTANTIVA</t>
        </is>
      </c>
      <c r="E21" s="36" t="inlineStr">
        <is>
          <t>Conciliar</t>
        </is>
      </c>
    </row>
    <row r="22" ht="48" customHeight="1">
      <c r="A22" s="34" t="inlineStr">
        <is>
          <t>D-13</t>
        </is>
      </c>
      <c r="B22" s="34" t="inlineStr">
        <is>
          <t>F-DT-03</t>
        </is>
      </c>
      <c r="C22" s="34" t="inlineStr">
        <is>
          <t>Solo 11 taxones registrados frente al mínimo de 15 exigido</t>
        </is>
      </c>
      <c r="D22" s="15" t="inlineStr">
        <is>
          <t>NO SUSTANTIVA</t>
        </is>
      </c>
      <c r="E22" s="34" t="inlineStr">
        <is>
          <t>Inventario a completar</t>
        </is>
      </c>
    </row>
    <row r="23" ht="48" customHeight="1">
      <c r="A23" s="36" t="inlineStr">
        <is>
          <t>D-14</t>
        </is>
      </c>
      <c r="B23" s="36" t="inlineStr">
        <is>
          <t>F-DT-03</t>
        </is>
      </c>
      <c r="C23" s="36" t="inlineStr">
        <is>
          <t>Categoría del Hualtaco consignada VU frente a CR en la mayoría de los bloques</t>
        </is>
      </c>
      <c r="D23" s="37" t="inlineStr">
        <is>
          <t>SUSTANTIVA</t>
        </is>
      </c>
      <c r="E23" s="36" t="inlineStr">
        <is>
          <t>Homogeneizar criterio de categorización</t>
        </is>
      </c>
    </row>
    <row r="24" ht="48" customHeight="1">
      <c r="A24" s="34" t="inlineStr">
        <is>
          <t>D-15</t>
        </is>
      </c>
      <c r="B24" s="34" t="inlineStr">
        <is>
          <t>F-DT-05</t>
        </is>
      </c>
      <c r="C24" s="34" t="inlineStr">
        <is>
          <t>Zona de recarga «No» y escorrentía concentrada «No» pese a registrarse socavamiento de cauce y 4 quebradas</t>
        </is>
      </c>
      <c r="D24" s="37" t="inlineStr">
        <is>
          <t>SUSTANTIVA</t>
        </is>
      </c>
      <c r="E24" s="34" t="inlineStr">
        <is>
          <t>Inconsistencia interna a resolver</t>
        </is>
      </c>
    </row>
    <row r="25" ht="48" customHeight="1">
      <c r="A25" s="36" t="inlineStr">
        <is>
          <t>D-16</t>
        </is>
      </c>
      <c r="B25" s="36" t="inlineStr">
        <is>
          <t>F-DT-05</t>
        </is>
      </c>
      <c r="C25" s="36" t="inlineStr">
        <is>
          <t>Captación poblacional de la JASS Hualas a 30 m del bloque</t>
        </is>
      </c>
      <c r="D25" s="37" t="inlineStr">
        <is>
          <t>SUSTANTIVA</t>
        </is>
      </c>
      <c r="E25" s="36" t="inlineStr">
        <is>
          <t>Oportunidad MERESE: vínculo directo entre la conservación del bloque y la seguridad hídrica del CP</t>
        </is>
      </c>
    </row>
    <row r="27">
      <c r="A27" s="16" t="inlineStr">
        <is>
          <t>RESUMEN</t>
        </is>
      </c>
      <c r="B27" s="17" t="inlineStr">
        <is>
          <t>16 verificaciones</t>
        </is>
      </c>
      <c r="C27" s="17" t="inlineStr">
        <is>
          <t>CONFORME: 4 · CORREGIDO: 1 · NO SUSTANTIVA: 3 · SUSTANTIVA: 8</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M18B1 — IN Piura</dc:title>
  <dc:subject>Diagnóstico Territorial por bloque de intervención</dc:subject>
  <dcterms:created xsi:type="dcterms:W3CDTF">2026-09-08T03:39:57Z</dcterms:created>
  <dcterms:modified xsi:type="dcterms:W3CDTF">2026-09-08T03:39:57Z</dcterms:modified>
</cp:coreProperties>
</file>