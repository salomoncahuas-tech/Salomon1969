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Miraflores</t>
        </is>
      </c>
      <c r="C13" s="6" t="inlineStr">
        <is>
          <t>Comunidad campesina</t>
        </is>
      </c>
      <c r="D13" s="7" t="inlineStr">
        <is>
          <t>C.C. Yamango - Sector Miraflores</t>
        </is>
      </c>
      <c r="E13" s="8" t="n"/>
      <c r="F13" s="8" t="n"/>
    </row>
    <row r="14">
      <c r="A14" s="6" t="inlineStr">
        <is>
          <t>Superficie de catálogo (V5/V6), ha</t>
        </is>
      </c>
      <c r="B14" s="7" t="n">
        <v>11.06</v>
      </c>
      <c r="C14" s="6" t="inlineStr">
        <is>
          <t>Fuente de superficie</t>
        </is>
      </c>
      <c r="D14" s="7" t="inlineStr">
        <is>
          <t>Catálogo maestro Bloques V5/V6</t>
        </is>
      </c>
      <c r="E14" s="8" t="n"/>
      <c r="F14" s="8" t="n"/>
    </row>
    <row r="15">
      <c r="A15" s="6" t="inlineStr">
        <is>
          <t>Centroide UTM ESTE (m)</t>
        </is>
      </c>
      <c r="B15" s="7" t="n">
        <v>641522</v>
      </c>
      <c r="C15" s="6" t="inlineStr">
        <is>
          <t>Centroide UTM NORTE (m)</t>
        </is>
      </c>
      <c r="D15" s="7" t="n">
        <v>9438064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3011</v>
      </c>
      <c r="C19" s="6" t="inlineStr">
        <is>
          <t>Altitud máxima (msnm)</t>
        </is>
      </c>
      <c r="D19" s="7" t="n">
        <v>3164</v>
      </c>
      <c r="E19" s="8" t="n"/>
      <c r="F19" s="8" t="n"/>
    </row>
    <row r="20">
      <c r="A20" s="6" t="inlineStr">
        <is>
          <t>Amplitud altitudinal (m)</t>
        </is>
      </c>
      <c r="B20" s="7" t="n">
        <v>153</v>
      </c>
      <c r="C20" s="6" t="inlineStr">
        <is>
          <t>Piso altitudinal dominante</t>
        </is>
      </c>
      <c r="D20" s="7" t="inlineStr">
        <is>
          <t>3000-3500 m (Puna baja)</t>
        </is>
      </c>
      <c r="E20" s="8" t="n"/>
      <c r="F20" s="8" t="n"/>
    </row>
    <row r="21">
      <c r="A21" s="6" t="inlineStr">
        <is>
          <t>Pendiente promedio (%)</t>
        </is>
      </c>
      <c r="B21" s="7" t="n">
        <v>26.16</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0.6685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(97.32 %)</t>
        </is>
      </c>
      <c r="E29" s="8" t="n"/>
      <c r="F29" s="8" t="n"/>
    </row>
    <row r="30">
      <c r="A30" s="6" t="inlineStr">
        <is>
          <t>Superficie clasificada NDVI 2025 (ha)</t>
        </is>
      </c>
      <c r="B30" s="7" t="n">
        <v>11.063</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11.06 ha</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70</v>
      </c>
      <c r="E35" s="8" t="n"/>
      <c r="F35" s="8" t="n"/>
    </row>
    <row r="36">
      <c r="A36" s="6" t="inlineStr">
        <is>
          <t>Suelo desnudo — campo (%)</t>
        </is>
      </c>
      <c r="B36" s="7" t="n">
        <v>12</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Varas</t>
        </is>
      </c>
      <c r="C41" s="6" t="inlineStr">
        <is>
          <t>Fecha de evaluación</t>
        </is>
      </c>
      <c r="D41" s="7" t="inlineStr">
        <is>
          <t>2026-05-26</t>
        </is>
      </c>
      <c r="E41" s="8" t="n"/>
      <c r="F41" s="8" t="n"/>
    </row>
    <row r="42">
      <c r="A42" s="6" t="inlineStr">
        <is>
          <t>Hora de registro</t>
        </is>
      </c>
      <c r="B42" s="7" t="inlineStr">
        <is>
          <t>12:38</t>
        </is>
      </c>
      <c r="C42" s="6" t="inlineStr">
        <is>
          <t>Correlativo de ficha</t>
        </is>
      </c>
      <c r="D42" s="7" t="inlineStr">
        <is>
          <t>DT-B52-2026-05</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14</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Modelo ganadero tradicional extensivo de subsistencia, débil diversificación productiva en cabeceras y ausencia de manejo silvopastoril</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0.66855</v>
      </c>
      <c r="C15" s="17" t="inlineStr">
        <is>
          <t>—</t>
        </is>
      </c>
      <c r="D15" s="17" t="inlineStr">
        <is>
          <t>Vigor alto · clase &gt; 0.6139</t>
        </is>
      </c>
      <c r="E15" s="17" t="inlineStr">
        <is>
          <t>Sobre umbral</t>
        </is>
      </c>
    </row>
    <row r="17" ht="72" customHeight="1">
      <c r="A17" s="9" t="inlineStr">
        <is>
          <t>NOTA METODOLÓGICA. La media del MSAVI 2024 del bloque (0.668550)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10.7659</v>
      </c>
      <c r="C21" s="19" t="n">
        <v>97.31999999999999</v>
      </c>
      <c r="D21" s="15" t="inlineStr">
        <is>
          <t>Dosel continuo, matorral denso o mosaico agroforestal</t>
        </is>
      </c>
      <c r="E21" s="15" t="inlineStr"/>
    </row>
    <row r="22">
      <c r="A22" s="13" t="inlineStr">
        <is>
          <t>Vegetación mediana</t>
        </is>
      </c>
      <c r="B22" s="20" t="n">
        <v>0.2969</v>
      </c>
      <c r="C22" s="21" t="n">
        <v>2.68</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11.06</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97.32 % del polígono clasificado como «Vegetación alta» por el NDVI 2025; la observación de campo corresponde a una parcela o recorrido puntual y no es estadísticamente representativa de las 11.060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52</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9437881</v>
      </c>
      <c r="E10" s="15" t="n">
        <v>4057.1</v>
      </c>
      <c r="F10" s="15" t="inlineStr"/>
      <c r="G10" s="15" t="inlineStr">
        <is>
          <t>Coordenada consignada en F-DT-01</t>
        </is>
      </c>
    </row>
    <row r="11">
      <c r="A11" s="13" t="inlineStr">
        <is>
          <t>C-01</t>
        </is>
      </c>
      <c r="B11" s="14" t="inlineStr">
        <is>
          <t>Rasgo erosivo — Surco (&lt;30 cm)</t>
        </is>
      </c>
      <c r="C11" s="27" t="n">
        <v>641610</v>
      </c>
      <c r="D11" s="27" t="n">
        <v>9437872</v>
      </c>
      <c r="E11" s="14" t="n">
        <v>211.2</v>
      </c>
      <c r="F11" s="14" t="inlineStr">
        <is>
          <t>Activa</t>
        </is>
      </c>
      <c r="G11" s="14" t="inlineStr">
        <is>
          <t>Caminos / huellas de ganado</t>
        </is>
      </c>
    </row>
    <row r="12">
      <c r="A12" s="7" t="inlineStr">
        <is>
          <t>C-02</t>
        </is>
      </c>
      <c r="B12" s="15" t="inlineStr">
        <is>
          <t>Rasgo erosivo — Cárcava incipiente (30-50 cm)</t>
        </is>
      </c>
      <c r="C12" s="26" t="n">
        <v>641586</v>
      </c>
      <c r="D12" s="26" t="n">
        <v>9437832</v>
      </c>
      <c r="E12" s="15" t="n">
        <v>240.7</v>
      </c>
      <c r="F12" s="15" t="inlineStr">
        <is>
          <t>Semi-activa</t>
        </is>
      </c>
      <c r="G12" s="15" t="inlineStr">
        <is>
          <t>Sobrepastoreo</t>
        </is>
      </c>
    </row>
    <row r="13">
      <c r="A13" s="13" t="inlineStr">
        <is>
          <t>C-03</t>
        </is>
      </c>
      <c r="B13" s="14" t="inlineStr">
        <is>
          <t>Rasgo erosivo — Cárcava somera (0.5-2 m)</t>
        </is>
      </c>
      <c r="C13" s="27" t="n">
        <v>641360</v>
      </c>
      <c r="D13" s="27" t="n">
        <v>9437903</v>
      </c>
      <c r="E13" s="14" t="n">
        <v>228.4</v>
      </c>
      <c r="F13" s="14" t="inlineStr">
        <is>
          <t>Activa</t>
        </is>
      </c>
      <c r="G13" s="14" t="inlineStr">
        <is>
          <t>Concentración natural de escorrentía</t>
        </is>
      </c>
    </row>
    <row r="14">
      <c r="A14" s="7" t="inlineStr">
        <is>
          <t>H-01</t>
        </is>
      </c>
      <c r="B14" s="15" t="inlineStr">
        <is>
          <t>Fuente de agua — Quebrada estacional</t>
        </is>
      </c>
      <c r="C14" s="26" t="n">
        <v>641450</v>
      </c>
      <c r="D14" s="26" t="n">
        <v>9438050</v>
      </c>
      <c r="E14" s="15" t="n">
        <v>73.3</v>
      </c>
      <c r="F14" s="15" t="inlineStr">
        <is>
          <t>Estacional (lluvias)</t>
        </is>
      </c>
      <c r="G14" s="15" t="inlineStr">
        <is>
          <t>Drenaje natural Q9575</t>
        </is>
      </c>
    </row>
    <row r="15">
      <c r="A15" s="13" t="inlineStr">
        <is>
          <t>H-02</t>
        </is>
      </c>
      <c r="B15" s="14" t="inlineStr">
        <is>
          <t>Fuente de agua — Manantial / Puquio</t>
        </is>
      </c>
      <c r="C15" s="27" t="n">
        <v>641680</v>
      </c>
      <c r="D15" s="27" t="n">
        <v>9437950</v>
      </c>
      <c r="E15" s="14" t="n">
        <v>194.8</v>
      </c>
      <c r="F15" s="14" t="inlineStr">
        <is>
          <t>Permanente</t>
        </is>
      </c>
      <c r="G15" s="14" t="inlineStr">
        <is>
          <t>Manantial pequeño dentro del bloque</t>
        </is>
      </c>
    </row>
    <row r="16">
      <c r="A16" s="7" t="inlineStr">
        <is>
          <t>B-01</t>
        </is>
      </c>
      <c r="B16" s="15" t="inlineStr">
        <is>
          <t>Especie clave — Polylepis racemosa (Queñual)</t>
        </is>
      </c>
      <c r="C16" s="26" t="n">
        <v>641675</v>
      </c>
      <c r="D16" s="26" t="n">
        <v>9437943</v>
      </c>
      <c r="E16" s="15" t="n">
        <v>195.1</v>
      </c>
      <c r="F16" s="15" t="inlineStr">
        <is>
          <t>Amenazada D.S. 043</t>
        </is>
      </c>
      <c r="G16" s="15" t="inlineStr">
        <is>
          <t>VU — Vulnerable</t>
        </is>
      </c>
    </row>
    <row r="17">
      <c r="A17" s="13" t="inlineStr">
        <is>
          <t>B-02</t>
        </is>
      </c>
      <c r="B17" s="14" t="inlineStr">
        <is>
          <t>Especie clave — Juglans neotropica (Nogal)</t>
        </is>
      </c>
      <c r="C17" s="27" t="n">
        <v>641675</v>
      </c>
      <c r="D17" s="27" t="n">
        <v>9437943</v>
      </c>
      <c r="E17" s="14" t="n">
        <v>195.1</v>
      </c>
      <c r="F17" s="14" t="inlineStr">
        <is>
          <t>Amenazada D.S. 043</t>
        </is>
      </c>
      <c r="G17" s="14" t="inlineStr">
        <is>
          <t>EN — En Peligro</t>
        </is>
      </c>
    </row>
    <row r="18">
      <c r="A18" s="7" t="inlineStr">
        <is>
          <t>B-03</t>
        </is>
      </c>
      <c r="B18" s="15" t="inlineStr">
        <is>
          <t>Especie clave — Cedrela montana (Cedro)</t>
        </is>
      </c>
      <c r="C18" s="26" t="n">
        <v>641675</v>
      </c>
      <c r="D18" s="26" t="n">
        <v>9437943</v>
      </c>
      <c r="E18" s="15" t="n">
        <v>195.1</v>
      </c>
      <c r="F18" s="15" t="inlineStr">
        <is>
          <t>Amenazada D.S. 043</t>
        </is>
      </c>
      <c r="G18" s="15" t="inlineStr">
        <is>
          <t>VU — Vulnerable</t>
        </is>
      </c>
    </row>
    <row r="19">
      <c r="A19" s="13" t="inlineStr">
        <is>
          <t>B-04</t>
        </is>
      </c>
      <c r="B19" s="14" t="inlineStr">
        <is>
          <t>Especie clave — Podocarpus oleifolius (Romerillo)</t>
        </is>
      </c>
      <c r="C19" s="27" t="n">
        <v>641675</v>
      </c>
      <c r="D19" s="27" t="n">
        <v>9437943</v>
      </c>
      <c r="E19" s="14" t="n">
        <v>195.1</v>
      </c>
      <c r="F19" s="14" t="inlineStr">
        <is>
          <t>Amenazada D.S. 043</t>
        </is>
      </c>
      <c r="G19" s="14" t="inlineStr">
        <is>
          <t>NT — Casi Amenazado</t>
        </is>
      </c>
    </row>
    <row r="20">
      <c r="A20" s="7" t="inlineStr">
        <is>
          <t>B-05</t>
        </is>
      </c>
      <c r="B20" s="15" t="inlineStr">
        <is>
          <t>Especie clave — Alnus acuminata (Aliso)</t>
        </is>
      </c>
      <c r="C20" s="26" t="n">
        <v>641618</v>
      </c>
      <c r="D20" s="26" t="n">
        <v>9437881</v>
      </c>
      <c r="E20" s="15" t="n">
        <v>206.7</v>
      </c>
      <c r="F20" s="15" t="inlineStr">
        <is>
          <t>Indicadora de buen estado</t>
        </is>
      </c>
      <c r="G20" s="15" t="inlineStr">
        <is>
          <t>LC</t>
        </is>
      </c>
    </row>
    <row r="21">
      <c r="A21" s="13" t="inlineStr">
        <is>
          <t>B-06</t>
        </is>
      </c>
      <c r="B21" s="14" t="inlineStr">
        <is>
          <t>Especie clave — Vaccinium sp. (Pushgay)</t>
        </is>
      </c>
      <c r="C21" s="27" t="n">
        <v>641675</v>
      </c>
      <c r="D21" s="27" t="n">
        <v>9437943</v>
      </c>
      <c r="E21" s="14" t="n">
        <v>195.1</v>
      </c>
      <c r="F21" s="14" t="inlineStr">
        <is>
          <t>Indicadora de buen estado</t>
        </is>
      </c>
      <c r="G21" s="14" t="inlineStr">
        <is>
          <t>LC</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641522</v>
      </c>
      <c r="C24" s="6" t="inlineStr">
        <is>
          <t>Centroide del bloque — UTM NORTE (m)</t>
        </is>
      </c>
      <c r="D24" s="7" t="n">
        <v>9438064</v>
      </c>
      <c r="E24" s="8" t="n"/>
      <c r="F24" s="8" t="n"/>
      <c r="G24" s="8" t="n"/>
      <c r="H24" s="8" t="n"/>
    </row>
    <row r="25">
      <c r="A25" s="6" t="inlineStr">
        <is>
          <t>N.° de estaciones fotográficas declaradas</t>
        </is>
      </c>
      <c r="B25" s="7" t="n">
        <v>14</v>
      </c>
      <c r="C25" s="6" t="inlineStr">
        <is>
          <t>Estaciones dentro del polígono</t>
        </is>
      </c>
      <c r="D25" s="7" t="inlineStr">
        <is>
          <t>Por determinar</t>
        </is>
      </c>
      <c r="E25" s="8" t="n"/>
      <c r="F25" s="8" t="n"/>
      <c r="G25" s="8" t="n"/>
      <c r="H25" s="8" t="n"/>
    </row>
    <row r="27" ht="108"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Cluster de bloques B52-B49-B55 en microcuenca C1086-Q9575 (zona Z09). Acceso por carretera departamental PI-124 (Yamango-Choco) y trocha vecinal afirmada; ingreso al polígono a pie desde el lado sur. Pendiente media observada en transectos: 24.3% y 32.9%; máxima local 55.9% (sector noreste). El talud de la trocha presenta evidencia de DERRUMBE COLUVIAL RECIENTE.</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8" t="n">
        <v>283.43</v>
      </c>
      <c r="C10" s="19" t="n">
        <v>58.52</v>
      </c>
      <c r="D10" s="15" t="inlineStr">
        <is>
          <t>297 – 634</t>
        </is>
      </c>
      <c r="E10" s="15" t="n">
        <v>337</v>
      </c>
      <c r="F10" s="15" t="n">
        <v>13.75</v>
      </c>
      <c r="G10" s="18" t="n">
        <v>0.4275</v>
      </c>
      <c r="H10" s="19" t="n">
        <v>18.09</v>
      </c>
    </row>
    <row r="11">
      <c r="A11" s="13" t="inlineStr">
        <is>
          <t>M28B2</t>
        </is>
      </c>
      <c r="B11" s="29" t="n">
        <v>90.2</v>
      </c>
      <c r="C11" s="21" t="n">
        <v>18.62</v>
      </c>
      <c r="D11" s="14" t="inlineStr">
        <is>
          <t>754 – 1111</t>
        </is>
      </c>
      <c r="E11" s="14" t="n">
        <v>357</v>
      </c>
      <c r="F11" s="14" t="n">
        <v>20.65</v>
      </c>
      <c r="G11" s="20" t="n">
        <v>0.4753</v>
      </c>
      <c r="H11" s="21" t="n">
        <v>37.12</v>
      </c>
    </row>
    <row r="12">
      <c r="A12" s="7" t="inlineStr">
        <is>
          <t>M28B3</t>
        </is>
      </c>
      <c r="B12" s="28" t="n">
        <v>58.29</v>
      </c>
      <c r="C12" s="19" t="n">
        <v>12.04</v>
      </c>
      <c r="D12" s="15" t="inlineStr">
        <is>
          <t>73 – 777</t>
        </is>
      </c>
      <c r="E12" s="15" t="n">
        <v>704</v>
      </c>
      <c r="F12" s="15" t="n">
        <v>22.13</v>
      </c>
      <c r="G12" s="18" t="n">
        <v>0.5075</v>
      </c>
      <c r="H12" s="19" t="n">
        <v>45.27</v>
      </c>
    </row>
    <row r="13">
      <c r="A13" s="13" t="inlineStr">
        <is>
          <t>46</t>
        </is>
      </c>
      <c r="B13" s="29" t="n">
        <v>18.87</v>
      </c>
      <c r="C13" s="21" t="n">
        <v>3.9</v>
      </c>
      <c r="D13" s="14" t="inlineStr">
        <is>
          <t>1371 – 1655</t>
        </is>
      </c>
      <c r="E13" s="14" t="n">
        <v>284</v>
      </c>
      <c r="F13" s="14" t="n">
        <v>31.77</v>
      </c>
      <c r="G13" s="20" t="n">
        <v>0.7244</v>
      </c>
      <c r="H13" s="21" t="inlineStr">
        <is>
          <t>Por determinar</t>
        </is>
      </c>
    </row>
    <row r="14">
      <c r="A14" s="7" t="inlineStr">
        <is>
          <t>49</t>
        </is>
      </c>
      <c r="B14" s="28" t="n">
        <v>15.84</v>
      </c>
      <c r="C14" s="19" t="n">
        <v>3.27</v>
      </c>
      <c r="D14" s="15" t="inlineStr">
        <is>
          <t>3065 – 3246</t>
        </is>
      </c>
      <c r="E14" s="15" t="n">
        <v>181</v>
      </c>
      <c r="F14" s="15" t="n">
        <v>25.96</v>
      </c>
      <c r="G14" s="18" t="n">
        <v>0.6860000000000001</v>
      </c>
      <c r="H14" s="19" t="n">
        <v>98.8</v>
      </c>
    </row>
    <row r="15">
      <c r="A15" s="11" t="inlineStr">
        <is>
          <t>► 52</t>
        </is>
      </c>
      <c r="B15" s="30" t="n">
        <v>11.06</v>
      </c>
      <c r="C15" s="31" t="n">
        <v>2.28</v>
      </c>
      <c r="D15" s="12" t="inlineStr">
        <is>
          <t>3011 – 3164</t>
        </is>
      </c>
      <c r="E15" s="12" t="n">
        <v>153</v>
      </c>
      <c r="F15" s="12" t="n">
        <v>26.16</v>
      </c>
      <c r="G15" s="32" t="n">
        <v>0.6685</v>
      </c>
      <c r="H15" s="31" t="n">
        <v>97.31999999999999</v>
      </c>
    </row>
    <row r="16">
      <c r="A16" s="7" t="inlineStr">
        <is>
          <t>48</t>
        </is>
      </c>
      <c r="B16" s="28" t="n">
        <v>5.75</v>
      </c>
      <c r="C16" s="19" t="n">
        <v>1.19</v>
      </c>
      <c r="D16" s="15" t="inlineStr">
        <is>
          <t>1458 – 1595</t>
        </is>
      </c>
      <c r="E16" s="15" t="n">
        <v>137</v>
      </c>
      <c r="F16" s="15" t="n">
        <v>33.6</v>
      </c>
      <c r="G16" s="18" t="n">
        <v>0.6978</v>
      </c>
      <c r="H16" s="19" t="inlineStr">
        <is>
          <t>Por determinar</t>
        </is>
      </c>
    </row>
    <row r="17">
      <c r="A17" s="13" t="inlineStr">
        <is>
          <t>55</t>
        </is>
      </c>
      <c r="B17" s="29" t="n">
        <v>0.86</v>
      </c>
      <c r="C17" s="21" t="n">
        <v>0.18</v>
      </c>
      <c r="D17" s="14" t="inlineStr">
        <is>
          <t>3066 – 3131</t>
        </is>
      </c>
      <c r="E17" s="14" t="n">
        <v>65</v>
      </c>
      <c r="F17" s="14"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row>
    <row r="21" ht="84" customHeight="1">
      <c r="A21" s="9" t="inlineStr">
        <is>
          <t>LECTURA INTRAMICROCUENCA. El bloque 52 ocupa el puesto 6 de 8 por superficie dentro de la microcuenca C1086-Q9575 (2.28 % de las 484.30 ha preliminares de la microcuenca). Su pendiente promedio (26.16 %, clase «25-50% (Mod. escarpado)») es la 5.ª más baja de 8 y se sitúa por encima del promedio de la microcuenca (25.51 %). Su MSAVI 2024 (0.6685) es el 4.º de 8 y queda por encima del promedio local (0.6021). Amplitud altitudinal del bloque: 153 m (3011–3164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9437881 N) dista 4,057 m del centroide de catálogo (641522 E / 9438064 N), distancia incompatible con la superficie del bloque (11.06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(11.063 ha) coincide con la de catálogo (11.06 ha) dentro del ±2 % (+0.02 %)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«Miraflores»; el cruce INEI-Bloques V5 identifica 1 centro(s) poblado(s) en el bloque: MIRAFLORES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2 · SUSTANTIVA: 3</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52 — IN Piura</dc:title>
  <dc:subject>Diagnóstico Territorial por bloque de intervención</dc:subject>
  <dcterms:created xsi:type="dcterms:W3CDTF">2026-09-08T03:39:56Z</dcterms:created>
  <dcterms:modified xsi:type="dcterms:W3CDTF">2026-09-08T03:39:56Z</dcterms:modified>
</cp:coreProperties>
</file>