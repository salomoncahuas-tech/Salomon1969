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6">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53</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53</t>
        </is>
      </c>
      <c r="C9" s="6" t="inlineStr">
        <is>
          <t>Microcuenca (catálogo)</t>
        </is>
      </c>
      <c r="D9" s="7" t="inlineStr">
        <is>
          <t>C1076-Q9592</t>
        </is>
      </c>
      <c r="E9" s="8" t="n"/>
      <c r="F9" s="8" t="n"/>
    </row>
    <row r="10">
      <c r="A10" s="6" t="inlineStr">
        <is>
          <t>Zona de planificación</t>
        </is>
      </c>
      <c r="B10" s="7" t="inlineStr">
        <is>
          <t>Z13</t>
        </is>
      </c>
      <c r="C10" s="6" t="inlineStr">
        <is>
          <t>Microcuenca declarada en ficha DT</t>
        </is>
      </c>
      <c r="D10" s="7" t="inlineStr">
        <is>
          <t>C1076-Q9592</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Huarmaca</t>
        </is>
      </c>
      <c r="C12" s="6" t="inlineStr">
        <is>
          <t>Capital distrital</t>
        </is>
      </c>
      <c r="D12" s="7" t="inlineStr">
        <is>
          <t>Huarmaca</t>
        </is>
      </c>
      <c r="E12" s="8" t="n"/>
      <c r="F12" s="8" t="n"/>
    </row>
    <row r="13">
      <c r="A13" s="6" t="inlineStr">
        <is>
          <t>Centro poblado asociado</t>
        </is>
      </c>
      <c r="B13" s="7" t="inlineStr">
        <is>
          <t>Zururán</t>
        </is>
      </c>
      <c r="C13" s="6" t="inlineStr">
        <is>
          <t>Comunidad campesina</t>
        </is>
      </c>
      <c r="D13" s="7" t="inlineStr">
        <is>
          <t>Por verificar — no se consultó registro de comunidades campesinas en campo</t>
        </is>
      </c>
      <c r="E13" s="8" t="n"/>
      <c r="F13" s="8" t="n"/>
    </row>
    <row r="14">
      <c r="A14" s="6" t="inlineStr">
        <is>
          <t>Superficie de catálogo (V5/V6), ha</t>
        </is>
      </c>
      <c r="B14" s="7" t="n">
        <v>13.06</v>
      </c>
      <c r="C14" s="6" t="inlineStr">
        <is>
          <t>Fuente de superficie</t>
        </is>
      </c>
      <c r="D14" s="7" t="inlineStr">
        <is>
          <t>Catálogo maestro Bloques V5/V6</t>
        </is>
      </c>
      <c r="E14" s="8" t="n"/>
      <c r="F14" s="8" t="n"/>
    </row>
    <row r="15">
      <c r="A15" s="6" t="inlineStr">
        <is>
          <t>Centroide UTM ESTE (m)</t>
        </is>
      </c>
      <c r="B15" s="7" t="n">
        <v>666537</v>
      </c>
      <c r="C15" s="6" t="inlineStr">
        <is>
          <t>Centroide UTM NORTE (m)</t>
        </is>
      </c>
      <c r="D15" s="7" t="n">
        <v>9395918</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2235</v>
      </c>
      <c r="C19" s="6" t="inlineStr">
        <is>
          <t>Altitud máxima (msnm)</t>
        </is>
      </c>
      <c r="D19" s="7" t="n">
        <v>2540</v>
      </c>
      <c r="E19" s="8" t="n"/>
      <c r="F19" s="8" t="n"/>
    </row>
    <row r="20">
      <c r="A20" s="6" t="inlineStr">
        <is>
          <t>Amplitud altitudinal (m)</t>
        </is>
      </c>
      <c r="B20" s="7" t="n">
        <v>305</v>
      </c>
      <c r="C20" s="6" t="inlineStr">
        <is>
          <t>Piso altitudinal dominante</t>
        </is>
      </c>
      <c r="D20" s="7" t="inlineStr">
        <is>
          <t>2000-2500 m (Quechua alta)</t>
        </is>
      </c>
      <c r="E20" s="8" t="n"/>
      <c r="F20" s="8" t="n"/>
    </row>
    <row r="21">
      <c r="A21" s="6" t="inlineStr">
        <is>
          <t>Pendiente promedio (%)</t>
        </is>
      </c>
      <c r="B21" s="7" t="n">
        <v>26.89</v>
      </c>
      <c r="C21" s="6" t="inlineStr">
        <is>
          <t>Pendiente promedio (grados)</t>
        </is>
      </c>
      <c r="D21" s="7" t="n">
        <v>15.1</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Suroeste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0.5963000000000001</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(86.15 %)</t>
        </is>
      </c>
      <c r="E29" s="8" t="n"/>
      <c r="F29" s="8" t="n"/>
    </row>
    <row r="30">
      <c r="A30" s="6" t="inlineStr">
        <is>
          <t>Superficie clasificada NDVI 2025 (ha)</t>
        </is>
      </c>
      <c r="B30" s="7" t="n">
        <v>13.066</v>
      </c>
      <c r="C30" s="6" t="inlineStr">
        <is>
          <t>Desviación frente al catálogo (%)</t>
        </is>
      </c>
      <c r="D30" s="7" t="n">
        <v>0.05</v>
      </c>
      <c r="E30" s="8" t="n"/>
      <c r="F30" s="8" t="n"/>
    </row>
    <row r="32" ht="18" customHeight="1">
      <c r="A32" s="5" t="inlineStr">
        <is>
          <t>4. ECOSISTEMA Y ESTADO DE CONSERVACIÓN</t>
        </is>
      </c>
    </row>
    <row r="33">
      <c r="A33" s="6" t="inlineStr">
        <is>
          <t>Tipo de ecosistema (UP)</t>
        </is>
      </c>
      <c r="B33" s="7" t="inlineStr">
        <is>
          <t>Matorral Andino subhúmedo</t>
        </is>
      </c>
      <c r="C33" s="6" t="inlineStr">
        <is>
          <t>Superficie de ecosistema (ha)</t>
        </is>
      </c>
      <c r="D33" s="7" t="inlineStr">
        <is>
          <t>13.066 ha</t>
        </is>
      </c>
      <c r="E33" s="8" t="n"/>
      <c r="F33" s="8" t="n"/>
    </row>
    <row r="34">
      <c r="A34" s="6" t="inlineStr">
        <is>
          <t>Estado de conservación</t>
        </is>
      </c>
      <c r="B34" s="7" t="inlineStr">
        <is>
          <t>Alterado (intervención marcada)</t>
        </is>
      </c>
      <c r="C34" s="6" t="inlineStr">
        <is>
          <t>Uso actual dominante del suelo</t>
        </is>
      </c>
      <c r="D34" s="7" t="inlineStr">
        <is>
          <t>Uso mixto</t>
        </is>
      </c>
      <c r="E34" s="8" t="n"/>
      <c r="F34" s="8" t="n"/>
    </row>
    <row r="35">
      <c r="A35" s="6" t="inlineStr">
        <is>
          <t>Tipo de cobertura dominante</t>
        </is>
      </c>
      <c r="B35" s="7" t="inlineStr">
        <is>
          <t>Matorral ralo</t>
        </is>
      </c>
      <c r="C35" s="6" t="inlineStr">
        <is>
          <t>Cobertura vegetal total — campo (%)</t>
        </is>
      </c>
      <c r="D35" s="7" t="n">
        <v>70</v>
      </c>
      <c r="E35" s="8" t="n"/>
      <c r="F35" s="8" t="n"/>
    </row>
    <row r="36">
      <c r="A36" s="6" t="inlineStr">
        <is>
          <t>Suelo desnudo — campo (%)</t>
        </is>
      </c>
      <c r="B36" s="7" t="n">
        <v>15</v>
      </c>
      <c r="C36" s="6" t="inlineStr">
        <is>
          <t>Regeneración natural</t>
        </is>
      </c>
      <c r="D36" s="7" t="inlineStr">
        <is>
          <t>Escasa (&lt;10 pl./100m²)</t>
        </is>
      </c>
      <c r="E36" s="8" t="n"/>
      <c r="F36" s="8" t="n"/>
    </row>
    <row r="37">
      <c r="A37" s="6" t="inlineStr">
        <is>
          <t>Nivel general de erosión</t>
        </is>
      </c>
      <c r="B37" s="7" t="inlineStr">
        <is>
          <t>Moderada (surcos)</t>
        </is>
      </c>
      <c r="C37" s="6" t="inlineStr">
        <is>
          <t>N.° de cárcavas registradas</t>
        </is>
      </c>
      <c r="D37" s="7" t="inlineStr">
        <is>
          <t>Por determinar</t>
        </is>
      </c>
      <c r="E37" s="8" t="n"/>
      <c r="F37" s="8" t="n"/>
    </row>
    <row r="38">
      <c r="A38" s="6" t="inlineStr">
        <is>
          <t>Elenco florístico (n.° de taxones)</t>
        </is>
      </c>
      <c r="B38" s="7" t="n">
        <v>15</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Por determinar</t>
        </is>
      </c>
      <c r="C41" s="6" t="inlineStr">
        <is>
          <t>Fecha de evaluación</t>
        </is>
      </c>
      <c r="D41" s="7" t="inlineStr">
        <is>
          <t>2026-09-05</t>
        </is>
      </c>
      <c r="E41" s="8" t="n"/>
      <c r="F41" s="8" t="n"/>
    </row>
    <row r="42">
      <c r="A42" s="6" t="inlineStr">
        <is>
          <t>Hora de registro</t>
        </is>
      </c>
      <c r="B42" s="7" t="inlineStr">
        <is>
          <t>10:35 - 11:10 h</t>
        </is>
      </c>
      <c r="C42" s="6" t="inlineStr">
        <is>
          <t>Correlativo de ficha</t>
        </is>
      </c>
      <c r="D42" s="7" t="inlineStr">
        <is>
          <t>F-DT-01/53/2026</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No instalada</t>
        </is>
      </c>
      <c r="E44" s="8" t="n"/>
      <c r="F44" s="8" t="n"/>
    </row>
    <row r="45">
      <c r="A45" s="6" t="inlineStr">
        <is>
          <t>Estaciones fotográficas georreferenciadas</t>
        </is>
      </c>
      <c r="B45" s="7" t="n">
        <v>10</v>
      </c>
      <c r="C45" s="6" t="inlineStr">
        <is>
          <t>Modalidad de acceso</t>
        </is>
      </c>
      <c r="D45" s="7" t="inlineStr">
        <is>
          <t>Vehicular + caminata &lt;30 min</t>
        </is>
      </c>
      <c r="E45" s="8" t="n"/>
      <c r="F45" s="8" t="n"/>
    </row>
    <row r="47" ht="18" customHeight="1">
      <c r="A47" s="5" t="inlineStr">
        <is>
          <t>6. SÍNTESIS PARA LA GESTIÓN DEL RIESGO EN CONTEXTO DE CAMBIO CLIMÁTICO</t>
        </is>
      </c>
    </row>
    <row r="48">
      <c r="A48" s="6" t="inlineStr">
        <is>
          <t>Causa subyacente principal</t>
        </is>
      </c>
      <c r="B48" s="7" t="inlineStr">
        <is>
          <t>Presión ganadera sin ordenamiento de carga ni clausura, sobre una unidad de cabecera de microcuenca</t>
        </is>
      </c>
      <c r="C48" s="6" t="inlineStr">
        <is>
          <t>Velocidad de degradación</t>
        </is>
      </c>
      <c r="D48" s="7" t="inlineStr">
        <is>
          <t>Moderada</t>
        </is>
      </c>
      <c r="E48" s="8" t="n"/>
      <c r="F48" s="8" t="n"/>
    </row>
    <row r="49">
      <c r="A49" s="6" t="inlineStr">
        <is>
          <t>Reversibilidad técnica</t>
        </is>
      </c>
      <c r="B49" s="7" t="inlineStr">
        <is>
          <t>Parcialmente reversible</t>
        </is>
      </c>
      <c r="C49" s="6" t="inlineStr">
        <is>
          <t>Urgencia de intervención</t>
        </is>
      </c>
      <c r="D49" s="7" t="inlineStr">
        <is>
          <t>Alta</t>
        </is>
      </c>
      <c r="E49" s="8" t="n"/>
      <c r="F49" s="8" t="n"/>
    </row>
    <row r="50">
      <c r="A50" s="6" t="inlineStr">
        <is>
          <t>Urgencia de control de erosión</t>
        </is>
      </c>
      <c r="B50" s="7" t="inlineStr">
        <is>
          <t>Alta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7"/>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53</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4" t="inlineStr">
        <is>
          <t>0.2650 - 0.3813</t>
        </is>
      </c>
      <c r="B13" s="15" t="inlineStr">
        <is>
          <t>Por determinar</t>
        </is>
      </c>
      <c r="C13" s="15" t="inlineStr">
        <is>
          <t>Por determinar</t>
        </is>
      </c>
      <c r="D13" s="15" t="inlineStr">
        <is>
          <t>Vigor muy bajo</t>
        </is>
      </c>
      <c r="E13" s="15"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0.5962769999999999</v>
      </c>
      <c r="C15" s="17" t="inlineStr">
        <is>
          <t>—</t>
        </is>
      </c>
      <c r="D15" s="17" t="inlineStr">
        <is>
          <t>Vigor moderado · clase 0.4976 - 0.6139</t>
        </is>
      </c>
      <c r="E15" s="17" t="inlineStr">
        <is>
          <t>Sobre umbral</t>
        </is>
      </c>
    </row>
    <row r="17" ht="72" customHeight="1">
      <c r="A17" s="9" t="inlineStr">
        <is>
          <t>NOTA METODOLÓGICA. La media del MSAVI 2024 del bloque (0.596277)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11.257</v>
      </c>
      <c r="C21" s="19" t="n">
        <v>86.15000000000001</v>
      </c>
      <c r="D21" s="11" t="inlineStr">
        <is>
          <t>Dosel continuo, matorral denso o mosaico agroforestal</t>
        </is>
      </c>
      <c r="E21" s="11" t="inlineStr"/>
    </row>
    <row r="22">
      <c r="A22" s="14" t="inlineStr">
        <is>
          <t>Vegetación mediana</t>
        </is>
      </c>
      <c r="B22" s="20" t="n">
        <v>1.7894</v>
      </c>
      <c r="C22" s="21" t="n">
        <v>13.7</v>
      </c>
      <c r="D22" s="15" t="inlineStr">
        <is>
          <t>Pastizal cultivado, matorral ralo, parcelas agrícolas</t>
        </is>
      </c>
      <c r="E22" s="15" t="inlineStr"/>
    </row>
    <row r="23">
      <c r="A23" s="7" t="inlineStr">
        <is>
          <t>Vegetación ligera</t>
        </is>
      </c>
      <c r="B23" s="18" t="n">
        <v>0.0198</v>
      </c>
      <c r="C23" s="19" t="n">
        <v>0.15</v>
      </c>
      <c r="D23" s="11" t="inlineStr">
        <is>
          <t>Cobertura discontinua, suelo parcialmente expuesto</t>
        </is>
      </c>
      <c r="E23" s="11" t="inlineStr"/>
    </row>
    <row r="24">
      <c r="A24" s="16" t="inlineStr">
        <is>
          <t>TOTAL CLASIFICADO</t>
        </is>
      </c>
      <c r="B24" s="22">
        <f>SUM(B21:B23)</f>
        <v/>
      </c>
      <c r="C24" s="23">
        <f>SUM(C21:C23)</f>
        <v/>
      </c>
      <c r="D24" s="17" t="inlineStr"/>
      <c r="E24" s="17" t="inlineStr"/>
    </row>
    <row r="25">
      <c r="A25" s="24" t="inlineStr">
        <is>
          <t>Superficie de catálogo (V5/V6)</t>
        </is>
      </c>
      <c r="B25" s="25" t="n">
        <v>13.06</v>
      </c>
      <c r="C25" s="25" t="inlineStr">
        <is>
          <t>—</t>
        </is>
      </c>
      <c r="D25" s="25" t="inlineStr">
        <is>
          <t>Desviación planimétrica frente al catálogo</t>
        </is>
      </c>
      <c r="E25" s="25" t="inlineStr">
        <is>
          <t>+0.05 %</t>
        </is>
      </c>
    </row>
    <row r="27" ht="108" customHeight="1">
      <c r="A27"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70 % frente a un 86.15 % del polígono clasificado como «Vegetación alta» por el NDVI 2025; la observación de campo corresponde a una parcela o recorrido puntual y no es estadísticamente representativa de las 13.060 ha del bloque.</t>
        </is>
      </c>
    </row>
  </sheetData>
  <mergeCells count="10">
    <mergeCell ref="A4:E4"/>
    <mergeCell ref="A2:E2"/>
    <mergeCell ref="A19:E19"/>
    <mergeCell ref="A1:E1"/>
    <mergeCell ref="A5:E5"/>
    <mergeCell ref="A8:E8"/>
    <mergeCell ref="A6:E6"/>
    <mergeCell ref="A17:E17"/>
    <mergeCell ref="A27:E2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5"/>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53</t>
        </is>
      </c>
    </row>
    <row r="6" ht="24" customHeight="1">
      <c r="A6" s="4" t="inlineStr">
        <is>
          <t>Levantamiento del 2026-09-05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t>
        </is>
      </c>
      <c r="B10" s="11" t="inlineStr">
        <is>
          <t>Sin puntos georreferenciados en la ficha DT</t>
        </is>
      </c>
      <c r="C10" s="11" t="inlineStr"/>
      <c r="D10" s="11" t="inlineStr"/>
      <c r="E10" s="11" t="inlineStr"/>
      <c r="F10" s="11" t="inlineStr"/>
      <c r="G10" s="11" t="inlineStr">
        <is>
          <t>No corresponde para este bloque</t>
        </is>
      </c>
    </row>
    <row r="12">
      <c r="A12" s="6" t="inlineStr">
        <is>
          <t>Centroide del bloque — UTM ESTE (m)</t>
        </is>
      </c>
      <c r="B12" s="7" t="n">
        <v>666537</v>
      </c>
      <c r="C12" s="6" t="inlineStr">
        <is>
          <t>Centroide del bloque — UTM NORTE (m)</t>
        </is>
      </c>
      <c r="D12" s="7" t="n">
        <v>9395918</v>
      </c>
      <c r="E12" s="8" t="n"/>
      <c r="F12" s="8" t="n"/>
      <c r="G12" s="8" t="n"/>
      <c r="H12" s="8" t="n"/>
    </row>
    <row r="13">
      <c r="A13" s="6" t="inlineStr">
        <is>
          <t>N.° de estaciones fotográficas declaradas</t>
        </is>
      </c>
      <c r="B13" s="7" t="n">
        <v>10</v>
      </c>
      <c r="C13" s="6" t="inlineStr">
        <is>
          <t>Estaciones dentro del polígono</t>
        </is>
      </c>
      <c r="D13" s="7" t="inlineStr">
        <is>
          <t>Por determinar</t>
        </is>
      </c>
      <c r="E13" s="8" t="n"/>
      <c r="F13" s="8" t="n"/>
      <c r="G13" s="8" t="n"/>
      <c r="H13" s="8" t="n"/>
    </row>
    <row r="15" ht="108" customHeight="1">
      <c r="A15"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PRELLENADO DE GABINETE. Ninguna ficha F-DT fue diligenciada en campo el 19-08-2026; el reconocimiento consistió en recorrido con registro fotográfico georreferenciado. Pendiente promedio zonal (MDE) 26.89% ≈ 15.05°; rango altitudinal 2235-2540 msnm (amplitud 305 m). Escarpes activos en taludes de corte del camino de herradura y de la trocha en el borde noroccidental.</t>
        </is>
      </c>
    </row>
  </sheetData>
  <mergeCells count="8">
    <mergeCell ref="A1:G1"/>
    <mergeCell ref="A8:G8"/>
    <mergeCell ref="A3:G3"/>
    <mergeCell ref="A6:G6"/>
    <mergeCell ref="A4:G4"/>
    <mergeCell ref="A2:G2"/>
    <mergeCell ref="A15:G15"/>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5"/>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C1076-Q9592 — BLOQUE 53</t>
        </is>
      </c>
    </row>
    <row r="6" ht="24" customHeight="1">
      <c r="A6" s="4" t="inlineStr">
        <is>
          <t>Distrito de Huarmaca · Provincia de Huancabamba · Comparación de los bloques preliminares de intervención de la misma microcuenca</t>
        </is>
      </c>
    </row>
    <row r="8" ht="18" customHeight="1">
      <c r="A8" s="5" t="inlineStr">
        <is>
          <t>BLOQUES DE LA MICROCUENCA C1076-Q9592</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18</t>
        </is>
      </c>
      <c r="B10" s="26" t="n">
        <v>103.62</v>
      </c>
      <c r="C10" s="19" t="n">
        <v>21.54</v>
      </c>
      <c r="D10" s="11" t="inlineStr">
        <is>
          <t>1218 – 1904</t>
        </is>
      </c>
      <c r="E10" s="11" t="n">
        <v>686</v>
      </c>
      <c r="F10" s="11" t="n">
        <v>28.7</v>
      </c>
      <c r="G10" s="18" t="n">
        <v>0.6402</v>
      </c>
      <c r="H10" s="19" t="n">
        <v>96.64</v>
      </c>
    </row>
    <row r="11">
      <c r="A11" s="14" t="inlineStr">
        <is>
          <t>19</t>
        </is>
      </c>
      <c r="B11" s="27" t="n">
        <v>82.09</v>
      </c>
      <c r="C11" s="21" t="n">
        <v>17.06</v>
      </c>
      <c r="D11" s="15" t="inlineStr">
        <is>
          <t>2064 – 2503</t>
        </is>
      </c>
      <c r="E11" s="15" t="n">
        <v>439</v>
      </c>
      <c r="F11" s="15" t="n">
        <v>31.01</v>
      </c>
      <c r="G11" s="20" t="n">
        <v>0.5372</v>
      </c>
      <c r="H11" s="21" t="n">
        <v>60.33</v>
      </c>
    </row>
    <row r="12">
      <c r="A12" s="7" t="inlineStr">
        <is>
          <t>41</t>
        </is>
      </c>
      <c r="B12" s="26" t="n">
        <v>64.92</v>
      </c>
      <c r="C12" s="19" t="n">
        <v>13.49</v>
      </c>
      <c r="D12" s="11" t="inlineStr">
        <is>
          <t>1536 – 1818</t>
        </is>
      </c>
      <c r="E12" s="11" t="n">
        <v>282</v>
      </c>
      <c r="F12" s="11" t="n">
        <v>25.53</v>
      </c>
      <c r="G12" s="18" t="n">
        <v>0.5927</v>
      </c>
      <c r="H12" s="19" t="n">
        <v>98.02</v>
      </c>
    </row>
    <row r="13">
      <c r="A13" s="14" t="inlineStr">
        <is>
          <t>73</t>
        </is>
      </c>
      <c r="B13" s="27" t="n">
        <v>54.29</v>
      </c>
      <c r="C13" s="21" t="n">
        <v>11.28</v>
      </c>
      <c r="D13" s="15" t="inlineStr">
        <is>
          <t>1845 – 2305</t>
        </is>
      </c>
      <c r="E13" s="15" t="n">
        <v>460</v>
      </c>
      <c r="F13" s="15" t="n">
        <v>36.34</v>
      </c>
      <c r="G13" s="20" t="n">
        <v>0.555</v>
      </c>
      <c r="H13" s="21" t="n">
        <v>88.8</v>
      </c>
    </row>
    <row r="14">
      <c r="A14" s="7" t="inlineStr">
        <is>
          <t>31</t>
        </is>
      </c>
      <c r="B14" s="26" t="n">
        <v>47.58</v>
      </c>
      <c r="C14" s="19" t="n">
        <v>9.890000000000001</v>
      </c>
      <c r="D14" s="11" t="inlineStr">
        <is>
          <t>1741 – 2234</t>
        </is>
      </c>
      <c r="E14" s="11" t="n">
        <v>493</v>
      </c>
      <c r="F14" s="11" t="n">
        <v>27.08</v>
      </c>
      <c r="G14" s="18" t="n">
        <v>0.4358</v>
      </c>
      <c r="H14" s="19" t="n">
        <v>18.56</v>
      </c>
    </row>
    <row r="15">
      <c r="A15" s="14" t="inlineStr">
        <is>
          <t>29</t>
        </is>
      </c>
      <c r="B15" s="27" t="n">
        <v>40.1</v>
      </c>
      <c r="C15" s="21" t="n">
        <v>8.33</v>
      </c>
      <c r="D15" s="15" t="inlineStr">
        <is>
          <t>2142 – 2391</t>
        </is>
      </c>
      <c r="E15" s="15" t="n">
        <v>249</v>
      </c>
      <c r="F15" s="15" t="n">
        <v>31.54</v>
      </c>
      <c r="G15" s="20" t="n">
        <v>0.5482</v>
      </c>
      <c r="H15" s="21" t="inlineStr">
        <is>
          <t>Por determinar</t>
        </is>
      </c>
    </row>
    <row r="16">
      <c r="A16" s="7" t="inlineStr">
        <is>
          <t>70</t>
        </is>
      </c>
      <c r="B16" s="26" t="n">
        <v>22.39</v>
      </c>
      <c r="C16" s="19" t="n">
        <v>4.65</v>
      </c>
      <c r="D16" s="11" t="inlineStr">
        <is>
          <t>2326 – 2536</t>
        </is>
      </c>
      <c r="E16" s="11" t="n">
        <v>210</v>
      </c>
      <c r="F16" s="11" t="n">
        <v>23.2</v>
      </c>
      <c r="G16" s="18" t="n">
        <v>0.6223</v>
      </c>
      <c r="H16" s="19" t="n">
        <v>98.39</v>
      </c>
    </row>
    <row r="17">
      <c r="A17" s="14" t="inlineStr">
        <is>
          <t>68</t>
        </is>
      </c>
      <c r="B17" s="27" t="n">
        <v>21.29</v>
      </c>
      <c r="C17" s="21" t="n">
        <v>4.42</v>
      </c>
      <c r="D17" s="15" t="inlineStr">
        <is>
          <t>2086 – 2374</t>
        </is>
      </c>
      <c r="E17" s="15" t="n">
        <v>288</v>
      </c>
      <c r="F17" s="15" t="n">
        <v>36.81</v>
      </c>
      <c r="G17" s="20" t="n">
        <v>0.483</v>
      </c>
      <c r="H17" s="21" t="inlineStr">
        <is>
          <t>Por determinar</t>
        </is>
      </c>
    </row>
    <row r="18">
      <c r="A18" s="7" t="inlineStr">
        <is>
          <t>69</t>
        </is>
      </c>
      <c r="B18" s="26" t="n">
        <v>19.43</v>
      </c>
      <c r="C18" s="19" t="n">
        <v>4.04</v>
      </c>
      <c r="D18" s="11" t="inlineStr">
        <is>
          <t>1931 – 2205</t>
        </is>
      </c>
      <c r="E18" s="11" t="n">
        <v>274</v>
      </c>
      <c r="F18" s="11" t="n">
        <v>27.95</v>
      </c>
      <c r="G18" s="18" t="n">
        <v>0.4489</v>
      </c>
      <c r="H18" s="19" t="n">
        <v>22.92</v>
      </c>
    </row>
    <row r="19">
      <c r="A19" s="12" t="inlineStr">
        <is>
          <t>► 53</t>
        </is>
      </c>
      <c r="B19" s="28" t="n">
        <v>13.06</v>
      </c>
      <c r="C19" s="29" t="n">
        <v>2.71</v>
      </c>
      <c r="D19" s="13" t="inlineStr">
        <is>
          <t>2235 – 2540</t>
        </is>
      </c>
      <c r="E19" s="13" t="n">
        <v>305</v>
      </c>
      <c r="F19" s="13" t="n">
        <v>26.89</v>
      </c>
      <c r="G19" s="30" t="n">
        <v>0.5963000000000001</v>
      </c>
      <c r="H19" s="29" t="n">
        <v>86.15000000000001</v>
      </c>
    </row>
    <row r="20">
      <c r="A20" s="7" t="inlineStr">
        <is>
          <t>72</t>
        </is>
      </c>
      <c r="B20" s="26" t="n">
        <v>12.4</v>
      </c>
      <c r="C20" s="19" t="n">
        <v>2.58</v>
      </c>
      <c r="D20" s="11" t="inlineStr">
        <is>
          <t>1538 – 1742</t>
        </is>
      </c>
      <c r="E20" s="11" t="n">
        <v>204</v>
      </c>
      <c r="F20" s="11" t="n">
        <v>28.25</v>
      </c>
      <c r="G20" s="18" t="n">
        <v>0.5185</v>
      </c>
      <c r="H20" s="19" t="n">
        <v>92.44</v>
      </c>
    </row>
    <row r="21">
      <c r="A21" s="16" t="inlineStr">
        <is>
          <t>TOTAL / PROMEDIO</t>
        </is>
      </c>
      <c r="B21" s="31">
        <f>SUM(B10:B20)</f>
        <v/>
      </c>
      <c r="C21" s="23">
        <f>SUM(C10:C20)</f>
        <v/>
      </c>
      <c r="D21" s="17" t="inlineStr">
        <is>
          <t>1218 – 2540</t>
        </is>
      </c>
      <c r="E21" s="17" t="inlineStr"/>
      <c r="F21" s="17">
        <f>ROUND(AVERAGE(F10:F20),2)</f>
        <v/>
      </c>
      <c r="G21" s="22">
        <f>ROUND(AVERAGE(G10:G20),4)</f>
        <v/>
      </c>
      <c r="H21" s="23">
        <f>ROUND(AVERAGE(H10:H20),2)</f>
        <v/>
      </c>
    </row>
    <row r="23" ht="84" customHeight="1">
      <c r="A23" s="9" t="inlineStr">
        <is>
          <t>LECTURA INTRAMICROCUENCA. El bloque 53 ocupa el puesto 10 de 11 por superficie dentro de la microcuenca C1076-Q9592 (2.71 % de las 481.17 ha preliminares de la microcuenca). Su pendiente promedio (26.89 %, clase «25-50% (Mod. escarpado)») es la 3.ª más baja de 11 y se sitúa por debajo del promedio de la microcuenca (29.39 %). Su MSAVI 2024 (0.5963) es el 3.º de 11 y queda por encima del promedio local (0.5435). Amplitud altitudinal del bloque: 305 m (2235–2540 msnm). El cuadro conserva todos los bloques catalogados en la microcuenca, incluidos los descartados en el tamizaje, para referencia del conjunto. Los bloques sin ficha DT figuran con sus parámetros de gabinete.</t>
        </is>
      </c>
    </row>
    <row r="25" ht="60" customHeight="1">
      <c r="A25"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5:H25"/>
    <mergeCell ref="A2:H2"/>
    <mergeCell ref="A5:H5"/>
    <mergeCell ref="A23:H23"/>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0"/>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53</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2" t="inlineStr">
        <is>
          <t>D-01</t>
        </is>
      </c>
      <c r="B10" s="32" t="inlineStr">
        <is>
          <t>Código de microcuenca</t>
        </is>
      </c>
      <c r="C10" s="32" t="inlineStr">
        <is>
          <t>Ficha DT y catálogo maestro coinciden en «C1076-Q9592»</t>
        </is>
      </c>
      <c r="D10" s="33" t="inlineStr">
        <is>
          <t>CONFORME</t>
        </is>
      </c>
      <c r="E10" s="32" t="inlineStr">
        <is>
          <t>Sin acción.</t>
        </is>
      </c>
    </row>
    <row r="11" ht="48" customHeight="1">
      <c r="A11" s="34" t="inlineStr">
        <is>
          <t>D-02</t>
        </is>
      </c>
      <c r="B11" s="34" t="inlineStr">
        <is>
          <t>UTM del punto de muestreo</t>
        </is>
      </c>
      <c r="C11" s="34" t="inlineStr">
        <is>
          <t>Las celdas de UTM ESTE / NORTE del punto de muestreo están vacías o incompletas en la ficha DT</t>
        </is>
      </c>
      <c r="D11" s="35" t="inlineStr">
        <is>
          <t>SUSTANTIVA</t>
        </is>
      </c>
      <c r="E11" s="34" t="inlineStr">
        <is>
          <t>No se sustituye por el centroide del catálogo. Se consigna «Por registrar en campo».</t>
        </is>
      </c>
    </row>
    <row r="12" ht="48" customHeight="1">
      <c r="A12" s="32" t="inlineStr">
        <is>
          <t>D-03</t>
        </is>
      </c>
      <c r="B12" s="32" t="inlineStr">
        <is>
          <t>Superficie del polígono</t>
        </is>
      </c>
      <c r="C12" s="32" t="inlineStr">
        <is>
          <t>La superficie clasificada por el NDVI 2025 (13.066 ha) coincide con la de catálogo (13.06 ha) dentro del ±2 % (+0.05 %)</t>
        </is>
      </c>
      <c r="D12" s="33" t="inlineStr">
        <is>
          <t>CONFORME</t>
        </is>
      </c>
      <c r="E12" s="32" t="inlineStr">
        <is>
          <t>Sin acción: la segmentación valida la geometría del bloque.</t>
        </is>
      </c>
    </row>
    <row r="13" ht="48" customHeight="1">
      <c r="A13" s="34" t="inlineStr">
        <is>
          <t>D-04</t>
        </is>
      </c>
      <c r="B13" s="34" t="inlineStr">
        <is>
          <t>Cobertura vegetal total</t>
        </is>
      </c>
      <c r="C13" s="34" t="inlineStr">
        <is>
          <t>La ficha DT estima 70 % de cobertura vegetal en campo; el NDVI mediana 2025 clasifica 100.00 % del polígono en clases de vegetación</t>
        </is>
      </c>
      <c r="D13" s="13" t="inlineStr">
        <is>
          <t>NO SUSTANTIVA</t>
        </is>
      </c>
      <c r="E13" s="34" t="inlineStr">
        <is>
          <t>Se declaran ambos valores. La observación de campo corresponde a una parcela o recorrido puntual y no es representativa de la totalidad del bloque; el índice espectral no discrimina composición ni integridad ecosistémica.</t>
        </is>
      </c>
    </row>
    <row r="14" ht="48" customHeight="1">
      <c r="A14" s="32" t="inlineStr">
        <is>
          <t>D-05</t>
        </is>
      </c>
      <c r="B14" s="32" t="inlineStr">
        <is>
          <t>Inventario georreferenciado de cárcavas</t>
        </is>
      </c>
      <c r="C14" s="32" t="inlineStr">
        <is>
          <t>El inventario de cárcavas no fue ejecutado o no consta en la ficha DT</t>
        </is>
      </c>
      <c r="D14" s="35" t="inlineStr">
        <is>
          <t>SUSTANTIVA</t>
        </is>
      </c>
      <c r="E14" s="32" t="inlineStr">
        <is>
          <t>La ausencia de registros NO equivale a ausencia verificada de cárcavas. Queda pendiente el levantamiento instrumental a cargo del especialista de Infraestructura Marrón antes de fijar metas físicas de infraestructura gris.</t>
        </is>
      </c>
    </row>
    <row r="15" ht="48" customHeight="1">
      <c r="A15" s="34" t="inlineStr">
        <is>
          <t>D-06</t>
        </is>
      </c>
      <c r="B15" s="34" t="inlineStr">
        <is>
          <t>Centro poblado asociado</t>
        </is>
      </c>
      <c r="C15" s="34" t="inlineStr">
        <is>
          <t>La ficha DT declara «Zururán»; el cruce INEI-Bloques V5 identifica 1 centro(s) poblado(s) en el bloque: ZURURAN</t>
        </is>
      </c>
      <c r="D15" s="13" t="inlineStr">
        <is>
          <t>NO SUSTANTIVA</t>
        </is>
      </c>
      <c r="E15" s="34" t="inlineStr">
        <is>
          <t>Se conserva el registro de campo como referencia y se adopta el listado INEI para el diagnóstico social y el cálculo de población beneficiaria.</t>
        </is>
      </c>
    </row>
    <row r="16" ht="48" customHeight="1">
      <c r="A16" s="32" t="inlineStr">
        <is>
          <t>D-07</t>
        </is>
      </c>
      <c r="B16" s="32" t="inlineStr">
        <is>
          <t>Peligro integrado (MCA-AHP)</t>
        </is>
      </c>
      <c r="C16" s="32" t="inlineStr">
        <is>
          <t>El nivel de peligro integrado no está disponible en los insumos de este entregable</t>
        </is>
      </c>
      <c r="D16" s="35" t="inlineStr">
        <is>
          <t>SUSTANTIVA</t>
        </is>
      </c>
      <c r="E16" s="32" t="inlineStr">
        <is>
          <t>Debe tomarse del modelamiento de mesolocalización (PMM + EPH + PGI ponderados por AHP) antes de fijar la prioridad definitiva de intervención del bloque.</t>
        </is>
      </c>
    </row>
    <row r="18">
      <c r="A18" s="16" t="inlineStr">
        <is>
          <t>RESUMEN</t>
        </is>
      </c>
      <c r="B18" s="17" t="inlineStr">
        <is>
          <t>7 verificaciones</t>
        </is>
      </c>
      <c r="C18" s="17" t="inlineStr">
        <is>
          <t>CONFORME: 2 · NO SUSTANTIVA: 2 · SUSTANTIVA: 3</t>
        </is>
      </c>
      <c r="D18" s="17" t="inlineStr"/>
      <c r="E18" s="17" t="inlineStr"/>
    </row>
    <row r="20" ht="60" customHeight="1">
      <c r="A20"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0:E20"/>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53 — IN Piura</dc:title>
  <dc:subject>Diagnóstico Territorial por bloque de intervención</dc:subject>
  <dcterms:created xsi:type="dcterms:W3CDTF">2026-09-08T02:45:06Z</dcterms:created>
  <dcterms:modified xsi:type="dcterms:W3CDTF">2026-09-08T02:45:06Z</dcterms:modified>
</cp:coreProperties>
</file>