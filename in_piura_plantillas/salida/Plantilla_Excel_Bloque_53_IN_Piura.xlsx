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53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13.06</v>
      </c>
      <c r="C14" s="6" t="inlineStr">
        <is>
          <t>Fuente de superficie</t>
        </is>
      </c>
      <c r="D14" s="7" t="inlineStr">
        <is>
          <t>Catálogo maestro Bloques V5/V6</t>
        </is>
      </c>
      <c r="E14" s="8" t="n"/>
      <c r="F14" s="8" t="n"/>
    </row>
    <row r="15">
      <c r="A15" s="6" t="inlineStr">
        <is>
          <t>Centroide UTM ESTE (m)</t>
        </is>
      </c>
      <c r="B15" s="7" t="n">
        <v>666537</v>
      </c>
      <c r="C15" s="6" t="inlineStr">
        <is>
          <t>Centroide UTM NORTE (m)</t>
        </is>
      </c>
      <c r="D15" s="7" t="n">
        <v>9395918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2235</v>
      </c>
      <c r="C19" s="6" t="inlineStr">
        <is>
          <t>Altitud máxima (msnm)</t>
        </is>
      </c>
      <c r="D19" s="7" t="n">
        <v>2540</v>
      </c>
      <c r="E19" s="8" t="n"/>
      <c r="F19" s="8" t="n"/>
    </row>
    <row r="20">
      <c r="A20" s="6" t="inlineStr">
        <is>
          <t>Amplitud altitudinal (m)</t>
        </is>
      </c>
      <c r="B20" s="7" t="n">
        <v>305</v>
      </c>
      <c r="C20" s="6" t="inlineStr">
        <is>
          <t>Piso altitudinal dominante</t>
        </is>
      </c>
      <c r="D20" s="7" t="inlineStr">
        <is>
          <t>2000-2500 m (Quechua alta)</t>
        </is>
      </c>
      <c r="E20" s="8" t="n"/>
      <c r="F20" s="8" t="n"/>
    </row>
    <row r="21">
      <c r="A21" s="6" t="inlineStr">
        <is>
          <t>Pendiente promedio (%)</t>
        </is>
      </c>
      <c r="B21" s="7" t="n">
        <v>26.89</v>
      </c>
      <c r="C21" s="6" t="inlineStr">
        <is>
          <t>Pendiente promedio (grados)</t>
        </is>
      </c>
      <c r="D21" s="7" t="n">
        <v>15.1</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0.5963000000000001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(86.15 %)</t>
        </is>
      </c>
      <c r="E29" s="8" t="n"/>
      <c r="F29" s="8" t="n"/>
    </row>
    <row r="30">
      <c r="A30" s="6" t="inlineStr">
        <is>
          <t>Superficie clasificada NDVI 2025 (ha)</t>
        </is>
      </c>
      <c r="B30" s="7" t="n">
        <v>13.066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13.066 ha</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Matorral ralo</t>
        </is>
      </c>
      <c r="C35" s="6" t="inlineStr">
        <is>
          <t>Cobertura vegetal total — campo (%)</t>
        </is>
      </c>
      <c r="D35" s="7" t="n">
        <v>70</v>
      </c>
      <c r="E35" s="8" t="n"/>
      <c r="F35" s="8" t="n"/>
    </row>
    <row r="36">
      <c r="A36" s="6" t="inlineStr">
        <is>
          <t>Suelo desnudo — campo (%)</t>
        </is>
      </c>
      <c r="B36" s="7" t="n">
        <v>15</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inlineStr">
        <is>
          <t>Por determinar</t>
        </is>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Por determinar</t>
        </is>
      </c>
      <c r="C41" s="6" t="inlineStr">
        <is>
          <t>Fecha de evaluación</t>
        </is>
      </c>
      <c r="D41" s="7" t="inlineStr">
        <is>
          <t>2026-09-05</t>
        </is>
      </c>
      <c r="E41" s="8" t="n"/>
      <c r="F41" s="8" t="n"/>
    </row>
    <row r="42">
      <c r="A42" s="6" t="inlineStr">
        <is>
          <t>Hora de registro</t>
        </is>
      </c>
      <c r="B42" s="7" t="inlineStr">
        <is>
          <t>10:35 - 11:10 h</t>
        </is>
      </c>
      <c r="C42" s="6" t="inlineStr">
        <is>
          <t>Correlativo de ficha</t>
        </is>
      </c>
      <c r="D42" s="7" t="inlineStr">
        <is>
          <t>F-DT-01/53/2026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10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ganadera sin ordenamiento de carga ni clausura, sobre una unidad de cabecera de microcuenca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0.5962769999999999</v>
      </c>
      <c r="C15" s="17" t="inlineStr">
        <is>
          <t>—</t>
        </is>
      </c>
      <c r="D15" s="17" t="inlineStr">
        <is>
          <t>Vigor moderado · clase 0.4976 - 0.6139</t>
        </is>
      </c>
      <c r="E15" s="17" t="inlineStr">
        <is>
          <t>Sobre umbral</t>
        </is>
      </c>
    </row>
    <row r="17" ht="72" customHeight="1">
      <c r="A17" s="9" t="inlineStr">
        <is>
          <t>NOTA METODOLÓGICA. La media del MSAVI 2024 del bloque (0.596277)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11.257</v>
      </c>
      <c r="C21" s="19" t="n">
        <v>86.15000000000001</v>
      </c>
      <c r="D21" s="11" t="inlineStr">
        <is>
          <t>Dosel continuo, matorral denso o mosaico agroforestal</t>
        </is>
      </c>
      <c r="E21" s="11" t="inlineStr"/>
    </row>
    <row r="22">
      <c r="A22" s="14" t="inlineStr">
        <is>
          <t>Vegetación mediana</t>
        </is>
      </c>
      <c r="B22" s="20" t="n">
        <v>1.7894</v>
      </c>
      <c r="C22" s="21" t="n">
        <v>13.7</v>
      </c>
      <c r="D22" s="15" t="inlineStr">
        <is>
          <t>Pastizal cultivado, matorral ralo, parcelas agrícolas</t>
        </is>
      </c>
      <c r="E22" s="15" t="inlineStr"/>
    </row>
    <row r="23">
      <c r="A23" s="7" t="inlineStr">
        <is>
          <t>Vegetación ligera</t>
        </is>
      </c>
      <c r="B23" s="18" t="n">
        <v>0.0198</v>
      </c>
      <c r="C23" s="19" t="n">
        <v>0.15</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13.06</v>
      </c>
      <c r="C25" s="25" t="inlineStr">
        <is>
          <t>—</t>
        </is>
      </c>
      <c r="D25" s="25" t="inlineStr">
        <is>
          <t>Desviación planimétrica frente al catálogo</t>
        </is>
      </c>
      <c r="E25" s="25" t="inlineStr">
        <is>
          <t>+0.05 %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86.15 % del polígono clasificado como «Vegetación alta» por el NDVI 2025; la observación de campo corresponde a una parcela o recorrido puntual y no es estadísticamente representativa de las 13.060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53</t>
        </is>
      </c>
    </row>
    <row r="6" ht="24" customHeight="1">
      <c r="A6" s="4" t="inlineStr">
        <is>
          <t>Levantamiento del 2026-09-05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666537</v>
      </c>
      <c r="C12" s="6" t="inlineStr">
        <is>
          <t>Centroide del bloque — UTM NORTE (m)</t>
        </is>
      </c>
      <c r="D12" s="7" t="n">
        <v>9395918</v>
      </c>
      <c r="E12" s="8" t="n"/>
      <c r="F12" s="8" t="n"/>
      <c r="G12" s="8" t="n"/>
      <c r="H12" s="8" t="n"/>
    </row>
    <row r="13">
      <c r="A13" s="6" t="inlineStr">
        <is>
          <t>N.° de estaciones fotográficas declaradas</t>
        </is>
      </c>
      <c r="B13" s="7" t="n">
        <v>10</v>
      </c>
      <c r="C13" s="6" t="inlineStr">
        <is>
          <t>Estaciones dentro del polígono</t>
        </is>
      </c>
      <c r="D13" s="7" t="inlineStr">
        <is>
          <t>Por determinar</t>
        </is>
      </c>
      <c r="E13" s="8" t="n"/>
      <c r="F13" s="8" t="n"/>
      <c r="G13" s="8" t="n"/>
      <c r="H13" s="8" t="n"/>
    </row>
    <row r="15" ht="108"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26.89% ≈ 15.05°; rango altitudinal 2235-2540 msnm (amplitud 305 m). Escarpes activos en taludes de corte del camino de herradura y de la trocha en el borde noroccidental.</t>
        </is>
      </c>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53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6" t="n">
        <v>103.62</v>
      </c>
      <c r="C10" s="19" t="n">
        <v>21.54</v>
      </c>
      <c r="D10" s="11" t="inlineStr">
        <is>
          <t>1218 – 1904</t>
        </is>
      </c>
      <c r="E10" s="11" t="n">
        <v>686</v>
      </c>
      <c r="F10" s="11" t="n">
        <v>28.7</v>
      </c>
      <c r="G10" s="18" t="n">
        <v>0.6402</v>
      </c>
      <c r="H10" s="19" t="n">
        <v>96.64</v>
      </c>
    </row>
    <row r="11">
      <c r="A11" s="14" t="inlineStr">
        <is>
          <t>19</t>
        </is>
      </c>
      <c r="B11" s="27" t="n">
        <v>82.09</v>
      </c>
      <c r="C11" s="21" t="n">
        <v>17.06</v>
      </c>
      <c r="D11" s="15" t="inlineStr">
        <is>
          <t>2064 – 2503</t>
        </is>
      </c>
      <c r="E11" s="15" t="n">
        <v>439</v>
      </c>
      <c r="F11" s="15" t="n">
        <v>31.01</v>
      </c>
      <c r="G11" s="20" t="n">
        <v>0.5372</v>
      </c>
      <c r="H11" s="21" t="n">
        <v>60.33</v>
      </c>
    </row>
    <row r="12">
      <c r="A12" s="7" t="inlineStr">
        <is>
          <t>41</t>
        </is>
      </c>
      <c r="B12" s="26" t="n">
        <v>64.92</v>
      </c>
      <c r="C12" s="19" t="n">
        <v>13.49</v>
      </c>
      <c r="D12" s="11" t="inlineStr">
        <is>
          <t>1536 – 1818</t>
        </is>
      </c>
      <c r="E12" s="11" t="n">
        <v>282</v>
      </c>
      <c r="F12" s="11" t="n">
        <v>25.53</v>
      </c>
      <c r="G12" s="18" t="n">
        <v>0.5927</v>
      </c>
      <c r="H12" s="19" t="n">
        <v>98.02</v>
      </c>
    </row>
    <row r="13">
      <c r="A13" s="14" t="inlineStr">
        <is>
          <t>73</t>
        </is>
      </c>
      <c r="B13" s="27" t="n">
        <v>54.29</v>
      </c>
      <c r="C13" s="21" t="n">
        <v>11.28</v>
      </c>
      <c r="D13" s="15" t="inlineStr">
        <is>
          <t>1845 – 2305</t>
        </is>
      </c>
      <c r="E13" s="15" t="n">
        <v>460</v>
      </c>
      <c r="F13" s="15" t="n">
        <v>36.34</v>
      </c>
      <c r="G13" s="20" t="n">
        <v>0.555</v>
      </c>
      <c r="H13" s="21" t="n">
        <v>88.8</v>
      </c>
    </row>
    <row r="14">
      <c r="A14" s="7" t="inlineStr">
        <is>
          <t>31</t>
        </is>
      </c>
      <c r="B14" s="26" t="n">
        <v>47.58</v>
      </c>
      <c r="C14" s="19" t="n">
        <v>9.890000000000001</v>
      </c>
      <c r="D14" s="11" t="inlineStr">
        <is>
          <t>1741 – 2234</t>
        </is>
      </c>
      <c r="E14" s="11" t="n">
        <v>493</v>
      </c>
      <c r="F14" s="11" t="n">
        <v>27.08</v>
      </c>
      <c r="G14" s="18" t="n">
        <v>0.4358</v>
      </c>
      <c r="H14" s="19" t="n">
        <v>18.56</v>
      </c>
    </row>
    <row r="15">
      <c r="A15" s="14" t="inlineStr">
        <is>
          <t>29</t>
        </is>
      </c>
      <c r="B15" s="27" t="n">
        <v>40.1</v>
      </c>
      <c r="C15" s="21" t="n">
        <v>8.33</v>
      </c>
      <c r="D15" s="15" t="inlineStr">
        <is>
          <t>2142 – 2391</t>
        </is>
      </c>
      <c r="E15" s="15" t="n">
        <v>249</v>
      </c>
      <c r="F15" s="15" t="n">
        <v>31.54</v>
      </c>
      <c r="G15" s="20" t="n">
        <v>0.5482</v>
      </c>
      <c r="H15" s="21" t="inlineStr">
        <is>
          <t>Por determinar</t>
        </is>
      </c>
    </row>
    <row r="16">
      <c r="A16" s="7" t="inlineStr">
        <is>
          <t>70</t>
        </is>
      </c>
      <c r="B16" s="26" t="n">
        <v>22.39</v>
      </c>
      <c r="C16" s="19" t="n">
        <v>4.65</v>
      </c>
      <c r="D16" s="11" t="inlineStr">
        <is>
          <t>2326 – 2536</t>
        </is>
      </c>
      <c r="E16" s="11" t="n">
        <v>210</v>
      </c>
      <c r="F16" s="11" t="n">
        <v>23.2</v>
      </c>
      <c r="G16" s="18" t="n">
        <v>0.6223</v>
      </c>
      <c r="H16" s="19" t="n">
        <v>98.39</v>
      </c>
    </row>
    <row r="17">
      <c r="A17" s="14" t="inlineStr">
        <is>
          <t>68</t>
        </is>
      </c>
      <c r="B17" s="27" t="n">
        <v>21.29</v>
      </c>
      <c r="C17" s="21" t="n">
        <v>4.42</v>
      </c>
      <c r="D17" s="15" t="inlineStr">
        <is>
          <t>2086 – 2374</t>
        </is>
      </c>
      <c r="E17" s="15" t="n">
        <v>288</v>
      </c>
      <c r="F17" s="15" t="n">
        <v>36.81</v>
      </c>
      <c r="G17" s="20" t="n">
        <v>0.483</v>
      </c>
      <c r="H17" s="21" t="inlineStr">
        <is>
          <t>Por determinar</t>
        </is>
      </c>
    </row>
    <row r="18">
      <c r="A18" s="7" t="inlineStr">
        <is>
          <t>69</t>
        </is>
      </c>
      <c r="B18" s="26" t="n">
        <v>19.43</v>
      </c>
      <c r="C18" s="19" t="n">
        <v>4.04</v>
      </c>
      <c r="D18" s="11" t="inlineStr">
        <is>
          <t>1931 – 2205</t>
        </is>
      </c>
      <c r="E18" s="11" t="n">
        <v>274</v>
      </c>
      <c r="F18" s="11" t="n">
        <v>27.95</v>
      </c>
      <c r="G18" s="18" t="n">
        <v>0.4489</v>
      </c>
      <c r="H18" s="19" t="n">
        <v>22.92</v>
      </c>
    </row>
    <row r="19">
      <c r="A19" s="12" t="inlineStr">
        <is>
          <t>► 53</t>
        </is>
      </c>
      <c r="B19" s="28" t="n">
        <v>13.06</v>
      </c>
      <c r="C19" s="29" t="n">
        <v>2.71</v>
      </c>
      <c r="D19" s="13" t="inlineStr">
        <is>
          <t>2235 – 2540</t>
        </is>
      </c>
      <c r="E19" s="13" t="n">
        <v>305</v>
      </c>
      <c r="F19" s="13" t="n">
        <v>26.89</v>
      </c>
      <c r="G19" s="30" t="n">
        <v>0.5963000000000001</v>
      </c>
      <c r="H19" s="29" t="n">
        <v>86.15000000000001</v>
      </c>
    </row>
    <row r="20">
      <c r="A20" s="7" t="inlineStr">
        <is>
          <t>72</t>
        </is>
      </c>
      <c r="B20" s="26" t="n">
        <v>12.4</v>
      </c>
      <c r="C20" s="19" t="n">
        <v>2.58</v>
      </c>
      <c r="D20" s="11" t="inlineStr">
        <is>
          <t>1538 – 1742</t>
        </is>
      </c>
      <c r="E20" s="11" t="n">
        <v>204</v>
      </c>
      <c r="F20" s="11" t="n">
        <v>28.25</v>
      </c>
      <c r="G20" s="18" t="n">
        <v>0.5185</v>
      </c>
      <c r="H20" s="19" t="n">
        <v>92.44</v>
      </c>
    </row>
    <row r="21">
      <c r="A21" s="16" t="inlineStr">
        <is>
          <t>TOTAL / PROMEDIO</t>
        </is>
      </c>
      <c r="B21" s="31">
        <f>SUM(B10:B20)</f>
        <v/>
      </c>
      <c r="C21" s="23">
        <f>SUM(C10:C20)</f>
        <v/>
      </c>
      <c r="D21" s="17" t="inlineStr">
        <is>
          <t>1218 – 2540</t>
        </is>
      </c>
      <c r="E21" s="17" t="inlineStr"/>
      <c r="F21" s="17">
        <f>ROUND(AVERAGE(F10:F20),2)</f>
        <v/>
      </c>
      <c r="G21" s="22">
        <f>ROUND(AVERAGE(G10:G20),4)</f>
        <v/>
      </c>
      <c r="H21" s="23">
        <f>ROUND(AVERAGE(H10:H20),2)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row>
    <row r="24" ht="84" customHeight="1">
      <c r="A24" s="9" t="inlineStr">
        <is>
          <t>LECTURA INTRAMICROCUENCA. El bloque 53 ocupa el puesto 10 de 11 por superficie dentro de la microcuenca C1076-Q9592 (2.71 % de las 481.17 ha preliminares de la microcuenca). Su pendiente promedio (26.89 %, clase «25-50% (Mod. escarpado)») es la 3.ª más baja de 11 y se sitúa por debajo del promedio de la microcuenca (29.39 %). Su MSAVI 2024 (0.5963) es el 3.º de 11 y queda por encima del promedio local (0.5435). Amplitud altitudinal del bloque: 305 m (2235–2540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6:H26"/>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«C1076-Q9592»</t>
        </is>
      </c>
      <c r="D10" s="33" t="inlineStr">
        <is>
          <t>CONFORME</t>
        </is>
      </c>
      <c r="E10" s="32" t="inlineStr">
        <is>
          <t>Sin acción.</t>
        </is>
      </c>
    </row>
    <row r="11" ht="48" customHeight="1">
      <c r="A11" s="34" t="inlineStr">
        <is>
          <t>D-02</t>
        </is>
      </c>
      <c r="B11" s="34" t="inlineStr">
        <is>
          <t>UTM del punto de muestreo</t>
        </is>
      </c>
      <c r="C11" s="34" t="inlineStr">
        <is>
          <t>Las celdas de UTM ESTE / NORTE del punto de muestreo están vacías o incompletas en la ficha DT</t>
        </is>
      </c>
      <c r="D11" s="35"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(13.066 ha) coincide con la de catálogo (13.06 ha) dentro del ±2 % (+0.05 %)</t>
        </is>
      </c>
      <c r="D12" s="33" t="inlineStr">
        <is>
          <t>CONFORME</t>
        </is>
      </c>
      <c r="E12" s="32" t="inlineStr">
        <is>
          <t>Sin acción: la segmentación valida la geometría del bloque.</t>
        </is>
      </c>
    </row>
    <row r="13" ht="48" customHeight="1">
      <c r="A13" s="34" t="inlineStr">
        <is>
          <t>D-04</t>
        </is>
      </c>
      <c r="B13" s="34" t="inlineStr">
        <is>
          <t>Cobertura vegetal total</t>
        </is>
      </c>
      <c r="C13" s="34" t="inlineStr">
        <is>
          <t>La ficha DT estima 70 % de cobertura vegetal en campo; el NDVI mediana 2025 clasifica 100.00 % del polígono en clases de vegetación</t>
        </is>
      </c>
      <c r="D13" s="13" t="inlineStr">
        <is>
          <t>NO SUSTANTIVA</t>
        </is>
      </c>
      <c r="E13" s="34"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2" t="inlineStr">
        <is>
          <t>D-05</t>
        </is>
      </c>
      <c r="B14" s="32" t="inlineStr">
        <is>
          <t>Inventario georreferenciado de cárcavas</t>
        </is>
      </c>
      <c r="C14" s="32" t="inlineStr">
        <is>
          <t>El inventario de cárcavas no fue ejecutado o no consta en la ficha DT</t>
        </is>
      </c>
      <c r="D14" s="35" t="inlineStr">
        <is>
          <t>SUSTANTIVA</t>
        </is>
      </c>
      <c r="E14" s="32"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4" t="inlineStr">
        <is>
          <t>D-06</t>
        </is>
      </c>
      <c r="B15" s="34" t="inlineStr">
        <is>
          <t>Centro poblado asociado</t>
        </is>
      </c>
      <c r="C15" s="34" t="inlineStr">
        <is>
          <t>La ficha DT declara «Zururán»; el cruce INEI-Bloques V5 identifica 1 centro(s) poblado(s) en el bloque: ZURURAN</t>
        </is>
      </c>
      <c r="D15" s="13" t="inlineStr">
        <is>
          <t>NO SUSTANTIVA</t>
        </is>
      </c>
      <c r="E15" s="34" t="inlineStr">
        <is>
          <t>Se conserva el registro de campo como referencia y se adopta el listado INEI para el diagnóstico social y el cálculo de población beneficiaria.</t>
        </is>
      </c>
    </row>
    <row r="16" ht="48" customHeight="1">
      <c r="A16" s="32" t="inlineStr">
        <is>
          <t>D-07</t>
        </is>
      </c>
      <c r="B16" s="32" t="inlineStr">
        <is>
          <t>Peligro integrado (MCA-AHP)</t>
        </is>
      </c>
      <c r="C16" s="32" t="inlineStr">
        <is>
          <t>El nivel de peligro integrado no está disponible en los insumos de este entregable</t>
        </is>
      </c>
      <c r="D16" s="35" t="inlineStr">
        <is>
          <t>SUSTANTIVA</t>
        </is>
      </c>
      <c r="E16" s="32"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2 · NO SUSTANTIVA: 2 · SUSTANTIVA: 3</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53 — IN Piura</dc:title>
  <dc:subject>Diagnóstico Territorial por bloque de intervención</dc:subject>
  <dcterms:created xsi:type="dcterms:W3CDTF">2026-09-08T03:39:59Z</dcterms:created>
  <dcterms:modified xsi:type="dcterms:W3CDTF">2026-09-08T03:39:59Z</dcterms:modified>
</cp:coreProperties>
</file>