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M28B3</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M28B3</t>
        </is>
      </c>
      <c r="C9" s="6" t="inlineStr">
        <is>
          <t>Microcuenca (catálogo)</t>
        </is>
      </c>
      <c r="D9" s="7" t="inlineStr">
        <is>
          <t>C1086-Q9575</t>
        </is>
      </c>
      <c r="E9" s="8" t="n"/>
      <c r="F9" s="8" t="n"/>
    </row>
    <row r="10">
      <c r="A10" s="6" t="inlineStr">
        <is>
          <t>Zona de planificación</t>
        </is>
      </c>
      <c r="B10" s="7" t="inlineStr">
        <is>
          <t>Z09</t>
        </is>
      </c>
      <c r="C10" s="6" t="inlineStr">
        <is>
          <t>Microcuenca declarada en ficha DT</t>
        </is>
      </c>
      <c r="D10" s="7" t="inlineStr">
        <is>
          <t>C1086-Q9575</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Yamango</t>
        </is>
      </c>
      <c r="C12" s="6" t="inlineStr">
        <is>
          <t>Capital distrital</t>
        </is>
      </c>
      <c r="D12" s="7" t="inlineStr">
        <is>
          <t>Yamango</t>
        </is>
      </c>
      <c r="E12" s="8" t="n"/>
      <c r="F12" s="8" t="n"/>
    </row>
    <row r="13">
      <c r="A13" s="6" t="inlineStr">
        <is>
          <t>Centro poblado asociado</t>
        </is>
      </c>
      <c r="B13" s="7" t="inlineStr">
        <is>
          <t>Ricardo Palma</t>
        </is>
      </c>
      <c r="C13" s="6" t="inlineStr">
        <is>
          <t>Comunidad campesina</t>
        </is>
      </c>
      <c r="D13" s="7" t="inlineStr">
        <is>
          <t>No consignada</t>
        </is>
      </c>
      <c r="E13" s="8" t="n"/>
      <c r="F13" s="8" t="n"/>
    </row>
    <row r="14">
      <c r="A14" s="6" t="inlineStr">
        <is>
          <t>Superficie de catálogo (V5/V6), ha</t>
        </is>
      </c>
      <c r="B14" s="7" t="n">
        <v>58.29</v>
      </c>
      <c r="C14" s="6" t="inlineStr">
        <is>
          <t>Fuente de superficie</t>
        </is>
      </c>
      <c r="D14" s="7" t="inlineStr">
        <is>
          <t>Catálogo maestro Bloques V5/V6</t>
        </is>
      </c>
      <c r="E14" s="8" t="n"/>
      <c r="F14" s="8" t="n"/>
    </row>
    <row r="15">
      <c r="A15" s="6" t="inlineStr">
        <is>
          <t>Centroide UTM ESTE (m)</t>
        </is>
      </c>
      <c r="B15" s="7" t="n">
        <v>634061</v>
      </c>
      <c r="C15" s="6" t="inlineStr">
        <is>
          <t>Centroide UTM NORTE (m)</t>
        </is>
      </c>
      <c r="D15" s="7" t="n">
        <v>9426778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73</v>
      </c>
      <c r="C19" s="6" t="inlineStr">
        <is>
          <t>Altitud máxima (msnm)</t>
        </is>
      </c>
      <c r="D19" s="7" t="n">
        <v>777</v>
      </c>
      <c r="E19" s="8" t="n"/>
      <c r="F19" s="8" t="n"/>
    </row>
    <row r="20">
      <c r="A20" s="6" t="inlineStr">
        <is>
          <t>Amplitud altitudinal (m)</t>
        </is>
      </c>
      <c r="B20" s="7" t="n">
        <v>704</v>
      </c>
      <c r="C20" s="6" t="inlineStr">
        <is>
          <t>Piso altitudinal dominante</t>
        </is>
      </c>
      <c r="D20" s="7" t="inlineStr">
        <is>
          <t>&lt;1000 m (Yunga)</t>
        </is>
      </c>
      <c r="E20" s="8" t="n"/>
      <c r="F20" s="8" t="n"/>
    </row>
    <row r="21">
      <c r="A21" s="6" t="inlineStr">
        <is>
          <t>Pendiente promedio (%)</t>
        </is>
      </c>
      <c r="B21" s="7" t="n">
        <v>22.13</v>
      </c>
      <c r="C21" s="6" t="inlineStr">
        <is>
          <t>Pendiente promedio (grados)</t>
        </is>
      </c>
      <c r="D21" s="7" t="n">
        <v>12.5</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0.5075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(48.80 %)</t>
        </is>
      </c>
      <c r="E29" s="8" t="n"/>
      <c r="F29" s="8" t="n"/>
    </row>
    <row r="30">
      <c r="A30" s="6" t="inlineStr">
        <is>
          <t>Superficie clasificada NDVI 2025 (ha)</t>
        </is>
      </c>
      <c r="B30" s="7" t="n">
        <v>58.312</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58.29 ha (100% del bloque)</t>
        </is>
      </c>
      <c r="E33" s="8" t="n"/>
      <c r="F33" s="8" t="n"/>
    </row>
    <row r="34">
      <c r="A34" s="6" t="inlineStr">
        <is>
          <t>Estado de conservación</t>
        </is>
      </c>
      <c r="B34" s="7" t="inlineStr">
        <is>
          <t>Medianamente alterado</t>
        </is>
      </c>
      <c r="C34" s="6" t="inlineStr">
        <is>
          <t>Uso actual dominante del suelo</t>
        </is>
      </c>
      <c r="D34" s="7" t="inlineStr">
        <is>
          <t>Agricultura en secano</t>
        </is>
      </c>
      <c r="E34" s="8" t="n"/>
      <c r="F34" s="8" t="n"/>
    </row>
    <row r="35">
      <c r="A35" s="6" t="inlineStr">
        <is>
          <t>Tipo de cobertura dominante</t>
        </is>
      </c>
      <c r="B35" s="7" t="inlineStr">
        <is>
          <t>Bosque ralo (30-70%)</t>
        </is>
      </c>
      <c r="C35" s="6" t="inlineStr">
        <is>
          <t>Cobertura vegetal total — campo (%)</t>
        </is>
      </c>
      <c r="D35" s="7" t="inlineStr">
        <is>
          <t>Sin registro en ficha</t>
        </is>
      </c>
      <c r="E35" s="8" t="n"/>
      <c r="F35" s="8" t="n"/>
    </row>
    <row r="36">
      <c r="A36" s="6" t="inlineStr">
        <is>
          <t>Suelo desnudo — campo (%)</t>
        </is>
      </c>
      <c r="B36" s="7" t="n">
        <v>20</v>
      </c>
      <c r="C36" s="6" t="inlineStr">
        <is>
          <t>Regeneración natural</t>
        </is>
      </c>
      <c r="D36" s="7" t="inlineStr">
        <is>
          <t>Escasa (&lt;10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Juan Domínguez y Pedro Talledo</t>
        </is>
      </c>
      <c r="C41" s="6" t="inlineStr">
        <is>
          <t>Fecha de evaluación</t>
        </is>
      </c>
      <c r="D41" s="7" t="inlineStr">
        <is>
          <t>2026-05-25</t>
        </is>
      </c>
      <c r="E41" s="8" t="n"/>
      <c r="F41" s="8" t="n"/>
    </row>
    <row r="42">
      <c r="A42" s="6" t="inlineStr">
        <is>
          <t>Hora de registro</t>
        </is>
      </c>
      <c r="B42" s="7" t="inlineStr">
        <is>
          <t>16:45 - 17:30 h</t>
        </is>
      </c>
      <c r="C42" s="6" t="inlineStr">
        <is>
          <t>Correlativo de ficha</t>
        </is>
      </c>
      <c r="D42" s="7" t="inlineStr">
        <is>
          <t>Por determinar</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Pastoreo de ganado caprino</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M28B3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0.507529</v>
      </c>
      <c r="C15" s="17" t="inlineStr">
        <is>
          <t>—</t>
        </is>
      </c>
      <c r="D15" s="17" t="inlineStr">
        <is>
          <t>Vigor moderado · clase 0.4976 - 0.6139</t>
        </is>
      </c>
      <c r="E15" s="17" t="inlineStr">
        <is>
          <t>Sobre umbral</t>
        </is>
      </c>
    </row>
    <row r="17" ht="72" customHeight="1">
      <c r="A17" s="9" t="inlineStr">
        <is>
          <t>NOTA METODOLÓGICA. La media del MSAVI 2024 del bloque (0.507529)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26.3986</v>
      </c>
      <c r="C21" s="19" t="n">
        <v>45.27</v>
      </c>
      <c r="D21" s="11" t="inlineStr">
        <is>
          <t>Dosel continuo, matorral denso o mosaico agroforestal</t>
        </is>
      </c>
      <c r="E21" s="11" t="inlineStr"/>
    </row>
    <row r="22">
      <c r="A22" s="14" t="inlineStr">
        <is>
          <t>Vegetación mediana</t>
        </is>
      </c>
      <c r="B22" s="20" t="n">
        <v>28.4587</v>
      </c>
      <c r="C22" s="21" t="n">
        <v>48.8</v>
      </c>
      <c r="D22" s="15" t="inlineStr">
        <is>
          <t>Pastizal cultivado, matorral ralo, parcelas agrícolas</t>
        </is>
      </c>
      <c r="E22" s="15" t="inlineStr"/>
    </row>
    <row r="23">
      <c r="A23" s="7" t="inlineStr">
        <is>
          <t>Vegetación ligera</t>
        </is>
      </c>
      <c r="B23" s="18" t="n">
        <v>3.2264</v>
      </c>
      <c r="C23" s="19" t="n">
        <v>5.53</v>
      </c>
      <c r="D23" s="11" t="inlineStr">
        <is>
          <t>Cobertura discontinua, suelo parcialmente expuesto</t>
        </is>
      </c>
      <c r="E23" s="11" t="inlineStr"/>
    </row>
    <row r="24">
      <c r="A24" s="14" t="inlineStr">
        <is>
          <t>Tierra desnuda</t>
        </is>
      </c>
      <c r="B24" s="20" t="n">
        <v>0.2288</v>
      </c>
      <c r="C24" s="21" t="n">
        <v>0.39</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58.29</v>
      </c>
      <c r="C26" s="25" t="inlineStr">
        <is>
          <t>—</t>
        </is>
      </c>
      <c r="D26" s="25" t="inlineStr">
        <is>
          <t>Desviación planimétrica frente al catálogo</t>
        </is>
      </c>
      <c r="E26" s="25" t="inlineStr">
        <is>
          <t>+0.04 %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M28B3</t>
        </is>
      </c>
    </row>
    <row r="6" ht="24" customHeight="1">
      <c r="A6" s="4" t="inlineStr">
        <is>
          <t>Levantamiento del 2026-05-25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9426864</v>
      </c>
      <c r="E10" s="11" t="n">
        <v>11514.3</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634061</v>
      </c>
      <c r="C13" s="6" t="inlineStr">
        <is>
          <t>Centroide del bloque — UTM NORTE (m)</t>
        </is>
      </c>
      <c r="D13" s="7" t="n">
        <v>9426778</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el distrito de Yamango al CC.PP. Ricardo Palma; la camioneta se detuvo en el centro poblado, al pie del bloque sobre la vía afirmada. Se ingresó al bloque por la zona oeste, colindante a la vía. En el interior del bloque se evidenciaron actividades agrícolas (siembra de maíz, bambú y plátano). La zona próxima a la vía y al CC.PP. es la parte más degradada del bloque. También se evidenció presencia de ganado caprino.</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C1086-Q9575 — BLOQUE M28B3</t>
        </is>
      </c>
    </row>
    <row r="6" ht="24" customHeight="1">
      <c r="A6" s="4" t="inlineStr">
        <is>
          <t>Distrito de Yamango · Provincia de Morropon · Comparación de los bloques preliminares de intervención de la misma microcuenca</t>
        </is>
      </c>
    </row>
    <row r="8" ht="18" customHeight="1">
      <c r="A8" s="5" t="inlineStr">
        <is>
          <t>BLOQUES DE LA MICROCUENCA C1086-Q9575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M28B4</t>
        </is>
      </c>
      <c r="B10" s="27" t="n">
        <v>283.43</v>
      </c>
      <c r="C10" s="19" t="n">
        <v>58.52</v>
      </c>
      <c r="D10" s="11" t="inlineStr">
        <is>
          <t>297 – 634</t>
        </is>
      </c>
      <c r="E10" s="11" t="n">
        <v>337</v>
      </c>
      <c r="F10" s="11" t="n">
        <v>13.75</v>
      </c>
      <c r="G10" s="18" t="n">
        <v>0.4275</v>
      </c>
      <c r="H10" s="19" t="n">
        <v>18.09</v>
      </c>
    </row>
    <row r="11">
      <c r="A11" s="14" t="inlineStr">
        <is>
          <t>M28B2</t>
        </is>
      </c>
      <c r="B11" s="28" t="n">
        <v>90.2</v>
      </c>
      <c r="C11" s="21" t="n">
        <v>18.62</v>
      </c>
      <c r="D11" s="15" t="inlineStr">
        <is>
          <t>754 – 1111</t>
        </is>
      </c>
      <c r="E11" s="15" t="n">
        <v>357</v>
      </c>
      <c r="F11" s="15" t="n">
        <v>20.65</v>
      </c>
      <c r="G11" s="20" t="n">
        <v>0.4753</v>
      </c>
      <c r="H11" s="21" t="n">
        <v>37.12</v>
      </c>
    </row>
    <row r="12">
      <c r="A12" s="12" t="inlineStr">
        <is>
          <t>► M28B3</t>
        </is>
      </c>
      <c r="B12" s="29" t="n">
        <v>58.29</v>
      </c>
      <c r="C12" s="30" t="n">
        <v>12.04</v>
      </c>
      <c r="D12" s="13" t="inlineStr">
        <is>
          <t>73 – 777</t>
        </is>
      </c>
      <c r="E12" s="13" t="n">
        <v>704</v>
      </c>
      <c r="F12" s="13" t="n">
        <v>22.13</v>
      </c>
      <c r="G12" s="31" t="n">
        <v>0.5075</v>
      </c>
      <c r="H12" s="30" t="n">
        <v>45.27</v>
      </c>
    </row>
    <row r="13">
      <c r="A13" s="14" t="inlineStr">
        <is>
          <t>46</t>
        </is>
      </c>
      <c r="B13" s="28" t="n">
        <v>18.87</v>
      </c>
      <c r="C13" s="21" t="n">
        <v>3.9</v>
      </c>
      <c r="D13" s="15" t="inlineStr">
        <is>
          <t>1371 – 1655</t>
        </is>
      </c>
      <c r="E13" s="15" t="n">
        <v>284</v>
      </c>
      <c r="F13" s="15" t="n">
        <v>31.77</v>
      </c>
      <c r="G13" s="20" t="n">
        <v>0.7244</v>
      </c>
      <c r="H13" s="21" t="inlineStr">
        <is>
          <t>Por determinar</t>
        </is>
      </c>
    </row>
    <row r="14">
      <c r="A14" s="7" t="inlineStr">
        <is>
          <t>49</t>
        </is>
      </c>
      <c r="B14" s="27" t="n">
        <v>15.84</v>
      </c>
      <c r="C14" s="19" t="n">
        <v>3.27</v>
      </c>
      <c r="D14" s="11" t="inlineStr">
        <is>
          <t>3065 – 3246</t>
        </is>
      </c>
      <c r="E14" s="11" t="n">
        <v>181</v>
      </c>
      <c r="F14" s="11" t="n">
        <v>25.96</v>
      </c>
      <c r="G14" s="18" t="n">
        <v>0.6860000000000001</v>
      </c>
      <c r="H14" s="19" t="n">
        <v>98.8</v>
      </c>
    </row>
    <row r="15">
      <c r="A15" s="14" t="inlineStr">
        <is>
          <t>52</t>
        </is>
      </c>
      <c r="B15" s="28" t="n">
        <v>11.06</v>
      </c>
      <c r="C15" s="21" t="n">
        <v>2.28</v>
      </c>
      <c r="D15" s="15" t="inlineStr">
        <is>
          <t>3011 – 3164</t>
        </is>
      </c>
      <c r="E15" s="15" t="n">
        <v>153</v>
      </c>
      <c r="F15" s="15" t="n">
        <v>26.16</v>
      </c>
      <c r="G15" s="20" t="n">
        <v>0.6685</v>
      </c>
      <c r="H15" s="21" t="n">
        <v>97.31999999999999</v>
      </c>
    </row>
    <row r="16">
      <c r="A16" s="7" t="inlineStr">
        <is>
          <t>48</t>
        </is>
      </c>
      <c r="B16" s="27" t="n">
        <v>5.75</v>
      </c>
      <c r="C16" s="19" t="n">
        <v>1.19</v>
      </c>
      <c r="D16" s="11" t="inlineStr">
        <is>
          <t>1458 – 1595</t>
        </is>
      </c>
      <c r="E16" s="11" t="n">
        <v>137</v>
      </c>
      <c r="F16" s="11" t="n">
        <v>33.6</v>
      </c>
      <c r="G16" s="18" t="n">
        <v>0.6978</v>
      </c>
      <c r="H16" s="19" t="inlineStr">
        <is>
          <t>Por determinar</t>
        </is>
      </c>
    </row>
    <row r="17">
      <c r="A17" s="14" t="inlineStr">
        <is>
          <t>55</t>
        </is>
      </c>
      <c r="B17" s="28" t="n">
        <v>0.86</v>
      </c>
      <c r="C17" s="21" t="n">
        <v>0.18</v>
      </c>
      <c r="D17" s="15" t="inlineStr">
        <is>
          <t>3066 – 3131</t>
        </is>
      </c>
      <c r="E17" s="15" t="n">
        <v>65</v>
      </c>
      <c r="F17" s="15" t="n">
        <v>30.04</v>
      </c>
      <c r="G17" s="20" t="n">
        <v>0.63</v>
      </c>
      <c r="H17" s="21" t="n">
        <v>100</v>
      </c>
    </row>
    <row r="18">
      <c r="A18" s="16" t="inlineStr">
        <is>
          <t>TOTAL / PROMEDIO</t>
        </is>
      </c>
      <c r="B18" s="32">
        <f>SUM(B10:B17)</f>
        <v/>
      </c>
      <c r="C18" s="23">
        <f>SUM(C10:C17)</f>
        <v/>
      </c>
      <c r="D18" s="17" t="inlineStr">
        <is>
          <t>73 – 3246</t>
        </is>
      </c>
      <c r="E18" s="17" t="inlineStr"/>
      <c r="F18" s="17">
        <f>ROUND(AVERAGE(F10:F17),2)</f>
        <v/>
      </c>
      <c r="G18" s="22">
        <f>ROUND(AVERAGE(G10:G17),4)</f>
        <v/>
      </c>
      <c r="H18" s="23">
        <f>ROUND(AVERAGE(H10:H17),2)</f>
        <v/>
      </c>
    </row>
    <row r="19" ht="48" customHeight="1">
      <c r="A19" s="9" t="inlineStr">
        <is>
          <t>ALCANCE DE LOS PROMEDIOS. La fila TOTAL / PROMEDIO omite las celdas «Por determinar»: el promedio de VEGETACIÓN ALTA (NDVI 2025) se calcula sobre 6 de los 8 bloques; los 2 bloques restantes carecen de estadística zonal de NDVI. Los totales de ÁREA y % de microcuenca sí comprenden la totalidad de los 8 bloques. No se estima ningún valor ausente.</t>
        </is>
      </c>
    </row>
    <row r="21" ht="84" customHeight="1">
      <c r="A21" s="9" t="inlineStr">
        <is>
          <t>LECTURA INTRAMICROCUENCA. El bloque M28B3 ocupa el puesto 3 de 8 por superficie dentro de la microcuenca C1086-Q9575 (12.04 % de las 484.30 ha preliminares de la microcuenca). Su pendiente promedio (22.13 %, clase «15-25% (Fuert. inclinado)») es la 3.ª más baja de 8 y se sitúa por debajo del promedio de la microcuenca (25.51 %). Su MSAVI 2024 (0.5075) es el 6.º de 8 y queda por debajo del promedio local (0.6021). Amplitud altitudinal del bloque: 704 m (73–777 msnm). El cuadro conserva todos los bloques catalogados en la microcuenca, incluidos los descartados en el tamizaje, para referencia del conjunto. Los bloques sin ficha DT figuran con sus parámetros de gabinete.</t>
        </is>
      </c>
    </row>
    <row r="23" ht="60" customHeight="1">
      <c r="A23"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10">
    <mergeCell ref="A1:H1"/>
    <mergeCell ref="A4:H4"/>
    <mergeCell ref="A3:H3"/>
    <mergeCell ref="A21:H21"/>
    <mergeCell ref="A2:H2"/>
    <mergeCell ref="A19:H19"/>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M28B3</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«C1086-Q9575»</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9426864 N) dista 11,514 m del centroide de catálogo (634061 E / 9426778 N), distancia incompatible con la superficie del bloque (58.29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(58.312 ha) coincide con la de catálogo (58.29 ha) dentro del ±2 % (+0.04 %)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22.13 %, que corresponde a la clase «15-25% (Fuert. inclinado)»</t>
        </is>
      </c>
      <c r="D13" s="13"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4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«Ricardo Palma»; el cruce INEI-Bloques V5 identifica 1 centro(s) poblado(s) en el bloque: RICARDO PALMA</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F-DT-01</t>
        </is>
      </c>
      <c r="C18" s="33" t="inlineStr">
        <is>
          <t>Las coordenadas declaradas (645 575 E / 9 426 864 N) corresponden al valor por defecto de ESTE de la plantilla y distan ~11.5 km del centroide del bloque en el catálogo (634 061 E / 9 426 780 N)</t>
        </is>
      </c>
      <c r="D18" s="36" t="inlineStr">
        <is>
          <t>SUSTANTIVA</t>
        </is>
      </c>
      <c r="E18" s="33" t="inlineStr">
        <is>
          <t>Se conserva la declaración de la ficha y se anota el centroide del catálogo; requiere ratificación del punto de muestreo</t>
        </is>
      </c>
    </row>
    <row r="19" ht="48" customHeight="1">
      <c r="A19" s="35" t="inlineStr">
        <is>
          <t>D-10</t>
        </is>
      </c>
      <c r="B19" s="35" t="inlineStr">
        <is>
          <t>F-DT-03 / F-DT-04</t>
        </is>
      </c>
      <c r="C19" s="35" t="inlineStr">
        <is>
          <t>El contenido de las secciones F-DT-03 y F-DT-04 es IDÉNTICO al de la ficha del bloque M28B2 (mismas coberturas, mismos 4 taxones con iguales DAP y alturas, misma matriz de causas y mismos indicadores)</t>
        </is>
      </c>
      <c r="D19" s="36" t="inlineStr">
        <is>
          <t>SUSTANTIVA</t>
        </is>
      </c>
      <c r="E19" s="35" t="inlineStr">
        <is>
          <t>Se registra como probable transferencia de ficha entre bloques; requiere verificación de campo diferenciada</t>
        </is>
      </c>
    </row>
    <row r="20" ht="48" customHeight="1">
      <c r="A20" s="33" t="inlineStr">
        <is>
          <t>D-11</t>
        </is>
      </c>
      <c r="B20" s="33" t="inlineStr">
        <is>
          <t>F-DT-03</t>
        </is>
      </c>
      <c r="C20" s="33" t="inlineStr">
        <is>
          <t>La tabla florística no consigna nombres científicos ni familias botánicas</t>
        </is>
      </c>
      <c r="D20" s="36" t="inlineStr">
        <is>
          <t>SUSTANTIVA</t>
        </is>
      </c>
      <c r="E20" s="33" t="inlineStr">
        <is>
          <t>Sin determinación taxonómica; requiere colecta e identificación</t>
        </is>
      </c>
    </row>
    <row r="21" ht="48" customHeight="1">
      <c r="A21" s="35" t="inlineStr">
        <is>
          <t>D-12</t>
        </is>
      </c>
      <c r="B21" s="35" t="inlineStr">
        <is>
          <t>F-DT-03</t>
        </is>
      </c>
      <c r="C21" s="35" t="inlineStr">
        <is>
          <t>Altura máxima declarada 8 m frente al Ceibo registrado con 12 m</t>
        </is>
      </c>
      <c r="D21" s="36" t="inlineStr">
        <is>
          <t>SUSTANTIVA</t>
        </is>
      </c>
      <c r="E21" s="35" t="inlineStr">
        <is>
          <t>Se conservan ambos registros sin promediar</t>
        </is>
      </c>
    </row>
    <row r="22" ht="48" customHeight="1">
      <c r="A22" s="33" t="inlineStr">
        <is>
          <t>D-13</t>
        </is>
      </c>
      <c r="B22" s="33" t="inlineStr">
        <is>
          <t>F-DT-03 / F-DT-04</t>
        </is>
      </c>
      <c r="C22" s="33" t="inlineStr">
        <is>
          <t>Suelo desnudo 20% en F-DT-03 frente a 15% en el indicador 2 del F-DT-04</t>
        </is>
      </c>
      <c r="D22" s="13" t="inlineStr">
        <is>
          <t>NO SUSTANTIVA</t>
        </is>
      </c>
      <c r="E22" s="33" t="inlineStr">
        <is>
          <t>Se conservan ambos valores con indicación de su sección de origen</t>
        </is>
      </c>
    </row>
    <row r="23" ht="48" customHeight="1">
      <c r="A23" s="35" t="inlineStr">
        <is>
          <t>D-14</t>
        </is>
      </c>
      <c r="B23" s="35" t="inlineStr">
        <is>
          <t>F-DT-04</t>
        </is>
      </c>
      <c r="C23" s="35" t="inlineStr">
        <is>
          <t>La causa 7 (cambio de uso a agricultura) tiene intensidad, extensión, antigüedad y evidencia pero la casilla de presencia quedó sin marcar</t>
        </is>
      </c>
      <c r="D23" s="13" t="inlineStr">
        <is>
          <t>NO SUSTANTIVA</t>
        </is>
      </c>
      <c r="E23" s="35" t="inlineStr">
        <is>
          <t>Se interpreta como presente por la evidencia consignada</t>
        </is>
      </c>
    </row>
    <row r="24" ht="48" customHeight="1">
      <c r="A24" s="33" t="inlineStr">
        <is>
          <t>D-15</t>
        </is>
      </c>
      <c r="B24" s="33" t="inlineStr">
        <is>
          <t>F-DT-04</t>
        </is>
      </c>
      <c r="C24" s="33" t="inlineStr">
        <is>
          <t>Indicadores 3, 4, 6 y 7 sin valor consignado</t>
        </is>
      </c>
      <c r="D24" s="13" t="inlineStr">
        <is>
          <t>NO SUSTANTIVA</t>
        </is>
      </c>
      <c r="E24" s="33" t="inlineStr">
        <is>
          <t>Sin registro en ficha; POR DETERMINAR</t>
        </is>
      </c>
    </row>
    <row r="25" ht="48" customHeight="1">
      <c r="A25" s="35" t="inlineStr">
        <is>
          <t>D-16</t>
        </is>
      </c>
      <c r="B25" s="35" t="inlineStr">
        <is>
          <t>F-DT-05</t>
        </is>
      </c>
      <c r="C25" s="35" t="inlineStr">
        <is>
          <t>Inventario de fuentes de agua vacío</t>
        </is>
      </c>
      <c r="D25" s="13" t="inlineStr">
        <is>
          <t>NO SUSTANTIVA</t>
        </is>
      </c>
      <c r="E25" s="35" t="inlineStr">
        <is>
          <t>Evaluación en época seca; requiere verificación en época húmeda</t>
        </is>
      </c>
    </row>
    <row r="27">
      <c r="A27" s="16" t="inlineStr">
        <is>
          <t>RESUMEN</t>
        </is>
      </c>
      <c r="B27" s="17" t="inlineStr">
        <is>
          <t>16 verificaciones</t>
        </is>
      </c>
      <c r="C27" s="17" t="inlineStr">
        <is>
          <t>CONFORME: 3 · NO SUSTANTIVA: 5 · SUSTANTIVA: 8</t>
        </is>
      </c>
      <c r="D27" s="17" t="inlineStr"/>
      <c r="E27" s="17" t="inlineStr"/>
    </row>
    <row r="29" ht="60" customHeight="1">
      <c r="A2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9:E29"/>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M28B3 — IN Piura</dc:title>
  <dc:subject>Diagnóstico Territorial por bloque de intervención</dc:subject>
  <dcterms:created xsi:type="dcterms:W3CDTF">2026-09-08T03:39:58Z</dcterms:created>
  <dcterms:modified xsi:type="dcterms:W3CDTF">2026-09-08T03:39:58Z</dcterms:modified>
</cp:coreProperties>
</file>