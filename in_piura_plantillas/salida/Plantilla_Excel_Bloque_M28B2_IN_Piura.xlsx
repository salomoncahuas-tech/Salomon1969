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M28B2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M28B2</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Flor de Agua</t>
        </is>
      </c>
      <c r="C13" s="6" t="inlineStr">
        <is>
          <t>Comunidad campesina</t>
        </is>
      </c>
      <c r="D13" s="7" t="inlineStr">
        <is>
          <t>No consignada</t>
        </is>
      </c>
      <c r="E13" s="8" t="n"/>
      <c r="F13" s="8" t="n"/>
    </row>
    <row r="14">
      <c r="A14" s="6" t="inlineStr">
        <is>
          <t>Superficie de catálogo (V5/V6), ha</t>
        </is>
      </c>
      <c r="B14" s="7" t="n">
        <v>90.2</v>
      </c>
      <c r="C14" s="6" t="inlineStr">
        <is>
          <t>Fuente de superficie</t>
        </is>
      </c>
      <c r="D14" s="7" t="inlineStr">
        <is>
          <t>Catálogo maestro Bloques V5/V6</t>
        </is>
      </c>
      <c r="E14" s="8" t="n"/>
      <c r="F14" s="8" t="n"/>
    </row>
    <row r="15">
      <c r="A15" s="6" t="inlineStr">
        <is>
          <t>Centroide UTM ESTE (m)</t>
        </is>
      </c>
      <c r="B15" s="7" t="n">
        <v>636249</v>
      </c>
      <c r="C15" s="6" t="inlineStr">
        <is>
          <t>Centroide UTM NORTE (m)</t>
        </is>
      </c>
      <c r="D15" s="7" t="n">
        <v>9425665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754</v>
      </c>
      <c r="C19" s="6" t="inlineStr">
        <is>
          <t>Altitud máxima (msnm)</t>
        </is>
      </c>
      <c r="D19" s="7" t="n">
        <v>1111</v>
      </c>
      <c r="E19" s="8" t="n"/>
      <c r="F19" s="8" t="n"/>
    </row>
    <row r="20">
      <c r="A20" s="6" t="inlineStr">
        <is>
          <t>Amplitud altitudinal (m)</t>
        </is>
      </c>
      <c r="B20" s="7" t="n">
        <v>357</v>
      </c>
      <c r="C20" s="6" t="inlineStr">
        <is>
          <t>Piso altitudinal dominante</t>
        </is>
      </c>
      <c r="D20" s="7" t="inlineStr">
        <is>
          <t>&lt;1000 m (Yunga)</t>
        </is>
      </c>
      <c r="E20" s="8" t="n"/>
      <c r="F20" s="8" t="n"/>
    </row>
    <row r="21">
      <c r="A21" s="6" t="inlineStr">
        <is>
          <t>Pendiente promedio (%)</t>
        </is>
      </c>
      <c r="B21" s="7" t="n">
        <v>20.65</v>
      </c>
      <c r="C21" s="6" t="inlineStr">
        <is>
          <t>Pendiente promedio (grados)</t>
        </is>
      </c>
      <c r="D21" s="7" t="n">
        <v>11.7</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0.4753</v>
      </c>
      <c r="C28" s="6" t="inlineStr">
        <is>
          <t>MSAVI 2024 — clase de la media</t>
        </is>
      </c>
      <c r="D28" s="7" t="inlineStr">
        <is>
          <t>0.3813 - 0.4976 (Vigor bajo)</t>
        </is>
      </c>
      <c r="E28" s="8" t="n"/>
      <c r="F28" s="8" t="n"/>
    </row>
    <row r="29">
      <c r="A29" s="6" t="inlineStr">
        <is>
          <t>Condición frente al umbral 0.4976</t>
        </is>
      </c>
      <c r="B29" s="7" t="inlineStr">
        <is>
          <t>Bajo umbral · distribución areal: 62.48 % del bloque BAJO el umbral (56.357 ha de 90.200 ha)</t>
        </is>
      </c>
      <c r="C29" s="6" t="inlineStr">
        <is>
          <t>NDVI mediana 2025 — clase modal</t>
        </is>
      </c>
      <c r="D29" s="7" t="inlineStr">
        <is>
          <t>Vegetación mediana (51.72 %)</t>
        </is>
      </c>
      <c r="E29" s="8" t="n"/>
      <c r="F29" s="8" t="n"/>
    </row>
    <row r="30">
      <c r="A30" s="6" t="inlineStr">
        <is>
          <t>MSAVI 2024 — superficie BAJO el umbral 0.4976 (ha)</t>
        </is>
      </c>
      <c r="B30" s="7" t="n">
        <v>56.357</v>
      </c>
      <c r="C30" s="6" t="inlineStr">
        <is>
          <t>MSAVI 2024 — % del bloque BAJO el umbral</t>
        </is>
      </c>
      <c r="D30" s="7" t="n">
        <v>62.48</v>
      </c>
      <c r="E30" s="8" t="n"/>
      <c r="F30" s="8" t="n"/>
    </row>
    <row r="31">
      <c r="A31" s="6" t="inlineStr">
        <is>
          <t>MSAVI 2024 — clase areal dominante</t>
        </is>
      </c>
      <c r="B31" s="7" t="inlineStr">
        <is>
          <t>Vigor bajo</t>
        </is>
      </c>
      <c r="C31" s="6" t="inlineStr">
        <is>
          <t>MSAVI 2024 — fuente de la distribución areal</t>
        </is>
      </c>
      <c r="D31" s="7" t="inlineStr">
        <is>
          <t>Conteo de celdas sobre la cartografía MSAVI 2024 del bloque (MSAVI M28B2.png)</t>
        </is>
      </c>
      <c r="E31" s="8" t="n"/>
      <c r="F31" s="8" t="n"/>
    </row>
    <row r="32" ht="18" customHeight="1">
      <c r="A32" s="6" t="inlineStr">
        <is>
          <t>Superficie clasificada NDVI 2025 (ha)</t>
        </is>
      </c>
      <c r="B32" s="7" t="n">
        <v>90.22799999999999</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90.2 ha (100% del bloque)</t>
        </is>
      </c>
      <c r="E35" s="8" t="n"/>
      <c r="F35" s="8" t="n"/>
    </row>
    <row r="36">
      <c r="A36" s="6" t="inlineStr">
        <is>
          <t>Estado de conservación</t>
        </is>
      </c>
      <c r="B36" s="7" t="inlineStr">
        <is>
          <t>Medianamente alterado</t>
        </is>
      </c>
      <c r="C36" s="6" t="inlineStr">
        <is>
          <t>Uso actual dominante del suelo</t>
        </is>
      </c>
      <c r="D36" s="7" t="inlineStr">
        <is>
          <t>Agricultura en secano</t>
        </is>
      </c>
      <c r="E36" s="8" t="n"/>
      <c r="F36" s="8" t="n"/>
    </row>
    <row r="37">
      <c r="A37" s="6" t="inlineStr">
        <is>
          <t>Tipo de cobertura dominante</t>
        </is>
      </c>
      <c r="B37" s="7" t="inlineStr">
        <is>
          <t>Bosque ralo (30-70%)</t>
        </is>
      </c>
      <c r="C37" s="6" t="inlineStr">
        <is>
          <t>Cobertura vegetal total — campo (%)</t>
        </is>
      </c>
      <c r="D37" s="7" t="inlineStr">
        <is>
          <t>Sin registro en ficha</t>
        </is>
      </c>
      <c r="E37" s="8" t="n"/>
      <c r="F37" s="8" t="n"/>
    </row>
    <row r="38">
      <c r="A38" s="6" t="inlineStr">
        <is>
          <t>Suelo desnudo — campo (%)</t>
        </is>
      </c>
      <c r="B38" s="7" t="n">
        <v>20</v>
      </c>
      <c r="C38" s="6" t="inlineStr">
        <is>
          <t>Regeneración natural</t>
        </is>
      </c>
      <c r="D38" s="7" t="inlineStr">
        <is>
          <t>Escasa (&lt;10 pl./100m²)</t>
        </is>
      </c>
      <c r="E38" s="8" t="n"/>
      <c r="F38" s="8" t="n"/>
    </row>
    <row r="39">
      <c r="A39" s="6" t="inlineStr">
        <is>
          <t>Nivel general de erosión</t>
        </is>
      </c>
      <c r="B39" s="7" t="inlineStr">
        <is>
          <t>Ligera (laminar)</t>
        </is>
      </c>
      <c r="C39" s="6" t="inlineStr">
        <is>
          <t>N.° de cárcavas registradas</t>
        </is>
      </c>
      <c r="D39" s="7" t="n">
        <v>0</v>
      </c>
      <c r="E39" s="8" t="n"/>
      <c r="F39" s="8" t="n"/>
    </row>
    <row r="40" ht="18" customHeight="1">
      <c r="A40" s="6" t="inlineStr">
        <is>
          <t>Elenco florístico (n.° de taxones)</t>
        </is>
      </c>
      <c r="B40" s="7" t="n">
        <v>4</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Juan Carlos Domínguez Varas</t>
        </is>
      </c>
      <c r="C43" s="6" t="inlineStr">
        <is>
          <t>Fecha de evaluación</t>
        </is>
      </c>
      <c r="D43" s="7" t="inlineStr">
        <is>
          <t>2026-05-25</t>
        </is>
      </c>
      <c r="E43" s="8" t="n"/>
      <c r="F43" s="8" t="n"/>
    </row>
    <row r="44">
      <c r="A44" s="6" t="inlineStr">
        <is>
          <t>Hora de registro</t>
        </is>
      </c>
      <c r="B44" s="7" t="inlineStr">
        <is>
          <t>14:30 - 16:00 h</t>
        </is>
      </c>
      <c r="C44" s="6" t="inlineStr">
        <is>
          <t>Correlativo de ficha</t>
        </is>
      </c>
      <c r="D44" s="7" t="inlineStr">
        <is>
          <t>Por determinar</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Sin registro en ficha</t>
        </is>
      </c>
      <c r="E46" s="8" t="n"/>
      <c r="F46" s="8" t="n"/>
    </row>
    <row r="47" ht="18" customHeight="1">
      <c r="A47" s="6" t="inlineStr">
        <is>
          <t>Estaciones fotográficas georreferenciadas</t>
        </is>
      </c>
      <c r="B47" s="7" t="n">
        <v>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Pastoreo de ganado caprino</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No</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7" t="n"/>
      <c r="C56" s="37" t="n"/>
      <c r="D56" s="37" t="n"/>
      <c r="E56" s="37" t="n"/>
      <c r="F56" s="38"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M28B2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2.6609</v>
      </c>
      <c r="C10" s="19" t="n">
        <v>2.95</v>
      </c>
      <c r="D10" s="11" t="inlineStr">
        <is>
          <t>Vigor alto</t>
        </is>
      </c>
      <c r="E10" s="11" t="inlineStr">
        <is>
          <t>Sobre umbral</t>
        </is>
      </c>
    </row>
    <row r="11">
      <c r="A11" s="12" t="inlineStr">
        <is>
          <t>0.4976 - 0.6139</t>
        </is>
      </c>
      <c r="B11" s="20" t="n">
        <v>31.1821</v>
      </c>
      <c r="C11" s="21" t="n">
        <v>34.57</v>
      </c>
      <c r="D11" s="13" t="inlineStr">
        <is>
          <t>Vigor moderado</t>
        </is>
      </c>
      <c r="E11" s="13" t="inlineStr">
        <is>
          <t>Sobre umbral</t>
        </is>
      </c>
    </row>
    <row r="12">
      <c r="A12" s="14" t="inlineStr">
        <is>
          <t>0.3813 - 0.4976</t>
        </is>
      </c>
      <c r="B12" s="30" t="n">
        <v>51.2787</v>
      </c>
      <c r="C12" s="29" t="n">
        <v>56.85</v>
      </c>
      <c r="D12" s="15" t="inlineStr">
        <is>
          <t>Vigor bajo</t>
        </is>
      </c>
      <c r="E12" s="15" t="inlineStr">
        <is>
          <t>BAJO umbral 0.4976</t>
        </is>
      </c>
    </row>
    <row r="13">
      <c r="A13" s="12" t="inlineStr">
        <is>
          <t>0.2650 - 0.3813</t>
        </is>
      </c>
      <c r="B13" s="20" t="n">
        <v>4.8077</v>
      </c>
      <c r="C13" s="21" t="n">
        <v>5.33</v>
      </c>
      <c r="D13" s="13" t="inlineStr">
        <is>
          <t>Vigor muy bajo</t>
        </is>
      </c>
      <c r="E13" s="13" t="inlineStr">
        <is>
          <t>BAJO umbral 0.4976</t>
        </is>
      </c>
    </row>
    <row r="14">
      <c r="A14" s="7" t="inlineStr">
        <is>
          <t>&lt;= 0.2650</t>
        </is>
      </c>
      <c r="B14" s="18" t="n">
        <v>0.2706</v>
      </c>
      <c r="C14" s="19" t="n">
        <v>0.3</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0.475342</v>
      </c>
      <c r="C16" s="17" t="inlineStr">
        <is>
          <t>—</t>
        </is>
      </c>
      <c r="D16" s="17" t="inlineStr">
        <is>
          <t>Vigor bajo · clase 0.3813 - 0.4976</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7" t="n"/>
      <c r="C18" s="37" t="n"/>
      <c r="D18" s="37" t="n"/>
      <c r="E18" s="38"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33.4936</v>
      </c>
      <c r="C22" s="19" t="n">
        <v>37.12</v>
      </c>
      <c r="D22" s="11" t="inlineStr">
        <is>
          <t>Dosel continuo, matorral denso o mosaico agroforestal</t>
        </is>
      </c>
      <c r="E22" s="11" t="inlineStr"/>
    </row>
    <row r="23">
      <c r="A23" s="12" t="inlineStr">
        <is>
          <t>Vegetación mediana</t>
        </is>
      </c>
      <c r="B23" s="20" t="n">
        <v>46.6618</v>
      </c>
      <c r="C23" s="21" t="n">
        <v>51.72</v>
      </c>
      <c r="D23" s="13" t="inlineStr">
        <is>
          <t>Pastizal cultivado, matorral ralo, parcelas agrícolas</t>
        </is>
      </c>
      <c r="E23" s="13" t="inlineStr"/>
    </row>
    <row r="24">
      <c r="A24" s="7" t="inlineStr">
        <is>
          <t>Vegetación ligera</t>
        </is>
      </c>
      <c r="B24" s="18" t="n">
        <v>7.7934</v>
      </c>
      <c r="C24" s="19" t="n">
        <v>8.640000000000001</v>
      </c>
      <c r="D24" s="11" t="inlineStr">
        <is>
          <t>Cobertura discontinua, suelo parcialmente expuesto</t>
        </is>
      </c>
      <c r="E24" s="11" t="inlineStr"/>
    </row>
    <row r="25">
      <c r="A25" s="12" t="inlineStr">
        <is>
          <t>Tierra desnuda</t>
        </is>
      </c>
      <c r="B25" s="20" t="n">
        <v>2.2791</v>
      </c>
      <c r="C25" s="21" t="n">
        <v>2.53</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90.2</v>
      </c>
      <c r="C27" s="25" t="inlineStr">
        <is>
          <t>—</t>
        </is>
      </c>
      <c r="D27" s="25" t="inlineStr">
        <is>
          <t>Desviación planimétrica frente al catálogo</t>
        </is>
      </c>
      <c r="E27" s="25" t="inlineStr">
        <is>
          <t>+0.03 %</t>
        </is>
      </c>
    </row>
    <row r="28" ht="72"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29" s="37" t="n"/>
      <c r="C29" s="37" t="n"/>
      <c r="D29" s="37" t="n"/>
      <c r="E29" s="38"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M28B2</t>
        </is>
      </c>
    </row>
    <row r="6" ht="24" customHeight="1">
      <c r="A6" s="4" t="inlineStr">
        <is>
          <t>Levantamiento del 2026-05-25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9426131</v>
      </c>
      <c r="E10" s="11" t="n">
        <v>9337.6</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636249</v>
      </c>
      <c r="C13" s="6" t="inlineStr">
        <is>
          <t>Centroide del bloque — UTM NORTE (m)</t>
        </is>
      </c>
      <c r="D13" s="7" t="n">
        <v>9425665</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32"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el distrito de Yamango a los CC.PP. Víctor Raúl y Flor de Agua; la camioneta se detuvo en el centro poblado, al pie del bloque sobre la vía afirmada. Se ingresó al bloque por la zona sureste, colindante a la vía. La vía afirmada cruza el bloque e intersecta los CC.PP. En el interior del bloque se evidenciaron actividades agrícolas (siembra de maíz y plátano) y presencia de tocones por extracción de leña. La zona próxima a la vía y al CC.PP. es la parte más degradada del bloque. También se evidenció presencia de ganado caprino.</t>
        </is>
      </c>
      <c r="B16" s="37" t="n"/>
      <c r="C16" s="37" t="n"/>
      <c r="D16" s="37" t="n"/>
      <c r="E16" s="37" t="n"/>
      <c r="F16" s="37" t="n"/>
      <c r="G16" s="38"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M28B2</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M28B4</t>
        </is>
      </c>
      <c r="B10" s="27" t="n">
        <v>283.43</v>
      </c>
      <c r="C10" s="19" t="n">
        <v>58.52</v>
      </c>
      <c r="D10" s="11" t="inlineStr">
        <is>
          <t>297 – 634</t>
        </is>
      </c>
      <c r="E10" s="11" t="n">
        <v>337</v>
      </c>
      <c r="F10" s="11" t="n">
        <v>13.75</v>
      </c>
      <c r="G10" s="18" t="n">
        <v>0.4275</v>
      </c>
      <c r="H10" s="19" t="n">
        <v>18.09</v>
      </c>
    </row>
    <row r="11">
      <c r="A11" s="14" t="inlineStr">
        <is>
          <t>► M28B2</t>
        </is>
      </c>
      <c r="B11" s="28" t="n">
        <v>90.2</v>
      </c>
      <c r="C11" s="29" t="n">
        <v>18.62</v>
      </c>
      <c r="D11" s="15" t="inlineStr">
        <is>
          <t>754 – 1111</t>
        </is>
      </c>
      <c r="E11" s="15" t="n">
        <v>357</v>
      </c>
      <c r="F11" s="15" t="n">
        <v>20.65</v>
      </c>
      <c r="G11" s="30" t="n">
        <v>0.4753</v>
      </c>
      <c r="H11" s="29" t="n">
        <v>37.12</v>
      </c>
    </row>
    <row r="12">
      <c r="A12" s="7" t="inlineStr">
        <is>
          <t>M28B3</t>
        </is>
      </c>
      <c r="B12" s="27" t="n">
        <v>58.29</v>
      </c>
      <c r="C12" s="19" t="n">
        <v>12.04</v>
      </c>
      <c r="D12" s="11" t="inlineStr">
        <is>
          <t>73 – 777</t>
        </is>
      </c>
      <c r="E12" s="11" t="n">
        <v>704</v>
      </c>
      <c r="F12" s="11" t="n">
        <v>22.13</v>
      </c>
      <c r="G12" s="18" t="n">
        <v>0.5075</v>
      </c>
      <c r="H12" s="19" t="n">
        <v>45.27</v>
      </c>
    </row>
    <row r="13">
      <c r="A13" s="12" t="inlineStr">
        <is>
          <t>46</t>
        </is>
      </c>
      <c r="B13" s="31" t="n">
        <v>18.87</v>
      </c>
      <c r="C13" s="21" t="n">
        <v>3.9</v>
      </c>
      <c r="D13" s="13" t="inlineStr">
        <is>
          <t>1371 – 1655</t>
        </is>
      </c>
      <c r="E13" s="13" t="n">
        <v>284</v>
      </c>
      <c r="F13" s="13" t="n">
        <v>31.77</v>
      </c>
      <c r="G13" s="20" t="n">
        <v>0.7244</v>
      </c>
      <c r="H13" s="21" t="inlineStr">
        <is>
          <t>Por determinar</t>
        </is>
      </c>
    </row>
    <row r="14">
      <c r="A14" s="7" t="inlineStr">
        <is>
          <t>49</t>
        </is>
      </c>
      <c r="B14" s="27" t="n">
        <v>15.84</v>
      </c>
      <c r="C14" s="19" t="n">
        <v>3.27</v>
      </c>
      <c r="D14" s="11" t="inlineStr">
        <is>
          <t>3065 – 3246</t>
        </is>
      </c>
      <c r="E14" s="11" t="n">
        <v>181</v>
      </c>
      <c r="F14" s="11" t="n">
        <v>25.96</v>
      </c>
      <c r="G14" s="18" t="n">
        <v>0.6860000000000001</v>
      </c>
      <c r="H14" s="19" t="n">
        <v>98.8</v>
      </c>
    </row>
    <row r="15">
      <c r="A15" s="12" t="inlineStr">
        <is>
          <t>52</t>
        </is>
      </c>
      <c r="B15" s="31" t="n">
        <v>11.06</v>
      </c>
      <c r="C15" s="21" t="n">
        <v>2.28</v>
      </c>
      <c r="D15" s="13" t="inlineStr">
        <is>
          <t>3011 – 3164</t>
        </is>
      </c>
      <c r="E15" s="13" t="n">
        <v>153</v>
      </c>
      <c r="F15" s="13" t="n">
        <v>26.16</v>
      </c>
      <c r="G15" s="20" t="n">
        <v>0.6685</v>
      </c>
      <c r="H15" s="21" t="n">
        <v>97.31999999999999</v>
      </c>
    </row>
    <row r="16">
      <c r="A16" s="7" t="inlineStr">
        <is>
          <t>48</t>
        </is>
      </c>
      <c r="B16" s="27" t="n">
        <v>5.75</v>
      </c>
      <c r="C16" s="19" t="n">
        <v>1.19</v>
      </c>
      <c r="D16" s="11" t="inlineStr">
        <is>
          <t>1458 – 1595</t>
        </is>
      </c>
      <c r="E16" s="11" t="n">
        <v>137</v>
      </c>
      <c r="F16" s="11" t="n">
        <v>33.6</v>
      </c>
      <c r="G16" s="18" t="n">
        <v>0.6978</v>
      </c>
      <c r="H16" s="19" t="inlineStr">
        <is>
          <t>Por determinar</t>
        </is>
      </c>
    </row>
    <row r="17">
      <c r="A17" s="12" t="inlineStr">
        <is>
          <t>55</t>
        </is>
      </c>
      <c r="B17" s="31" t="n">
        <v>0.86</v>
      </c>
      <c r="C17" s="21" t="n">
        <v>0.18</v>
      </c>
      <c r="D17" s="13" t="inlineStr">
        <is>
          <t>3066 – 3131</t>
        </is>
      </c>
      <c r="E17" s="13" t="n">
        <v>65</v>
      </c>
      <c r="F17" s="13" t="n">
        <v>30.04</v>
      </c>
      <c r="G17" s="20" t="n">
        <v>0.63</v>
      </c>
      <c r="H17" s="21" t="n">
        <v>100</v>
      </c>
    </row>
    <row r="18">
      <c r="A18" s="16" t="inlineStr">
        <is>
          <t>TOTAL / PROMEDIO</t>
        </is>
      </c>
      <c r="B18" s="32">
        <f>SUM(B10:B17)</f>
        <v/>
      </c>
      <c r="C18" s="23">
        <f>SUM(C10:C17)</f>
        <v/>
      </c>
      <c r="D18" s="17" t="inlineStr">
        <is>
          <t>73 – 3246</t>
        </is>
      </c>
      <c r="E18" s="17" t="inlineStr"/>
      <c r="F18" s="17">
        <f>ROUND(AVERAGE(F10:F17),2)</f>
        <v/>
      </c>
      <c r="G18" s="22">
        <f>ROUND(AVERAGE(G10:G17),4)</f>
        <v/>
      </c>
      <c r="H18" s="23">
        <f>ROUND(AVERAGE(H10:H17),2)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37" t="n"/>
      <c r="C19" s="37" t="n"/>
      <c r="D19" s="37" t="n"/>
      <c r="E19" s="37" t="n"/>
      <c r="F19" s="37" t="n"/>
      <c r="G19" s="37" t="n"/>
      <c r="H19" s="38" t="n"/>
    </row>
    <row r="21" ht="84" customHeight="1">
      <c r="A21" s="9" t="inlineStr">
        <is>
          <t>LECTURA INTRAMICROCUENCA. El bloque M28B2 ocupa el puesto 2 de 8 por superficie dentro de la microcuenca C1086-Q9575 (18.62 % de las 484.30 ha preliminares de la microcuenca). Su pendiente promedio (20.65 %, clase «15-25% (Fuert. inclinado)») es la 2.ª más baja de 8 y se sitúa por debajo del promedio de la microcuenca (25.51 %). Su MSAVI 2024 (0.4753) es el 7.º de 8 y queda por debajo del promedio local (0.6021). Amplitud altitudinal del bloque: 357 m (754–1111 msnm). El cuadro conserva todos los bloques catalogados en la microcuenca, incluidos los descartados en el tamizaje, para referencia del conjunto. Los bloques sin ficha DT figuran con sus parámetros de gabinete.</t>
        </is>
      </c>
      <c r="B21" s="37" t="n"/>
      <c r="C21" s="37" t="n"/>
      <c r="D21" s="37" t="n"/>
      <c r="E21" s="37" t="n"/>
      <c r="F21" s="37" t="n"/>
      <c r="G21" s="37" t="n"/>
      <c r="H21" s="38" t="n"/>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3" s="37" t="n"/>
      <c r="C23" s="37" t="n"/>
      <c r="D23" s="37" t="n"/>
      <c r="E23" s="37" t="n"/>
      <c r="F23" s="37" t="n"/>
      <c r="G23" s="37" t="n"/>
      <c r="H23" s="38" t="n"/>
    </row>
  </sheetData>
  <mergeCells count="10">
    <mergeCell ref="A1:H1"/>
    <mergeCell ref="A4:H4"/>
    <mergeCell ref="A3:H3"/>
    <mergeCell ref="A21:H21"/>
    <mergeCell ref="A2:H2"/>
    <mergeCell ref="A19:H19"/>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M28B2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«C1086-Q9575»</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9426131 N) dista 9,338 m del centroide de catálogo (636249 E / 9425665 N), distancia incompatible con la superficie del bloque (90.2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(90.228 ha) coincide con la de catálogo (90.2 ha) dentro del ±2 % (+0.03 %)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20.65 %,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Rango altitudinal / piso ecológico</t>
        </is>
      </c>
      <c r="C14" s="33" t="inlineStr">
        <is>
          <t>La ficha DT declara «1000-1500 m (Quechua baja)»; el MDE sitúa el bloque entre 754 y 1111 msnm, cuyo punto medio corresponde a «&lt;1000 m (Yunga)»</t>
        </is>
      </c>
      <c r="D14" s="15" t="inlineStr">
        <is>
          <t>NO SUSTANTIVA</t>
        </is>
      </c>
      <c r="E14" s="33" t="inlineStr">
        <is>
          <t>Se declara la divergencia. El bloque abarca más de un piso altitudinal cuando la amplitud supera el ancho de la clase; el registro de campo corresponde al sector recorrido.</t>
        </is>
      </c>
    </row>
    <row r="15" ht="48" customHeight="1">
      <c r="A15" s="35" t="inlineStr">
        <is>
          <t>D-06</t>
        </is>
      </c>
      <c r="B15" s="35" t="inlineStr">
        <is>
          <t>Elenco florístico</t>
        </is>
      </c>
      <c r="C15" s="35" t="inlineStr">
        <is>
          <t>La ficha registra 4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«Flor de Agua»; el cruce INEI-Bloques V5 identifica 2 centro(s) poblado(s) en el bloque: FLOR DE AGUA, VICTOR RAUL (EL CHECO)</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F-DT-01</t>
        </is>
      </c>
      <c r="C19" s="35" t="inlineStr">
        <is>
          <t>Las coordenadas declaradas (645 575 E / 9 426 131 N) corresponden al valor por defecto de ESTE de la plantilla y distan ~9.3 km del centroide del bloque en el catálogo (636 249 E / 9 425 660 N)</t>
        </is>
      </c>
      <c r="D19" s="36" t="inlineStr">
        <is>
          <t>SUSTANTIVA</t>
        </is>
      </c>
      <c r="E19" s="35" t="inlineStr">
        <is>
          <t>Se conserva la declaración de la ficha y se anota el centroide del catálogo; requiere ratificación del punto de muestreo</t>
        </is>
      </c>
    </row>
    <row r="20" ht="48" customHeight="1">
      <c r="A20" s="33" t="inlineStr">
        <is>
          <t>D-11</t>
        </is>
      </c>
      <c r="B20" s="33" t="inlineStr">
        <is>
          <t>F-DT-03</t>
        </is>
      </c>
      <c r="C20" s="33" t="inlineStr">
        <is>
          <t>Altura máxima declarada 8 m frente a Ceiba pentandra registrada con 12 m en la tabla florística</t>
        </is>
      </c>
      <c r="D20" s="36" t="inlineStr">
        <is>
          <t>SUSTANTIVA</t>
        </is>
      </c>
      <c r="E20" s="33" t="inlineStr">
        <is>
          <t>Se conservan ambos registros sin promediar; corresponde re-medición</t>
        </is>
      </c>
    </row>
    <row r="21" ht="48" customHeight="1">
      <c r="A21" s="35" t="inlineStr">
        <is>
          <t>D-12</t>
        </is>
      </c>
      <c r="B21" s="35" t="inlineStr">
        <is>
          <t>F-DT-03</t>
        </is>
      </c>
      <c r="C21" s="35" t="inlineStr">
        <is>
          <t>Sólo 4 taxones registrados frente a los 15 espacios del formato; sin parcela de muestreo ni dimensiones</t>
        </is>
      </c>
      <c r="D21" s="15" t="inlineStr">
        <is>
          <t>NO SUSTANTIVA</t>
        </is>
      </c>
      <c r="E21" s="35" t="inlineStr">
        <is>
          <t>Se declara como registro incompleto</t>
        </is>
      </c>
    </row>
    <row r="22" ht="48" customHeight="1">
      <c r="A22" s="33" t="inlineStr">
        <is>
          <t>D-13</t>
        </is>
      </c>
      <c r="B22" s="33" t="inlineStr">
        <is>
          <t>F-DT-03 / F-DT-04</t>
        </is>
      </c>
      <c r="C22" s="33" t="inlineStr">
        <is>
          <t>Suelo desnudo 20% en F-DT-03 frente a 15% en el indicador 2 del F-DT-04</t>
        </is>
      </c>
      <c r="D22" s="15" t="inlineStr">
        <is>
          <t>NO SUSTANTIVA</t>
        </is>
      </c>
      <c r="E22" s="33" t="inlineStr">
        <is>
          <t>Se conservan ambos valores con indicación de su sección de origen</t>
        </is>
      </c>
    </row>
    <row r="23" ht="48" customHeight="1">
      <c r="A23" s="35" t="inlineStr">
        <is>
          <t>D-14</t>
        </is>
      </c>
      <c r="B23" s="35" t="inlineStr">
        <is>
          <t>F-DT-04</t>
        </is>
      </c>
      <c r="C23" s="35" t="inlineStr">
        <is>
          <t>La causa 7 (cambio de uso a agricultura) tiene intensidad, extensión, antigüedad y evidencia consignadas pero la casilla de presencia quedó sin marcar</t>
        </is>
      </c>
      <c r="D23" s="15" t="inlineStr">
        <is>
          <t>NO SUSTANTIVA</t>
        </is>
      </c>
      <c r="E23" s="35" t="inlineStr">
        <is>
          <t>Se interpreta como presente por la evidencia consignada, declarando la omisión formal</t>
        </is>
      </c>
    </row>
    <row r="24" ht="48" customHeight="1">
      <c r="A24" s="33" t="inlineStr">
        <is>
          <t>D-15</t>
        </is>
      </c>
      <c r="B24" s="33" t="inlineStr">
        <is>
          <t>F-DT-04</t>
        </is>
      </c>
      <c r="C24" s="33" t="inlineStr">
        <is>
          <t>Indicadores 3, 4, 6 y 7 sin valor consignado</t>
        </is>
      </c>
      <c r="D24" s="15" t="inlineStr">
        <is>
          <t>NO SUSTANTIVA</t>
        </is>
      </c>
      <c r="E24" s="33" t="inlineStr">
        <is>
          <t>Sin registro en ficha; POR DETERMINAR</t>
        </is>
      </c>
    </row>
    <row r="25" ht="48" customHeight="1">
      <c r="A25" s="35" t="inlineStr">
        <is>
          <t>D-16</t>
        </is>
      </c>
      <c r="B25" s="35" t="inlineStr">
        <is>
          <t>F-DT-05</t>
        </is>
      </c>
      <c r="C25" s="35" t="inlineStr">
        <is>
          <t>Inventario de fuentes de agua vacío; no se consignó distancia a captación ni JASS</t>
        </is>
      </c>
      <c r="D25" s="15" t="inlineStr">
        <is>
          <t>NO SUSTANTIVA</t>
        </is>
      </c>
      <c r="E25" s="35" t="inlineStr">
        <is>
          <t>Evaluación en época seca; requiere verificación en época húmeda</t>
        </is>
      </c>
    </row>
    <row r="26">
      <c r="A26" s="35" t="inlineStr">
        <is>
          <t>D-17</t>
        </is>
      </c>
      <c r="B26" s="35" t="inlineStr">
        <is>
          <t>Distribución areal de clases MSAVI 2024</t>
        </is>
      </c>
      <c r="C26" s="35" t="inlineStr">
        <is>
          <t>La hoja «Cobertura MSAVI-NDVI» consignaba «Por determinar» en la distribución areal de clases MSAVI 2024; se incorpora el metrado por clase medido sobre la cartografía temática MSAVI 2024 del bloque: 62.48 % del bloque (56.357 ha) bajo el umbral 0.4976 y 37.52 % sobre el umbral; clase areal dominante «Vigor bajo».</t>
        </is>
      </c>
      <c r="D26" s="15" t="inlineStr">
        <is>
          <t>CORREGIDO</t>
        </is>
      </c>
      <c r="E26" s="35"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7"/>
    <row r="28">
      <c r="A28" s="16" t="inlineStr">
        <is>
          <t>RESUMEN</t>
        </is>
      </c>
      <c r="B28" s="17" t="inlineStr">
        <is>
          <t>17 verificaciones</t>
        </is>
      </c>
      <c r="C28" s="17" t="inlineStr">
        <is>
          <t>CONFORME: 3 · NO SUSTANTIVA: 7 · SUSTANTIVA: 6 · CORREGIDO: 1</t>
        </is>
      </c>
      <c r="D28" s="17" t="inlineStr"/>
      <c r="E28" s="17" t="inlineStr"/>
    </row>
    <row r="29" ht="60" customHeight="1"/>
    <row r="30">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37" t="n"/>
      <c r="C30" s="37" t="n"/>
      <c r="D30" s="37" t="n"/>
      <c r="E30" s="38"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M28B2 — IN Piura</dc:title>
  <dc:subject>Diagnóstico Territorial por bloque de intervención</dc:subject>
  <dcterms:created xsi:type="dcterms:W3CDTF">2026-09-08T03:39:58Z</dcterms:created>
  <dcterms:modified xsi:type="dcterms:W3CDTF">2026-09-09T14:49:45Z</dcterms:modified>
</cp:coreProperties>
</file>