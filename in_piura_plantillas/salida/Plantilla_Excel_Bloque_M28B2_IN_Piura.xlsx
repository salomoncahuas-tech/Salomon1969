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M28B2</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Flor de Agua</t>
        </is>
      </c>
      <c r="C13" s="6" t="inlineStr">
        <is>
          <t>Comunidad campesina</t>
        </is>
      </c>
      <c r="D13" s="7" t="inlineStr">
        <is>
          <t>No consignada</t>
        </is>
      </c>
      <c r="E13" s="8" t="n"/>
      <c r="F13" s="8" t="n"/>
    </row>
    <row r="14">
      <c r="A14" s="6" t="inlineStr">
        <is>
          <t>Superficie de catálogo (V5/V6), ha</t>
        </is>
      </c>
      <c r="B14" s="7" t="n">
        <v>90.2</v>
      </c>
      <c r="C14" s="6" t="inlineStr">
        <is>
          <t>Fuente de superficie</t>
        </is>
      </c>
      <c r="D14" s="7" t="inlineStr">
        <is>
          <t>Catálogo maestro Bloques V5/V6</t>
        </is>
      </c>
      <c r="E14" s="8" t="n"/>
      <c r="F14" s="8" t="n"/>
    </row>
    <row r="15">
      <c r="A15" s="6" t="inlineStr">
        <is>
          <t>Centroide UTM ESTE (m)</t>
        </is>
      </c>
      <c r="B15" s="7" t="n">
        <v>636249</v>
      </c>
      <c r="C15" s="6" t="inlineStr">
        <is>
          <t>Centroide UTM NORTE (m)</t>
        </is>
      </c>
      <c r="D15" s="7" t="n">
        <v>9425665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754</v>
      </c>
      <c r="C19" s="6" t="inlineStr">
        <is>
          <t>Altitud máxima (msnm)</t>
        </is>
      </c>
      <c r="D19" s="7" t="n">
        <v>1111</v>
      </c>
      <c r="E19" s="8" t="n"/>
      <c r="F19" s="8" t="n"/>
    </row>
    <row r="20">
      <c r="A20" s="6" t="inlineStr">
        <is>
          <t>Amplitud altitudinal (m)</t>
        </is>
      </c>
      <c r="B20" s="7" t="n">
        <v>357</v>
      </c>
      <c r="C20" s="6" t="inlineStr">
        <is>
          <t>Piso altitudinal dominante</t>
        </is>
      </c>
      <c r="D20" s="7" t="inlineStr">
        <is>
          <t>&lt;1000 m (Yunga)</t>
        </is>
      </c>
      <c r="E20" s="8" t="n"/>
      <c r="F20" s="8" t="n"/>
    </row>
    <row r="21">
      <c r="A21" s="6" t="inlineStr">
        <is>
          <t>Pendiente promedio (%)</t>
        </is>
      </c>
      <c r="B21" s="7" t="n">
        <v>20.65</v>
      </c>
      <c r="C21" s="6" t="inlineStr">
        <is>
          <t>Pendiente promedio (grados)</t>
        </is>
      </c>
      <c r="D21" s="7" t="n">
        <v>11.7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0.4753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(51.72 %)</t>
        </is>
      </c>
      <c r="E29" s="8" t="n"/>
      <c r="F29" s="8" t="n"/>
    </row>
    <row r="30">
      <c r="A30" s="6" t="inlineStr">
        <is>
          <t>Superficie clasificada NDVI 2025 (ha)</t>
        </is>
      </c>
      <c r="B30" s="7" t="n">
        <v>90.22799999999999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90.2 ha (100% del bloque)</t>
        </is>
      </c>
      <c r="E33" s="8" t="n"/>
      <c r="F33" s="8" t="n"/>
    </row>
    <row r="34">
      <c r="A34" s="6" t="inlineStr">
        <is>
          <t>Estado de conservación</t>
        </is>
      </c>
      <c r="B34" s="7" t="inlineStr">
        <is>
          <t>Medianamente alterado</t>
        </is>
      </c>
      <c r="C34" s="6" t="inlineStr">
        <is>
          <t>Uso actual dominante del suelo</t>
        </is>
      </c>
      <c r="D34" s="7" t="inlineStr">
        <is>
          <t>Agricultura en secano</t>
        </is>
      </c>
      <c r="E34" s="8" t="n"/>
      <c r="F34" s="8" t="n"/>
    </row>
    <row r="35">
      <c r="A35" s="6" t="inlineStr">
        <is>
          <t>Tipo de cobertura dominante</t>
        </is>
      </c>
      <c r="B35" s="7" t="inlineStr">
        <is>
          <t>Bosque ralo (30-70%)</t>
        </is>
      </c>
      <c r="C35" s="6" t="inlineStr">
        <is>
          <t>Cobertura vegetal total — campo (%)</t>
        </is>
      </c>
      <c r="D35" s="7" t="inlineStr">
        <is>
          <t>Sin registro en ficha</t>
        </is>
      </c>
      <c r="E35" s="8" t="n"/>
      <c r="F35" s="8" t="n"/>
    </row>
    <row r="36">
      <c r="A36" s="6" t="inlineStr">
        <is>
          <t>Suelo desnudo — campo (%)</t>
        </is>
      </c>
      <c r="B36" s="7" t="n">
        <v>20</v>
      </c>
      <c r="C36" s="6" t="inlineStr">
        <is>
          <t>Regeneración natural</t>
        </is>
      </c>
      <c r="D36" s="7" t="inlineStr">
        <is>
          <t>Escasa (&lt;10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Carlos Domínguez Varas</t>
        </is>
      </c>
      <c r="C41" s="6" t="inlineStr">
        <is>
          <t>Fecha de evaluación</t>
        </is>
      </c>
      <c r="D41" s="7" t="inlineStr">
        <is>
          <t>2026-05-25</t>
        </is>
      </c>
      <c r="E41" s="8" t="n"/>
      <c r="F41" s="8" t="n"/>
    </row>
    <row r="42">
      <c r="A42" s="6" t="inlineStr">
        <is>
          <t>Hora de registro</t>
        </is>
      </c>
      <c r="B42" s="7" t="inlineStr">
        <is>
          <t>14:30 - 16:00 h</t>
        </is>
      </c>
      <c r="C42" s="6" t="inlineStr">
        <is>
          <t>Correlativo de ficha</t>
        </is>
      </c>
      <c r="D42" s="7" t="inlineStr">
        <is>
          <t>Por determinar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Pastoreo de ganado caprino</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0.475342</v>
      </c>
      <c r="C15" s="17" t="inlineStr">
        <is>
          <t>—</t>
        </is>
      </c>
      <c r="D15" s="17" t="inlineStr">
        <is>
          <t>Vigor bajo · clase 0.3813 - 0.4976</t>
        </is>
      </c>
      <c r="E15" s="17" t="inlineStr">
        <is>
          <t>BAJO umbral 0.4976</t>
        </is>
      </c>
    </row>
    <row r="17" ht="72" customHeight="1">
      <c r="A17" s="9" t="inlineStr">
        <is>
          <t>NOTA METODOLÓGICA. La media del MSAVI 2024 del bloque (0.475342)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33.4936</v>
      </c>
      <c r="C21" s="19" t="n">
        <v>37.12</v>
      </c>
      <c r="D21" s="11" t="inlineStr">
        <is>
          <t>Dosel continuo, matorral denso o mosaico agroforestal</t>
        </is>
      </c>
      <c r="E21" s="11" t="inlineStr"/>
    </row>
    <row r="22">
      <c r="A22" s="12" t="inlineStr">
        <is>
          <t>Vegetación mediana</t>
        </is>
      </c>
      <c r="B22" s="20" t="n">
        <v>46.6618</v>
      </c>
      <c r="C22" s="21" t="n">
        <v>51.72</v>
      </c>
      <c r="D22" s="13" t="inlineStr">
        <is>
          <t>Pastizal cultivado, matorral ralo, parcelas agrícolas</t>
        </is>
      </c>
      <c r="E22" s="13" t="inlineStr"/>
    </row>
    <row r="23">
      <c r="A23" s="7" t="inlineStr">
        <is>
          <t>Vegetación ligera</t>
        </is>
      </c>
      <c r="B23" s="18" t="n">
        <v>7.7934</v>
      </c>
      <c r="C23" s="19" t="n">
        <v>8.640000000000001</v>
      </c>
      <c r="D23" s="11" t="inlineStr">
        <is>
          <t>Cobertura discontinua, suelo parcialmente expuesto</t>
        </is>
      </c>
      <c r="E23" s="11" t="inlineStr"/>
    </row>
    <row r="24">
      <c r="A24" s="12" t="inlineStr">
        <is>
          <t>Tierra desnuda</t>
        </is>
      </c>
      <c r="B24" s="20" t="n">
        <v>2.2791</v>
      </c>
      <c r="C24" s="21" t="n">
        <v>2.53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90.2</v>
      </c>
      <c r="C26" s="25" t="inlineStr">
        <is>
          <t>—</t>
        </is>
      </c>
      <c r="D26" s="25" t="inlineStr">
        <is>
          <t>Desviación planimétrica frente al catálogo</t>
        </is>
      </c>
      <c r="E26" s="25" t="inlineStr">
        <is>
          <t>+0.03 %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M28B2</t>
        </is>
      </c>
    </row>
    <row r="6" ht="24" customHeight="1">
      <c r="A6" s="4" t="inlineStr">
        <is>
          <t>Levantamiento del 2026-05-25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9426131</v>
      </c>
      <c r="E10" s="11" t="n">
        <v>9337.6</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636249</v>
      </c>
      <c r="C13" s="6" t="inlineStr">
        <is>
          <t>Centroide del bloque — UTM NORTE (m)</t>
        </is>
      </c>
      <c r="D13" s="7" t="n">
        <v>9425665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32"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el distrito de Yamango a los CC.PP. Víctor Raúl y Flor de Agua; la camioneta se detuvo en el centro poblado, al pie del bloque sobre la vía afirmada. Se ingresó al bloque por la zona sureste, colindante a la vía. La vía afirmada cruza el bloque e intersecta los CC.PP. En el interior del bloque se evidenciaron actividades agrícolas (siembra de maíz y plátano) y presencia de tocones por extracción de leña. La zona próxima a la vía y al CC.PP. es la parte más degradada del bloque. También se evidenció presencia de ganado caprino.</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M28B2</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M28B4</t>
        </is>
      </c>
      <c r="B10" s="27" t="n">
        <v>283.43</v>
      </c>
      <c r="C10" s="19" t="n">
        <v>58.52</v>
      </c>
      <c r="D10" s="11" t="inlineStr">
        <is>
          <t>297 – 634</t>
        </is>
      </c>
      <c r="E10" s="11" t="n">
        <v>337</v>
      </c>
      <c r="F10" s="11" t="n">
        <v>13.75</v>
      </c>
      <c r="G10" s="18" t="n">
        <v>0.4275</v>
      </c>
      <c r="H10" s="19" t="n">
        <v>18.09</v>
      </c>
    </row>
    <row r="11">
      <c r="A11" s="14" t="inlineStr">
        <is>
          <t>► M28B2</t>
        </is>
      </c>
      <c r="B11" s="28" t="n">
        <v>90.2</v>
      </c>
      <c r="C11" s="29" t="n">
        <v>18.62</v>
      </c>
      <c r="D11" s="15" t="inlineStr">
        <is>
          <t>754 – 1111</t>
        </is>
      </c>
      <c r="E11" s="15" t="n">
        <v>357</v>
      </c>
      <c r="F11" s="15" t="n">
        <v>20.65</v>
      </c>
      <c r="G11" s="30" t="n">
        <v>0.4753</v>
      </c>
      <c r="H11" s="29" t="n">
        <v>37.12</v>
      </c>
    </row>
    <row r="12">
      <c r="A12" s="7" t="inlineStr">
        <is>
          <t>M28B3</t>
        </is>
      </c>
      <c r="B12" s="27" t="n">
        <v>58.29</v>
      </c>
      <c r="C12" s="19" t="n">
        <v>12.04</v>
      </c>
      <c r="D12" s="11" t="inlineStr">
        <is>
          <t>73 – 777</t>
        </is>
      </c>
      <c r="E12" s="11" t="n">
        <v>704</v>
      </c>
      <c r="F12" s="11" t="n">
        <v>22.13</v>
      </c>
      <c r="G12" s="18" t="n">
        <v>0.5075</v>
      </c>
      <c r="H12" s="19" t="n">
        <v>45.27</v>
      </c>
    </row>
    <row r="13">
      <c r="A13" s="12" t="inlineStr">
        <is>
          <t>46</t>
        </is>
      </c>
      <c r="B13" s="31" t="n">
        <v>18.87</v>
      </c>
      <c r="C13" s="21" t="n">
        <v>3.9</v>
      </c>
      <c r="D13" s="13" t="inlineStr">
        <is>
          <t>1371 – 1655</t>
        </is>
      </c>
      <c r="E13" s="13" t="n">
        <v>284</v>
      </c>
      <c r="F13" s="13" t="n">
        <v>31.77</v>
      </c>
      <c r="G13" s="20" t="n">
        <v>0.7244</v>
      </c>
      <c r="H13" s="21" t="inlineStr">
        <is>
          <t>Por determinar</t>
        </is>
      </c>
    </row>
    <row r="14">
      <c r="A14" s="7" t="inlineStr">
        <is>
          <t>49</t>
        </is>
      </c>
      <c r="B14" s="27" t="n">
        <v>15.84</v>
      </c>
      <c r="C14" s="19" t="n">
        <v>3.27</v>
      </c>
      <c r="D14" s="11" t="inlineStr">
        <is>
          <t>3065 – 3246</t>
        </is>
      </c>
      <c r="E14" s="11" t="n">
        <v>181</v>
      </c>
      <c r="F14" s="11" t="n">
        <v>25.96</v>
      </c>
      <c r="G14" s="18" t="n">
        <v>0.6860000000000001</v>
      </c>
      <c r="H14" s="19" t="n">
        <v>98.8</v>
      </c>
    </row>
    <row r="15">
      <c r="A15" s="12" t="inlineStr">
        <is>
          <t>52</t>
        </is>
      </c>
      <c r="B15" s="31" t="n">
        <v>11.06</v>
      </c>
      <c r="C15" s="21" t="n">
        <v>2.28</v>
      </c>
      <c r="D15" s="13" t="inlineStr">
        <is>
          <t>3011 – 3164</t>
        </is>
      </c>
      <c r="E15" s="13" t="n">
        <v>153</v>
      </c>
      <c r="F15" s="13" t="n">
        <v>26.16</v>
      </c>
      <c r="G15" s="20" t="n">
        <v>0.6685</v>
      </c>
      <c r="H15" s="21" t="n">
        <v>97.31999999999999</v>
      </c>
    </row>
    <row r="16">
      <c r="A16" s="7" t="inlineStr">
        <is>
          <t>48</t>
        </is>
      </c>
      <c r="B16" s="27" t="n">
        <v>5.75</v>
      </c>
      <c r="C16" s="19" t="n">
        <v>1.19</v>
      </c>
      <c r="D16" s="11" t="inlineStr">
        <is>
          <t>1458 – 1595</t>
        </is>
      </c>
      <c r="E16" s="11" t="n">
        <v>137</v>
      </c>
      <c r="F16" s="11" t="n">
        <v>33.6</v>
      </c>
      <c r="G16" s="18" t="n">
        <v>0.6978</v>
      </c>
      <c r="H16" s="19" t="inlineStr">
        <is>
          <t>Por determinar</t>
        </is>
      </c>
    </row>
    <row r="17">
      <c r="A17" s="12" t="inlineStr">
        <is>
          <t>55</t>
        </is>
      </c>
      <c r="B17" s="31" t="n">
        <v>0.86</v>
      </c>
      <c r="C17" s="21" t="n">
        <v>0.18</v>
      </c>
      <c r="D17" s="13" t="inlineStr">
        <is>
          <t>3066 – 3131</t>
        </is>
      </c>
      <c r="E17" s="13" t="n">
        <v>65</v>
      </c>
      <c r="F17" s="13" t="n">
        <v>30.04</v>
      </c>
      <c r="G17" s="20" t="n">
        <v>0.63</v>
      </c>
      <c r="H17" s="21" t="n">
        <v>100</v>
      </c>
    </row>
    <row r="18">
      <c r="A18" s="16" t="inlineStr">
        <is>
          <t>TOTAL / PROMEDIO</t>
        </is>
      </c>
      <c r="B18" s="32">
        <f>SUM(B10:B17)</f>
        <v/>
      </c>
      <c r="C18" s="23">
        <f>SUM(C10:C17)</f>
        <v/>
      </c>
      <c r="D18" s="17" t="inlineStr">
        <is>
          <t>73 – 3246</t>
        </is>
      </c>
      <c r="E18" s="17" t="inlineStr"/>
      <c r="F18" s="17">
        <f>ROUND(AVERAGE(F10:F17),2)</f>
        <v/>
      </c>
      <c r="G18" s="22">
        <f>ROUND(AVERAGE(G10:G17),4)</f>
        <v/>
      </c>
      <c r="H18" s="23">
        <f>ROUND(AVERAGE(H10:H17),2)</f>
        <v/>
      </c>
    </row>
    <row r="20" ht="84" customHeight="1">
      <c r="A20" s="9" t="inlineStr">
        <is>
          <t>LECTURA INTRAMICROCUENCA. El bloque M28B2 ocupa el puesto 2 de 8 por superficie dentro de la microcuenca C1086-Q9575 (18.62 % de las 484.30 ha preliminares de la microcuenca). Su pendiente promedio (20.65 %, clase «15-25% (Fuert. inclinado)») es la 2.ª más baja de 8 y se sitúa por debajo del promedio de la microcuenca (25.51 %). Su MSAVI 2024 (0.4753) es el 7.º de 8 y queda por debajo del promedio local (0.6021). Amplitud altitudinal del bloque: 357 m (754–1111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M28B2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«C1086-Q9575»</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9426131 N) dista 9,338 m del centroide de catálogo (636249 E / 9425665 N), distancia incompatible con la superficie del bloque (90.2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(90.228 ha) coincide con la de catálogo (90.2 ha) dentro del ±2 % (+0.03 %)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20.65 %,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Rango altitudinal / piso ecológico</t>
        </is>
      </c>
      <c r="C14" s="33" t="inlineStr">
        <is>
          <t>La ficha DT declara «1000-1500 m (Quechua baja)»; el MDE sitúa el bloque entre 754 y 1111 msnm, cuyo punto medio corresponde a «&lt;1000 m (Yunga)»</t>
        </is>
      </c>
      <c r="D14" s="15" t="inlineStr">
        <is>
          <t>NO SUSTANTIVA</t>
        </is>
      </c>
      <c r="E14" s="33" t="inlineStr">
        <is>
          <t>Se declara la divergencia. El bloque abarca más de un piso altitudinal cuando la amplitud supera el ancho de la clase; el registro de campo corresponde al sector recorrido.</t>
        </is>
      </c>
    </row>
    <row r="15" ht="48" customHeight="1">
      <c r="A15" s="35" t="inlineStr">
        <is>
          <t>D-06</t>
        </is>
      </c>
      <c r="B15" s="35" t="inlineStr">
        <is>
          <t>Elenco florístico</t>
        </is>
      </c>
      <c r="C15" s="35" t="inlineStr">
        <is>
          <t>La ficha registra 4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«Flor de Agua»; el cruce INEI-Bloques V5 identifica 2 centro(s) poblado(s) en el bloque: FLOR DE AGUA, VICTOR RAUL (EL CHECO)</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F-DT-01</t>
        </is>
      </c>
      <c r="C19" s="35" t="inlineStr">
        <is>
          <t>Las coordenadas declaradas (645 575 E / 9 426 131 N) corresponden al valor por defecto de ESTE de la plantilla y distan ~9.3 km del centroide del bloque en el catálogo (636 249 E / 9 425 660 N)</t>
        </is>
      </c>
      <c r="D19" s="36" t="inlineStr">
        <is>
          <t>SUSTANTIVA</t>
        </is>
      </c>
      <c r="E19" s="35" t="inlineStr">
        <is>
          <t>Se conserva la declaración de la ficha y se anota el centroide del catálogo; requiere ratificación del punto de muestreo</t>
        </is>
      </c>
    </row>
    <row r="20" ht="48" customHeight="1">
      <c r="A20" s="33" t="inlineStr">
        <is>
          <t>D-11</t>
        </is>
      </c>
      <c r="B20" s="33" t="inlineStr">
        <is>
          <t>F-DT-03</t>
        </is>
      </c>
      <c r="C20" s="33" t="inlineStr">
        <is>
          <t>Altura máxima declarada 8 m frente a Ceiba pentandra registrada con 12 m en la tabla florística</t>
        </is>
      </c>
      <c r="D20" s="36" t="inlineStr">
        <is>
          <t>SUSTANTIVA</t>
        </is>
      </c>
      <c r="E20" s="33" t="inlineStr">
        <is>
          <t>Se conservan ambos registros sin promediar; corresponde re-medición</t>
        </is>
      </c>
    </row>
    <row r="21" ht="48" customHeight="1">
      <c r="A21" s="35" t="inlineStr">
        <is>
          <t>D-12</t>
        </is>
      </c>
      <c r="B21" s="35" t="inlineStr">
        <is>
          <t>F-DT-03</t>
        </is>
      </c>
      <c r="C21" s="35" t="inlineStr">
        <is>
          <t>Sólo 4 taxones registrados frente a los 15 espacios del formato; sin parcela de muestreo ni dimensiones</t>
        </is>
      </c>
      <c r="D21" s="15" t="inlineStr">
        <is>
          <t>NO SUSTANTIVA</t>
        </is>
      </c>
      <c r="E21" s="35" t="inlineStr">
        <is>
          <t>Se declara como registro incompleto</t>
        </is>
      </c>
    </row>
    <row r="22" ht="48" customHeight="1">
      <c r="A22" s="33" t="inlineStr">
        <is>
          <t>D-13</t>
        </is>
      </c>
      <c r="B22" s="33" t="inlineStr">
        <is>
          <t>F-DT-03 / F-DT-04</t>
        </is>
      </c>
      <c r="C22" s="33" t="inlineStr">
        <is>
          <t>Suelo desnudo 20% en F-DT-03 frente a 15% en el indicador 2 del F-DT-04</t>
        </is>
      </c>
      <c r="D22" s="15" t="inlineStr">
        <is>
          <t>NO SUSTANTIVA</t>
        </is>
      </c>
      <c r="E22" s="33" t="inlineStr">
        <is>
          <t>Se conservan ambos valores con indicación de su sección de origen</t>
        </is>
      </c>
    </row>
    <row r="23" ht="48" customHeight="1">
      <c r="A23" s="35" t="inlineStr">
        <is>
          <t>D-14</t>
        </is>
      </c>
      <c r="B23" s="35" t="inlineStr">
        <is>
          <t>F-DT-04</t>
        </is>
      </c>
      <c r="C23" s="35" t="inlineStr">
        <is>
          <t>La causa 7 (cambio de uso a agricultura) tiene intensidad, extensión, antigüedad y evidencia consignadas pero la casilla de presencia quedó sin marcar</t>
        </is>
      </c>
      <c r="D23" s="15" t="inlineStr">
        <is>
          <t>NO SUSTANTIVA</t>
        </is>
      </c>
      <c r="E23" s="35" t="inlineStr">
        <is>
          <t>Se interpreta como presente por la evidencia consignada, declarando la omisión formal</t>
        </is>
      </c>
    </row>
    <row r="24" ht="48" customHeight="1">
      <c r="A24" s="33" t="inlineStr">
        <is>
          <t>D-15</t>
        </is>
      </c>
      <c r="B24" s="33" t="inlineStr">
        <is>
          <t>F-DT-04</t>
        </is>
      </c>
      <c r="C24" s="33" t="inlineStr">
        <is>
          <t>Indicadores 3, 4, 6 y 7 sin valor consignado</t>
        </is>
      </c>
      <c r="D24" s="15" t="inlineStr">
        <is>
          <t>NO SUSTANTIVA</t>
        </is>
      </c>
      <c r="E24" s="33" t="inlineStr">
        <is>
          <t>Sin registro en ficha; POR DETERMINAR</t>
        </is>
      </c>
    </row>
    <row r="25" ht="48" customHeight="1">
      <c r="A25" s="35" t="inlineStr">
        <is>
          <t>D-16</t>
        </is>
      </c>
      <c r="B25" s="35" t="inlineStr">
        <is>
          <t>F-DT-05</t>
        </is>
      </c>
      <c r="C25" s="35" t="inlineStr">
        <is>
          <t>Inventario de fuentes de agua vacío; no se consignó distancia a captación ni JASS</t>
        </is>
      </c>
      <c r="D25" s="15" t="inlineStr">
        <is>
          <t>NO SUSTANTIVA</t>
        </is>
      </c>
      <c r="E25" s="35" t="inlineStr">
        <is>
          <t>Evaluación en época seca; requiere verificación en época húmeda</t>
        </is>
      </c>
    </row>
    <row r="27">
      <c r="A27" s="16" t="inlineStr">
        <is>
          <t>RESUMEN</t>
        </is>
      </c>
      <c r="B27" s="17" t="inlineStr">
        <is>
          <t>16 verificaciones</t>
        </is>
      </c>
      <c r="C27" s="17" t="inlineStr">
        <is>
          <t>CONFORME: 3 · NO SUSTANTIVA: 7 · SUSTANTIVA: 6</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M28B2 — IN Piura</dc:title>
  <dc:subject>Diagnóstico Territorial por bloque de intervención</dc:subject>
  <dcterms:created xsi:type="dcterms:W3CDTF">2026-09-08T02:45:05Z</dcterms:created>
  <dcterms:modified xsi:type="dcterms:W3CDTF">2026-09-08T02:45:05Z</dcterms:modified>
</cp:coreProperties>
</file>