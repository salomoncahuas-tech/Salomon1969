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9">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s>
  <borders count="2">
    <border>
      <left/>
      <right/>
      <top/>
      <bottom/>
      <diagonal/>
    </border>
    <border>
      <left style="thin">
        <color rgb="009C9C9C"/>
      </left>
      <right style="thin">
        <color rgb="009C9C9C"/>
      </right>
      <top style="thin">
        <color rgb="009C9C9C"/>
      </top>
      <bottom style="thin">
        <color rgb="009C9C9C"/>
      </bottom>
    </border>
  </borders>
  <cellStyleXfs count="1">
    <xf numFmtId="0" fontId="0" fillId="0" borderId="0"/>
  </cellStyleXfs>
  <cellXfs count="38">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4"/>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20</t>
        </is>
      </c>
    </row>
    <row r="6" ht="24" customHeight="1">
      <c r="A6" s="4" t="inlineStr">
        <is>
          <t>Diagnóstico Territorial — Plantilla DT Campo Check Validada V5 | Sistema de referencia: UTM WGS 84 Zona 17S (EPSG:32717)</t>
        </is>
      </c>
    </row>
    <row r="8" ht="18" customHeight="1">
      <c r="A8" s="5" t="inlineStr">
        <is>
          <t>1. IDENTIFICACIÓN Y LOCALIZACIÓN</t>
        </is>
      </c>
    </row>
    <row r="9">
      <c r="A9" s="6" t="inlineStr">
        <is>
          <t>Código del bloque</t>
        </is>
      </c>
      <c r="B9" s="7" t="inlineStr">
        <is>
          <t>20</t>
        </is>
      </c>
      <c r="C9" s="6" t="inlineStr">
        <is>
          <t>Microcuenca (catálogo)</t>
        </is>
      </c>
      <c r="D9" s="7" t="inlineStr">
        <is>
          <t>C1076-Q9593</t>
        </is>
      </c>
      <c r="E9" s="8" t="n"/>
      <c r="F9" s="8" t="n"/>
    </row>
    <row r="10">
      <c r="A10" s="6" t="inlineStr">
        <is>
          <t>Zona de planificación</t>
        </is>
      </c>
      <c r="B10" s="7" t="inlineStr">
        <is>
          <t>Z14</t>
        </is>
      </c>
      <c r="C10" s="6" t="inlineStr">
        <is>
          <t>Microcuenca declarada en ficha DT</t>
        </is>
      </c>
      <c r="D10" s="7" t="inlineStr">
        <is>
          <t>C1076-Q9593</t>
        </is>
      </c>
      <c r="E10" s="8" t="n"/>
      <c r="F10" s="8" t="n"/>
    </row>
    <row r="11">
      <c r="A11" s="6" t="inlineStr">
        <is>
          <t>Departamento</t>
        </is>
      </c>
      <c r="B11" s="7" t="inlineStr">
        <is>
          <t>Piura</t>
        </is>
      </c>
      <c r="C11" s="6" t="inlineStr">
        <is>
          <t>Provincia</t>
        </is>
      </c>
      <c r="D11" s="7" t="inlineStr">
        <is>
          <t>Huancabamba</t>
        </is>
      </c>
      <c r="E11" s="8" t="n"/>
      <c r="F11" s="8" t="n"/>
    </row>
    <row r="12">
      <c r="A12" s="6" t="inlineStr">
        <is>
          <t>Distrito</t>
        </is>
      </c>
      <c r="B12" s="7" t="inlineStr">
        <is>
          <t>Huarmaca</t>
        </is>
      </c>
      <c r="C12" s="6" t="inlineStr">
        <is>
          <t>Capital distrital</t>
        </is>
      </c>
      <c r="D12" s="7" t="inlineStr">
        <is>
          <t>Huarmaca</t>
        </is>
      </c>
      <c r="E12" s="8" t="n"/>
      <c r="F12" s="8" t="n"/>
    </row>
    <row r="13">
      <c r="A13" s="6" t="inlineStr">
        <is>
          <t>Centro poblado asociado</t>
        </is>
      </c>
      <c r="B13" s="7" t="inlineStr">
        <is>
          <t>Túpac Amaru</t>
        </is>
      </c>
      <c r="C13" s="6" t="inlineStr">
        <is>
          <t>Comunidad campesina</t>
        </is>
      </c>
      <c r="D13" s="7" t="inlineStr">
        <is>
          <t>Por verificar</t>
        </is>
      </c>
      <c r="E13" s="8" t="n"/>
      <c r="F13" s="8" t="n"/>
    </row>
    <row r="14">
      <c r="A14" s="6" t="inlineStr">
        <is>
          <t>Superficie de catálogo (V5/V6), ha</t>
        </is>
      </c>
      <c r="B14" s="7" t="n">
        <v>81.33</v>
      </c>
      <c r="C14" s="6" t="inlineStr">
        <is>
          <t>Fuente de superficie</t>
        </is>
      </c>
      <c r="D14" s="7" t="inlineStr">
        <is>
          <t>Catálogo maestro Bloques V5/V6</t>
        </is>
      </c>
      <c r="E14" s="8" t="n"/>
      <c r="F14" s="8" t="n"/>
    </row>
    <row r="15">
      <c r="A15" s="6" t="inlineStr">
        <is>
          <t>Centroide UTM ESTE (m)</t>
        </is>
      </c>
      <c r="B15" s="7" t="n">
        <v>649847</v>
      </c>
      <c r="C15" s="6" t="inlineStr">
        <is>
          <t>Centroide UTM NORTE (m)</t>
        </is>
      </c>
      <c r="D15" s="7" t="n">
        <v>9376260</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8" ht="18" customHeight="1">
      <c r="A18" s="5" t="inlineStr">
        <is>
          <t>2. PARÁMETROS FÍSICOS (ESTADÍSTICA ZONAL SOBRE MDE)</t>
        </is>
      </c>
    </row>
    <row r="19">
      <c r="A19" s="6" t="inlineStr">
        <is>
          <t>Altitud mínima (msnm)</t>
        </is>
      </c>
      <c r="B19" s="7" t="n">
        <v>1217</v>
      </c>
      <c r="C19" s="6" t="inlineStr">
        <is>
          <t>Altitud máxima (msnm)</t>
        </is>
      </c>
      <c r="D19" s="7" t="n">
        <v>1607</v>
      </c>
      <c r="E19" s="8" t="n"/>
      <c r="F19" s="8" t="n"/>
    </row>
    <row r="20">
      <c r="A20" s="6" t="inlineStr">
        <is>
          <t>Amplitud altitudinal (m)</t>
        </is>
      </c>
      <c r="B20" s="7" t="n">
        <v>390</v>
      </c>
      <c r="C20" s="6" t="inlineStr">
        <is>
          <t>Piso altitudinal dominante</t>
        </is>
      </c>
      <c r="D20" s="7" t="inlineStr">
        <is>
          <t>1000-1500 m (Quechua baja)</t>
        </is>
      </c>
      <c r="E20" s="8" t="n"/>
      <c r="F20" s="8" t="n"/>
    </row>
    <row r="21">
      <c r="A21" s="6" t="inlineStr">
        <is>
          <t>Pendiente promedio (%)</t>
        </is>
      </c>
      <c r="B21" s="7" t="n">
        <v>24.54</v>
      </c>
      <c r="C21" s="6" t="inlineStr">
        <is>
          <t>Pendiente promedio (grados)</t>
        </is>
      </c>
      <c r="D21" s="7" t="n">
        <v>13.8</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Montañoso</t>
        </is>
      </c>
      <c r="C23" s="6" t="inlineStr">
        <is>
          <t>Posición fisiográfica</t>
        </is>
      </c>
      <c r="D23" s="7" t="inlineStr">
        <is>
          <t>Ladera media</t>
        </is>
      </c>
      <c r="E23" s="8" t="n"/>
      <c r="F23" s="8" t="n"/>
    </row>
    <row r="24">
      <c r="A24" s="6" t="inlineStr">
        <is>
          <t>Exposición / orientación</t>
        </is>
      </c>
      <c r="B24" s="7" t="inlineStr">
        <is>
          <t>Norte</t>
        </is>
      </c>
      <c r="C24" s="6" t="inlineStr">
        <is>
          <t>Afloramientos rocosos</t>
        </is>
      </c>
      <c r="D24" s="7" t="inlineStr">
        <is>
          <t>Sí</t>
        </is>
      </c>
      <c r="E24" s="8" t="n"/>
      <c r="F24" s="8" t="n"/>
    </row>
    <row r="25">
      <c r="A25" s="6" t="inlineStr">
        <is>
          <t>Escarpes activos</t>
        </is>
      </c>
      <c r="B25" s="7" t="inlineStr">
        <is>
          <t>Sí</t>
        </is>
      </c>
      <c r="C25" s="6" t="inlineStr">
        <is>
          <t>Remociones en masa activas</t>
        </is>
      </c>
      <c r="D25" s="7" t="inlineStr">
        <is>
          <t>Sí</t>
        </is>
      </c>
      <c r="E25" s="8" t="n"/>
      <c r="F25" s="8" t="n"/>
    </row>
    <row r="27" ht="18" customHeight="1">
      <c r="A27" s="5" t="inlineStr">
        <is>
          <t>3. ÍNDICES DE VEGETACIÓN (SENTINEL-2)</t>
        </is>
      </c>
    </row>
    <row r="28">
      <c r="A28" s="6" t="inlineStr">
        <is>
          <t>MSAVI 2024 — media del bloque</t>
        </is>
      </c>
      <c r="B28" s="7" t="n">
        <v>0.4851</v>
      </c>
      <c r="C28" s="6" t="inlineStr">
        <is>
          <t>MSAVI 2024 — clase de la media</t>
        </is>
      </c>
      <c r="D28" s="7" t="inlineStr">
        <is>
          <t>0.3813 - 0.4976 (Vigor bajo)</t>
        </is>
      </c>
      <c r="E28" s="8" t="n"/>
      <c r="F28" s="8" t="n"/>
    </row>
    <row r="29">
      <c r="A29" s="6" t="inlineStr">
        <is>
          <t>Condición frente al umbral 0.4976</t>
        </is>
      </c>
      <c r="B29" s="7" t="inlineStr">
        <is>
          <t>BAJO umbral 0.4976</t>
        </is>
      </c>
      <c r="C29" s="6" t="inlineStr">
        <is>
          <t>NDVI mediana 2025 — clase modal</t>
        </is>
      </c>
      <c r="D29" s="7" t="inlineStr">
        <is>
          <t>Vegetación alta (52.44 %)</t>
        </is>
      </c>
      <c r="E29" s="8" t="n"/>
      <c r="F29" s="8" t="n"/>
    </row>
    <row r="30">
      <c r="A30" s="6" t="inlineStr">
        <is>
          <t>Superficie clasificada NDVI 2025 (ha)</t>
        </is>
      </c>
      <c r="B30" s="7" t="n">
        <v>81.35299999999999</v>
      </c>
      <c r="C30" s="6" t="inlineStr">
        <is>
          <t>Desviación frente al catálogo (%)</t>
        </is>
      </c>
      <c r="D30" s="7" t="n">
        <v>0.03</v>
      </c>
      <c r="E30" s="8" t="n"/>
      <c r="F30" s="8" t="n"/>
    </row>
    <row r="32" ht="18" customHeight="1">
      <c r="A32" s="5" t="inlineStr">
        <is>
          <t>4. ECOSISTEMA Y ESTADO DE CONSERVACIÓN</t>
        </is>
      </c>
    </row>
    <row r="33">
      <c r="A33" s="6" t="inlineStr">
        <is>
          <t>Tipo de ecosistema (UP)</t>
        </is>
      </c>
      <c r="B33" s="7" t="inlineStr">
        <is>
          <t>Bosque Estacionalmente Seco Colina/Montaña (Bes-cm)</t>
        </is>
      </c>
      <c r="C33" s="6" t="inlineStr">
        <is>
          <t>Superficie de ecosistema (ha)</t>
        </is>
      </c>
      <c r="D33" s="7" t="inlineStr">
        <is>
          <t>Por determinar</t>
        </is>
      </c>
      <c r="E33" s="8" t="n"/>
      <c r="F33" s="8" t="n"/>
    </row>
    <row r="34">
      <c r="A34" s="6" t="inlineStr">
        <is>
          <t>Estado de conservación</t>
        </is>
      </c>
      <c r="B34" s="7" t="inlineStr">
        <is>
          <t>Alterado (intervención marcada)</t>
        </is>
      </c>
      <c r="C34" s="6" t="inlineStr">
        <is>
          <t>Uso actual dominante del suelo</t>
        </is>
      </c>
      <c r="D34" s="7" t="inlineStr">
        <is>
          <t>Uso mixto</t>
        </is>
      </c>
      <c r="E34" s="8" t="n"/>
      <c r="F34" s="8" t="n"/>
    </row>
    <row r="35">
      <c r="A35" s="6" t="inlineStr">
        <is>
          <t>Tipo de cobertura dominante</t>
        </is>
      </c>
      <c r="B35" s="7" t="inlineStr">
        <is>
          <t>Mixto / Mosaico</t>
        </is>
      </c>
      <c r="C35" s="6" t="inlineStr">
        <is>
          <t>Cobertura vegetal total — campo (%)</t>
        </is>
      </c>
      <c r="D35" s="7" t="inlineStr">
        <is>
          <t>Por determinar</t>
        </is>
      </c>
      <c r="E35" s="8" t="n"/>
      <c r="F35" s="8" t="n"/>
    </row>
    <row r="36">
      <c r="A36" s="6" t="inlineStr">
        <is>
          <t>Suelo desnudo — campo (%)</t>
        </is>
      </c>
      <c r="B36" s="7" t="inlineStr">
        <is>
          <t>Por determinar</t>
        </is>
      </c>
      <c r="C36" s="6" t="inlineStr">
        <is>
          <t>Regeneración natural</t>
        </is>
      </c>
      <c r="D36" s="7" t="inlineStr">
        <is>
          <t>Escasa (&lt;10 pl./100m²)</t>
        </is>
      </c>
      <c r="E36" s="8" t="n"/>
      <c r="F36" s="8" t="n"/>
    </row>
    <row r="37">
      <c r="A37" s="6" t="inlineStr">
        <is>
          <t>Nivel general de erosión</t>
        </is>
      </c>
      <c r="B37" s="7" t="inlineStr">
        <is>
          <t>Moderada (surcos)</t>
        </is>
      </c>
      <c r="C37" s="6" t="inlineStr">
        <is>
          <t>N.° de cárcavas registradas</t>
        </is>
      </c>
      <c r="D37" s="7" t="inlineStr">
        <is>
          <t>Sin inventario</t>
        </is>
      </c>
      <c r="E37" s="8" t="n"/>
      <c r="F37" s="8" t="n"/>
    </row>
    <row r="38">
      <c r="A38" s="6" t="inlineStr">
        <is>
          <t>Elenco florístico (n.° de taxones)</t>
        </is>
      </c>
      <c r="B38" s="7" t="n">
        <v>12</v>
      </c>
      <c r="C38" s="6" t="inlineStr">
        <is>
          <t>Estado sanitario</t>
        </is>
      </c>
      <c r="D38" s="7" t="inlineStr">
        <is>
          <t>Sano</t>
        </is>
      </c>
      <c r="E38" s="8" t="n"/>
      <c r="F38" s="8" t="n"/>
    </row>
    <row r="40" ht="18" customHeight="1">
      <c r="A40" s="5" t="inlineStr">
        <is>
          <t>5. RESPONSABLE Y MODALIDAD DE LA EVALUACIÓN</t>
        </is>
      </c>
    </row>
    <row r="41">
      <c r="A41" s="6" t="inlineStr">
        <is>
          <t>Responsable de la evaluación</t>
        </is>
      </c>
      <c r="B41" s="7" t="inlineStr">
        <is>
          <t>Por confirmar</t>
        </is>
      </c>
      <c r="C41" s="6" t="inlineStr">
        <is>
          <t>Fecha de evaluación</t>
        </is>
      </c>
      <c r="D41" s="7" t="inlineStr">
        <is>
          <t>2026-08-18</t>
        </is>
      </c>
      <c r="E41" s="8" t="n"/>
      <c r="F41" s="8" t="n"/>
    </row>
    <row r="42">
      <c r="A42" s="6" t="inlineStr">
        <is>
          <t>Hora de registro</t>
        </is>
      </c>
      <c r="B42" s="7" t="inlineStr">
        <is>
          <t>12:05 - 12:15 h</t>
        </is>
      </c>
      <c r="C42" s="6" t="inlineStr">
        <is>
          <t>Correlativo de ficha</t>
        </is>
      </c>
      <c r="D42" s="7" t="inlineStr">
        <is>
          <t>DT-B20-2026-01</t>
        </is>
      </c>
      <c r="E42" s="8" t="n"/>
      <c r="F42" s="8" t="n"/>
    </row>
    <row r="43">
      <c r="A43" s="6" t="inlineStr">
        <is>
          <t>Entidad</t>
        </is>
      </c>
      <c r="B43" s="7" t="inlineStr">
        <is>
          <t>ANIN - DIME - SESDI</t>
        </is>
      </c>
      <c r="C43" s="6" t="inlineStr">
        <is>
          <t>Fase del estudio</t>
        </is>
      </c>
      <c r="D43" s="7" t="inlineStr">
        <is>
          <t>Preinversión (Perfil) · Invierte.pe</t>
        </is>
      </c>
      <c r="E43" s="8" t="n"/>
      <c r="F43" s="8" t="n"/>
    </row>
    <row r="44">
      <c r="A44" s="6" t="inlineStr">
        <is>
          <t>Instrumento aplicado</t>
        </is>
      </c>
      <c r="B44" s="7" t="inlineStr">
        <is>
          <t>Fichas F-DT-01 a F-DT-05 (Plantilla V5)</t>
        </is>
      </c>
      <c r="C44" s="6" t="inlineStr">
        <is>
          <t>Parcela de muestreo</t>
        </is>
      </c>
      <c r="D44" s="7" t="inlineStr">
        <is>
          <t>No se instalaron parcelas de muestreo</t>
        </is>
      </c>
      <c r="E44" s="8" t="n"/>
      <c r="F44" s="8" t="n"/>
    </row>
    <row r="45">
      <c r="A45" s="6" t="inlineStr">
        <is>
          <t>Estaciones fotográficas georreferenciadas</t>
        </is>
      </c>
      <c r="B45" s="7" t="n">
        <v>12</v>
      </c>
      <c r="C45" s="6" t="inlineStr">
        <is>
          <t>Modalidad de acceso</t>
        </is>
      </c>
      <c r="D45" s="7" t="inlineStr">
        <is>
          <t>Vehicular 4x4 hasta el bloque</t>
        </is>
      </c>
      <c r="E45" s="8" t="n"/>
      <c r="F45" s="8" t="n"/>
    </row>
    <row r="47" ht="18" customHeight="1">
      <c r="A47" s="5" t="inlineStr">
        <is>
          <t>6. SÍNTESIS PARA LA GESTIÓN DEL RIESGO EN CONTEXTO DE CAMBIO CLIMÁTICO</t>
        </is>
      </c>
    </row>
    <row r="48">
      <c r="A48" s="6" t="inlineStr">
        <is>
          <t>Causa subyacente principal</t>
        </is>
      </c>
      <c r="B48" s="7" t="inlineStr">
        <is>
          <t>Presión de habilitación de accesos y de frontera agropecuaria sobre laderas de vertiente occidental</t>
        </is>
      </c>
      <c r="C48" s="6" t="inlineStr">
        <is>
          <t>Velocidad de degradación</t>
        </is>
      </c>
      <c r="D48" s="7" t="inlineStr">
        <is>
          <t>Rápida</t>
        </is>
      </c>
      <c r="E48" s="8" t="n"/>
      <c r="F48" s="8" t="n"/>
    </row>
    <row r="49">
      <c r="A49" s="6" t="inlineStr">
        <is>
          <t>Reversibilidad técnica</t>
        </is>
      </c>
      <c r="B49" s="7" t="inlineStr">
        <is>
          <t>Parcialmente reversible</t>
        </is>
      </c>
      <c r="C49" s="6" t="inlineStr">
        <is>
          <t>Urgencia de intervención</t>
        </is>
      </c>
      <c r="D49" s="7" t="inlineStr">
        <is>
          <t>Alta</t>
        </is>
      </c>
      <c r="E49" s="8" t="n"/>
      <c r="F49" s="8" t="n"/>
    </row>
    <row r="50">
      <c r="A50" s="6" t="inlineStr">
        <is>
          <t>Urgencia de control de erosión</t>
        </is>
      </c>
      <c r="B50" s="7" t="inlineStr">
        <is>
          <t>Alta</t>
        </is>
      </c>
      <c r="C50" s="6" t="inlineStr">
        <is>
          <t>Zona de recarga hídrica</t>
        </is>
      </c>
      <c r="D50" s="7" t="inlineStr">
        <is>
          <t>Sí</t>
        </is>
      </c>
      <c r="E50" s="8" t="n"/>
      <c r="F50" s="8" t="n"/>
    </row>
    <row r="51">
      <c r="A51" s="6" t="inlineStr">
        <is>
          <t>Peligro integrado preliminar (MCA-AHP)</t>
        </is>
      </c>
      <c r="B51" s="7" t="inlineStr">
        <is>
          <t>No disponible en los insumos; debe tomarse del modelamiento de mesolocalización</t>
        </is>
      </c>
      <c r="C51" s="6" t="inlineStr">
        <is>
          <t>Prioridad de intervención</t>
        </is>
      </c>
      <c r="D51" s="7" t="inlineStr">
        <is>
          <t>Por definir en mesolocalización</t>
        </is>
      </c>
      <c r="E51" s="8" t="n"/>
      <c r="F51" s="8" t="n"/>
    </row>
    <row r="52">
      <c r="A52" s="6" t="inlineStr">
        <is>
          <t>Estado de verificación de campo</t>
        </is>
      </c>
      <c r="B52" s="7" t="inlineStr">
        <is>
          <t>VERIFICADO</t>
        </is>
      </c>
      <c r="C52" s="6" t="inlineStr">
        <is>
          <t>Marco del indicador de brecha</t>
        </is>
      </c>
      <c r="D52" s="7" t="inlineStr">
        <is>
          <t>R.M. N.° 00213-2024-MINAM</t>
        </is>
      </c>
      <c r="E52" s="8" t="n"/>
      <c r="F52" s="8" t="n"/>
    </row>
    <row r="54" ht="72" customHeight="1">
      <c r="A54"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t>
        </is>
      </c>
    </row>
  </sheetData>
  <mergeCells count="13">
    <mergeCell ref="A2:F2"/>
    <mergeCell ref="A54:F54"/>
    <mergeCell ref="A47:F47"/>
    <mergeCell ref="A1:F1"/>
    <mergeCell ref="A5:F5"/>
    <mergeCell ref="A32:F32"/>
    <mergeCell ref="A27:F27"/>
    <mergeCell ref="A8:F8"/>
    <mergeCell ref="A6:F6"/>
    <mergeCell ref="A40:F40"/>
    <mergeCell ref="A18:F18"/>
    <mergeCell ref="A4:F4"/>
    <mergeCell ref="A3:F3"/>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8"/>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20</t>
        </is>
      </c>
    </row>
    <row r="6" ht="24" customHeight="1">
      <c r="A6" s="4" t="inlineStr">
        <is>
          <t>MSAVI 2024 y NDVI mediana 2025 (Sentinel-2, mosaico Piura) · Umbral de brecha del proyecto: MSAVI = 0.4976</t>
        </is>
      </c>
    </row>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t>
        </is>
      </c>
      <c r="B10" s="11" t="inlineStr">
        <is>
          <t>Por determinar</t>
        </is>
      </c>
      <c r="C10" s="11" t="inlineStr">
        <is>
          <t>Por determinar</t>
        </is>
      </c>
      <c r="D10" s="11" t="inlineStr">
        <is>
          <t>Vigor alto</t>
        </is>
      </c>
      <c r="E10" s="11" t="inlineStr">
        <is>
          <t>Sobre umbral</t>
        </is>
      </c>
    </row>
    <row r="11">
      <c r="A11" s="12" t="inlineStr">
        <is>
          <t>0.4976 - 0.6139</t>
        </is>
      </c>
      <c r="B11" s="13" t="inlineStr">
        <is>
          <t>Por determinar</t>
        </is>
      </c>
      <c r="C11" s="13" t="inlineStr">
        <is>
          <t>Por determinar</t>
        </is>
      </c>
      <c r="D11" s="13" t="inlineStr">
        <is>
          <t>Vigor moderado</t>
        </is>
      </c>
      <c r="E11" s="13" t="inlineStr">
        <is>
          <t>Sobre umbral</t>
        </is>
      </c>
    </row>
    <row r="12">
      <c r="A12" s="14" t="inlineStr">
        <is>
          <t>0.3813 - 0.4976</t>
        </is>
      </c>
      <c r="B12" s="15" t="inlineStr">
        <is>
          <t>Por determinar</t>
        </is>
      </c>
      <c r="C12" s="15" t="inlineStr">
        <is>
          <t>Por determinar</t>
        </is>
      </c>
      <c r="D12" s="15" t="inlineStr">
        <is>
          <t>Vigor bajo</t>
        </is>
      </c>
      <c r="E12" s="15" t="inlineStr">
        <is>
          <t>BAJO umbral 0.4976</t>
        </is>
      </c>
    </row>
    <row r="13">
      <c r="A13" s="12" t="inlineStr">
        <is>
          <t>0.2650 - 0.3813</t>
        </is>
      </c>
      <c r="B13" s="13" t="inlineStr">
        <is>
          <t>Por determinar</t>
        </is>
      </c>
      <c r="C13" s="13" t="inlineStr">
        <is>
          <t>Por determinar</t>
        </is>
      </c>
      <c r="D13" s="13" t="inlineStr">
        <is>
          <t>Vigor muy bajo</t>
        </is>
      </c>
      <c r="E13" s="13" t="inlineStr">
        <is>
          <t>BAJO umbral 0.4976</t>
        </is>
      </c>
    </row>
    <row r="14">
      <c r="A14" s="7" t="inlineStr">
        <is>
          <t>&lt;= 0.2650</t>
        </is>
      </c>
      <c r="B14" s="11" t="inlineStr">
        <is>
          <t>Por determinar</t>
        </is>
      </c>
      <c r="C14" s="11" t="inlineStr">
        <is>
          <t>Por determinar</t>
        </is>
      </c>
      <c r="D14" s="11" t="inlineStr">
        <is>
          <t>Suelo desnudo / no vegetal</t>
        </is>
      </c>
      <c r="E14" s="11" t="inlineStr">
        <is>
          <t>BAJO umbral 0.4976</t>
        </is>
      </c>
    </row>
    <row r="15">
      <c r="A15" s="16" t="inlineStr">
        <is>
          <t>MSAVI 2024 — MEDIA DEL BLOQUE</t>
        </is>
      </c>
      <c r="B15" s="17" t="n">
        <v>0.48513</v>
      </c>
      <c r="C15" s="17" t="inlineStr">
        <is>
          <t>—</t>
        </is>
      </c>
      <c r="D15" s="17" t="inlineStr">
        <is>
          <t>Vigor bajo · clase 0.3813 - 0.4976</t>
        </is>
      </c>
      <c r="E15" s="17" t="inlineStr">
        <is>
          <t>BAJO umbral 0.4976</t>
        </is>
      </c>
    </row>
    <row r="17" ht="72" customHeight="1">
      <c r="A17" s="9" t="inlineStr">
        <is>
          <t>NOTA METODOLÓGICA. La media del MSAVI 2024 del bloque (0.485130) procede del catálogo maestro de bloques V5/V6 y es dato oficial. La DISTRIBUCIÓN AREAL por clase de MSAVI no está disponible como estadística zonal en los insumos de este entregable: se consigna «Por determinar» y NO se estima, conforme a la declaración de integridad de datos del proyecto. La fila resaltada indica la clase en la que cae la media del bloque. Para el dimensionamiento de metas físicas debe ejecutarse estadística zonal directa sobre el ráster MSAVI 2024 recortado al polígono.</t>
        </is>
      </c>
    </row>
    <row r="19" ht="18" customHeight="1">
      <c r="A19" s="5" t="inlineStr">
        <is>
          <t>B. NDVI MEDIANA 2025 — DISTRIBUCIÓN AREAL (ESTADÍSTICA ZONAL)</t>
        </is>
      </c>
    </row>
    <row r="20" ht="28" customHeight="1">
      <c r="A20" s="10" t="inlineStr">
        <is>
          <t>Clase NDVI</t>
        </is>
      </c>
      <c r="B20" s="10" t="inlineStr">
        <is>
          <t>Superficie (ha)</t>
        </is>
      </c>
      <c r="C20" s="10" t="inlineStr">
        <is>
          <t>% del área clasificada</t>
        </is>
      </c>
      <c r="D20" s="10" t="inlineStr">
        <is>
          <t>Interpretación</t>
        </is>
      </c>
      <c r="E20" s="10" t="inlineStr">
        <is>
          <t>Observación</t>
        </is>
      </c>
    </row>
    <row r="21">
      <c r="A21" s="7" t="inlineStr">
        <is>
          <t>Vegetación alta</t>
        </is>
      </c>
      <c r="B21" s="18" t="n">
        <v>42.6631</v>
      </c>
      <c r="C21" s="19" t="n">
        <v>52.44</v>
      </c>
      <c r="D21" s="11" t="inlineStr">
        <is>
          <t>Dosel continuo, matorral denso o mosaico agroforestal</t>
        </is>
      </c>
      <c r="E21" s="11" t="inlineStr"/>
    </row>
    <row r="22">
      <c r="A22" s="12" t="inlineStr">
        <is>
          <t>Vegetación mediana</t>
        </is>
      </c>
      <c r="B22" s="20" t="n">
        <v>38.4235</v>
      </c>
      <c r="C22" s="21" t="n">
        <v>47.23</v>
      </c>
      <c r="D22" s="13" t="inlineStr">
        <is>
          <t>Pastizal cultivado, matorral ralo, parcelas agrícolas</t>
        </is>
      </c>
      <c r="E22" s="13" t="inlineStr"/>
    </row>
    <row r="23">
      <c r="A23" s="7" t="inlineStr">
        <is>
          <t>Vegetación ligera</t>
        </is>
      </c>
      <c r="B23" s="18" t="n">
        <v>0.257</v>
      </c>
      <c r="C23" s="19" t="n">
        <v>0.32</v>
      </c>
      <c r="D23" s="11" t="inlineStr">
        <is>
          <t>Cobertura discontinua, suelo parcialmente expuesto</t>
        </is>
      </c>
      <c r="E23" s="11" t="inlineStr"/>
    </row>
    <row r="24">
      <c r="A24" s="12" t="inlineStr">
        <is>
          <t>Tierra desnuda</t>
        </is>
      </c>
      <c r="B24" s="20" t="n">
        <v>0.009900000000000001</v>
      </c>
      <c r="C24" s="21" t="n">
        <v>0.01</v>
      </c>
      <c r="D24" s="13" t="inlineStr">
        <is>
          <t>Suelo desnudo, afloramientos, plataformas y taludes</t>
        </is>
      </c>
      <c r="E24" s="13" t="inlineStr"/>
    </row>
    <row r="25">
      <c r="A25" s="16" t="inlineStr">
        <is>
          <t>TOTAL CLASIFICADO</t>
        </is>
      </c>
      <c r="B25" s="22">
        <f>SUM(B21:B24)</f>
        <v/>
      </c>
      <c r="C25" s="23">
        <f>SUM(C21:C24)</f>
        <v/>
      </c>
      <c r="D25" s="17" t="inlineStr"/>
      <c r="E25" s="17" t="inlineStr"/>
    </row>
    <row r="26">
      <c r="A26" s="24" t="inlineStr">
        <is>
          <t>Superficie de catálogo (V5/V6)</t>
        </is>
      </c>
      <c r="B26" s="25" t="n">
        <v>81.33</v>
      </c>
      <c r="C26" s="25" t="inlineStr">
        <is>
          <t>—</t>
        </is>
      </c>
      <c r="D26" s="25" t="inlineStr">
        <is>
          <t>Desviación planimétrica frente al catálogo</t>
        </is>
      </c>
      <c r="E26" s="25" t="inlineStr">
        <is>
          <t>+0.03 %</t>
        </is>
      </c>
    </row>
    <row r="28" ht="72" customHeight="1">
      <c r="A28"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t>
        </is>
      </c>
    </row>
  </sheetData>
  <mergeCells count="10">
    <mergeCell ref="A4:E4"/>
    <mergeCell ref="A2:E2"/>
    <mergeCell ref="A28:E28"/>
    <mergeCell ref="A19:E19"/>
    <mergeCell ref="A1:E1"/>
    <mergeCell ref="A5:E5"/>
    <mergeCell ref="A8:E8"/>
    <mergeCell ref="A6:E6"/>
    <mergeCell ref="A17:E17"/>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17"/>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20</t>
        </is>
      </c>
    </row>
    <row r="6" ht="24" customHeight="1">
      <c r="A6" s="4" t="inlineStr">
        <is>
          <t>Levantamiento del 2026-08-18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649839</v>
      </c>
      <c r="D10" s="26" t="n">
        <v>9376621</v>
      </c>
      <c r="E10" s="11" t="n">
        <v>361.1</v>
      </c>
      <c r="F10" s="11" t="inlineStr"/>
      <c r="G10" s="11" t="inlineStr">
        <is>
          <t>Coordenada consignada en F-DT-01</t>
        </is>
      </c>
    </row>
    <row r="11">
      <c r="A11" s="12" t="inlineStr">
        <is>
          <t>H-01</t>
        </is>
      </c>
      <c r="B11" s="13" t="inlineStr">
        <is>
          <t>Fuente de agua — Quebrada estacional</t>
        </is>
      </c>
      <c r="C11" s="27" t="n">
        <v>650350</v>
      </c>
      <c r="D11" s="27" t="n">
        <v>9376569</v>
      </c>
      <c r="E11" s="13" t="n">
        <v>590.3</v>
      </c>
      <c r="F11" s="13" t="inlineStr">
        <is>
          <t>Estacional</t>
        </is>
      </c>
      <c r="G11" s="13" t="inlineStr">
        <is>
          <t>Vaguada de lecho pedregoso</t>
        </is>
      </c>
    </row>
    <row r="12">
      <c r="A12" s="16" t="inlineStr">
        <is>
          <t>TOTAL: 2 puntos</t>
        </is>
      </c>
      <c r="B12" s="17" t="inlineStr"/>
      <c r="C12" s="17" t="inlineStr"/>
      <c r="D12" s="17" t="inlineStr"/>
      <c r="E12" s="17" t="inlineStr"/>
      <c r="F12" s="17" t="inlineStr"/>
      <c r="G12" s="17" t="inlineStr"/>
    </row>
    <row r="14">
      <c r="A14" s="6" t="inlineStr">
        <is>
          <t>Centroide del bloque — UTM ESTE (m)</t>
        </is>
      </c>
      <c r="B14" s="7" t="n">
        <v>649847</v>
      </c>
      <c r="C14" s="6" t="inlineStr">
        <is>
          <t>Centroide del bloque — UTM NORTE (m)</t>
        </is>
      </c>
      <c r="D14" s="7" t="n">
        <v>9376260</v>
      </c>
      <c r="E14" s="8" t="n"/>
      <c r="F14" s="8" t="n"/>
      <c r="G14" s="8" t="n"/>
      <c r="H14" s="8" t="n"/>
    </row>
    <row r="15">
      <c r="A15" s="6" t="inlineStr">
        <is>
          <t>N.° de estaciones fotográficas declaradas</t>
        </is>
      </c>
      <c r="B15" s="7" t="n">
        <v>12</v>
      </c>
      <c r="C15" s="6" t="inlineStr">
        <is>
          <t>Estaciones dentro del polígono</t>
        </is>
      </c>
      <c r="D15" s="7" t="n">
        <v>0</v>
      </c>
      <c r="E15" s="8" t="n"/>
      <c r="F15" s="8" t="n"/>
      <c r="G15" s="8" t="n"/>
      <c r="H15" s="8" t="n"/>
    </row>
    <row r="17" ht="132" customHeight="1">
      <c r="A17"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LAS FICHAS F-DT NO FUERON DILIGENCIADAS EN CAMPO: los valores cualitativos son propuesta de gabinete sustentada en fotointerpretación y deben ser ratificados por la brigada. CONTROL GEOMÉTRICO: las 12 tomas se localizan entre 21 y 63 m POR FUERA del límite norte del polígono; la caracterización es representativa del borde septentrional, no del interior. REMOCIÓN EN MASA ACTIVA: árbol descalzado con sistema radicular expuesto por retroceso del talud y agrietamiento del material (649925 E / 9376647 N). Neblina densa, visibilidad panorámica reducida.</t>
        </is>
      </c>
    </row>
  </sheetData>
  <mergeCells count="8">
    <mergeCell ref="A1:G1"/>
    <mergeCell ref="A17:G17"/>
    <mergeCell ref="A8:G8"/>
    <mergeCell ref="A3:G3"/>
    <mergeCell ref="A6:G6"/>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22"/>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C1076-Q9593 — BLOQUE 20</t>
        </is>
      </c>
    </row>
    <row r="6" ht="24" customHeight="1">
      <c r="A6" s="4" t="inlineStr">
        <is>
          <t>Distrito de Huarmaca · Provincia de Huancabamba · Comparación de los bloques preliminares de intervención de la misma microcuenca</t>
        </is>
      </c>
    </row>
    <row r="8" ht="18" customHeight="1">
      <c r="A8" s="5" t="inlineStr">
        <is>
          <t>BLOQUES DE LA MICROCUENCA C1076-Q9593</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row>
    <row r="10">
      <c r="A10" s="7" t="inlineStr">
        <is>
          <t>10</t>
        </is>
      </c>
      <c r="B10" s="28" t="n">
        <v>150.21</v>
      </c>
      <c r="C10" s="19" t="n">
        <v>28.67</v>
      </c>
      <c r="D10" s="11" t="inlineStr">
        <is>
          <t>912 – 1510</t>
        </is>
      </c>
      <c r="E10" s="11" t="n">
        <v>598</v>
      </c>
      <c r="F10" s="11" t="n">
        <v>27.39</v>
      </c>
      <c r="G10" s="18" t="n">
        <v>0.5465</v>
      </c>
      <c r="H10" s="19" t="n">
        <v>85.18000000000001</v>
      </c>
    </row>
    <row r="11">
      <c r="A11" s="12" t="inlineStr">
        <is>
          <t>8</t>
        </is>
      </c>
      <c r="B11" s="29" t="n">
        <v>126.95</v>
      </c>
      <c r="C11" s="21" t="n">
        <v>24.23</v>
      </c>
      <c r="D11" s="13" t="inlineStr">
        <is>
          <t>1504 – 1970</t>
        </is>
      </c>
      <c r="E11" s="13" t="n">
        <v>466</v>
      </c>
      <c r="F11" s="13" t="n">
        <v>29.85</v>
      </c>
      <c r="G11" s="20" t="n">
        <v>0.5548</v>
      </c>
      <c r="H11" s="21" t="n">
        <v>72.25</v>
      </c>
    </row>
    <row r="12">
      <c r="A12" s="7" t="inlineStr">
        <is>
          <t>16</t>
        </is>
      </c>
      <c r="B12" s="28" t="n">
        <v>83.33</v>
      </c>
      <c r="C12" s="19" t="n">
        <v>15.91</v>
      </c>
      <c r="D12" s="11" t="inlineStr">
        <is>
          <t>1349 – 1746</t>
        </is>
      </c>
      <c r="E12" s="11" t="n">
        <v>397</v>
      </c>
      <c r="F12" s="11" t="n">
        <v>22.34</v>
      </c>
      <c r="G12" s="18" t="n">
        <v>0.6284</v>
      </c>
      <c r="H12" s="19" t="n">
        <v>94.13</v>
      </c>
    </row>
    <row r="13">
      <c r="A13" s="14" t="inlineStr">
        <is>
          <t>► 20</t>
        </is>
      </c>
      <c r="B13" s="30" t="n">
        <v>81.33</v>
      </c>
      <c r="C13" s="31" t="n">
        <v>15.52</v>
      </c>
      <c r="D13" s="15" t="inlineStr">
        <is>
          <t>1217 – 1607</t>
        </is>
      </c>
      <c r="E13" s="15" t="n">
        <v>390</v>
      </c>
      <c r="F13" s="15" t="n">
        <v>24.54</v>
      </c>
      <c r="G13" s="32" t="n">
        <v>0.4851</v>
      </c>
      <c r="H13" s="31" t="n">
        <v>52.44</v>
      </c>
    </row>
    <row r="14">
      <c r="A14" s="7" t="inlineStr">
        <is>
          <t>80</t>
        </is>
      </c>
      <c r="B14" s="28" t="n">
        <v>28.83</v>
      </c>
      <c r="C14" s="19" t="n">
        <v>5.5</v>
      </c>
      <c r="D14" s="11" t="inlineStr">
        <is>
          <t>2180 – 2491</t>
        </is>
      </c>
      <c r="E14" s="11" t="n">
        <v>311</v>
      </c>
      <c r="F14" s="11" t="n">
        <v>32.9</v>
      </c>
      <c r="G14" s="18" t="n">
        <v>0.5931</v>
      </c>
      <c r="H14" s="19" t="n">
        <v>78.73</v>
      </c>
    </row>
    <row r="15">
      <c r="A15" s="12" t="inlineStr">
        <is>
          <t>51</t>
        </is>
      </c>
      <c r="B15" s="29" t="n">
        <v>22.93</v>
      </c>
      <c r="C15" s="21" t="n">
        <v>4.38</v>
      </c>
      <c r="D15" s="13" t="inlineStr">
        <is>
          <t>1734 – 2018</t>
        </is>
      </c>
      <c r="E15" s="13" t="n">
        <v>284</v>
      </c>
      <c r="F15" s="13" t="n">
        <v>31.74</v>
      </c>
      <c r="G15" s="20" t="n">
        <v>0.5238</v>
      </c>
      <c r="H15" s="21" t="n">
        <v>69.45999999999999</v>
      </c>
    </row>
    <row r="16">
      <c r="A16" s="7" t="inlineStr">
        <is>
          <t>76</t>
        </is>
      </c>
      <c r="B16" s="28" t="n">
        <v>19.62</v>
      </c>
      <c r="C16" s="19" t="n">
        <v>3.75</v>
      </c>
      <c r="D16" s="11" t="inlineStr">
        <is>
          <t>1647 – 1838</t>
        </is>
      </c>
      <c r="E16" s="11" t="n">
        <v>191</v>
      </c>
      <c r="F16" s="11" t="n">
        <v>26.25</v>
      </c>
      <c r="G16" s="18" t="n">
        <v>0.4925</v>
      </c>
      <c r="H16" s="19" t="n">
        <v>46.27</v>
      </c>
    </row>
    <row r="17">
      <c r="A17" s="12" t="inlineStr">
        <is>
          <t>71</t>
        </is>
      </c>
      <c r="B17" s="29" t="n">
        <v>10.67</v>
      </c>
      <c r="C17" s="21" t="n">
        <v>2.04</v>
      </c>
      <c r="D17" s="13" t="inlineStr">
        <is>
          <t>1478 – 1609</t>
        </is>
      </c>
      <c r="E17" s="13" t="n">
        <v>131</v>
      </c>
      <c r="F17" s="13" t="n">
        <v>29.45</v>
      </c>
      <c r="G17" s="20" t="n">
        <v>0.5571</v>
      </c>
      <c r="H17" s="21" t="n">
        <v>81.37</v>
      </c>
    </row>
    <row r="18">
      <c r="A18" s="16" t="inlineStr">
        <is>
          <t>TOTAL / PROMEDIO</t>
        </is>
      </c>
      <c r="B18" s="33">
        <f>SUM(B10:B17)</f>
        <v/>
      </c>
      <c r="C18" s="23">
        <f>SUM(C10:C17)</f>
        <v/>
      </c>
      <c r="D18" s="17" t="inlineStr">
        <is>
          <t>912 – 2491</t>
        </is>
      </c>
      <c r="E18" s="17" t="inlineStr"/>
      <c r="F18" s="17">
        <f>ROUND(AVERAGE(F10:F17),2)</f>
        <v/>
      </c>
      <c r="G18" s="22">
        <f>ROUND(AVERAGE(G10:G17),4)</f>
        <v/>
      </c>
      <c r="H18" s="23">
        <f>ROUND(AVERAGE(H10:H17),2)</f>
        <v/>
      </c>
    </row>
    <row r="20" ht="84" customHeight="1">
      <c r="A20" s="9" t="inlineStr">
        <is>
          <t>LECTURA INTRAMICROCUENCA. El bloque 20 ocupa el puesto 4 de 8 por superficie dentro de la microcuenca C1076-Q9593 (15.52 % de las 523.87 ha preliminares de la microcuenca). Su pendiente promedio (24.54 %, clase «15-25% (Fuert. inclinado)») es la 2.ª más baja de 8 y se sitúa por debajo del promedio de la microcuenca (28.06 %). Su MSAVI 2024 (0.4851) es el 8.º de 8 y queda por debajo del promedio local (0.5477). Amplitud altitudinal del bloque: 390 m (1217–1607 msnm). El cuadro conserva todos los bloques catalogados en la microcuenca, incluidos los descartados en el tamizaje, para referencia del conjunto. Los bloques sin ficha DT figuran con sus parámetros de gabinete.</t>
        </is>
      </c>
    </row>
    <row r="22" ht="60" customHeight="1">
      <c r="A22"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t>
        </is>
      </c>
    </row>
  </sheetData>
  <mergeCells count="9">
    <mergeCell ref="A1:H1"/>
    <mergeCell ref="A4:H4"/>
    <mergeCell ref="A3:H3"/>
    <mergeCell ref="A20:H20"/>
    <mergeCell ref="A2:H2"/>
    <mergeCell ref="A5:H5"/>
    <mergeCell ref="A8:H8"/>
    <mergeCell ref="A6:H6"/>
    <mergeCell ref="A22:H2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1"/>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20</t>
        </is>
      </c>
    </row>
    <row r="6" ht="24" customHeight="1">
      <c r="A6" s="4" t="inlineStr">
        <is>
          <t>Discrepancias detectadas entre el registro de campo, los productos de gabinete y el catálogo maestro. Calificación: SUSTANTIVA / NO SUSTANTIVA / CORREGIDO / CONFORME.</t>
        </is>
      </c>
    </row>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«C1076-Q9593»</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361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(81.353 ha) coincide con la de catálogo (81.33 ha) dentro del ±2 % (+0.03 %)</t>
        </is>
      </c>
      <c r="D12" s="35" t="inlineStr">
        <is>
          <t>CONFORME</t>
        </is>
      </c>
      <c r="E12" s="34" t="inlineStr">
        <is>
          <t>Sin acción: la segmentación valida la geometría del bloque.</t>
        </is>
      </c>
    </row>
    <row r="13" ht="48" customHeight="1">
      <c r="A13" s="36" t="inlineStr">
        <is>
          <t>D-04</t>
        </is>
      </c>
      <c r="B13" s="36" t="inlineStr">
        <is>
          <t>Inventario georreferenciado de cárcavas</t>
        </is>
      </c>
      <c r="C13" s="36" t="inlineStr">
        <is>
          <t>El inventario de cárcavas no fue ejecutado o no consta en la ficha DT</t>
        </is>
      </c>
      <c r="D13" s="37" t="inlineStr">
        <is>
          <t>SUSTANTIVA</t>
        </is>
      </c>
      <c r="E13" s="36" t="inlineStr">
        <is>
          <t>La ausencia de registros NO equivale a ausencia verificada de cárcavas. Queda pendiente el levantamiento instrumental a cargo del especialista de Infraestructura Marrón antes de fijar metas físicas de infraestructura gris.</t>
        </is>
      </c>
    </row>
    <row r="14" ht="48" customHeight="1">
      <c r="A14" s="34" t="inlineStr">
        <is>
          <t>D-05</t>
        </is>
      </c>
      <c r="B14" s="34" t="inlineStr">
        <is>
          <t>Elenco florístico</t>
        </is>
      </c>
      <c r="C14" s="34" t="inlineStr">
        <is>
          <t>La ficha registra 12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«Túpac Amaru»; el cruce INEI-Bloques V5 identifica 1 centro(s) poblado(s) en el bloque: TUPAC AMARU</t>
        </is>
      </c>
      <c r="D16" s="15" t="inlineStr">
        <is>
          <t>NO SUSTANTIVA</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9">
      <c r="A19" s="16" t="inlineStr">
        <is>
          <t>RESUMEN</t>
        </is>
      </c>
      <c r="B19" s="17" t="inlineStr">
        <is>
          <t>8 verificaciones</t>
        </is>
      </c>
      <c r="C19" s="17" t="inlineStr">
        <is>
          <t>CONFORME: 3 · NO SUSTANTIVA: 1 · SUSTANTIVA: 4</t>
        </is>
      </c>
      <c r="D19" s="17" t="inlineStr"/>
      <c r="E19" s="17" t="inlineStr"/>
    </row>
    <row r="21" ht="60" customHeight="1">
      <c r="A21"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row>
  </sheetData>
  <mergeCells count="8">
    <mergeCell ref="A21:E21"/>
    <mergeCell ref="A4:E4"/>
    <mergeCell ref="A2:E2"/>
    <mergeCell ref="A1:E1"/>
    <mergeCell ref="A5:E5"/>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20 — IN Piura</dc:title>
  <dc:subject>Diagnóstico Territorial por bloque de intervención</dc:subject>
  <dcterms:created xsi:type="dcterms:W3CDTF">2026-09-08T02:45:03Z</dcterms:created>
  <dcterms:modified xsi:type="dcterms:W3CDTF">2026-09-08T02:45:03Z</dcterms:modified>
</cp:coreProperties>
</file>