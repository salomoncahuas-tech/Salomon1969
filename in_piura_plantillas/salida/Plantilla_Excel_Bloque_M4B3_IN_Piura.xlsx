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M4B3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M4B3</t>
        </is>
      </c>
      <c r="C9" s="6" t="inlineStr">
        <is>
          <t>Microcuenca (catálogo)</t>
        </is>
      </c>
      <c r="D9" s="7" t="inlineStr">
        <is>
          <t>C1076-Q9589</t>
        </is>
      </c>
      <c r="E9" s="8" t="n"/>
      <c r="F9" s="8" t="n"/>
    </row>
    <row r="10">
      <c r="A10" s="6" t="inlineStr">
        <is>
          <t>Zona de planificación</t>
        </is>
      </c>
      <c r="B10" s="7" t="inlineStr">
        <is>
          <t>Z14</t>
        </is>
      </c>
      <c r="C10" s="6" t="inlineStr">
        <is>
          <t>Microcuenca declarada en ficha DT</t>
        </is>
      </c>
      <c r="D10" s="7" t="inlineStr">
        <is>
          <t>C1076-Q9584 (según ficha — valor por defecto de plantilla; catálogo: C1076-Q9589)</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Chignia Baja (narrativa) / Hualcas I y II (ficha F-DT-01) — DISCREPANCIA D-01</t>
        </is>
      </c>
      <c r="C13" s="6" t="inlineStr">
        <is>
          <t>Comunidad campesina</t>
        </is>
      </c>
      <c r="D13" s="7" t="inlineStr">
        <is>
          <t>No consignada</t>
        </is>
      </c>
      <c r="E13" s="8" t="n"/>
      <c r="F13" s="8" t="n"/>
    </row>
    <row r="14">
      <c r="A14" s="6" t="inlineStr">
        <is>
          <t>Superficie de catálogo (V5/V6), ha</t>
        </is>
      </c>
      <c r="B14" s="7" t="n">
        <v>234.07</v>
      </c>
      <c r="C14" s="6" t="inlineStr">
        <is>
          <t>Fuente de superficie</t>
        </is>
      </c>
      <c r="D14" s="7" t="inlineStr">
        <is>
          <t>Catálogo maestro Bloques V5/V6</t>
        </is>
      </c>
      <c r="E14" s="8" t="n"/>
      <c r="F14" s="8" t="n"/>
    </row>
    <row r="15">
      <c r="A15" s="6" t="inlineStr">
        <is>
          <t>Centroide UTM ESTE (m)</t>
        </is>
      </c>
      <c r="B15" s="7" t="n">
        <v>643474</v>
      </c>
      <c r="C15" s="6" t="inlineStr">
        <is>
          <t>Centroide UTM NORTE (m)</t>
        </is>
      </c>
      <c r="D15" s="7" t="n">
        <v>9385620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367</v>
      </c>
      <c r="C19" s="6" t="inlineStr">
        <is>
          <t>Altitud máxima (msnm)</t>
        </is>
      </c>
      <c r="D19" s="7" t="n">
        <v>682</v>
      </c>
      <c r="E19" s="8" t="n"/>
      <c r="F19" s="8" t="n"/>
    </row>
    <row r="20">
      <c r="A20" s="6" t="inlineStr">
        <is>
          <t>Amplitud altitudinal (m)</t>
        </is>
      </c>
      <c r="B20" s="7" t="n">
        <v>315</v>
      </c>
      <c r="C20" s="6" t="inlineStr">
        <is>
          <t>Piso altitudinal dominante</t>
        </is>
      </c>
      <c r="D20" s="7" t="inlineStr">
        <is>
          <t>&lt;1000 m (Yunga)</t>
        </is>
      </c>
      <c r="E20" s="8" t="n"/>
      <c r="F20" s="8" t="n"/>
    </row>
    <row r="21">
      <c r="A21" s="6" t="inlineStr">
        <is>
          <t>Pendiente promedio (%)</t>
        </is>
      </c>
      <c r="B21" s="7" t="n">
        <v>17.22</v>
      </c>
      <c r="C21" s="6" t="inlineStr">
        <is>
          <t>Pendiente promedio (grados)</t>
        </is>
      </c>
      <c r="D21" s="7" t="n">
        <v>9.800000000000001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0.3222</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98.67 % del bloque BAJO el umbral (230.957 ha de 234.070 ha)</t>
        </is>
      </c>
      <c r="C29" s="6" t="inlineStr">
        <is>
          <t>NDVI mediana 2025 — clase modal</t>
        </is>
      </c>
      <c r="D29" s="7" t="inlineStr">
        <is>
          <t>Vegetación ligera (52.34 %)</t>
        </is>
      </c>
      <c r="E29" s="8" t="n"/>
      <c r="F29" s="8" t="n"/>
    </row>
    <row r="30">
      <c r="A30" s="6" t="inlineStr">
        <is>
          <t>MSAVI 2024 — superficie BAJO el umbral 0.4976 (ha)</t>
        </is>
      </c>
      <c r="B30" s="7" t="n">
        <v>230.957</v>
      </c>
      <c r="C30" s="6" t="inlineStr">
        <is>
          <t>MSAVI 2024 — % del bloque BAJO el umbral</t>
        </is>
      </c>
      <c r="D30" s="7" t="n">
        <v>98.67</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(M4B3.png)</t>
        </is>
      </c>
      <c r="E31" s="8" t="n"/>
      <c r="F31" s="8" t="n"/>
    </row>
    <row r="32" ht="18" customHeight="1">
      <c r="A32" s="6" t="inlineStr">
        <is>
          <t>Superficie clasificada NDVI 2025 (ha)</t>
        </is>
      </c>
      <c r="B32" s="7" t="n">
        <v>234.137</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130 ha (de 234.07 ha del bloque)</t>
        </is>
      </c>
      <c r="E35" s="8" t="n"/>
      <c r="F35" s="8" t="n"/>
    </row>
    <row r="36">
      <c r="A36" s="6" t="inlineStr">
        <is>
          <t>Estado de conservación</t>
        </is>
      </c>
      <c r="B36" s="7" t="inlineStr">
        <is>
          <t>Medianamente alterado</t>
        </is>
      </c>
      <c r="C36" s="6" t="inlineStr">
        <is>
          <t>Uso actual dominante del suelo</t>
        </is>
      </c>
      <c r="D36" s="7" t="inlineStr">
        <is>
          <t>Pastoreo extensivo</t>
        </is>
      </c>
      <c r="E36" s="8" t="n"/>
      <c r="F36" s="8" t="n"/>
    </row>
    <row r="37">
      <c r="A37" s="6" t="inlineStr">
        <is>
          <t>Tipo de cobertura dominante</t>
        </is>
      </c>
      <c r="B37" s="7" t="inlineStr">
        <is>
          <t>Bosque ralo (30-70%)</t>
        </is>
      </c>
      <c r="C37" s="6" t="inlineStr">
        <is>
          <t>Cobertura vegetal total — campo (%)</t>
        </is>
      </c>
      <c r="D37" s="7" t="n">
        <v>65</v>
      </c>
      <c r="E37" s="8" t="n"/>
      <c r="F37" s="8" t="n"/>
    </row>
    <row r="38">
      <c r="A38" s="6" t="inlineStr">
        <is>
          <t>Suelo desnudo — campo (%)</t>
        </is>
      </c>
      <c r="B38" s="7" t="n">
        <v>10</v>
      </c>
      <c r="C38" s="6" t="inlineStr">
        <is>
          <t>Regeneración natural</t>
        </is>
      </c>
      <c r="D38" s="7" t="inlineStr">
        <is>
          <t>Regular (10-50 pl./100m²)</t>
        </is>
      </c>
      <c r="E38" s="8" t="n"/>
      <c r="F38" s="8" t="n"/>
    </row>
    <row r="39">
      <c r="A39" s="6" t="inlineStr">
        <is>
          <t>Nivel general de erosión</t>
        </is>
      </c>
      <c r="B39" s="7" t="inlineStr">
        <is>
          <t>Moderada (surcos) — NO REPRESENTATIVO (ver D-01)</t>
        </is>
      </c>
      <c r="C39" s="6" t="inlineStr">
        <is>
          <t>N.° de cárcavas registradas</t>
        </is>
      </c>
      <c r="D39" s="7" t="n">
        <v>0</v>
      </c>
      <c r="E39" s="8" t="n"/>
      <c r="F39" s="8" t="n"/>
    </row>
    <row r="40" ht="18" customHeight="1">
      <c r="A40" s="6" t="inlineStr">
        <is>
          <t>Elenco florístico (n.° de taxones)</t>
        </is>
      </c>
      <c r="B40" s="7" t="n">
        <v>7</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Juan Domínguez</t>
        </is>
      </c>
      <c r="C43" s="6" t="inlineStr">
        <is>
          <t>Fecha de evaluación</t>
        </is>
      </c>
      <c r="D43" s="7" t="inlineStr">
        <is>
          <t>2026-08-10</t>
        </is>
      </c>
      <c r="E43" s="8" t="n"/>
      <c r="F43" s="8" t="n"/>
    </row>
    <row r="44">
      <c r="A44" s="6" t="inlineStr">
        <is>
          <t>Hora de registro</t>
        </is>
      </c>
      <c r="B44" s="7" t="inlineStr">
        <is>
          <t>11:46 h</t>
        </is>
      </c>
      <c r="C44" s="6" t="inlineStr">
        <is>
          <t>Correlativo de ficha</t>
        </is>
      </c>
      <c r="D44" s="7" t="inlineStr">
        <is>
          <t>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Sin registro en ficha</t>
        </is>
      </c>
      <c r="E46" s="8" t="n"/>
      <c r="F46" s="8" t="n"/>
    </row>
    <row r="47" ht="18" customHeight="1">
      <c r="A47" s="6" t="inlineStr">
        <is>
          <t>Estaciones fotográficas georreferenciadas</t>
        </is>
      </c>
      <c r="B47" s="7" t="n">
        <v>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No consignada en la ficha</t>
        </is>
      </c>
      <c r="C50" s="6" t="inlineStr">
        <is>
          <t>Velocidad de degradación</t>
        </is>
      </c>
      <c r="D50" s="7" t="inlineStr">
        <is>
          <t>Lenta</t>
        </is>
      </c>
      <c r="E50" s="8" t="n"/>
      <c r="F50" s="8" t="n"/>
    </row>
    <row r="51">
      <c r="A51" s="6" t="inlineStr">
        <is>
          <t>Reversibilidad técnica</t>
        </is>
      </c>
      <c r="B51" s="7" t="inlineStr">
        <is>
          <t>Totalmente reversible</t>
        </is>
      </c>
      <c r="C51" s="6" t="inlineStr">
        <is>
          <t>Urgencia de intervención</t>
        </is>
      </c>
      <c r="D51" s="7" t="inlineStr">
        <is>
          <t>Baja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6" t="n"/>
      <c r="C56" s="36" t="n"/>
      <c r="D56" s="36" t="n"/>
      <c r="E56" s="36" t="n"/>
      <c r="F56" s="37"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M4B3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0.0234</v>
      </c>
      <c r="C10" s="19" t="n">
        <v>0.01</v>
      </c>
      <c r="D10" s="11" t="inlineStr">
        <is>
          <t>Vigor alto</t>
        </is>
      </c>
      <c r="E10" s="11" t="inlineStr">
        <is>
          <t>Sobre umbral</t>
        </is>
      </c>
    </row>
    <row r="11">
      <c r="A11" s="12" t="inlineStr">
        <is>
          <t>0.4976 - 0.6139</t>
        </is>
      </c>
      <c r="B11" s="20" t="n">
        <v>3.0897</v>
      </c>
      <c r="C11" s="21" t="n">
        <v>1.32</v>
      </c>
      <c r="D11" s="13" t="inlineStr">
        <is>
          <t>Vigor moderado</t>
        </is>
      </c>
      <c r="E11" s="13" t="inlineStr">
        <is>
          <t>Sobre umbral</t>
        </is>
      </c>
    </row>
    <row r="12">
      <c r="A12" s="7" t="inlineStr">
        <is>
          <t>0.3813 - 0.4976</t>
        </is>
      </c>
      <c r="B12" s="18" t="n">
        <v>39.5578</v>
      </c>
      <c r="C12" s="19" t="n">
        <v>16.9</v>
      </c>
      <c r="D12" s="11" t="inlineStr">
        <is>
          <t>Vigor bajo</t>
        </is>
      </c>
      <c r="E12" s="11" t="inlineStr">
        <is>
          <t>BAJO umbral 0.4976</t>
        </is>
      </c>
    </row>
    <row r="13">
      <c r="A13" s="14" t="inlineStr">
        <is>
          <t>0.2650 - 0.3813</t>
        </is>
      </c>
      <c r="B13" s="30" t="n">
        <v>139.1079</v>
      </c>
      <c r="C13" s="29" t="n">
        <v>59.43</v>
      </c>
      <c r="D13" s="15" t="inlineStr">
        <is>
          <t>Vigor muy bajo</t>
        </is>
      </c>
      <c r="E13" s="15" t="inlineStr">
        <is>
          <t>BAJO umbral 0.4976</t>
        </is>
      </c>
    </row>
    <row r="14">
      <c r="A14" s="7" t="inlineStr">
        <is>
          <t>&lt;= 0.2650</t>
        </is>
      </c>
      <c r="B14" s="18" t="n">
        <v>52.2912</v>
      </c>
      <c r="C14" s="19" t="n">
        <v>22.34</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0.322153</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6" t="n"/>
      <c r="C18" s="36" t="n"/>
      <c r="D18" s="36" t="n"/>
      <c r="E18" s="37"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4.6155</v>
      </c>
      <c r="C22" s="19" t="n">
        <v>1.97</v>
      </c>
      <c r="D22" s="11" t="inlineStr">
        <is>
          <t>Dosel continuo, matorral denso o mosaico agroforestal</t>
        </is>
      </c>
      <c r="E22" s="11" t="inlineStr"/>
    </row>
    <row r="23">
      <c r="A23" s="12" t="inlineStr">
        <is>
          <t>Vegetación mediana</t>
        </is>
      </c>
      <c r="B23" s="20" t="n">
        <v>81.72</v>
      </c>
      <c r="C23" s="21" t="n">
        <v>34.9</v>
      </c>
      <c r="D23" s="13" t="inlineStr">
        <is>
          <t>Pastizal cultivado, matorral ralo, parcelas agrícolas</t>
        </is>
      </c>
      <c r="E23" s="13" t="inlineStr"/>
    </row>
    <row r="24">
      <c r="A24" s="7" t="inlineStr">
        <is>
          <t>Vegetación ligera</t>
        </is>
      </c>
      <c r="B24" s="18" t="n">
        <v>122.5361</v>
      </c>
      <c r="C24" s="19" t="n">
        <v>52.34</v>
      </c>
      <c r="D24" s="11" t="inlineStr">
        <is>
          <t>Cobertura discontinua, suelo parcialmente expuesto</t>
        </is>
      </c>
      <c r="E24" s="11" t="inlineStr"/>
    </row>
    <row r="25">
      <c r="A25" s="12" t="inlineStr">
        <is>
          <t>Tierra desnuda</t>
        </is>
      </c>
      <c r="B25" s="20" t="n">
        <v>25.2656</v>
      </c>
      <c r="C25" s="21" t="n">
        <v>10.79</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234.07</v>
      </c>
      <c r="C27" s="25" t="inlineStr">
        <is>
          <t>—</t>
        </is>
      </c>
      <c r="D27" s="25" t="inlineStr">
        <is>
          <t>Desviación planimétrica frente al catálogo</t>
        </is>
      </c>
      <c r="E27" s="25" t="inlineStr">
        <is>
          <t>+0.03 %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1.97 % del polígono clasificado como «Vegetación alta» por el NDVI 2025; la observación de campo corresponde a una parcela o recorrido puntual y no es estadísticamente representativa de las 234.070 ha del bloque.</t>
        </is>
      </c>
      <c r="B29" s="36" t="n"/>
      <c r="C29" s="36" t="n"/>
      <c r="D29" s="36" t="n"/>
      <c r="E29" s="37"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M4B3</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643261</v>
      </c>
      <c r="D10" s="26" t="n">
        <v>9389812</v>
      </c>
      <c r="E10" s="11" t="n">
        <v>4197.4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643474</v>
      </c>
      <c r="C13" s="6" t="inlineStr">
        <is>
          <t>Centroide del bloque — UTM NORTE (m)</t>
        </is>
      </c>
      <c r="D13" s="7" t="n">
        <v>9385620</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5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≈300 msnm. Presenta AFLORAMIENTO ROCOSO, abundantes rocas semienterradas y piedras medianas a grandes dispersas (pese a que el campo de lista consigna «No»). Zonas con cobertura vegetal remanente. LA LADERA ES EMPLEADA PARA PASTOREO EXTENSIVO DE GANADO CAPRINO del centro poblado próximo. LEÑA APILADA en viviendas próximas. El suelo presenta erosión eólica; estrías y surcos por tránsito de ganado; caminos de herradura dentro del bloque y áreas de suelo desprovistas de vegetación. ADVERTENCIA CRÍTICA (D-01): EL PUNTO DE MUESTREO (643 261 E · 9 389 812 N) ES IDÉNTICO AL DE LA FICHA DEL BLOQUE M4B4 Y DISTA ≈4.2 km AL NORTE DEL CENTROIDE CATASTRAL DE M4B3 (643 474 E · 9 385 620 N). TODO INDICA QUE LA FICHA SE LEVANTÓ EN EL ENTORNO DE M4B4/M12B1 Y NO DENTRO DE M4B3.</t>
        </is>
      </c>
      <c r="B16" s="36" t="n"/>
      <c r="C16" s="36" t="n"/>
      <c r="D16" s="36" t="n"/>
      <c r="E16" s="36" t="n"/>
      <c r="F16" s="36" t="n"/>
      <c r="G16" s="37"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C1076-Q9589 — BLOQUE M4B3</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C1076-Q9589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M4B4</t>
        </is>
      </c>
      <c r="B10" s="27" t="n">
        <v>289.91</v>
      </c>
      <c r="C10" s="19" t="n">
        <v>55.33</v>
      </c>
      <c r="D10" s="11" t="inlineStr">
        <is>
          <t>314 – 686</t>
        </is>
      </c>
      <c r="E10" s="11" t="n">
        <v>372</v>
      </c>
      <c r="F10" s="11" t="n">
        <v>16.23</v>
      </c>
      <c r="G10" s="18" t="n">
        <v>0.3198</v>
      </c>
      <c r="H10" s="19" t="n">
        <v>1.03</v>
      </c>
    </row>
    <row r="11">
      <c r="A11" s="14" t="inlineStr">
        <is>
          <t>► M4B3</t>
        </is>
      </c>
      <c r="B11" s="28" t="n">
        <v>234.07</v>
      </c>
      <c r="C11" s="29" t="n">
        <v>44.67</v>
      </c>
      <c r="D11" s="15" t="inlineStr">
        <is>
          <t>367 – 682</t>
        </is>
      </c>
      <c r="E11" s="15" t="n">
        <v>315</v>
      </c>
      <c r="F11" s="15" t="n">
        <v>17.22</v>
      </c>
      <c r="G11" s="30" t="n">
        <v>0.3222</v>
      </c>
      <c r="H11" s="29" t="n">
        <v>1.97</v>
      </c>
    </row>
    <row r="12">
      <c r="A12" s="16" t="inlineStr">
        <is>
          <t>TOTAL / PROMEDIO</t>
        </is>
      </c>
      <c r="B12" s="31">
        <f>SUM(B10:B11)</f>
        <v/>
      </c>
      <c r="C12" s="23">
        <f>SUM(C10:C11)</f>
        <v/>
      </c>
      <c r="D12" s="17" t="inlineStr">
        <is>
          <t>314 – 686</t>
        </is>
      </c>
      <c r="E12" s="17" t="inlineStr"/>
      <c r="F12" s="17">
        <f>ROUND(AVERAGE(F10:F11),2)</f>
        <v/>
      </c>
      <c r="G12" s="22">
        <f>ROUND(AVERAGE(G10:G11),4)</f>
        <v/>
      </c>
      <c r="H12" s="23">
        <f>ROUND(AVERAGE(H10:H11),2)</f>
        <v/>
      </c>
    </row>
    <row r="14" ht="84" customHeight="1">
      <c r="A14" s="9" t="inlineStr">
        <is>
          <t>LECTURA INTRAMICROCUENCA. El bloque M4B3 ocupa el puesto 2 de 2 por superficie dentro de la microcuenca C1076-Q9589 (44.67 % de las 523.98 ha preliminares de la microcuenca). Su pendiente promedio (17.22 %, clase «15-25% (Fuert. inclinado)») es la 2.ª más baja de 2 y se sitúa por encima del promedio de la microcuenca (16.73 %). Su MSAVI 2024 (0.3222) es el 1.º de 2 y queda por encima del promedio local (0.3210). Amplitud altitudinal del bloque: 315 m (367–682 msnm). El cuadro conserva todos los bloques catalogados en la microcuenca, incluidos los descartados en el tamizaje, para referencia del conjunto. Los bloques sin ficha DT figuran con sus parámetros de gabinete.</t>
        </is>
      </c>
      <c r="B14" s="36" t="n"/>
      <c r="C14" s="36" t="n"/>
      <c r="D14" s="36" t="n"/>
      <c r="E14" s="36" t="n"/>
      <c r="F14" s="36" t="n"/>
      <c r="G14" s="36" t="n"/>
      <c r="H14" s="37"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16" s="36" t="n"/>
      <c r="C16" s="36" t="n"/>
      <c r="D16" s="36" t="n"/>
      <c r="E16" s="36" t="n"/>
      <c r="F16" s="36" t="n"/>
      <c r="G16" s="36" t="n"/>
      <c r="H16" s="37" t="n"/>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M4B3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(según ficha — valor por defecto de plantilla; catálogo: C1076-Q9589)»; el catálogo maestro V5/V6 asigna el bloque a «C1076-Q9589»</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El punto de muestreo declarado (643261 E / 9389812 N) dista 4,197 m del centroide de catálogo (643474 E / 9385620 N), distancia incompatible con la superficie del bloque (234.07 ha)</t>
        </is>
      </c>
      <c r="D11" s="33"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(234.137 ha) coincide con la de catálogo (234.07 ha) dentro del ±2 % (+0.03 %)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«25-50% (Mod. escarpado)»; la estadística zonal sobre el MDE arroja una pendiente promedio de 17.22 %, que corresponde a la clase «15-25% (Fuert.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65 % de cobertura vegetal en campo; el NDVI mediana 2025 clasifica 89.21 % del polígono en clases de vegetación</t>
        </is>
      </c>
      <c r="D14" s="15"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7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3"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«Chignia Baja (narrativa) / Hualcas I y II (ficha F-DT-01) — DISCREPANCIA D-01»; el cruce INEI-Bloques V5 identifica 1 centro(s) poblado(s) en el bloque: CHIGNIA BAJA</t>
        </is>
      </c>
      <c r="D17" s="35" t="inlineStr">
        <is>
          <t>CONFORME</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3"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Ficha DT</t>
        </is>
      </c>
      <c r="C19" s="34" t="inlineStr">
        <is>
          <t>La ficha consigna microcuenca C1076-Q9584; el catálogo maestro asigna a M4B3 la microcuenca C1076-Q9589</t>
        </is>
      </c>
      <c r="D19" s="33" t="inlineStr">
        <is>
          <t>SUSTANTIVA</t>
        </is>
      </c>
      <c r="E19" s="34" t="inlineStr">
        <is>
          <t>Valor por defecto de la plantilla; se conserva el del catálogo</t>
        </is>
      </c>
    </row>
    <row r="20" ht="48" customHeight="1">
      <c r="A20" s="32" t="inlineStr">
        <is>
          <t>D-11</t>
        </is>
      </c>
      <c r="B20" s="32" t="inlineStr">
        <is>
          <t>F-DT-01</t>
        </is>
      </c>
      <c r="C20" s="32" t="inlineStr">
        <is>
          <t>D-01: el punto de muestreo (643 261 · 9 389 812) es IDÉNTICO al de M4B4 y dista ≈4.2 km al norte del centroide de M4B3</t>
        </is>
      </c>
      <c r="D20" s="33" t="inlineStr">
        <is>
          <t>SUSTANTIVA</t>
        </is>
      </c>
      <c r="E20" s="32" t="inlineStr">
        <is>
          <t>La ficha se levantó en el entorno de M4B4/M12B1, no dentro de M4B3: toda la caracterización de campo es NO REPRESENTATIVA</t>
        </is>
      </c>
    </row>
    <row r="21" ht="48" customHeight="1">
      <c r="A21" s="34" t="inlineStr">
        <is>
          <t>D-12</t>
        </is>
      </c>
      <c r="B21" s="34" t="inlineStr">
        <is>
          <t>F-DT-01</t>
        </is>
      </c>
      <c r="C21" s="34" t="inlineStr">
        <is>
          <t>Centro poblado asociado: la narrativa declara Chignia Baja y la ficha Hualcas I y II</t>
        </is>
      </c>
      <c r="D21" s="33" t="inlineStr">
        <is>
          <t>SUSTANTIVA</t>
        </is>
      </c>
      <c r="E21" s="34" t="inlineStr">
        <is>
          <t>Conciliar asociación CP-bloque</t>
        </is>
      </c>
    </row>
    <row r="22" ht="48" customHeight="1">
      <c r="A22" s="32" t="inlineStr">
        <is>
          <t>D-13</t>
        </is>
      </c>
      <c r="B22" s="32" t="inlineStr">
        <is>
          <t>F-DT-01</t>
        </is>
      </c>
      <c r="C22" s="32" t="inlineStr">
        <is>
          <t>Afloramientos rocosos consignados «No» pese a que la narrativa describe afloramiento rocoso y rocas semienterradas</t>
        </is>
      </c>
      <c r="D22" s="15" t="inlineStr">
        <is>
          <t>NO SUSTANTIVA</t>
        </is>
      </c>
      <c r="E22" s="32" t="inlineStr">
        <is>
          <t>Inconsistencia interna a corregir</t>
        </is>
      </c>
    </row>
    <row r="23" ht="48" customHeight="1">
      <c r="A23" s="34" t="inlineStr">
        <is>
          <t>D-14</t>
        </is>
      </c>
      <c r="B23" s="34" t="inlineStr">
        <is>
          <t>F-DT-03</t>
        </is>
      </c>
      <c r="C23" s="34" t="inlineStr">
        <is>
          <t>D-02: los 16 campos estructurales son casi idénticos a los de M4B4 y M12B1, a la misma hora y altitud GPS</t>
        </is>
      </c>
      <c r="D23" s="33" t="inlineStr">
        <is>
          <t>SUSTANTIVA</t>
        </is>
      </c>
      <c r="E23" s="34" t="inlineStr">
        <is>
          <t>Estimación visual global no diferenciada por bloque</t>
        </is>
      </c>
    </row>
    <row r="24" ht="48" customHeight="1">
      <c r="A24" s="32" t="inlineStr">
        <is>
          <t>D-15</t>
        </is>
      </c>
      <c r="B24" s="32" t="inlineStr">
        <is>
          <t>F-DT-03</t>
        </is>
      </c>
      <c r="C24" s="32" t="inlineStr">
        <is>
          <t>Solo 7 taxones registrados frente al mínimo de 15 exigido</t>
        </is>
      </c>
      <c r="D24" s="33" t="inlineStr">
        <is>
          <t>SUSTANTIVA</t>
        </is>
      </c>
      <c r="E24" s="32" t="inlineStr">
        <is>
          <t>Inventario florístico incompleto</t>
        </is>
      </c>
    </row>
    <row r="25" ht="48" customHeight="1">
      <c r="A25" s="34" t="inlineStr">
        <is>
          <t>D-16</t>
        </is>
      </c>
      <c r="B25" s="34" t="inlineStr">
        <is>
          <t>F-DT-04</t>
        </is>
      </c>
      <c r="C25" s="34" t="inlineStr">
        <is>
          <t>Urgencia «Baja» y reversibilidad «Totalmente reversible» incompatibles con MSAVI 2024 = 0.3222 (2.º más bajo del conjunto) y con la tierra desnuda del NDVI 2025</t>
        </is>
      </c>
      <c r="D25" s="33" t="inlineStr">
        <is>
          <t>SUSTANTIVA</t>
        </is>
      </c>
      <c r="E25" s="34" t="inlineStr">
        <is>
          <t>La Subdirección recomienda reevaluación</t>
        </is>
      </c>
    </row>
    <row r="26" ht="48" customHeight="1">
      <c r="A26" s="32" t="inlineStr">
        <is>
          <t>D-17</t>
        </is>
      </c>
      <c r="B26" s="32" t="inlineStr">
        <is>
          <t>F-DT-04</t>
        </is>
      </c>
      <c r="C26" s="32" t="inlineStr">
        <is>
          <t>Densidad de cárcavas 1 N.°/ha frente a inventario de 0 cárcavas; % pendiente &gt;50% = 35% calificado «Bajo»</t>
        </is>
      </c>
      <c r="D26" s="33" t="inlineStr">
        <is>
          <t>SUSTANTIVA</t>
        </is>
      </c>
      <c r="E26" s="32" t="inlineStr">
        <is>
          <t>Inconsistencias internas a resolver</t>
        </is>
      </c>
    </row>
    <row r="27" ht="48" customHeight="1">
      <c r="A27" s="34" t="inlineStr">
        <is>
          <t>D-18</t>
        </is>
      </c>
      <c r="B27" s="34" t="inlineStr">
        <is>
          <t>F-DT-05</t>
        </is>
      </c>
      <c r="C27" s="34" t="inlineStr">
        <is>
          <t>Sin ficha F-DT-05 en el ANEXO 01</t>
        </is>
      </c>
      <c r="D27" s="33" t="inlineStr">
        <is>
          <t>SUSTANTIVA</t>
        </is>
      </c>
      <c r="E27" s="34" t="inlineStr">
        <is>
          <t>Inventario hídrico y accesibilidad por completar</t>
        </is>
      </c>
    </row>
    <row r="28">
      <c r="A28" s="34" t="inlineStr">
        <is>
          <t>D-19</t>
        </is>
      </c>
      <c r="B28" s="34" t="inlineStr">
        <is>
          <t>Distribución areal de clases MSAVI 2024</t>
        </is>
      </c>
      <c r="C28" s="34" t="inlineStr">
        <is>
          <t>La hoja «Cobertura MSAVI-NDVI» consignaba «Por determinar» en la distribución areal de clases MSAVI 2024; se incorpora el metrado por clase medido sobre la cartografía temática MSAVI 2024 del bloque: 98.67 % del bloque (230.957 ha) bajo el umbral 0.4976 y 1.33 % sobre el umbral; clase areal dominante «Vigor muy bajo».</t>
        </is>
      </c>
      <c r="D28" s="33" t="inlineStr">
        <is>
          <t>CORREGIDO</t>
        </is>
      </c>
      <c r="E28"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9"/>
    <row r="30">
      <c r="A30" s="16" t="inlineStr">
        <is>
          <t>RESUMEN</t>
        </is>
      </c>
      <c r="B30" s="17" t="inlineStr">
        <is>
          <t>19 verificaciones</t>
        </is>
      </c>
      <c r="C30" s="17" t="inlineStr">
        <is>
          <t>CONFORME: 2 · NO SUSTANTIVA: 3 · SUSTANTIVA: 13 · CORREGIDO: 1</t>
        </is>
      </c>
      <c r="D30" s="17" t="inlineStr"/>
      <c r="E30" s="17" t="inlineStr"/>
    </row>
    <row r="31" ht="60" customHeight="1"/>
    <row r="32">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36" t="n"/>
      <c r="C32" s="36" t="n"/>
      <c r="D32" s="36" t="n"/>
      <c r="E32" s="37"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M4B3 — IN Piura</dc:title>
  <dc:subject>Diagnóstico Territorial por bloque de intervención</dc:subject>
  <dcterms:created xsi:type="dcterms:W3CDTF">2026-09-08T03:39:58Z</dcterms:created>
  <dcterms:modified xsi:type="dcterms:W3CDTF">2026-09-09T14:49:46Z</dcterms:modified>
</cp:coreProperties>
</file>