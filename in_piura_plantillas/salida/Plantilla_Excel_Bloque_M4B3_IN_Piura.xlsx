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M4B3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M4B3</t>
        </is>
      </c>
      <c r="C9" s="6" t="inlineStr">
        <is>
          <t>Microcuenca (catálogo)</t>
        </is>
      </c>
      <c r="D9" s="7" t="inlineStr">
        <is>
          <t>C1076-Q9589</t>
        </is>
      </c>
      <c r="E9" s="8" t="n"/>
      <c r="F9" s="8" t="n"/>
    </row>
    <row r="10">
      <c r="A10" s="6" t="inlineStr">
        <is>
          <t>Zona de planificación</t>
        </is>
      </c>
      <c r="B10" s="7" t="inlineStr">
        <is>
          <t>Z14</t>
        </is>
      </c>
      <c r="C10" s="6" t="inlineStr">
        <is>
          <t>Microcuenca declarada en ficha DT</t>
        </is>
      </c>
      <c r="D10" s="7" t="inlineStr">
        <is>
          <t>C1076-Q9584 (según ficha — valor por defecto de plantilla; catálogo: C1076-Q9589)</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Chignia Baja (narrativa) / Hualcas I y II (ficha F-DT-01) — DISCREPANCIA D-01</t>
        </is>
      </c>
      <c r="C13" s="6" t="inlineStr">
        <is>
          <t>Comunidad campesina</t>
        </is>
      </c>
      <c r="D13" s="7" t="inlineStr">
        <is>
          <t>No consignada</t>
        </is>
      </c>
      <c r="E13" s="8" t="n"/>
      <c r="F13" s="8" t="n"/>
    </row>
    <row r="14">
      <c r="A14" s="6" t="inlineStr">
        <is>
          <t>Superficie de catálogo (V5/V6), ha</t>
        </is>
      </c>
      <c r="B14" s="7" t="n">
        <v>234.07</v>
      </c>
      <c r="C14" s="6" t="inlineStr">
        <is>
          <t>Fuente de superficie</t>
        </is>
      </c>
      <c r="D14" s="7" t="inlineStr">
        <is>
          <t>Catálogo maestro Bloques V5/V6</t>
        </is>
      </c>
      <c r="E14" s="8" t="n"/>
      <c r="F14" s="8" t="n"/>
    </row>
    <row r="15">
      <c r="A15" s="6" t="inlineStr">
        <is>
          <t>Centroide UTM ESTE (m)</t>
        </is>
      </c>
      <c r="B15" s="7" t="n">
        <v>643474</v>
      </c>
      <c r="C15" s="6" t="inlineStr">
        <is>
          <t>Centroide UTM NORTE (m)</t>
        </is>
      </c>
      <c r="D15" s="7" t="n">
        <v>9385620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367</v>
      </c>
      <c r="C19" s="6" t="inlineStr">
        <is>
          <t>Altitud máxima (msnm)</t>
        </is>
      </c>
      <c r="D19" s="7" t="n">
        <v>682</v>
      </c>
      <c r="E19" s="8" t="n"/>
      <c r="F19" s="8" t="n"/>
    </row>
    <row r="20">
      <c r="A20" s="6" t="inlineStr">
        <is>
          <t>Amplitud altitudinal (m)</t>
        </is>
      </c>
      <c r="B20" s="7" t="n">
        <v>315</v>
      </c>
      <c r="C20" s="6" t="inlineStr">
        <is>
          <t>Piso altitudinal dominante</t>
        </is>
      </c>
      <c r="D20" s="7" t="inlineStr">
        <is>
          <t>&lt;1000 m (Yunga)</t>
        </is>
      </c>
      <c r="E20" s="8" t="n"/>
      <c r="F20" s="8" t="n"/>
    </row>
    <row r="21">
      <c r="A21" s="6" t="inlineStr">
        <is>
          <t>Pendiente promedio (%)</t>
        </is>
      </c>
      <c r="B21" s="7" t="n">
        <v>17.22</v>
      </c>
      <c r="C21" s="6" t="inlineStr">
        <is>
          <t>Pendiente promedio (grados)</t>
        </is>
      </c>
      <c r="D21" s="7" t="n">
        <v>9.800000000000001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0.3222</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(52.34 %)</t>
        </is>
      </c>
      <c r="E29" s="8" t="n"/>
      <c r="F29" s="8" t="n"/>
    </row>
    <row r="30">
      <c r="A30" s="6" t="inlineStr">
        <is>
          <t>Superficie clasificada NDVI 2025 (ha)</t>
        </is>
      </c>
      <c r="B30" s="7" t="n">
        <v>234.137</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130 ha (de 234.07 ha del bloque)</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ralo (30-70%)</t>
        </is>
      </c>
      <c r="C35" s="6" t="inlineStr">
        <is>
          <t>Cobertura vegetal total — campo (%)</t>
        </is>
      </c>
      <c r="D35" s="7" t="n">
        <v>65</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Moderada (surcos) — NO REPRESENTATIVO (ver D-01)</t>
        </is>
      </c>
      <c r="C37" s="6" t="inlineStr">
        <is>
          <t>N.° de cárcavas registradas</t>
        </is>
      </c>
      <c r="D37" s="7" t="n">
        <v>0</v>
      </c>
      <c r="E37" s="8" t="n"/>
      <c r="F37" s="8" t="n"/>
    </row>
    <row r="38">
      <c r="A38" s="6" t="inlineStr">
        <is>
          <t>Elenco florístico (n.° de taxones)</t>
        </is>
      </c>
      <c r="B38" s="7" t="n">
        <v>7</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Domínguez</t>
        </is>
      </c>
      <c r="C41" s="6" t="inlineStr">
        <is>
          <t>Fecha de evaluación</t>
        </is>
      </c>
      <c r="D41" s="7" t="inlineStr">
        <is>
          <t>2026-08-10</t>
        </is>
      </c>
      <c r="E41" s="8" t="n"/>
      <c r="F41" s="8" t="n"/>
    </row>
    <row r="42">
      <c r="A42" s="6" t="inlineStr">
        <is>
          <t>Hora de registro</t>
        </is>
      </c>
      <c r="B42" s="7" t="inlineStr">
        <is>
          <t>11:46 h</t>
        </is>
      </c>
      <c r="C42" s="6" t="inlineStr">
        <is>
          <t>Correlativo de ficha</t>
        </is>
      </c>
      <c r="D42" s="7" t="inlineStr">
        <is>
          <t>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la ficha</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M4B3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0.322153</v>
      </c>
      <c r="C15" s="17" t="inlineStr">
        <is>
          <t>—</t>
        </is>
      </c>
      <c r="D15" s="17" t="inlineStr">
        <is>
          <t>Vigor muy bajo · clase 0.2650 - 0.3813</t>
        </is>
      </c>
      <c r="E15" s="17" t="inlineStr">
        <is>
          <t>BAJO umbral 0.4976</t>
        </is>
      </c>
    </row>
    <row r="17" ht="72" customHeight="1">
      <c r="A17" s="9" t="inlineStr">
        <is>
          <t>NOTA METODOLÓGICA. La media del MSAVI 2024 del bloque (0.322153)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4.6155</v>
      </c>
      <c r="C21" s="19" t="n">
        <v>1.97</v>
      </c>
      <c r="D21" s="11" t="inlineStr">
        <is>
          <t>Dosel continuo, matorral denso o mosaico agroforestal</t>
        </is>
      </c>
      <c r="E21" s="11" t="inlineStr"/>
    </row>
    <row r="22">
      <c r="A22" s="12" t="inlineStr">
        <is>
          <t>Vegetación mediana</t>
        </is>
      </c>
      <c r="B22" s="20" t="n">
        <v>81.72</v>
      </c>
      <c r="C22" s="21" t="n">
        <v>34.9</v>
      </c>
      <c r="D22" s="13" t="inlineStr">
        <is>
          <t>Pastizal cultivado, matorral ralo, parcelas agrícolas</t>
        </is>
      </c>
      <c r="E22" s="13" t="inlineStr"/>
    </row>
    <row r="23">
      <c r="A23" s="7" t="inlineStr">
        <is>
          <t>Vegetación ligera</t>
        </is>
      </c>
      <c r="B23" s="18" t="n">
        <v>122.5361</v>
      </c>
      <c r="C23" s="19" t="n">
        <v>52.34</v>
      </c>
      <c r="D23" s="11" t="inlineStr">
        <is>
          <t>Cobertura discontinua, suelo parcialmente expuesto</t>
        </is>
      </c>
      <c r="E23" s="11" t="inlineStr"/>
    </row>
    <row r="24">
      <c r="A24" s="12" t="inlineStr">
        <is>
          <t>Tierra desnuda</t>
        </is>
      </c>
      <c r="B24" s="20" t="n">
        <v>25.2656</v>
      </c>
      <c r="C24" s="21" t="n">
        <v>10.79</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234.07</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1.97 % del polígono clasificado como «Vegetación alta» por el NDVI 2025; la observación de campo corresponde a una parcela o recorrido puntual y no es estadísticamente representativa de las 234.070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M4B3</t>
        </is>
      </c>
    </row>
    <row r="6" ht="24" customHeight="1">
      <c r="A6" s="4" t="inlineStr">
        <is>
          <t>Levantamiento del 2026-08-10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643261</v>
      </c>
      <c r="D10" s="26" t="n">
        <v>9389812</v>
      </c>
      <c r="E10" s="11" t="n">
        <v>4197.4</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643474</v>
      </c>
      <c r="C13" s="6" t="inlineStr">
        <is>
          <t>Centroide del bloque — UTM NORTE (m)</t>
        </is>
      </c>
      <c r="D13" s="7" t="n">
        <v>9385620</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56"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ubica en una ladera de colina alta, con pendiente menor a 60%; el terreno se inclina más conforme se asciende. Altitud ≈300 msnm. Presenta AFLORAMIENTO ROCOSO, abundantes rocas semienterradas y piedras medianas a grandes dispersas (pese a que el campo de lista consigna «No»). Zonas con cobertura vegetal remanente. LA LADERA ES EMPLEADA PARA PASTOREO EXTENSIVO DE GANADO CAPRINO del centro poblado próximo. LEÑA APILADA en viviendas próximas. El suelo presenta erosión eólica; estrías y surcos por tránsito de ganado; caminos de herradura dentro del bloque y áreas de suelo desprovistas de vegetación. ADVERTENCIA CRÍTICA (D-01): EL PUNTO DE MUESTREO (643 261 E · 9 389 812 N) ES IDÉNTICO AL DE LA FICHA DEL BLOQUE M4B4 Y DISTA ≈4.2 km AL NORTE DEL CENTROIDE CATASTRAL DE M4B3 (643 474 E · 9 385 620 N). TODO INDICA QUE LA FICHA SE LEVANTÓ EN EL ENTORNO DE M4B4/M12B1 Y NO DENTRO DE M4B3.</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C1076-Q9589 — BLOQUE M4B3</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C1076-Q9589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M4B4</t>
        </is>
      </c>
      <c r="B10" s="27" t="n">
        <v>289.91</v>
      </c>
      <c r="C10" s="19" t="n">
        <v>55.33</v>
      </c>
      <c r="D10" s="11" t="inlineStr">
        <is>
          <t>314 – 686</t>
        </is>
      </c>
      <c r="E10" s="11" t="n">
        <v>372</v>
      </c>
      <c r="F10" s="11" t="n">
        <v>16.23</v>
      </c>
      <c r="G10" s="18" t="n">
        <v>0.3198</v>
      </c>
      <c r="H10" s="19" t="n">
        <v>1.03</v>
      </c>
    </row>
    <row r="11">
      <c r="A11" s="14" t="inlineStr">
        <is>
          <t>► M4B3</t>
        </is>
      </c>
      <c r="B11" s="28" t="n">
        <v>234.07</v>
      </c>
      <c r="C11" s="29" t="n">
        <v>44.67</v>
      </c>
      <c r="D11" s="15" t="inlineStr">
        <is>
          <t>367 – 682</t>
        </is>
      </c>
      <c r="E11" s="15" t="n">
        <v>315</v>
      </c>
      <c r="F11" s="15" t="n">
        <v>17.22</v>
      </c>
      <c r="G11" s="30" t="n">
        <v>0.3222</v>
      </c>
      <c r="H11" s="29" t="n">
        <v>1.97</v>
      </c>
    </row>
    <row r="12">
      <c r="A12" s="16" t="inlineStr">
        <is>
          <t>TOTAL / PROMEDIO</t>
        </is>
      </c>
      <c r="B12" s="31">
        <f>SUM(B10:B11)</f>
        <v/>
      </c>
      <c r="C12" s="23">
        <f>SUM(C10:C11)</f>
        <v/>
      </c>
      <c r="D12" s="17" t="inlineStr">
        <is>
          <t>314 – 686</t>
        </is>
      </c>
      <c r="E12" s="17" t="inlineStr"/>
      <c r="F12" s="17">
        <f>ROUND(AVERAGE(F10:F11),2)</f>
        <v/>
      </c>
      <c r="G12" s="22">
        <f>ROUND(AVERAGE(G10:G11),4)</f>
        <v/>
      </c>
      <c r="H12" s="23">
        <f>ROUND(AVERAGE(H10:H11),2)</f>
        <v/>
      </c>
    </row>
    <row r="14" ht="84" customHeight="1">
      <c r="A14" s="9" t="inlineStr">
        <is>
          <t>LECTURA INTRAMICROCUENCA. El bloque M4B3 ocupa el puesto 2 de 2 por superficie dentro de la microcuenca C1076-Q9589 (44.67 % de las 523.98 ha preliminares de la microcuenca). Su pendiente promedio (17.22 %, clase «15-25% (Fuert. inclinado)») es la 2.ª más baja de 2 y se sitúa por encima del promedio de la microcuenca (16.73 %). Su MSAVI 2024 (0.3222) es el 1.º de 2 y queda por encima del promedio local (0.3210). Amplitud altitudinal del bloque: 315 m (367–682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M4B3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(según ficha — valor por defecto de plantilla; catálogo: C1076-Q9589)»; el catálogo maestro V5/V6 asigna el bloque a «C1076-Q9589»</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El punto de muestreo declarado (643261 E / 9389812 N) dista 4,197 m del centroide de catálogo (643474 E / 9385620 N), distancia incompatible con la superficie del bloque (234.07 ha)</t>
        </is>
      </c>
      <c r="D11" s="33"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(234.137 ha) coincide con la de catálogo (234.07 ha) dentro del ±2 % (+0.03 %)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«25-50% (Mod. escarpado)»; la estadística zonal sobre el MDE arroja una pendiente promedio de 17.22 %, que corresponde a la clase «15-25% (Fuert.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65 % de cobertura vegetal en campo; el NDVI mediana 2025 clasifica 89.21 % del polígono en clases de vegetación</t>
        </is>
      </c>
      <c r="D14" s="15"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7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3"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«Chignia Baja (narrativa) / Hualcas I y II (ficha F-DT-01) — DISCREPANCIA D-01»; el cruce INEI-Bloques V5 identifica 1 centro(s) poblado(s) en el bloque: CHIGNIA BAJA</t>
        </is>
      </c>
      <c r="D17" s="35" t="inlineStr">
        <is>
          <t>CONFORME</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3"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Ficha DT</t>
        </is>
      </c>
      <c r="C19" s="34" t="inlineStr">
        <is>
          <t>La ficha consigna microcuenca C1076-Q9584; el catálogo maestro asigna a M4B3 la microcuenca C1076-Q9589</t>
        </is>
      </c>
      <c r="D19" s="33" t="inlineStr">
        <is>
          <t>SUSTANTIVA</t>
        </is>
      </c>
      <c r="E19" s="34" t="inlineStr">
        <is>
          <t>Valor por defecto de la plantilla; se conserva el del catálogo</t>
        </is>
      </c>
    </row>
    <row r="20" ht="48" customHeight="1">
      <c r="A20" s="32" t="inlineStr">
        <is>
          <t>D-11</t>
        </is>
      </c>
      <c r="B20" s="32" t="inlineStr">
        <is>
          <t>F-DT-01</t>
        </is>
      </c>
      <c r="C20" s="32" t="inlineStr">
        <is>
          <t>D-01: el punto de muestreo (643 261 · 9 389 812) es IDÉNTICO al de M4B4 y dista ≈4.2 km al norte del centroide de M4B3</t>
        </is>
      </c>
      <c r="D20" s="33" t="inlineStr">
        <is>
          <t>SUSTANTIVA</t>
        </is>
      </c>
      <c r="E20" s="32" t="inlineStr">
        <is>
          <t>La ficha se levantó en el entorno de M4B4/M12B1, no dentro de M4B3: toda la caracterización de campo es NO REPRESENTATIVA</t>
        </is>
      </c>
    </row>
    <row r="21" ht="48" customHeight="1">
      <c r="A21" s="34" t="inlineStr">
        <is>
          <t>D-12</t>
        </is>
      </c>
      <c r="B21" s="34" t="inlineStr">
        <is>
          <t>F-DT-01</t>
        </is>
      </c>
      <c r="C21" s="34" t="inlineStr">
        <is>
          <t>Centro poblado asociado: la narrativa declara Chignia Baja y la ficha Hualcas I y II</t>
        </is>
      </c>
      <c r="D21" s="33" t="inlineStr">
        <is>
          <t>SUSTANTIVA</t>
        </is>
      </c>
      <c r="E21" s="34" t="inlineStr">
        <is>
          <t>Conciliar asociación CP-bloque</t>
        </is>
      </c>
    </row>
    <row r="22" ht="48" customHeight="1">
      <c r="A22" s="32" t="inlineStr">
        <is>
          <t>D-13</t>
        </is>
      </c>
      <c r="B22" s="32" t="inlineStr">
        <is>
          <t>F-DT-01</t>
        </is>
      </c>
      <c r="C22" s="32" t="inlineStr">
        <is>
          <t>Afloramientos rocosos consignados «No» pese a que la narrativa describe afloramiento rocoso y rocas semienterradas</t>
        </is>
      </c>
      <c r="D22" s="15" t="inlineStr">
        <is>
          <t>NO SUSTANTIVA</t>
        </is>
      </c>
      <c r="E22" s="32" t="inlineStr">
        <is>
          <t>Inconsistencia interna a corregir</t>
        </is>
      </c>
    </row>
    <row r="23" ht="48" customHeight="1">
      <c r="A23" s="34" t="inlineStr">
        <is>
          <t>D-14</t>
        </is>
      </c>
      <c r="B23" s="34" t="inlineStr">
        <is>
          <t>F-DT-03</t>
        </is>
      </c>
      <c r="C23" s="34" t="inlineStr">
        <is>
          <t>D-02: los 16 campos estructurales son casi idénticos a los de M4B4 y M12B1, a la misma hora y altitud GPS</t>
        </is>
      </c>
      <c r="D23" s="33" t="inlineStr">
        <is>
          <t>SUSTANTIVA</t>
        </is>
      </c>
      <c r="E23" s="34" t="inlineStr">
        <is>
          <t>Estimación visual global no diferenciada por bloque</t>
        </is>
      </c>
    </row>
    <row r="24" ht="48" customHeight="1">
      <c r="A24" s="32" t="inlineStr">
        <is>
          <t>D-15</t>
        </is>
      </c>
      <c r="B24" s="32" t="inlineStr">
        <is>
          <t>F-DT-03</t>
        </is>
      </c>
      <c r="C24" s="32" t="inlineStr">
        <is>
          <t>Solo 7 taxones registrados frente al mínimo de 15 exigido</t>
        </is>
      </c>
      <c r="D24" s="33" t="inlineStr">
        <is>
          <t>SUSTANTIVA</t>
        </is>
      </c>
      <c r="E24" s="32" t="inlineStr">
        <is>
          <t>Inventario florístico incompleto</t>
        </is>
      </c>
    </row>
    <row r="25" ht="48" customHeight="1">
      <c r="A25" s="34" t="inlineStr">
        <is>
          <t>D-16</t>
        </is>
      </c>
      <c r="B25" s="34" t="inlineStr">
        <is>
          <t>F-DT-04</t>
        </is>
      </c>
      <c r="C25" s="34" t="inlineStr">
        <is>
          <t>Urgencia «Baja» y reversibilidad «Totalmente reversible» incompatibles con MSAVI 2024 = 0.3222 (2.º más bajo del conjunto) y con la tierra desnuda del NDVI 2025</t>
        </is>
      </c>
      <c r="D25" s="33" t="inlineStr">
        <is>
          <t>SUSTANTIVA</t>
        </is>
      </c>
      <c r="E25" s="34" t="inlineStr">
        <is>
          <t>La Subdirección recomienda reevaluación</t>
        </is>
      </c>
    </row>
    <row r="26" ht="48" customHeight="1">
      <c r="A26" s="32" t="inlineStr">
        <is>
          <t>D-17</t>
        </is>
      </c>
      <c r="B26" s="32" t="inlineStr">
        <is>
          <t>F-DT-04</t>
        </is>
      </c>
      <c r="C26" s="32" t="inlineStr">
        <is>
          <t>Densidad de cárcavas 1 N.°/ha frente a inventario de 0 cárcavas; % pendiente &gt;50% = 35% calificado «Bajo»</t>
        </is>
      </c>
      <c r="D26" s="33" t="inlineStr">
        <is>
          <t>SUSTANTIVA</t>
        </is>
      </c>
      <c r="E26" s="32" t="inlineStr">
        <is>
          <t>Inconsistencias internas a resolver</t>
        </is>
      </c>
    </row>
    <row r="27" ht="48" customHeight="1">
      <c r="A27" s="34" t="inlineStr">
        <is>
          <t>D-18</t>
        </is>
      </c>
      <c r="B27" s="34" t="inlineStr">
        <is>
          <t>F-DT-05</t>
        </is>
      </c>
      <c r="C27" s="34" t="inlineStr">
        <is>
          <t>Sin ficha F-DT-05 en el ANEXO 01</t>
        </is>
      </c>
      <c r="D27" s="33" t="inlineStr">
        <is>
          <t>SUSTANTIVA</t>
        </is>
      </c>
      <c r="E27" s="34" t="inlineStr">
        <is>
          <t>Inventario hídrico y accesibilidad por completar</t>
        </is>
      </c>
    </row>
    <row r="29">
      <c r="A29" s="16" t="inlineStr">
        <is>
          <t>RESUMEN</t>
        </is>
      </c>
      <c r="B29" s="17" t="inlineStr">
        <is>
          <t>18 verificaciones</t>
        </is>
      </c>
      <c r="C29" s="17" t="inlineStr">
        <is>
          <t>CONFORME: 2 · NO SUSTANTIVA: 3 · SUSTANTIVA: 13</t>
        </is>
      </c>
      <c r="D29" s="17" t="inlineStr"/>
      <c r="E29" s="17" t="inlineStr"/>
    </row>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31:E3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M4B3 — IN Piura</dc:title>
  <dc:subject>Diagnóstico Territorial por bloque de intervención</dc:subject>
  <dcterms:created xsi:type="dcterms:W3CDTF">2026-09-08T02:45:06Z</dcterms:created>
  <dcterms:modified xsi:type="dcterms:W3CDTF">2026-09-08T02:45:06Z</dcterms:modified>
</cp:coreProperties>
</file>