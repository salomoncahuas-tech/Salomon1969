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22</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22</t>
        </is>
      </c>
      <c r="C9" s="6" t="inlineStr">
        <is>
          <t>Microcuenca (catálogo)</t>
        </is>
      </c>
      <c r="D9" s="7" t="inlineStr">
        <is>
          <t>C1096-Q9556</t>
        </is>
      </c>
      <c r="E9" s="8" t="n"/>
      <c r="F9" s="8" t="n"/>
    </row>
    <row r="10">
      <c r="A10" s="6" t="inlineStr">
        <is>
          <t>Zona de planificación</t>
        </is>
      </c>
      <c r="B10" s="7" t="inlineStr">
        <is>
          <t>Z01</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Chulucanas</t>
        </is>
      </c>
      <c r="C12" s="6" t="inlineStr">
        <is>
          <t>Capital distrital</t>
        </is>
      </c>
      <c r="D12" s="7" t="inlineStr">
        <is>
          <t>Chulucanas</t>
        </is>
      </c>
      <c r="E12" s="8" t="n"/>
      <c r="F12" s="8" t="n"/>
    </row>
    <row r="13">
      <c r="A13" s="6" t="inlineStr">
        <is>
          <t>Centro poblado asociado</t>
        </is>
      </c>
      <c r="B13" s="7" t="inlineStr">
        <is>
          <t>Platanal Bajo</t>
        </is>
      </c>
      <c r="C13" s="6" t="inlineStr">
        <is>
          <t>Comunidad campesina</t>
        </is>
      </c>
      <c r="D13" s="7" t="inlineStr">
        <is>
          <t>Asociación de pequeños propietarios «San Francisco de Asís» (F-DS-01)</t>
        </is>
      </c>
      <c r="E13" s="8" t="n"/>
      <c r="F13" s="8" t="n"/>
    </row>
    <row r="14">
      <c r="A14" s="6" t="inlineStr">
        <is>
          <t>Superficie de catálogo (V5/V6), ha</t>
        </is>
      </c>
      <c r="B14" s="7" t="n">
        <v>79.33</v>
      </c>
      <c r="C14" s="6" t="inlineStr">
        <is>
          <t>Fuente de superficie</t>
        </is>
      </c>
      <c r="D14" s="7" t="inlineStr">
        <is>
          <t>Catálogo maestro Bloques V5/V6</t>
        </is>
      </c>
      <c r="E14" s="8" t="n"/>
      <c r="F14" s="8" t="n"/>
    </row>
    <row r="15">
      <c r="A15" s="6" t="inlineStr">
        <is>
          <t>Centroide UTM ESTE (m)</t>
        </is>
      </c>
      <c r="B15" s="7" t="n">
        <v>601122</v>
      </c>
      <c r="C15" s="6" t="inlineStr">
        <is>
          <t>Centroide UTM NORTE (m)</t>
        </is>
      </c>
      <c r="D15" s="7" t="n">
        <v>9443651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235</v>
      </c>
      <c r="C19" s="6" t="inlineStr">
        <is>
          <t>Altitud máxima (msnm)</t>
        </is>
      </c>
      <c r="D19" s="7" t="n">
        <v>596</v>
      </c>
      <c r="E19" s="8" t="n"/>
      <c r="F19" s="8" t="n"/>
    </row>
    <row r="20">
      <c r="A20" s="6" t="inlineStr">
        <is>
          <t>Amplitud altitudinal (m)</t>
        </is>
      </c>
      <c r="B20" s="7" t="n">
        <v>361</v>
      </c>
      <c r="C20" s="6" t="inlineStr">
        <is>
          <t>Piso altitudinal dominante</t>
        </is>
      </c>
      <c r="D20" s="7" t="inlineStr">
        <is>
          <t>&lt;1000 m (Yunga)</t>
        </is>
      </c>
      <c r="E20" s="8" t="n"/>
      <c r="F20" s="8" t="n"/>
    </row>
    <row r="21">
      <c r="A21" s="6" t="inlineStr">
        <is>
          <t>Pendiente promedio (%)</t>
        </is>
      </c>
      <c r="B21" s="7" t="n">
        <v>22.51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0.4232</v>
      </c>
      <c r="C28" s="6" t="inlineStr">
        <is>
          <t>MSAVI 2024 — clase de la media</t>
        </is>
      </c>
      <c r="D28" s="7" t="inlineStr">
        <is>
          <t>0.3813 - 0.4976 (Vigor bajo)</t>
        </is>
      </c>
      <c r="E28" s="8" t="n"/>
      <c r="F28" s="8" t="n"/>
    </row>
    <row r="29">
      <c r="A29" s="6" t="inlineStr">
        <is>
          <t>Condición frente al umbral 0.4976</t>
        </is>
      </c>
      <c r="B29" s="7" t="inlineStr">
        <is>
          <t>Bajo umbral · distribución areal: 93.33 % del bloque BAJO el umbral (74.039 ha de 79.330 ha)</t>
        </is>
      </c>
      <c r="C29" s="6" t="inlineStr">
        <is>
          <t>NDVI mediana 2025 — clase modal</t>
        </is>
      </c>
      <c r="D29" s="7" t="inlineStr">
        <is>
          <t>Vegetación ligera (66.29 %)</t>
        </is>
      </c>
      <c r="E29" s="8" t="n"/>
      <c r="F29" s="8" t="n"/>
    </row>
    <row r="30">
      <c r="A30" s="6" t="inlineStr">
        <is>
          <t>MSAVI 2024 — superficie BAJO el umbral 0.4976 (ha)</t>
        </is>
      </c>
      <c r="B30" s="7" t="n">
        <v>74.039</v>
      </c>
      <c r="C30" s="6" t="inlineStr">
        <is>
          <t>MSAVI 2024 — % del bloque BAJO el umbral</t>
        </is>
      </c>
      <c r="D30" s="7" t="n">
        <v>93.33</v>
      </c>
      <c r="E30" s="8" t="n"/>
      <c r="F30" s="8" t="n"/>
    </row>
    <row r="31">
      <c r="A31" s="6" t="inlineStr">
        <is>
          <t>MSAVI 2024 — clase areal dominante</t>
        </is>
      </c>
      <c r="B31" s="7" t="inlineStr">
        <is>
          <t>Vigor bajo</t>
        </is>
      </c>
      <c r="C31" s="6" t="inlineStr">
        <is>
          <t>MSAVI 2024 — fuente de la distribución areal</t>
        </is>
      </c>
      <c r="D31" s="7" t="inlineStr">
        <is>
          <t>Conteo de celdas sobre la cartografía MSAVI 2024 del bloque (MSAVI Bloque 22.png)</t>
        </is>
      </c>
      <c r="E31" s="8" t="n"/>
      <c r="F31" s="8" t="n"/>
    </row>
    <row r="32" ht="18" customHeight="1">
      <c r="A32" s="6" t="inlineStr">
        <is>
          <t>Superficie clasificada NDVI 2025 (ha)</t>
        </is>
      </c>
      <c r="B32" s="7" t="n">
        <v>79.374</v>
      </c>
      <c r="C32" s="6" t="inlineStr">
        <is>
          <t>Desviación frente al catálogo (%)</t>
        </is>
      </c>
      <c r="D32" s="7" t="n">
        <v>0.06</v>
      </c>
      <c r="E32" s="8" t="n"/>
      <c r="F32" s="8" t="n"/>
    </row>
    <row r="33"/>
    <row r="34">
      <c r="A34" s="5" t="inlineStr">
        <is>
          <t>4. ECOSISTEMA Y ESTADO DE CONSERVACIÓN</t>
        </is>
      </c>
    </row>
    <row r="35">
      <c r="A35" s="6" t="inlineStr">
        <is>
          <t>Tipo de ecosistema (UP)</t>
        </is>
      </c>
      <c r="B35" s="7" t="inlineStr">
        <is>
          <t>Bosque Estacionalmente Seco Colina/Montaña (Bes-cm)</t>
        </is>
      </c>
      <c r="C35" s="6" t="inlineStr">
        <is>
          <t>Superficie de ecosistema (ha)</t>
        </is>
      </c>
      <c r="D35" s="7" t="inlineStr">
        <is>
          <t>79.33 ha</t>
        </is>
      </c>
      <c r="E35" s="8" t="n"/>
      <c r="F35" s="8" t="n"/>
    </row>
    <row r="36">
      <c r="A36" s="6" t="inlineStr">
        <is>
          <t>Estado de conservación</t>
        </is>
      </c>
      <c r="B36" s="7" t="inlineStr">
        <is>
          <t>Levemente alterado</t>
        </is>
      </c>
      <c r="C36" s="6" t="inlineStr">
        <is>
          <t>Uso actual dominante del suelo</t>
        </is>
      </c>
      <c r="D36" s="7" t="inlineStr">
        <is>
          <t>Pastoreo extensivo</t>
        </is>
      </c>
      <c r="E36" s="8" t="n"/>
      <c r="F36" s="8" t="n"/>
    </row>
    <row r="37">
      <c r="A37" s="6" t="inlineStr">
        <is>
          <t>Tipo de cobertura dominante</t>
        </is>
      </c>
      <c r="B37" s="7" t="inlineStr">
        <is>
          <t>Bosque denso (&gt;70%)</t>
        </is>
      </c>
      <c r="C37" s="6" t="inlineStr">
        <is>
          <t>Cobertura vegetal total — campo (%)</t>
        </is>
      </c>
      <c r="D37" s="7" t="n">
        <v>95</v>
      </c>
      <c r="E37" s="8" t="n"/>
      <c r="F37" s="8" t="n"/>
    </row>
    <row r="38">
      <c r="A38" s="6" t="inlineStr">
        <is>
          <t>Suelo desnudo — campo (%)</t>
        </is>
      </c>
      <c r="B38" s="7" t="n">
        <v>5</v>
      </c>
      <c r="C38" s="6" t="inlineStr">
        <is>
          <t>Regeneración natural</t>
        </is>
      </c>
      <c r="D38" s="7" t="inlineStr">
        <is>
          <t>Regular (10-50 pl./100m²)</t>
        </is>
      </c>
      <c r="E38" s="8" t="n"/>
      <c r="F38" s="8" t="n"/>
    </row>
    <row r="39">
      <c r="A39" s="6" t="inlineStr">
        <is>
          <t>Nivel general de erosión</t>
        </is>
      </c>
      <c r="B39" s="7" t="inlineStr">
        <is>
          <t>No consignado (F-DT-02 sin diligenciar)</t>
        </is>
      </c>
      <c r="C39" s="6" t="inlineStr">
        <is>
          <t>N.° de cárcavas registradas</t>
        </is>
      </c>
      <c r="D39" s="7" t="inlineStr">
        <is>
          <t>Sin inventario</t>
        </is>
      </c>
      <c r="E39" s="8" t="n"/>
      <c r="F39" s="8" t="n"/>
    </row>
    <row r="40" ht="18" customHeight="1">
      <c r="A40" s="6" t="inlineStr">
        <is>
          <t>Elenco florístico (n.° de taxones)</t>
        </is>
      </c>
      <c r="B40" s="7" t="n">
        <v>7</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Juan Domínguez</t>
        </is>
      </c>
      <c r="C43" s="6" t="inlineStr">
        <is>
          <t>Fecha de evaluación</t>
        </is>
      </c>
      <c r="D43" s="7" t="inlineStr">
        <is>
          <t>2026-07-03</t>
        </is>
      </c>
      <c r="E43" s="8" t="n"/>
      <c r="F43" s="8" t="n"/>
    </row>
    <row r="44">
      <c r="A44" s="6" t="inlineStr">
        <is>
          <t>Hora de registro</t>
        </is>
      </c>
      <c r="B44" s="7" t="inlineStr">
        <is>
          <t>15:06</t>
        </is>
      </c>
      <c r="C44" s="6" t="inlineStr">
        <is>
          <t>Correlativo de ficha</t>
        </is>
      </c>
      <c r="D44" s="7" t="inlineStr">
        <is>
          <t>Por registrar</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instalada</t>
        </is>
      </c>
      <c r="E46" s="8" t="n"/>
      <c r="F46" s="8" t="n"/>
    </row>
    <row r="47" ht="18" customHeight="1">
      <c r="A47" s="6" t="inlineStr">
        <is>
          <t>Estaciones fotográficas georreferenciadas</t>
        </is>
      </c>
      <c r="B47" s="7" t="inlineStr">
        <is>
          <t>Sin registro en la ficha DT</t>
        </is>
      </c>
      <c r="C47" s="6" t="inlineStr">
        <is>
          <t>Modalidad de acceso</t>
        </is>
      </c>
      <c r="D47" s="7" t="inlineStr">
        <is>
          <t>Por determinar</t>
        </is>
      </c>
      <c r="E47" s="8" t="n"/>
      <c r="F47" s="8" t="n"/>
    </row>
    <row r="48"/>
    <row r="49">
      <c r="A49" s="5" t="inlineStr">
        <is>
          <t>6. SÍNTESIS PARA LA GESTIÓN DEL RIESGO EN CONTEXTO DE CAMBIO CLIMÁTICO</t>
        </is>
      </c>
    </row>
    <row r="50">
      <c r="A50" s="6" t="inlineStr">
        <is>
          <t>Causa subyacente principal</t>
        </is>
      </c>
      <c r="B50" s="7" t="inlineStr">
        <is>
          <t>No consignada en la ficha</t>
        </is>
      </c>
      <c r="C50" s="6" t="inlineStr">
        <is>
          <t>Velocidad de degradación</t>
        </is>
      </c>
      <c r="D50" s="7" t="inlineStr">
        <is>
          <t>Lenta</t>
        </is>
      </c>
      <c r="E50" s="8" t="n"/>
      <c r="F50" s="8" t="n"/>
    </row>
    <row r="51">
      <c r="A51" s="6" t="inlineStr">
        <is>
          <t>Reversibilidad técnica</t>
        </is>
      </c>
      <c r="B51" s="7" t="inlineStr">
        <is>
          <t>Totalmente reversible</t>
        </is>
      </c>
      <c r="C51" s="6" t="inlineStr">
        <is>
          <t>Urgencia de intervención</t>
        </is>
      </c>
      <c r="D51" s="7" t="inlineStr">
        <is>
          <t>Baja</t>
        </is>
      </c>
      <c r="E51" s="8" t="n"/>
      <c r="F51" s="8" t="n"/>
    </row>
    <row r="52">
      <c r="A52" s="6" t="inlineStr">
        <is>
          <t>Urgencia de control de erosión</t>
        </is>
      </c>
      <c r="B52" s="7" t="inlineStr">
        <is>
          <t>Por determinar</t>
        </is>
      </c>
      <c r="C52" s="6" t="inlineStr">
        <is>
          <t>Zona de recarga hídrica</t>
        </is>
      </c>
      <c r="D52" s="7" t="inlineStr">
        <is>
          <t>Por determinar</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7" t="n"/>
      <c r="C56" s="37" t="n"/>
      <c r="D56" s="37" t="n"/>
      <c r="E56" s="37" t="n"/>
      <c r="F56" s="38"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22</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0.09520000000000001</v>
      </c>
      <c r="C10" s="19" t="n">
        <v>0.12</v>
      </c>
      <c r="D10" s="11" t="inlineStr">
        <is>
          <t>Vigor alto</t>
        </is>
      </c>
      <c r="E10" s="11" t="inlineStr">
        <is>
          <t>Sobre umbral</t>
        </is>
      </c>
    </row>
    <row r="11">
      <c r="A11" s="12" t="inlineStr">
        <is>
          <t>0.4976 - 0.6139</t>
        </is>
      </c>
      <c r="B11" s="20" t="n">
        <v>5.1961</v>
      </c>
      <c r="C11" s="21" t="n">
        <v>6.55</v>
      </c>
      <c r="D11" s="13" t="inlineStr">
        <is>
          <t>Vigor moderado</t>
        </is>
      </c>
      <c r="E11" s="13" t="inlineStr">
        <is>
          <t>Sobre umbral</t>
        </is>
      </c>
    </row>
    <row r="12">
      <c r="A12" s="14" t="inlineStr">
        <is>
          <t>0.3813 - 0.4976</t>
        </is>
      </c>
      <c r="B12" s="31" t="n">
        <v>57.9664</v>
      </c>
      <c r="C12" s="30" t="n">
        <v>73.06999999999999</v>
      </c>
      <c r="D12" s="15" t="inlineStr">
        <is>
          <t>Vigor bajo</t>
        </is>
      </c>
      <c r="E12" s="15" t="inlineStr">
        <is>
          <t>BAJO umbral 0.4976</t>
        </is>
      </c>
    </row>
    <row r="13">
      <c r="A13" s="12" t="inlineStr">
        <is>
          <t>0.2650 - 0.3813</t>
        </is>
      </c>
      <c r="B13" s="20" t="n">
        <v>16.0723</v>
      </c>
      <c r="C13" s="21" t="n">
        <v>20.26</v>
      </c>
      <c r="D13" s="13" t="inlineStr">
        <is>
          <t>Vigor muy bajo</t>
        </is>
      </c>
      <c r="E13" s="13" t="inlineStr">
        <is>
          <t>BAJO umbral 0.4976</t>
        </is>
      </c>
    </row>
    <row r="14">
      <c r="A14" s="7" t="inlineStr">
        <is>
          <t>&lt;= 0.2650</t>
        </is>
      </c>
      <c r="B14" s="18" t="n">
        <v>0</v>
      </c>
      <c r="C14" s="19" t="n">
        <v>0</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0.42317</v>
      </c>
      <c r="C16" s="17" t="inlineStr">
        <is>
          <t>—</t>
        </is>
      </c>
      <c r="D16" s="17" t="inlineStr">
        <is>
          <t>Vigor bajo · clase 0.3813 - 0.4976</t>
        </is>
      </c>
      <c r="E16" s="17" t="inlineStr">
        <is>
          <t>BAJO umbral 0.4976</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7" t="n"/>
      <c r="C18" s="37" t="n"/>
      <c r="D18" s="37" t="n"/>
      <c r="E18" s="38"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0.2579</v>
      </c>
      <c r="C22" s="19" t="n">
        <v>0.32</v>
      </c>
      <c r="D22" s="11" t="inlineStr">
        <is>
          <t>Dosel continuo, matorral denso o mosaico agroforestal</t>
        </is>
      </c>
      <c r="E22" s="11" t="inlineStr"/>
    </row>
    <row r="23">
      <c r="A23" s="12" t="inlineStr">
        <is>
          <t>Vegetación mediana</t>
        </is>
      </c>
      <c r="B23" s="20" t="n">
        <v>26.4754</v>
      </c>
      <c r="C23" s="21" t="n">
        <v>33.36</v>
      </c>
      <c r="D23" s="13" t="inlineStr">
        <is>
          <t>Pastizal cultivado, matorral ralo, parcelas agrícolas</t>
        </is>
      </c>
      <c r="E23" s="13" t="inlineStr"/>
    </row>
    <row r="24">
      <c r="A24" s="7" t="inlineStr">
        <is>
          <t>Vegetación ligera</t>
        </is>
      </c>
      <c r="B24" s="18" t="n">
        <v>52.6206</v>
      </c>
      <c r="C24" s="19" t="n">
        <v>66.29000000000001</v>
      </c>
      <c r="D24" s="11" t="inlineStr">
        <is>
          <t>Cobertura discontinua, suelo parcialmente expuesto</t>
        </is>
      </c>
      <c r="E24" s="11" t="inlineStr"/>
    </row>
    <row r="25">
      <c r="A25" s="12" t="inlineStr">
        <is>
          <t>Tierra desnuda</t>
        </is>
      </c>
      <c r="B25" s="20" t="n">
        <v>0.0198</v>
      </c>
      <c r="C25" s="21" t="n">
        <v>0.02</v>
      </c>
      <c r="D25" s="13" t="inlineStr">
        <is>
          <t>Suelo desnudo, afloramientos, plataformas y taludes</t>
        </is>
      </c>
      <c r="E25" s="13" t="inlineStr"/>
    </row>
    <row r="26">
      <c r="A26" s="16" t="inlineStr">
        <is>
          <t>TOTAL CLASIFICADO</t>
        </is>
      </c>
      <c r="B26" s="22">
        <f>SUM(B21:B24)</f>
        <v/>
      </c>
      <c r="C26" s="23">
        <f>SUM(C21:C24)</f>
        <v/>
      </c>
      <c r="D26" s="17" t="inlineStr"/>
      <c r="E26" s="17" t="inlineStr"/>
    </row>
    <row r="27">
      <c r="A27" s="24" t="inlineStr">
        <is>
          <t>Superficie de catálogo (V5/V6)</t>
        </is>
      </c>
      <c r="B27" s="25" t="n">
        <v>79.33</v>
      </c>
      <c r="C27" s="25" t="inlineStr">
        <is>
          <t>—</t>
        </is>
      </c>
      <c r="D27" s="25" t="inlineStr">
        <is>
          <t>Desviación planimétrica frente al catálogo</t>
        </is>
      </c>
      <c r="E27" s="25" t="inlineStr">
        <is>
          <t>+0.06 %</t>
        </is>
      </c>
    </row>
    <row r="28" ht="108" customHeight="1"/>
    <row r="29">
      <c r="A29"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95 % frente a un 0.32 % del polígono clasificado como «Vegetación alta» por el NDVI 2025; la observación de campo corresponde a una parcela o recorrido puntual y no es estadísticamente representativa de las 79.330 ha del bloque.</t>
        </is>
      </c>
      <c r="B29" s="37" t="n"/>
      <c r="C29" s="37" t="n"/>
      <c r="D29" s="37" t="n"/>
      <c r="E29" s="38" t="n"/>
    </row>
  </sheetData>
  <mergeCells count="10">
    <mergeCell ref="A29:E29"/>
    <mergeCell ref="A4:E4"/>
    <mergeCell ref="A20:E20"/>
    <mergeCell ref="A2:E2"/>
    <mergeCell ref="A5:E5"/>
    <mergeCell ref="A1:E1"/>
    <mergeCell ref="A8:E8"/>
    <mergeCell ref="A6:E6"/>
    <mergeCell ref="A18:E18"/>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22</t>
        </is>
      </c>
    </row>
    <row r="6" ht="24" customHeight="1">
      <c r="A6" s="4" t="inlineStr">
        <is>
          <t>Levantamiento del 2026-07-03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67016.39999999999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601122</v>
      </c>
      <c r="C13" s="6" t="inlineStr">
        <is>
          <t>Centroide del bloque — UTM NORTE (m)</t>
        </is>
      </c>
      <c r="D13" s="7" t="n">
        <v>9443651</v>
      </c>
      <c r="E13" s="8" t="n"/>
      <c r="F13" s="8" t="n"/>
      <c r="G13" s="8" t="n"/>
      <c r="H13" s="8" t="n"/>
    </row>
    <row r="14">
      <c r="A14" s="6" t="inlineStr">
        <is>
          <t>N.° de estaciones fotográficas declaradas</t>
        </is>
      </c>
      <c r="B14" s="7" t="inlineStr">
        <is>
          <t>Sin registro en la ficha DT</t>
        </is>
      </c>
      <c r="C14" s="6" t="inlineStr">
        <is>
          <t>Estaciones dentro del polígono</t>
        </is>
      </c>
      <c r="D14" s="7" t="inlineStr">
        <is>
          <t>Por determinar</t>
        </is>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Laderas de colina media, pendientes inferiores al 60% y altitud ~250 msnm. Una quebrada conduce las aguas pluviales hacia un badén en la vía afirmada al pie del bloque; desembocan en el río atravesando el CCPP y áreas de cultivo, lo que genera preocupación entre los pobladores en temporada de lluvias. No se evidenciaron surcos ni cárcavas en formación. Pastoreo caprino de bajo impacto y extracción de leña de intensidad reducida.</t>
        </is>
      </c>
      <c r="B16" s="37" t="n"/>
      <c r="C16" s="37" t="n"/>
      <c r="D16" s="37" t="n"/>
      <c r="E16" s="37" t="n"/>
      <c r="F16" s="37" t="n"/>
      <c r="G16" s="38"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22</t>
        </is>
      </c>
    </row>
    <row r="6" ht="24" customHeight="1">
      <c r="A6" s="4" t="inlineStr">
        <is>
          <t>Distrito de Chulucanas · Provincia de Morropon · Comparación de los bloques preliminares de intervención de la misma microcuenca</t>
        </is>
      </c>
    </row>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M17B7</t>
        </is>
      </c>
      <c r="B10" s="27" t="n">
        <v>258.84</v>
      </c>
      <c r="C10" s="19" t="n">
        <v>29.57</v>
      </c>
      <c r="D10" s="11" t="inlineStr">
        <is>
          <t>553 – 1517</t>
        </is>
      </c>
      <c r="E10" s="11" t="n">
        <v>964</v>
      </c>
      <c r="F10" s="11" t="n">
        <v>29.82</v>
      </c>
      <c r="G10" s="18" t="n">
        <v>0.5087</v>
      </c>
      <c r="H10" s="19" t="n">
        <v>58.63</v>
      </c>
    </row>
    <row r="11">
      <c r="A11" s="12" t="inlineStr">
        <is>
          <t>M17B4</t>
        </is>
      </c>
      <c r="B11" s="28" t="n">
        <v>124.71</v>
      </c>
      <c r="C11" s="21" t="n">
        <v>14.25</v>
      </c>
      <c r="D11" s="13" t="inlineStr">
        <is>
          <t>294 – 629</t>
        </is>
      </c>
      <c r="E11" s="13" t="n">
        <v>335</v>
      </c>
      <c r="F11" s="13" t="n">
        <v>18.69</v>
      </c>
      <c r="G11" s="20" t="n">
        <v>0.4235</v>
      </c>
      <c r="H11" s="21" t="n">
        <v>3.97</v>
      </c>
    </row>
    <row r="12">
      <c r="A12" s="7" t="inlineStr">
        <is>
          <t>M17B6</t>
        </is>
      </c>
      <c r="B12" s="27" t="n">
        <v>106.54</v>
      </c>
      <c r="C12" s="19" t="n">
        <v>12.17</v>
      </c>
      <c r="D12" s="11" t="inlineStr">
        <is>
          <t>403 – 1049</t>
        </is>
      </c>
      <c r="E12" s="11" t="n">
        <v>646</v>
      </c>
      <c r="F12" s="11" t="n">
        <v>23.42</v>
      </c>
      <c r="G12" s="18" t="n">
        <v>0.4464</v>
      </c>
      <c r="H12" s="19" t="n">
        <v>18.53</v>
      </c>
    </row>
    <row r="13">
      <c r="A13" s="14" t="inlineStr">
        <is>
          <t>► 22</t>
        </is>
      </c>
      <c r="B13" s="29" t="n">
        <v>79.33</v>
      </c>
      <c r="C13" s="30" t="n">
        <v>9.06</v>
      </c>
      <c r="D13" s="15" t="inlineStr">
        <is>
          <t>235 – 596</t>
        </is>
      </c>
      <c r="E13" s="15" t="n">
        <v>361</v>
      </c>
      <c r="F13" s="15" t="n">
        <v>22.51</v>
      </c>
      <c r="G13" s="31" t="n">
        <v>0.4232</v>
      </c>
      <c r="H13" s="30" t="n">
        <v>0.32</v>
      </c>
    </row>
    <row r="14">
      <c r="A14" s="7" t="inlineStr">
        <is>
          <t>27</t>
        </is>
      </c>
      <c r="B14" s="27" t="n">
        <v>78.15000000000001</v>
      </c>
      <c r="C14" s="19" t="n">
        <v>8.93</v>
      </c>
      <c r="D14" s="11" t="inlineStr">
        <is>
          <t>1518 – 1895</t>
        </is>
      </c>
      <c r="E14" s="11" t="n">
        <v>377</v>
      </c>
      <c r="F14" s="11" t="n">
        <v>30.25</v>
      </c>
      <c r="G14" s="18" t="n">
        <v>0.5323</v>
      </c>
      <c r="H14" s="19" t="n">
        <v>64.75</v>
      </c>
    </row>
    <row r="15">
      <c r="A15" s="12" t="inlineStr">
        <is>
          <t>M17B10</t>
        </is>
      </c>
      <c r="B15" s="28" t="n">
        <v>75.36</v>
      </c>
      <c r="C15" s="21" t="n">
        <v>8.609999999999999</v>
      </c>
      <c r="D15" s="13" t="inlineStr">
        <is>
          <t>466 – 902</t>
        </is>
      </c>
      <c r="E15" s="13" t="n">
        <v>436</v>
      </c>
      <c r="F15" s="13" t="n">
        <v>25.94</v>
      </c>
      <c r="G15" s="20" t="n">
        <v>0.4725</v>
      </c>
      <c r="H15" s="21" t="n">
        <v>29.2</v>
      </c>
    </row>
    <row r="16">
      <c r="A16" s="7" t="inlineStr">
        <is>
          <t>M17B5</t>
        </is>
      </c>
      <c r="B16" s="27" t="n">
        <v>74.03</v>
      </c>
      <c r="C16" s="19" t="n">
        <v>8.460000000000001</v>
      </c>
      <c r="D16" s="11" t="inlineStr">
        <is>
          <t>794 – 1317</t>
        </is>
      </c>
      <c r="E16" s="11" t="n">
        <v>523</v>
      </c>
      <c r="F16" s="11" t="n">
        <v>27.42</v>
      </c>
      <c r="G16" s="18" t="n">
        <v>0.5482</v>
      </c>
      <c r="H16" s="19" t="n">
        <v>61.34</v>
      </c>
    </row>
    <row r="17">
      <c r="A17" s="12" t="inlineStr">
        <is>
          <t>M17B1</t>
        </is>
      </c>
      <c r="B17" s="28" t="n">
        <v>42.45</v>
      </c>
      <c r="C17" s="21" t="n">
        <v>4.85</v>
      </c>
      <c r="D17" s="13" t="inlineStr">
        <is>
          <t>177 – 313</t>
        </is>
      </c>
      <c r="E17" s="13" t="n">
        <v>136</v>
      </c>
      <c r="F17" s="13" t="n">
        <v>14.73</v>
      </c>
      <c r="G17" s="20" t="n">
        <v>0.3323</v>
      </c>
      <c r="H17" s="21" t="n">
        <v>0</v>
      </c>
    </row>
    <row r="18">
      <c r="A18" s="7" t="inlineStr">
        <is>
          <t>32</t>
        </is>
      </c>
      <c r="B18" s="27" t="n">
        <v>35.83</v>
      </c>
      <c r="C18" s="19" t="n">
        <v>4.09</v>
      </c>
      <c r="D18" s="11" t="inlineStr">
        <is>
          <t>197 – 269</t>
        </is>
      </c>
      <c r="E18" s="11" t="n">
        <v>72</v>
      </c>
      <c r="F18" s="11" t="n">
        <v>12.87</v>
      </c>
      <c r="G18" s="18" t="n">
        <v>0.3716</v>
      </c>
      <c r="H18" s="19" t="inlineStr">
        <is>
          <t>Por determinar</t>
        </is>
      </c>
    </row>
    <row r="19">
      <c r="A19" s="16" t="inlineStr">
        <is>
          <t>TOTAL / PROMEDIO</t>
        </is>
      </c>
      <c r="B19" s="32">
        <f>SUM(B10:B18)</f>
        <v/>
      </c>
      <c r="C19" s="23">
        <f>SUM(C10:C18)</f>
        <v/>
      </c>
      <c r="D19" s="17" t="inlineStr">
        <is>
          <t>177 – 1895</t>
        </is>
      </c>
      <c r="E19" s="17" t="inlineStr"/>
      <c r="F19" s="17">
        <f>ROUND(AVERAGE(F10:F18),2)</f>
        <v/>
      </c>
      <c r="G19" s="22">
        <f>ROUND(AVERAGE(G10:G18),4)</f>
        <v/>
      </c>
      <c r="H19" s="23">
        <f>ROUND(AVERAGE(H10:H18),2)</f>
        <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37" t="n"/>
      <c r="C20" s="37" t="n"/>
      <c r="D20" s="37" t="n"/>
      <c r="E20" s="37" t="n"/>
      <c r="F20" s="37" t="n"/>
      <c r="G20" s="37" t="n"/>
      <c r="H20" s="38" t="n"/>
    </row>
    <row r="22" ht="84" customHeight="1">
      <c r="A22" s="9" t="inlineStr">
        <is>
          <t>LECTURA INTRAMICROCUENCA. El bloque 22 ocupa el puesto 4 de 9 por superficie dentro de la microcuenca C1096-Q9556 (9.06 % de las 875.24 ha preliminares de la microcuenca). Su pendiente promedio (22.51 %, clase «15-25% (Fuert. inclinado)») es la 4.ª más baja de 9 y se sitúa por debajo del promedio de la microcuenca (22.85 %). Su MSAVI 2024 (0.4232) es el 7.º de 9 y queda por debajo del promedio local (0.4510). Amplitud altitudinal del bloque: 361 m (235–596 msnm). El cuadro conserva todos los bloques catalogados en la microcuenca, incluidos los descartados en el tamizaje, para referencia del conjunto. Los bloques sin ficha DT figuran con sus parámetros de gabinete.</t>
        </is>
      </c>
      <c r="B22" s="37" t="n"/>
      <c r="C22" s="37" t="n"/>
      <c r="D22" s="37" t="n"/>
      <c r="E22" s="37" t="n"/>
      <c r="F22" s="37" t="n"/>
      <c r="G22" s="37" t="n"/>
      <c r="H22" s="38"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4" s="37" t="n"/>
      <c r="C24" s="37" t="n"/>
      <c r="D24" s="37" t="n"/>
      <c r="E24" s="37" t="n"/>
      <c r="F24" s="37" t="n"/>
      <c r="G24" s="37" t="n"/>
      <c r="H24" s="38" t="n"/>
    </row>
  </sheetData>
  <mergeCells count="10">
    <mergeCell ref="A1:H1"/>
    <mergeCell ref="A4:H4"/>
    <mergeCell ref="A3:H3"/>
    <mergeCell ref="A20:H20"/>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22</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el catálogo maestro V5/V6 asigna el bloque a «C1096-Q9556»</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67,016 m del centroide de catálogo (601122 E / 9443651 N), distancia incompatible con la superficie del bloque (79.33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(79.374 ha) coincide con la de catálogo (79.33 ha) dentro del ±2 % (+0.06 %)</t>
        </is>
      </c>
      <c r="D12" s="36"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22.51 %,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Inventario georreferenciado de cárcavas</t>
        </is>
      </c>
      <c r="C14" s="33" t="inlineStr">
        <is>
          <t>El inventario de cárcavas no fue ejecutado o no consta en la ficha DT</t>
        </is>
      </c>
      <c r="D14" s="34" t="inlineStr">
        <is>
          <t>SUSTANTIVA</t>
        </is>
      </c>
      <c r="E14" s="33" t="inlineStr">
        <is>
          <t>La ausencia de registros NO equivale a ausencia verificada de cárcavas. Queda pendiente el levantamiento instrumental a cargo del especialista de Infraestructura Marrón antes de fijar metas físicas de infraestructura gris.</t>
        </is>
      </c>
    </row>
    <row r="15" ht="48" customHeight="1">
      <c r="A15" s="35" t="inlineStr">
        <is>
          <t>D-06</t>
        </is>
      </c>
      <c r="B15" s="35" t="inlineStr">
        <is>
          <t>Elenco florístico</t>
        </is>
      </c>
      <c r="C15" s="35" t="inlineStr">
        <is>
          <t>La ficha registra 7 taxones, por debajo del mínimo de 15 que exige el formato V5</t>
        </is>
      </c>
      <c r="D15" s="34"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Centro poblado asociado</t>
        </is>
      </c>
      <c r="C16" s="33" t="inlineStr">
        <is>
          <t>La ficha DT declara «Platanal Bajo»; el cruce INEI-Bloques V5 identifica 1 centro(s) poblado(s) en el bloque: PLATANAL BAJO</t>
        </is>
      </c>
      <c r="D16" s="36"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4" t="inlineStr">
        <is>
          <t>SUSTANTIVA</t>
        </is>
      </c>
      <c r="E17" s="35" t="inlineStr">
        <is>
          <t>Debe tomarse del modelamiento de mesolocalización (PMM + EPH + PGI ponderados por AHP) antes de fijar la prioridad definitiva de intervención del bloque.</t>
        </is>
      </c>
    </row>
    <row r="18">
      <c r="A18" s="35" t="inlineStr">
        <is>
          <t>D-09</t>
        </is>
      </c>
      <c r="B18" s="35" t="inlineStr">
        <is>
          <t>Distribución areal de clases MSAVI 2024</t>
        </is>
      </c>
      <c r="C18" s="35" t="inlineStr">
        <is>
          <t>La hoja «Cobertura MSAVI-NDVI» consignaba «Por determinar» en la distribución areal de clases MSAVI 2024; se incorpora el metrado por clase medido sobre la cartografía temática MSAVI 2024 del bloque: 93.33 % del bloque (74.039 ha) bajo el umbral 0.4976 y 6.67 % sobre el umbral; clase areal dominante «Vigor bajo».</t>
        </is>
      </c>
      <c r="D18" s="34" t="inlineStr">
        <is>
          <t>CORREGIDO</t>
        </is>
      </c>
      <c r="E18" s="35"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9"/>
    <row r="20">
      <c r="A20" s="16" t="inlineStr">
        <is>
          <t>RESUMEN</t>
        </is>
      </c>
      <c r="B20" s="17" t="inlineStr">
        <is>
          <t>9 verificaciones</t>
        </is>
      </c>
      <c r="C20" s="17" t="inlineStr">
        <is>
          <t>CONFORME: 2 · NO SUSTANTIVA: 1 · SUSTANTIVA: 5 · CORREGIDO: 1</t>
        </is>
      </c>
      <c r="D20" s="17" t="inlineStr"/>
      <c r="E20" s="17" t="inlineStr"/>
    </row>
    <row r="21" ht="60" customHeight="1"/>
    <row r="22">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37" t="n"/>
      <c r="C22" s="37" t="n"/>
      <c r="D22" s="37" t="n"/>
      <c r="E22" s="38"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22 — IN Piura</dc:title>
  <dc:subject>Diagnóstico Territorial por bloque de intervención</dc:subject>
  <dcterms:created xsi:type="dcterms:W3CDTF">2026-09-08T03:39:56Z</dcterms:created>
  <dcterms:modified xsi:type="dcterms:W3CDTF">2026-09-09T14:49:41Z</dcterms:modified>
</cp:coreProperties>
</file>