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22</t>
        </is>
      </c>
      <c r="C9" s="6" t="inlineStr">
        <is>
          <t>Microcuenca (catálogo)</t>
        </is>
      </c>
      <c r="D9" s="7" t="inlineStr">
        <is>
          <t>C1096-Q9556</t>
        </is>
      </c>
      <c r="E9" s="8" t="n"/>
      <c r="F9" s="8" t="n"/>
    </row>
    <row r="10">
      <c r="A10" s="6" t="inlineStr">
        <is>
          <t>Zona de planificación</t>
        </is>
      </c>
      <c r="B10" s="7" t="inlineStr">
        <is>
          <t>Z01</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Platanal Bajo</t>
        </is>
      </c>
      <c r="C13" s="6" t="inlineStr">
        <is>
          <t>Comunidad campesina</t>
        </is>
      </c>
      <c r="D13" s="7" t="inlineStr">
        <is>
          <t>Asociación de pequeños propietarios «San Francisco de Asís» (F-DS-01)</t>
        </is>
      </c>
      <c r="E13" s="8" t="n"/>
      <c r="F13" s="8" t="n"/>
    </row>
    <row r="14">
      <c r="A14" s="6" t="inlineStr">
        <is>
          <t>Superficie de catálogo (V5/V6), ha</t>
        </is>
      </c>
      <c r="B14" s="7" t="n">
        <v>79.33</v>
      </c>
      <c r="C14" s="6" t="inlineStr">
        <is>
          <t>Fuente de superficie</t>
        </is>
      </c>
      <c r="D14" s="7" t="inlineStr">
        <is>
          <t>Catálogo maestro Bloques V5/V6</t>
        </is>
      </c>
      <c r="E14" s="8" t="n"/>
      <c r="F14" s="8" t="n"/>
    </row>
    <row r="15">
      <c r="A15" s="6" t="inlineStr">
        <is>
          <t>Centroide UTM ESTE (m)</t>
        </is>
      </c>
      <c r="B15" s="7" t="n">
        <v>601122</v>
      </c>
      <c r="C15" s="6" t="inlineStr">
        <is>
          <t>Centroide UTM NORTE (m)</t>
        </is>
      </c>
      <c r="D15" s="7" t="n">
        <v>9443651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235</v>
      </c>
      <c r="C19" s="6" t="inlineStr">
        <is>
          <t>Altitud máxima (msnm)</t>
        </is>
      </c>
      <c r="D19" s="7" t="n">
        <v>596</v>
      </c>
      <c r="E19" s="8" t="n"/>
      <c r="F19" s="8" t="n"/>
    </row>
    <row r="20">
      <c r="A20" s="6" t="inlineStr">
        <is>
          <t>Amplitud altitudinal (m)</t>
        </is>
      </c>
      <c r="B20" s="7" t="n">
        <v>361</v>
      </c>
      <c r="C20" s="6" t="inlineStr">
        <is>
          <t>Piso altitudinal dominante</t>
        </is>
      </c>
      <c r="D20" s="7" t="inlineStr">
        <is>
          <t>&lt;1000 m (Yunga)</t>
        </is>
      </c>
      <c r="E20" s="8" t="n"/>
      <c r="F20" s="8" t="n"/>
    </row>
    <row r="21">
      <c r="A21" s="6" t="inlineStr">
        <is>
          <t>Pendiente promedio (%)</t>
        </is>
      </c>
      <c r="B21" s="7" t="n">
        <v>22.51</v>
      </c>
      <c r="C21" s="6" t="inlineStr">
        <is>
          <t>Pendiente promedio (grados)</t>
        </is>
      </c>
      <c r="D21" s="7" t="n">
        <v>12.7</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Sur</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0.4232</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ligera (66.29 %)</t>
        </is>
      </c>
      <c r="E29" s="8" t="n"/>
      <c r="F29" s="8" t="n"/>
    </row>
    <row r="30">
      <c r="A30" s="6" t="inlineStr">
        <is>
          <t>Superficie clasificada NDVI 2025 (ha)</t>
        </is>
      </c>
      <c r="B30" s="7" t="n">
        <v>79.374</v>
      </c>
      <c r="C30" s="6" t="inlineStr">
        <is>
          <t>Desviación frente al catálogo (%)</t>
        </is>
      </c>
      <c r="D30" s="7" t="n">
        <v>0.06</v>
      </c>
      <c r="E30" s="8" t="n"/>
      <c r="F30" s="8" t="n"/>
    </row>
    <row r="32" ht="18" customHeight="1">
      <c r="A32" s="5" t="inlineStr">
        <is>
          <t>4. ECOSISTEMA Y ESTADO DE CONSERVACIÓN</t>
        </is>
      </c>
    </row>
    <row r="33">
      <c r="A33" s="6" t="inlineStr">
        <is>
          <t>Tipo de ecosistema (UP)</t>
        </is>
      </c>
      <c r="B33" s="7" t="inlineStr">
        <is>
          <t>Bosque Estacionalmente Seco Colina/Montaña (Bes-cm)</t>
        </is>
      </c>
      <c r="C33" s="6" t="inlineStr">
        <is>
          <t>Superficie de ecosistema (ha)</t>
        </is>
      </c>
      <c r="D33" s="7" t="inlineStr">
        <is>
          <t>79.33 ha</t>
        </is>
      </c>
      <c r="E33" s="8" t="n"/>
      <c r="F33" s="8" t="n"/>
    </row>
    <row r="34">
      <c r="A34" s="6" t="inlineStr">
        <is>
          <t>Estado de conservación</t>
        </is>
      </c>
      <c r="B34" s="7" t="inlineStr">
        <is>
          <t>Levemente alterado</t>
        </is>
      </c>
      <c r="C34" s="6" t="inlineStr">
        <is>
          <t>Uso actual dominante del suelo</t>
        </is>
      </c>
      <c r="D34" s="7" t="inlineStr">
        <is>
          <t>Pastoreo extensivo</t>
        </is>
      </c>
      <c r="E34" s="8" t="n"/>
      <c r="F34" s="8" t="n"/>
    </row>
    <row r="35">
      <c r="A35" s="6" t="inlineStr">
        <is>
          <t>Tipo de cobertura dominante</t>
        </is>
      </c>
      <c r="B35" s="7" t="inlineStr">
        <is>
          <t>Bosque denso (&gt;70%)</t>
        </is>
      </c>
      <c r="C35" s="6" t="inlineStr">
        <is>
          <t>Cobertura vegetal total — campo (%)</t>
        </is>
      </c>
      <c r="D35" s="7" t="n">
        <v>95</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No consignado (F-DT-02 sin diligenciar)</t>
        </is>
      </c>
      <c r="C37" s="6" t="inlineStr">
        <is>
          <t>N.° de cárcavas registradas</t>
        </is>
      </c>
      <c r="D37" s="7" t="inlineStr">
        <is>
          <t>Sin inventario</t>
        </is>
      </c>
      <c r="E37" s="8" t="n"/>
      <c r="F37" s="8" t="n"/>
    </row>
    <row r="38">
      <c r="A38" s="6" t="inlineStr">
        <is>
          <t>Elenco florístico (n.° de taxones)</t>
        </is>
      </c>
      <c r="B38" s="7" t="n">
        <v>7</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Domínguez</t>
        </is>
      </c>
      <c r="C41" s="6" t="inlineStr">
        <is>
          <t>Fecha de evaluación</t>
        </is>
      </c>
      <c r="D41" s="7" t="inlineStr">
        <is>
          <t>2026-07-03</t>
        </is>
      </c>
      <c r="E41" s="8" t="n"/>
      <c r="F41" s="8" t="n"/>
    </row>
    <row r="42">
      <c r="A42" s="6" t="inlineStr">
        <is>
          <t>Hora de registro</t>
        </is>
      </c>
      <c r="B42" s="7" t="inlineStr">
        <is>
          <t>15:06</t>
        </is>
      </c>
      <c r="C42" s="6" t="inlineStr">
        <is>
          <t>Correlativo de ficha</t>
        </is>
      </c>
      <c r="D42" s="7" t="inlineStr">
        <is>
          <t>Por registrar</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inlineStr">
        <is>
          <t>Sin registro en la ficha DT</t>
        </is>
      </c>
      <c r="C45" s="6" t="inlineStr">
        <is>
          <t>Modalidad de acceso</t>
        </is>
      </c>
      <c r="D45" s="7" t="inlineStr">
        <is>
          <t>Por determinar</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la ficha</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Por determinar</t>
        </is>
      </c>
      <c r="C50" s="6" t="inlineStr">
        <is>
          <t>Zona de recarga hídrica</t>
        </is>
      </c>
      <c r="D50" s="7" t="inlineStr">
        <is>
          <t>Por determinar</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0.42317</v>
      </c>
      <c r="C15" s="17" t="inlineStr">
        <is>
          <t>—</t>
        </is>
      </c>
      <c r="D15" s="17" t="inlineStr">
        <is>
          <t>Vigor bajo · clase 0.3813 - 0.4976</t>
        </is>
      </c>
      <c r="E15" s="17" t="inlineStr">
        <is>
          <t>BAJO umbral 0.4976</t>
        </is>
      </c>
    </row>
    <row r="17" ht="72" customHeight="1">
      <c r="A17" s="9" t="inlineStr">
        <is>
          <t>NOTA METODOLÓGICA. La media del MSAVI 2024 del bloque (0.423170)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0.2579</v>
      </c>
      <c r="C21" s="19" t="n">
        <v>0.32</v>
      </c>
      <c r="D21" s="11" t="inlineStr">
        <is>
          <t>Dosel continuo, matorral denso o mosaico agroforestal</t>
        </is>
      </c>
      <c r="E21" s="11" t="inlineStr"/>
    </row>
    <row r="22">
      <c r="A22" s="12" t="inlineStr">
        <is>
          <t>Vegetación mediana</t>
        </is>
      </c>
      <c r="B22" s="20" t="n">
        <v>26.4754</v>
      </c>
      <c r="C22" s="21" t="n">
        <v>33.36</v>
      </c>
      <c r="D22" s="13" t="inlineStr">
        <is>
          <t>Pastizal cultivado, matorral ralo, parcelas agrícolas</t>
        </is>
      </c>
      <c r="E22" s="13" t="inlineStr"/>
    </row>
    <row r="23">
      <c r="A23" s="7" t="inlineStr">
        <is>
          <t>Vegetación ligera</t>
        </is>
      </c>
      <c r="B23" s="18" t="n">
        <v>52.6206</v>
      </c>
      <c r="C23" s="19" t="n">
        <v>66.29000000000001</v>
      </c>
      <c r="D23" s="11" t="inlineStr">
        <is>
          <t>Cobertura discontinua, suelo parcialmente expuesto</t>
        </is>
      </c>
      <c r="E23" s="11" t="inlineStr"/>
    </row>
    <row r="24">
      <c r="A24" s="12" t="inlineStr">
        <is>
          <t>Tierra desnuda</t>
        </is>
      </c>
      <c r="B24" s="20" t="n">
        <v>0.0198</v>
      </c>
      <c r="C24" s="21" t="n">
        <v>0.02</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79.33</v>
      </c>
      <c r="C26" s="25" t="inlineStr">
        <is>
          <t>—</t>
        </is>
      </c>
      <c r="D26" s="25" t="inlineStr">
        <is>
          <t>Desviación planimétrica frente al catálogo</t>
        </is>
      </c>
      <c r="E26" s="25" t="inlineStr">
        <is>
          <t>+0.06 %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95 % frente a un 0.32 % del polígono clasificado como «Vegetación alta» por el NDVI 2025; la observación de campo corresponde a una parcela o recorrido puntual y no es estadísticamente representativa de las 79.330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22</t>
        </is>
      </c>
    </row>
    <row r="6" ht="24" customHeight="1">
      <c r="A6" s="4" t="inlineStr">
        <is>
          <t>Levantamiento del 2026-07-03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67016.39999999999</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601122</v>
      </c>
      <c r="C13" s="6" t="inlineStr">
        <is>
          <t>Centroide del bloque — UTM NORTE (m)</t>
        </is>
      </c>
      <c r="D13" s="7" t="n">
        <v>9443651</v>
      </c>
      <c r="E13" s="8" t="n"/>
      <c r="F13" s="8" t="n"/>
      <c r="G13" s="8" t="n"/>
      <c r="H13" s="8" t="n"/>
    </row>
    <row r="14">
      <c r="A14" s="6" t="inlineStr">
        <is>
          <t>N.° de estaciones fotográficas declaradas</t>
        </is>
      </c>
      <c r="B14" s="7" t="inlineStr">
        <is>
          <t>Sin registro en la ficha DT</t>
        </is>
      </c>
      <c r="C14" s="6" t="inlineStr">
        <is>
          <t>Estaciones dentro del polígono</t>
        </is>
      </c>
      <c r="D14" s="7" t="inlineStr">
        <is>
          <t>Por determinar</t>
        </is>
      </c>
      <c r="E14" s="8" t="n"/>
      <c r="F14" s="8" t="n"/>
      <c r="G14" s="8" t="n"/>
      <c r="H14" s="8" t="n"/>
    </row>
    <row r="16" ht="120"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Laderas de colina media, pendientes inferiores al 60% y altitud ~250 msnm. Una quebrada conduce las aguas pluviales hacia un badén en la vía afirmada al pie del bloque; desembocan en el río atravesando el CCPP y áreas de cultivo, lo que genera preocupación entre los pobladores en temporada de lluvias. No se evidenciaron surcos ni cárcavas en formación. Pastoreo caprino de bajo impacto y extracción de leña de intensidad reducida.</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22</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M17B7</t>
        </is>
      </c>
      <c r="B10" s="27" t="n">
        <v>258.84</v>
      </c>
      <c r="C10" s="19" t="n">
        <v>29.57</v>
      </c>
      <c r="D10" s="11" t="inlineStr">
        <is>
          <t>553 – 1517</t>
        </is>
      </c>
      <c r="E10" s="11" t="n">
        <v>964</v>
      </c>
      <c r="F10" s="11" t="n">
        <v>29.82</v>
      </c>
      <c r="G10" s="18" t="n">
        <v>0.5087</v>
      </c>
      <c r="H10" s="19" t="n">
        <v>58.63</v>
      </c>
    </row>
    <row r="11">
      <c r="A11" s="12" t="inlineStr">
        <is>
          <t>M17B4</t>
        </is>
      </c>
      <c r="B11" s="28" t="n">
        <v>124.71</v>
      </c>
      <c r="C11" s="21" t="n">
        <v>14.25</v>
      </c>
      <c r="D11" s="13" t="inlineStr">
        <is>
          <t>294 – 629</t>
        </is>
      </c>
      <c r="E11" s="13" t="n">
        <v>335</v>
      </c>
      <c r="F11" s="13" t="n">
        <v>18.69</v>
      </c>
      <c r="G11" s="20" t="n">
        <v>0.4235</v>
      </c>
      <c r="H11" s="21" t="n">
        <v>3.97</v>
      </c>
    </row>
    <row r="12">
      <c r="A12" s="7" t="inlineStr">
        <is>
          <t>M17B6</t>
        </is>
      </c>
      <c r="B12" s="27" t="n">
        <v>106.54</v>
      </c>
      <c r="C12" s="19" t="n">
        <v>12.17</v>
      </c>
      <c r="D12" s="11" t="inlineStr">
        <is>
          <t>403 – 1049</t>
        </is>
      </c>
      <c r="E12" s="11" t="n">
        <v>646</v>
      </c>
      <c r="F12" s="11" t="n">
        <v>23.42</v>
      </c>
      <c r="G12" s="18" t="n">
        <v>0.4464</v>
      </c>
      <c r="H12" s="19" t="n">
        <v>18.53</v>
      </c>
    </row>
    <row r="13">
      <c r="A13" s="14" t="inlineStr">
        <is>
          <t>► 22</t>
        </is>
      </c>
      <c r="B13" s="29" t="n">
        <v>79.33</v>
      </c>
      <c r="C13" s="30" t="n">
        <v>9.06</v>
      </c>
      <c r="D13" s="15" t="inlineStr">
        <is>
          <t>235 – 596</t>
        </is>
      </c>
      <c r="E13" s="15" t="n">
        <v>361</v>
      </c>
      <c r="F13" s="15" t="n">
        <v>22.51</v>
      </c>
      <c r="G13" s="31" t="n">
        <v>0.4232</v>
      </c>
      <c r="H13" s="30" t="n">
        <v>0.32</v>
      </c>
    </row>
    <row r="14">
      <c r="A14" s="7" t="inlineStr">
        <is>
          <t>27</t>
        </is>
      </c>
      <c r="B14" s="27" t="n">
        <v>78.15000000000001</v>
      </c>
      <c r="C14" s="19" t="n">
        <v>8.93</v>
      </c>
      <c r="D14" s="11" t="inlineStr">
        <is>
          <t>1518 – 1895</t>
        </is>
      </c>
      <c r="E14" s="11" t="n">
        <v>377</v>
      </c>
      <c r="F14" s="11" t="n">
        <v>30.25</v>
      </c>
      <c r="G14" s="18" t="n">
        <v>0.5323</v>
      </c>
      <c r="H14" s="19" t="n">
        <v>64.75</v>
      </c>
    </row>
    <row r="15">
      <c r="A15" s="12" t="inlineStr">
        <is>
          <t>M17B10</t>
        </is>
      </c>
      <c r="B15" s="28" t="n">
        <v>75.36</v>
      </c>
      <c r="C15" s="21" t="n">
        <v>8.609999999999999</v>
      </c>
      <c r="D15" s="13" t="inlineStr">
        <is>
          <t>466 – 902</t>
        </is>
      </c>
      <c r="E15" s="13" t="n">
        <v>436</v>
      </c>
      <c r="F15" s="13" t="n">
        <v>25.94</v>
      </c>
      <c r="G15" s="20" t="n">
        <v>0.4725</v>
      </c>
      <c r="H15" s="21" t="n">
        <v>29.2</v>
      </c>
    </row>
    <row r="16">
      <c r="A16" s="7" t="inlineStr">
        <is>
          <t>M17B5</t>
        </is>
      </c>
      <c r="B16" s="27" t="n">
        <v>74.03</v>
      </c>
      <c r="C16" s="19" t="n">
        <v>8.460000000000001</v>
      </c>
      <c r="D16" s="11" t="inlineStr">
        <is>
          <t>794 – 1317</t>
        </is>
      </c>
      <c r="E16" s="11" t="n">
        <v>523</v>
      </c>
      <c r="F16" s="11" t="n">
        <v>27.42</v>
      </c>
      <c r="G16" s="18" t="n">
        <v>0.5482</v>
      </c>
      <c r="H16" s="19" t="n">
        <v>61.34</v>
      </c>
    </row>
    <row r="17">
      <c r="A17" s="12" t="inlineStr">
        <is>
          <t>M17B1</t>
        </is>
      </c>
      <c r="B17" s="28" t="n">
        <v>42.45</v>
      </c>
      <c r="C17" s="21" t="n">
        <v>4.85</v>
      </c>
      <c r="D17" s="13" t="inlineStr">
        <is>
          <t>177 – 313</t>
        </is>
      </c>
      <c r="E17" s="13" t="n">
        <v>136</v>
      </c>
      <c r="F17" s="13" t="n">
        <v>14.73</v>
      </c>
      <c r="G17" s="20" t="n">
        <v>0.3323</v>
      </c>
      <c r="H17" s="21" t="n">
        <v>0</v>
      </c>
    </row>
    <row r="18">
      <c r="A18" s="7" t="inlineStr">
        <is>
          <t>32</t>
        </is>
      </c>
      <c r="B18" s="27" t="n">
        <v>35.83</v>
      </c>
      <c r="C18" s="19" t="n">
        <v>4.09</v>
      </c>
      <c r="D18" s="11" t="inlineStr">
        <is>
          <t>197 – 269</t>
        </is>
      </c>
      <c r="E18" s="11" t="n">
        <v>72</v>
      </c>
      <c r="F18" s="11" t="n">
        <v>12.87</v>
      </c>
      <c r="G18" s="18" t="n">
        <v>0.3716</v>
      </c>
      <c r="H18" s="19" t="inlineStr">
        <is>
          <t>Por determinar</t>
        </is>
      </c>
    </row>
    <row r="19">
      <c r="A19" s="16" t="inlineStr">
        <is>
          <t>TOTAL / PROMEDIO</t>
        </is>
      </c>
      <c r="B19" s="32">
        <f>SUM(B10:B18)</f>
        <v/>
      </c>
      <c r="C19" s="23">
        <f>SUM(C10:C18)</f>
        <v/>
      </c>
      <c r="D19" s="17" t="inlineStr">
        <is>
          <t>177 – 1895</t>
        </is>
      </c>
      <c r="E19" s="17" t="inlineStr"/>
      <c r="F19" s="17">
        <f>ROUND(AVERAGE(F10:F18),2)</f>
        <v/>
      </c>
      <c r="G19" s="22">
        <f>ROUND(AVERAGE(G10:G18),4)</f>
        <v/>
      </c>
      <c r="H19" s="23">
        <f>ROUND(AVERAGE(H10:H18),2)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row>
    <row r="22" ht="84" customHeight="1">
      <c r="A22" s="9" t="inlineStr">
        <is>
          <t>LECTURA INTRAMICROCUENCA. El bloque 22 ocupa el puesto 4 de 9 por superficie dentro de la microcuenca C1096-Q9556 (9.06 % de las 875.24 ha preliminares de la microcuenca). Su pendiente promedio (22.51 %, clase «15-25% (Fuert. inclinado)») es la 4.ª más baja de 9 y se sitúa por debajo del promedio de la microcuenca (22.85 %). Su MSAVI 2024 (0.4232) es el 7.º de 9 y queda por debajo del promedio local (0.4510). Amplitud altitudinal del bloque: 361 m (235–596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el catálogo maestro V5/V6 asigna el bloque a «C1096-Q9556»</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(645575 E / 9393500 N) dista 67,016 m del centroide de catálogo (601122 E / 9443651 N), distancia incompatible con la superficie del bloque (79.33 ha)</t>
        </is>
      </c>
      <c r="D11" s="34"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(79.374 ha) coincide con la de catálogo (79.33 ha) dentro del ±2 % (+0.06 %)</t>
        </is>
      </c>
      <c r="D12" s="36"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22.51 %,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Inventario georreferenciado de cárcavas</t>
        </is>
      </c>
      <c r="C14" s="33" t="inlineStr">
        <is>
          <t>El inventario de cárcavas no fue ejecutado o no consta en la ficha DT</t>
        </is>
      </c>
      <c r="D14" s="34" t="inlineStr">
        <is>
          <t>SUSTANTIVA</t>
        </is>
      </c>
      <c r="E14" s="33" t="inlineStr">
        <is>
          <t>La ausencia de registros NO equivale a ausencia verificada de cárcavas. Queda pendiente el levantamiento instrumental a cargo del especialista de Infraestructura Marrón antes de fijar metas físicas de infraestructura gris.</t>
        </is>
      </c>
    </row>
    <row r="15" ht="48" customHeight="1">
      <c r="A15" s="35" t="inlineStr">
        <is>
          <t>D-06</t>
        </is>
      </c>
      <c r="B15" s="35" t="inlineStr">
        <is>
          <t>Elenco florístico</t>
        </is>
      </c>
      <c r="C15" s="35" t="inlineStr">
        <is>
          <t>La ficha registra 7 taxones, por debajo del mínimo de 15 que exige el formato V5</t>
        </is>
      </c>
      <c r="D15" s="34"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Centro poblado asociado</t>
        </is>
      </c>
      <c r="C16" s="33" t="inlineStr">
        <is>
          <t>La ficha DT declara «Platanal Bajo»; el cruce INEI-Bloques V5 identifica 1 centro(s) poblado(s) en el bloque: PLATANAL BAJO</t>
        </is>
      </c>
      <c r="D16" s="36"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4" t="inlineStr">
        <is>
          <t>SUSTANTIVA</t>
        </is>
      </c>
      <c r="E17" s="35" t="inlineStr">
        <is>
          <t>Debe tomarse del modelamiento de mesolocalización (PMM + EPH + PGI ponderados por AHP) antes de fijar la prioridad definitiva de intervención del bloque.</t>
        </is>
      </c>
    </row>
    <row r="19">
      <c r="A19" s="16" t="inlineStr">
        <is>
          <t>RESUMEN</t>
        </is>
      </c>
      <c r="B19" s="17" t="inlineStr">
        <is>
          <t>8 verificaciones</t>
        </is>
      </c>
      <c r="C19" s="17" t="inlineStr">
        <is>
          <t>CONFORME: 2 · NO SUSTANTIVA: 1 · SUSTANTIVA: 5</t>
        </is>
      </c>
      <c r="D19" s="17" t="inlineStr"/>
      <c r="E19" s="17" t="inlineStr"/>
    </row>
    <row r="21" ht="60" customHeight="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22 — IN Piura</dc:title>
  <dc:subject>Diagnóstico Territorial por bloque de intervención</dc:subject>
  <dcterms:created xsi:type="dcterms:W3CDTF">2026-09-08T03:39:56Z</dcterms:created>
  <dcterms:modified xsi:type="dcterms:W3CDTF">2026-09-08T03:39:56Z</dcterms:modified>
</cp:coreProperties>
</file>