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Guabal/Huabal (280 hab.); entorno: Nogal, Guanábano Alto, El Común de Pilán</t>
        </is>
      </c>
      <c r="C13" s="6" t="inlineStr">
        <is>
          <t>Comunidad campesina</t>
        </is>
      </c>
      <c r="D13" s="7" t="inlineStr">
        <is>
          <t>Por verificar</t>
        </is>
      </c>
      <c r="E13" s="8" t="n"/>
      <c r="F13" s="8" t="n"/>
    </row>
    <row r="14">
      <c r="A14" s="6" t="inlineStr">
        <is>
          <t>Superficie de catálogo (V5/V6), ha</t>
        </is>
      </c>
      <c r="B14" s="7" t="n">
        <v>168.41</v>
      </c>
      <c r="C14" s="6" t="inlineStr">
        <is>
          <t>Fuente de superficie</t>
        </is>
      </c>
      <c r="D14" s="7" t="inlineStr">
        <is>
          <t>Catálogo maestro Bloques V5/V6</t>
        </is>
      </c>
      <c r="E14" s="8" t="n"/>
      <c r="F14" s="8" t="n"/>
    </row>
    <row r="15">
      <c r="A15" s="6" t="inlineStr">
        <is>
          <t>Centroide UTM ESTE (m)</t>
        </is>
      </c>
      <c r="B15" s="7" t="n">
        <v>605636</v>
      </c>
      <c r="C15" s="6" t="inlineStr">
        <is>
          <t>Centroide UTM NORTE (m)</t>
        </is>
      </c>
      <c r="D15" s="7" t="n">
        <v>9455269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1398</v>
      </c>
      <c r="C19" s="6" t="inlineStr">
        <is>
          <t>Altitud máxima (msnm)</t>
        </is>
      </c>
      <c r="D19" s="7" t="n">
        <v>2016</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33.74</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0.5381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(52.17 %)</t>
        </is>
      </c>
      <c r="E29" s="8" t="n"/>
      <c r="F29" s="8" t="n"/>
    </row>
    <row r="30">
      <c r="A30" s="6" t="inlineStr">
        <is>
          <t>Superficie clasificada NDVI 2025 (ha)</t>
        </is>
      </c>
      <c r="B30" s="7" t="n">
        <v>168.499</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Zona agrícola 164.24 ha (97.5%) + Bes-cm 4.17 ha (2.5%); total 168.41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1</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2026-06-23</t>
        </is>
      </c>
      <c r="E41" s="8" t="n"/>
      <c r="F41" s="8" t="n"/>
    </row>
    <row r="42">
      <c r="A42" s="6" t="inlineStr">
        <is>
          <t>Hora de registro</t>
        </is>
      </c>
      <c r="B42" s="7" t="inlineStr">
        <is>
          <t>11:03-11:48 a.m.</t>
        </is>
      </c>
      <c r="C42" s="6" t="inlineStr">
        <is>
          <t>Correlativo de ficha</t>
        </is>
      </c>
      <c r="D42" s="7" t="inlineStr">
        <is>
          <t>DT-06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t>
        </is>
      </c>
      <c r="E44" s="8" t="n"/>
      <c r="F44" s="8" t="n"/>
    </row>
    <row r="45">
      <c r="A45" s="6" t="inlineStr">
        <is>
          <t>Estaciones fotográficas georreferenciadas</t>
        </is>
      </c>
      <c r="B45" s="7" t="n">
        <v>35</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0.538144</v>
      </c>
      <c r="C15" s="17" t="inlineStr">
        <is>
          <t>—</t>
        </is>
      </c>
      <c r="D15" s="17" t="inlineStr">
        <is>
          <t>Vigor moderado · clase 0.4976 - 0.6139</t>
        </is>
      </c>
      <c r="E15" s="17" t="inlineStr">
        <is>
          <t>Sobre umbral</t>
        </is>
      </c>
    </row>
    <row r="17" ht="72" customHeight="1">
      <c r="A17" s="9" t="inlineStr">
        <is>
          <t>NOTA METODOLÓGICA. La media del MSAVI 2024 del bloque (0.538144)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67.59269999999999</v>
      </c>
      <c r="C21" s="19" t="n">
        <v>40.11</v>
      </c>
      <c r="D21" s="11" t="inlineStr">
        <is>
          <t>Dosel continuo, matorral denso o mosaico agroforestal</t>
        </is>
      </c>
      <c r="E21" s="11" t="inlineStr"/>
    </row>
    <row r="22">
      <c r="A22" s="14" t="inlineStr">
        <is>
          <t>Vegetación mediana</t>
        </is>
      </c>
      <c r="B22" s="20" t="n">
        <v>87.9057</v>
      </c>
      <c r="C22" s="21" t="n">
        <v>52.17</v>
      </c>
      <c r="D22" s="15" t="inlineStr">
        <is>
          <t>Pastizal cultivado, matorral ralo, parcelas agrícolas</t>
        </is>
      </c>
      <c r="E22" s="15" t="inlineStr"/>
    </row>
    <row r="23">
      <c r="A23" s="7" t="inlineStr">
        <is>
          <t>Vegetación ligera</t>
        </is>
      </c>
      <c r="B23" s="18" t="n">
        <v>12.7614</v>
      </c>
      <c r="C23" s="19" t="n">
        <v>7.57</v>
      </c>
      <c r="D23" s="11" t="inlineStr">
        <is>
          <t>Cobertura discontinua, suelo parcialmente expuesto</t>
        </is>
      </c>
      <c r="E23" s="11" t="inlineStr"/>
    </row>
    <row r="24">
      <c r="A24" s="14" t="inlineStr">
        <is>
          <t>Tierra desnuda</t>
        </is>
      </c>
      <c r="B24" s="20" t="n">
        <v>0.2388</v>
      </c>
      <c r="C24" s="21" t="n">
        <v>0.14</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168.41</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40.11 % del polígono clasificado como «Vegetación alta» por el NDVI 2025; la observación de campo corresponde a una parcela o recorrido puntual y no es estadísticamente representativa de las 168.410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606182</v>
      </c>
      <c r="D10" s="26" t="n">
        <v>9455199</v>
      </c>
      <c r="E10" s="11" t="n">
        <v>550.5</v>
      </c>
      <c r="F10" s="11" t="inlineStr"/>
      <c r="G10" s="11" t="inlineStr">
        <is>
          <t>Coordenada consignada en F-DT-01</t>
        </is>
      </c>
    </row>
    <row r="11">
      <c r="A11" s="14" t="inlineStr">
        <is>
          <t>C-01</t>
        </is>
      </c>
      <c r="B11" s="15" t="inlineStr">
        <is>
          <t>Rasgo erosivo — Cicatriz de suelo expuesto en talud</t>
        </is>
      </c>
      <c r="C11" s="27" t="n">
        <v>605992</v>
      </c>
      <c r="D11" s="27" t="n">
        <v>9455103</v>
      </c>
      <c r="E11" s="15" t="n">
        <v>392.8</v>
      </c>
      <c r="F11" s="15" t="inlineStr">
        <is>
          <t>Semi-activa</t>
        </is>
      </c>
      <c r="G11" s="15" t="inlineStr">
        <is>
          <t>Concentración natural de escorrentía</t>
        </is>
      </c>
    </row>
    <row r="12">
      <c r="A12" s="7" t="inlineStr">
        <is>
          <t>H-01</t>
        </is>
      </c>
      <c r="B12" s="11" t="inlineStr">
        <is>
          <t>Fuente de agua — Quebrada estacional</t>
        </is>
      </c>
      <c r="C12" s="26" t="n">
        <v>606300</v>
      </c>
      <c r="D12" s="26" t="n">
        <v>9455240</v>
      </c>
      <c r="E12" s="11" t="n">
        <v>664.6</v>
      </c>
      <c r="F12" s="11" t="inlineStr">
        <is>
          <t>Estacional (lluvias)</t>
        </is>
      </c>
      <c r="G12" s="11" t="inlineStr">
        <is>
          <t>Quebrada tributaria</t>
        </is>
      </c>
    </row>
    <row r="13">
      <c r="A13" s="14" t="inlineStr">
        <is>
          <t>H-02</t>
        </is>
      </c>
      <c r="B13" s="15" t="inlineStr">
        <is>
          <t>Fuente de agua — Río</t>
        </is>
      </c>
      <c r="C13" s="27" t="n">
        <v>607000</v>
      </c>
      <c r="D13" s="27" t="n">
        <v>9454800</v>
      </c>
      <c r="E13" s="15" t="n">
        <v>1442.4</v>
      </c>
      <c r="F13" s="15" t="inlineStr">
        <is>
          <t>Permanente</t>
        </is>
      </c>
      <c r="G13" s="15" t="inlineStr">
        <is>
          <t>Curso principal del sector</t>
        </is>
      </c>
    </row>
    <row r="14">
      <c r="A14" s="7" t="inlineStr">
        <is>
          <t>H-03</t>
        </is>
      </c>
      <c r="B14" s="11" t="inlineStr">
        <is>
          <t>Fuente de agua — Canal de riego</t>
        </is>
      </c>
      <c r="C14" s="26" t="n">
        <v>606131</v>
      </c>
      <c r="D14" s="26" t="n">
        <v>9455221</v>
      </c>
      <c r="E14" s="11" t="n">
        <v>497.3</v>
      </c>
      <c r="F14" s="11" t="inlineStr">
        <is>
          <t>Permanente</t>
        </is>
      </c>
      <c r="G14" s="11" t="inlineStr">
        <is>
          <t>Tubería/manguera de conducción</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605636</v>
      </c>
      <c r="C17" s="6" t="inlineStr">
        <is>
          <t>Centroide del bloque — UTM NORTE (m)</t>
        </is>
      </c>
      <c r="D17" s="7" t="n">
        <v>9455269</v>
      </c>
      <c r="E17" s="8" t="n"/>
      <c r="F17" s="8" t="n"/>
      <c r="G17" s="8" t="n"/>
      <c r="H17" s="8" t="n"/>
    </row>
    <row r="18">
      <c r="A18" s="6" t="inlineStr">
        <is>
          <t>N.° de estaciones fotográficas declaradas</t>
        </is>
      </c>
      <c r="B18" s="7" t="n">
        <v>35</v>
      </c>
      <c r="C18" s="6" t="inlineStr">
        <is>
          <t>Estaciones dentro del polígono</t>
        </is>
      </c>
      <c r="D18" s="7" t="inlineStr">
        <is>
          <t>Por determinar</t>
        </is>
      </c>
      <c r="E18" s="8" t="n"/>
      <c r="F18" s="8" t="n"/>
      <c r="G18" s="8" t="n"/>
      <c r="H18" s="8" t="n"/>
    </row>
    <row r="20" ht="9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app fotográfica no registró altitud GPS. Rango altitudinal del MDE; pendientes (media 51.1%, máx 74.5%) del perfil Google Earth. La pendiente máxima (74.5%) se aproxima al umbral de idoneidad del proyecto (75%). Forma de terreno, pendiente y exposición son juicio experto a escala de bloque.</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6</t>
        </is>
      </c>
    </row>
    <row r="6" ht="24" customHeight="1">
      <c r="A6" s="4" t="inlineStr">
        <is>
          <t>Distrito de Frias · Provincia de Ayabaca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6</t>
        </is>
      </c>
      <c r="B10" s="28" t="n">
        <v>168.41</v>
      </c>
      <c r="C10" s="29" t="n">
        <v>53.36</v>
      </c>
      <c r="D10" s="13" t="inlineStr">
        <is>
          <t>1398 – 2016</t>
        </is>
      </c>
      <c r="E10" s="13" t="n">
        <v>618</v>
      </c>
      <c r="F10" s="13" t="n">
        <v>33.74</v>
      </c>
      <c r="G10" s="30" t="n">
        <v>0.5381</v>
      </c>
      <c r="H10" s="29" t="n">
        <v>40.11</v>
      </c>
    </row>
    <row r="11">
      <c r="A11" s="14" t="inlineStr">
        <is>
          <t>M10B4</t>
        </is>
      </c>
      <c r="B11" s="31" t="n">
        <v>68.89</v>
      </c>
      <c r="C11" s="21" t="n">
        <v>21.83</v>
      </c>
      <c r="D11" s="15" t="inlineStr">
        <is>
          <t>170 – 313</t>
        </is>
      </c>
      <c r="E11" s="15" t="n">
        <v>143</v>
      </c>
      <c r="F11" s="15" t="n">
        <v>13.83</v>
      </c>
      <c r="G11" s="20" t="n">
        <v>0.3133</v>
      </c>
      <c r="H11" s="21" t="n">
        <v>0</v>
      </c>
    </row>
    <row r="12">
      <c r="A12" s="7" t="inlineStr">
        <is>
          <t>25</t>
        </is>
      </c>
      <c r="B12" s="32" t="n">
        <v>53.48</v>
      </c>
      <c r="C12" s="19" t="n">
        <v>16.94</v>
      </c>
      <c r="D12" s="11" t="inlineStr">
        <is>
          <t>143 – 210</t>
        </is>
      </c>
      <c r="E12" s="11" t="n">
        <v>67</v>
      </c>
      <c r="F12" s="11" t="n">
        <v>11.68</v>
      </c>
      <c r="G12" s="18" t="n">
        <v>0.2565</v>
      </c>
      <c r="H12" s="19" t="inlineStr">
        <is>
          <t>Por determinar</t>
        </is>
      </c>
    </row>
    <row r="13">
      <c r="A13" s="14" t="inlineStr">
        <is>
          <t>36</t>
        </is>
      </c>
      <c r="B13" s="31" t="n">
        <v>24.84</v>
      </c>
      <c r="C13" s="21" t="n">
        <v>7.87</v>
      </c>
      <c r="D13" s="15" t="inlineStr">
        <is>
          <t>1239 – 1476</t>
        </is>
      </c>
      <c r="E13" s="15" t="n">
        <v>237</v>
      </c>
      <c r="F13" s="15" t="n">
        <v>30.65</v>
      </c>
      <c r="G13" s="20" t="n">
        <v>0.5395</v>
      </c>
      <c r="H13" s="21" t="n">
        <v>49.11</v>
      </c>
    </row>
    <row r="14">
      <c r="A14" s="16" t="inlineStr">
        <is>
          <t>TOTAL / PROMEDIO</t>
        </is>
      </c>
      <c r="B14" s="33">
        <f>SUM(B10:B13)</f>
        <v/>
      </c>
      <c r="C14" s="23">
        <f>SUM(C10:C13)</f>
        <v/>
      </c>
      <c r="D14" s="17" t="inlineStr">
        <is>
          <t>143 – 2016</t>
        </is>
      </c>
      <c r="E14" s="17" t="inlineStr"/>
      <c r="F14" s="17">
        <f>ROUND(AVERAGE(F10:F13),2)</f>
        <v/>
      </c>
      <c r="G14" s="22">
        <f>ROUND(AVERAGE(G10:G13),4)</f>
        <v/>
      </c>
      <c r="H14" s="23">
        <f>ROUND(AVERAGE(H10:H13),2)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row>
    <row r="17" ht="84" customHeight="1">
      <c r="A17" s="9" t="inlineStr">
        <is>
          <t>LECTURA INTRAMICROCUENCA. El bloque 6 ocupa el puesto 1 de 4 por superficie dentro de la microcuenca C1096-Q9547 (53.36 % de las 315.62 ha preliminares de la microcuenca). Su pendiente promedio (33.74 %, clase «25-50% (Mod. escarpado)») es la 4.ª más baja de 4 y se sitúa por encima del promedio de la microcuenca (22.48 %). Su MSAVI 2024 (0.5381) es el 2.º de 4 y queda por encima del promedio local (0.4119). Amplitud altitudinal del bloque: 618 m (1398–2016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15:H15"/>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«C1096-Q9547»</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550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(168.499 ha) coincide con la de catálogo (168.41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33.74 %, que corresponde a la clase «25-50% (Mod. escarpado)»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(1398–2016 msnm) y la pendiente promedio (33.74 %) se toman de la estadística zonal sobre el MDE, no de medición de campo. Se declara la fuente.</t>
        </is>
      </c>
    </row>
    <row r="15" ht="48" customHeight="1">
      <c r="A15" s="36" t="inlineStr">
        <is>
          <t>D-06</t>
        </is>
      </c>
      <c r="B15" s="36" t="inlineStr">
        <is>
          <t>Dimensiones del inventario de cárcavas</t>
        </is>
      </c>
      <c r="C15" s="36" t="inlineStr">
        <is>
          <t>Se registran 1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13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«Guabal/Huabal (280 hab.); entorno: Nogal, Guanábano Alto, El Común de Pilán»; el cruce INEI-Bloques V5 identifica 3 centro(s) poblado(s) en el bloque: GUABAL, GUANABANO ALTO, NOGAL</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4 · NO SUSTANTIVA: 3 · SUSTANTIVA: 2</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 — IN Piura</dc:title>
  <dc:subject>Diagnóstico Territorial por bloque de intervención</dc:subject>
  <dcterms:created xsi:type="dcterms:W3CDTF">2026-09-08T03:39:56Z</dcterms:created>
  <dcterms:modified xsi:type="dcterms:W3CDTF">2026-09-08T03:39:56Z</dcterms:modified>
</cp:coreProperties>
</file>