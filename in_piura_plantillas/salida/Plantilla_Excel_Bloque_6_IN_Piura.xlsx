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t>
        </is>
      </c>
      <c r="C9" s="6" t="inlineStr">
        <is>
          <t>Microcuenca (catálogo)</t>
        </is>
      </c>
      <c r="D9" s="7" t="inlineStr">
        <is>
          <t>C1096-Q9547</t>
        </is>
      </c>
      <c r="E9" s="8" t="n"/>
      <c r="F9" s="8" t="n"/>
    </row>
    <row r="10">
      <c r="A10" s="6" t="inlineStr">
        <is>
          <t>Zona de planificación</t>
        </is>
      </c>
      <c r="B10" s="7" t="inlineStr">
        <is>
          <t>Z02</t>
        </is>
      </c>
      <c r="C10" s="6" t="inlineStr">
        <is>
          <t>Microcuenca declarada en ficha DT</t>
        </is>
      </c>
      <c r="D10" s="7" t="inlineStr">
        <is>
          <t>C1096-Q9547</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Guabal/Huabal (280 hab.); entorno: Nogal, Guanábano Alto, El Común de Pilán</t>
        </is>
      </c>
      <c r="C13" s="6" t="inlineStr">
        <is>
          <t>Comunidad campesina</t>
        </is>
      </c>
      <c r="D13" s="7" t="inlineStr">
        <is>
          <t>Por verificar</t>
        </is>
      </c>
      <c r="E13" s="8" t="n"/>
      <c r="F13" s="8" t="n"/>
    </row>
    <row r="14">
      <c r="A14" s="6" t="inlineStr">
        <is>
          <t>Superficie de catálogo (V5/V6), ha</t>
        </is>
      </c>
      <c r="B14" s="7" t="n">
        <v>168.41</v>
      </c>
      <c r="C14" s="6" t="inlineStr">
        <is>
          <t>Fuente de superficie</t>
        </is>
      </c>
      <c r="D14" s="7" t="inlineStr">
        <is>
          <t>Catálogo maestro Bloques V5/V6</t>
        </is>
      </c>
      <c r="E14" s="8" t="n"/>
      <c r="F14" s="8" t="n"/>
    </row>
    <row r="15">
      <c r="A15" s="6" t="inlineStr">
        <is>
          <t>Centroide UTM ESTE (m)</t>
        </is>
      </c>
      <c r="B15" s="7" t="n">
        <v>605636</v>
      </c>
      <c r="C15" s="6" t="inlineStr">
        <is>
          <t>Centroide UTM NORTE (m)</t>
        </is>
      </c>
      <c r="D15" s="7" t="n">
        <v>9455269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1398</v>
      </c>
      <c r="C19" s="6" t="inlineStr">
        <is>
          <t>Altitud máxima (msnm)</t>
        </is>
      </c>
      <c r="D19" s="7" t="n">
        <v>2016</v>
      </c>
      <c r="E19" s="8" t="n"/>
      <c r="F19" s="8" t="n"/>
    </row>
    <row r="20">
      <c r="A20" s="6" t="inlineStr">
        <is>
          <t>Amplitud altitudinal (m)</t>
        </is>
      </c>
      <c r="B20" s="7" t="n">
        <v>618</v>
      </c>
      <c r="C20" s="6" t="inlineStr">
        <is>
          <t>Piso altitudinal dominante</t>
        </is>
      </c>
      <c r="D20" s="7" t="inlineStr">
        <is>
          <t>1500-2000 m (Quechua media)</t>
        </is>
      </c>
      <c r="E20" s="8" t="n"/>
      <c r="F20" s="8" t="n"/>
    </row>
    <row r="21">
      <c r="A21" s="6" t="inlineStr">
        <is>
          <t>Pendiente promedio (%)</t>
        </is>
      </c>
      <c r="B21" s="7" t="n">
        <v>33.74</v>
      </c>
      <c r="C21" s="6" t="inlineStr">
        <is>
          <t>Pendiente promedio (grados)</t>
        </is>
      </c>
      <c r="D21" s="7" t="n">
        <v>18.6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0.5381</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35.31 % del bloque BAJO el umbral (59.466 ha de 168.410 ha)</t>
        </is>
      </c>
      <c r="C29" s="6" t="inlineStr">
        <is>
          <t>NDVI mediana 2025 — clase modal</t>
        </is>
      </c>
      <c r="D29" s="7" t="inlineStr">
        <is>
          <t>Vegetación mediana (52.17 %)</t>
        </is>
      </c>
      <c r="E29" s="8" t="n"/>
      <c r="F29" s="8" t="n"/>
    </row>
    <row r="30">
      <c r="A30" s="6" t="inlineStr">
        <is>
          <t>MSAVI 2024 — superficie BAJO el umbral 0.4976 (ha)</t>
        </is>
      </c>
      <c r="B30" s="7" t="n">
        <v>59.466</v>
      </c>
      <c r="C30" s="6" t="inlineStr">
        <is>
          <t>MSAVI 2024 — % del bloque BAJO el umbral</t>
        </is>
      </c>
      <c r="D30" s="7" t="n">
        <v>35.31</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(6.png)</t>
        </is>
      </c>
      <c r="E31" s="8" t="n"/>
      <c r="F31" s="8" t="n"/>
    </row>
    <row r="32" ht="18" customHeight="1">
      <c r="A32" s="6" t="inlineStr">
        <is>
          <t>Superficie clasificada NDVI 2025 (ha)</t>
        </is>
      </c>
      <c r="B32" s="7" t="n">
        <v>168.499</v>
      </c>
      <c r="C32" s="6" t="inlineStr">
        <is>
          <t>Desviación frente al catálogo (%)</t>
        </is>
      </c>
      <c r="D32" s="7" t="n">
        <v>0.05</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Zona agrícola 164.24 ha (97.5%) + Bes-cm 4.17 ha (2.5%); total 168.41 ha</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85</v>
      </c>
      <c r="E37" s="8" t="n"/>
      <c r="F37" s="8" t="n"/>
    </row>
    <row r="38">
      <c r="A38" s="6" t="inlineStr">
        <is>
          <t>Suelo desnudo — campo (%)</t>
        </is>
      </c>
      <c r="B38" s="7" t="n">
        <v>10</v>
      </c>
      <c r="C38" s="6" t="inlineStr">
        <is>
          <t>Regeneración natural</t>
        </is>
      </c>
      <c r="D38" s="7" t="inlineStr">
        <is>
          <t>Regular (10-50 pl./100m²)</t>
        </is>
      </c>
      <c r="E38" s="8" t="n"/>
      <c r="F38" s="8" t="n"/>
    </row>
    <row r="39">
      <c r="A39" s="6" t="inlineStr">
        <is>
          <t>Nivel general de erosión</t>
        </is>
      </c>
      <c r="B39" s="7" t="inlineStr">
        <is>
          <t>Ligera (laminar)</t>
        </is>
      </c>
      <c r="C39" s="6" t="inlineStr">
        <is>
          <t>N.° de cárcavas registradas</t>
        </is>
      </c>
      <c r="D39" s="7" t="n">
        <v>1</v>
      </c>
      <c r="E39" s="8" t="n"/>
      <c r="F39" s="8" t="n"/>
    </row>
    <row r="40" ht="18" customHeight="1">
      <c r="A40" s="6" t="inlineStr">
        <is>
          <t>Elenco florístico (n.° de taxones)</t>
        </is>
      </c>
      <c r="B40" s="7" t="n">
        <v>13</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(ANIN/DIME-SESDI)</t>
        </is>
      </c>
      <c r="C43" s="6" t="inlineStr">
        <is>
          <t>Fecha de evaluación</t>
        </is>
      </c>
      <c r="D43" s="7" t="inlineStr">
        <is>
          <t>2026-06-23</t>
        </is>
      </c>
      <c r="E43" s="8" t="n"/>
      <c r="F43" s="8" t="n"/>
    </row>
    <row r="44">
      <c r="A44" s="6" t="inlineStr">
        <is>
          <t>Hora de registro</t>
        </is>
      </c>
      <c r="B44" s="7" t="inlineStr">
        <is>
          <t>11:03-11:48 a.m.</t>
        </is>
      </c>
      <c r="C44" s="6" t="inlineStr">
        <is>
          <t>Correlativo de ficha</t>
        </is>
      </c>
      <c r="D44" s="7" t="inlineStr">
        <is>
          <t>DT-06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reconocimiento</t>
        </is>
      </c>
      <c r="E46" s="8" t="n"/>
      <c r="F46" s="8" t="n"/>
    </row>
    <row r="47" ht="18" customHeight="1">
      <c r="A47" s="6" t="inlineStr">
        <is>
          <t>Estaciones fotográficas georreferenciadas</t>
        </is>
      </c>
      <c r="B47" s="7" t="n">
        <v>35</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Presión agropecuaria de subsistencia sobre laderas de fuerte pendiente, sin prácticas de conservación de suelos.</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Baja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31.3748</v>
      </c>
      <c r="C10" s="19" t="n">
        <v>18.63</v>
      </c>
      <c r="D10" s="11" t="inlineStr">
        <is>
          <t>Vigor alto</t>
        </is>
      </c>
      <c r="E10" s="11" t="inlineStr">
        <is>
          <t>Sobre umbral</t>
        </is>
      </c>
    </row>
    <row r="11">
      <c r="A11" s="12" t="inlineStr">
        <is>
          <t>0.4976 - 0.6139</t>
        </is>
      </c>
      <c r="B11" s="30" t="n">
        <v>77.56959999999999</v>
      </c>
      <c r="C11" s="29" t="n">
        <v>46.06</v>
      </c>
      <c r="D11" s="13" t="inlineStr">
        <is>
          <t>Vigor moderado</t>
        </is>
      </c>
      <c r="E11" s="13" t="inlineStr">
        <is>
          <t>Sobre umbral</t>
        </is>
      </c>
    </row>
    <row r="12">
      <c r="A12" s="7" t="inlineStr">
        <is>
          <t>0.3813 - 0.4976</t>
        </is>
      </c>
      <c r="B12" s="18" t="n">
        <v>55.2553</v>
      </c>
      <c r="C12" s="19" t="n">
        <v>32.81</v>
      </c>
      <c r="D12" s="11" t="inlineStr">
        <is>
          <t>Vigor bajo</t>
        </is>
      </c>
      <c r="E12" s="11" t="inlineStr">
        <is>
          <t>BAJO umbral 0.4976</t>
        </is>
      </c>
    </row>
    <row r="13">
      <c r="A13" s="14" t="inlineStr">
        <is>
          <t>0.2650 - 0.3813</t>
        </is>
      </c>
      <c r="B13" s="20" t="n">
        <v>4.1429</v>
      </c>
      <c r="C13" s="21" t="n">
        <v>2.46</v>
      </c>
      <c r="D13" s="15" t="inlineStr">
        <is>
          <t>Vigor muy bajo</t>
        </is>
      </c>
      <c r="E13" s="15" t="inlineStr">
        <is>
          <t>BAJO umbral 0.4976</t>
        </is>
      </c>
    </row>
    <row r="14">
      <c r="A14" s="7" t="inlineStr">
        <is>
          <t>&lt;= 0.2650</t>
        </is>
      </c>
      <c r="B14" s="18" t="n">
        <v>0.0674</v>
      </c>
      <c r="C14" s="19" t="n">
        <v>0.04</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0.538144</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67.59269999999999</v>
      </c>
      <c r="C22" s="19" t="n">
        <v>40.11</v>
      </c>
      <c r="D22" s="11" t="inlineStr">
        <is>
          <t>Dosel continuo, matorral denso o mosaico agroforestal</t>
        </is>
      </c>
      <c r="E22" s="11" t="inlineStr"/>
    </row>
    <row r="23">
      <c r="A23" s="14" t="inlineStr">
        <is>
          <t>Vegetación mediana</t>
        </is>
      </c>
      <c r="B23" s="20" t="n">
        <v>87.9057</v>
      </c>
      <c r="C23" s="21" t="n">
        <v>52.17</v>
      </c>
      <c r="D23" s="15" t="inlineStr">
        <is>
          <t>Pastizal cultivado, matorral ralo, parcelas agrícolas</t>
        </is>
      </c>
      <c r="E23" s="15" t="inlineStr"/>
    </row>
    <row r="24">
      <c r="A24" s="7" t="inlineStr">
        <is>
          <t>Vegetación ligera</t>
        </is>
      </c>
      <c r="B24" s="18" t="n">
        <v>12.7614</v>
      </c>
      <c r="C24" s="19" t="n">
        <v>7.57</v>
      </c>
      <c r="D24" s="11" t="inlineStr">
        <is>
          <t>Cobertura discontinua, suelo parcialmente expuesto</t>
        </is>
      </c>
      <c r="E24" s="11" t="inlineStr"/>
    </row>
    <row r="25">
      <c r="A25" s="14" t="inlineStr">
        <is>
          <t>Tierra desnuda</t>
        </is>
      </c>
      <c r="B25" s="20" t="n">
        <v>0.2388</v>
      </c>
      <c r="C25" s="21" t="n">
        <v>0.14</v>
      </c>
      <c r="D25" s="15" t="inlineStr">
        <is>
          <t>Suelo desnudo, afloramientos, plataformas y taludes</t>
        </is>
      </c>
      <c r="E25" s="15" t="inlineStr"/>
    </row>
    <row r="26">
      <c r="A26" s="16" t="inlineStr">
        <is>
          <t>TOTAL CLASIFICADO</t>
        </is>
      </c>
      <c r="B26" s="22">
        <f>SUM(B21:B24)</f>
        <v/>
      </c>
      <c r="C26" s="23">
        <f>SUM(C21:C24)</f>
        <v/>
      </c>
      <c r="D26" s="17" t="inlineStr"/>
      <c r="E26" s="17" t="inlineStr"/>
    </row>
    <row r="27">
      <c r="A27" s="24" t="inlineStr">
        <is>
          <t>Superficie de catálogo (V5/V6)</t>
        </is>
      </c>
      <c r="B27" s="25" t="n">
        <v>168.41</v>
      </c>
      <c r="C27" s="25" t="inlineStr">
        <is>
          <t>—</t>
        </is>
      </c>
      <c r="D27" s="25" t="inlineStr">
        <is>
          <t>Desviación planimétrica frente al catálogo</t>
        </is>
      </c>
      <c r="E27" s="25" t="inlineStr">
        <is>
          <t>+0.05 %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40.11 % del polígono clasificado como «Vegetación alta» por el NDVI 2025; la observación de campo corresponde a una parcela o recorrido puntual y no es estadísticamente representativa de las 168.410 ha del bloque.</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606182</v>
      </c>
      <c r="D10" s="26" t="n">
        <v>9455199</v>
      </c>
      <c r="E10" s="11" t="n">
        <v>550.5</v>
      </c>
      <c r="F10" s="11" t="inlineStr"/>
      <c r="G10" s="11" t="inlineStr">
        <is>
          <t>Coordenada consignada en F-DT-01</t>
        </is>
      </c>
    </row>
    <row r="11">
      <c r="A11" s="14" t="inlineStr">
        <is>
          <t>C-01</t>
        </is>
      </c>
      <c r="B11" s="15" t="inlineStr">
        <is>
          <t>Rasgo erosivo — Cicatriz de suelo expuesto en talud</t>
        </is>
      </c>
      <c r="C11" s="27" t="n">
        <v>605992</v>
      </c>
      <c r="D11" s="27" t="n">
        <v>9455103</v>
      </c>
      <c r="E11" s="15" t="n">
        <v>392.8</v>
      </c>
      <c r="F11" s="15" t="inlineStr">
        <is>
          <t>Semi-activa</t>
        </is>
      </c>
      <c r="G11" s="15" t="inlineStr">
        <is>
          <t>Concentración natural de escorrentía</t>
        </is>
      </c>
    </row>
    <row r="12">
      <c r="A12" s="7" t="inlineStr">
        <is>
          <t>H-01</t>
        </is>
      </c>
      <c r="B12" s="11" t="inlineStr">
        <is>
          <t>Fuente de agua — Quebrada estacional</t>
        </is>
      </c>
      <c r="C12" s="26" t="n">
        <v>606300</v>
      </c>
      <c r="D12" s="26" t="n">
        <v>9455240</v>
      </c>
      <c r="E12" s="11" t="n">
        <v>664.6</v>
      </c>
      <c r="F12" s="11" t="inlineStr">
        <is>
          <t>Estacional (lluvias)</t>
        </is>
      </c>
      <c r="G12" s="11" t="inlineStr">
        <is>
          <t>Quebrada tributaria</t>
        </is>
      </c>
    </row>
    <row r="13">
      <c r="A13" s="14" t="inlineStr">
        <is>
          <t>H-02</t>
        </is>
      </c>
      <c r="B13" s="15" t="inlineStr">
        <is>
          <t>Fuente de agua — Río</t>
        </is>
      </c>
      <c r="C13" s="27" t="n">
        <v>607000</v>
      </c>
      <c r="D13" s="27" t="n">
        <v>9454800</v>
      </c>
      <c r="E13" s="15" t="n">
        <v>1442.4</v>
      </c>
      <c r="F13" s="15" t="inlineStr">
        <is>
          <t>Permanente</t>
        </is>
      </c>
      <c r="G13" s="15" t="inlineStr">
        <is>
          <t>Curso principal del sector</t>
        </is>
      </c>
    </row>
    <row r="14">
      <c r="A14" s="7" t="inlineStr">
        <is>
          <t>H-03</t>
        </is>
      </c>
      <c r="B14" s="11" t="inlineStr">
        <is>
          <t>Fuente de agua — Canal de riego</t>
        </is>
      </c>
      <c r="C14" s="26" t="n">
        <v>606131</v>
      </c>
      <c r="D14" s="26" t="n">
        <v>9455221</v>
      </c>
      <c r="E14" s="11" t="n">
        <v>497.3</v>
      </c>
      <c r="F14" s="11" t="inlineStr">
        <is>
          <t>Permanente</t>
        </is>
      </c>
      <c r="G14" s="11" t="inlineStr">
        <is>
          <t>Tubería/manguera de conducción</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605636</v>
      </c>
      <c r="C17" s="6" t="inlineStr">
        <is>
          <t>Centroide del bloque — UTM NORTE (m)</t>
        </is>
      </c>
      <c r="D17" s="7" t="n">
        <v>9455269</v>
      </c>
      <c r="E17" s="8" t="n"/>
      <c r="F17" s="8" t="n"/>
      <c r="G17" s="8" t="n"/>
      <c r="H17" s="8" t="n"/>
    </row>
    <row r="18">
      <c r="A18" s="6" t="inlineStr">
        <is>
          <t>N.° de estaciones fotográficas declaradas</t>
        </is>
      </c>
      <c r="B18" s="7" t="n">
        <v>35</v>
      </c>
      <c r="C18" s="6" t="inlineStr">
        <is>
          <t>Estaciones dentro del polígono</t>
        </is>
      </c>
      <c r="D18" s="7" t="inlineStr">
        <is>
          <t>Por determinar</t>
        </is>
      </c>
      <c r="E18" s="8" t="n"/>
      <c r="F18" s="8" t="n"/>
      <c r="G18" s="8" t="n"/>
      <c r="H18" s="8" t="n"/>
    </row>
    <row r="20" ht="96"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 app fotográfica no registró altitud GPS. Rango altitudinal del MDE; pendientes (media 51.1%, máx 74.5%) del perfil Google Earth. La pendiente máxima (74.5%) se aproxima al umbral de idoneidad del proyecto (75%). Forma de terreno, pendiente y exposición son juicio experto a escala de bloque.</t>
        </is>
      </c>
      <c r="B20" s="38" t="n"/>
      <c r="C20" s="38" t="n"/>
      <c r="D20" s="38" t="n"/>
      <c r="E20" s="38" t="n"/>
      <c r="F20" s="38" t="n"/>
      <c r="G20" s="39"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6</t>
        </is>
      </c>
    </row>
    <row r="6" ht="24" customHeight="1">
      <c r="A6" s="4" t="inlineStr">
        <is>
          <t>Distrito de Frias · Provincia de Ayabaca · Comparación de los bloques preliminares de intervención de la misma microcuenca</t>
        </is>
      </c>
    </row>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6</t>
        </is>
      </c>
      <c r="B10" s="28" t="n">
        <v>168.41</v>
      </c>
      <c r="C10" s="29" t="n">
        <v>53.36</v>
      </c>
      <c r="D10" s="13" t="inlineStr">
        <is>
          <t>1398 – 2016</t>
        </is>
      </c>
      <c r="E10" s="13" t="n">
        <v>618</v>
      </c>
      <c r="F10" s="13" t="n">
        <v>33.74</v>
      </c>
      <c r="G10" s="30" t="n">
        <v>0.5381</v>
      </c>
      <c r="H10" s="29" t="n">
        <v>40.11</v>
      </c>
    </row>
    <row r="11">
      <c r="A11" s="14" t="inlineStr">
        <is>
          <t>M10B4</t>
        </is>
      </c>
      <c r="B11" s="31" t="n">
        <v>68.89</v>
      </c>
      <c r="C11" s="21" t="n">
        <v>21.83</v>
      </c>
      <c r="D11" s="15" t="inlineStr">
        <is>
          <t>170 – 313</t>
        </is>
      </c>
      <c r="E11" s="15" t="n">
        <v>143</v>
      </c>
      <c r="F11" s="15" t="n">
        <v>13.83</v>
      </c>
      <c r="G11" s="20" t="n">
        <v>0.3133</v>
      </c>
      <c r="H11" s="21" t="n">
        <v>0</v>
      </c>
    </row>
    <row r="12">
      <c r="A12" s="7" t="inlineStr">
        <is>
          <t>25</t>
        </is>
      </c>
      <c r="B12" s="32" t="n">
        <v>53.48</v>
      </c>
      <c r="C12" s="19" t="n">
        <v>16.94</v>
      </c>
      <c r="D12" s="11" t="inlineStr">
        <is>
          <t>143 – 210</t>
        </is>
      </c>
      <c r="E12" s="11" t="n">
        <v>67</v>
      </c>
      <c r="F12" s="11" t="n">
        <v>11.68</v>
      </c>
      <c r="G12" s="18" t="n">
        <v>0.2565</v>
      </c>
      <c r="H12" s="19" t="inlineStr">
        <is>
          <t>Por determinar</t>
        </is>
      </c>
    </row>
    <row r="13">
      <c r="A13" s="14" t="inlineStr">
        <is>
          <t>36</t>
        </is>
      </c>
      <c r="B13" s="31" t="n">
        <v>24.84</v>
      </c>
      <c r="C13" s="21" t="n">
        <v>7.87</v>
      </c>
      <c r="D13" s="15" t="inlineStr">
        <is>
          <t>1239 – 1476</t>
        </is>
      </c>
      <c r="E13" s="15" t="n">
        <v>237</v>
      </c>
      <c r="F13" s="15" t="n">
        <v>30.65</v>
      </c>
      <c r="G13" s="20" t="n">
        <v>0.5395</v>
      </c>
      <c r="H13" s="21" t="n">
        <v>49.11</v>
      </c>
    </row>
    <row r="14">
      <c r="A14" s="16" t="inlineStr">
        <is>
          <t>TOTAL / PROMEDIO</t>
        </is>
      </c>
      <c r="B14" s="33">
        <f>SUM(B10:B13)</f>
        <v/>
      </c>
      <c r="C14" s="23">
        <f>SUM(C10:C13)</f>
        <v/>
      </c>
      <c r="D14" s="17" t="inlineStr">
        <is>
          <t>143 – 2016</t>
        </is>
      </c>
      <c r="E14" s="17" t="inlineStr"/>
      <c r="F14" s="17">
        <f>ROUND(AVERAGE(F10:F13),2)</f>
        <v/>
      </c>
      <c r="G14" s="22">
        <f>ROUND(AVERAGE(G10:G13),4)</f>
        <v/>
      </c>
      <c r="H14" s="23">
        <f>ROUND(AVERAGE(H10:H13),2)</f>
        <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38" t="n"/>
      <c r="C15" s="38" t="n"/>
      <c r="D15" s="38" t="n"/>
      <c r="E15" s="38" t="n"/>
      <c r="F15" s="38" t="n"/>
      <c r="G15" s="38" t="n"/>
      <c r="H15" s="39" t="n"/>
    </row>
    <row r="17" ht="84" customHeight="1">
      <c r="A17" s="9" t="inlineStr">
        <is>
          <t>LECTURA INTRAMICROCUENCA. El bloque 6 ocupa el puesto 1 de 4 por superficie dentro de la microcuenca C1096-Q9547 (53.36 % de las 315.62 ha preliminares de la microcuenca). Su pendiente promedio (33.74 %, clase «25-50% (Mod. escarpado)») es la 4.ª más baja de 4 y se sitúa por encima del promedio de la microcuenca (22.48 %). Su MSAVI 2024 (0.5381) es el 2.º de 4 y queda por encima del promedio local (0.4119). Amplitud altitudinal del bloque: 618 m (1398–2016 msnm). El cuadro conserva todos los bloques catalogados en la microcuenca, incluidos los descartados en el tamizaje, para referencia del conjunto. Los bloques sin ficha DT figuran con sus parámetros de gabinete.</t>
        </is>
      </c>
      <c r="B17" s="38" t="n"/>
      <c r="C17" s="38" t="n"/>
      <c r="D17" s="38" t="n"/>
      <c r="E17" s="38" t="n"/>
      <c r="F17" s="38" t="n"/>
      <c r="G17" s="38" t="n"/>
      <c r="H17" s="39"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9" s="38" t="n"/>
      <c r="C19" s="38" t="n"/>
      <c r="D19" s="38" t="n"/>
      <c r="E19" s="38" t="n"/>
      <c r="F19" s="38" t="n"/>
      <c r="G19" s="38" t="n"/>
      <c r="H19" s="39" t="n"/>
    </row>
  </sheetData>
  <mergeCells count="10">
    <mergeCell ref="A1:H1"/>
    <mergeCell ref="A4:H4"/>
    <mergeCell ref="A3:H3"/>
    <mergeCell ref="A15:H15"/>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«C1096-Q9547»</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550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(168.499 ha) coincide con la de catálogo (168.41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33.74 %, que corresponde a la clase «25-50% (Mod. escarpado)»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(1398–2016 msnm) y la pendiente promedio (33.74 %) se toman de la estadística zonal sobre el MDE, no de medición de campo. Se declara la fuente.</t>
        </is>
      </c>
    </row>
    <row r="15" ht="48" customHeight="1">
      <c r="A15" s="36" t="inlineStr">
        <is>
          <t>D-06</t>
        </is>
      </c>
      <c r="B15" s="36" t="inlineStr">
        <is>
          <t>Dimensiones del inventario de cárcavas</t>
        </is>
      </c>
      <c r="C15" s="36" t="inlineStr">
        <is>
          <t>Se registran 1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13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«Guabal/Huabal (280 hab.); entorno: Nogal, Guanábano Alto, El Común de Pilán»; el cruce INEI-Bloques V5 identifica 3 centro(s) poblado(s) en el bloque: GUABAL, GUANABANO ALTO, NOGAL</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c r="A19" s="34" t="inlineStr">
        <is>
          <t>D-10</t>
        </is>
      </c>
      <c r="B19" s="34" t="inlineStr">
        <is>
          <t>Distribución areal de clases MSAVI 2024</t>
        </is>
      </c>
      <c r="C19" s="34" t="inlineStr">
        <is>
          <t>La hoja «Cobertura MSAVI-NDVI» consignaba «Por determinar» en la distribución areal de clases MSAVI 2024; se incorpora el metrado por clase medido sobre la cartografía temática MSAVI 2024 del bloque: 35.31 % del bloque (59.466 ha) bajo el umbral 0.4976 y 64.69 % sobre el umbral; clase areal dominante «Vigor moderado».</t>
        </is>
      </c>
      <c r="D19" s="37" t="inlineStr">
        <is>
          <t>CORREGIDO</t>
        </is>
      </c>
      <c r="E19"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0"/>
    <row r="21">
      <c r="A21" s="16" t="inlineStr">
        <is>
          <t>RESUMEN</t>
        </is>
      </c>
      <c r="B21" s="17" t="inlineStr">
        <is>
          <t>10 verificaciones</t>
        </is>
      </c>
      <c r="C21" s="17" t="inlineStr">
        <is>
          <t>CONFORME: 4 · NO SUSTANTIVA: 3 · SUSTANTIVA: 2 · CORREGIDO: 1</t>
        </is>
      </c>
      <c r="D21" s="17" t="inlineStr"/>
      <c r="E21" s="17" t="inlineStr"/>
    </row>
    <row r="22" ht="60" customHeight="1"/>
    <row r="23">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38" t="n"/>
      <c r="C23" s="38" t="n"/>
      <c r="D23" s="38" t="n"/>
      <c r="E23" s="39"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 — IN Piura</dc:title>
  <dc:subject>Diagnóstico Territorial por bloque de intervención</dc:subject>
  <dcterms:created xsi:type="dcterms:W3CDTF">2026-09-08T03:39:56Z</dcterms:created>
  <dcterms:modified xsi:type="dcterms:W3CDTF">2026-09-09T14:49:43Z</dcterms:modified>
</cp:coreProperties>
</file>