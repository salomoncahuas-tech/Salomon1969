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2">
    <border>
      <left/>
      <right/>
      <top/>
      <bottom/>
      <diagonal/>
    </border>
    <border>
      <left style="thin">
        <color rgb="009C9C9C"/>
      </left>
      <right style="thin">
        <color rgb="009C9C9C"/>
      </right>
      <top style="thin">
        <color rgb="009C9C9C"/>
      </top>
      <bottom style="thin">
        <color rgb="009C9C9C"/>
      </bottom>
    </border>
  </borders>
  <cellStyleXfs count="1">
    <xf numFmtId="0" fontId="0" fillId="0" borderId="0"/>
  </cellStyleXfs>
  <cellXfs count="38">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4"/>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6</t>
        </is>
      </c>
    </row>
    <row r="6" ht="24" customHeight="1">
      <c r="A6" s="4" t="inlineStr">
        <is>
          <t>Diagnóstico Territorial — Plantilla DT Campo Check Validada V5 | Sistema de referencia: UTM WGS 84 Zona 17S (EPSG:32717)</t>
        </is>
      </c>
    </row>
    <row r="8" ht="18" customHeight="1">
      <c r="A8" s="5" t="inlineStr">
        <is>
          <t>1. IDENTIFICACIÓN Y LOCALIZACIÓN</t>
        </is>
      </c>
    </row>
    <row r="9">
      <c r="A9" s="6" t="inlineStr">
        <is>
          <t>Código del bloque</t>
        </is>
      </c>
      <c r="B9" s="7" t="inlineStr">
        <is>
          <t>6</t>
        </is>
      </c>
      <c r="C9" s="6" t="inlineStr">
        <is>
          <t>Microcuenca (catálogo)</t>
        </is>
      </c>
      <c r="D9" s="7" t="inlineStr">
        <is>
          <t>C1096-Q9547</t>
        </is>
      </c>
      <c r="E9" s="8" t="n"/>
      <c r="F9" s="8" t="n"/>
    </row>
    <row r="10">
      <c r="A10" s="6" t="inlineStr">
        <is>
          <t>Zona de planificación</t>
        </is>
      </c>
      <c r="B10" s="7" t="inlineStr">
        <is>
          <t>Z02</t>
        </is>
      </c>
      <c r="C10" s="6" t="inlineStr">
        <is>
          <t>Microcuenca declarada en ficha DT</t>
        </is>
      </c>
      <c r="D10" s="7" t="inlineStr">
        <is>
          <t>C1096-Q9547</t>
        </is>
      </c>
      <c r="E10" s="8" t="n"/>
      <c r="F10" s="8" t="n"/>
    </row>
    <row r="11">
      <c r="A11" s="6" t="inlineStr">
        <is>
          <t>Departamento</t>
        </is>
      </c>
      <c r="B11" s="7" t="inlineStr">
        <is>
          <t>Piura</t>
        </is>
      </c>
      <c r="C11" s="6" t="inlineStr">
        <is>
          <t>Provincia</t>
        </is>
      </c>
      <c r="D11" s="7" t="inlineStr">
        <is>
          <t>Ayabaca</t>
        </is>
      </c>
      <c r="E11" s="8" t="n"/>
      <c r="F11" s="8" t="n"/>
    </row>
    <row r="12">
      <c r="A12" s="6" t="inlineStr">
        <is>
          <t>Distrito</t>
        </is>
      </c>
      <c r="B12" s="7" t="inlineStr">
        <is>
          <t>Frias</t>
        </is>
      </c>
      <c r="C12" s="6" t="inlineStr">
        <is>
          <t>Capital distrital</t>
        </is>
      </c>
      <c r="D12" s="7" t="inlineStr">
        <is>
          <t>Frias</t>
        </is>
      </c>
      <c r="E12" s="8" t="n"/>
      <c r="F12" s="8" t="n"/>
    </row>
    <row r="13">
      <c r="A13" s="6" t="inlineStr">
        <is>
          <t>Centro poblado asociado</t>
        </is>
      </c>
      <c r="B13" s="7" t="inlineStr">
        <is>
          <t>Guabal/Huabal (280 hab.); entorno: Nogal, Guanábano Alto, El Común de Pilán</t>
        </is>
      </c>
      <c r="C13" s="6" t="inlineStr">
        <is>
          <t>Comunidad campesina</t>
        </is>
      </c>
      <c r="D13" s="7" t="inlineStr">
        <is>
          <t>Por verificar</t>
        </is>
      </c>
      <c r="E13" s="8" t="n"/>
      <c r="F13" s="8" t="n"/>
    </row>
    <row r="14">
      <c r="A14" s="6" t="inlineStr">
        <is>
          <t>Superficie de catálogo (V5/V6), ha</t>
        </is>
      </c>
      <c r="B14" s="7" t="n">
        <v>168.41</v>
      </c>
      <c r="C14" s="6" t="inlineStr">
        <is>
          <t>Fuente de superficie</t>
        </is>
      </c>
      <c r="D14" s="7" t="inlineStr">
        <is>
          <t>Catálogo maestro Bloques V5/V6</t>
        </is>
      </c>
      <c r="E14" s="8" t="n"/>
      <c r="F14" s="8" t="n"/>
    </row>
    <row r="15">
      <c r="A15" s="6" t="inlineStr">
        <is>
          <t>Centroide UTM ESTE (m)</t>
        </is>
      </c>
      <c r="B15" s="7" t="n">
        <v>605636</v>
      </c>
      <c r="C15" s="6" t="inlineStr">
        <is>
          <t>Centroide UTM NORTE (m)</t>
        </is>
      </c>
      <c r="D15" s="7" t="n">
        <v>9455269</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8" ht="18" customHeight="1">
      <c r="A18" s="5" t="inlineStr">
        <is>
          <t>2. PARÁMETROS FÍSICOS (ESTADÍSTICA ZONAL SOBRE MDE)</t>
        </is>
      </c>
    </row>
    <row r="19">
      <c r="A19" s="6" t="inlineStr">
        <is>
          <t>Altitud mínima (msnm)</t>
        </is>
      </c>
      <c r="B19" s="7" t="n">
        <v>1398</v>
      </c>
      <c r="C19" s="6" t="inlineStr">
        <is>
          <t>Altitud máxima (msnm)</t>
        </is>
      </c>
      <c r="D19" s="7" t="n">
        <v>2016</v>
      </c>
      <c r="E19" s="8" t="n"/>
      <c r="F19" s="8" t="n"/>
    </row>
    <row r="20">
      <c r="A20" s="6" t="inlineStr">
        <is>
          <t>Amplitud altitudinal (m)</t>
        </is>
      </c>
      <c r="B20" s="7" t="n">
        <v>618</v>
      </c>
      <c r="C20" s="6" t="inlineStr">
        <is>
          <t>Piso altitudinal dominante</t>
        </is>
      </c>
      <c r="D20" s="7" t="inlineStr">
        <is>
          <t>1500-2000 m (Quechua media)</t>
        </is>
      </c>
      <c r="E20" s="8" t="n"/>
      <c r="F20" s="8" t="n"/>
    </row>
    <row r="21">
      <c r="A21" s="6" t="inlineStr">
        <is>
          <t>Pendiente promedio (%)</t>
        </is>
      </c>
      <c r="B21" s="7" t="n">
        <v>33.74</v>
      </c>
      <c r="C21" s="6" t="inlineStr">
        <is>
          <t>Pendiente promedio (grados)</t>
        </is>
      </c>
      <c r="D21" s="7" t="n">
        <v>18.6</v>
      </c>
      <c r="E21" s="8" t="n"/>
      <c r="F21" s="8" t="n"/>
    </row>
    <row r="22">
      <c r="A22" s="6" t="inlineStr">
        <is>
          <t>Clase de pendiente equivalente</t>
        </is>
      </c>
      <c r="B22" s="7" t="inlineStr">
        <is>
          <t>25-50% (Mod. escarpado)</t>
        </is>
      </c>
      <c r="C22" s="6" t="inlineStr">
        <is>
          <t>Rango de pendiente declarado en campo</t>
        </is>
      </c>
      <c r="D22" s="7" t="inlineStr">
        <is>
          <t>50-75%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Sureste</t>
        </is>
      </c>
      <c r="C24" s="6" t="inlineStr">
        <is>
          <t>Afloramientos rocosos</t>
        </is>
      </c>
      <c r="D24" s="7" t="inlineStr">
        <is>
          <t>Sí</t>
        </is>
      </c>
      <c r="E24" s="8" t="n"/>
      <c r="F24" s="8" t="n"/>
    </row>
    <row r="25">
      <c r="A25" s="6" t="inlineStr">
        <is>
          <t>Escarpes activos</t>
        </is>
      </c>
      <c r="B25" s="7" t="inlineStr">
        <is>
          <t>No</t>
        </is>
      </c>
      <c r="C25" s="6" t="inlineStr">
        <is>
          <t>Remociones en masa activas</t>
        </is>
      </c>
      <c r="D25" s="7" t="inlineStr">
        <is>
          <t>No</t>
        </is>
      </c>
      <c r="E25" s="8" t="n"/>
      <c r="F25" s="8" t="n"/>
    </row>
    <row r="27" ht="18" customHeight="1">
      <c r="A27" s="5" t="inlineStr">
        <is>
          <t>3. ÍNDICES DE VEGETACIÓN (SENTINEL-2)</t>
        </is>
      </c>
    </row>
    <row r="28">
      <c r="A28" s="6" t="inlineStr">
        <is>
          <t>MSAVI 2024 — media del bloque</t>
        </is>
      </c>
      <c r="B28" s="7" t="n">
        <v>0.5381</v>
      </c>
      <c r="C28" s="6" t="inlineStr">
        <is>
          <t>MSAVI 2024 — clase de la media</t>
        </is>
      </c>
      <c r="D28" s="7" t="inlineStr">
        <is>
          <t>0.4976 - 0.6139 (Vigor moderado)</t>
        </is>
      </c>
      <c r="E28" s="8" t="n"/>
      <c r="F28" s="8" t="n"/>
    </row>
    <row r="29">
      <c r="A29" s="6" t="inlineStr">
        <is>
          <t>Condición frente al umbral 0.4976</t>
        </is>
      </c>
      <c r="B29" s="7" t="inlineStr">
        <is>
          <t>Sobre umbral</t>
        </is>
      </c>
      <c r="C29" s="6" t="inlineStr">
        <is>
          <t>NDVI mediana 2025 — clase modal</t>
        </is>
      </c>
      <c r="D29" s="7" t="inlineStr">
        <is>
          <t>Vegetación mediana (52.17 %)</t>
        </is>
      </c>
      <c r="E29" s="8" t="n"/>
      <c r="F29" s="8" t="n"/>
    </row>
    <row r="30">
      <c r="A30" s="6" t="inlineStr">
        <is>
          <t>Superficie clasificada NDVI 2025 (ha)</t>
        </is>
      </c>
      <c r="B30" s="7" t="n">
        <v>168.499</v>
      </c>
      <c r="C30" s="6" t="inlineStr">
        <is>
          <t>Desviación frente al catálogo (%)</t>
        </is>
      </c>
      <c r="D30" s="7" t="n">
        <v>0.05</v>
      </c>
      <c r="E30" s="8" t="n"/>
      <c r="F30" s="8" t="n"/>
    </row>
    <row r="32" ht="18" customHeight="1">
      <c r="A32" s="5" t="inlineStr">
        <is>
          <t>4. ECOSISTEMA Y ESTADO DE CONSERVACIÓN</t>
        </is>
      </c>
    </row>
    <row r="33">
      <c r="A33" s="6" t="inlineStr">
        <is>
          <t>Tipo de ecosistema (UP)</t>
        </is>
      </c>
      <c r="B33" s="7" t="inlineStr">
        <is>
          <t>Agroecosistema / Mosaico</t>
        </is>
      </c>
      <c r="C33" s="6" t="inlineStr">
        <is>
          <t>Superficie de ecosistema (ha)</t>
        </is>
      </c>
      <c r="D33" s="7" t="inlineStr">
        <is>
          <t>Zona agrícola 164.24 ha (97.5%) + Bes-cm 4.17 ha (2.5%); total 168.41 ha</t>
        </is>
      </c>
      <c r="E33" s="8" t="n"/>
      <c r="F33" s="8" t="n"/>
    </row>
    <row r="34">
      <c r="A34" s="6" t="inlineStr">
        <is>
          <t>Estado de conservación</t>
        </is>
      </c>
      <c r="B34" s="7" t="inlineStr">
        <is>
          <t>Medianamente alterado</t>
        </is>
      </c>
      <c r="C34" s="6" t="inlineStr">
        <is>
          <t>Uso actual dominante del suelo</t>
        </is>
      </c>
      <c r="D34" s="7" t="inlineStr">
        <is>
          <t>Uso mixto</t>
        </is>
      </c>
      <c r="E34" s="8" t="n"/>
      <c r="F34" s="8" t="n"/>
    </row>
    <row r="35">
      <c r="A35" s="6" t="inlineStr">
        <is>
          <t>Tipo de cobertura dominante</t>
        </is>
      </c>
      <c r="B35" s="7" t="inlineStr">
        <is>
          <t>Mixto / Mosaico</t>
        </is>
      </c>
      <c r="C35" s="6" t="inlineStr">
        <is>
          <t>Cobertura vegetal total — campo (%)</t>
        </is>
      </c>
      <c r="D35" s="7" t="n">
        <v>85</v>
      </c>
      <c r="E35" s="8" t="n"/>
      <c r="F35" s="8" t="n"/>
    </row>
    <row r="36">
      <c r="A36" s="6" t="inlineStr">
        <is>
          <t>Suelo desnudo — campo (%)</t>
        </is>
      </c>
      <c r="B36" s="7" t="n">
        <v>10</v>
      </c>
      <c r="C36" s="6" t="inlineStr">
        <is>
          <t>Regeneración natural</t>
        </is>
      </c>
      <c r="D36" s="7" t="inlineStr">
        <is>
          <t>Regular (10-50 pl./100m²)</t>
        </is>
      </c>
      <c r="E36" s="8" t="n"/>
      <c r="F36" s="8" t="n"/>
    </row>
    <row r="37">
      <c r="A37" s="6" t="inlineStr">
        <is>
          <t>Nivel general de erosión</t>
        </is>
      </c>
      <c r="B37" s="7" t="inlineStr">
        <is>
          <t>Ligera (laminar)</t>
        </is>
      </c>
      <c r="C37" s="6" t="inlineStr">
        <is>
          <t>N.° de cárcavas registradas</t>
        </is>
      </c>
      <c r="D37" s="7" t="n">
        <v>1</v>
      </c>
      <c r="E37" s="8" t="n"/>
      <c r="F37" s="8" t="n"/>
    </row>
    <row r="38">
      <c r="A38" s="6" t="inlineStr">
        <is>
          <t>Elenco florístico (n.° de taxones)</t>
        </is>
      </c>
      <c r="B38" s="7" t="n">
        <v>13</v>
      </c>
      <c r="C38" s="6" t="inlineStr">
        <is>
          <t>Estado sanitario</t>
        </is>
      </c>
      <c r="D38" s="7" t="inlineStr">
        <is>
          <t>Sano</t>
        </is>
      </c>
      <c r="E38" s="8" t="n"/>
      <c r="F38" s="8" t="n"/>
    </row>
    <row r="40" ht="18" customHeight="1">
      <c r="A40" s="5" t="inlineStr">
        <is>
          <t>5. RESPONSABLE Y MODALIDAD DE LA EVALUACIÓN</t>
        </is>
      </c>
    </row>
    <row r="41">
      <c r="A41" s="6" t="inlineStr">
        <is>
          <t>Responsable de la evaluación</t>
        </is>
      </c>
      <c r="B41" s="7" t="inlineStr">
        <is>
          <t>Ing. Héctor S. Cahuas Miller (ANIN/DIME-SESDI)</t>
        </is>
      </c>
      <c r="C41" s="6" t="inlineStr">
        <is>
          <t>Fecha de evaluación</t>
        </is>
      </c>
      <c r="D41" s="7" t="inlineStr">
        <is>
          <t>2026-06-23</t>
        </is>
      </c>
      <c r="E41" s="8" t="n"/>
      <c r="F41" s="8" t="n"/>
    </row>
    <row r="42">
      <c r="A42" s="6" t="inlineStr">
        <is>
          <t>Hora de registro</t>
        </is>
      </c>
      <c r="B42" s="7" t="inlineStr">
        <is>
          <t>11:03-11:48 a.m.</t>
        </is>
      </c>
      <c r="C42" s="6" t="inlineStr">
        <is>
          <t>Correlativo de ficha</t>
        </is>
      </c>
      <c r="D42" s="7" t="inlineStr">
        <is>
          <t>DT-06</t>
        </is>
      </c>
      <c r="E42" s="8" t="n"/>
      <c r="F42" s="8" t="n"/>
    </row>
    <row r="43">
      <c r="A43" s="6" t="inlineStr">
        <is>
          <t>Entidad</t>
        </is>
      </c>
      <c r="B43" s="7" t="inlineStr">
        <is>
          <t>ANIN - DIME - SESDI</t>
        </is>
      </c>
      <c r="C43" s="6" t="inlineStr">
        <is>
          <t>Fase del estudio</t>
        </is>
      </c>
      <c r="D43" s="7" t="inlineStr">
        <is>
          <t>Preinversión (Perfil) · Invierte.pe</t>
        </is>
      </c>
      <c r="E43" s="8" t="n"/>
      <c r="F43" s="8" t="n"/>
    </row>
    <row r="44">
      <c r="A44" s="6" t="inlineStr">
        <is>
          <t>Instrumento aplicado</t>
        </is>
      </c>
      <c r="B44" s="7" t="inlineStr">
        <is>
          <t>Fichas F-DT-01 a F-DT-05 (Plantilla V5)</t>
        </is>
      </c>
      <c r="C44" s="6" t="inlineStr">
        <is>
          <t>Parcela de muestreo</t>
        </is>
      </c>
      <c r="D44" s="7" t="inlineStr">
        <is>
          <t>Recorrido de reconocimiento</t>
        </is>
      </c>
      <c r="E44" s="8" t="n"/>
      <c r="F44" s="8" t="n"/>
    </row>
    <row r="45">
      <c r="A45" s="6" t="inlineStr">
        <is>
          <t>Estaciones fotográficas georreferenciadas</t>
        </is>
      </c>
      <c r="B45" s="7" t="n">
        <v>35</v>
      </c>
      <c r="C45" s="6" t="inlineStr">
        <is>
          <t>Modalidad de acceso</t>
        </is>
      </c>
      <c r="D45" s="7" t="inlineStr">
        <is>
          <t>Vehicular + caminata &lt;30 min</t>
        </is>
      </c>
      <c r="E45" s="8" t="n"/>
      <c r="F45" s="8" t="n"/>
    </row>
    <row r="47" ht="18" customHeight="1">
      <c r="A47" s="5" t="inlineStr">
        <is>
          <t>6. SÍNTESIS PARA LA GESTIÓN DEL RIESGO EN CONTEXTO DE CAMBIO CLIMÁTICO</t>
        </is>
      </c>
    </row>
    <row r="48">
      <c r="A48" s="6" t="inlineStr">
        <is>
          <t>Causa subyacente principal</t>
        </is>
      </c>
      <c r="B48" s="7" t="inlineStr">
        <is>
          <t>Presión agropecuaria de subsistencia sobre laderas de fuerte pendiente, sin prácticas de conservación de suelos.</t>
        </is>
      </c>
      <c r="C48" s="6" t="inlineStr">
        <is>
          <t>Velocidad de degradación</t>
        </is>
      </c>
      <c r="D48" s="7" t="inlineStr">
        <is>
          <t>Moderada</t>
        </is>
      </c>
      <c r="E48" s="8" t="n"/>
      <c r="F48" s="8" t="n"/>
    </row>
    <row r="49">
      <c r="A49" s="6" t="inlineStr">
        <is>
          <t>Reversibilidad técnica</t>
        </is>
      </c>
      <c r="B49" s="7" t="inlineStr">
        <is>
          <t>Parcialmente reversible</t>
        </is>
      </c>
      <c r="C49" s="6" t="inlineStr">
        <is>
          <t>Urgencia de intervención</t>
        </is>
      </c>
      <c r="D49" s="7" t="inlineStr">
        <is>
          <t>Media</t>
        </is>
      </c>
      <c r="E49" s="8" t="n"/>
      <c r="F49" s="8" t="n"/>
    </row>
    <row r="50">
      <c r="A50" s="6" t="inlineStr">
        <is>
          <t>Urgencia de control de erosión</t>
        </is>
      </c>
      <c r="B50" s="7" t="inlineStr">
        <is>
          <t>Baja</t>
        </is>
      </c>
      <c r="C50" s="6" t="inlineStr">
        <is>
          <t>Zona de recarga hídrica</t>
        </is>
      </c>
      <c r="D50" s="7" t="inlineStr">
        <is>
          <t>Sí</t>
        </is>
      </c>
      <c r="E50" s="8" t="n"/>
      <c r="F50" s="8" t="n"/>
    </row>
    <row r="51">
      <c r="A51" s="6" t="inlineStr">
        <is>
          <t>Peligro integrado preliminar (MCA-AHP)</t>
        </is>
      </c>
      <c r="B51" s="7" t="inlineStr">
        <is>
          <t>No disponible en los insumos; debe tomarse del modelamiento de mesolocalización</t>
        </is>
      </c>
      <c r="C51" s="6" t="inlineStr">
        <is>
          <t>Prioridad de intervención</t>
        </is>
      </c>
      <c r="D51" s="7" t="inlineStr">
        <is>
          <t>Por definir en mesolocalización</t>
        </is>
      </c>
      <c r="E51" s="8" t="n"/>
      <c r="F51" s="8" t="n"/>
    </row>
    <row r="52">
      <c r="A52" s="6" t="inlineStr">
        <is>
          <t>Estado de verificación de campo</t>
        </is>
      </c>
      <c r="B52" s="7" t="inlineStr">
        <is>
          <t>VERIFICADO</t>
        </is>
      </c>
      <c r="C52" s="6" t="inlineStr">
        <is>
          <t>Marco del indicador de brecha</t>
        </is>
      </c>
      <c r="D52" s="7" t="inlineStr">
        <is>
          <t>R.M. N.° 00213-2024-MINAM</t>
        </is>
      </c>
      <c r="E52" s="8" t="n"/>
      <c r="F52" s="8" t="n"/>
    </row>
    <row r="54" ht="72" customHeight="1">
      <c r="A54"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row>
  </sheetData>
  <mergeCells count="13">
    <mergeCell ref="A2:F2"/>
    <mergeCell ref="A54:F54"/>
    <mergeCell ref="A47:F47"/>
    <mergeCell ref="A1:F1"/>
    <mergeCell ref="A5:F5"/>
    <mergeCell ref="A32:F32"/>
    <mergeCell ref="A27:F27"/>
    <mergeCell ref="A8:F8"/>
    <mergeCell ref="A6:F6"/>
    <mergeCell ref="A40:F40"/>
    <mergeCell ref="A18:F18"/>
    <mergeCell ref="A4:F4"/>
    <mergeCell ref="A3:F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8"/>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6</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t>
        </is>
      </c>
      <c r="B10" s="11" t="inlineStr">
        <is>
          <t>Por determinar</t>
        </is>
      </c>
      <c r="C10" s="11" t="inlineStr">
        <is>
          <t>Por determinar</t>
        </is>
      </c>
      <c r="D10" s="11" t="inlineStr">
        <is>
          <t>Vigor alto</t>
        </is>
      </c>
      <c r="E10" s="11" t="inlineStr">
        <is>
          <t>Sobre umbral</t>
        </is>
      </c>
    </row>
    <row r="11">
      <c r="A11" s="12" t="inlineStr">
        <is>
          <t>0.4976 - 0.6139</t>
        </is>
      </c>
      <c r="B11" s="13" t="inlineStr">
        <is>
          <t>Por determinar</t>
        </is>
      </c>
      <c r="C11" s="13" t="inlineStr">
        <is>
          <t>Por determinar</t>
        </is>
      </c>
      <c r="D11" s="13" t="inlineStr">
        <is>
          <t>Vigor moderado</t>
        </is>
      </c>
      <c r="E11" s="13" t="inlineStr">
        <is>
          <t>Sobre umbral</t>
        </is>
      </c>
    </row>
    <row r="12">
      <c r="A12" s="7" t="inlineStr">
        <is>
          <t>0.3813 - 0.4976</t>
        </is>
      </c>
      <c r="B12" s="11" t="inlineStr">
        <is>
          <t>Por determinar</t>
        </is>
      </c>
      <c r="C12" s="11" t="inlineStr">
        <is>
          <t>Por determinar</t>
        </is>
      </c>
      <c r="D12" s="11" t="inlineStr">
        <is>
          <t>Vigor bajo</t>
        </is>
      </c>
      <c r="E12" s="11" t="inlineStr">
        <is>
          <t>BAJO umbral 0.4976</t>
        </is>
      </c>
    </row>
    <row r="13">
      <c r="A13" s="14" t="inlineStr">
        <is>
          <t>0.2650 - 0.3813</t>
        </is>
      </c>
      <c r="B13" s="15" t="inlineStr">
        <is>
          <t>Por determinar</t>
        </is>
      </c>
      <c r="C13" s="15" t="inlineStr">
        <is>
          <t>Por determinar</t>
        </is>
      </c>
      <c r="D13" s="15" t="inlineStr">
        <is>
          <t>Vigor muy bajo</t>
        </is>
      </c>
      <c r="E13" s="15" t="inlineStr">
        <is>
          <t>BAJO umbral 0.4976</t>
        </is>
      </c>
    </row>
    <row r="14">
      <c r="A14" s="7" t="inlineStr">
        <is>
          <t>&lt;= 0.2650</t>
        </is>
      </c>
      <c r="B14" s="11" t="inlineStr">
        <is>
          <t>Por determinar</t>
        </is>
      </c>
      <c r="C14" s="11" t="inlineStr">
        <is>
          <t>Por determinar</t>
        </is>
      </c>
      <c r="D14" s="11" t="inlineStr">
        <is>
          <t>Suelo desnudo / no vegetal</t>
        </is>
      </c>
      <c r="E14" s="11" t="inlineStr">
        <is>
          <t>BAJO umbral 0.4976</t>
        </is>
      </c>
    </row>
    <row r="15">
      <c r="A15" s="16" t="inlineStr">
        <is>
          <t>MSAVI 2024 — MEDIA DEL BLOQUE</t>
        </is>
      </c>
      <c r="B15" s="17" t="n">
        <v>0.538144</v>
      </c>
      <c r="C15" s="17" t="inlineStr">
        <is>
          <t>—</t>
        </is>
      </c>
      <c r="D15" s="17" t="inlineStr">
        <is>
          <t>Vigor moderado · clase 0.4976 - 0.6139</t>
        </is>
      </c>
      <c r="E15" s="17" t="inlineStr">
        <is>
          <t>Sobre umbral</t>
        </is>
      </c>
    </row>
    <row r="17" ht="72" customHeight="1">
      <c r="A17" s="9" t="inlineStr">
        <is>
          <t>NOTA METODOLÓGICA. La media del MSAVI 2024 del bloque (0.538144) procede del catálogo maestro de bloques V5/V6 y es dato oficial. La DISTRIBUCIÓN AREAL por clase de MSAVI no está disponible como estadística zonal en los insumos de este entregable: se consigna «Por determinar» y NO se estima, conforme a la declaración de integridad de datos del proyecto. La fila resaltada indica la clase en la que cae la media del bloque. Para el dimensionamiento de metas físicas debe ejecutarse estadística zonal directa sobre el ráster MSAVI 2024 recortado al polígono.</t>
        </is>
      </c>
    </row>
    <row r="19" ht="18" customHeight="1">
      <c r="A19" s="5" t="inlineStr">
        <is>
          <t>B. NDVI MEDIANA 2025 — DISTRIBUCIÓN AREAL (ESTADÍSTICA ZONAL)</t>
        </is>
      </c>
    </row>
    <row r="20" ht="28" customHeight="1">
      <c r="A20" s="10" t="inlineStr">
        <is>
          <t>Clase NDVI</t>
        </is>
      </c>
      <c r="B20" s="10" t="inlineStr">
        <is>
          <t>Superficie (ha)</t>
        </is>
      </c>
      <c r="C20" s="10" t="inlineStr">
        <is>
          <t>% del área clasificada</t>
        </is>
      </c>
      <c r="D20" s="10" t="inlineStr">
        <is>
          <t>Interpretación</t>
        </is>
      </c>
      <c r="E20" s="10" t="inlineStr">
        <is>
          <t>Observación</t>
        </is>
      </c>
    </row>
    <row r="21">
      <c r="A21" s="7" t="inlineStr">
        <is>
          <t>Vegetación alta</t>
        </is>
      </c>
      <c r="B21" s="18" t="n">
        <v>67.59269999999999</v>
      </c>
      <c r="C21" s="19" t="n">
        <v>40.11</v>
      </c>
      <c r="D21" s="11" t="inlineStr">
        <is>
          <t>Dosel continuo, matorral denso o mosaico agroforestal</t>
        </is>
      </c>
      <c r="E21" s="11" t="inlineStr"/>
    </row>
    <row r="22">
      <c r="A22" s="14" t="inlineStr">
        <is>
          <t>Vegetación mediana</t>
        </is>
      </c>
      <c r="B22" s="20" t="n">
        <v>87.9057</v>
      </c>
      <c r="C22" s="21" t="n">
        <v>52.17</v>
      </c>
      <c r="D22" s="15" t="inlineStr">
        <is>
          <t>Pastizal cultivado, matorral ralo, parcelas agrícolas</t>
        </is>
      </c>
      <c r="E22" s="15" t="inlineStr"/>
    </row>
    <row r="23">
      <c r="A23" s="7" t="inlineStr">
        <is>
          <t>Vegetación ligera</t>
        </is>
      </c>
      <c r="B23" s="18" t="n">
        <v>12.7614</v>
      </c>
      <c r="C23" s="19" t="n">
        <v>7.57</v>
      </c>
      <c r="D23" s="11" t="inlineStr">
        <is>
          <t>Cobertura discontinua, suelo parcialmente expuesto</t>
        </is>
      </c>
      <c r="E23" s="11" t="inlineStr"/>
    </row>
    <row r="24">
      <c r="A24" s="14" t="inlineStr">
        <is>
          <t>Tierra desnuda</t>
        </is>
      </c>
      <c r="B24" s="20" t="n">
        <v>0.2388</v>
      </c>
      <c r="C24" s="21" t="n">
        <v>0.14</v>
      </c>
      <c r="D24" s="15" t="inlineStr">
        <is>
          <t>Suelo desnudo, afloramientos, plataformas y taludes</t>
        </is>
      </c>
      <c r="E24" s="15" t="inlineStr"/>
    </row>
    <row r="25">
      <c r="A25" s="16" t="inlineStr">
        <is>
          <t>TOTAL CLASIFICADO</t>
        </is>
      </c>
      <c r="B25" s="22">
        <f>SUM(B21:B24)</f>
        <v/>
      </c>
      <c r="C25" s="23">
        <f>SUM(C21:C24)</f>
        <v/>
      </c>
      <c r="D25" s="17" t="inlineStr"/>
      <c r="E25" s="17" t="inlineStr"/>
    </row>
    <row r="26">
      <c r="A26" s="24" t="inlineStr">
        <is>
          <t>Superficie de catálogo (V5/V6)</t>
        </is>
      </c>
      <c r="B26" s="25" t="n">
        <v>168.41</v>
      </c>
      <c r="C26" s="25" t="inlineStr">
        <is>
          <t>—</t>
        </is>
      </c>
      <c r="D26" s="25" t="inlineStr">
        <is>
          <t>Desviación planimétrica frente al catálogo</t>
        </is>
      </c>
      <c r="E26" s="25" t="inlineStr">
        <is>
          <t>+0.05 %</t>
        </is>
      </c>
    </row>
    <row r="28" ht="108" customHeight="1">
      <c r="A28"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85 % frente a un 40.11 % del polígono clasificado como «Vegetación alta» por el NDVI 2025; la observación de campo corresponde a una parcela o recorrido puntual y no es estadísticamente representativa de las 168.410 ha del bloque.</t>
        </is>
      </c>
    </row>
  </sheetData>
  <mergeCells count="10">
    <mergeCell ref="A4:E4"/>
    <mergeCell ref="A2:E2"/>
    <mergeCell ref="A28:E28"/>
    <mergeCell ref="A19:E19"/>
    <mergeCell ref="A1:E1"/>
    <mergeCell ref="A5:E5"/>
    <mergeCell ref="A8:E8"/>
    <mergeCell ref="A6:E6"/>
    <mergeCell ref="A17:E17"/>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0"/>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6</t>
        </is>
      </c>
    </row>
    <row r="6" ht="24" customHeight="1">
      <c r="A6" s="4" t="inlineStr">
        <is>
          <t>Levantamiento del 2026-06-23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606182</v>
      </c>
      <c r="D10" s="26" t="n">
        <v>9455199</v>
      </c>
      <c r="E10" s="11" t="n">
        <v>550.5</v>
      </c>
      <c r="F10" s="11" t="inlineStr"/>
      <c r="G10" s="11" t="inlineStr">
        <is>
          <t>Coordenada consignada en F-DT-01</t>
        </is>
      </c>
    </row>
    <row r="11">
      <c r="A11" s="14" t="inlineStr">
        <is>
          <t>C-01</t>
        </is>
      </c>
      <c r="B11" s="15" t="inlineStr">
        <is>
          <t>Rasgo erosivo — Cicatriz de suelo expuesto en talud</t>
        </is>
      </c>
      <c r="C11" s="27" t="n">
        <v>605992</v>
      </c>
      <c r="D11" s="27" t="n">
        <v>9455103</v>
      </c>
      <c r="E11" s="15" t="n">
        <v>392.8</v>
      </c>
      <c r="F11" s="15" t="inlineStr">
        <is>
          <t>Semi-activa</t>
        </is>
      </c>
      <c r="G11" s="15" t="inlineStr">
        <is>
          <t>Concentración natural de escorrentía</t>
        </is>
      </c>
    </row>
    <row r="12">
      <c r="A12" s="7" t="inlineStr">
        <is>
          <t>H-01</t>
        </is>
      </c>
      <c r="B12" s="11" t="inlineStr">
        <is>
          <t>Fuente de agua — Quebrada estacional</t>
        </is>
      </c>
      <c r="C12" s="26" t="n">
        <v>606300</v>
      </c>
      <c r="D12" s="26" t="n">
        <v>9455240</v>
      </c>
      <c r="E12" s="11" t="n">
        <v>664.6</v>
      </c>
      <c r="F12" s="11" t="inlineStr">
        <is>
          <t>Estacional (lluvias)</t>
        </is>
      </c>
      <c r="G12" s="11" t="inlineStr">
        <is>
          <t>Quebrada tributaria</t>
        </is>
      </c>
    </row>
    <row r="13">
      <c r="A13" s="14" t="inlineStr">
        <is>
          <t>H-02</t>
        </is>
      </c>
      <c r="B13" s="15" t="inlineStr">
        <is>
          <t>Fuente de agua — Río</t>
        </is>
      </c>
      <c r="C13" s="27" t="n">
        <v>607000</v>
      </c>
      <c r="D13" s="27" t="n">
        <v>9454800</v>
      </c>
      <c r="E13" s="15" t="n">
        <v>1442.4</v>
      </c>
      <c r="F13" s="15" t="inlineStr">
        <is>
          <t>Permanente</t>
        </is>
      </c>
      <c r="G13" s="15" t="inlineStr">
        <is>
          <t>Curso principal del sector</t>
        </is>
      </c>
    </row>
    <row r="14">
      <c r="A14" s="7" t="inlineStr">
        <is>
          <t>H-03</t>
        </is>
      </c>
      <c r="B14" s="11" t="inlineStr">
        <is>
          <t>Fuente de agua — Canal de riego</t>
        </is>
      </c>
      <c r="C14" s="26" t="n">
        <v>606131</v>
      </c>
      <c r="D14" s="26" t="n">
        <v>9455221</v>
      </c>
      <c r="E14" s="11" t="n">
        <v>497.3</v>
      </c>
      <c r="F14" s="11" t="inlineStr">
        <is>
          <t>Permanente</t>
        </is>
      </c>
      <c r="G14" s="11" t="inlineStr">
        <is>
          <t>Tubería/manguera de conducción</t>
        </is>
      </c>
    </row>
    <row r="15">
      <c r="A15" s="16" t="inlineStr">
        <is>
          <t>TOTAL: 5 puntos</t>
        </is>
      </c>
      <c r="B15" s="17" t="inlineStr"/>
      <c r="C15" s="17" t="inlineStr"/>
      <c r="D15" s="17" t="inlineStr"/>
      <c r="E15" s="17" t="inlineStr"/>
      <c r="F15" s="17" t="inlineStr"/>
      <c r="G15" s="17" t="inlineStr"/>
    </row>
    <row r="17">
      <c r="A17" s="6" t="inlineStr">
        <is>
          <t>Centroide del bloque — UTM ESTE (m)</t>
        </is>
      </c>
      <c r="B17" s="7" t="n">
        <v>605636</v>
      </c>
      <c r="C17" s="6" t="inlineStr">
        <is>
          <t>Centroide del bloque — UTM NORTE (m)</t>
        </is>
      </c>
      <c r="D17" s="7" t="n">
        <v>9455269</v>
      </c>
      <c r="E17" s="8" t="n"/>
      <c r="F17" s="8" t="n"/>
      <c r="G17" s="8" t="n"/>
      <c r="H17" s="8" t="n"/>
    </row>
    <row r="18">
      <c r="A18" s="6" t="inlineStr">
        <is>
          <t>N.° de estaciones fotográficas declaradas</t>
        </is>
      </c>
      <c r="B18" s="7" t="n">
        <v>35</v>
      </c>
      <c r="C18" s="6" t="inlineStr">
        <is>
          <t>Estaciones dentro del polígono</t>
        </is>
      </c>
      <c r="D18" s="7" t="inlineStr">
        <is>
          <t>Por determinar</t>
        </is>
      </c>
      <c r="E18" s="8" t="n"/>
      <c r="F18" s="8" t="n"/>
      <c r="G18" s="8" t="n"/>
      <c r="H18" s="8" t="n"/>
    </row>
    <row r="20" ht="96" customHeight="1">
      <c r="A20"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La app fotográfica no registró altitud GPS. Rango altitudinal del MDE; pendientes (media 51.1%, máx 74.5%) del perfil Google Earth. La pendiente máxima (74.5%) se aproxima al umbral de idoneidad del proyecto (75%). Forma de terreno, pendiente y exposición son juicio experto a escala de bloque.</t>
        </is>
      </c>
    </row>
  </sheetData>
  <mergeCells count="8">
    <mergeCell ref="A1:G1"/>
    <mergeCell ref="A8:G8"/>
    <mergeCell ref="A3:G3"/>
    <mergeCell ref="A6:G6"/>
    <mergeCell ref="A4:G4"/>
    <mergeCell ref="A20:G20"/>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8"/>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C1096-Q9547 — BLOQUE 6</t>
        </is>
      </c>
    </row>
    <row r="6" ht="24" customHeight="1">
      <c r="A6" s="4" t="inlineStr">
        <is>
          <t>Distrito de Frias · Provincia de Ayabaca · Comparación de los bloques preliminares de intervención de la misma microcuenca</t>
        </is>
      </c>
    </row>
    <row r="8" ht="18" customHeight="1">
      <c r="A8" s="5" t="inlineStr">
        <is>
          <t>BLOQUES DE LA MICROCUENCA C1096-Q9547</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12" t="inlineStr">
        <is>
          <t>► 6</t>
        </is>
      </c>
      <c r="B10" s="28" t="n">
        <v>168.41</v>
      </c>
      <c r="C10" s="29" t="n">
        <v>53.36</v>
      </c>
      <c r="D10" s="13" t="inlineStr">
        <is>
          <t>1398 – 2016</t>
        </is>
      </c>
      <c r="E10" s="13" t="n">
        <v>618</v>
      </c>
      <c r="F10" s="13" t="n">
        <v>33.74</v>
      </c>
      <c r="G10" s="30" t="n">
        <v>0.5381</v>
      </c>
      <c r="H10" s="29" t="n">
        <v>40.11</v>
      </c>
    </row>
    <row r="11">
      <c r="A11" s="14" t="inlineStr">
        <is>
          <t>M10B4</t>
        </is>
      </c>
      <c r="B11" s="31" t="n">
        <v>68.89</v>
      </c>
      <c r="C11" s="21" t="n">
        <v>21.83</v>
      </c>
      <c r="D11" s="15" t="inlineStr">
        <is>
          <t>170 – 313</t>
        </is>
      </c>
      <c r="E11" s="15" t="n">
        <v>143</v>
      </c>
      <c r="F11" s="15" t="n">
        <v>13.83</v>
      </c>
      <c r="G11" s="20" t="n">
        <v>0.3133</v>
      </c>
      <c r="H11" s="21" t="n">
        <v>0</v>
      </c>
    </row>
    <row r="12">
      <c r="A12" s="7" t="inlineStr">
        <is>
          <t>25</t>
        </is>
      </c>
      <c r="B12" s="32" t="n">
        <v>53.48</v>
      </c>
      <c r="C12" s="19" t="n">
        <v>16.94</v>
      </c>
      <c r="D12" s="11" t="inlineStr">
        <is>
          <t>143 – 210</t>
        </is>
      </c>
      <c r="E12" s="11" t="n">
        <v>67</v>
      </c>
      <c r="F12" s="11" t="n">
        <v>11.68</v>
      </c>
      <c r="G12" s="18" t="n">
        <v>0.2565</v>
      </c>
      <c r="H12" s="19" t="inlineStr">
        <is>
          <t>Por determinar</t>
        </is>
      </c>
    </row>
    <row r="13">
      <c r="A13" s="14" t="inlineStr">
        <is>
          <t>36</t>
        </is>
      </c>
      <c r="B13" s="31" t="n">
        <v>24.84</v>
      </c>
      <c r="C13" s="21" t="n">
        <v>7.87</v>
      </c>
      <c r="D13" s="15" t="inlineStr">
        <is>
          <t>1239 – 1476</t>
        </is>
      </c>
      <c r="E13" s="15" t="n">
        <v>237</v>
      </c>
      <c r="F13" s="15" t="n">
        <v>30.65</v>
      </c>
      <c r="G13" s="20" t="n">
        <v>0.5395</v>
      </c>
      <c r="H13" s="21" t="n">
        <v>49.11</v>
      </c>
    </row>
    <row r="14">
      <c r="A14" s="16" t="inlineStr">
        <is>
          <t>TOTAL / PROMEDIO</t>
        </is>
      </c>
      <c r="B14" s="33">
        <f>SUM(B10:B13)</f>
        <v/>
      </c>
      <c r="C14" s="23">
        <f>SUM(C10:C13)</f>
        <v/>
      </c>
      <c r="D14" s="17" t="inlineStr">
        <is>
          <t>143 – 2016</t>
        </is>
      </c>
      <c r="E14" s="17" t="inlineStr"/>
      <c r="F14" s="17">
        <f>ROUND(AVERAGE(F10:F13),2)</f>
        <v/>
      </c>
      <c r="G14" s="22">
        <f>ROUND(AVERAGE(G10:G13),4)</f>
        <v/>
      </c>
      <c r="H14" s="23">
        <f>ROUND(AVERAGE(H10:H13),2)</f>
        <v/>
      </c>
    </row>
    <row r="16" ht="84" customHeight="1">
      <c r="A16" s="9" t="inlineStr">
        <is>
          <t>LECTURA INTRAMICROCUENCA. El bloque 6 ocupa el puesto 1 de 4 por superficie dentro de la microcuenca C1096-Q9547 (53.36 % de las 315.62 ha preliminares de la microcuenca). Su pendiente promedio (33.74 %, clase «25-50% (Mod. escarpado)») es la 4.ª más baja de 4 y se sitúa por encima del promedio de la microcuenca (22.48 %). Su MSAVI 2024 (0.5381) es el 2.º de 4 y queda por encima del promedio local (0.4119). Amplitud altitudinal del bloque: 618 m (1398–2016 msnm). El cuadro conserva todos los bloques catalogados en la microcuenca, incluidos los descartados en el tamizaje, para referencia del conjunto. Los bloques sin ficha DT figuran con sus parámetros de gabinete.</t>
        </is>
      </c>
    </row>
    <row r="18" ht="60" customHeight="1">
      <c r="A18"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row>
  </sheetData>
  <mergeCells count="9">
    <mergeCell ref="A1:H1"/>
    <mergeCell ref="A4:H4"/>
    <mergeCell ref="A18:H18"/>
    <mergeCell ref="A3:H3"/>
    <mergeCell ref="A2:H2"/>
    <mergeCell ref="A16:H16"/>
    <mergeCell ref="A5:H5"/>
    <mergeCell ref="A8:H8"/>
    <mergeCell ref="A6:H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2"/>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6</t>
        </is>
      </c>
    </row>
    <row r="6" ht="24" customHeight="1">
      <c r="A6" s="4" t="inlineStr">
        <is>
          <t>Discrepancias detectadas entre el registro de campo, los productos de gabinete y el catálogo maestro. Calificación: SUSTANTIVA / NO SUSTANTIVA / CORREGIDO / CONFORME.</t>
        </is>
      </c>
    </row>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Ficha DT y catálogo maestro coinciden en «C1096-Q9547»</t>
        </is>
      </c>
      <c r="D10" s="35" t="inlineStr">
        <is>
          <t>CONFORME</t>
        </is>
      </c>
      <c r="E10" s="34" t="inlineStr">
        <is>
          <t>Sin acción.</t>
        </is>
      </c>
    </row>
    <row r="11" ht="48" customHeight="1">
      <c r="A11" s="36" t="inlineStr">
        <is>
          <t>D-02</t>
        </is>
      </c>
      <c r="B11" s="36" t="inlineStr">
        <is>
          <t>UTM del punto de muestreo</t>
        </is>
      </c>
      <c r="C11" s="36" t="inlineStr">
        <is>
          <t>El punto de muestreo declarado dista 550 m del centroide de catálogo, compatible con la extensión del bloque</t>
        </is>
      </c>
      <c r="D11" s="35" t="inlineStr">
        <is>
          <t>CONFORME</t>
        </is>
      </c>
      <c r="E11" s="36" t="inlineStr">
        <is>
          <t>Sin acción.</t>
        </is>
      </c>
    </row>
    <row r="12" ht="48" customHeight="1">
      <c r="A12" s="34" t="inlineStr">
        <is>
          <t>D-03</t>
        </is>
      </c>
      <c r="B12" s="34" t="inlineStr">
        <is>
          <t>Superficie del polígono</t>
        </is>
      </c>
      <c r="C12" s="34" t="inlineStr">
        <is>
          <t>La superficie clasificada por el NDVI 2025 (168.499 ha) coincide con la de catálogo (168.41 ha) dentro del ±2 % (+0.05 %)</t>
        </is>
      </c>
      <c r="D12" s="35" t="inlineStr">
        <is>
          <t>CONFORME</t>
        </is>
      </c>
      <c r="E12" s="34" t="inlineStr">
        <is>
          <t>Sin acción: la segmentación valida la geometría del bloque.</t>
        </is>
      </c>
    </row>
    <row r="13" ht="48" customHeight="1">
      <c r="A13" s="36" t="inlineStr">
        <is>
          <t>D-04</t>
        </is>
      </c>
      <c r="B13" s="36" t="inlineStr">
        <is>
          <t>Rango de pendiente dominante</t>
        </is>
      </c>
      <c r="C13" s="36" t="inlineStr">
        <is>
          <t>La ficha DT declara «50-75% (Escarpado)»; la estadística zonal sobre el MDE arroja una pendiente promedio de 33.74 %, que corresponde a la clase «25-50% (Mod. escarpado)»</t>
        </is>
      </c>
      <c r="D13" s="13" t="inlineStr">
        <is>
          <t>NO SUSTANTIVA</t>
        </is>
      </c>
      <c r="E13" s="36" t="inlineStr">
        <is>
          <t>Se conserva el registro de campo como observación de sector y se adopta el valor del MDE para el cálculo intramicrocuenca. La divergencia es esperable: el dato de campo es puntual y el del MDE es promedio del polígono.</t>
        </is>
      </c>
    </row>
    <row r="14" ht="48" customHeight="1">
      <c r="A14" s="34" t="inlineStr">
        <is>
          <t>D-05</t>
        </is>
      </c>
      <c r="B14" s="34" t="inlineStr">
        <is>
          <t>Altitud GPS del punto de muestreo</t>
        </is>
      </c>
      <c r="C14" s="34" t="inlineStr">
        <is>
          <t>La aplicación de captura no registró altitud GPS en campo</t>
        </is>
      </c>
      <c r="D14" s="13" t="inlineStr">
        <is>
          <t>NO SUSTANTIVA</t>
        </is>
      </c>
      <c r="E14" s="34" t="inlineStr">
        <is>
          <t>El rango altitudinal del bloque (1398–2016 msnm) y la pendiente promedio (33.74 %) se toman de la estadística zonal sobre el MDE, no de medición de campo. Se declara la fuente.</t>
        </is>
      </c>
    </row>
    <row r="15" ht="48" customHeight="1">
      <c r="A15" s="36" t="inlineStr">
        <is>
          <t>D-06</t>
        </is>
      </c>
      <c r="B15" s="36" t="inlineStr">
        <is>
          <t>Dimensiones del inventario de cárcavas</t>
        </is>
      </c>
      <c r="C15" s="36" t="inlineStr">
        <is>
          <t>Se registran 1 rasgos erosivos, pero longitud, profundidad y ancho no fueron medidos instrumentalmente</t>
        </is>
      </c>
      <c r="D15" s="13" t="inlineStr">
        <is>
          <t>NO SUSTANTIVA</t>
        </is>
      </c>
      <c r="E15" s="36" t="inlineStr">
        <is>
          <t>El conteo registrado no debe usarse para calcular densidad de cárcavas por hectárea. Pendiente de levantamiento con GPS submétrico.</t>
        </is>
      </c>
    </row>
    <row r="16" ht="48" customHeight="1">
      <c r="A16" s="34" t="inlineStr">
        <is>
          <t>D-07</t>
        </is>
      </c>
      <c r="B16" s="34" t="inlineStr">
        <is>
          <t>Elenco florístico</t>
        </is>
      </c>
      <c r="C16" s="34" t="inlineStr">
        <is>
          <t>La ficha registra 13 taxones, por debajo del mínimo de 15 que exige el formato V5</t>
        </is>
      </c>
      <c r="D16" s="37" t="inlineStr">
        <is>
          <t>SUSTANTIVA</t>
        </is>
      </c>
      <c r="E16" s="34" t="inlineStr">
        <is>
          <t>Registro florístico preliminar, sin colecta ni determinación botánica formal. Debe cerrarse con colecta botánica en la siguiente campaña.</t>
        </is>
      </c>
    </row>
    <row r="17" ht="48" customHeight="1">
      <c r="A17" s="36" t="inlineStr">
        <is>
          <t>D-08</t>
        </is>
      </c>
      <c r="B17" s="36" t="inlineStr">
        <is>
          <t>Centro poblado asociado</t>
        </is>
      </c>
      <c r="C17" s="36" t="inlineStr">
        <is>
          <t>La ficha DT declara «Guabal/Huabal (280 hab.); entorno: Nogal, Guanábano Alto, El Común de Pilán»; el cruce INEI-Bloques V5 identifica 3 centro(s) poblado(s) en el bloque: GUABAL, GUANABANO ALTO, NOGAL</t>
        </is>
      </c>
      <c r="D17" s="35" t="inlineStr">
        <is>
          <t>CONFORME</t>
        </is>
      </c>
      <c r="E17" s="36" t="inlineStr">
        <is>
          <t>Se conserva el registro de campo como referencia y se adopta el listado INEI para el diagnóstico social y el cálculo de población beneficiaria.</t>
        </is>
      </c>
    </row>
    <row r="18" ht="48" customHeight="1">
      <c r="A18" s="34" t="inlineStr">
        <is>
          <t>D-09</t>
        </is>
      </c>
      <c r="B18" s="34" t="inlineStr">
        <is>
          <t>Peligro integrado (MCA-AHP)</t>
        </is>
      </c>
      <c r="C18" s="34" t="inlineStr">
        <is>
          <t>El nivel de peligro integrado no está disponible en los insumos de este entregable</t>
        </is>
      </c>
      <c r="D18" s="37" t="inlineStr">
        <is>
          <t>SUSTANTIVA</t>
        </is>
      </c>
      <c r="E18" s="34" t="inlineStr">
        <is>
          <t>Debe tomarse del modelamiento de mesolocalización (PMM + EPH + PGI ponderados por AHP) antes de fijar la prioridad definitiva de intervención del bloque.</t>
        </is>
      </c>
    </row>
    <row r="20">
      <c r="A20" s="16" t="inlineStr">
        <is>
          <t>RESUMEN</t>
        </is>
      </c>
      <c r="B20" s="17" t="inlineStr">
        <is>
          <t>9 verificaciones</t>
        </is>
      </c>
      <c r="C20" s="17" t="inlineStr">
        <is>
          <t>CONFORME: 4 · NO SUSTANTIVA: 3 · SUSTANTIVA: 2</t>
        </is>
      </c>
      <c r="D20" s="17" t="inlineStr"/>
      <c r="E20" s="17" t="inlineStr"/>
    </row>
    <row r="22" ht="60" customHeight="1">
      <c r="A22"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row>
  </sheetData>
  <mergeCells count="8">
    <mergeCell ref="A4:E4"/>
    <mergeCell ref="A2:E2"/>
    <mergeCell ref="A1:E1"/>
    <mergeCell ref="A5:E5"/>
    <mergeCell ref="A8:E8"/>
    <mergeCell ref="A6:E6"/>
    <mergeCell ref="A22:E22"/>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6 — IN Piura</dc:title>
  <dc:subject>Diagnóstico Territorial por bloque de intervención</dc:subject>
  <dcterms:created xsi:type="dcterms:W3CDTF">2026-09-08T02:45:04Z</dcterms:created>
  <dcterms:modified xsi:type="dcterms:W3CDTF">2026-09-08T02:45:04Z</dcterms:modified>
</cp:coreProperties>
</file>