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s>
  <definedNames/>
  <calcPr calcId="124519" fullCalcOnLoad="1"/>
</workbook>
</file>

<file path=xl/styles.xml><?xml version="1.0" encoding="utf-8"?>
<styleSheet xmlns="http://schemas.openxmlformats.org/spreadsheetml/2006/main">
  <numFmts count="2">
    <numFmt numFmtId="164" formatCode="0.0000"/>
    <numFmt numFmtId="165" formatCode="0.000"/>
  </numFmts>
  <fonts count="9">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s>
  <fills count="9">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F8CBAD"/>
      </patternFill>
    </fill>
    <fill>
      <patternFill patternType="solid">
        <fgColor rgb="00D9E1F2"/>
      </patternFill>
    </fill>
  </fills>
  <borders count="2">
    <border>
      <left/>
      <right/>
      <top/>
      <bottom/>
      <diagonal/>
    </border>
    <border>
      <left style="thin">
        <color rgb="009C9C9C"/>
      </left>
      <right style="thin">
        <color rgb="009C9C9C"/>
      </right>
      <top style="thin">
        <color rgb="009C9C9C"/>
      </top>
      <bottom style="thin">
        <color rgb="009C9C9C"/>
      </bottom>
    </border>
  </borders>
  <cellStyleXfs count="1">
    <xf numFmtId="0" fontId="0" fillId="0" borderId="0"/>
  </cellStyleXfs>
  <cellXfs count="38">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6" fillId="0"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3" fontId="6" fillId="4" borderId="1" applyAlignment="1" pivotButton="0" quotePrefix="0" xfId="0">
      <alignment horizontal="center" vertical="center" wrapText="1"/>
    </xf>
    <xf numFmtId="165" fontId="6" fillId="0"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6" fillId="4"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4"/>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24</t>
        </is>
      </c>
    </row>
    <row r="6" ht="24" customHeight="1">
      <c r="A6" s="4" t="inlineStr">
        <is>
          <t>Diagnóstico Territorial — Plantilla DT Campo Check Validada V5 | Sistema de referencia: UTM WGS 84 Zona 17S (EPSG:32717)</t>
        </is>
      </c>
    </row>
    <row r="8" ht="18" customHeight="1">
      <c r="A8" s="5" t="inlineStr">
        <is>
          <t>1. IDENTIFICACIÓN Y LOCALIZACIÓN</t>
        </is>
      </c>
    </row>
    <row r="9">
      <c r="A9" s="6" t="inlineStr">
        <is>
          <t>Código del bloque</t>
        </is>
      </c>
      <c r="B9" s="7" t="inlineStr">
        <is>
          <t>24</t>
        </is>
      </c>
      <c r="C9" s="6" t="inlineStr">
        <is>
          <t>Microcuenca (catálogo)</t>
        </is>
      </c>
      <c r="D9" s="7" t="inlineStr">
        <is>
          <t>C1081-Q9583</t>
        </is>
      </c>
      <c r="E9" s="8" t="n"/>
      <c r="F9" s="8" t="n"/>
    </row>
    <row r="10">
      <c r="A10" s="6" t="inlineStr">
        <is>
          <t>Zona de planificación</t>
        </is>
      </c>
      <c r="B10" s="7" t="inlineStr">
        <is>
          <t>Z11</t>
        </is>
      </c>
      <c r="C10" s="6" t="inlineStr">
        <is>
          <t>Microcuenca declarada en ficha DT</t>
        </is>
      </c>
      <c r="D10" s="7" t="inlineStr">
        <is>
          <t>C1076-Q9584</t>
        </is>
      </c>
      <c r="E10" s="8" t="n"/>
      <c r="F10" s="8" t="n"/>
    </row>
    <row r="11">
      <c r="A11" s="6" t="inlineStr">
        <is>
          <t>Departamento</t>
        </is>
      </c>
      <c r="B11" s="7" t="inlineStr">
        <is>
          <t>Piura</t>
        </is>
      </c>
      <c r="C11" s="6" t="inlineStr">
        <is>
          <t>Provincia</t>
        </is>
      </c>
      <c r="D11" s="7" t="inlineStr">
        <is>
          <t>Huancabamba</t>
        </is>
      </c>
      <c r="E11" s="8" t="n"/>
      <c r="F11" s="8" t="n"/>
    </row>
    <row r="12">
      <c r="A12" s="6" t="inlineStr">
        <is>
          <t>Distrito</t>
        </is>
      </c>
      <c r="B12" s="7" t="inlineStr">
        <is>
          <t>Canchaque</t>
        </is>
      </c>
      <c r="C12" s="6" t="inlineStr">
        <is>
          <t>Capital distrital</t>
        </is>
      </c>
      <c r="D12" s="7" t="inlineStr">
        <is>
          <t>Canchaque</t>
        </is>
      </c>
      <c r="E12" s="8" t="n"/>
      <c r="F12" s="8" t="n"/>
    </row>
    <row r="13">
      <c r="A13" s="6" t="inlineStr">
        <is>
          <t>Centro poblado asociado</t>
        </is>
      </c>
      <c r="B13" s="7" t="inlineStr">
        <is>
          <t>Coyona</t>
        </is>
      </c>
      <c r="C13" s="6" t="inlineStr">
        <is>
          <t>Comunidad campesina</t>
        </is>
      </c>
      <c r="D13" s="7" t="inlineStr">
        <is>
          <t>Por verificar</t>
        </is>
      </c>
      <c r="E13" s="8" t="n"/>
      <c r="F13" s="8" t="n"/>
    </row>
    <row r="14">
      <c r="A14" s="6" t="inlineStr">
        <is>
          <t>Superficie de catálogo (V5/V6), ha</t>
        </is>
      </c>
      <c r="B14" s="7" t="n">
        <v>90.16</v>
      </c>
      <c r="C14" s="6" t="inlineStr">
        <is>
          <t>Fuente de superficie</t>
        </is>
      </c>
      <c r="D14" s="7" t="inlineStr">
        <is>
          <t>Catálogo maestro Bloques V5/V6</t>
        </is>
      </c>
      <c r="E14" s="8" t="n"/>
      <c r="F14" s="8" t="n"/>
    </row>
    <row r="15">
      <c r="A15" s="6" t="inlineStr">
        <is>
          <t>Centroide UTM ESTE (m)</t>
        </is>
      </c>
      <c r="B15" s="7" t="n">
        <v>652191</v>
      </c>
      <c r="C15" s="6" t="inlineStr">
        <is>
          <t>Centroide UTM NORTE (m)</t>
        </is>
      </c>
      <c r="D15" s="7" t="n">
        <v>9414358</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8" ht="18" customHeight="1">
      <c r="A18" s="5" t="inlineStr">
        <is>
          <t>2. PARÁMETROS FÍSICOS (ESTADÍSTICA ZONAL SOBRE MDE)</t>
        </is>
      </c>
    </row>
    <row r="19">
      <c r="A19" s="6" t="inlineStr">
        <is>
          <t>Altitud mínima (msnm)</t>
        </is>
      </c>
      <c r="B19" s="7" t="n">
        <v>1319</v>
      </c>
      <c r="C19" s="6" t="inlineStr">
        <is>
          <t>Altitud máxima (msnm)</t>
        </is>
      </c>
      <c r="D19" s="7" t="n">
        <v>1887</v>
      </c>
      <c r="E19" s="8" t="n"/>
      <c r="F19" s="8" t="n"/>
    </row>
    <row r="20">
      <c r="A20" s="6" t="inlineStr">
        <is>
          <t>Amplitud altitudinal (m)</t>
        </is>
      </c>
      <c r="B20" s="7" t="n">
        <v>568</v>
      </c>
      <c r="C20" s="6" t="inlineStr">
        <is>
          <t>Piso altitudinal dominante</t>
        </is>
      </c>
      <c r="D20" s="7" t="inlineStr">
        <is>
          <t>1500-2000 m (Quechua media)</t>
        </is>
      </c>
      <c r="E20" s="8" t="n"/>
      <c r="F20" s="8" t="n"/>
    </row>
    <row r="21">
      <c r="A21" s="6" t="inlineStr">
        <is>
          <t>Pendiente promedio (%)</t>
        </is>
      </c>
      <c r="B21" s="7" t="n">
        <v>32.98</v>
      </c>
      <c r="C21" s="6" t="inlineStr">
        <is>
          <t>Pendiente promedio (grados)</t>
        </is>
      </c>
      <c r="D21" s="7" t="n">
        <v>18.3</v>
      </c>
      <c r="E21" s="8" t="n"/>
      <c r="F21" s="8" t="n"/>
    </row>
    <row r="22">
      <c r="A22" s="6" t="inlineStr">
        <is>
          <t>Clase de pendiente equivalente</t>
        </is>
      </c>
      <c r="B22" s="7" t="inlineStr">
        <is>
          <t>25-50% (Mod. escarpado)</t>
        </is>
      </c>
      <c r="C22" s="6" t="inlineStr">
        <is>
          <t>Rango de pendiente declarado en campo</t>
        </is>
      </c>
      <c r="D22" s="7" t="inlineStr">
        <is>
          <t>25-50% (Mod. escarpado)</t>
        </is>
      </c>
      <c r="E22" s="8" t="n"/>
      <c r="F22" s="8" t="n"/>
    </row>
    <row r="23">
      <c r="A23" s="6" t="inlineStr">
        <is>
          <t>Forma predominante del terreno</t>
        </is>
      </c>
      <c r="B23" s="7" t="inlineStr">
        <is>
          <t>Montañoso</t>
        </is>
      </c>
      <c r="C23" s="6" t="inlineStr">
        <is>
          <t>Posición fisiográfica</t>
        </is>
      </c>
      <c r="D23" s="7" t="inlineStr">
        <is>
          <t>Ladera media</t>
        </is>
      </c>
      <c r="E23" s="8" t="n"/>
      <c r="F23" s="8" t="n"/>
    </row>
    <row r="24">
      <c r="A24" s="6" t="inlineStr">
        <is>
          <t>Exposición / orientación</t>
        </is>
      </c>
      <c r="B24" s="7" t="inlineStr">
        <is>
          <t>Sur</t>
        </is>
      </c>
      <c r="C24" s="6" t="inlineStr">
        <is>
          <t>Afloramientos rocosos</t>
        </is>
      </c>
      <c r="D24" s="7" t="inlineStr">
        <is>
          <t>No</t>
        </is>
      </c>
      <c r="E24" s="8" t="n"/>
      <c r="F24" s="8" t="n"/>
    </row>
    <row r="25">
      <c r="A25" s="6" t="inlineStr">
        <is>
          <t>Escarpes activos</t>
        </is>
      </c>
      <c r="B25" s="7" t="inlineStr">
        <is>
          <t>Sí</t>
        </is>
      </c>
      <c r="C25" s="6" t="inlineStr">
        <is>
          <t>Remociones en masa activas</t>
        </is>
      </c>
      <c r="D25" s="7" t="inlineStr">
        <is>
          <t>No</t>
        </is>
      </c>
      <c r="E25" s="8" t="n"/>
      <c r="F25" s="8" t="n"/>
    </row>
    <row r="27" ht="18" customHeight="1">
      <c r="A27" s="5" t="inlineStr">
        <is>
          <t>3. ÍNDICES DE VEGETACIÓN (SENTINEL-2)</t>
        </is>
      </c>
    </row>
    <row r="28">
      <c r="A28" s="6" t="inlineStr">
        <is>
          <t>MSAVI 2024 — media del bloque</t>
        </is>
      </c>
      <c r="B28" s="7" t="n">
        <v>0.6748</v>
      </c>
      <c r="C28" s="6" t="inlineStr">
        <is>
          <t>MSAVI 2024 — clase de la media</t>
        </is>
      </c>
      <c r="D28" s="7" t="inlineStr">
        <is>
          <t>&gt; 0.6139 (Vigor alto)</t>
        </is>
      </c>
      <c r="E28" s="8" t="n"/>
      <c r="F28" s="8" t="n"/>
    </row>
    <row r="29">
      <c r="A29" s="6" t="inlineStr">
        <is>
          <t>Condición frente al umbral 0.4976</t>
        </is>
      </c>
      <c r="B29" s="7" t="inlineStr">
        <is>
          <t>Sobre umbral</t>
        </is>
      </c>
      <c r="C29" s="6" t="inlineStr">
        <is>
          <t>NDVI mediana 2025 — clase modal</t>
        </is>
      </c>
      <c r="D29" s="7" t="inlineStr">
        <is>
          <t>Vegetación alta (98.51 %)</t>
        </is>
      </c>
      <c r="E29" s="8" t="n"/>
      <c r="F29" s="8" t="n"/>
    </row>
    <row r="30">
      <c r="A30" s="6" t="inlineStr">
        <is>
          <t>Superficie clasificada NDVI 2025 (ha)</t>
        </is>
      </c>
      <c r="B30" s="7" t="n">
        <v>90.18000000000001</v>
      </c>
      <c r="C30" s="6" t="inlineStr">
        <is>
          <t>Desviación frente al catálogo (%)</t>
        </is>
      </c>
      <c r="D30" s="7" t="n">
        <v>0.02</v>
      </c>
      <c r="E30" s="8" t="n"/>
      <c r="F30" s="8" t="n"/>
    </row>
    <row r="32" ht="18" customHeight="1">
      <c r="A32" s="5" t="inlineStr">
        <is>
          <t>4. ECOSISTEMA Y ESTADO DE CONSERVACIÓN</t>
        </is>
      </c>
    </row>
    <row r="33">
      <c r="A33" s="6" t="inlineStr">
        <is>
          <t>Tipo de ecosistema (UP)</t>
        </is>
      </c>
      <c r="B33" s="7" t="inlineStr">
        <is>
          <t>Matorral Andino subhúmedo</t>
        </is>
      </c>
      <c r="C33" s="6" t="inlineStr">
        <is>
          <t>Superficie de ecosistema (ha)</t>
        </is>
      </c>
      <c r="D33" s="7" t="inlineStr">
        <is>
          <t>Por determinar</t>
        </is>
      </c>
      <c r="E33" s="8" t="n"/>
      <c r="F33" s="8" t="n"/>
    </row>
    <row r="34">
      <c r="A34" s="6" t="inlineStr">
        <is>
          <t>Estado de conservación</t>
        </is>
      </c>
      <c r="B34" s="7" t="inlineStr">
        <is>
          <t>Medianamente alterado</t>
        </is>
      </c>
      <c r="C34" s="6" t="inlineStr">
        <is>
          <t>Uso actual dominante del suelo</t>
        </is>
      </c>
      <c r="D34" s="7" t="inlineStr">
        <is>
          <t>Pastoreo extensivo</t>
        </is>
      </c>
      <c r="E34" s="8" t="n"/>
      <c r="F34" s="8" t="n"/>
    </row>
    <row r="35">
      <c r="A35" s="6" t="inlineStr">
        <is>
          <t>Tipo de cobertura dominante</t>
        </is>
      </c>
      <c r="B35" s="7" t="inlineStr">
        <is>
          <t>Matorral denso</t>
        </is>
      </c>
      <c r="C35" s="6" t="inlineStr">
        <is>
          <t>Cobertura vegetal total — campo (%)</t>
        </is>
      </c>
      <c r="D35" s="7" t="inlineStr">
        <is>
          <t>Por determinar</t>
        </is>
      </c>
      <c r="E35" s="8" t="n"/>
      <c r="F35" s="8" t="n"/>
    </row>
    <row r="36">
      <c r="A36" s="6" t="inlineStr">
        <is>
          <t>Suelo desnudo — campo (%)</t>
        </is>
      </c>
      <c r="B36" s="7" t="inlineStr">
        <is>
          <t>Por determinar</t>
        </is>
      </c>
      <c r="C36" s="6" t="inlineStr">
        <is>
          <t>Regeneración natural</t>
        </is>
      </c>
      <c r="D36" s="7" t="inlineStr">
        <is>
          <t>Escasa (&lt;10 pl./100m²)</t>
        </is>
      </c>
      <c r="E36" s="8" t="n"/>
      <c r="F36" s="8" t="n"/>
    </row>
    <row r="37">
      <c r="A37" s="6" t="inlineStr">
        <is>
          <t>Nivel general de erosión</t>
        </is>
      </c>
      <c r="B37" s="7" t="inlineStr">
        <is>
          <t>Moderada (surcos)</t>
        </is>
      </c>
      <c r="C37" s="6" t="inlineStr">
        <is>
          <t>N.° de cárcavas registradas</t>
        </is>
      </c>
      <c r="D37" s="7" t="n">
        <v>0</v>
      </c>
      <c r="E37" s="8" t="n"/>
      <c r="F37" s="8" t="n"/>
    </row>
    <row r="38">
      <c r="A38" s="6" t="inlineStr">
        <is>
          <t>Elenco florístico (n.° de taxones)</t>
        </is>
      </c>
      <c r="B38" s="7" t="n">
        <v>10</v>
      </c>
      <c r="C38" s="6" t="inlineStr">
        <is>
          <t>Estado sanitario</t>
        </is>
      </c>
      <c r="D38" s="7" t="inlineStr">
        <is>
          <t>Sano</t>
        </is>
      </c>
      <c r="E38" s="8" t="n"/>
      <c r="F38" s="8" t="n"/>
    </row>
    <row r="40" ht="18" customHeight="1">
      <c r="A40" s="5" t="inlineStr">
        <is>
          <t>5. RESPONSABLE Y MODALIDAD DE LA EVALUACIÓN</t>
        </is>
      </c>
    </row>
    <row r="41">
      <c r="A41" s="6" t="inlineStr">
        <is>
          <t>Responsable de la evaluación</t>
        </is>
      </c>
      <c r="B41" s="7" t="inlineStr">
        <is>
          <t>Ing. Juan Domínguez y Blgo. Abel Aucasime</t>
        </is>
      </c>
      <c r="C41" s="6" t="inlineStr">
        <is>
          <t>Fecha de evaluación</t>
        </is>
      </c>
      <c r="D41" s="7" t="inlineStr">
        <is>
          <t>2026-07-21</t>
        </is>
      </c>
      <c r="E41" s="8" t="n"/>
      <c r="F41" s="8" t="n"/>
    </row>
    <row r="42">
      <c r="A42" s="6" t="inlineStr">
        <is>
          <t>Hora de registro</t>
        </is>
      </c>
      <c r="B42" s="7" t="inlineStr">
        <is>
          <t>Por registrar</t>
        </is>
      </c>
      <c r="C42" s="6" t="inlineStr">
        <is>
          <t>Correlativo de ficha</t>
        </is>
      </c>
      <c r="D42" s="7" t="inlineStr">
        <is>
          <t>F-DT-01-24</t>
        </is>
      </c>
      <c r="E42" s="8" t="n"/>
      <c r="F42" s="8" t="n"/>
    </row>
    <row r="43">
      <c r="A43" s="6" t="inlineStr">
        <is>
          <t>Entidad</t>
        </is>
      </c>
      <c r="B43" s="7" t="inlineStr">
        <is>
          <t>ANIN - DIME - SESDI</t>
        </is>
      </c>
      <c r="C43" s="6" t="inlineStr">
        <is>
          <t>Fase del estudio</t>
        </is>
      </c>
      <c r="D43" s="7" t="inlineStr">
        <is>
          <t>Preinversión (Perfil) · Invierte.pe</t>
        </is>
      </c>
      <c r="E43" s="8" t="n"/>
      <c r="F43" s="8" t="n"/>
    </row>
    <row r="44">
      <c r="A44" s="6" t="inlineStr">
        <is>
          <t>Instrumento aplicado</t>
        </is>
      </c>
      <c r="B44" s="7" t="inlineStr">
        <is>
          <t>Fichas F-DT-01 a F-DT-05 (Plantilla V5)</t>
        </is>
      </c>
      <c r="C44" s="6" t="inlineStr">
        <is>
          <t>Parcela de muestreo</t>
        </is>
      </c>
      <c r="D44" s="7" t="inlineStr">
        <is>
          <t>Por determinar</t>
        </is>
      </c>
      <c r="E44" s="8" t="n"/>
      <c r="F44" s="8" t="n"/>
    </row>
    <row r="45">
      <c r="A45" s="6" t="inlineStr">
        <is>
          <t>Estaciones fotográficas georreferenciadas</t>
        </is>
      </c>
      <c r="B45" s="7" t="inlineStr">
        <is>
          <t>Sin registro en la ficha DT</t>
        </is>
      </c>
      <c r="C45" s="6" t="inlineStr">
        <is>
          <t>Modalidad de acceso</t>
        </is>
      </c>
      <c r="D45" s="7" t="inlineStr">
        <is>
          <t>Vehicular + caminata &lt;30 min</t>
        </is>
      </c>
      <c r="E45" s="8" t="n"/>
      <c r="F45" s="8" t="n"/>
    </row>
    <row r="47" ht="18" customHeight="1">
      <c r="A47" s="5" t="inlineStr">
        <is>
          <t>6. SÍNTESIS PARA LA GESTIÓN DEL RIESGO EN CONTEXTO DE CAMBIO CLIMÁTICO</t>
        </is>
      </c>
    </row>
    <row r="48">
      <c r="A48" s="6" t="inlineStr">
        <is>
          <t>Causa subyacente principal</t>
        </is>
      </c>
      <c r="B48" s="7" t="inlineStr">
        <is>
          <t>Ocupación productiva de laderas de fuerte pendiente sin prácticas de conservación de suelos, favorecida por la accesibilidad vial</t>
        </is>
      </c>
      <c r="C48" s="6" t="inlineStr">
        <is>
          <t>Velocidad de degradación</t>
        </is>
      </c>
      <c r="D48" s="7" t="inlineStr">
        <is>
          <t>Moderada</t>
        </is>
      </c>
      <c r="E48" s="8" t="n"/>
      <c r="F48" s="8" t="n"/>
    </row>
    <row r="49">
      <c r="A49" s="6" t="inlineStr">
        <is>
          <t>Reversibilidad técnica</t>
        </is>
      </c>
      <c r="B49" s="7" t="inlineStr">
        <is>
          <t>Parcialmente reversible</t>
        </is>
      </c>
      <c r="C49" s="6" t="inlineStr">
        <is>
          <t>Urgencia de intervención</t>
        </is>
      </c>
      <c r="D49" s="7" t="inlineStr">
        <is>
          <t>Media</t>
        </is>
      </c>
      <c r="E49" s="8" t="n"/>
      <c r="F49" s="8" t="n"/>
    </row>
    <row r="50">
      <c r="A50" s="6" t="inlineStr">
        <is>
          <t>Urgencia de control de erosión</t>
        </is>
      </c>
      <c r="B50" s="7" t="inlineStr">
        <is>
          <t>Media</t>
        </is>
      </c>
      <c r="C50" s="6" t="inlineStr">
        <is>
          <t>Zona de recarga hídrica</t>
        </is>
      </c>
      <c r="D50" s="7" t="inlineStr">
        <is>
          <t>Sí</t>
        </is>
      </c>
      <c r="E50" s="8" t="n"/>
      <c r="F50" s="8" t="n"/>
    </row>
    <row r="51">
      <c r="A51" s="6" t="inlineStr">
        <is>
          <t>Peligro integrado preliminar (MCA-AHP)</t>
        </is>
      </c>
      <c r="B51" s="7" t="inlineStr">
        <is>
          <t>No disponible en los insumos; debe tomarse del modelamiento de mesolocalización</t>
        </is>
      </c>
      <c r="C51" s="6" t="inlineStr">
        <is>
          <t>Prioridad de intervención</t>
        </is>
      </c>
      <c r="D51" s="7" t="inlineStr">
        <is>
          <t>Por definir en mesolocalización</t>
        </is>
      </c>
      <c r="E51" s="8" t="n"/>
      <c r="F51" s="8" t="n"/>
    </row>
    <row r="52">
      <c r="A52" s="6" t="inlineStr">
        <is>
          <t>Estado de verificación de campo</t>
        </is>
      </c>
      <c r="B52" s="7" t="inlineStr">
        <is>
          <t>VERIFICADO</t>
        </is>
      </c>
      <c r="C52" s="6" t="inlineStr">
        <is>
          <t>Marco del indicador de brecha</t>
        </is>
      </c>
      <c r="D52" s="7" t="inlineStr">
        <is>
          <t>R.M. N.° 00213-2024-MINAM</t>
        </is>
      </c>
      <c r="E52" s="8" t="n"/>
      <c r="F52" s="8" t="n"/>
    </row>
    <row r="54" ht="72" customHeight="1">
      <c r="A54"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t>
        </is>
      </c>
    </row>
  </sheetData>
  <mergeCells count="13">
    <mergeCell ref="A2:F2"/>
    <mergeCell ref="A54:F54"/>
    <mergeCell ref="A47:F47"/>
    <mergeCell ref="A1:F1"/>
    <mergeCell ref="A5:F5"/>
    <mergeCell ref="A32:F32"/>
    <mergeCell ref="A27:F27"/>
    <mergeCell ref="A8:F8"/>
    <mergeCell ref="A6:F6"/>
    <mergeCell ref="A40:F40"/>
    <mergeCell ref="A18:F18"/>
    <mergeCell ref="A4:F4"/>
    <mergeCell ref="A3:F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6"/>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24</t>
        </is>
      </c>
    </row>
    <row r="6" ht="24" customHeight="1">
      <c r="A6" s="4" t="inlineStr">
        <is>
          <t>MSAVI 2024 y NDVI mediana 2025 (Sentinel-2, mosaico Piura) · Umbral de brecha del proyecto: MSAVI = 0.4976</t>
        </is>
      </c>
    </row>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11" t="inlineStr">
        <is>
          <t>&gt; 0.6139</t>
        </is>
      </c>
      <c r="B10" s="12" t="inlineStr">
        <is>
          <t>Por determinar</t>
        </is>
      </c>
      <c r="C10" s="12" t="inlineStr">
        <is>
          <t>Por determinar</t>
        </is>
      </c>
      <c r="D10" s="12" t="inlineStr">
        <is>
          <t>Vigor alto</t>
        </is>
      </c>
      <c r="E10" s="12" t="inlineStr">
        <is>
          <t>Sobre umbral</t>
        </is>
      </c>
    </row>
    <row r="11">
      <c r="A11" s="13" t="inlineStr">
        <is>
          <t>0.4976 - 0.6139</t>
        </is>
      </c>
      <c r="B11" s="14" t="inlineStr">
        <is>
          <t>Por determinar</t>
        </is>
      </c>
      <c r="C11" s="14" t="inlineStr">
        <is>
          <t>Por determinar</t>
        </is>
      </c>
      <c r="D11" s="14" t="inlineStr">
        <is>
          <t>Vigor moderado</t>
        </is>
      </c>
      <c r="E11" s="14" t="inlineStr">
        <is>
          <t>Sobre umbral</t>
        </is>
      </c>
    </row>
    <row r="12">
      <c r="A12" s="7" t="inlineStr">
        <is>
          <t>0.3813 - 0.4976</t>
        </is>
      </c>
      <c r="B12" s="15" t="inlineStr">
        <is>
          <t>Por determinar</t>
        </is>
      </c>
      <c r="C12" s="15" t="inlineStr">
        <is>
          <t>Por determinar</t>
        </is>
      </c>
      <c r="D12" s="15" t="inlineStr">
        <is>
          <t>Vigor bajo</t>
        </is>
      </c>
      <c r="E12" s="15" t="inlineStr">
        <is>
          <t>BAJO umbral 0.4976</t>
        </is>
      </c>
    </row>
    <row r="13">
      <c r="A13" s="13" t="inlineStr">
        <is>
          <t>0.2650 - 0.3813</t>
        </is>
      </c>
      <c r="B13" s="14" t="inlineStr">
        <is>
          <t>Por determinar</t>
        </is>
      </c>
      <c r="C13" s="14" t="inlineStr">
        <is>
          <t>Por determinar</t>
        </is>
      </c>
      <c r="D13" s="14" t="inlineStr">
        <is>
          <t>Vigor muy bajo</t>
        </is>
      </c>
      <c r="E13" s="14" t="inlineStr">
        <is>
          <t>BAJO umbral 0.4976</t>
        </is>
      </c>
    </row>
    <row r="14">
      <c r="A14" s="7" t="inlineStr">
        <is>
          <t>&lt;= 0.2650</t>
        </is>
      </c>
      <c r="B14" s="15" t="inlineStr">
        <is>
          <t>Por determinar</t>
        </is>
      </c>
      <c r="C14" s="15" t="inlineStr">
        <is>
          <t>Por determinar</t>
        </is>
      </c>
      <c r="D14" s="15" t="inlineStr">
        <is>
          <t>Suelo desnudo / no vegetal</t>
        </is>
      </c>
      <c r="E14" s="15" t="inlineStr">
        <is>
          <t>BAJO umbral 0.4976</t>
        </is>
      </c>
    </row>
    <row r="15">
      <c r="A15" s="16" t="inlineStr">
        <is>
          <t>MSAVI 2024 — MEDIA DEL BLOQUE</t>
        </is>
      </c>
      <c r="B15" s="17" t="n">
        <v>0.674839</v>
      </c>
      <c r="C15" s="17" t="inlineStr">
        <is>
          <t>—</t>
        </is>
      </c>
      <c r="D15" s="17" t="inlineStr">
        <is>
          <t>Vigor alto · clase &gt; 0.6139</t>
        </is>
      </c>
      <c r="E15" s="17" t="inlineStr">
        <is>
          <t>Sobre umbral</t>
        </is>
      </c>
    </row>
    <row r="17" ht="72" customHeight="1">
      <c r="A17" s="9" t="inlineStr">
        <is>
          <t>NOTA METODOLÓGICA. La media del MSAVI 2024 del bloque (0.674839) procede del catálogo maestro de bloques V5/V6 y es dato oficial. La DISTRIBUCIÓN AREAL por clase de MSAVI no está disponible como estadística zonal en los insumos de este entregable: se consigna «Por determinar» y NO se estima, conforme a la declaración de integridad de datos del proyecto. La fila resaltada indica la clase en la que cae la media del bloque. Para el dimensionamiento de metas físicas debe ejecutarse estadística zonal directa sobre el ráster MSAVI 2024 recortado al polígono.</t>
        </is>
      </c>
    </row>
    <row r="19" ht="18" customHeight="1">
      <c r="A19" s="5" t="inlineStr">
        <is>
          <t>B. NDVI MEDIANA 2025 — DISTRIBUCIÓN AREAL (ESTADÍSTICA ZONAL)</t>
        </is>
      </c>
    </row>
    <row r="20" ht="28" customHeight="1">
      <c r="A20" s="10" t="inlineStr">
        <is>
          <t>Clase NDVI</t>
        </is>
      </c>
      <c r="B20" s="10" t="inlineStr">
        <is>
          <t>Superficie (ha)</t>
        </is>
      </c>
      <c r="C20" s="10" t="inlineStr">
        <is>
          <t>% del área clasificada</t>
        </is>
      </c>
      <c r="D20" s="10" t="inlineStr">
        <is>
          <t>Interpretación</t>
        </is>
      </c>
      <c r="E20" s="10" t="inlineStr">
        <is>
          <t>Observación</t>
        </is>
      </c>
    </row>
    <row r="21">
      <c r="A21" s="7" t="inlineStr">
        <is>
          <t>Vegetación alta</t>
        </is>
      </c>
      <c r="B21" s="18" t="n">
        <v>88.8379</v>
      </c>
      <c r="C21" s="19" t="n">
        <v>98.51000000000001</v>
      </c>
      <c r="D21" s="15" t="inlineStr">
        <is>
          <t>Dosel continuo, matorral denso o mosaico agroforestal</t>
        </is>
      </c>
      <c r="E21" s="15" t="inlineStr"/>
    </row>
    <row r="22">
      <c r="A22" s="13" t="inlineStr">
        <is>
          <t>Vegetación mediana</t>
        </is>
      </c>
      <c r="B22" s="20" t="n">
        <v>1.3421</v>
      </c>
      <c r="C22" s="21" t="n">
        <v>1.49</v>
      </c>
      <c r="D22" s="14" t="inlineStr">
        <is>
          <t>Pastizal cultivado, matorral ralo, parcelas agrícolas</t>
        </is>
      </c>
      <c r="E22" s="14" t="inlineStr"/>
    </row>
    <row r="23">
      <c r="A23" s="16" t="inlineStr">
        <is>
          <t>TOTAL CLASIFICADO</t>
        </is>
      </c>
      <c r="B23" s="22">
        <f>SUM(B21:B22)</f>
        <v/>
      </c>
      <c r="C23" s="23">
        <f>SUM(C21:C22)</f>
        <v/>
      </c>
      <c r="D23" s="17" t="inlineStr"/>
      <c r="E23" s="17" t="inlineStr"/>
    </row>
    <row r="24">
      <c r="A24" s="24" t="inlineStr">
        <is>
          <t>Superficie de catálogo (V5/V6)</t>
        </is>
      </c>
      <c r="B24" s="25" t="n">
        <v>90.16</v>
      </c>
      <c r="C24" s="25" t="inlineStr">
        <is>
          <t>—</t>
        </is>
      </c>
      <c r="D24" s="25" t="inlineStr">
        <is>
          <t>Desviación planimétrica frente al catálogo</t>
        </is>
      </c>
      <c r="E24" s="25" t="inlineStr">
        <is>
          <t>+0.02 %</t>
        </is>
      </c>
    </row>
    <row r="26" ht="72" customHeight="1">
      <c r="A26"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t>
        </is>
      </c>
    </row>
  </sheetData>
  <mergeCells count="10">
    <mergeCell ref="A4:E4"/>
    <mergeCell ref="A26:E26"/>
    <mergeCell ref="A2:E2"/>
    <mergeCell ref="A19:E19"/>
    <mergeCell ref="A1:E1"/>
    <mergeCell ref="A5:E5"/>
    <mergeCell ref="A8:E8"/>
    <mergeCell ref="A6:E6"/>
    <mergeCell ref="A17:E17"/>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8"/>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24</t>
        </is>
      </c>
    </row>
    <row r="6" ht="24" customHeight="1">
      <c r="A6" s="4" t="inlineStr">
        <is>
          <t>Levantamiento del 2026-07-21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5" t="inlineStr">
        <is>
          <t>Punto de muestreo declarado en ficha DT</t>
        </is>
      </c>
      <c r="C10" s="26" t="n">
        <v>652191</v>
      </c>
      <c r="D10" s="26" t="n">
        <v>9414358</v>
      </c>
      <c r="E10" s="15" t="n">
        <v>0</v>
      </c>
      <c r="F10" s="15" t="inlineStr"/>
      <c r="G10" s="15" t="inlineStr">
        <is>
          <t>Coordenada consignada en F-DT-01</t>
        </is>
      </c>
    </row>
    <row r="11">
      <c r="A11" s="13" t="inlineStr">
        <is>
          <t>H-01</t>
        </is>
      </c>
      <c r="B11" s="14" t="inlineStr">
        <is>
          <t>Fuente de agua — Quebrada estacional</t>
        </is>
      </c>
      <c r="C11" s="27" t="inlineStr">
        <is>
          <t>Por determinar</t>
        </is>
      </c>
      <c r="D11" s="27" t="inlineStr">
        <is>
          <t>Por determinar</t>
        </is>
      </c>
      <c r="E11" s="14" t="inlineStr"/>
      <c r="F11" s="14" t="inlineStr">
        <is>
          <t>Efímero</t>
        </is>
      </c>
      <c r="G11" s="14" t="inlineStr">
        <is>
          <t>Quebradas secas identificadas</t>
        </is>
      </c>
    </row>
    <row r="12">
      <c r="A12" s="7" t="inlineStr">
        <is>
          <t>H-02</t>
        </is>
      </c>
      <c r="B12" s="15" t="inlineStr">
        <is>
          <t>Fuente de agua — Quebrada estacional</t>
        </is>
      </c>
      <c r="C12" s="26" t="inlineStr">
        <is>
          <t>Por determinar</t>
        </is>
      </c>
      <c r="D12" s="26" t="inlineStr">
        <is>
          <t>Por determinar</t>
        </is>
      </c>
      <c r="E12" s="15" t="inlineStr"/>
      <c r="F12" s="15" t="inlineStr">
        <is>
          <t>Estacional</t>
        </is>
      </c>
      <c r="G12" s="15" t="inlineStr">
        <is>
          <t>Quebrada s/n colindante</t>
        </is>
      </c>
    </row>
    <row r="13">
      <c r="A13" s="16" t="inlineStr">
        <is>
          <t>TOTAL: 3 puntos</t>
        </is>
      </c>
      <c r="B13" s="17" t="inlineStr"/>
      <c r="C13" s="17" t="inlineStr"/>
      <c r="D13" s="17" t="inlineStr"/>
      <c r="E13" s="17" t="inlineStr"/>
      <c r="F13" s="17" t="inlineStr"/>
      <c r="G13" s="17" t="inlineStr"/>
    </row>
    <row r="15">
      <c r="A15" s="6" t="inlineStr">
        <is>
          <t>Centroide del bloque — UTM ESTE (m)</t>
        </is>
      </c>
      <c r="B15" s="7" t="n">
        <v>652191</v>
      </c>
      <c r="C15" s="6" t="inlineStr">
        <is>
          <t>Centroide del bloque — UTM NORTE (m)</t>
        </is>
      </c>
      <c r="D15" s="7" t="n">
        <v>9414358</v>
      </c>
      <c r="E15" s="8" t="n"/>
      <c r="F15" s="8" t="n"/>
      <c r="G15" s="8" t="n"/>
      <c r="H15" s="8" t="n"/>
    </row>
    <row r="16">
      <c r="A16" s="6" t="inlineStr">
        <is>
          <t>N.° de estaciones fotográficas declaradas</t>
        </is>
      </c>
      <c r="B16" s="7" t="inlineStr">
        <is>
          <t>Sin registro en la ficha DT</t>
        </is>
      </c>
      <c r="C16" s="6" t="inlineStr">
        <is>
          <t>Estaciones dentro del polígono</t>
        </is>
      </c>
      <c r="D16" s="7" t="inlineStr">
        <is>
          <t>Por determinar</t>
        </is>
      </c>
      <c r="E16" s="8" t="n"/>
      <c r="F16" s="8" t="n"/>
      <c r="G16" s="8" t="n"/>
      <c r="H16" s="8" t="n"/>
    </row>
    <row r="18" ht="108" customHeight="1">
      <c r="A18"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Coordenadas correspondientes al CENTROIDE del polígono (Bloques V4/V5), no a un punto de muestreo GPS. Altitud GPS de campo 1370 msnm. Rango altitudinal del bloque según MDE: 1319-1887 msnm (amplitud 568 m); pendiente promedio 32.98%. Acceso: vía afirmada Canchaque – Coyona, margen derecha de una quebrada s/n.</t>
        </is>
      </c>
    </row>
  </sheetData>
  <mergeCells count="8">
    <mergeCell ref="A1:G1"/>
    <mergeCell ref="A18:G18"/>
    <mergeCell ref="A8:G8"/>
    <mergeCell ref="A3:G3"/>
    <mergeCell ref="A6:G6"/>
    <mergeCell ref="A4:G4"/>
    <mergeCell ref="A2:G2"/>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3"/>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C1081-Q9583 — BLOQUE 24</t>
        </is>
      </c>
    </row>
    <row r="6" ht="24" customHeight="1">
      <c r="A6" s="4" t="inlineStr">
        <is>
          <t>Distrito de Canchaque · Provincia de Huancabamba · Comparación de los bloques preliminares de intervención de la misma microcuenca</t>
        </is>
      </c>
    </row>
    <row r="8" ht="18" customHeight="1">
      <c r="A8" s="5" t="inlineStr">
        <is>
          <t>BLOQUES DE LA MICROCUENCA C1081-Q9583</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row>
    <row r="10">
      <c r="A10" s="7" t="inlineStr">
        <is>
          <t>M11B3</t>
        </is>
      </c>
      <c r="B10" s="28" t="n">
        <v>106.03</v>
      </c>
      <c r="C10" s="19" t="n">
        <v>26.64</v>
      </c>
      <c r="D10" s="15" t="inlineStr">
        <is>
          <t>278 – 477</t>
        </is>
      </c>
      <c r="E10" s="15" t="n">
        <v>199</v>
      </c>
      <c r="F10" s="15" t="n">
        <v>18.11</v>
      </c>
      <c r="G10" s="18" t="n">
        <v>0.3956</v>
      </c>
      <c r="H10" s="19" t="n">
        <v>21.16</v>
      </c>
    </row>
    <row r="11">
      <c r="A11" s="11" t="inlineStr">
        <is>
          <t>► 24</t>
        </is>
      </c>
      <c r="B11" s="29" t="n">
        <v>90.16</v>
      </c>
      <c r="C11" s="30" t="n">
        <v>22.65</v>
      </c>
      <c r="D11" s="12" t="inlineStr">
        <is>
          <t>1319 – 1887</t>
        </is>
      </c>
      <c r="E11" s="12" t="n">
        <v>568</v>
      </c>
      <c r="F11" s="12" t="n">
        <v>32.98</v>
      </c>
      <c r="G11" s="31" t="n">
        <v>0.6748</v>
      </c>
      <c r="H11" s="30" t="n">
        <v>98.51000000000001</v>
      </c>
    </row>
    <row r="12">
      <c r="A12" s="7" t="inlineStr">
        <is>
          <t>87</t>
        </is>
      </c>
      <c r="B12" s="28" t="n">
        <v>62.219</v>
      </c>
      <c r="C12" s="19" t="n">
        <v>15.63</v>
      </c>
      <c r="D12" s="15" t="inlineStr">
        <is>
          <t>Por determinar</t>
        </is>
      </c>
      <c r="E12" s="15" t="inlineStr">
        <is>
          <t>Por determinar</t>
        </is>
      </c>
      <c r="F12" s="15" t="inlineStr">
        <is>
          <t>Por determinar</t>
        </is>
      </c>
      <c r="G12" s="18" t="n">
        <v>0.2487</v>
      </c>
      <c r="H12" s="19" t="n">
        <v>0.34</v>
      </c>
    </row>
    <row r="13">
      <c r="A13" s="13" t="inlineStr">
        <is>
          <t>63</t>
        </is>
      </c>
      <c r="B13" s="32" t="n">
        <v>50.46</v>
      </c>
      <c r="C13" s="21" t="n">
        <v>12.68</v>
      </c>
      <c r="D13" s="14" t="inlineStr">
        <is>
          <t>1508 – 2080</t>
        </is>
      </c>
      <c r="E13" s="14" t="n">
        <v>572</v>
      </c>
      <c r="F13" s="14" t="n">
        <v>35.5</v>
      </c>
      <c r="G13" s="20" t="n">
        <v>0.6036</v>
      </c>
      <c r="H13" s="21" t="n">
        <v>99.2</v>
      </c>
    </row>
    <row r="14">
      <c r="A14" s="7" t="inlineStr">
        <is>
          <t>86</t>
        </is>
      </c>
      <c r="B14" s="28" t="n">
        <v>30.001</v>
      </c>
      <c r="C14" s="19" t="n">
        <v>7.54</v>
      </c>
      <c r="D14" s="15" t="inlineStr">
        <is>
          <t>Por determinar</t>
        </is>
      </c>
      <c r="E14" s="15" t="inlineStr">
        <is>
          <t>Por determinar</t>
        </is>
      </c>
      <c r="F14" s="15" t="inlineStr">
        <is>
          <t>Por determinar</t>
        </is>
      </c>
      <c r="G14" s="18" t="n">
        <v>0.2735</v>
      </c>
      <c r="H14" s="19" t="n">
        <v>1.05</v>
      </c>
    </row>
    <row r="15">
      <c r="A15" s="13" t="inlineStr">
        <is>
          <t>83</t>
        </is>
      </c>
      <c r="B15" s="32" t="n">
        <v>24.344</v>
      </c>
      <c r="C15" s="21" t="n">
        <v>6.12</v>
      </c>
      <c r="D15" s="14" t="inlineStr">
        <is>
          <t>Por determinar</t>
        </is>
      </c>
      <c r="E15" s="14" t="inlineStr">
        <is>
          <t>Por determinar</t>
        </is>
      </c>
      <c r="F15" s="14" t="inlineStr">
        <is>
          <t>Por determinar</t>
        </is>
      </c>
      <c r="G15" s="20" t="n">
        <v>0.3055</v>
      </c>
      <c r="H15" s="21" t="n">
        <v>2.88</v>
      </c>
    </row>
    <row r="16">
      <c r="A16" s="7" t="inlineStr">
        <is>
          <t>77</t>
        </is>
      </c>
      <c r="B16" s="28" t="n">
        <v>17.82</v>
      </c>
      <c r="C16" s="19" t="n">
        <v>4.48</v>
      </c>
      <c r="D16" s="15" t="inlineStr">
        <is>
          <t>242 – 346</t>
        </is>
      </c>
      <c r="E16" s="15" t="n">
        <v>104</v>
      </c>
      <c r="F16" s="15" t="n">
        <v>13.71</v>
      </c>
      <c r="G16" s="18" t="n">
        <v>0.2725</v>
      </c>
      <c r="H16" s="19" t="n">
        <v>0.11</v>
      </c>
    </row>
    <row r="17">
      <c r="A17" s="13" t="inlineStr">
        <is>
          <t>85</t>
        </is>
      </c>
      <c r="B17" s="32" t="n">
        <v>11.906</v>
      </c>
      <c r="C17" s="21" t="n">
        <v>2.99</v>
      </c>
      <c r="D17" s="14" t="inlineStr">
        <is>
          <t>Por determinar</t>
        </is>
      </c>
      <c r="E17" s="14" t="inlineStr">
        <is>
          <t>Por determinar</t>
        </is>
      </c>
      <c r="F17" s="14" t="inlineStr">
        <is>
          <t>Por determinar</t>
        </is>
      </c>
      <c r="G17" s="20" t="n">
        <v>0.2289</v>
      </c>
      <c r="H17" s="21" t="n">
        <v>0</v>
      </c>
    </row>
    <row r="18">
      <c r="A18" s="7" t="inlineStr">
        <is>
          <t>84</t>
        </is>
      </c>
      <c r="B18" s="28" t="n">
        <v>5.097</v>
      </c>
      <c r="C18" s="19" t="n">
        <v>1.28</v>
      </c>
      <c r="D18" s="15" t="inlineStr">
        <is>
          <t>Por determinar</t>
        </is>
      </c>
      <c r="E18" s="15" t="inlineStr">
        <is>
          <t>Por determinar</t>
        </is>
      </c>
      <c r="F18" s="15" t="inlineStr">
        <is>
          <t>Por determinar</t>
        </is>
      </c>
      <c r="G18" s="18" t="n">
        <v>0.2516</v>
      </c>
      <c r="H18" s="19" t="n">
        <v>0</v>
      </c>
    </row>
    <row r="19">
      <c r="A19" s="16" t="inlineStr">
        <is>
          <t>TOTAL / PROMEDIO</t>
        </is>
      </c>
      <c r="B19" s="33">
        <f>SUM(B10:B18)</f>
        <v/>
      </c>
      <c r="C19" s="23">
        <f>SUM(C10:C18)</f>
        <v/>
      </c>
      <c r="D19" s="17" t="inlineStr">
        <is>
          <t>242 – 2080</t>
        </is>
      </c>
      <c r="E19" s="17" t="inlineStr"/>
      <c r="F19" s="17">
        <f>ROUND(AVERAGE(F10:F18),2)</f>
        <v/>
      </c>
      <c r="G19" s="22">
        <f>ROUND(AVERAGE(G10:G18),4)</f>
        <v/>
      </c>
      <c r="H19" s="23">
        <f>ROUND(AVERAGE(H10:H18),2)</f>
        <v/>
      </c>
    </row>
    <row r="21" ht="84" customHeight="1">
      <c r="A21" s="9" t="inlineStr">
        <is>
          <t>LECTURA INTRAMICROCUENCA. El bloque 24 ocupa el puesto 2 de 9 por superficie dentro de la microcuenca C1081-Q9583 (22.65 % de las 398.04 ha preliminares de la microcuenca). Su pendiente promedio (32.98 %, clase «25-50% (Mod. escarpado)») es la 3.ª más baja de 4 y se sitúa por encima del promedio de la microcuenca (25.08 %). Su MSAVI 2024 (0.6748) es el 1.º de 9 y queda por encima del promedio local (0.3616). Amplitud altitudinal del bloque: 568 m (1319–1887 msnm). El cuadro conserva todos los bloques catalogados en la microcuenca, incluidos los descartados en el tamizaje, para referencia del conjunto. Los bloques sin ficha DT figuran con sus parámetros de gabinete.</t>
        </is>
      </c>
    </row>
    <row r="23" ht="60" customHeight="1">
      <c r="A23"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t>
        </is>
      </c>
    </row>
  </sheetData>
  <mergeCells count="9">
    <mergeCell ref="A1:H1"/>
    <mergeCell ref="A4:H4"/>
    <mergeCell ref="A3:H3"/>
    <mergeCell ref="A21:H21"/>
    <mergeCell ref="A2:H2"/>
    <mergeCell ref="A5:H5"/>
    <mergeCell ref="A23:H23"/>
    <mergeCell ref="A8:H8"/>
    <mergeCell ref="A6:H6"/>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0"/>
  <sheetViews>
    <sheetView showGridLines="0" workbookViewId="0">
      <pane ySplit="6" topLeftCell="A7" activePane="bottomLeft" state="frozen"/>
      <selection pane="bottomLeft" activeCell="A1" sqref="A1"/>
    </sheetView>
  </sheetViews>
  <sheetFormatPr baseColWidth="8" defaultRowHeight="15"/>
  <cols>
    <col width="9" customWidth="1" min="1" max="1"/>
    <col width="32" customWidth="1" min="2" max="2"/>
    <col width="60" customWidth="1" min="3" max="3"/>
    <col width="18" customWidth="1" min="4" max="4"/>
    <col width="62"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CONTROL DE CONSISTENCIA DE LA INFORMACIÓN — BLOQUE 24</t>
        </is>
      </c>
    </row>
    <row r="6" ht="24" customHeight="1">
      <c r="A6" s="4" t="inlineStr">
        <is>
          <t>Discrepancias detectadas entre el registro de campo, los productos de gabinete y el catálogo maestro. Calificación: SUSTANTIVA / NO SUSTANTIVA / CORREGIDO / CONFORME.</t>
        </is>
      </c>
    </row>
    <row r="8" ht="18" customHeight="1">
      <c r="A8" s="5" t="inlineStr">
        <is>
          <t>DISCREPANCIAS Y VERIFICACIONES</t>
        </is>
      </c>
    </row>
    <row r="9" ht="28" customHeight="1">
      <c r="A9" s="10" t="inlineStr">
        <is>
          <t>Cód.</t>
        </is>
      </c>
      <c r="B9" s="10" t="inlineStr">
        <is>
          <t>Campo afectado</t>
        </is>
      </c>
      <c r="C9" s="10" t="inlineStr">
        <is>
          <t>Discrepancia observada</t>
        </is>
      </c>
      <c r="D9" s="10" t="inlineStr">
        <is>
          <t>Calificación</t>
        </is>
      </c>
      <c r="E9" s="10" t="inlineStr">
        <is>
          <t>Tratamiento adoptado</t>
        </is>
      </c>
    </row>
    <row r="10" ht="48" customHeight="1">
      <c r="A10" s="34" t="inlineStr">
        <is>
          <t>D-01</t>
        </is>
      </c>
      <c r="B10" s="34" t="inlineStr">
        <is>
          <t>Código de microcuenca</t>
        </is>
      </c>
      <c r="C10" s="34" t="inlineStr">
        <is>
          <t>La ficha DT declara «C1076-Q9584»; el catálogo maestro V5/V6 asigna el bloque a «C1081-Q9583»</t>
        </is>
      </c>
      <c r="D10" s="35" t="inlineStr">
        <is>
          <t>SUSTANTIVA</t>
        </is>
      </c>
      <c r="E10" s="34" t="inlineStr">
        <is>
          <t>Se conserva el código del catálogo maestro para todo cálculo intramicrocuenca. La declaración de la ficha debe corregirse en la siguiente versión del formato V5.</t>
        </is>
      </c>
    </row>
    <row r="11" ht="48" customHeight="1">
      <c r="A11" s="36" t="inlineStr">
        <is>
          <t>D-02</t>
        </is>
      </c>
      <c r="B11" s="36" t="inlineStr">
        <is>
          <t>UTM del punto de muestreo</t>
        </is>
      </c>
      <c r="C11" s="36" t="inlineStr">
        <is>
          <t>El punto de muestreo declarado dista 0 m del centroide de catálogo, compatible con la extensión del bloque</t>
        </is>
      </c>
      <c r="D11" s="37" t="inlineStr">
        <is>
          <t>CONFORME</t>
        </is>
      </c>
      <c r="E11" s="36" t="inlineStr">
        <is>
          <t>Sin acción.</t>
        </is>
      </c>
    </row>
    <row r="12" ht="48" customHeight="1">
      <c r="A12" s="34" t="inlineStr">
        <is>
          <t>D-03</t>
        </is>
      </c>
      <c r="B12" s="34" t="inlineStr">
        <is>
          <t>Superficie del polígono</t>
        </is>
      </c>
      <c r="C12" s="34" t="inlineStr">
        <is>
          <t>La superficie clasificada por el NDVI 2025 (90.180 ha) coincide con la de catálogo (90.16 ha) dentro del ±2 % (+0.02 %)</t>
        </is>
      </c>
      <c r="D12" s="37" t="inlineStr">
        <is>
          <t>CONFORME</t>
        </is>
      </c>
      <c r="E12" s="34" t="inlineStr">
        <is>
          <t>Sin acción: la segmentación valida la geometría del bloque.</t>
        </is>
      </c>
    </row>
    <row r="13" ht="48" customHeight="1">
      <c r="A13" s="36" t="inlineStr">
        <is>
          <t>D-04</t>
        </is>
      </c>
      <c r="B13" s="36" t="inlineStr">
        <is>
          <t>Rango altitudinal / piso ecológico</t>
        </is>
      </c>
      <c r="C13" s="36" t="inlineStr">
        <is>
          <t>La ficha DT declara «1000-1500 m (Quechua baja)»; el MDE sitúa el bloque entre 1319 y 1887 msnm, cuyo punto medio corresponde a «1500-2000 m (Quechua media)»</t>
        </is>
      </c>
      <c r="D13" s="12" t="inlineStr">
        <is>
          <t>NO SUSTANTIVA</t>
        </is>
      </c>
      <c r="E13" s="36" t="inlineStr">
        <is>
          <t>Se declara la divergencia. El bloque abarca más de un piso altitudinal cuando la amplitud supera el ancho de la clase; el registro de campo corresponde al sector recorrido.</t>
        </is>
      </c>
    </row>
    <row r="14" ht="48" customHeight="1">
      <c r="A14" s="34" t="inlineStr">
        <is>
          <t>D-05</t>
        </is>
      </c>
      <c r="B14" s="34" t="inlineStr">
        <is>
          <t>Elenco florístico</t>
        </is>
      </c>
      <c r="C14" s="34" t="inlineStr">
        <is>
          <t>La ficha registra 10 taxones, por debajo del mínimo de 15 que exige el formato V5</t>
        </is>
      </c>
      <c r="D14" s="35" t="inlineStr">
        <is>
          <t>SUSTANTIVA</t>
        </is>
      </c>
      <c r="E14" s="34" t="inlineStr">
        <is>
          <t>Registro florístico preliminar, sin colecta ni determinación botánica formal. Debe cerrarse con colecta botánica en la siguiente campaña.</t>
        </is>
      </c>
    </row>
    <row r="15" ht="48" customHeight="1">
      <c r="A15" s="36" t="inlineStr">
        <is>
          <t>D-06</t>
        </is>
      </c>
      <c r="B15" s="36" t="inlineStr">
        <is>
          <t>Centro poblado asociado</t>
        </is>
      </c>
      <c r="C15" s="36" t="inlineStr">
        <is>
          <t>La ficha DT declara «Coyona»; el cruce INEI-Bloques V5 identifica 1 centro(s) poblado(s) en el bloque: COYONA</t>
        </is>
      </c>
      <c r="D15" s="37" t="inlineStr">
        <is>
          <t>CONFORME</t>
        </is>
      </c>
      <c r="E15" s="36" t="inlineStr">
        <is>
          <t>Se conserva el registro de campo como referencia y se adopta el listado INEI para el diagnóstico social y el cálculo de población beneficiaria.</t>
        </is>
      </c>
    </row>
    <row r="16" ht="48" customHeight="1">
      <c r="A16" s="34" t="inlineStr">
        <is>
          <t>D-07</t>
        </is>
      </c>
      <c r="B16" s="34" t="inlineStr">
        <is>
          <t>Peligro integrado (MCA-AHP)</t>
        </is>
      </c>
      <c r="C16" s="34" t="inlineStr">
        <is>
          <t>El nivel de peligro integrado no está disponible en los insumos de este entregable</t>
        </is>
      </c>
      <c r="D16" s="35" t="inlineStr">
        <is>
          <t>SUSTANTIVA</t>
        </is>
      </c>
      <c r="E16" s="34" t="inlineStr">
        <is>
          <t>Debe tomarse del modelamiento de mesolocalización (PMM + EPH + PGI ponderados por AHP) antes de fijar la prioridad definitiva de intervención del bloque.</t>
        </is>
      </c>
    </row>
    <row r="18">
      <c r="A18" s="16" t="inlineStr">
        <is>
          <t>RESUMEN</t>
        </is>
      </c>
      <c r="B18" s="17" t="inlineStr">
        <is>
          <t>7 verificaciones</t>
        </is>
      </c>
      <c r="C18" s="17" t="inlineStr">
        <is>
          <t>CONFORME: 3 · NO SUSTANTIVA: 1 · SUSTANTIVA: 3</t>
        </is>
      </c>
      <c r="D18" s="17" t="inlineStr"/>
      <c r="E18" s="17" t="inlineStr"/>
    </row>
    <row r="20" ht="60" customHeight="1">
      <c r="A20" s="9" t="inlineStr">
        <is>
          <t>NOTA METODOLÓGICA. Este control se genera de forma reproducible cruzando la ficha DT del bloque (F-DT-01 a F-DT-05) con el catálogo maestro de bloques V5/V6, la estadística zonal de altitud y pendiente sobre el MDE, la estadística zonal del NDVI mediana 2025 y el cruce INEI-Bloques de centros poblados. Una calificación CONFORME acredita que la verificación se ejecutó y no arrojó discrepancia; no equivale a validación de campo del dato.</t>
        </is>
      </c>
    </row>
  </sheetData>
  <mergeCells count="8">
    <mergeCell ref="A4:E4"/>
    <mergeCell ref="A20:E20"/>
    <mergeCell ref="A2:E2"/>
    <mergeCell ref="A1:E1"/>
    <mergeCell ref="A5:E5"/>
    <mergeCell ref="A8:E8"/>
    <mergeCell ref="A6:E6"/>
    <mergeCell ref="A3: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24 — IN Piura</dc:title>
  <dc:subject>Diagnóstico Territorial por bloque de intervención</dc:subject>
  <dcterms:created xsi:type="dcterms:W3CDTF">2026-09-08T02:45:04Z</dcterms:created>
  <dcterms:modified xsi:type="dcterms:W3CDTF">2026-09-08T02:45:04Z</dcterms:modified>
</cp:coreProperties>
</file>