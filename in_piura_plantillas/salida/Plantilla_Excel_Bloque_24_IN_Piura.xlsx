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24</t>
        </is>
      </c>
      <c r="C9" s="6" t="inlineStr">
        <is>
          <t>Microcuenca (catálogo)</t>
        </is>
      </c>
      <c r="D9" s="7" t="inlineStr">
        <is>
          <t>C1081-Q9583</t>
        </is>
      </c>
      <c r="E9" s="8" t="n"/>
      <c r="F9" s="8" t="n"/>
    </row>
    <row r="10">
      <c r="A10" s="6" t="inlineStr">
        <is>
          <t>Zona de planificación</t>
        </is>
      </c>
      <c r="B10" s="7" t="inlineStr">
        <is>
          <t>Z11</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Coyona</t>
        </is>
      </c>
      <c r="C13" s="6" t="inlineStr">
        <is>
          <t>Comunidad campesina</t>
        </is>
      </c>
      <c r="D13" s="7" t="inlineStr">
        <is>
          <t>Por verificar</t>
        </is>
      </c>
      <c r="E13" s="8" t="n"/>
      <c r="F13" s="8" t="n"/>
    </row>
    <row r="14">
      <c r="A14" s="6" t="inlineStr">
        <is>
          <t>Superficie de catálogo (V5/V6), ha</t>
        </is>
      </c>
      <c r="B14" s="7" t="n">
        <v>90.16</v>
      </c>
      <c r="C14" s="6" t="inlineStr">
        <is>
          <t>Fuente de superficie</t>
        </is>
      </c>
      <c r="D14" s="7" t="inlineStr">
        <is>
          <t>Catálogo maestro Bloques V5/V6</t>
        </is>
      </c>
      <c r="E14" s="8" t="n"/>
      <c r="F14" s="8" t="n"/>
    </row>
    <row r="15">
      <c r="A15" s="6" t="inlineStr">
        <is>
          <t>Centroide UTM ESTE (m)</t>
        </is>
      </c>
      <c r="B15" s="7" t="n">
        <v>652191</v>
      </c>
      <c r="C15" s="6" t="inlineStr">
        <is>
          <t>Centroide UTM NORTE (m)</t>
        </is>
      </c>
      <c r="D15" s="7" t="n">
        <v>9414358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1319</v>
      </c>
      <c r="C19" s="6" t="inlineStr">
        <is>
          <t>Altitud máxima (msnm)</t>
        </is>
      </c>
      <c r="D19" s="7" t="n">
        <v>1887</v>
      </c>
      <c r="E19" s="8" t="n"/>
      <c r="F19" s="8" t="n"/>
    </row>
    <row r="20">
      <c r="A20" s="6" t="inlineStr">
        <is>
          <t>Amplitud altitudinal (m)</t>
        </is>
      </c>
      <c r="B20" s="7" t="n">
        <v>568</v>
      </c>
      <c r="C20" s="6" t="inlineStr">
        <is>
          <t>Piso altitudinal dominante</t>
        </is>
      </c>
      <c r="D20" s="7" t="inlineStr">
        <is>
          <t>1500-2000 m (Quechua media)</t>
        </is>
      </c>
      <c r="E20" s="8" t="n"/>
      <c r="F20" s="8" t="n"/>
    </row>
    <row r="21">
      <c r="A21" s="6" t="inlineStr">
        <is>
          <t>Pendiente promedio (%)</t>
        </is>
      </c>
      <c r="B21" s="7" t="n">
        <v>32.98</v>
      </c>
      <c r="C21" s="6" t="inlineStr">
        <is>
          <t>Pendiente promedio (grados)</t>
        </is>
      </c>
      <c r="D21" s="7" t="n">
        <v>18.3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0.6748</v>
      </c>
      <c r="C28" s="6" t="inlineStr">
        <is>
          <t>MSAVI 2024 — clase de la media</t>
        </is>
      </c>
      <c r="D28" s="7" t="inlineStr">
        <is>
          <t>&gt; 0.6139 (Vigor alto)</t>
        </is>
      </c>
      <c r="E28" s="8" t="n"/>
      <c r="F28" s="8" t="n"/>
    </row>
    <row r="29">
      <c r="A29" s="6" t="inlineStr">
        <is>
          <t>Condición frente al umbral 0.4976</t>
        </is>
      </c>
      <c r="B29" s="7" t="inlineStr">
        <is>
          <t>Sobre umbral · distribución areal: 2.31 % del bloque BAJO el umbral (2.083 ha de 90.160 ha)</t>
        </is>
      </c>
      <c r="C29" s="6" t="inlineStr">
        <is>
          <t>NDVI mediana 2025 — clase modal</t>
        </is>
      </c>
      <c r="D29" s="7" t="inlineStr">
        <is>
          <t>Vegetación alta (98.51 %)</t>
        </is>
      </c>
      <c r="E29" s="8" t="n"/>
      <c r="F29" s="8" t="n"/>
    </row>
    <row r="30">
      <c r="A30" s="6" t="inlineStr">
        <is>
          <t>MSAVI 2024 — superficie BAJO el umbral 0.4976 (ha)</t>
        </is>
      </c>
      <c r="B30" s="7" t="n">
        <v>2.083</v>
      </c>
      <c r="C30" s="6" t="inlineStr">
        <is>
          <t>MSAVI 2024 — % del bloque BAJO el umbral</t>
        </is>
      </c>
      <c r="D30" s="7" t="n">
        <v>2.31</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(24.png)</t>
        </is>
      </c>
      <c r="E31" s="8" t="n"/>
      <c r="F31" s="8" t="n"/>
    </row>
    <row r="32" ht="18" customHeight="1">
      <c r="A32" s="6" t="inlineStr">
        <is>
          <t>Superficie clasificada NDVI 2025 (ha)</t>
        </is>
      </c>
      <c r="B32" s="7" t="n">
        <v>90.18000000000001</v>
      </c>
      <c r="C32" s="6" t="inlineStr">
        <is>
          <t>Desviación frente al catálogo (%)</t>
        </is>
      </c>
      <c r="D32" s="7" t="n">
        <v>0.02</v>
      </c>
      <c r="E32" s="8" t="n"/>
      <c r="F32" s="8" t="n"/>
    </row>
    <row r="33"/>
    <row r="34">
      <c r="A34" s="5" t="inlineStr">
        <is>
          <t>4. ECOSISTEMA Y ESTADO DE CONSERVACIÓN</t>
        </is>
      </c>
    </row>
    <row r="35">
      <c r="A35" s="6" t="inlineStr">
        <is>
          <t>Tipo de ecosistema (UP)</t>
        </is>
      </c>
      <c r="B35" s="7" t="inlineStr">
        <is>
          <t>Matorral Andino subhúmedo</t>
        </is>
      </c>
      <c r="C35" s="6" t="inlineStr">
        <is>
          <t>Superficie de ecosistema (ha)</t>
        </is>
      </c>
      <c r="D35" s="7" t="inlineStr">
        <is>
          <t>Por determinar</t>
        </is>
      </c>
      <c r="E35" s="8" t="n"/>
      <c r="F35" s="8" t="n"/>
    </row>
    <row r="36">
      <c r="A36" s="6" t="inlineStr">
        <is>
          <t>Estado de conservación</t>
        </is>
      </c>
      <c r="B36" s="7" t="inlineStr">
        <is>
          <t>Medianamente alterado</t>
        </is>
      </c>
      <c r="C36" s="6" t="inlineStr">
        <is>
          <t>Uso actual dominante del suelo</t>
        </is>
      </c>
      <c r="D36" s="7" t="inlineStr">
        <is>
          <t>Pastoreo extensivo</t>
        </is>
      </c>
      <c r="E36" s="8" t="n"/>
      <c r="F36" s="8" t="n"/>
    </row>
    <row r="37">
      <c r="A37" s="6" t="inlineStr">
        <is>
          <t>Tipo de cobertura dominante</t>
        </is>
      </c>
      <c r="B37" s="7" t="inlineStr">
        <is>
          <t>Matorral denso</t>
        </is>
      </c>
      <c r="C37" s="6" t="inlineStr">
        <is>
          <t>Cobertura vegetal total — campo (%)</t>
        </is>
      </c>
      <c r="D37" s="7" t="inlineStr">
        <is>
          <t>Por determinar</t>
        </is>
      </c>
      <c r="E37" s="8" t="n"/>
      <c r="F37" s="8" t="n"/>
    </row>
    <row r="38">
      <c r="A38" s="6" t="inlineStr">
        <is>
          <t>Suelo desnudo — campo (%)</t>
        </is>
      </c>
      <c r="B38" s="7" t="inlineStr">
        <is>
          <t>Por determinar</t>
        </is>
      </c>
      <c r="C38" s="6" t="inlineStr">
        <is>
          <t>Regeneración natural</t>
        </is>
      </c>
      <c r="D38" s="7" t="inlineStr">
        <is>
          <t>Escasa (&lt;10 pl./100m²)</t>
        </is>
      </c>
      <c r="E38" s="8" t="n"/>
      <c r="F38" s="8" t="n"/>
    </row>
    <row r="39">
      <c r="A39" s="6" t="inlineStr">
        <is>
          <t>Nivel general de erosión</t>
        </is>
      </c>
      <c r="B39" s="7" t="inlineStr">
        <is>
          <t>Moderada (surcos)</t>
        </is>
      </c>
      <c r="C39" s="6" t="inlineStr">
        <is>
          <t>N.° de cárcavas registradas</t>
        </is>
      </c>
      <c r="D39" s="7" t="n">
        <v>0</v>
      </c>
      <c r="E39" s="8" t="n"/>
      <c r="F39" s="8" t="n"/>
    </row>
    <row r="40" ht="18" customHeight="1">
      <c r="A40" s="6" t="inlineStr">
        <is>
          <t>Elenco florístico (n.° de taxones)</t>
        </is>
      </c>
      <c r="B40" s="7" t="n">
        <v>10</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Juan Domínguez y Blgo. Abel Aucasime</t>
        </is>
      </c>
      <c r="C43" s="6" t="inlineStr">
        <is>
          <t>Fecha de evaluación</t>
        </is>
      </c>
      <c r="D43" s="7" t="inlineStr">
        <is>
          <t>2026-07-21</t>
        </is>
      </c>
      <c r="E43" s="8" t="n"/>
      <c r="F43" s="8" t="n"/>
    </row>
    <row r="44">
      <c r="A44" s="6" t="inlineStr">
        <is>
          <t>Hora de registro</t>
        </is>
      </c>
      <c r="B44" s="7" t="inlineStr">
        <is>
          <t>Por registrar</t>
        </is>
      </c>
      <c r="C44" s="6" t="inlineStr">
        <is>
          <t>Correlativo de ficha</t>
        </is>
      </c>
      <c r="D44" s="7" t="inlineStr">
        <is>
          <t>F-DT-01-24</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Por determinar</t>
        </is>
      </c>
      <c r="E46" s="8" t="n"/>
      <c r="F46" s="8" t="n"/>
    </row>
    <row r="47" ht="18" customHeight="1">
      <c r="A47" s="6" t="inlineStr">
        <is>
          <t>Estaciones fotográficas georreferenciadas</t>
        </is>
      </c>
      <c r="B47" s="7" t="inlineStr">
        <is>
          <t>Sin registro en la ficha DT</t>
        </is>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Ocupación productiva de laderas de fuerte pendiente sin prácticas de conservación de suelos, favorecida por la accesibilidad vial</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31" t="n">
        <v>67.7282</v>
      </c>
      <c r="C10" s="30" t="n">
        <v>75.12</v>
      </c>
      <c r="D10" s="12" t="inlineStr">
        <is>
          <t>Vigor alto</t>
        </is>
      </c>
      <c r="E10" s="12" t="inlineStr">
        <is>
          <t>Sobre umbral</t>
        </is>
      </c>
    </row>
    <row r="11">
      <c r="A11" s="13" t="inlineStr">
        <is>
          <t>0.4976 - 0.6139</t>
        </is>
      </c>
      <c r="B11" s="20" t="n">
        <v>20.3491</v>
      </c>
      <c r="C11" s="21" t="n">
        <v>22.57</v>
      </c>
      <c r="D11" s="14" t="inlineStr">
        <is>
          <t>Vigor moderado</t>
        </is>
      </c>
      <c r="E11" s="14" t="inlineStr">
        <is>
          <t>Sobre umbral</t>
        </is>
      </c>
    </row>
    <row r="12">
      <c r="A12" s="7" t="inlineStr">
        <is>
          <t>0.3813 - 0.4976</t>
        </is>
      </c>
      <c r="B12" s="18" t="n">
        <v>2.0827</v>
      </c>
      <c r="C12" s="19" t="n">
        <v>2.31</v>
      </c>
      <c r="D12" s="15" t="inlineStr">
        <is>
          <t>Vigor bajo</t>
        </is>
      </c>
      <c r="E12" s="15" t="inlineStr">
        <is>
          <t>BAJO umbral 0.4976</t>
        </is>
      </c>
    </row>
    <row r="13">
      <c r="A13" s="13" t="inlineStr">
        <is>
          <t>0.2650 - 0.3813</t>
        </is>
      </c>
      <c r="B13" s="20" t="n">
        <v>0</v>
      </c>
      <c r="C13" s="21" t="n">
        <v>0</v>
      </c>
      <c r="D13" s="14" t="inlineStr">
        <is>
          <t>Vigor muy bajo</t>
        </is>
      </c>
      <c r="E13" s="14" t="inlineStr">
        <is>
          <t>BAJO umbral 0.4976</t>
        </is>
      </c>
    </row>
    <row r="14">
      <c r="A14" s="7" t="inlineStr">
        <is>
          <t>&lt;= 0.2650</t>
        </is>
      </c>
      <c r="B14" s="18" t="n">
        <v>0</v>
      </c>
      <c r="C14" s="19" t="n">
        <v>0</v>
      </c>
      <c r="D14" s="15" t="inlineStr">
        <is>
          <t>Suelo desnudo / no vegetal</t>
        </is>
      </c>
      <c r="E14" s="15" t="inlineStr">
        <is>
          <t>BAJO umbral 0.4976</t>
        </is>
      </c>
    </row>
    <row r="15">
      <c r="A15" s="7" t="inlineStr">
        <is>
          <t>TOTAL CLASIFICADO</t>
        </is>
      </c>
      <c r="B15" s="18">
        <f>SUM(B10:B14)</f>
        <v/>
      </c>
      <c r="C15" s="19">
        <f>SUM(C10:C14)</f>
        <v/>
      </c>
      <c r="D15" s="15" t="inlineStr">
        <is>
          <t>Suma de las cinco clases MSAVI 2024</t>
        </is>
      </c>
      <c r="E15" s="15" t="inlineStr">
        <is>
          <t>Iguala la superficie de catálogo (V5/V6)</t>
        </is>
      </c>
    </row>
    <row r="16">
      <c r="A16" s="16" t="inlineStr">
        <is>
          <t>MSAVI 2024 — MEDIA DEL BLOQUE</t>
        </is>
      </c>
      <c r="B16" s="17" t="n">
        <v>0.674839</v>
      </c>
      <c r="C16" s="17" t="inlineStr">
        <is>
          <t>—</t>
        </is>
      </c>
      <c r="D16" s="17" t="inlineStr">
        <is>
          <t>Vigor alto · clase &gt;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88.8379</v>
      </c>
      <c r="C22" s="19" t="n">
        <v>98.51000000000001</v>
      </c>
      <c r="D22" s="15" t="inlineStr">
        <is>
          <t>Dosel continuo, matorral denso o mosaico agroforestal</t>
        </is>
      </c>
      <c r="E22" s="15" t="inlineStr"/>
    </row>
    <row r="23">
      <c r="A23" s="13" t="inlineStr">
        <is>
          <t>Vegetación mediana</t>
        </is>
      </c>
      <c r="B23" s="20" t="n">
        <v>1.3421</v>
      </c>
      <c r="C23" s="21" t="n">
        <v>1.49</v>
      </c>
      <c r="D23" s="14" t="inlineStr">
        <is>
          <t>Pastizal cultivado, matorral ralo, parcelas agrícolas</t>
        </is>
      </c>
      <c r="E23" s="14" t="inlineStr"/>
    </row>
    <row r="24">
      <c r="A24" s="16" t="inlineStr">
        <is>
          <t>TOTAL CLASIFICADO</t>
        </is>
      </c>
      <c r="B24" s="22">
        <f>SUM(B21:B22)</f>
        <v/>
      </c>
      <c r="C24" s="23">
        <f>SUM(C21:C22)</f>
        <v/>
      </c>
      <c r="D24" s="17" t="inlineStr"/>
      <c r="E24" s="17" t="inlineStr"/>
    </row>
    <row r="25">
      <c r="A25" s="24" t="inlineStr">
        <is>
          <t>Superficie de catálogo (V5/V6)</t>
        </is>
      </c>
      <c r="B25" s="25" t="n">
        <v>90.16</v>
      </c>
      <c r="C25" s="25" t="inlineStr">
        <is>
          <t>—</t>
        </is>
      </c>
      <c r="D25" s="25" t="inlineStr">
        <is>
          <t>Desviación planimétrica frente al catálogo</t>
        </is>
      </c>
      <c r="E25" s="25" t="inlineStr">
        <is>
          <t>+0.02 %</t>
        </is>
      </c>
    </row>
    <row r="26" ht="72" customHeight="1"/>
    <row r="27">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27" s="38" t="n"/>
      <c r="C27" s="38" t="n"/>
      <c r="D27" s="38" t="n"/>
      <c r="E27" s="39" t="n"/>
    </row>
  </sheetData>
  <mergeCells count="10">
    <mergeCell ref="A4:E4"/>
    <mergeCell ref="A20:E20"/>
    <mergeCell ref="A2:E2"/>
    <mergeCell ref="A5:E5"/>
    <mergeCell ref="A1:E1"/>
    <mergeCell ref="A8:E8"/>
    <mergeCell ref="A6:E6"/>
    <mergeCell ref="A18:E18"/>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24</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652191</v>
      </c>
      <c r="D10" s="26" t="n">
        <v>9414358</v>
      </c>
      <c r="E10" s="15" t="n">
        <v>0</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Efímero</t>
        </is>
      </c>
      <c r="G11" s="14" t="inlineStr">
        <is>
          <t>Quebradas secas identificadas</t>
        </is>
      </c>
    </row>
    <row r="12">
      <c r="A12" s="7" t="inlineStr">
        <is>
          <t>H-02</t>
        </is>
      </c>
      <c r="B12" s="15" t="inlineStr">
        <is>
          <t>Fuente de agua — Quebrada estacional</t>
        </is>
      </c>
      <c r="C12" s="26" t="inlineStr">
        <is>
          <t>Por determinar</t>
        </is>
      </c>
      <c r="D12" s="26" t="inlineStr">
        <is>
          <t>Por determinar</t>
        </is>
      </c>
      <c r="E12" s="15" t="inlineStr"/>
      <c r="F12" s="15" t="inlineStr">
        <is>
          <t>Estacional</t>
        </is>
      </c>
      <c r="G12" s="15" t="inlineStr">
        <is>
          <t>Quebrada s/n colindante</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652191</v>
      </c>
      <c r="C15" s="6" t="inlineStr">
        <is>
          <t>Centroide del bloque — UTM NORTE (m)</t>
        </is>
      </c>
      <c r="D15" s="7" t="n">
        <v>9414358</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Altitud GPS de campo 1370 msnm. Rango altitudinal del bloque según MDE: 1319-1887 msnm (amplitud 568 m); pendiente promedio 32.98%. Acceso: vía afirmada Canchaque – Coyona, margen derecha de una quebrada s/n.</t>
        </is>
      </c>
      <c r="B18" s="38" t="n"/>
      <c r="C18" s="38" t="n"/>
      <c r="D18" s="38" t="n"/>
      <c r="E18" s="38" t="n"/>
      <c r="F18" s="38" t="n"/>
      <c r="G18" s="39" t="n"/>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24</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M11B3</t>
        </is>
      </c>
      <c r="B10" s="28" t="n">
        <v>106.03</v>
      </c>
      <c r="C10" s="19" t="n">
        <v>26.64</v>
      </c>
      <c r="D10" s="15" t="inlineStr">
        <is>
          <t>278 – 477</t>
        </is>
      </c>
      <c r="E10" s="15" t="n">
        <v>199</v>
      </c>
      <c r="F10" s="15" t="n">
        <v>18.11</v>
      </c>
      <c r="G10" s="18" t="n">
        <v>0.3956</v>
      </c>
      <c r="H10" s="19" t="n">
        <v>21.16</v>
      </c>
    </row>
    <row r="11">
      <c r="A11" s="11" t="inlineStr">
        <is>
          <t>► 24</t>
        </is>
      </c>
      <c r="B11" s="29" t="n">
        <v>90.16</v>
      </c>
      <c r="C11" s="30" t="n">
        <v>22.65</v>
      </c>
      <c r="D11" s="12" t="inlineStr">
        <is>
          <t>1319 – 1887</t>
        </is>
      </c>
      <c r="E11" s="12" t="n">
        <v>568</v>
      </c>
      <c r="F11" s="12" t="n">
        <v>32.98</v>
      </c>
      <c r="G11" s="31" t="n">
        <v>0.6748</v>
      </c>
      <c r="H11" s="30" t="n">
        <v>98.51000000000001</v>
      </c>
    </row>
    <row r="12">
      <c r="A12" s="7" t="inlineStr">
        <is>
          <t>87</t>
        </is>
      </c>
      <c r="B12" s="28" t="n">
        <v>62.219</v>
      </c>
      <c r="C12" s="19" t="n">
        <v>15.63</v>
      </c>
      <c r="D12" s="15" t="inlineStr">
        <is>
          <t>Por determinar</t>
        </is>
      </c>
      <c r="E12" s="15" t="inlineStr">
        <is>
          <t>Por determinar</t>
        </is>
      </c>
      <c r="F12" s="15" t="inlineStr">
        <is>
          <t>Por determinar</t>
        </is>
      </c>
      <c r="G12" s="18" t="n">
        <v>0.2487</v>
      </c>
      <c r="H12" s="19" t="n">
        <v>0.34</v>
      </c>
    </row>
    <row r="13">
      <c r="A13" s="13" t="inlineStr">
        <is>
          <t>63</t>
        </is>
      </c>
      <c r="B13" s="32" t="n">
        <v>50.46</v>
      </c>
      <c r="C13" s="21" t="n">
        <v>12.68</v>
      </c>
      <c r="D13" s="14" t="inlineStr">
        <is>
          <t>1508 – 2080</t>
        </is>
      </c>
      <c r="E13" s="14" t="n">
        <v>572</v>
      </c>
      <c r="F13" s="14" t="n">
        <v>35.5</v>
      </c>
      <c r="G13" s="20" t="n">
        <v>0.6036</v>
      </c>
      <c r="H13" s="21" t="n">
        <v>99.2</v>
      </c>
    </row>
    <row r="14">
      <c r="A14" s="7" t="inlineStr">
        <is>
          <t>86</t>
        </is>
      </c>
      <c r="B14" s="28" t="n">
        <v>30.001</v>
      </c>
      <c r="C14" s="19" t="n">
        <v>7.54</v>
      </c>
      <c r="D14" s="15" t="inlineStr">
        <is>
          <t>Por determinar</t>
        </is>
      </c>
      <c r="E14" s="15" t="inlineStr">
        <is>
          <t>Por determinar</t>
        </is>
      </c>
      <c r="F14" s="15" t="inlineStr">
        <is>
          <t>Por determinar</t>
        </is>
      </c>
      <c r="G14" s="18" t="n">
        <v>0.2735</v>
      </c>
      <c r="H14" s="19" t="n">
        <v>1.05</v>
      </c>
    </row>
    <row r="15">
      <c r="A15" s="13" t="inlineStr">
        <is>
          <t>83</t>
        </is>
      </c>
      <c r="B15" s="32" t="n">
        <v>24.344</v>
      </c>
      <c r="C15" s="21" t="n">
        <v>6.12</v>
      </c>
      <c r="D15" s="14" t="inlineStr">
        <is>
          <t>Por determinar</t>
        </is>
      </c>
      <c r="E15" s="14" t="inlineStr">
        <is>
          <t>Por determinar</t>
        </is>
      </c>
      <c r="F15" s="14" t="inlineStr">
        <is>
          <t>Por determinar</t>
        </is>
      </c>
      <c r="G15" s="20" t="n">
        <v>0.3055</v>
      </c>
      <c r="H15" s="21" t="n">
        <v>2.88</v>
      </c>
    </row>
    <row r="16">
      <c r="A16" s="7" t="inlineStr">
        <is>
          <t>77</t>
        </is>
      </c>
      <c r="B16" s="28" t="n">
        <v>17.82</v>
      </c>
      <c r="C16" s="19" t="n">
        <v>4.48</v>
      </c>
      <c r="D16" s="15" t="inlineStr">
        <is>
          <t>242 – 346</t>
        </is>
      </c>
      <c r="E16" s="15" t="n">
        <v>104</v>
      </c>
      <c r="F16" s="15" t="n">
        <v>13.71</v>
      </c>
      <c r="G16" s="18" t="n">
        <v>0.2725</v>
      </c>
      <c r="H16" s="19" t="n">
        <v>0.11</v>
      </c>
    </row>
    <row r="17">
      <c r="A17" s="13" t="inlineStr">
        <is>
          <t>85</t>
        </is>
      </c>
      <c r="B17" s="32" t="n">
        <v>11.906</v>
      </c>
      <c r="C17" s="21" t="n">
        <v>2.99</v>
      </c>
      <c r="D17" s="14" t="inlineStr">
        <is>
          <t>Por determinar</t>
        </is>
      </c>
      <c r="E17" s="14" t="inlineStr">
        <is>
          <t>Por determinar</t>
        </is>
      </c>
      <c r="F17" s="14" t="inlineStr">
        <is>
          <t>Por determinar</t>
        </is>
      </c>
      <c r="G17" s="20" t="n">
        <v>0.2289</v>
      </c>
      <c r="H17" s="21" t="n">
        <v>0</v>
      </c>
    </row>
    <row r="18">
      <c r="A18" s="7" t="inlineStr">
        <is>
          <t>84</t>
        </is>
      </c>
      <c r="B18" s="28" t="n">
        <v>5.097</v>
      </c>
      <c r="C18" s="19" t="n">
        <v>1.28</v>
      </c>
      <c r="D18" s="15" t="inlineStr">
        <is>
          <t>Por determinar</t>
        </is>
      </c>
      <c r="E18" s="15" t="inlineStr">
        <is>
          <t>Por determinar</t>
        </is>
      </c>
      <c r="F18" s="15" t="inlineStr">
        <is>
          <t>Por determinar</t>
        </is>
      </c>
      <c r="G18" s="18" t="n">
        <v>0.2516</v>
      </c>
      <c r="H18" s="19"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38" t="n"/>
      <c r="C20" s="38" t="n"/>
      <c r="D20" s="38" t="n"/>
      <c r="E20" s="38" t="n"/>
      <c r="F20" s="38" t="n"/>
      <c r="G20" s="38" t="n"/>
      <c r="H20" s="39" t="n"/>
    </row>
    <row r="22" ht="84" customHeight="1">
      <c r="A22" s="9" t="inlineStr">
        <is>
          <t>LECTURA INTRAMICROCUENCA. El bloque 24 ocupa el puesto 2 de 9 por superficie dentro de la microcuenca C1081-Q9583 (22.65 % de las 398.04 ha preliminares de la microcuenca). Su pendiente promedio (32.98 %, clase «25-50% (Mod. escarpado)») es la 3.ª más baja de 4 y se sitúa por encima del promedio de la microcuenca (25.08 %). Su MSAVI 2024 (0.6748) es el 1.º de 9 y queda por encima del promedio local (0.3616). Amplitud altitudinal del bloque: 568 m (1319–1887 msnm). El cuadro conserva todos los bloques catalogados en la microcuenca, incluidos los descartados en el tamizaje, para referencia del conjunto. Los bloques sin ficha DT figuran con sus parámetros de gabinete.</t>
        </is>
      </c>
      <c r="B22" s="38" t="n"/>
      <c r="C22" s="38" t="n"/>
      <c r="D22" s="38" t="n"/>
      <c r="E22" s="38" t="n"/>
      <c r="F22" s="38" t="n"/>
      <c r="G22" s="38" t="n"/>
      <c r="H22" s="39"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4" s="38" t="n"/>
      <c r="C24" s="38" t="n"/>
      <c r="D24" s="38" t="n"/>
      <c r="E24" s="38" t="n"/>
      <c r="F24" s="38" t="n"/>
      <c r="G24" s="38" t="n"/>
      <c r="H24" s="39" t="n"/>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«C1081-Q9583»</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(90.180 ha) coincide con la de catálogo (90.16 ha) dentro del ±2 % (+0.02 %)</t>
        </is>
      </c>
      <c r="D12" s="37"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el MDE sitúa el bloque entre 1319 y 1887 msnm, cuyo punto medio corresponde a «1500-2000 m (Quechua media)»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Elenco florístico</t>
        </is>
      </c>
      <c r="C14" s="34" t="inlineStr">
        <is>
          <t>La ficha registra 10 taxones, por debajo del mínimo de 15 que exige el formato V5</t>
        </is>
      </c>
      <c r="D14" s="35"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Centro poblado asociado</t>
        </is>
      </c>
      <c r="C15" s="36" t="inlineStr">
        <is>
          <t>La ficha DT declara «Coyona»; el cruce INEI-Bloques V5 identifica 1 centro(s) poblado(s) en el bloque: COYONA</t>
        </is>
      </c>
      <c r="D15" s="37"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5" t="inlineStr">
        <is>
          <t>SUSTANTIVA</t>
        </is>
      </c>
      <c r="E16" s="34" t="inlineStr">
        <is>
          <t>Debe tomarse del modelamiento de mesolocalización (PMM + EPH + PGI ponderados por AHP) antes de fijar la prioridad definitiva de intervención del bloque.</t>
        </is>
      </c>
    </row>
    <row r="17">
      <c r="A17" s="34" t="inlineStr">
        <is>
          <t>D-08</t>
        </is>
      </c>
      <c r="B17" s="34" t="inlineStr">
        <is>
          <t>Distribución areal de clases MSAVI 2024</t>
        </is>
      </c>
      <c r="C17" s="34" t="inlineStr">
        <is>
          <t>La hoja «Cobertura MSAVI-NDVI» consignaba «Por determinar» en la distribución areal de clases MSAVI 2024; se incorpora el metrado por clase medido sobre la cartografía temática MSAVI 2024 del bloque: 2.31 % del bloque (2.083 ha) bajo el umbral 0.4976 y 97.69 % sobre el umbral; clase areal dominante «Vigor alto».</t>
        </is>
      </c>
      <c r="D17" s="35" t="inlineStr">
        <is>
          <t>CORREGIDO</t>
        </is>
      </c>
      <c r="E17" s="34"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8"/>
    <row r="19">
      <c r="A19" s="16" t="inlineStr">
        <is>
          <t>RESUMEN</t>
        </is>
      </c>
      <c r="B19" s="17" t="inlineStr">
        <is>
          <t>8 verificaciones</t>
        </is>
      </c>
      <c r="C19" s="17" t="inlineStr">
        <is>
          <t>CONFORME: 3 · NO SUSTANTIVA: 1 · SUSTANTIVA: 3 · CORREGIDO: 1</t>
        </is>
      </c>
      <c r="D19" s="17" t="inlineStr"/>
      <c r="E19" s="17" t="inlineStr"/>
    </row>
    <row r="20" ht="60" customHeight="1"/>
    <row r="2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1" s="38" t="n"/>
      <c r="C21" s="38" t="n"/>
      <c r="D21" s="38" t="n"/>
      <c r="E21" s="39" t="n"/>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24 — IN Piura</dc:title>
  <dc:subject>Diagnóstico Territorial por bloque de intervención</dc:subject>
  <dcterms:created xsi:type="dcterms:W3CDTF">2026-09-08T03:39:56Z</dcterms:created>
  <dcterms:modified xsi:type="dcterms:W3CDTF">2026-09-09T14:49:41Z</dcterms:modified>
</cp:coreProperties>
</file>