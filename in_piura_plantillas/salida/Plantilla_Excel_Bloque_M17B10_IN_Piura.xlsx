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M17B10</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M17B10</t>
        </is>
      </c>
      <c r="C9" s="6" t="inlineStr">
        <is>
          <t>Microcuenca (catálogo)</t>
        </is>
      </c>
      <c r="D9" s="7" t="inlineStr">
        <is>
          <t>C1096-Q9556</t>
        </is>
      </c>
      <c r="E9" s="8" t="n"/>
      <c r="F9" s="8" t="n"/>
    </row>
    <row r="10">
      <c r="A10" s="6" t="inlineStr">
        <is>
          <t>Zona de planificación</t>
        </is>
      </c>
      <c r="B10" s="7" t="inlineStr">
        <is>
          <t>Z02</t>
        </is>
      </c>
      <c r="C10" s="6" t="inlineStr">
        <is>
          <t>Microcuenca declarada en ficha DT</t>
        </is>
      </c>
      <c r="D10" s="7" t="inlineStr">
        <is>
          <t>C1096-Q9556</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Platanal Alto (catálogo CP-Bloques V5); referencia vial: sector Palo Blanco</t>
        </is>
      </c>
      <c r="C13" s="6" t="inlineStr">
        <is>
          <t>Comunidad campesina</t>
        </is>
      </c>
      <c r="D13" s="7" t="inlineStr">
        <is>
          <t>Por verificar</t>
        </is>
      </c>
      <c r="E13" s="8" t="n"/>
      <c r="F13" s="8" t="n"/>
    </row>
    <row r="14">
      <c r="A14" s="6" t="inlineStr">
        <is>
          <t>Superficie de catálogo (V5/V6), ha</t>
        </is>
      </c>
      <c r="B14" s="7" t="n">
        <v>75.36</v>
      </c>
      <c r="C14" s="6" t="inlineStr">
        <is>
          <t>Fuente de superficie</t>
        </is>
      </c>
      <c r="D14" s="7" t="inlineStr">
        <is>
          <t>Catálogo maestro Bloques V5/V6</t>
        </is>
      </c>
      <c r="E14" s="8" t="n"/>
      <c r="F14" s="8" t="n"/>
    </row>
    <row r="15">
      <c r="A15" s="6" t="inlineStr">
        <is>
          <t>Centroide UTM ESTE (m)</t>
        </is>
      </c>
      <c r="B15" s="7" t="n">
        <v>606173</v>
      </c>
      <c r="C15" s="6" t="inlineStr">
        <is>
          <t>Centroide UTM NORTE (m)</t>
        </is>
      </c>
      <c r="D15" s="7" t="n">
        <v>9447361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466</v>
      </c>
      <c r="C19" s="6" t="inlineStr">
        <is>
          <t>Altitud máxima (msnm)</t>
        </is>
      </c>
      <c r="D19" s="7" t="n">
        <v>902</v>
      </c>
      <c r="E19" s="8" t="n"/>
      <c r="F19" s="8" t="n"/>
    </row>
    <row r="20">
      <c r="A20" s="6" t="inlineStr">
        <is>
          <t>Amplitud altitudinal (m)</t>
        </is>
      </c>
      <c r="B20" s="7" t="n">
        <v>436</v>
      </c>
      <c r="C20" s="6" t="inlineStr">
        <is>
          <t>Piso altitudinal dominante</t>
        </is>
      </c>
      <c r="D20" s="7" t="inlineStr">
        <is>
          <t>&lt;1000 m (Yunga)</t>
        </is>
      </c>
      <c r="E20" s="8" t="n"/>
      <c r="F20" s="8" t="n"/>
    </row>
    <row r="21">
      <c r="A21" s="6" t="inlineStr">
        <is>
          <t>Pendiente promedio (%)</t>
        </is>
      </c>
      <c r="B21" s="7" t="n">
        <v>25.94</v>
      </c>
      <c r="C21" s="6" t="inlineStr">
        <is>
          <t>Pendiente promedio (grados)</t>
        </is>
      </c>
      <c r="D21" s="7" t="n">
        <v>14.5</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Sí (carácter activo POR CONFIRMAR)</t>
        </is>
      </c>
      <c r="C25" s="6" t="inlineStr">
        <is>
          <t>Remociones en masa activas</t>
        </is>
      </c>
      <c r="D25" s="7" t="inlineStr">
        <is>
          <t>No (no observadas)</t>
        </is>
      </c>
      <c r="E25" s="8" t="n"/>
      <c r="F25" s="8" t="n"/>
    </row>
    <row r="27" ht="18" customHeight="1">
      <c r="A27" s="5" t="inlineStr">
        <is>
          <t>3. ÍNDICES DE VEGETACIÓN (SENTINEL-2)</t>
        </is>
      </c>
    </row>
    <row r="28">
      <c r="A28" s="6" t="inlineStr">
        <is>
          <t>MSAVI 2024 — media del bloque</t>
        </is>
      </c>
      <c r="B28" s="7" t="n">
        <v>0.4725</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(66.38 %)</t>
        </is>
      </c>
      <c r="E29" s="8" t="n"/>
      <c r="F29" s="8" t="n"/>
    </row>
    <row r="30">
      <c r="A30" s="6" t="inlineStr">
        <is>
          <t>Superficie clasificada NDVI 2025 (ha)</t>
        </is>
      </c>
      <c r="B30" s="7" t="n">
        <v>75.40300000000001</v>
      </c>
      <c r="C30" s="6" t="inlineStr">
        <is>
          <t>Desviación frente al catálogo (%)</t>
        </is>
      </c>
      <c r="D30" s="7" t="n">
        <v>0.06</v>
      </c>
      <c r="E30" s="8" t="n"/>
      <c r="F30" s="8" t="n"/>
    </row>
    <row r="32" ht="18" customHeight="1">
      <c r="A32" s="5" t="inlineStr">
        <is>
          <t>4. ECOSISTEMA Y ESTADO DE CONSERVACIÓN</t>
        </is>
      </c>
    </row>
    <row r="33">
      <c r="A33" s="6" t="inlineStr">
        <is>
          <t>Tipo de ecosistema (UP)</t>
        </is>
      </c>
      <c r="B33" s="7" t="inlineStr">
        <is>
          <t>Bosque Estacionalmente Seco de Colina y Montaña (Bes-cm)</t>
        </is>
      </c>
      <c r="C33" s="6" t="inlineStr">
        <is>
          <t>Superficie de ecosistema (ha)</t>
        </is>
      </c>
      <c r="D33" s="7" t="inlineStr">
        <is>
          <t>75.36 ha (superficie total del bloque; desagregación por unidad ecosistémica por verificar)</t>
        </is>
      </c>
      <c r="E33" s="8" t="n"/>
      <c r="F33" s="8" t="n"/>
    </row>
    <row r="34">
      <c r="A34" s="6" t="inlineStr">
        <is>
          <t>Estado de conservación</t>
        </is>
      </c>
      <c r="B34" s="7" t="inlineStr">
        <is>
          <t>Levemente alterado</t>
        </is>
      </c>
      <c r="C34" s="6" t="inlineStr">
        <is>
          <t>Uso actual dominante del suelo</t>
        </is>
      </c>
      <c r="D34" s="7" t="inlineStr">
        <is>
          <t>Forestal de protección</t>
        </is>
      </c>
      <c r="E34" s="8" t="n"/>
      <c r="F34" s="8" t="n"/>
    </row>
    <row r="35">
      <c r="A35" s="6" t="inlineStr">
        <is>
          <t>Tipo de cobertura dominante</t>
        </is>
      </c>
      <c r="B35" s="7" t="inlineStr">
        <is>
          <t>Bosque denso (&gt;70%)</t>
        </is>
      </c>
      <c r="C35" s="6" t="inlineStr">
        <is>
          <t>Cobertura vegetal total — campo (%)</t>
        </is>
      </c>
      <c r="D35" s="7" t="n">
        <v>80</v>
      </c>
      <c r="E35" s="8" t="n"/>
      <c r="F35" s="8" t="n"/>
    </row>
    <row r="36">
      <c r="A36" s="6" t="inlineStr">
        <is>
          <t>Suelo desnudo — campo (%)</t>
        </is>
      </c>
      <c r="B36" s="7" t="n">
        <v>8</v>
      </c>
      <c r="C36" s="6" t="inlineStr">
        <is>
          <t>Regeneración natural</t>
        </is>
      </c>
      <c r="D36" s="7" t="inlineStr">
        <is>
          <t>En blanco (no observable desde el punto externo)</t>
        </is>
      </c>
      <c r="E36" s="8" t="n"/>
      <c r="F36" s="8" t="n"/>
    </row>
    <row r="37">
      <c r="A37" s="6" t="inlineStr">
        <is>
          <t>Nivel general de erosión</t>
        </is>
      </c>
      <c r="B37" s="7" t="inlineStr">
        <is>
          <t>Ligera (laminar) — calificación preliminar por observación a distancia</t>
        </is>
      </c>
      <c r="C37" s="6" t="inlineStr">
        <is>
          <t>N.° de cárcavas registradas</t>
        </is>
      </c>
      <c r="D37" s="7" t="inlineStr">
        <is>
          <t>No inventariado</t>
        </is>
      </c>
      <c r="E37" s="8" t="n"/>
      <c r="F37" s="8" t="n"/>
    </row>
    <row r="38">
      <c r="A38" s="6" t="inlineStr">
        <is>
          <t>Elenco florístico (n.° de taxones)</t>
        </is>
      </c>
      <c r="B38" s="7" t="n">
        <v>15</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Héctor S. Cahuas Miller (ANIN/DIME-SESDI)</t>
        </is>
      </c>
      <c r="C41" s="6" t="inlineStr">
        <is>
          <t>Fecha de evaluación</t>
        </is>
      </c>
      <c r="D41" s="7" t="inlineStr">
        <is>
          <t>2026-07-15</t>
        </is>
      </c>
      <c r="E41" s="8" t="n"/>
      <c r="F41" s="8" t="n"/>
    </row>
    <row r="42">
      <c r="A42" s="6" t="inlineStr">
        <is>
          <t>Hora de registro</t>
        </is>
      </c>
      <c r="B42" s="7" t="inlineStr">
        <is>
          <t>10:13 - 10:22 h</t>
        </is>
      </c>
      <c r="C42" s="6" t="inlineStr">
        <is>
          <t>Correlativo de ficha</t>
        </is>
      </c>
      <c r="D42" s="7" t="inlineStr">
        <is>
          <t>DT-M17B10-01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instalada (verificación externa)</t>
        </is>
      </c>
      <c r="E44" s="8" t="n"/>
      <c r="F44" s="8" t="n"/>
    </row>
    <row r="45">
      <c r="A45" s="6" t="inlineStr">
        <is>
          <t>Estaciones fotográficas georreferenciadas</t>
        </is>
      </c>
      <c r="B45" s="7" t="n">
        <v>7</v>
      </c>
      <c r="C45" s="6" t="inlineStr">
        <is>
          <t>Modalidad de acceso</t>
        </is>
      </c>
      <c r="D45" s="7" t="inlineStr">
        <is>
          <t>Vehicular + caminata 30-90 min</t>
        </is>
      </c>
      <c r="E45" s="8" t="n"/>
      <c r="F45" s="8" t="n"/>
    </row>
    <row r="47" ht="18" customHeight="1">
      <c r="A47" s="5" t="inlineStr">
        <is>
          <t>6. SÍNTESIS PARA LA GESTIÓN DEL RIESGO EN CONTEXTO DE CAMBIO CLIMÁTICO</t>
        </is>
      </c>
    </row>
    <row r="48">
      <c r="A48" s="6" t="inlineStr">
        <is>
          <t>Causa subyacente principal</t>
        </is>
      </c>
      <c r="B48" s="7" t="inlineStr">
        <is>
          <t>Mejoramiento y ampliación del corredor vial Chulucanas-Frías, que incrementa la accesibilidad del pie de ladera</t>
        </is>
      </c>
      <c r="C48" s="6" t="inlineStr">
        <is>
          <t>Velocidad de degradación</t>
        </is>
      </c>
      <c r="D48" s="7" t="inlineStr">
        <is>
          <t>Lenta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Media</t>
        </is>
      </c>
      <c r="C50" s="6" t="inlineStr">
        <is>
          <t>Zona de recarga hídrica</t>
        </is>
      </c>
      <c r="D50" s="7" t="inlineStr">
        <is>
          <t>Sin registro en ficha</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M17B10</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14" t="inlineStr">
        <is>
          <t>0.3813 - 0.4976</t>
        </is>
      </c>
      <c r="B12" s="15" t="inlineStr">
        <is>
          <t>Por determinar</t>
        </is>
      </c>
      <c r="C12" s="15" t="inlineStr">
        <is>
          <t>Por determinar</t>
        </is>
      </c>
      <c r="D12" s="15" t="inlineStr">
        <is>
          <t>Vigor bajo</t>
        </is>
      </c>
      <c r="E12" s="15" t="inlineStr">
        <is>
          <t>BAJO umbral 0.4976</t>
        </is>
      </c>
    </row>
    <row r="13">
      <c r="A13" s="12" t="inlineStr">
        <is>
          <t>0.2650 - 0.3813</t>
        </is>
      </c>
      <c r="B13" s="13" t="inlineStr">
        <is>
          <t>Por determinar</t>
        </is>
      </c>
      <c r="C13" s="13" t="inlineStr">
        <is>
          <t>Por determinar</t>
        </is>
      </c>
      <c r="D13" s="13" t="inlineStr">
        <is>
          <t>Vigor muy bajo</t>
        </is>
      </c>
      <c r="E13" s="13"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0.472466</v>
      </c>
      <c r="C15" s="17" t="inlineStr">
        <is>
          <t>—</t>
        </is>
      </c>
      <c r="D15" s="17" t="inlineStr">
        <is>
          <t>Vigor bajo · clase 0.3813 - 0.4976</t>
        </is>
      </c>
      <c r="E15" s="17" t="inlineStr">
        <is>
          <t>BAJO umbral 0.4976</t>
        </is>
      </c>
    </row>
    <row r="17" ht="72" customHeight="1">
      <c r="A17" s="9" t="inlineStr">
        <is>
          <t>NOTA METODOLÓGICA. La media del MSAVI 2024 del bloque (0.472466)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22.0201</v>
      </c>
      <c r="C21" s="19" t="n">
        <v>29.2</v>
      </c>
      <c r="D21" s="11" t="inlineStr">
        <is>
          <t>Dosel continuo, matorral denso o mosaico agroforestal</t>
        </is>
      </c>
      <c r="E21" s="11" t="inlineStr"/>
    </row>
    <row r="22">
      <c r="A22" s="12" t="inlineStr">
        <is>
          <t>Vegetación mediana</t>
        </is>
      </c>
      <c r="B22" s="20" t="n">
        <v>50.0521</v>
      </c>
      <c r="C22" s="21" t="n">
        <v>66.38</v>
      </c>
      <c r="D22" s="13" t="inlineStr">
        <is>
          <t>Pastizal cultivado, matorral ralo, parcelas agrícolas</t>
        </is>
      </c>
      <c r="E22" s="13" t="inlineStr"/>
    </row>
    <row r="23">
      <c r="A23" s="7" t="inlineStr">
        <is>
          <t>Vegetación ligera</t>
        </is>
      </c>
      <c r="B23" s="18" t="n">
        <v>3.3305</v>
      </c>
      <c r="C23" s="19" t="n">
        <v>4.42</v>
      </c>
      <c r="D23" s="11" t="inlineStr">
        <is>
          <t>Cobertura discontinua, suelo parcialmente expuesto</t>
        </is>
      </c>
      <c r="E23" s="11" t="inlineStr"/>
    </row>
    <row r="24">
      <c r="A24" s="16" t="inlineStr">
        <is>
          <t>TOTAL CLASIFICADO</t>
        </is>
      </c>
      <c r="B24" s="22">
        <f>SUM(B21:B23)</f>
        <v/>
      </c>
      <c r="C24" s="23">
        <f>SUM(C21:C23)</f>
        <v/>
      </c>
      <c r="D24" s="17" t="inlineStr"/>
      <c r="E24" s="17" t="inlineStr"/>
    </row>
    <row r="25">
      <c r="A25" s="24" t="inlineStr">
        <is>
          <t>Superficie de catálogo (V5/V6)</t>
        </is>
      </c>
      <c r="B25" s="25" t="n">
        <v>75.36</v>
      </c>
      <c r="C25" s="25" t="inlineStr">
        <is>
          <t>—</t>
        </is>
      </c>
      <c r="D25" s="25" t="inlineStr">
        <is>
          <t>Desviación planimétrica frente al catálogo</t>
        </is>
      </c>
      <c r="E25" s="25" t="inlineStr">
        <is>
          <t>+0.06 %</t>
        </is>
      </c>
    </row>
    <row r="27" ht="108" customHeight="1">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29.20 % del polígono clasificado como «Vegetación alta» por el NDVI 2025; la observación de campo corresponde a una parcela o recorrido puntual y no es estadísticamente representativa de las 75.360 ha del bloque.</t>
        </is>
      </c>
    </row>
  </sheetData>
  <mergeCells count="10">
    <mergeCell ref="A4:E4"/>
    <mergeCell ref="A2:E2"/>
    <mergeCell ref="A19:E19"/>
    <mergeCell ref="A1:E1"/>
    <mergeCell ref="A5:E5"/>
    <mergeCell ref="A8:E8"/>
    <mergeCell ref="A6:E6"/>
    <mergeCell ref="A17:E17"/>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M17B10</t>
        </is>
      </c>
    </row>
    <row r="6" ht="24" customHeight="1">
      <c r="A6" s="4" t="inlineStr">
        <is>
          <t>Levantamiento del 2026-07-15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606815</v>
      </c>
      <c r="D10" s="26" t="n">
        <v>9446991</v>
      </c>
      <c r="E10" s="11" t="n">
        <v>741</v>
      </c>
      <c r="F10" s="11" t="inlineStr"/>
      <c r="G10" s="11" t="inlineStr">
        <is>
          <t>Coordenada consignada en F-DT-01</t>
        </is>
      </c>
    </row>
    <row r="11">
      <c r="A11" s="12" t="inlineStr">
        <is>
          <t>F-01/F-07 (estación única)</t>
        </is>
      </c>
      <c r="B11" s="13" t="inlineStr">
        <is>
          <t>Estación fotográfica</t>
        </is>
      </c>
      <c r="C11" s="27" t="n">
        <v>606815</v>
      </c>
      <c r="D11" s="27" t="n">
        <v>9446991</v>
      </c>
      <c r="E11" s="13" t="n">
        <v>741</v>
      </c>
      <c r="F11" s="13" t="inlineStr"/>
      <c r="G11" s="13" t="inlineStr">
        <is>
          <t>Registro fotográfico georreferenciado</t>
        </is>
      </c>
    </row>
    <row r="12">
      <c r="A12" s="7" t="inlineStr">
        <is>
          <t>H-01</t>
        </is>
      </c>
      <c r="B12" s="11" t="inlineStr">
        <is>
          <t>Fuente de agua — Quebrada estacional</t>
        </is>
      </c>
      <c r="C12" s="26" t="inlineStr">
        <is>
          <t>Por determinar</t>
        </is>
      </c>
      <c r="D12" s="26" t="inlineStr">
        <is>
          <t>Por determinar</t>
        </is>
      </c>
      <c r="E12" s="11" t="inlineStr"/>
      <c r="F12" s="11" t="inlineStr">
        <is>
          <t>Estacional</t>
        </is>
      </c>
      <c r="G12" s="11" t="inlineStr">
        <is>
          <t>Cauce torrencial del flanco oriental</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606173</v>
      </c>
      <c r="C15" s="6" t="inlineStr">
        <is>
          <t>Centroide del bloque — UTM NORTE (m)</t>
        </is>
      </c>
      <c r="D15" s="7" t="n">
        <v>9447361</v>
      </c>
      <c r="E15" s="8" t="n"/>
      <c r="F15" s="8" t="n"/>
      <c r="G15" s="8" t="n"/>
      <c r="H15" s="8" t="n"/>
    </row>
    <row r="16">
      <c r="A16" s="6" t="inlineStr">
        <is>
          <t>N.° de estaciones fotográficas declaradas</t>
        </is>
      </c>
      <c r="B16" s="7" t="n">
        <v>7</v>
      </c>
      <c r="C16" s="6" t="inlineStr">
        <is>
          <t>Estaciones dentro del polígono</t>
        </is>
      </c>
      <c r="D16" s="7" t="n">
        <v>0</v>
      </c>
      <c r="E16" s="8" t="n"/>
      <c r="F16" s="8" t="n"/>
      <c r="G16" s="8" t="n"/>
      <c r="H16" s="8" t="n"/>
    </row>
    <row r="18" ht="192"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EXTERNA. LAS 7 TOMAS GEORREFERENCIADAS DEL 15/07/2026 SE CONCENTRAN EN UNA ESTACIÓN ÚNICA DE LA CARRETERA CHULUCANAS-FRÍAS (606 809-606 820 E / 9 446 959-9 447 025 N; dispersión 11 m E × 66 m N). EL INTERIOR DEL POLÍGONO NO FUE RECORRIDO; LA COMPLETITUD DEL LEVANTAMIENTO FÍSICO SE ESTIMA &lt;10%. Los azimuts 294 NO y 318 NO encuadran el núcleo del bloque, cuyo centroide de catálogo se ubica a ≈741 m al ONO de la estación. AFLORAMIENTOS: cornisas y escarpes rocosos claros en el tercio superior. ESCARPES: rasgos lineales descendentes desde la cresta, COMPATIBLES CON CANALETAS DE CAÍDA DE ROCAS. DESLIZAMIENTOS ANTIGUOS: cicatriz de talud desnudo con bloques dispersos en ladera media. REMOCIONES: no observadas; el fondo de valle presenta BOLONES MÉTRICOS DISPERSOS SOBRE PASTIZAL, COMPATIBLES CON FLUJOS TORRENCIALES PASADOS. DISCREPANCIAS DE CATÁLOGO: área 75.363 ha (Bloques V5) vs. 75.403 ha (CP-Bloques V5) vs. 924.365 ha (Centroides Bloques.xls); centroide V4 (606 173 · 9 447 361) vs. Centroides.xls (606 234 · 9 448 179), SEPARACIÓN 820 m; el rótulo de la app indica «Morropón» en F-01 y «Ayabaca» en F-02 PARA PUNTOS SEPARADOS 13 m.</t>
        </is>
      </c>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C1096-Q9556 — BLOQUE M17B10</t>
        </is>
      </c>
    </row>
    <row r="6" ht="24" customHeight="1">
      <c r="A6" s="4" t="inlineStr">
        <is>
          <t>Distrito de Frias · Provincia de Ayabaca · Comparación de los bloques preliminares de intervención de la misma microcuenca</t>
        </is>
      </c>
    </row>
    <row r="8" ht="18" customHeight="1">
      <c r="A8" s="5" t="inlineStr">
        <is>
          <t>BLOQUES DE LA MICROCUENCA C1096-Q9556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M17B7</t>
        </is>
      </c>
      <c r="B10" s="28" t="n">
        <v>258.84</v>
      </c>
      <c r="C10" s="19" t="n">
        <v>29.57</v>
      </c>
      <c r="D10" s="11" t="inlineStr">
        <is>
          <t>553 – 1517</t>
        </is>
      </c>
      <c r="E10" s="11" t="n">
        <v>964</v>
      </c>
      <c r="F10" s="11" t="n">
        <v>29.82</v>
      </c>
      <c r="G10" s="18" t="n">
        <v>0.5087</v>
      </c>
      <c r="H10" s="19" t="n">
        <v>58.63</v>
      </c>
    </row>
    <row r="11">
      <c r="A11" s="12" t="inlineStr">
        <is>
          <t>M17B4</t>
        </is>
      </c>
      <c r="B11" s="29" t="n">
        <v>124.71</v>
      </c>
      <c r="C11" s="21" t="n">
        <v>14.25</v>
      </c>
      <c r="D11" s="13" t="inlineStr">
        <is>
          <t>294 – 629</t>
        </is>
      </c>
      <c r="E11" s="13" t="n">
        <v>335</v>
      </c>
      <c r="F11" s="13" t="n">
        <v>18.69</v>
      </c>
      <c r="G11" s="20" t="n">
        <v>0.4235</v>
      </c>
      <c r="H11" s="21" t="n">
        <v>3.97</v>
      </c>
    </row>
    <row r="12">
      <c r="A12" s="7" t="inlineStr">
        <is>
          <t>M17B6</t>
        </is>
      </c>
      <c r="B12" s="28" t="n">
        <v>106.54</v>
      </c>
      <c r="C12" s="19" t="n">
        <v>12.17</v>
      </c>
      <c r="D12" s="11" t="inlineStr">
        <is>
          <t>403 – 1049</t>
        </is>
      </c>
      <c r="E12" s="11" t="n">
        <v>646</v>
      </c>
      <c r="F12" s="11" t="n">
        <v>23.42</v>
      </c>
      <c r="G12" s="18" t="n">
        <v>0.4464</v>
      </c>
      <c r="H12" s="19" t="n">
        <v>18.53</v>
      </c>
    </row>
    <row r="13">
      <c r="A13" s="12" t="inlineStr">
        <is>
          <t>22</t>
        </is>
      </c>
      <c r="B13" s="29" t="n">
        <v>79.33</v>
      </c>
      <c r="C13" s="21" t="n">
        <v>9.06</v>
      </c>
      <c r="D13" s="13" t="inlineStr">
        <is>
          <t>235 – 596</t>
        </is>
      </c>
      <c r="E13" s="13" t="n">
        <v>361</v>
      </c>
      <c r="F13" s="13" t="n">
        <v>22.51</v>
      </c>
      <c r="G13" s="20" t="n">
        <v>0.4232</v>
      </c>
      <c r="H13" s="21" t="n">
        <v>0.32</v>
      </c>
    </row>
    <row r="14">
      <c r="A14" s="7" t="inlineStr">
        <is>
          <t>27</t>
        </is>
      </c>
      <c r="B14" s="28" t="n">
        <v>78.15000000000001</v>
      </c>
      <c r="C14" s="19" t="n">
        <v>8.93</v>
      </c>
      <c r="D14" s="11" t="inlineStr">
        <is>
          <t>1518 – 1895</t>
        </is>
      </c>
      <c r="E14" s="11" t="n">
        <v>377</v>
      </c>
      <c r="F14" s="11" t="n">
        <v>30.25</v>
      </c>
      <c r="G14" s="18" t="n">
        <v>0.5323</v>
      </c>
      <c r="H14" s="19" t="n">
        <v>64.75</v>
      </c>
    </row>
    <row r="15">
      <c r="A15" s="14" t="inlineStr">
        <is>
          <t>► M17B10</t>
        </is>
      </c>
      <c r="B15" s="30" t="n">
        <v>75.36</v>
      </c>
      <c r="C15" s="31" t="n">
        <v>8.609999999999999</v>
      </c>
      <c r="D15" s="15" t="inlineStr">
        <is>
          <t>466 – 902</t>
        </is>
      </c>
      <c r="E15" s="15" t="n">
        <v>436</v>
      </c>
      <c r="F15" s="15" t="n">
        <v>25.94</v>
      </c>
      <c r="G15" s="32" t="n">
        <v>0.4725</v>
      </c>
      <c r="H15" s="31" t="n">
        <v>29.2</v>
      </c>
    </row>
    <row r="16">
      <c r="A16" s="7" t="inlineStr">
        <is>
          <t>M17B5</t>
        </is>
      </c>
      <c r="B16" s="28" t="n">
        <v>74.03</v>
      </c>
      <c r="C16" s="19" t="n">
        <v>8.460000000000001</v>
      </c>
      <c r="D16" s="11" t="inlineStr">
        <is>
          <t>794 – 1317</t>
        </is>
      </c>
      <c r="E16" s="11" t="n">
        <v>523</v>
      </c>
      <c r="F16" s="11" t="n">
        <v>27.42</v>
      </c>
      <c r="G16" s="18" t="n">
        <v>0.5482</v>
      </c>
      <c r="H16" s="19" t="n">
        <v>61.34</v>
      </c>
    </row>
    <row r="17">
      <c r="A17" s="12" t="inlineStr">
        <is>
          <t>M17B1</t>
        </is>
      </c>
      <c r="B17" s="29" t="n">
        <v>42.45</v>
      </c>
      <c r="C17" s="21" t="n">
        <v>4.85</v>
      </c>
      <c r="D17" s="13" t="inlineStr">
        <is>
          <t>177 – 313</t>
        </is>
      </c>
      <c r="E17" s="13" t="n">
        <v>136</v>
      </c>
      <c r="F17" s="13" t="n">
        <v>14.73</v>
      </c>
      <c r="G17" s="20" t="n">
        <v>0.3323</v>
      </c>
      <c r="H17" s="21" t="n">
        <v>0</v>
      </c>
    </row>
    <row r="18">
      <c r="A18" s="7" t="inlineStr">
        <is>
          <t>32</t>
        </is>
      </c>
      <c r="B18" s="28" t="n">
        <v>35.83</v>
      </c>
      <c r="C18" s="19" t="n">
        <v>4.09</v>
      </c>
      <c r="D18" s="11" t="inlineStr">
        <is>
          <t>197 – 269</t>
        </is>
      </c>
      <c r="E18" s="11" t="n">
        <v>72</v>
      </c>
      <c r="F18" s="11" t="n">
        <v>12.87</v>
      </c>
      <c r="G18" s="18" t="n">
        <v>0.3716</v>
      </c>
      <c r="H18" s="19" t="inlineStr">
        <is>
          <t>Por determinar</t>
        </is>
      </c>
    </row>
    <row r="19">
      <c r="A19" s="16" t="inlineStr">
        <is>
          <t>TOTAL / PROMEDIO</t>
        </is>
      </c>
      <c r="B19" s="33">
        <f>SUM(B10:B18)</f>
        <v/>
      </c>
      <c r="C19" s="23">
        <f>SUM(C10:C18)</f>
        <v/>
      </c>
      <c r="D19" s="17" t="inlineStr">
        <is>
          <t>177 – 1895</t>
        </is>
      </c>
      <c r="E19" s="17" t="inlineStr"/>
      <c r="F19" s="17">
        <f>ROUND(AVERAGE(F10:F18),2)</f>
        <v/>
      </c>
      <c r="G19" s="22">
        <f>ROUND(AVERAGE(G10:G18),4)</f>
        <v/>
      </c>
      <c r="H19" s="23">
        <f>ROUND(AVERAGE(H10:H18),2)</f>
        <v/>
      </c>
    </row>
    <row r="21" ht="84" customHeight="1">
      <c r="A21" s="9" t="inlineStr">
        <is>
          <t>LECTURA INTRAMICROCUENCA. El bloque M17B10 ocupa el puesto 6 de 9 por superficie dentro de la microcuenca C1096-Q9556 (8.61 % de las 875.24 ha preliminares de la microcuenca). Su pendiente promedio (25.94 %, clase «25-50% (Mod. escarpado)») es la 6.ª más baja de 9 y se sitúa por encima del promedio de la microcuenca (22.85 %). Su MSAVI 2024 (0.4725) es el 4.º de 9 y queda por encima del promedio local (0.4510). Amplitud altitudinal del bloque: 436 m (466–902 msnm). El cuadro conserva todos los bloques catalogados en la microcuenca, incluidos los descartados en el tamizaje, para referencia del conjunto. Los bloques sin ficha DT figuran con sus parámetros de gabinete.</t>
        </is>
      </c>
    </row>
    <row r="23" ht="60" customHeight="1">
      <c r="A23"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1:H21"/>
    <mergeCell ref="A2:H2"/>
    <mergeCell ref="A5:H5"/>
    <mergeCell ref="A23:H23"/>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M17B10</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«C1096-Q9556»</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741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(75.403 ha) coincide con la de catálogo (75.36 ha) dentro del ±2 % (+0.06 %)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80 % de cobertura vegetal en campo; el NDVI mediana 2025 clasifica 100.00 % del polígono en clases de vegetación</t>
        </is>
      </c>
      <c r="D13" s="15"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Representatividad del levantamiento</t>
        </is>
      </c>
      <c r="C14" s="34" t="inlineStr">
        <is>
          <t>Ninguna de las estaciones fotográficas georreferenciadas se localiza dentro del polígono del bloque</t>
        </is>
      </c>
      <c r="D14" s="37" t="inlineStr">
        <is>
          <t>SUSTANTIVA</t>
        </is>
      </c>
      <c r="E14" s="34" t="inlineStr">
        <is>
          <t>La verificación documenta el perímetro y la vista panorámica del bloque, no su interior. Los parámetros que exigen recorrido interno se consignan «Por determinar».</t>
        </is>
      </c>
    </row>
    <row r="15" ht="48" customHeight="1">
      <c r="A15" s="36" t="inlineStr">
        <is>
          <t>D-06</t>
        </is>
      </c>
      <c r="B15" s="36" t="inlineStr">
        <is>
          <t>Peligro integrado (MCA-AHP)</t>
        </is>
      </c>
      <c r="C15" s="36" t="inlineStr">
        <is>
          <t>El nivel de peligro integrado no está disponible en los insumos de este entregable</t>
        </is>
      </c>
      <c r="D15" s="37" t="inlineStr">
        <is>
          <t>SUSTANTIVA</t>
        </is>
      </c>
      <c r="E15" s="36" t="inlineStr">
        <is>
          <t>Debe tomarse del modelamiento de mesolocalización (PMM + EPH + PGI ponderados por AHP) antes de fijar la prioridad definitiva de intervención del bloque.</t>
        </is>
      </c>
    </row>
    <row r="16" ht="48" customHeight="1">
      <c r="A16" s="34" t="inlineStr">
        <is>
          <t>D-07</t>
        </is>
      </c>
      <c r="B16" s="34" t="inlineStr">
        <is>
          <t>F-DT-01</t>
        </is>
      </c>
      <c r="C16" s="34" t="inlineStr">
        <is>
          <t>VERIFICACIÓN EXTERNA desde una ESTACIÓN ÚNICA sobre la vía; completitud física &lt;10%; el interior no fue recorrido</t>
        </is>
      </c>
      <c r="D16" s="37" t="inlineStr">
        <is>
          <t>SUSTANTIVA</t>
        </is>
      </c>
      <c r="E16" s="34" t="inlineStr">
        <is>
          <t>Recorrido interno pendiente</t>
        </is>
      </c>
    </row>
    <row r="17" ht="48" customHeight="1">
      <c r="A17" s="36" t="inlineStr">
        <is>
          <t>D-08</t>
        </is>
      </c>
      <c r="B17" s="36" t="inlineStr">
        <is>
          <t>F-DT-01</t>
        </is>
      </c>
      <c r="C17" s="36" t="inlineStr">
        <is>
          <t>DISCREPANCIA DE ÁREA: 75.363 ha (Bloques V5) vs. 75.403 ha (CP-Bloques V5) vs. 924.365 ha (Centroides Bloques.xls)</t>
        </is>
      </c>
      <c r="D17" s="37" t="inlineStr">
        <is>
          <t>SUSTANTIVA</t>
        </is>
      </c>
      <c r="E17" s="36" t="inlineStr">
        <is>
          <t>El valor de 924.365 ha es un error grosero de catálogo: conciliar</t>
        </is>
      </c>
    </row>
    <row r="18" ht="48" customHeight="1">
      <c r="A18" s="34" t="inlineStr">
        <is>
          <t>D-09</t>
        </is>
      </c>
      <c r="B18" s="34" t="inlineStr">
        <is>
          <t>F-DT-01</t>
        </is>
      </c>
      <c r="C18" s="34" t="inlineStr">
        <is>
          <t>DISCREPANCIA DE CENTROIDE: V4 (606 173 · 9 447 361) vs. Centroides.xls (606 234 · 9 448 179), separación 820 m</t>
        </is>
      </c>
      <c r="D18" s="37" t="inlineStr">
        <is>
          <t>SUSTANTIVA</t>
        </is>
      </c>
      <c r="E18" s="34" t="inlineStr">
        <is>
          <t>Conciliar catálogo de centroides</t>
        </is>
      </c>
    </row>
    <row r="19" ht="48" customHeight="1">
      <c r="A19" s="36" t="inlineStr">
        <is>
          <t>D-10</t>
        </is>
      </c>
      <c r="B19" s="36" t="inlineStr">
        <is>
          <t>F-DT-01</t>
        </is>
      </c>
      <c r="C19" s="36" t="inlineStr">
        <is>
          <t>El rótulo de la app indica «Morropón» en F-01 y «Ayabaca» en F-02 para puntos separados 13 m</t>
        </is>
      </c>
      <c r="D19" s="15" t="inlineStr">
        <is>
          <t>NO SUSTANTIVA</t>
        </is>
      </c>
      <c r="E19" s="36" t="inlineStr">
        <is>
          <t>Error de la aplicación; el bloque pertenece a Ayabaca / Frías</t>
        </is>
      </c>
    </row>
    <row r="20" ht="48" customHeight="1">
      <c r="A20" s="34" t="inlineStr">
        <is>
          <t>D-11</t>
        </is>
      </c>
      <c r="B20" s="34" t="inlineStr">
        <is>
          <t>F-DT-02</t>
        </is>
      </c>
      <c r="C20" s="34" t="inlineStr">
        <is>
          <t>Inventario de cárcavas no ejecutado; sellamiento, compactación y raíces expuestas en blanco</t>
        </is>
      </c>
      <c r="D20" s="37" t="inlineStr">
        <is>
          <t>SUSTANTIVA</t>
        </is>
      </c>
      <c r="E20" s="34" t="inlineStr">
        <is>
          <t>No observables desde la distancia de toma</t>
        </is>
      </c>
    </row>
    <row r="21" ht="48" customHeight="1">
      <c r="A21" s="36" t="inlineStr">
        <is>
          <t>D-12</t>
        </is>
      </c>
      <c r="B21" s="36" t="inlineStr">
        <is>
          <t>F-DT-02</t>
        </is>
      </c>
      <c r="C21" s="36" t="inlineStr">
        <is>
          <t>MSAVI 0.4725 no debe interpretarse como degradación sin corrección por estacionalidad (Bes-cm caducifolio)</t>
        </is>
      </c>
      <c r="D21" s="37" t="inlineStr">
        <is>
          <t>SUSTANTIVA</t>
        </is>
      </c>
      <c r="E21" s="36" t="inlineStr">
        <is>
          <t>Contraste documentado: imagen 09/2023 con defoliación total vs. tomas 07/2026 con dosel verde continuo</t>
        </is>
      </c>
    </row>
    <row r="22" ht="48" customHeight="1">
      <c r="A22" s="34" t="inlineStr">
        <is>
          <t>D-13</t>
        </is>
      </c>
      <c r="B22" s="34" t="inlineStr">
        <is>
          <t>F-DT-03</t>
        </is>
      </c>
      <c r="C22" s="34" t="inlineStr">
        <is>
          <t>Columna de abundancia deliberadamente en blanco; coberturas por estimación ocular externa</t>
        </is>
      </c>
      <c r="D22" s="15" t="inlineStr">
        <is>
          <t>NO SUSTANTIVA</t>
        </is>
      </c>
      <c r="E22" s="34" t="inlineStr">
        <is>
          <t>Criterio de no fabricación correctamente aplicado</t>
        </is>
      </c>
    </row>
    <row r="23" ht="48" customHeight="1">
      <c r="A23" s="36" t="inlineStr">
        <is>
          <t>D-14</t>
        </is>
      </c>
      <c r="B23" s="36" t="inlineStr">
        <is>
          <t>F-DT-03</t>
        </is>
      </c>
      <c r="C23" s="36" t="inlineStr">
        <is>
          <t>Estado «Levemente alterado» contrasta con el supuesto de bloque degradado del modelamiento de mesolocalización</t>
        </is>
      </c>
      <c r="D23" s="37" t="inlineStr">
        <is>
          <t>SUSTANTIVA</t>
        </is>
      </c>
      <c r="E23" s="36" t="inlineStr">
        <is>
          <t>Recomendación de REDELIMITACIÓN o estrategia de conservación-enriquecimiento</t>
        </is>
      </c>
    </row>
    <row r="24" ht="48" customHeight="1">
      <c r="A24" s="34" t="inlineStr">
        <is>
          <t>D-15</t>
        </is>
      </c>
      <c r="B24" s="34" t="inlineStr">
        <is>
          <t>F-DT-04</t>
        </is>
      </c>
      <c r="C24" s="34" t="inlineStr">
        <is>
          <t>Solo 1 de las 16 causas cuenta con evidencia directa; el resto queda con presencia en blanco</t>
        </is>
      </c>
      <c r="D24" s="37" t="inlineStr">
        <is>
          <t>SUSTANTIVA</t>
        </is>
      </c>
      <c r="E24" s="34" t="inlineStr">
        <is>
          <t>Criterio de no fabricación correctamente aplicado</t>
        </is>
      </c>
    </row>
    <row r="26">
      <c r="A26" s="16" t="inlineStr">
        <is>
          <t>RESUMEN</t>
        </is>
      </c>
      <c r="B26" s="17" t="inlineStr">
        <is>
          <t>15 verificaciones</t>
        </is>
      </c>
      <c r="C26" s="17" t="inlineStr">
        <is>
          <t>CONFORME: 3 · NO SUSTANTIVA: 3 · SUSTANTIVA: 9</t>
        </is>
      </c>
      <c r="D26" s="17" t="inlineStr"/>
      <c r="E26" s="17" t="inlineStr"/>
    </row>
    <row r="28" ht="60" customHeight="1">
      <c r="A28"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28:E28"/>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M17B10 — IN Piura</dc:title>
  <dc:subject>Diagnóstico Territorial por bloque de intervención</dc:subject>
  <dcterms:created xsi:type="dcterms:W3CDTF">2026-09-08T02:45:07Z</dcterms:created>
  <dcterms:modified xsi:type="dcterms:W3CDTF">2026-09-08T02:45:07Z</dcterms:modified>
</cp:coreProperties>
</file>