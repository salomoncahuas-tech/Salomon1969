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61</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 (según ficha — valor por defecto de plantilla; catálogo: 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Pedregal</t>
        </is>
      </c>
      <c r="C13" s="6" t="inlineStr">
        <is>
          <t>Comunidad campesina</t>
        </is>
      </c>
      <c r="D13" s="7" t="inlineStr">
        <is>
          <t>No consignada</t>
        </is>
      </c>
      <c r="E13" s="8" t="n"/>
      <c r="F13" s="8" t="n"/>
    </row>
    <row r="14">
      <c r="A14" s="6" t="inlineStr">
        <is>
          <t>Superficie de catálogo (V5/V6), ha</t>
        </is>
      </c>
      <c r="B14" s="7" t="n">
        <v>26.83</v>
      </c>
      <c r="C14" s="6" t="inlineStr">
        <is>
          <t>Fuente de superficie</t>
        </is>
      </c>
      <c r="D14" s="7" t="inlineStr">
        <is>
          <t>Catálogo maestro Bloques V5/V6</t>
        </is>
      </c>
      <c r="E14" s="8" t="n"/>
      <c r="F14" s="8" t="n"/>
    </row>
    <row r="15">
      <c r="A15" s="6" t="inlineStr">
        <is>
          <t>Centroide UTM ESTE (m)</t>
        </is>
      </c>
      <c r="B15" s="7" t="n">
        <v>646236</v>
      </c>
      <c r="C15" s="6" t="inlineStr">
        <is>
          <t>Centroide UTM NORTE (m)</t>
        </is>
      </c>
      <c r="D15" s="7" t="n">
        <v>9425052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1098</v>
      </c>
      <c r="C19" s="6" t="inlineStr">
        <is>
          <t>Altitud máxima (msnm)</t>
        </is>
      </c>
      <c r="D19" s="7" t="n">
        <v>1336</v>
      </c>
      <c r="E19" s="8" t="n"/>
      <c r="F19" s="8" t="n"/>
    </row>
    <row r="20">
      <c r="A20" s="6" t="inlineStr">
        <is>
          <t>Amplitud altitudinal (m)</t>
        </is>
      </c>
      <c r="B20" s="7" t="n">
        <v>238</v>
      </c>
      <c r="C20" s="6" t="inlineStr">
        <is>
          <t>Piso altitudinal dominante</t>
        </is>
      </c>
      <c r="D20" s="7" t="inlineStr">
        <is>
          <t>1000-1500 m (Quechua baja)</t>
        </is>
      </c>
      <c r="E20" s="8" t="n"/>
      <c r="F20" s="8" t="n"/>
    </row>
    <row r="21">
      <c r="A21" s="6" t="inlineStr">
        <is>
          <t>Pendiente promedio (%)</t>
        </is>
      </c>
      <c r="B21" s="7" t="n">
        <v>22.61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0.6112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(80.15 %)</t>
        </is>
      </c>
      <c r="E29" s="8" t="n"/>
      <c r="F29" s="8" t="n"/>
    </row>
    <row r="30">
      <c r="A30" s="6" t="inlineStr">
        <is>
          <t>Superficie clasificada NDVI 2025 (ha)</t>
        </is>
      </c>
      <c r="B30" s="7" t="n">
        <v>26.833</v>
      </c>
      <c r="C30" s="6" t="inlineStr">
        <is>
          <t>Desviación frente al catálogo (%)</t>
        </is>
      </c>
      <c r="D30" s="7" t="n">
        <v>0.01</v>
      </c>
      <c r="E30" s="8" t="n"/>
      <c r="F30" s="8" t="n"/>
    </row>
    <row r="32" ht="18" customHeight="1">
      <c r="A32" s="5" t="inlineStr">
        <is>
          <t>4. ECOSISTEMA Y ESTADO DE CONSERVACIÓN</t>
        </is>
      </c>
    </row>
    <row r="33">
      <c r="A33" s="6" t="inlineStr">
        <is>
          <t>Tipo de ecosistema (UP)</t>
        </is>
      </c>
      <c r="B33" s="7" t="inlineStr">
        <is>
          <t>Bosque seco / matorral remanente en mosaico agropecuario (tipo MINAM no consignado en ficha)</t>
        </is>
      </c>
      <c r="C33" s="6" t="inlineStr">
        <is>
          <t>Superficie de ecosistema (ha)</t>
        </is>
      </c>
      <c r="D33" s="7" t="inlineStr">
        <is>
          <t>7 ha de ecosistema remanente (de 26.83 ha del bloque)</t>
        </is>
      </c>
      <c r="E33" s="8" t="n"/>
      <c r="F33" s="8" t="n"/>
    </row>
    <row r="34">
      <c r="A34" s="6" t="inlineStr">
        <is>
          <t>Estado de conservación</t>
        </is>
      </c>
      <c r="B34" s="7" t="inlineStr">
        <is>
          <t>Medianamente alterado</t>
        </is>
      </c>
      <c r="C34" s="6" t="inlineStr">
        <is>
          <t>Uso actual dominante del suelo</t>
        </is>
      </c>
      <c r="D34" s="7" t="inlineStr">
        <is>
          <t>Uso mixto (agropecuario dominante)</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n">
        <v>5</v>
      </c>
      <c r="C36" s="6" t="inlineStr">
        <is>
          <t>Regeneración natural</t>
        </is>
      </c>
      <c r="D36" s="7" t="inlineStr">
        <is>
          <t>Escasa (&lt;10 pl./100m²)</t>
        </is>
      </c>
      <c r="E36" s="8" t="n"/>
      <c r="F36" s="8" t="n"/>
    </row>
    <row r="37">
      <c r="A37" s="6" t="inlineStr">
        <is>
          <t>Nivel general de erosión</t>
        </is>
      </c>
      <c r="B37" s="7" t="inlineStr">
        <is>
          <t>Ficha F-DT-02 SIN CONTENIDO en el documento de origen. Evidencia narrativa F-DT-01: surcos abundantes y cárcavas medianas y en formación (erosión hídrica activa)</t>
        </is>
      </c>
      <c r="C37" s="6" t="inlineStr">
        <is>
          <t>N.° de cárcavas registradas</t>
        </is>
      </c>
      <c r="D37" s="7" t="inlineStr">
        <is>
          <t>No inventariadas (F-DT-02 sin contenido)</t>
        </is>
      </c>
      <c r="E37" s="8" t="n"/>
      <c r="F37" s="8" t="n"/>
    </row>
    <row r="38">
      <c r="A38" s="6" t="inlineStr">
        <is>
          <t>Elenco florístico (n.° de taxones)</t>
        </is>
      </c>
      <c r="B38" s="7" t="n">
        <v>6</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t>
        </is>
      </c>
      <c r="C41" s="6" t="inlineStr">
        <is>
          <t>Fecha de evaluación</t>
        </is>
      </c>
      <c r="D41" s="7" t="inlineStr">
        <is>
          <t>2026-07-07</t>
        </is>
      </c>
      <c r="E41" s="8" t="n"/>
      <c r="F41" s="8" t="n"/>
    </row>
    <row r="42">
      <c r="A42" s="6" t="inlineStr">
        <is>
          <t>Hora de registro</t>
        </is>
      </c>
      <c r="B42" s="7" t="inlineStr">
        <is>
          <t>14:30 h</t>
        </is>
      </c>
      <c r="C42" s="6" t="inlineStr">
        <is>
          <t>Correlativo de ficha</t>
        </is>
      </c>
      <c r="D42" s="7" t="inlineStr">
        <is>
          <t>F-DT/B61/2026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consignada</t>
        </is>
      </c>
      <c r="E44" s="8" t="n"/>
      <c r="F44" s="8" t="n"/>
    </row>
    <row r="45">
      <c r="A45" s="6" t="inlineStr">
        <is>
          <t>Estaciones fotográficas georreferenciadas</t>
        </is>
      </c>
      <c r="B45" s="7" t="n">
        <v>0</v>
      </c>
      <c r="C45" s="6" t="inlineStr">
        <is>
          <t>Modalidad de acceso</t>
        </is>
      </c>
      <c r="D45" s="7" t="inlineStr">
        <is>
          <t>Sin registro en ficha</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Por determinar</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0.611186</v>
      </c>
      <c r="C15" s="17" t="inlineStr">
        <is>
          <t>—</t>
        </is>
      </c>
      <c r="D15" s="17" t="inlineStr">
        <is>
          <t>Vigor moderado · clase 0.4976 - 0.6139</t>
        </is>
      </c>
      <c r="E15" s="17" t="inlineStr">
        <is>
          <t>Sobre umbral</t>
        </is>
      </c>
    </row>
    <row r="17" ht="72" customHeight="1">
      <c r="A17" s="9" t="inlineStr">
        <is>
          <t>NOTA METODOLÓGICA. La media del MSAVI 2024 del bloque (0.611186)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21.5061</v>
      </c>
      <c r="C21" s="19" t="n">
        <v>80.15000000000001</v>
      </c>
      <c r="D21" s="11" t="inlineStr">
        <is>
          <t>Dosel continuo, matorral denso o mosaico agroforestal</t>
        </is>
      </c>
      <c r="E21" s="11" t="inlineStr"/>
    </row>
    <row r="22">
      <c r="A22" s="14" t="inlineStr">
        <is>
          <t>Vegetación mediana</t>
        </is>
      </c>
      <c r="B22" s="20" t="n">
        <v>5.3268</v>
      </c>
      <c r="C22" s="21" t="n">
        <v>19.85</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26.83</v>
      </c>
      <c r="C24" s="25" t="inlineStr">
        <is>
          <t>—</t>
        </is>
      </c>
      <c r="D24" s="25" t="inlineStr">
        <is>
          <t>Desviación planimétrica frente al catálogo</t>
        </is>
      </c>
      <c r="E24" s="25" t="inlineStr">
        <is>
          <t>+0.01 %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61</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31558.9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646236</v>
      </c>
      <c r="C13" s="6" t="inlineStr">
        <is>
          <t>Centroide del bloque — UTM NORTE (m)</t>
        </is>
      </c>
      <c r="D13" s="7" t="n">
        <v>9425052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8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asienta sobre ladera de montaña, con pendiente inferior al 30% y altitud de 1100 msnm. No se observan piedras de tamaño regular, salvo ejemplares medianos semienterrados y dispersos. El terreno se ubica POR ENCIMA DEL TALUD de una vía afirmada que conecta dos centros poblados del distrito; dicha vía presenta en varios tramos evidencias de derrumbes y procesos de erosión. Configuración fragmentada, en mosaico de parcelas de maíz y pastos; zona usada además para pastoreo de ganado vacuno, con notable deterioro del suelo por pisoteo continuo. Presencia de TOCONES (extracción previa de individuos arbóreos y arbustivos) y caminos de herradura en la ladera. Notable presencia de SURCOS, CÁRCAVAS DE TAMAÑO MEDIANO y otras en proceso de formación: alto nivel de impacto antrópico y ganadero que acelera la erosión hídrica. Zonas de reptación en áreas desprovistas de vegetación y derrumbes de menor extensión. NOTA DE CONSISTENCIA: el punto de registro (645 575 E / 9 393 500 N) difiere del centroide del bloque (646 236 E / 9 425 050 N) en ≈31 km en el eje norte; se transcribe tal como consta en el original.</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61</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38</t>
        </is>
      </c>
      <c r="B10" s="27" t="n">
        <v>44.2</v>
      </c>
      <c r="C10" s="19" t="n">
        <v>29.78</v>
      </c>
      <c r="D10" s="11" t="inlineStr">
        <is>
          <t>1302 – 1533</t>
        </is>
      </c>
      <c r="E10" s="11" t="n">
        <v>231</v>
      </c>
      <c r="F10" s="11" t="n">
        <v>24.25</v>
      </c>
      <c r="G10" s="18" t="n">
        <v>0.6725</v>
      </c>
      <c r="H10" s="19" t="n">
        <v>99.3</v>
      </c>
    </row>
    <row r="11">
      <c r="A11" s="14" t="inlineStr">
        <is>
          <t>33</t>
        </is>
      </c>
      <c r="B11" s="28" t="n">
        <v>29.68</v>
      </c>
      <c r="C11" s="21" t="n">
        <v>20</v>
      </c>
      <c r="D11" s="15" t="inlineStr">
        <is>
          <t>1841 – 2226</t>
        </is>
      </c>
      <c r="E11" s="15" t="n">
        <v>385</v>
      </c>
      <c r="F11" s="15" t="n">
        <v>36.6</v>
      </c>
      <c r="G11" s="20" t="n">
        <v>0.7192</v>
      </c>
      <c r="H11" s="21" t="inlineStr">
        <is>
          <t>Por determinar</t>
        </is>
      </c>
    </row>
    <row r="12">
      <c r="A12" s="7" t="inlineStr">
        <is>
          <t>34</t>
        </is>
      </c>
      <c r="B12" s="27" t="n">
        <v>28.45</v>
      </c>
      <c r="C12" s="19" t="n">
        <v>19.17</v>
      </c>
      <c r="D12" s="11" t="inlineStr">
        <is>
          <t>1286 – 1514</t>
        </is>
      </c>
      <c r="E12" s="11" t="n">
        <v>228</v>
      </c>
      <c r="F12" s="11" t="n">
        <v>26.78</v>
      </c>
      <c r="G12" s="18" t="n">
        <v>0.649</v>
      </c>
      <c r="H12" s="19" t="n">
        <v>99.42</v>
      </c>
    </row>
    <row r="13">
      <c r="A13" s="12" t="inlineStr">
        <is>
          <t>► 61</t>
        </is>
      </c>
      <c r="B13" s="29" t="n">
        <v>26.83</v>
      </c>
      <c r="C13" s="30" t="n">
        <v>18.08</v>
      </c>
      <c r="D13" s="13" t="inlineStr">
        <is>
          <t>1098 – 1336</t>
        </is>
      </c>
      <c r="E13" s="13" t="n">
        <v>238</v>
      </c>
      <c r="F13" s="13" t="n">
        <v>22.61</v>
      </c>
      <c r="G13" s="31" t="n">
        <v>0.6112</v>
      </c>
      <c r="H13" s="30" t="n">
        <v>80.15000000000001</v>
      </c>
    </row>
    <row r="14">
      <c r="A14" s="7" t="inlineStr">
        <is>
          <t>50</t>
        </is>
      </c>
      <c r="B14" s="27" t="n">
        <v>19.27</v>
      </c>
      <c r="C14" s="19" t="n">
        <v>12.98</v>
      </c>
      <c r="D14" s="11" t="inlineStr">
        <is>
          <t>1468 – 1725</t>
        </is>
      </c>
      <c r="E14" s="11" t="n">
        <v>257</v>
      </c>
      <c r="F14" s="11" t="n">
        <v>30.47</v>
      </c>
      <c r="G14" s="18" t="n">
        <v>0.6831</v>
      </c>
      <c r="H14" s="19" t="n">
        <v>99.56999999999999</v>
      </c>
    </row>
    <row r="15">
      <c r="A15" s="16" t="inlineStr">
        <is>
          <t>TOTAL / PROMEDIO</t>
        </is>
      </c>
      <c r="B15" s="32">
        <f>SUM(B10:B14)</f>
        <v/>
      </c>
      <c r="C15" s="23">
        <f>SUM(C10:C14)</f>
        <v/>
      </c>
      <c r="D15" s="17" t="inlineStr">
        <is>
          <t>1098 – 2226</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row>
    <row r="18" ht="84" customHeight="1">
      <c r="A18" s="9" t="inlineStr">
        <is>
          <t>LECTURA INTRAMICROCUENCA. El bloque 61 ocupa el puesto 4 de 5 por superficie dentro de la microcuenca C1081-Q9590 (18.08 % de las 148.43 ha preliminares de la microcuenca). Su pendiente promedio (22.61 %, clase «15-25% (Fuert. inclinado)») es la 1.ª más baja de 5 y se sitúa por debajo del promedio de la microcuenca (28.14 %). Su MSAVI 2024 (0.6112) es el 5.º de 5 y queda por debajo del promedio local (0.6670). Amplitud altitudinal del bloque: 238 m (1098–1336 msnm). El cuadro conserva todos los bloques catalogados en la microcuenca, incluidos los descartados en el tamizaje, para referencia del conjunto. Los bloques sin ficha DT figuran con sus parámetros de gabinete.</t>
        </is>
      </c>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18:H18"/>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C1081-Q9590)»; el catálogo maestro V5/V6 asigna el bloque a «C1081-Q9590»</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31,559 m del centroide de catálogo (646236 E / 9425052 N), distancia incompatible con la superficie del bloque (26.83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(26.833 ha) coincide con la de catálogo (26.83 ha) dentro del ±2 % (+0.01 %)</t>
        </is>
      </c>
      <c r="D12" s="36" t="inlineStr">
        <is>
          <t>CONFORME</t>
        </is>
      </c>
      <c r="E12" s="33" t="inlineStr">
        <is>
          <t>Sin acción: la segmentación valida la geometría del bloque.</t>
        </is>
      </c>
    </row>
    <row r="13" ht="48" customHeight="1">
      <c r="A13" s="35" t="inlineStr">
        <is>
          <t>D-04</t>
        </is>
      </c>
      <c r="B13" s="35" t="inlineStr">
        <is>
          <t>Dimensiones del inventario de cárcavas</t>
        </is>
      </c>
      <c r="C13" s="35" t="inlineStr">
        <is>
          <t>Se registran No inventariadas (F-DT-02 sin contenido) rasgos erosivos, pero longitud, profundidad y ancho no fueron medidos instrumentalmente</t>
        </is>
      </c>
      <c r="D13" s="13" t="inlineStr">
        <is>
          <t>NO SUSTANTIVA</t>
        </is>
      </c>
      <c r="E13" s="35" t="inlineStr">
        <is>
          <t>El conteo registrado no debe usarse para calcular densidad de cárcavas por hectárea. Pendiente de levantamiento con GPS submétrico.</t>
        </is>
      </c>
    </row>
    <row r="14" ht="48" customHeight="1">
      <c r="A14" s="33" t="inlineStr">
        <is>
          <t>D-05</t>
        </is>
      </c>
      <c r="B14" s="33" t="inlineStr">
        <is>
          <t>Elenco florístico</t>
        </is>
      </c>
      <c r="C14" s="33" t="inlineStr">
        <is>
          <t>La ficha registra 6 taxones, por debajo del mínimo de 15 que exige el formato V5</t>
        </is>
      </c>
      <c r="D14" s="34"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4"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«Pedregal»; el cruce INEI-Bloques V5 identifica 1 centro(s) poblado(s) en el bloque: PEDREGAL</t>
        </is>
      </c>
      <c r="D16" s="36"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4"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Ficha DT</t>
        </is>
      </c>
      <c r="C18" s="33" t="inlineStr">
        <is>
          <t>La ficha consigna microcuenca C1076-Q9584; el catálogo maestro asigna al bloque 61 la microcuenca C1081-Q9590</t>
        </is>
      </c>
      <c r="D18" s="34" t="inlineStr">
        <is>
          <t>SUSTANTIVA</t>
        </is>
      </c>
      <c r="E18" s="33" t="inlineStr">
        <is>
          <t>Valor por defecto de la plantilla; se conserva el del catálogo</t>
        </is>
      </c>
    </row>
    <row r="19" ht="48" customHeight="1">
      <c r="A19" s="35" t="inlineStr">
        <is>
          <t>D-10</t>
        </is>
      </c>
      <c r="B19" s="35" t="inlineStr">
        <is>
          <t>Ficha DT</t>
        </is>
      </c>
      <c r="C19" s="35" t="inlineStr">
        <is>
          <t>El punto de registro (645 575 E / 9 393 500 N) difiere del centroide del bloque (646 236 E / 9 425 050 N) en ≈31 km</t>
        </is>
      </c>
      <c r="D19" s="34" t="inlineStr">
        <is>
          <t>SUSTANTIVA</t>
        </is>
      </c>
      <c r="E19" s="35" t="inlineStr">
        <is>
          <t>Coordenada por defecto de la plantilla; georreferencia por reponer en campo</t>
        </is>
      </c>
    </row>
    <row r="20" ht="48" customHeight="1">
      <c r="A20" s="33" t="inlineStr">
        <is>
          <t>D-11</t>
        </is>
      </c>
      <c r="B20" s="33" t="inlineStr">
        <is>
          <t>F-DT-02</t>
        </is>
      </c>
      <c r="C20" s="33" t="inlineStr">
        <is>
          <t>Sección SIN CONTENIDO en el PDF de origen</t>
        </is>
      </c>
      <c r="D20" s="34" t="inlineStr">
        <is>
          <t>SUSTANTIVA</t>
        </is>
      </c>
      <c r="E20" s="33" t="inlineStr">
        <is>
          <t>Levantamiento de suelo y procesos erosivos pendiente en su totalidad</t>
        </is>
      </c>
    </row>
    <row r="21" ht="48" customHeight="1">
      <c r="A21" s="35" t="inlineStr">
        <is>
          <t>D-12</t>
        </is>
      </c>
      <c r="B21" s="35" t="inlineStr">
        <is>
          <t>F-DT-04</t>
        </is>
      </c>
      <c r="C21" s="35" t="inlineStr">
        <is>
          <t>Ningún indicador cuantitativo de degradación fue diligenciado (8/8 vacíos)</t>
        </is>
      </c>
      <c r="D21" s="34" t="inlineStr">
        <is>
          <t>SUSTANTIVA</t>
        </is>
      </c>
      <c r="E21" s="35" t="inlineStr">
        <is>
          <t>Cuantificación pendiente</t>
        </is>
      </c>
    </row>
    <row r="22" ht="48" customHeight="1">
      <c r="A22" s="33" t="inlineStr">
        <is>
          <t>D-13</t>
        </is>
      </c>
      <c r="B22" s="33" t="inlineStr">
        <is>
          <t>F-DT-05</t>
        </is>
      </c>
      <c r="C22" s="33" t="inlineStr">
        <is>
          <t>Sección SIN REGISTROS en el PDF de origen</t>
        </is>
      </c>
      <c r="D22" s="34" t="inlineStr">
        <is>
          <t>SUSTANTIVA</t>
        </is>
      </c>
      <c r="E22" s="33" t="inlineStr">
        <is>
          <t>Recursos hídricos y accesibilidad pendientes en su totalidad</t>
        </is>
      </c>
    </row>
    <row r="23" ht="48" customHeight="1">
      <c r="A23" s="35" t="inlineStr">
        <is>
          <t>D-14</t>
        </is>
      </c>
      <c r="B23" s="35" t="inlineStr">
        <is>
          <t>F-DT-03</t>
        </is>
      </c>
      <c r="C23" s="35" t="inlineStr">
        <is>
          <t>Nombres científicos y familias no consignados para los 6 taxones registrados</t>
        </is>
      </c>
      <c r="D23" s="13" t="inlineStr">
        <is>
          <t>NO SUSTANTIVA</t>
        </is>
      </c>
      <c r="E23" s="35" t="inlineStr">
        <is>
          <t>Determinación botánica pendiente</t>
        </is>
      </c>
    </row>
    <row r="25">
      <c r="A25" s="16" t="inlineStr">
        <is>
          <t>RESUMEN</t>
        </is>
      </c>
      <c r="B25" s="17" t="inlineStr">
        <is>
          <t>14 verificaciones</t>
        </is>
      </c>
      <c r="C25" s="17" t="inlineStr">
        <is>
          <t>CONFORME: 2 · NO SUSTANTIVA: 2 · SUSTANTIVA: 10</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61 — IN Piura</dc:title>
  <dc:subject>Diagnóstico Territorial por bloque de intervención</dc:subject>
  <dcterms:created xsi:type="dcterms:W3CDTF">2026-09-08T03:39:56Z</dcterms:created>
  <dcterms:modified xsi:type="dcterms:W3CDTF">2026-09-08T03:39:57Z</dcterms:modified>
</cp:coreProperties>
</file>