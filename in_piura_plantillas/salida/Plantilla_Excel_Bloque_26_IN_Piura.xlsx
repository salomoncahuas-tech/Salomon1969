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26</t>
        </is>
      </c>
      <c r="C9" s="6" t="inlineStr">
        <is>
          <t>Microcuenca (catálogo)</t>
        </is>
      </c>
      <c r="D9" s="7" t="inlineStr">
        <is>
          <t>C1081-Q9591</t>
        </is>
      </c>
      <c r="E9" s="8" t="n"/>
      <c r="F9" s="8" t="n"/>
    </row>
    <row r="10">
      <c r="A10" s="6" t="inlineStr">
        <is>
          <t>Zona de planificación</t>
        </is>
      </c>
      <c r="B10" s="7" t="inlineStr">
        <is>
          <t>Z10</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La Laguna</t>
        </is>
      </c>
      <c r="C13" s="6" t="inlineStr">
        <is>
          <t>Comunidad campesina</t>
        </is>
      </c>
      <c r="D13" s="7" t="inlineStr">
        <is>
          <t>Por verificar</t>
        </is>
      </c>
      <c r="E13" s="8" t="n"/>
      <c r="F13" s="8" t="n"/>
    </row>
    <row r="14">
      <c r="A14" s="6" t="inlineStr">
        <is>
          <t>Superficie de catálogo (V5/V6), ha</t>
        </is>
      </c>
      <c r="B14" s="7" t="n">
        <v>46.96</v>
      </c>
      <c r="C14" s="6" t="inlineStr">
        <is>
          <t>Fuente de superficie</t>
        </is>
      </c>
      <c r="D14" s="7" t="inlineStr">
        <is>
          <t>Catálogo maestro Bloques V5/V6</t>
        </is>
      </c>
      <c r="E14" s="8" t="n"/>
      <c r="F14" s="8" t="n"/>
    </row>
    <row r="15">
      <c r="A15" s="6" t="inlineStr">
        <is>
          <t>Centroide UTM ESTE (m)</t>
        </is>
      </c>
      <c r="B15" s="7" t="n">
        <v>649472</v>
      </c>
      <c r="C15" s="6" t="inlineStr">
        <is>
          <t>Centroide UTM NORTE (m)</t>
        </is>
      </c>
      <c r="D15" s="7" t="n">
        <v>9425705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1260</v>
      </c>
      <c r="C19" s="6" t="inlineStr">
        <is>
          <t>Altitud máxima (msnm)</t>
        </is>
      </c>
      <c r="D19" s="7" t="n">
        <v>1855</v>
      </c>
      <c r="E19" s="8" t="n"/>
      <c r="F19" s="8" t="n"/>
    </row>
    <row r="20">
      <c r="A20" s="6" t="inlineStr">
        <is>
          <t>Amplitud altitudinal (m)</t>
        </is>
      </c>
      <c r="B20" s="7" t="n">
        <v>595</v>
      </c>
      <c r="C20" s="6" t="inlineStr">
        <is>
          <t>Piso altitudinal dominante</t>
        </is>
      </c>
      <c r="D20" s="7" t="inlineStr">
        <is>
          <t>1500-2000 m (Quechua media)</t>
        </is>
      </c>
      <c r="E20" s="8" t="n"/>
      <c r="F20" s="8" t="n"/>
    </row>
    <row r="21">
      <c r="A21" s="6" t="inlineStr">
        <is>
          <t>Pendiente promedio (%)</t>
        </is>
      </c>
      <c r="B21" s="7" t="n">
        <v>32.26</v>
      </c>
      <c r="C21" s="6" t="inlineStr">
        <is>
          <t>Pendiente promedio (grados)</t>
        </is>
      </c>
      <c r="D21" s="7" t="n">
        <v>17.9</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0.6733</v>
      </c>
      <c r="C28" s="6" t="inlineStr">
        <is>
          <t>MSAVI 2024 — clase de la media</t>
        </is>
      </c>
      <c r="D28" s="7" t="inlineStr">
        <is>
          <t>&gt; 0.6139 (Vigor alto)</t>
        </is>
      </c>
      <c r="E28" s="8" t="n"/>
      <c r="F28" s="8" t="n"/>
    </row>
    <row r="29">
      <c r="A29" s="6" t="inlineStr">
        <is>
          <t>Condición frente al umbral 0.4976</t>
        </is>
      </c>
      <c r="B29" s="7" t="inlineStr">
        <is>
          <t>Sobre umbral · distribución areal: 2.28 % del bloque BAJO el umbral (1.071 ha de 46.960 ha)</t>
        </is>
      </c>
      <c r="C29" s="6" t="inlineStr">
        <is>
          <t>NDVI mediana 2025 — clase modal</t>
        </is>
      </c>
      <c r="D29" s="7" t="inlineStr">
        <is>
          <t>Vegetación alta (97.29 %)</t>
        </is>
      </c>
      <c r="E29" s="8" t="n"/>
      <c r="F29" s="8" t="n"/>
    </row>
    <row r="30">
      <c r="A30" s="6" t="inlineStr">
        <is>
          <t>MSAVI 2024 — superficie BAJO el umbral 0.4976 (ha)</t>
        </is>
      </c>
      <c r="B30" s="7" t="n">
        <v>1.071</v>
      </c>
      <c r="C30" s="6" t="inlineStr">
        <is>
          <t>MSAVI 2024 — % del bloque BAJO el umbral</t>
        </is>
      </c>
      <c r="D30" s="7" t="n">
        <v>2.28</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(26.png)</t>
        </is>
      </c>
      <c r="E31" s="8" t="n"/>
      <c r="F31" s="8" t="n"/>
    </row>
    <row r="32" ht="18" customHeight="1">
      <c r="A32" s="6" t="inlineStr">
        <is>
          <t>Superficie clasificada NDVI 2025 (ha)</t>
        </is>
      </c>
      <c r="B32" s="7" t="n">
        <v>46.973</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46.96 ha (MINAM: Zona agrícola 100%)</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85</v>
      </c>
      <c r="E37" s="8" t="n"/>
      <c r="F37" s="8" t="n"/>
    </row>
    <row r="38">
      <c r="A38" s="6" t="inlineStr">
        <is>
          <t>Suelo desnudo — campo (%)</t>
        </is>
      </c>
      <c r="B38" s="7" t="inlineStr">
        <is>
          <t>&lt;10</t>
        </is>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2</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 ANIN/DIME/SESDI</t>
        </is>
      </c>
      <c r="C43" s="6" t="inlineStr">
        <is>
          <t>Fecha de evaluación</t>
        </is>
      </c>
      <c r="D43" s="7" t="inlineStr">
        <is>
          <t>2026-07-16</t>
        </is>
      </c>
      <c r="E43" s="8" t="n"/>
      <c r="F43" s="8" t="n"/>
    </row>
    <row r="44">
      <c r="A44" s="6" t="inlineStr">
        <is>
          <t>Hora de registro</t>
        </is>
      </c>
      <c r="B44" s="7" t="inlineStr">
        <is>
          <t>00:55</t>
        </is>
      </c>
      <c r="C44" s="6" t="inlineStr">
        <is>
          <t>Correlativo de ficha</t>
        </is>
      </c>
      <c r="D44" s="7" t="inlineStr">
        <is>
          <t>Por registrar</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agropecuaria en propiedad privada sobre laderas de fuerte pendiente, sin prácticas de conservación de suelos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2" t="n">
        <v>36.1545</v>
      </c>
      <c r="C10" s="31" t="n">
        <v>76.98999999999999</v>
      </c>
      <c r="D10" s="12" t="inlineStr">
        <is>
          <t>Vigor alto</t>
        </is>
      </c>
      <c r="E10" s="12" t="inlineStr">
        <is>
          <t>Sobre umbral</t>
        </is>
      </c>
    </row>
    <row r="11">
      <c r="A11" s="13" t="inlineStr">
        <is>
          <t>0.4976 - 0.6139</t>
        </is>
      </c>
      <c r="B11" s="20" t="n">
        <v>9.7348</v>
      </c>
      <c r="C11" s="21" t="n">
        <v>20.73</v>
      </c>
      <c r="D11" s="14" t="inlineStr">
        <is>
          <t>Vigor moderado</t>
        </is>
      </c>
      <c r="E11" s="14" t="inlineStr">
        <is>
          <t>Sobre umbral</t>
        </is>
      </c>
    </row>
    <row r="12">
      <c r="A12" s="7" t="inlineStr">
        <is>
          <t>0.3813 - 0.4976</t>
        </is>
      </c>
      <c r="B12" s="18" t="n">
        <v>1.0707</v>
      </c>
      <c r="C12" s="19" t="n">
        <v>2.28</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0.673303</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45.7024</v>
      </c>
      <c r="C22" s="19" t="n">
        <v>97.29000000000001</v>
      </c>
      <c r="D22" s="15" t="inlineStr">
        <is>
          <t>Dosel continuo, matorral denso o mosaico agroforestal</t>
        </is>
      </c>
      <c r="E22" s="15" t="inlineStr"/>
    </row>
    <row r="23">
      <c r="A23" s="13" t="inlineStr">
        <is>
          <t>Vegetación mediana</t>
        </is>
      </c>
      <c r="B23" s="20" t="n">
        <v>1.2709</v>
      </c>
      <c r="C23" s="21" t="n">
        <v>2.71</v>
      </c>
      <c r="D23" s="14" t="inlineStr">
        <is>
          <t>Pastizal cultivado, matorral ralo, parcelas agrícolas</t>
        </is>
      </c>
      <c r="E23" s="14" t="inlineStr"/>
    </row>
    <row r="24">
      <c r="A24" s="16" t="inlineStr">
        <is>
          <t>TOTAL CLASIFICADO</t>
        </is>
      </c>
      <c r="B24" s="22">
        <f>SUM(B21:B22)</f>
        <v/>
      </c>
      <c r="C24" s="23">
        <f>SUM(C21:C22)</f>
        <v/>
      </c>
      <c r="D24" s="17" t="inlineStr"/>
      <c r="E24" s="17" t="inlineStr"/>
    </row>
    <row r="25">
      <c r="A25" s="24" t="inlineStr">
        <is>
          <t>Superficie de catálogo (V5/V6)</t>
        </is>
      </c>
      <c r="B25" s="25" t="n">
        <v>46.96</v>
      </c>
      <c r="C25" s="25" t="inlineStr">
        <is>
          <t>—</t>
        </is>
      </c>
      <c r="D25" s="25" t="inlineStr">
        <is>
          <t>Desviación planimétrica frente al catálogo</t>
        </is>
      </c>
      <c r="E25" s="25" t="inlineStr">
        <is>
          <t>+0.03 %</t>
        </is>
      </c>
    </row>
    <row r="26" ht="108"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97.29 % del polígono clasificado como «Vegetación alta» por el NDVI 2025; la observación de campo corresponde a una parcela o recorrido puntual y no es estadísticamente representativa de las 46.960 ha del bloque.</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26</t>
        </is>
      </c>
    </row>
    <row r="6" ht="24" customHeight="1">
      <c r="A6" s="4" t="inlineStr">
        <is>
          <t>Levantamiento del 2026-07-16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649472</v>
      </c>
      <c r="D10" s="26" t="n">
        <v>9425705</v>
      </c>
      <c r="E10" s="15" t="n">
        <v>0</v>
      </c>
      <c r="F10" s="15" t="inlineStr"/>
      <c r="G10" s="15" t="inlineStr">
        <is>
          <t>Coordenada consignada en F-DT-01</t>
        </is>
      </c>
    </row>
    <row r="11">
      <c r="A11" s="13" t="inlineStr">
        <is>
          <t>E-01</t>
        </is>
      </c>
      <c r="B11" s="14" t="inlineStr">
        <is>
          <t>Rasgo erosivo — Por determinar</t>
        </is>
      </c>
      <c r="C11" s="27" t="n">
        <v>650018</v>
      </c>
      <c r="D11" s="27" t="n">
        <v>9425968</v>
      </c>
      <c r="E11" s="14" t="n">
        <v>606</v>
      </c>
      <c r="F11" s="14" t="inlineStr">
        <is>
          <t>Activa</t>
        </is>
      </c>
      <c r="G11" s="14" t="inlineStr">
        <is>
          <t>Otro</t>
        </is>
      </c>
    </row>
    <row r="12">
      <c r="A12" s="7" t="inlineStr">
        <is>
          <t>E-02</t>
        </is>
      </c>
      <c r="B12" s="15" t="inlineStr">
        <is>
          <t>Rasgo erosivo — Por determinar</t>
        </is>
      </c>
      <c r="C12" s="26" t="n">
        <v>650032</v>
      </c>
      <c r="D12" s="26" t="n">
        <v>9425645</v>
      </c>
      <c r="E12" s="15" t="n">
        <v>563.2</v>
      </c>
      <c r="F12" s="15" t="inlineStr">
        <is>
          <t>Semi-activa</t>
        </is>
      </c>
      <c r="G12" s="15" t="inlineStr">
        <is>
          <t>Otro</t>
        </is>
      </c>
    </row>
    <row r="13">
      <c r="A13" s="13" t="inlineStr">
        <is>
          <t>H-01</t>
        </is>
      </c>
      <c r="B13" s="14" t="inlineStr">
        <is>
          <t>Fuente de agua — Quebrada estacional</t>
        </is>
      </c>
      <c r="C13" s="27" t="n">
        <v>649669</v>
      </c>
      <c r="D13" s="27" t="n">
        <v>9425248</v>
      </c>
      <c r="E13" s="14" t="n">
        <v>497.7</v>
      </c>
      <c r="F13" s="14" t="inlineStr"/>
      <c r="G13" s="14" t="inlineStr">
        <is>
          <t>Sector húmedo con platanales</t>
        </is>
      </c>
    </row>
    <row r="14">
      <c r="A14" s="7" t="inlineStr">
        <is>
          <t>B-03</t>
        </is>
      </c>
      <c r="B14" s="15" t="inlineStr">
        <is>
          <t>Especie clave — Higuerón (Ficus sp.)</t>
        </is>
      </c>
      <c r="C14" s="26" t="n">
        <v>649636</v>
      </c>
      <c r="D14" s="26" t="n">
        <v>9425233</v>
      </c>
      <c r="E14" s="15" t="n">
        <v>499.7</v>
      </c>
      <c r="F14" s="15" t="inlineStr">
        <is>
          <t>Indicadora de buen estado</t>
        </is>
      </c>
      <c r="G14" s="15" t="inlineStr">
        <is>
          <t>No aplica</t>
        </is>
      </c>
    </row>
    <row r="15">
      <c r="A15" s="13" t="inlineStr">
        <is>
          <t>B-05</t>
        </is>
      </c>
      <c r="B15" s="14" t="inlineStr">
        <is>
          <t>Especie clave — Molle (Schinus molle)</t>
        </is>
      </c>
      <c r="C15" s="27" t="n">
        <v>650032</v>
      </c>
      <c r="D15" s="27" t="n">
        <v>9425645</v>
      </c>
      <c r="E15" s="14" t="n">
        <v>563.2</v>
      </c>
      <c r="F15" s="14" t="inlineStr">
        <is>
          <t>Clave cultural</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649472</v>
      </c>
      <c r="C18" s="6" t="inlineStr">
        <is>
          <t>Centroide del bloque — UTM NORTE (m)</t>
        </is>
      </c>
      <c r="D18" s="7" t="n">
        <v>9425705</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96"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clasificado por MINAM como Zona agrícola (100%); en campo es un mosaico agroforestal húmedo con relictos de bosque montano. Sector rotulado con ≈80% de pendiente. Coordenadas de referencia = CENTROIDE del bloque. Altitud GPS, hora de registro y comunidad campesina: por verificar.</t>
        </is>
      </c>
      <c r="B21" s="38" t="n"/>
      <c r="C21" s="38" t="n"/>
      <c r="D21" s="38" t="n"/>
      <c r="E21" s="38" t="n"/>
      <c r="F21" s="38" t="n"/>
      <c r="G21" s="39"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26</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11" t="inlineStr">
        <is>
          <t>► 26</t>
        </is>
      </c>
      <c r="B14" s="30" t="n">
        <v>46.96</v>
      </c>
      <c r="C14" s="31" t="n">
        <v>8.5</v>
      </c>
      <c r="D14" s="12" t="inlineStr">
        <is>
          <t>1260 – 1855</t>
        </is>
      </c>
      <c r="E14" s="12" t="n">
        <v>595</v>
      </c>
      <c r="F14" s="12" t="n">
        <v>32.26</v>
      </c>
      <c r="G14" s="32" t="n">
        <v>0.6733</v>
      </c>
      <c r="H14" s="31"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26 ocupa el puesto 5 de 10 por superficie dentro de la microcuenca C1081-Q9591 (8.50 % de las 552.18 ha preliminares de la microcuenca). Su pendiente promedio (32.26 %, clase «25-50% (Mod. escarpado)») es la 9.ª más baja de 10 y se sitúa por encima del promedio de la microcuenca (29.09 %). Su MSAVI 2024 (0.6733) es el 2.º de 10 y queda por encima del promedio local (0.6292). Amplitud altitudinal del bloque: 595 m (1260–1855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(46.973 ha) coincide con la de catálogo (46.96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32.26 %,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Altitud GPS del punto de muestreo</t>
        </is>
      </c>
      <c r="C14" s="34" t="inlineStr">
        <is>
          <t>La aplicación de captura no registró altitud GPS en campo</t>
        </is>
      </c>
      <c r="D14" s="12" t="inlineStr">
        <is>
          <t>NO SUSTANTIVA</t>
        </is>
      </c>
      <c r="E14" s="34" t="inlineStr">
        <is>
          <t>El rango altitudinal del bloque (1260–1855 msnm) y la pendiente promedio (32.26 %) se toman de la estadística zonal sobre el MDE, no de medición de campo. Se declara la fuente.</t>
        </is>
      </c>
    </row>
    <row r="15" ht="48" customHeight="1">
      <c r="A15" s="36" t="inlineStr">
        <is>
          <t>D-06</t>
        </is>
      </c>
      <c r="B15" s="36" t="inlineStr">
        <is>
          <t>Dimensiones del inventario de cárcavas</t>
        </is>
      </c>
      <c r="C15" s="36" t="inlineStr">
        <is>
          <t>Se registran 2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Centro poblado asociado</t>
        </is>
      </c>
      <c r="C16" s="34" t="inlineStr">
        <is>
          <t>La ficha DT declara «La Laguna»; el cruce INEI-Bloques V5 identifica 1 centro(s) poblado(s) en el bloque: LA LAGUNA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c r="A18" s="36" t="inlineStr">
        <is>
          <t>D-09</t>
        </is>
      </c>
      <c r="B18" s="36" t="inlineStr">
        <is>
          <t>Distribución areal de clases MSAVI 2024</t>
        </is>
      </c>
      <c r="C18" s="36" t="inlineStr">
        <is>
          <t>La hoja «Cobertura MSAVI-NDVI» consignaba «Por determinar» en la distribución areal de clases MSAVI 2024; se incorpora el metrado por clase medido sobre la cartografía temática MSAVI 2024 del bloque: 2.28 % del bloque (1.071 ha) bajo el umbral 0.4976 y 97.72 % sobre el umbral; clase areal dominante «Vigor alto».</t>
        </is>
      </c>
      <c r="D18" s="37" t="inlineStr">
        <is>
          <t>CORREGIDO</t>
        </is>
      </c>
      <c r="E18"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9"/>
    <row r="20">
      <c r="A20" s="16" t="inlineStr">
        <is>
          <t>RESUMEN</t>
        </is>
      </c>
      <c r="B20" s="17" t="inlineStr">
        <is>
          <t>9 verificaciones</t>
        </is>
      </c>
      <c r="C20" s="17" t="inlineStr">
        <is>
          <t>CONFORME: 4 · NO SUSTANTIVA: 3 · SUSTANTIVA: 1 · CORREGIDO: 1</t>
        </is>
      </c>
      <c r="D20" s="17" t="inlineStr"/>
      <c r="E20" s="17" t="inlineStr"/>
    </row>
    <row r="21" ht="60" customHeight="1"/>
    <row r="22">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38" t="n"/>
      <c r="C22" s="38" t="n"/>
      <c r="D22" s="38" t="n"/>
      <c r="E22" s="39"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26 — IN Piura</dc:title>
  <dc:subject>Diagnóstico Territorial por bloque de intervención</dc:subject>
  <dcterms:created xsi:type="dcterms:W3CDTF">2026-09-08T03:39:56Z</dcterms:created>
  <dcterms:modified xsi:type="dcterms:W3CDTF">2026-09-09T14:49:41Z</dcterms:modified>
</cp:coreProperties>
</file>