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26</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26</t>
        </is>
      </c>
      <c r="C9" s="6" t="inlineStr">
        <is>
          <t>Microcuenca (catálogo)</t>
        </is>
      </c>
      <c r="D9" s="7" t="inlineStr">
        <is>
          <t>C1081-Q9591</t>
        </is>
      </c>
      <c r="E9" s="8" t="n"/>
      <c r="F9" s="8" t="n"/>
    </row>
    <row r="10">
      <c r="A10" s="6" t="inlineStr">
        <is>
          <t>Zona de planificación</t>
        </is>
      </c>
      <c r="B10" s="7" t="inlineStr">
        <is>
          <t>Z10</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La Laguna</t>
        </is>
      </c>
      <c r="C13" s="6" t="inlineStr">
        <is>
          <t>Comunidad campesina</t>
        </is>
      </c>
      <c r="D13" s="7" t="inlineStr">
        <is>
          <t>Por verificar</t>
        </is>
      </c>
      <c r="E13" s="8" t="n"/>
      <c r="F13" s="8" t="n"/>
    </row>
    <row r="14">
      <c r="A14" s="6" t="inlineStr">
        <is>
          <t>Superficie de catálogo (V5/V6), ha</t>
        </is>
      </c>
      <c r="B14" s="7" t="n">
        <v>46.96</v>
      </c>
      <c r="C14" s="6" t="inlineStr">
        <is>
          <t>Fuente de superficie</t>
        </is>
      </c>
      <c r="D14" s="7" t="inlineStr">
        <is>
          <t>Catálogo maestro Bloques V5/V6</t>
        </is>
      </c>
      <c r="E14" s="8" t="n"/>
      <c r="F14" s="8" t="n"/>
    </row>
    <row r="15">
      <c r="A15" s="6" t="inlineStr">
        <is>
          <t>Centroide UTM ESTE (m)</t>
        </is>
      </c>
      <c r="B15" s="7" t="n">
        <v>649472</v>
      </c>
      <c r="C15" s="6" t="inlineStr">
        <is>
          <t>Centroide UTM NORTE (m)</t>
        </is>
      </c>
      <c r="D15" s="7" t="n">
        <v>9425705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1260</v>
      </c>
      <c r="C19" s="6" t="inlineStr">
        <is>
          <t>Altitud máxima (msnm)</t>
        </is>
      </c>
      <c r="D19" s="7" t="n">
        <v>1855</v>
      </c>
      <c r="E19" s="8" t="n"/>
      <c r="F19" s="8" t="n"/>
    </row>
    <row r="20">
      <c r="A20" s="6" t="inlineStr">
        <is>
          <t>Amplitud altitudinal (m)</t>
        </is>
      </c>
      <c r="B20" s="7" t="n">
        <v>595</v>
      </c>
      <c r="C20" s="6" t="inlineStr">
        <is>
          <t>Piso altitudinal dominante</t>
        </is>
      </c>
      <c r="D20" s="7" t="inlineStr">
        <is>
          <t>1500-2000 m (Quechua media)</t>
        </is>
      </c>
      <c r="E20" s="8" t="n"/>
      <c r="F20" s="8" t="n"/>
    </row>
    <row r="21">
      <c r="A21" s="6" t="inlineStr">
        <is>
          <t>Pendiente promedio (%)</t>
        </is>
      </c>
      <c r="B21" s="7" t="n">
        <v>32.26</v>
      </c>
      <c r="C21" s="6" t="inlineStr">
        <is>
          <t>Pendiente promedio (grados)</t>
        </is>
      </c>
      <c r="D21" s="7" t="n">
        <v>17.9</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0.6733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(97.29 %)</t>
        </is>
      </c>
      <c r="E29" s="8" t="n"/>
      <c r="F29" s="8" t="n"/>
    </row>
    <row r="30">
      <c r="A30" s="6" t="inlineStr">
        <is>
          <t>Superficie clasificada NDVI 2025 (ha)</t>
        </is>
      </c>
      <c r="B30" s="7" t="n">
        <v>46.973</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Agroecosistema / Mosaico</t>
        </is>
      </c>
      <c r="C33" s="6" t="inlineStr">
        <is>
          <t>Superficie de ecosistema (ha)</t>
        </is>
      </c>
      <c r="D33" s="7" t="inlineStr">
        <is>
          <t>46.96 ha (MINAM: Zona agrícola 100%)</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n">
        <v>85</v>
      </c>
      <c r="E35" s="8" t="n"/>
      <c r="F35" s="8" t="n"/>
    </row>
    <row r="36">
      <c r="A36" s="6" t="inlineStr">
        <is>
          <t>Suelo desnudo — campo (%)</t>
        </is>
      </c>
      <c r="B36" s="7" t="inlineStr">
        <is>
          <t>&lt;10</t>
        </is>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n">
        <v>2</v>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 ANIN/DIME/SESDI</t>
        </is>
      </c>
      <c r="C41" s="6" t="inlineStr">
        <is>
          <t>Fecha de evaluación</t>
        </is>
      </c>
      <c r="D41" s="7" t="inlineStr">
        <is>
          <t>2026-07-16</t>
        </is>
      </c>
      <c r="E41" s="8" t="n"/>
      <c r="F41" s="8" t="n"/>
    </row>
    <row r="42">
      <c r="A42" s="6" t="inlineStr">
        <is>
          <t>Hora de registro</t>
        </is>
      </c>
      <c r="B42" s="7" t="inlineStr">
        <is>
          <t>00:55</t>
        </is>
      </c>
      <c r="C42" s="6" t="inlineStr">
        <is>
          <t>Correlativo de ficha</t>
        </is>
      </c>
      <c r="D42" s="7" t="inlineStr">
        <is>
          <t>Por registrar</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t>
        </is>
      </c>
      <c r="E44" s="8" t="n"/>
      <c r="F44" s="8" t="n"/>
    </row>
    <row r="45">
      <c r="A45" s="6" t="inlineStr">
        <is>
          <t>Estaciones fotográficas georreferenciadas</t>
        </is>
      </c>
      <c r="B45" s="7" t="inlineStr">
        <is>
          <t>Sin registro en la ficha DT</t>
        </is>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Presión agropecuaria en propiedad privada sobre laderas de fuerte pendiente, sin prácticas de conservación de suelos</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0.673303</v>
      </c>
      <c r="C15" s="17" t="inlineStr">
        <is>
          <t>—</t>
        </is>
      </c>
      <c r="D15" s="17" t="inlineStr">
        <is>
          <t>Vigor alto · clase &gt; 0.6139</t>
        </is>
      </c>
      <c r="E15" s="17" t="inlineStr">
        <is>
          <t>Sobre umbral</t>
        </is>
      </c>
    </row>
    <row r="17" ht="72" customHeight="1">
      <c r="A17" s="9" t="inlineStr">
        <is>
          <t>NOTA METODOLÓGICA. La media del MSAVI 2024 del bloque (0.673303)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45.7024</v>
      </c>
      <c r="C21" s="19" t="n">
        <v>97.29000000000001</v>
      </c>
      <c r="D21" s="15" t="inlineStr">
        <is>
          <t>Dosel continuo, matorral denso o mosaico agroforestal</t>
        </is>
      </c>
      <c r="E21" s="15" t="inlineStr"/>
    </row>
    <row r="22">
      <c r="A22" s="13" t="inlineStr">
        <is>
          <t>Vegetación mediana</t>
        </is>
      </c>
      <c r="B22" s="20" t="n">
        <v>1.2709</v>
      </c>
      <c r="C22" s="21" t="n">
        <v>2.71</v>
      </c>
      <c r="D22" s="14" t="inlineStr">
        <is>
          <t>Pastizal cultivado, matorral ralo, parcelas agrícolas</t>
        </is>
      </c>
      <c r="E22" s="14" t="inlineStr"/>
    </row>
    <row r="23">
      <c r="A23" s="16" t="inlineStr">
        <is>
          <t>TOTAL CLASIFICADO</t>
        </is>
      </c>
      <c r="B23" s="22">
        <f>SUM(B21:B22)</f>
        <v/>
      </c>
      <c r="C23" s="23">
        <f>SUM(C21:C22)</f>
        <v/>
      </c>
      <c r="D23" s="17" t="inlineStr"/>
      <c r="E23" s="17" t="inlineStr"/>
    </row>
    <row r="24">
      <c r="A24" s="24" t="inlineStr">
        <is>
          <t>Superficie de catálogo (V5/V6)</t>
        </is>
      </c>
      <c r="B24" s="25" t="n">
        <v>46.96</v>
      </c>
      <c r="C24" s="25" t="inlineStr">
        <is>
          <t>—</t>
        </is>
      </c>
      <c r="D24" s="25" t="inlineStr">
        <is>
          <t>Desviación planimétrica frente al catálogo</t>
        </is>
      </c>
      <c r="E24" s="25" t="inlineStr">
        <is>
          <t>+0.03 %</t>
        </is>
      </c>
    </row>
    <row r="26" ht="108"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97.29 % del polígono clasificado como «Vegetación alta» por el NDVI 2025; la observación de campo corresponde a una parcela o recorrido puntual y no es estadísticamente representativa de las 46.960 ha del bloque.</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26</t>
        </is>
      </c>
    </row>
    <row r="6" ht="24" customHeight="1">
      <c r="A6" s="4" t="inlineStr">
        <is>
          <t>Levantamiento del 2026-07-16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649472</v>
      </c>
      <c r="D10" s="26" t="n">
        <v>9425705</v>
      </c>
      <c r="E10" s="15" t="n">
        <v>0</v>
      </c>
      <c r="F10" s="15" t="inlineStr"/>
      <c r="G10" s="15" t="inlineStr">
        <is>
          <t>Coordenada consignada en F-DT-01</t>
        </is>
      </c>
    </row>
    <row r="11">
      <c r="A11" s="13" t="inlineStr">
        <is>
          <t>E-01</t>
        </is>
      </c>
      <c r="B11" s="14" t="inlineStr">
        <is>
          <t>Rasgo erosivo — Por determinar</t>
        </is>
      </c>
      <c r="C11" s="27" t="n">
        <v>650018</v>
      </c>
      <c r="D11" s="27" t="n">
        <v>9425968</v>
      </c>
      <c r="E11" s="14" t="n">
        <v>606</v>
      </c>
      <c r="F11" s="14" t="inlineStr">
        <is>
          <t>Activa</t>
        </is>
      </c>
      <c r="G11" s="14" t="inlineStr">
        <is>
          <t>Otro</t>
        </is>
      </c>
    </row>
    <row r="12">
      <c r="A12" s="7" t="inlineStr">
        <is>
          <t>E-02</t>
        </is>
      </c>
      <c r="B12" s="15" t="inlineStr">
        <is>
          <t>Rasgo erosivo — Por determinar</t>
        </is>
      </c>
      <c r="C12" s="26" t="n">
        <v>650032</v>
      </c>
      <c r="D12" s="26" t="n">
        <v>9425645</v>
      </c>
      <c r="E12" s="15" t="n">
        <v>563.2</v>
      </c>
      <c r="F12" s="15" t="inlineStr">
        <is>
          <t>Semi-activa</t>
        </is>
      </c>
      <c r="G12" s="15" t="inlineStr">
        <is>
          <t>Otro</t>
        </is>
      </c>
    </row>
    <row r="13">
      <c r="A13" s="13" t="inlineStr">
        <is>
          <t>H-01</t>
        </is>
      </c>
      <c r="B13" s="14" t="inlineStr">
        <is>
          <t>Fuente de agua — Quebrada estacional</t>
        </is>
      </c>
      <c r="C13" s="27" t="n">
        <v>649669</v>
      </c>
      <c r="D13" s="27" t="n">
        <v>9425248</v>
      </c>
      <c r="E13" s="14" t="n">
        <v>497.7</v>
      </c>
      <c r="F13" s="14" t="inlineStr"/>
      <c r="G13" s="14" t="inlineStr">
        <is>
          <t>Sector húmedo con platanales</t>
        </is>
      </c>
    </row>
    <row r="14">
      <c r="A14" s="7" t="inlineStr">
        <is>
          <t>B-03</t>
        </is>
      </c>
      <c r="B14" s="15" t="inlineStr">
        <is>
          <t>Especie clave — Higuerón (Ficus sp.)</t>
        </is>
      </c>
      <c r="C14" s="26" t="n">
        <v>649636</v>
      </c>
      <c r="D14" s="26" t="n">
        <v>9425233</v>
      </c>
      <c r="E14" s="15" t="n">
        <v>499.7</v>
      </c>
      <c r="F14" s="15" t="inlineStr">
        <is>
          <t>Indicadora de buen estado</t>
        </is>
      </c>
      <c r="G14" s="15" t="inlineStr">
        <is>
          <t>No aplica</t>
        </is>
      </c>
    </row>
    <row r="15">
      <c r="A15" s="13" t="inlineStr">
        <is>
          <t>B-05</t>
        </is>
      </c>
      <c r="B15" s="14" t="inlineStr">
        <is>
          <t>Especie clave — Molle (Schinus molle)</t>
        </is>
      </c>
      <c r="C15" s="27" t="n">
        <v>650032</v>
      </c>
      <c r="D15" s="27" t="n">
        <v>9425645</v>
      </c>
      <c r="E15" s="14" t="n">
        <v>563.2</v>
      </c>
      <c r="F15" s="14" t="inlineStr">
        <is>
          <t>Clave cultural</t>
        </is>
      </c>
      <c r="G15" s="14" t="inlineStr">
        <is>
          <t>NE</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649472</v>
      </c>
      <c r="C18" s="6" t="inlineStr">
        <is>
          <t>Centroide del bloque — UTM NORTE (m)</t>
        </is>
      </c>
      <c r="D18" s="7" t="n">
        <v>9425705</v>
      </c>
      <c r="E18" s="8" t="n"/>
      <c r="F18" s="8" t="n"/>
      <c r="G18" s="8" t="n"/>
      <c r="H18" s="8" t="n"/>
    </row>
    <row r="19">
      <c r="A19" s="6" t="inlineStr">
        <is>
          <t>N.° de estaciones fotográficas declaradas</t>
        </is>
      </c>
      <c r="B19" s="7" t="inlineStr">
        <is>
          <t>Sin registro en la ficha DT</t>
        </is>
      </c>
      <c r="C19" s="6" t="inlineStr">
        <is>
          <t>Estaciones dentro del polígono</t>
        </is>
      </c>
      <c r="D19" s="7" t="inlineStr">
        <is>
          <t>Por determinar</t>
        </is>
      </c>
      <c r="E19" s="8" t="n"/>
      <c r="F19" s="8" t="n"/>
      <c r="G19" s="8" t="n"/>
      <c r="H19" s="8" t="n"/>
    </row>
    <row r="21" ht="96"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clasificado por MINAM como Zona agrícola (100%); en campo es un mosaico agroforestal húmedo con relictos de bosque montano. Sector rotulado con ≈80% de pendiente. Coordenadas de referencia = CENTROIDE del bloque. Altitud GPS, hora de registro y comunidad campesina: por verificar.</t>
        </is>
      </c>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26</t>
        </is>
      </c>
    </row>
    <row r="6" ht="24" customHeight="1">
      <c r="A6" s="4" t="inlineStr">
        <is>
          <t>Distrito de Lalaquiz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66</t>
        </is>
      </c>
      <c r="B10" s="28" t="n">
        <v>102.34</v>
      </c>
      <c r="C10" s="19" t="n">
        <v>18.53</v>
      </c>
      <c r="D10" s="15" t="inlineStr">
        <is>
          <t>1171 – 1769</t>
        </is>
      </c>
      <c r="E10" s="15" t="n">
        <v>598</v>
      </c>
      <c r="F10" s="15" t="n">
        <v>31.55</v>
      </c>
      <c r="G10" s="18" t="n">
        <v>0.6403</v>
      </c>
      <c r="H10" s="19" t="n">
        <v>94.08</v>
      </c>
    </row>
    <row r="11">
      <c r="A11" s="13" t="inlineStr">
        <is>
          <t>M30B5</t>
        </is>
      </c>
      <c r="B11" s="29" t="n">
        <v>90.90000000000001</v>
      </c>
      <c r="C11" s="21" t="n">
        <v>16.46</v>
      </c>
      <c r="D11" s="14" t="inlineStr">
        <is>
          <t>1782 – 2307</t>
        </is>
      </c>
      <c r="E11" s="14" t="n">
        <v>525</v>
      </c>
      <c r="F11" s="14" t="n">
        <v>21.23</v>
      </c>
      <c r="G11" s="20" t="n">
        <v>0.5564</v>
      </c>
      <c r="H11" s="21" t="n">
        <v>79.45999999999999</v>
      </c>
    </row>
    <row r="12">
      <c r="A12" s="7" t="inlineStr">
        <is>
          <t>21</t>
        </is>
      </c>
      <c r="B12" s="28" t="n">
        <v>84.23</v>
      </c>
      <c r="C12" s="19" t="n">
        <v>15.25</v>
      </c>
      <c r="D12" s="15" t="inlineStr">
        <is>
          <t>1353 – 2004</t>
        </is>
      </c>
      <c r="E12" s="15" t="n">
        <v>651</v>
      </c>
      <c r="F12" s="15" t="n">
        <v>31.71</v>
      </c>
      <c r="G12" s="18" t="n">
        <v>0.6201</v>
      </c>
      <c r="H12" s="19" t="n">
        <v>89.39</v>
      </c>
    </row>
    <row r="13">
      <c r="A13" s="13" t="inlineStr">
        <is>
          <t>28</t>
        </is>
      </c>
      <c r="B13" s="29" t="n">
        <v>52.97</v>
      </c>
      <c r="C13" s="21" t="n">
        <v>9.59</v>
      </c>
      <c r="D13" s="14" t="inlineStr">
        <is>
          <t>1462 – 1856</t>
        </is>
      </c>
      <c r="E13" s="14" t="n">
        <v>394</v>
      </c>
      <c r="F13" s="14" t="n">
        <v>30.36</v>
      </c>
      <c r="G13" s="20" t="n">
        <v>0.6394</v>
      </c>
      <c r="H13" s="21" t="n">
        <v>96.64</v>
      </c>
    </row>
    <row r="14">
      <c r="A14" s="11" t="inlineStr">
        <is>
          <t>► 26</t>
        </is>
      </c>
      <c r="B14" s="30" t="n">
        <v>46.96</v>
      </c>
      <c r="C14" s="31" t="n">
        <v>8.5</v>
      </c>
      <c r="D14" s="12" t="inlineStr">
        <is>
          <t>1260 – 1855</t>
        </is>
      </c>
      <c r="E14" s="12" t="n">
        <v>595</v>
      </c>
      <c r="F14" s="12" t="n">
        <v>32.26</v>
      </c>
      <c r="G14" s="32" t="n">
        <v>0.6733</v>
      </c>
      <c r="H14" s="31" t="n">
        <v>97.29000000000001</v>
      </c>
    </row>
    <row r="15">
      <c r="A15" s="13" t="inlineStr">
        <is>
          <t>60</t>
        </is>
      </c>
      <c r="B15" s="29" t="n">
        <v>40.13</v>
      </c>
      <c r="C15" s="21" t="n">
        <v>7.27</v>
      </c>
      <c r="D15" s="14" t="inlineStr">
        <is>
          <t>1638 – 2073</t>
        </is>
      </c>
      <c r="E15" s="14" t="n">
        <v>435</v>
      </c>
      <c r="F15" s="14" t="n">
        <v>32.67</v>
      </c>
      <c r="G15" s="20" t="n">
        <v>0.6745</v>
      </c>
      <c r="H15" s="21" t="n">
        <v>99.90000000000001</v>
      </c>
    </row>
    <row r="16">
      <c r="A16" s="7" t="inlineStr">
        <is>
          <t>64</t>
        </is>
      </c>
      <c r="B16" s="28" t="n">
        <v>35.77</v>
      </c>
      <c r="C16" s="19" t="n">
        <v>6.48</v>
      </c>
      <c r="D16" s="15" t="inlineStr">
        <is>
          <t>2412 – 2651</t>
        </is>
      </c>
      <c r="E16" s="15" t="n">
        <v>239</v>
      </c>
      <c r="F16" s="15" t="n">
        <v>28.18</v>
      </c>
      <c r="G16" s="18" t="n">
        <v>0.5254</v>
      </c>
      <c r="H16" s="19" t="n">
        <v>78.22</v>
      </c>
    </row>
    <row r="17">
      <c r="A17" s="13" t="inlineStr">
        <is>
          <t>37</t>
        </is>
      </c>
      <c r="B17" s="29" t="n">
        <v>35.49</v>
      </c>
      <c r="C17" s="21" t="n">
        <v>6.43</v>
      </c>
      <c r="D17" s="14" t="inlineStr">
        <is>
          <t>1184 – 1455</t>
        </is>
      </c>
      <c r="E17" s="14" t="n">
        <v>271</v>
      </c>
      <c r="F17" s="14" t="n">
        <v>23.59</v>
      </c>
      <c r="G17" s="20" t="n">
        <v>0.6588000000000001</v>
      </c>
      <c r="H17" s="21" t="n">
        <v>98.02</v>
      </c>
    </row>
    <row r="18">
      <c r="A18" s="7" t="inlineStr">
        <is>
          <t>30</t>
        </is>
      </c>
      <c r="B18" s="28" t="n">
        <v>34.87</v>
      </c>
      <c r="C18" s="19" t="n">
        <v>6.31</v>
      </c>
      <c r="D18" s="15" t="inlineStr">
        <is>
          <t>1216 – 1541</t>
        </is>
      </c>
      <c r="E18" s="15" t="n">
        <v>325</v>
      </c>
      <c r="F18" s="15" t="n">
        <v>27.91</v>
      </c>
      <c r="G18" s="18" t="n">
        <v>0.6637999999999999</v>
      </c>
      <c r="H18" s="19" t="n">
        <v>99.38</v>
      </c>
    </row>
    <row r="19">
      <c r="A19" s="13" t="inlineStr">
        <is>
          <t>40</t>
        </is>
      </c>
      <c r="B19" s="29" t="n">
        <v>28.52</v>
      </c>
      <c r="C19" s="21" t="n">
        <v>5.16</v>
      </c>
      <c r="D19" s="14" t="inlineStr">
        <is>
          <t>1407 – 1656</t>
        </is>
      </c>
      <c r="E19" s="14" t="n">
        <v>249</v>
      </c>
      <c r="F19" s="14" t="n">
        <v>31.4</v>
      </c>
      <c r="G19" s="20" t="n">
        <v>0.6401</v>
      </c>
      <c r="H19" s="21" t="n">
        <v>99.55</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row>
    <row r="22" ht="84" customHeight="1">
      <c r="A22" s="9" t="inlineStr">
        <is>
          <t>LECTURA INTRAMICROCUENCA. El bloque 26 ocupa el puesto 5 de 10 por superficie dentro de la microcuenca C1081-Q9591 (8.50 % de las 552.18 ha preliminares de la microcuenca). Su pendiente promedio (32.26 %, clase «25-50% (Mod. escarpado)») es la 9.ª más baja de 10 y se sitúa por encima del promedio de la microcuenca (29.09 %). Su MSAVI 2024 (0.6733) es el 2.º de 10 y queda por encima del promedio local (0.6292). Amplitud altitudinal del bloque: 595 m (1260–1855 msnm). El cuadro conserva todos los bloques catalogados en la microcuenca, incluidos los descartados en el tamizaje, para referencia del conjunto. Los bloques sin ficha DT figuran con sus parámetros de gabinete.</t>
        </is>
      </c>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26</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(46.973 ha) coincide con la de catálogo (46.96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«50-75% (Escarpado)»; la estadística zonal sobre el MDE arroja una pendiente promedio de 32.26 %, que corresponde a la clase «25-50% (Mod. escarpado)»</t>
        </is>
      </c>
      <c r="D13" s="12"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Altitud GPS del punto de muestreo</t>
        </is>
      </c>
      <c r="C14" s="34" t="inlineStr">
        <is>
          <t>La aplicación de captura no registró altitud GPS en campo</t>
        </is>
      </c>
      <c r="D14" s="12" t="inlineStr">
        <is>
          <t>NO SUSTANTIVA</t>
        </is>
      </c>
      <c r="E14" s="34" t="inlineStr">
        <is>
          <t>El rango altitudinal del bloque (1260–1855 msnm) y la pendiente promedio (32.26 %) se toman de la estadística zonal sobre el MDE, no de medición de campo. Se declara la fuente.</t>
        </is>
      </c>
    </row>
    <row r="15" ht="48" customHeight="1">
      <c r="A15" s="36" t="inlineStr">
        <is>
          <t>D-06</t>
        </is>
      </c>
      <c r="B15" s="36" t="inlineStr">
        <is>
          <t>Dimensiones del inventario de cárcavas</t>
        </is>
      </c>
      <c r="C15" s="36" t="inlineStr">
        <is>
          <t>Se registran 2 rasgos erosivos, pero longitud, profundidad y ancho no fueron medidos instrumentalmente</t>
        </is>
      </c>
      <c r="D15" s="12"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Centro poblado asociado</t>
        </is>
      </c>
      <c r="C16" s="34" t="inlineStr">
        <is>
          <t>La ficha DT declara «La Laguna»; el cruce INEI-Bloques V5 identifica 1 centro(s) poblado(s) en el bloque: LA LAGUNA</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9">
      <c r="A19" s="16" t="inlineStr">
        <is>
          <t>RESUMEN</t>
        </is>
      </c>
      <c r="B19" s="17" t="inlineStr">
        <is>
          <t>8 verificaciones</t>
        </is>
      </c>
      <c r="C19" s="17" t="inlineStr">
        <is>
          <t>CONFORME: 4 · NO SUSTANTIVA: 3 · SUSTANTIVA: 1</t>
        </is>
      </c>
      <c r="D19" s="17" t="inlineStr"/>
      <c r="E19" s="17" t="inlineStr"/>
    </row>
    <row r="21" ht="60" customHeight="1">
      <c r="A2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1:E21"/>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26 — IN Piura</dc:title>
  <dc:subject>Diagnóstico Territorial por bloque de intervención</dc:subject>
  <dcterms:created xsi:type="dcterms:W3CDTF">2026-09-08T02:45:03Z</dcterms:created>
  <dcterms:modified xsi:type="dcterms:W3CDTF">2026-09-08T02:45:04Z</dcterms:modified>
</cp:coreProperties>
</file>