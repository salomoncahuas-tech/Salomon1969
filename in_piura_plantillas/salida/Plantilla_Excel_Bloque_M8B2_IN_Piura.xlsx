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M8B2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M8B2</t>
        </is>
      </c>
      <c r="C9" s="6" t="inlineStr">
        <is>
          <t>Microcuenca (catálogo)</t>
        </is>
      </c>
      <c r="D9" s="7" t="inlineStr">
        <is>
          <t>C1096-Q9558</t>
        </is>
      </c>
      <c r="E9" s="8" t="n"/>
      <c r="F9" s="8" t="n"/>
    </row>
    <row r="10">
      <c r="A10" s="6" t="inlineStr">
        <is>
          <t>Zona de planificación</t>
        </is>
      </c>
      <c r="B10" s="7" t="inlineStr">
        <is>
          <t>Z03</t>
        </is>
      </c>
      <c r="C10" s="6" t="inlineStr">
        <is>
          <t>Microcuenca declarada en ficha DT</t>
        </is>
      </c>
      <c r="D10" s="7" t="inlineStr">
        <is>
          <t>C1096-Q9558</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Botijas</t>
        </is>
      </c>
      <c r="C13" s="6" t="inlineStr">
        <is>
          <t>Comunidad campesina</t>
        </is>
      </c>
      <c r="D13" s="7" t="inlineStr">
        <is>
          <t>No aplica (predios de propiedad privada)</t>
        </is>
      </c>
      <c r="E13" s="8" t="n"/>
      <c r="F13" s="8" t="n"/>
    </row>
    <row r="14">
      <c r="A14" s="6" t="inlineStr">
        <is>
          <t>Superficie de catálogo (V5/V6), ha</t>
        </is>
      </c>
      <c r="B14" s="7" t="n">
        <v>35.35</v>
      </c>
      <c r="C14" s="6" t="inlineStr">
        <is>
          <t>Fuente de superficie</t>
        </is>
      </c>
      <c r="D14" s="7" t="inlineStr">
        <is>
          <t>Catálogo maestro Bloques V5/V6</t>
        </is>
      </c>
      <c r="E14" s="8" t="n"/>
      <c r="F14" s="8" t="n"/>
    </row>
    <row r="15">
      <c r="A15" s="6" t="inlineStr">
        <is>
          <t>Centroide UTM ESTE (m)</t>
        </is>
      </c>
      <c r="B15" s="7" t="n">
        <v>617596</v>
      </c>
      <c r="C15" s="6" t="inlineStr">
        <is>
          <t>Centroide UTM NORTE (m)</t>
        </is>
      </c>
      <c r="D15" s="7" t="n">
        <v>9436227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882</v>
      </c>
      <c r="C19" s="6" t="inlineStr">
        <is>
          <t>Altitud máxima (msnm)</t>
        </is>
      </c>
      <c r="D19" s="7" t="n">
        <v>1181</v>
      </c>
      <c r="E19" s="8" t="n"/>
      <c r="F19" s="8" t="n"/>
    </row>
    <row r="20">
      <c r="A20" s="6" t="inlineStr">
        <is>
          <t>Amplitud altitudinal (m)</t>
        </is>
      </c>
      <c r="B20" s="7" t="n">
        <v>299</v>
      </c>
      <c r="C20" s="6" t="inlineStr">
        <is>
          <t>Piso altitudinal dominante</t>
        </is>
      </c>
      <c r="D20" s="7" t="inlineStr">
        <is>
          <t>1000-1500 m (Quechua baja)</t>
        </is>
      </c>
      <c r="E20" s="8" t="n"/>
      <c r="F20" s="8" t="n"/>
    </row>
    <row r="21">
      <c r="A21" s="6" t="inlineStr">
        <is>
          <t>Pendiente promedio (%)</t>
        </is>
      </c>
      <c r="B21" s="7" t="n">
        <v>24.49</v>
      </c>
      <c r="C21" s="6" t="inlineStr">
        <is>
          <t>Pendiente promedio (grados)</t>
        </is>
      </c>
      <c r="D21" s="7" t="n">
        <v>13.8</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0.5305</v>
      </c>
      <c r="C28" s="6" t="inlineStr">
        <is>
          <t>MSAVI 2024 — clase de la media</t>
        </is>
      </c>
      <c r="D28" s="7" t="inlineStr">
        <is>
          <t>0.4976 - 0.6139 (Vigor moderado)</t>
        </is>
      </c>
      <c r="E28" s="8" t="n"/>
      <c r="F28" s="8" t="n"/>
    </row>
    <row r="29">
      <c r="A29" s="6" t="inlineStr">
        <is>
          <t>Condición frente al umbral 0.4976</t>
        </is>
      </c>
      <c r="B29" s="7" t="inlineStr">
        <is>
          <t>Sobre umbral · distribución areal: 46.07 % del bloque BAJO el umbral (16.286 ha de 35.350 ha)</t>
        </is>
      </c>
      <c r="C29" s="6" t="inlineStr">
        <is>
          <t>NDVI mediana 2025 — clase modal</t>
        </is>
      </c>
      <c r="D29" s="7" t="inlineStr">
        <is>
          <t>Vegetación alta (59.58 %)</t>
        </is>
      </c>
      <c r="E29" s="8" t="n"/>
      <c r="F29" s="8" t="n"/>
    </row>
    <row r="30">
      <c r="A30" s="6" t="inlineStr">
        <is>
          <t>MSAVI 2024 — superficie BAJO el umbral 0.4976 (ha)</t>
        </is>
      </c>
      <c r="B30" s="7" t="n">
        <v>16.286</v>
      </c>
      <c r="C30" s="6" t="inlineStr">
        <is>
          <t>MSAVI 2024 — % del bloque BAJO el umbral</t>
        </is>
      </c>
      <c r="D30" s="7" t="n">
        <v>46.07</v>
      </c>
      <c r="E30" s="8" t="n"/>
      <c r="F30" s="8" t="n"/>
    </row>
    <row r="31">
      <c r="A31" s="6" t="inlineStr">
        <is>
          <t>MSAVI 2024 — clase areal dominante</t>
        </is>
      </c>
      <c r="B31" s="7" t="inlineStr">
        <is>
          <t>Vigor moderado</t>
        </is>
      </c>
      <c r="C31" s="6" t="inlineStr">
        <is>
          <t>MSAVI 2024 — fuente de la distribución areal</t>
        </is>
      </c>
      <c r="D31" s="7" t="inlineStr">
        <is>
          <t>Conteo de celdas sobre la cartografía MSAVI 2024 del bloque (MSAVI M8B2.png)</t>
        </is>
      </c>
      <c r="E31" s="8" t="n"/>
      <c r="F31" s="8" t="n"/>
    </row>
    <row r="32" ht="18" customHeight="1">
      <c r="A32" s="6" t="inlineStr">
        <is>
          <t>Superficie clasificada NDVI 2025 (ha)</t>
        </is>
      </c>
      <c r="B32" s="7" t="n">
        <v>35.363</v>
      </c>
      <c r="C32" s="6" t="inlineStr">
        <is>
          <t>Desviación frente al catálogo (%)</t>
        </is>
      </c>
      <c r="D32" s="7" t="n">
        <v>0.04</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Tomar del Reporte de Ecosistemas por Bloques (no medida en campo)</t>
        </is>
      </c>
      <c r="E35" s="8" t="n"/>
      <c r="F35" s="8" t="n"/>
    </row>
    <row r="36">
      <c r="A36" s="6" t="inlineStr">
        <is>
          <t>Estado de conservación</t>
        </is>
      </c>
      <c r="B36" s="7" t="inlineStr">
        <is>
          <t>Medianamente alterado</t>
        </is>
      </c>
      <c r="C36" s="6" t="inlineStr">
        <is>
          <t>Uso actual dominante del suelo</t>
        </is>
      </c>
      <c r="D36" s="7" t="inlineStr">
        <is>
          <t>Pastoreo extensivo</t>
        </is>
      </c>
      <c r="E36" s="8" t="n"/>
      <c r="F36" s="8" t="n"/>
    </row>
    <row r="37">
      <c r="A37" s="6" t="inlineStr">
        <is>
          <t>Tipo de cobertura dominante</t>
        </is>
      </c>
      <c r="B37" s="7" t="inlineStr">
        <is>
          <t>Mixto / Mosaico</t>
        </is>
      </c>
      <c r="C37" s="6" t="inlineStr">
        <is>
          <t>Cobertura vegetal total — campo (%)</t>
        </is>
      </c>
      <c r="D37" s="7" t="inlineStr">
        <is>
          <t>Por determinar</t>
        </is>
      </c>
      <c r="E37" s="8" t="n"/>
      <c r="F37" s="8" t="n"/>
    </row>
    <row r="38">
      <c r="A38" s="6" t="inlineStr">
        <is>
          <t>Suelo desnudo — campo (%)</t>
        </is>
      </c>
      <c r="B38" s="7" t="inlineStr">
        <is>
          <t>Por determinar</t>
        </is>
      </c>
      <c r="C38" s="6" t="inlineStr">
        <is>
          <t>Regeneración natural</t>
        </is>
      </c>
      <c r="D38" s="7" t="inlineStr">
        <is>
          <t>Escasa (&lt;10 pl./100m²)</t>
        </is>
      </c>
      <c r="E38" s="8" t="n"/>
      <c r="F38" s="8" t="n"/>
    </row>
    <row r="39">
      <c r="A39" s="6" t="inlineStr">
        <is>
          <t>Nivel general de erosión</t>
        </is>
      </c>
      <c r="B39" s="7" t="inlineStr">
        <is>
          <t>Fuerte (cárcavas incipientes)</t>
        </is>
      </c>
      <c r="C39" s="6" t="inlineStr">
        <is>
          <t>N.° de cárcavas registradas</t>
        </is>
      </c>
      <c r="D39" s="7" t="inlineStr">
        <is>
          <t>No inventariadas</t>
        </is>
      </c>
      <c r="E39" s="8" t="n"/>
      <c r="F39" s="8" t="n"/>
    </row>
    <row r="40" ht="18" customHeight="1">
      <c r="A40" s="6" t="inlineStr">
        <is>
          <t>Elenco florístico (n.° de taxones)</t>
        </is>
      </c>
      <c r="B40" s="7" t="n">
        <v>9</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Salomón Cahuas Miller (Esp. Infraestructura Verde); Ing. Pedro Talledo Hernández; Ing. Juan Carlos Domínguez Varas</t>
        </is>
      </c>
      <c r="C43" s="6" t="inlineStr">
        <is>
          <t>Fecha de evaluación</t>
        </is>
      </c>
      <c r="D43" s="7" t="inlineStr">
        <is>
          <t>2026-06-16</t>
        </is>
      </c>
      <c r="E43" s="8" t="n"/>
      <c r="F43" s="8" t="n"/>
    </row>
    <row r="44">
      <c r="A44" s="6" t="inlineStr">
        <is>
          <t>Hora de registro</t>
        </is>
      </c>
      <c r="B44" s="7" t="inlineStr">
        <is>
          <t>03:46 h (hora de registro según ficha)</t>
        </is>
      </c>
      <c r="C44" s="6" t="inlineStr">
        <is>
          <t>Correlativo de ficha</t>
        </is>
      </c>
      <c r="D44" s="7" t="inlineStr">
        <is>
          <t>F-DT/M8B2/2026</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Sin parcela formal (UTM = punto referencial del bloque)</t>
        </is>
      </c>
      <c r="E46" s="8" t="n"/>
      <c r="F46" s="8" t="n"/>
    </row>
    <row r="47" ht="18" customHeight="1">
      <c r="A47" s="6" t="inlineStr">
        <is>
          <t>Estaciones fotográficas georreferenciadas</t>
        </is>
      </c>
      <c r="B47" s="7" t="n">
        <v>0</v>
      </c>
      <c r="C47" s="6" t="inlineStr">
        <is>
          <t>Modalidad de acceso</t>
        </is>
      </c>
      <c r="D47" s="7" t="inlineStr">
        <is>
          <t>Vehicular 4x4 hasta el bloque</t>
        </is>
      </c>
      <c r="E47" s="8" t="n"/>
      <c r="F47" s="8" t="n"/>
    </row>
    <row r="48"/>
    <row r="49">
      <c r="A49" s="5" t="inlineStr">
        <is>
          <t>6. SÍNTESIS PARA LA GESTIÓN DEL RIESGO EN CONTEXTO DE CAMBIO CLIMÁTICO</t>
        </is>
      </c>
    </row>
    <row r="50">
      <c r="A50" s="6" t="inlineStr">
        <is>
          <t>Causa subyacente principal</t>
        </is>
      </c>
      <c r="B50" s="7" t="inlineStr">
        <is>
          <t>No consignada en la ficha</t>
        </is>
      </c>
      <c r="C50" s="6" t="inlineStr">
        <is>
          <t>Velocidad de degradación</t>
        </is>
      </c>
      <c r="D50" s="7" t="inlineStr">
        <is>
          <t>Sin registro en ficha</t>
        </is>
      </c>
      <c r="E50" s="8" t="n"/>
      <c r="F50" s="8" t="n"/>
    </row>
    <row r="51">
      <c r="A51" s="6" t="inlineStr">
        <is>
          <t>Reversibilidad técnica</t>
        </is>
      </c>
      <c r="B51" s="7" t="inlineStr">
        <is>
          <t>Sin registro en ficha</t>
        </is>
      </c>
      <c r="C51" s="6" t="inlineStr">
        <is>
          <t>Urgencia de intervención</t>
        </is>
      </c>
      <c r="D51" s="7" t="inlineStr">
        <is>
          <t>Sin registro en ficha</t>
        </is>
      </c>
      <c r="E51" s="8" t="n"/>
      <c r="F51" s="8" t="n"/>
    </row>
    <row r="52">
      <c r="A52" s="6" t="inlineStr">
        <is>
          <t>Urgencia de control de erosión</t>
        </is>
      </c>
      <c r="B52" s="7" t="inlineStr">
        <is>
          <t>Sin registro en ficha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M8B2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1.2019</v>
      </c>
      <c r="C10" s="19" t="n">
        <v>3.4</v>
      </c>
      <c r="D10" s="11" t="inlineStr">
        <is>
          <t>Vigor alto</t>
        </is>
      </c>
      <c r="E10" s="11" t="inlineStr">
        <is>
          <t>Sobre umbral</t>
        </is>
      </c>
    </row>
    <row r="11">
      <c r="A11" s="12" t="inlineStr">
        <is>
          <t>0.4976 - 0.6139</t>
        </is>
      </c>
      <c r="B11" s="31" t="n">
        <v>17.8623</v>
      </c>
      <c r="C11" s="30" t="n">
        <v>50.53</v>
      </c>
      <c r="D11" s="13" t="inlineStr">
        <is>
          <t>Vigor moderado</t>
        </is>
      </c>
      <c r="E11" s="13" t="inlineStr">
        <is>
          <t>Sobre umbral</t>
        </is>
      </c>
    </row>
    <row r="12">
      <c r="A12" s="7" t="inlineStr">
        <is>
          <t>0.3813 - 0.4976</t>
        </is>
      </c>
      <c r="B12" s="18" t="n">
        <v>13.1184</v>
      </c>
      <c r="C12" s="19" t="n">
        <v>37.11</v>
      </c>
      <c r="D12" s="11" t="inlineStr">
        <is>
          <t>Vigor bajo</t>
        </is>
      </c>
      <c r="E12" s="11" t="inlineStr">
        <is>
          <t>BAJO umbral 0.4976</t>
        </is>
      </c>
    </row>
    <row r="13">
      <c r="A13" s="14" t="inlineStr">
        <is>
          <t>0.2650 - 0.3813</t>
        </is>
      </c>
      <c r="B13" s="20" t="n">
        <v>3.1497</v>
      </c>
      <c r="C13" s="21" t="n">
        <v>8.91</v>
      </c>
      <c r="D13" s="15" t="inlineStr">
        <is>
          <t>Vigor muy bajo</t>
        </is>
      </c>
      <c r="E13" s="15" t="inlineStr">
        <is>
          <t>BAJO umbral 0.4976</t>
        </is>
      </c>
    </row>
    <row r="14">
      <c r="A14" s="7" t="inlineStr">
        <is>
          <t>&lt;= 0.2650</t>
        </is>
      </c>
      <c r="B14" s="18" t="n">
        <v>0.0177</v>
      </c>
      <c r="C14" s="19" t="n">
        <v>0.05</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0.530453</v>
      </c>
      <c r="C16" s="17" t="inlineStr">
        <is>
          <t>—</t>
        </is>
      </c>
      <c r="D16" s="17" t="inlineStr">
        <is>
          <t>Vigor moderado · clase 0.4976 - 0.6139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21.0687</v>
      </c>
      <c r="C22" s="19" t="n">
        <v>59.58</v>
      </c>
      <c r="D22" s="11" t="inlineStr">
        <is>
          <t>Dosel continuo, matorral denso o mosaico agroforestal</t>
        </is>
      </c>
      <c r="E22" s="11" t="inlineStr"/>
    </row>
    <row r="23">
      <c r="A23" s="14" t="inlineStr">
        <is>
          <t>Vegetación mediana</t>
        </is>
      </c>
      <c r="B23" s="20" t="n">
        <v>11.8842</v>
      </c>
      <c r="C23" s="21" t="n">
        <v>33.61</v>
      </c>
      <c r="D23" s="15" t="inlineStr">
        <is>
          <t>Pastizal cultivado, matorral ralo, parcelas agrícolas</t>
        </is>
      </c>
      <c r="E23" s="15" t="inlineStr"/>
    </row>
    <row r="24">
      <c r="A24" s="7" t="inlineStr">
        <is>
          <t>Vegetación ligera</t>
        </is>
      </c>
      <c r="B24" s="18" t="n">
        <v>2.3609</v>
      </c>
      <c r="C24" s="19" t="n">
        <v>6.68</v>
      </c>
      <c r="D24" s="11" t="inlineStr">
        <is>
          <t>Cobertura discontinua, suelo parcialmente expuesto</t>
        </is>
      </c>
      <c r="E24" s="11" t="inlineStr"/>
    </row>
    <row r="25">
      <c r="A25" s="14" t="inlineStr">
        <is>
          <t>Tierra desnuda</t>
        </is>
      </c>
      <c r="B25" s="20" t="n">
        <v>0.0495</v>
      </c>
      <c r="C25" s="21" t="n">
        <v>0.14</v>
      </c>
      <c r="D25" s="15" t="inlineStr">
        <is>
          <t>Suelo desnudo, afloramientos, plataformas y taludes</t>
        </is>
      </c>
      <c r="E25" s="15" t="inlineStr"/>
    </row>
    <row r="26">
      <c r="A26" s="16" t="inlineStr">
        <is>
          <t>TOTAL CLASIFICADO</t>
        </is>
      </c>
      <c r="B26" s="22">
        <f>SUM(B21:B24)</f>
        <v/>
      </c>
      <c r="C26" s="23">
        <f>SUM(C21:C24)</f>
        <v/>
      </c>
      <c r="D26" s="17" t="inlineStr"/>
      <c r="E26" s="17" t="inlineStr"/>
    </row>
    <row r="27">
      <c r="A27" s="24" t="inlineStr">
        <is>
          <t>Superficie de catálogo (V5/V6)</t>
        </is>
      </c>
      <c r="B27" s="25" t="n">
        <v>35.35</v>
      </c>
      <c r="C27" s="25" t="inlineStr">
        <is>
          <t>—</t>
        </is>
      </c>
      <c r="D27" s="25" t="inlineStr">
        <is>
          <t>Desviación planimétrica frente al catálogo</t>
        </is>
      </c>
      <c r="E27" s="25" t="inlineStr">
        <is>
          <t>+0.04 %</t>
        </is>
      </c>
    </row>
    <row r="28" ht="72"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29" s="38" t="n"/>
      <c r="C29" s="38" t="n"/>
      <c r="D29" s="38" t="n"/>
      <c r="E29" s="39"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M8B2</t>
        </is>
      </c>
    </row>
    <row r="6" ht="24" customHeight="1">
      <c r="A6" s="4" t="inlineStr">
        <is>
          <t>Levantamiento del 2026-06-16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617630</v>
      </c>
      <c r="D10" s="26" t="n">
        <v>9436148</v>
      </c>
      <c r="E10" s="11" t="n">
        <v>86</v>
      </c>
      <c r="F10" s="11" t="inlineStr"/>
      <c r="G10" s="11" t="inlineStr">
        <is>
          <t>Coordenada consignada en F-DT-01</t>
        </is>
      </c>
    </row>
    <row r="11">
      <c r="A11" s="14" t="inlineStr">
        <is>
          <t>H-01</t>
        </is>
      </c>
      <c r="B11" s="15" t="inlineStr">
        <is>
          <t>Fuente de agua — Reservorio / Represa</t>
        </is>
      </c>
      <c r="C11" s="27" t="inlineStr">
        <is>
          <t>Por determinar</t>
        </is>
      </c>
      <c r="D11" s="27" t="inlineStr">
        <is>
          <t>Por determinar</t>
        </is>
      </c>
      <c r="E11" s="15" t="inlineStr"/>
      <c r="F11" s="15" t="inlineStr">
        <is>
          <t>Por determinar</t>
        </is>
      </c>
      <c r="G11" s="15" t="inlineStr">
        <is>
          <t>Caja/reservorio rústico en desuso</t>
        </is>
      </c>
    </row>
    <row r="12">
      <c r="A12" s="7" t="inlineStr">
        <is>
          <t>H-02</t>
        </is>
      </c>
      <c r="B12" s="11" t="inlineStr">
        <is>
          <t>Fuente de agua — Quebrada estacional</t>
        </is>
      </c>
      <c r="C12" s="26" t="inlineStr">
        <is>
          <t>Por determinar</t>
        </is>
      </c>
      <c r="D12" s="26" t="inlineStr">
        <is>
          <t>Por determinar</t>
        </is>
      </c>
      <c r="E12" s="11" t="inlineStr"/>
      <c r="F12" s="11" t="inlineStr">
        <is>
          <t>Estacional</t>
        </is>
      </c>
      <c r="G12" s="11" t="inlineStr">
        <is>
          <t>Quebrada tributaria del río Piura</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617596</v>
      </c>
      <c r="C15" s="6" t="inlineStr">
        <is>
          <t>Centroide del bloque — UTM NORTE (m)</t>
        </is>
      </c>
      <c r="D15" s="7" t="n">
        <v>9436227</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9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EN CABECERA DE MICROCUENCA tributaria del río Piura; relieve de ladera empinada (PENDIENTE MEDIA 35.5%, MÁXIMA 62.2%). Exposición dominante de laderas SO-NO. Acceso por vía vecinal PI-799. TENENCIA PRIVADA; uso actual pastoreo/ganadería y cultivo de maíz. Verificación de campo 16/06/2026.</t>
        </is>
      </c>
      <c r="B18" s="38" t="n"/>
      <c r="C18" s="38" t="n"/>
      <c r="D18" s="38" t="n"/>
      <c r="E18" s="38" t="n"/>
      <c r="F18" s="38" t="n"/>
      <c r="G18" s="39"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C1096-Q9558 — BLOQUE M8B2</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C1096-Q9558</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2</t>
        </is>
      </c>
      <c r="B10" s="28" t="n">
        <v>330.6</v>
      </c>
      <c r="C10" s="19" t="n">
        <v>90.34</v>
      </c>
      <c r="D10" s="11" t="inlineStr">
        <is>
          <t>142 – 406</t>
        </is>
      </c>
      <c r="E10" s="11" t="n">
        <v>264</v>
      </c>
      <c r="F10" s="11" t="n">
        <v>13.27</v>
      </c>
      <c r="G10" s="18" t="n">
        <v>0.3586</v>
      </c>
      <c r="H10" s="19" t="n">
        <v>0.32</v>
      </c>
    </row>
    <row r="11">
      <c r="A11" s="12" t="inlineStr">
        <is>
          <t>► M8B2</t>
        </is>
      </c>
      <c r="B11" s="29" t="n">
        <v>35.35</v>
      </c>
      <c r="C11" s="30" t="n">
        <v>9.66</v>
      </c>
      <c r="D11" s="13" t="inlineStr">
        <is>
          <t>882 – 1181</t>
        </is>
      </c>
      <c r="E11" s="13" t="n">
        <v>299</v>
      </c>
      <c r="F11" s="13" t="n">
        <v>24.49</v>
      </c>
      <c r="G11" s="31" t="n">
        <v>0.5305</v>
      </c>
      <c r="H11" s="30" t="n">
        <v>59.58</v>
      </c>
    </row>
    <row r="12">
      <c r="A12" s="16" t="inlineStr">
        <is>
          <t>TOTAL / PROMEDIO</t>
        </is>
      </c>
      <c r="B12" s="32">
        <f>SUM(B10:B11)</f>
        <v/>
      </c>
      <c r="C12" s="23">
        <f>SUM(C10:C11)</f>
        <v/>
      </c>
      <c r="D12" s="17" t="inlineStr">
        <is>
          <t>142 – 1181</t>
        </is>
      </c>
      <c r="E12" s="17" t="inlineStr"/>
      <c r="F12" s="17">
        <f>ROUND(AVERAGE(F10:F11),2)</f>
        <v/>
      </c>
      <c r="G12" s="22">
        <f>ROUND(AVERAGE(G10:G11),4)</f>
        <v/>
      </c>
      <c r="H12" s="23">
        <f>ROUND(AVERAGE(H10:H11),2)</f>
        <v/>
      </c>
    </row>
    <row r="14" ht="84" customHeight="1">
      <c r="A14" s="9" t="inlineStr">
        <is>
          <t>LECTURA INTRAMICROCUENCA. El bloque M8B2 ocupa el puesto 2 de 2 por superficie dentro de la microcuenca C1096-Q9558 (9.66 % de las 365.95 ha preliminares de la microcuenca). Su pendiente promedio (24.49 %, clase «15-25% (Fuert. inclinado)») es la 2.ª más baja de 2 y se sitúa por encima del promedio de la microcuenca (18.88 %). Su MSAVI 2024 (0.5305) es el 1.º de 2 y queda por encima del promedio local (0.4445). Amplitud altitudinal del bloque: 299 m (882–1181 msnm). El cuadro conserva todos los bloques catalogados en la microcuenca, incluidos los descartados en el tamizaje, para referencia del conjunto. Los bloques sin ficha DT figuran con sus parámetros de gabinete.</t>
        </is>
      </c>
      <c r="B14" s="38" t="n"/>
      <c r="C14" s="38" t="n"/>
      <c r="D14" s="38" t="n"/>
      <c r="E14" s="38" t="n"/>
      <c r="F14" s="38" t="n"/>
      <c r="G14" s="38" t="n"/>
      <c r="H14" s="39"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16" s="38" t="n"/>
      <c r="C16" s="38" t="n"/>
      <c r="D16" s="38" t="n"/>
      <c r="E16" s="38" t="n"/>
      <c r="F16" s="38" t="n"/>
      <c r="G16" s="38" t="n"/>
      <c r="H16" s="39" t="n"/>
    </row>
  </sheetData>
  <mergeCells count="9">
    <mergeCell ref="A1:H1"/>
    <mergeCell ref="A4:H4"/>
    <mergeCell ref="A3:H3"/>
    <mergeCell ref="A2:H2"/>
    <mergeCell ref="A16:H16"/>
    <mergeCell ref="A14:H14"/>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M8B2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«C1096-Q9558»</t>
        </is>
      </c>
      <c r="D10" s="34" t="inlineStr">
        <is>
          <t>CONFORME</t>
        </is>
      </c>
      <c r="E10" s="33" t="inlineStr">
        <is>
          <t>Sin acción.</t>
        </is>
      </c>
    </row>
    <row r="11" ht="48" customHeight="1">
      <c r="A11" s="35" t="inlineStr">
        <is>
          <t>D-02</t>
        </is>
      </c>
      <c r="B11" s="35" t="inlineStr">
        <is>
          <t>UTM del punto de muestreo</t>
        </is>
      </c>
      <c r="C11" s="35" t="inlineStr">
        <is>
          <t>El punto de muestreo declarado dista 86 m del centroide de catálogo, compatible con la extensión del bloque</t>
        </is>
      </c>
      <c r="D11" s="34" t="inlineStr">
        <is>
          <t>CONFORME</t>
        </is>
      </c>
      <c r="E11" s="35" t="inlineStr">
        <is>
          <t>Sin acción.</t>
        </is>
      </c>
    </row>
    <row r="12" ht="48" customHeight="1">
      <c r="A12" s="33" t="inlineStr">
        <is>
          <t>D-03</t>
        </is>
      </c>
      <c r="B12" s="33" t="inlineStr">
        <is>
          <t>Superficie del polígono</t>
        </is>
      </c>
      <c r="C12" s="33" t="inlineStr">
        <is>
          <t>La superficie clasificada por el NDVI 2025 (35.363 ha) coincide con la de catálogo (35.35 ha) dentro del ±2 % (+0.04 %)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24.49 %, que corresponde a la clase «15-25% (Fuert. inclinado)»</t>
        </is>
      </c>
      <c r="D13" s="13"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Dimensiones del inventario de cárcavas</t>
        </is>
      </c>
      <c r="C14" s="33" t="inlineStr">
        <is>
          <t>Se registran No inventariadas rasgos erosivos, pero longitud, profundidad y ancho no fueron medidos instrumentalmente</t>
        </is>
      </c>
      <c r="D14" s="13" t="inlineStr">
        <is>
          <t>NO SUSTANTIVA</t>
        </is>
      </c>
      <c r="E14" s="33" t="inlineStr">
        <is>
          <t>El conteo registrado no debe usarse para calcular densidad de cárcavas por hectárea. Pendiente de levantamiento con GPS submétrico.</t>
        </is>
      </c>
    </row>
    <row r="15" ht="48" customHeight="1">
      <c r="A15" s="35" t="inlineStr">
        <is>
          <t>D-06</t>
        </is>
      </c>
      <c r="B15" s="35" t="inlineStr">
        <is>
          <t>Elenco florístico</t>
        </is>
      </c>
      <c r="C15" s="35" t="inlineStr">
        <is>
          <t>La ficha registra 9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6"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«Botijas»; el cruce INEI-Bloques V5 identifica 1 centro(s) poblado(s) en el bloque: BOTIJAS</t>
        </is>
      </c>
      <c r="D17" s="34"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Plan de Ingreso</t>
        </is>
      </c>
      <c r="C19" s="35" t="inlineStr">
        <is>
          <t>Altitud = 0 msnm (captura por defecto del aplicativo)</t>
        </is>
      </c>
      <c r="D19" s="37" t="inlineStr">
        <is>
          <t>CORREGIDO</t>
        </is>
      </c>
      <c r="E19" s="35" t="inlineStr">
        <is>
          <t>Se reemplaza por la altitud GPS de campo (1050 msnm)</t>
        </is>
      </c>
    </row>
    <row r="20" ht="48" customHeight="1">
      <c r="A20" s="33" t="inlineStr">
        <is>
          <t>D-11</t>
        </is>
      </c>
      <c r="B20" s="33" t="inlineStr">
        <is>
          <t>F-DT-02</t>
        </is>
      </c>
      <c r="C20" s="33" t="inlineStr">
        <is>
          <t>Inventario georreferenciado de cárcavas pendiente pese a calificar la erosión como Fuerte</t>
        </is>
      </c>
      <c r="D20" s="36" t="inlineStr">
        <is>
          <t>SUSTANTIVA</t>
        </is>
      </c>
      <c r="E20" s="33" t="inlineStr">
        <is>
          <t>Levantamiento pendiente</t>
        </is>
      </c>
    </row>
    <row r="21" ht="48" customHeight="1">
      <c r="A21" s="35" t="inlineStr">
        <is>
          <t>D-12</t>
        </is>
      </c>
      <c r="B21" s="35" t="inlineStr">
        <is>
          <t>F-DT-03</t>
        </is>
      </c>
      <c r="C21" s="35" t="inlineStr">
        <is>
          <t>Coberturas por estrato, DAP, altura y especies clave sin registrar; superficie de ecosistema no medida</t>
        </is>
      </c>
      <c r="D21" s="36" t="inlineStr">
        <is>
          <t>SUSTANTIVA</t>
        </is>
      </c>
      <c r="E21" s="35" t="inlineStr">
        <is>
          <t>Pendientes del inventario florístico especializado</t>
        </is>
      </c>
    </row>
    <row r="22" ht="48" customHeight="1">
      <c r="A22" s="33" t="inlineStr">
        <is>
          <t>D-13</t>
        </is>
      </c>
      <c r="B22" s="33" t="inlineStr">
        <is>
          <t>F-DT-03</t>
        </is>
      </c>
      <c r="C22" s="33" t="inlineStr">
        <is>
          <t>Solo 9 taxones registrados frente al mínimo de 15 exigido</t>
        </is>
      </c>
      <c r="D22" s="13" t="inlineStr">
        <is>
          <t>NO SUSTANTIVA</t>
        </is>
      </c>
      <c r="E22" s="33" t="inlineStr">
        <is>
          <t>Inventario a completar</t>
        </is>
      </c>
    </row>
    <row r="23" ht="48" customHeight="1">
      <c r="A23" s="35" t="inlineStr">
        <is>
          <t>D-14</t>
        </is>
      </c>
      <c r="B23" s="35" t="inlineStr">
        <is>
          <t>F-DT-04</t>
        </is>
      </c>
      <c r="C23" s="35" t="inlineStr">
        <is>
          <t>Solo 2 de los 8 indicadores cuantitativos diligenciados; intensidad, extensión y antigüedad de las causas sin cuantificar</t>
        </is>
      </c>
      <c r="D23" s="36" t="inlineStr">
        <is>
          <t>SUSTANTIVA</t>
        </is>
      </c>
      <c r="E23" s="35" t="inlineStr">
        <is>
          <t>Cuantificación pendiente</t>
        </is>
      </c>
    </row>
    <row r="24" ht="48" customHeight="1">
      <c r="A24" s="33" t="inlineStr">
        <is>
          <t>D-15</t>
        </is>
      </c>
      <c r="B24" s="33" t="inlineStr">
        <is>
          <t>F-DT-04</t>
        </is>
      </c>
      <c r="C24" s="33" t="inlineStr">
        <is>
          <t>Velocidad de degradación, reversibilidad y urgencia de intervención no consignadas</t>
        </is>
      </c>
      <c r="D24" s="36" t="inlineStr">
        <is>
          <t>SUSTANTIVA</t>
        </is>
      </c>
      <c r="E24" s="33" t="inlineStr">
        <is>
          <t>Calificación pendiente</t>
        </is>
      </c>
    </row>
    <row r="25" ht="48" customHeight="1">
      <c r="A25" s="35" t="inlineStr">
        <is>
          <t>D-16</t>
        </is>
      </c>
      <c r="B25" s="35" t="inlineStr">
        <is>
          <t>F-DT-04</t>
        </is>
      </c>
      <c r="C25" s="35" t="inlineStr">
        <is>
          <t>Peligros calificados por juicio de experto (PMM medio-alto, EPH moderado-alto, PGI moderado)</t>
        </is>
      </c>
      <c r="D25" s="13" t="inlineStr">
        <is>
          <t>NO SUSTANTIVA</t>
        </is>
      </c>
      <c r="E25" s="35" t="inlineStr">
        <is>
          <t>No sustituyen el Peligro Integrado por AHP; declarado en la propia ficha</t>
        </is>
      </c>
    </row>
    <row r="26" ht="48" customHeight="1">
      <c r="A26" s="33" t="inlineStr">
        <is>
          <t>D-17</t>
        </is>
      </c>
      <c r="B26" s="33" t="inlineStr">
        <is>
          <t>F-DT-05</t>
        </is>
      </c>
      <c r="C26" s="33" t="inlineStr">
        <is>
          <t>Las dos fuentes de agua inventariadas carecen de coordenadas</t>
        </is>
      </c>
      <c r="D26" s="13" t="inlineStr">
        <is>
          <t>NO SUSTANTIVA</t>
        </is>
      </c>
      <c r="E26" s="33" t="inlineStr">
        <is>
          <t>Georreferenciación pendiente</t>
        </is>
      </c>
    </row>
    <row r="27" ht="48" customHeight="1">
      <c r="A27" s="35" t="inlineStr">
        <is>
          <t>D-18</t>
        </is>
      </c>
      <c r="B27" s="35" t="inlineStr">
        <is>
          <t>F-DT-05</t>
        </is>
      </c>
      <c r="C27" s="35" t="inlineStr">
        <is>
          <t>La vía PI-799 presenta erosión de plataforma, taludes inestables y colapsos de banca</t>
        </is>
      </c>
      <c r="D27" s="36" t="inlineStr">
        <is>
          <t>SUSTANTIVA</t>
        </is>
      </c>
      <c r="E27" s="35" t="inlineStr">
        <is>
          <t>Condiciona el acceso y es a la vez foco de erosión: incorporar al diseño de MRR-CCC complementarias</t>
        </is>
      </c>
    </row>
    <row r="28">
      <c r="A28" s="35" t="inlineStr">
        <is>
          <t>D-19</t>
        </is>
      </c>
      <c r="B28" s="35" t="inlineStr">
        <is>
          <t>Distribución areal de clases MSAVI 2024</t>
        </is>
      </c>
      <c r="C28" s="35" t="inlineStr">
        <is>
          <t>La hoja «Cobertura MSAVI-NDVI» consignaba «Por determinar» en la distribución areal de clases MSAVI 2024; se incorpora el metrado por clase medido sobre la cartografía temática MSAVI 2024 del bloque: 46.07 % del bloque (16.286 ha) bajo el umbral 0.4976 y 53.93 % sobre el umbral; clase areal dominante «Vigor moderado».</t>
        </is>
      </c>
      <c r="D28" s="36" t="inlineStr">
        <is>
          <t>CORREGIDO</t>
        </is>
      </c>
      <c r="E28" s="35"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9"/>
    <row r="30">
      <c r="A30" s="16" t="inlineStr">
        <is>
          <t>RESUMEN</t>
        </is>
      </c>
      <c r="B30" s="17" t="inlineStr">
        <is>
          <t>19 verificaciones</t>
        </is>
      </c>
      <c r="C30" s="17" t="inlineStr">
        <is>
          <t>CONFORME: 4 · NO SUSTANTIVA: 5 · SUSTANTIVA: 8 · CORREGIDO: 2</t>
        </is>
      </c>
      <c r="D30" s="17" t="inlineStr"/>
      <c r="E30" s="17" t="inlineStr"/>
    </row>
    <row r="31" ht="60" customHeight="1"/>
    <row r="32">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38" t="n"/>
      <c r="C32" s="38" t="n"/>
      <c r="D32" s="38" t="n"/>
      <c r="E32" s="39"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M8B2 — IN Piura</dc:title>
  <dc:subject>Diagnóstico Territorial por bloque de intervención</dc:subject>
  <dcterms:created xsi:type="dcterms:W3CDTF">2026-09-08T03:39:53Z</dcterms:created>
  <dcterms:modified xsi:type="dcterms:W3CDTF">2026-09-09T14:49:47Z</dcterms:modified>
</cp:coreProperties>
</file>