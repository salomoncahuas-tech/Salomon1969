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4</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4</t>
        </is>
      </c>
      <c r="C9" s="6" t="inlineStr">
        <is>
          <t>Microcuenca (catálogo)</t>
        </is>
      </c>
      <c r="D9" s="7" t="inlineStr">
        <is>
          <t>C1076-Q9588</t>
        </is>
      </c>
      <c r="E9" s="8" t="n"/>
      <c r="F9" s="8" t="n"/>
    </row>
    <row r="10">
      <c r="A10" s="6" t="inlineStr">
        <is>
          <t>Zona de planificación</t>
        </is>
      </c>
      <c r="B10" s="7" t="inlineStr">
        <is>
          <t>Z14</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San Antonio de Succhirca / La Rinconada</t>
        </is>
      </c>
      <c r="C13" s="6" t="inlineStr">
        <is>
          <t>Comunidad campesina</t>
        </is>
      </c>
      <c r="D13" s="7" t="inlineStr">
        <is>
          <t>Por verificar</t>
        </is>
      </c>
      <c r="E13" s="8" t="n"/>
      <c r="F13" s="8" t="n"/>
    </row>
    <row r="14">
      <c r="A14" s="6" t="inlineStr">
        <is>
          <t>Superficie de catálogo (V5/V6), ha</t>
        </is>
      </c>
      <c r="B14" s="7" t="n">
        <v>230.1</v>
      </c>
      <c r="C14" s="6" t="inlineStr">
        <is>
          <t>Fuente de superficie</t>
        </is>
      </c>
      <c r="D14" s="7" t="inlineStr">
        <is>
          <t>Catálogo maestro Bloques V5/V6</t>
        </is>
      </c>
      <c r="E14" s="8" t="n"/>
      <c r="F14" s="8" t="n"/>
    </row>
    <row r="15">
      <c r="A15" s="6" t="inlineStr">
        <is>
          <t>Centroide UTM ESTE (m)</t>
        </is>
      </c>
      <c r="B15" s="7" t="n">
        <v>656549</v>
      </c>
      <c r="C15" s="6" t="inlineStr">
        <is>
          <t>Centroide UTM NORTE (m)</t>
        </is>
      </c>
      <c r="D15" s="7" t="n">
        <v>9382009</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1378</v>
      </c>
      <c r="C19" s="6" t="inlineStr">
        <is>
          <t>Altitud máxima (msnm)</t>
        </is>
      </c>
      <c r="D19" s="7" t="n">
        <v>2318</v>
      </c>
      <c r="E19" s="8" t="n"/>
      <c r="F19" s="8" t="n"/>
    </row>
    <row r="20">
      <c r="A20" s="6" t="inlineStr">
        <is>
          <t>Amplitud altitudinal (m)</t>
        </is>
      </c>
      <c r="B20" s="7" t="n">
        <v>940</v>
      </c>
      <c r="C20" s="6" t="inlineStr">
        <is>
          <t>Piso altitudinal dominante</t>
        </is>
      </c>
      <c r="D20" s="7" t="inlineStr">
        <is>
          <t>1500-2000 m (Quechua media)</t>
        </is>
      </c>
      <c r="E20" s="8" t="n"/>
      <c r="F20" s="8" t="n"/>
    </row>
    <row r="21">
      <c r="A21" s="6" t="inlineStr">
        <is>
          <t>Pendiente promedio (%)</t>
        </is>
      </c>
      <c r="B21" s="7" t="n">
        <v>35.01</v>
      </c>
      <c r="C21" s="6" t="inlineStr">
        <is>
          <t>Pendiente promedio (grados)</t>
        </is>
      </c>
      <c r="D21" s="7" t="n">
        <v>19.3</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0.6601</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(88.10 %)</t>
        </is>
      </c>
      <c r="E29" s="8" t="n"/>
      <c r="F29" s="8" t="n"/>
    </row>
    <row r="30">
      <c r="A30" s="6" t="inlineStr">
        <is>
          <t>Superficie clasificada NDVI 2025 (ha)</t>
        </is>
      </c>
      <c r="B30" s="7" t="n">
        <v>230.143</v>
      </c>
      <c r="C30" s="6" t="inlineStr">
        <is>
          <t>Desviación frente al catálogo (%)</t>
        </is>
      </c>
      <c r="D30" s="7" t="n">
        <v>0.02</v>
      </c>
      <c r="E30" s="8" t="n"/>
      <c r="F30" s="8" t="n"/>
    </row>
    <row r="32" ht="18" customHeight="1">
      <c r="A32" s="5" t="inlineStr">
        <is>
          <t>4. ECOSISTEMA Y ESTADO DE CONSERVACIÓN</t>
        </is>
      </c>
    </row>
    <row r="33">
      <c r="A33" s="6" t="inlineStr">
        <is>
          <t>Tipo de ecosistema (UP)</t>
        </is>
      </c>
      <c r="B33" s="7" t="inlineStr">
        <is>
          <t>Agroecosistema / Mosaico</t>
        </is>
      </c>
      <c r="C33" s="6" t="inlineStr">
        <is>
          <t>Superficie de ecosistema (ha)</t>
        </is>
      </c>
      <c r="D33" s="7" t="inlineStr">
        <is>
          <t>230.10 ha declaradas como Zona agrícola (100% del bloque)</t>
        </is>
      </c>
      <c r="E33" s="8" t="n"/>
      <c r="F33" s="8" t="n"/>
    </row>
    <row r="34">
      <c r="A34" s="6" t="inlineStr">
        <is>
          <t>Estado de conservación</t>
        </is>
      </c>
      <c r="B34" s="7" t="inlineStr">
        <is>
          <t>Alterado (intervención marcada)</t>
        </is>
      </c>
      <c r="C34" s="6" t="inlineStr">
        <is>
          <t>Uso actual dominante del suelo</t>
        </is>
      </c>
      <c r="D34" s="7" t="inlineStr">
        <is>
          <t>Uso mixto</t>
        </is>
      </c>
      <c r="E34" s="8" t="n"/>
      <c r="F34" s="8" t="n"/>
    </row>
    <row r="35">
      <c r="A35" s="6" t="inlineStr">
        <is>
          <t>Tipo de cobertura dominante</t>
        </is>
      </c>
      <c r="B35" s="7" t="inlineStr">
        <is>
          <t>Mixto / Mosaico</t>
        </is>
      </c>
      <c r="C35" s="6" t="inlineStr">
        <is>
          <t>Cobertura vegetal total — campo (%)</t>
        </is>
      </c>
      <c r="D35" s="7" t="n">
        <v>91</v>
      </c>
      <c r="E35" s="8" t="n"/>
      <c r="F35" s="8" t="n"/>
    </row>
    <row r="36">
      <c r="A36" s="6" t="inlineStr">
        <is>
          <t>Suelo desnudo — campo (%)</t>
        </is>
      </c>
      <c r="B36" s="7" t="inlineStr">
        <is>
          <t>Por determinar</t>
        </is>
      </c>
      <c r="C36" s="6" t="inlineStr">
        <is>
          <t>Regeneración natural</t>
        </is>
      </c>
      <c r="D36" s="7" t="inlineStr">
        <is>
          <t>Escasa (&lt;10 pl./100m²)</t>
        </is>
      </c>
      <c r="E36" s="8" t="n"/>
      <c r="F36" s="8" t="n"/>
    </row>
    <row r="37">
      <c r="A37" s="6" t="inlineStr">
        <is>
          <t>Nivel general de erosión</t>
        </is>
      </c>
      <c r="B37" s="7" t="inlineStr">
        <is>
          <t>Moderada (surcos)</t>
        </is>
      </c>
      <c r="C37" s="6" t="inlineStr">
        <is>
          <t>N.° de cárcavas registradas</t>
        </is>
      </c>
      <c r="D37" s="7" t="n">
        <v>0</v>
      </c>
      <c r="E37" s="8" t="n"/>
      <c r="F37" s="8" t="n"/>
    </row>
    <row r="38">
      <c r="A38" s="6" t="inlineStr">
        <is>
          <t>Elenco florístico (n.° de taxones)</t>
        </is>
      </c>
      <c r="B38" s="7" t="n">
        <v>10</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Pedro Talledo Hernández</t>
        </is>
      </c>
      <c r="C41" s="6" t="inlineStr">
        <is>
          <t>Fecha de evaluación</t>
        </is>
      </c>
      <c r="D41" s="7" t="inlineStr">
        <is>
          <t>2026-08-20</t>
        </is>
      </c>
      <c r="E41" s="8" t="n"/>
      <c r="F41" s="8" t="n"/>
    </row>
    <row r="42">
      <c r="A42" s="6" t="inlineStr">
        <is>
          <t>Hora de registro</t>
        </is>
      </c>
      <c r="B42" s="7" t="inlineStr">
        <is>
          <t>09:23 - 10:50 h</t>
        </is>
      </c>
      <c r="C42" s="6" t="inlineStr">
        <is>
          <t>Correlativo de ficha</t>
        </is>
      </c>
      <c r="D42" s="7" t="inlineStr">
        <is>
          <t>DT-B4-001</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No instalada (observación libre desde estaciones exteriores)</t>
        </is>
      </c>
      <c r="E44" s="8" t="n"/>
      <c r="F44" s="8" t="n"/>
    </row>
    <row r="45">
      <c r="A45" s="6" t="inlineStr">
        <is>
          <t>Estaciones fotográficas georreferenciadas</t>
        </is>
      </c>
      <c r="B45" s="7" t="n">
        <v>12</v>
      </c>
      <c r="C45" s="6" t="inlineStr">
        <is>
          <t>Modalidad de acceso</t>
        </is>
      </c>
      <c r="D45" s="7" t="inlineStr">
        <is>
          <t>Vehicular 4x4 hasta el bloque</t>
        </is>
      </c>
      <c r="E45" s="8" t="n"/>
      <c r="F45" s="8" t="n"/>
    </row>
    <row r="47" ht="18" customHeight="1">
      <c r="A47" s="5" t="inlineStr">
        <is>
          <t>6. SÍNTESIS PARA LA GESTIÓN DEL RIESGO EN CONTEXTO DE CAMBIO CLIMÁTICO</t>
        </is>
      </c>
    </row>
    <row r="48">
      <c r="A48" s="6" t="inlineStr">
        <is>
          <t>Causa subyacente principal</t>
        </is>
      </c>
      <c r="B48" s="7" t="inlineStr">
        <is>
          <t>Estructura de tenencia y de subsistencia familiar del sector San Antonio de Succhirca - La Rinconada</t>
        </is>
      </c>
      <c r="C48" s="6" t="inlineStr">
        <is>
          <t>Velocidad de degradación</t>
        </is>
      </c>
      <c r="D48" s="7" t="inlineStr">
        <is>
          <t>Lenta</t>
        </is>
      </c>
      <c r="E48" s="8" t="n"/>
      <c r="F48" s="8" t="n"/>
    </row>
    <row r="49">
      <c r="A49" s="6" t="inlineStr">
        <is>
          <t>Reversibilidad técnica</t>
        </is>
      </c>
      <c r="B49" s="7" t="inlineStr">
        <is>
          <t>Parcialmente reversible</t>
        </is>
      </c>
      <c r="C49" s="6" t="inlineStr">
        <is>
          <t>Urgencia de intervención</t>
        </is>
      </c>
      <c r="D49" s="7" t="inlineStr">
        <is>
          <t>Media</t>
        </is>
      </c>
      <c r="E49" s="8" t="n"/>
      <c r="F49" s="8" t="n"/>
    </row>
    <row r="50">
      <c r="A50" s="6" t="inlineStr">
        <is>
          <t>Urgencia de control de erosión</t>
        </is>
      </c>
      <c r="B50" s="7" t="inlineStr">
        <is>
          <t>Media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4</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t>
        </is>
      </c>
      <c r="B10" s="12" t="inlineStr">
        <is>
          <t>Por determinar</t>
        </is>
      </c>
      <c r="C10" s="12" t="inlineStr">
        <is>
          <t>Por determinar</t>
        </is>
      </c>
      <c r="D10" s="12" t="inlineStr">
        <is>
          <t>Vigor alto</t>
        </is>
      </c>
      <c r="E10" s="12" t="inlineStr">
        <is>
          <t>Sobre umbral</t>
        </is>
      </c>
    </row>
    <row r="11">
      <c r="A11" s="13" t="inlineStr">
        <is>
          <t>0.4976 - 0.6139</t>
        </is>
      </c>
      <c r="B11" s="14" t="inlineStr">
        <is>
          <t>Por determinar</t>
        </is>
      </c>
      <c r="C11" s="14" t="inlineStr">
        <is>
          <t>Por determinar</t>
        </is>
      </c>
      <c r="D11" s="14" t="inlineStr">
        <is>
          <t>Vigor moderado</t>
        </is>
      </c>
      <c r="E11" s="14" t="inlineStr">
        <is>
          <t>Sobre umbral</t>
        </is>
      </c>
    </row>
    <row r="12">
      <c r="A12" s="7" t="inlineStr">
        <is>
          <t>0.3813 - 0.4976</t>
        </is>
      </c>
      <c r="B12" s="15" t="inlineStr">
        <is>
          <t>Por determinar</t>
        </is>
      </c>
      <c r="C12" s="15" t="inlineStr">
        <is>
          <t>Por determinar</t>
        </is>
      </c>
      <c r="D12" s="15" t="inlineStr">
        <is>
          <t>Vigor bajo</t>
        </is>
      </c>
      <c r="E12" s="15" t="inlineStr">
        <is>
          <t>BAJO umbral 0.4976</t>
        </is>
      </c>
    </row>
    <row r="13">
      <c r="A13" s="13" t="inlineStr">
        <is>
          <t>0.2650 - 0.3813</t>
        </is>
      </c>
      <c r="B13" s="14" t="inlineStr">
        <is>
          <t>Por determinar</t>
        </is>
      </c>
      <c r="C13" s="14" t="inlineStr">
        <is>
          <t>Por determinar</t>
        </is>
      </c>
      <c r="D13" s="14" t="inlineStr">
        <is>
          <t>Vigor muy bajo</t>
        </is>
      </c>
      <c r="E13" s="14" t="inlineStr">
        <is>
          <t>BAJO umbral 0.4976</t>
        </is>
      </c>
    </row>
    <row r="14">
      <c r="A14" s="7" t="inlineStr">
        <is>
          <t>&lt;= 0.2650</t>
        </is>
      </c>
      <c r="B14" s="15" t="inlineStr">
        <is>
          <t>Por determinar</t>
        </is>
      </c>
      <c r="C14" s="15" t="inlineStr">
        <is>
          <t>Por determinar</t>
        </is>
      </c>
      <c r="D14" s="15" t="inlineStr">
        <is>
          <t>Suelo desnudo / no vegetal</t>
        </is>
      </c>
      <c r="E14" s="15" t="inlineStr">
        <is>
          <t>BAJO umbral 0.4976</t>
        </is>
      </c>
    </row>
    <row r="15">
      <c r="A15" s="16" t="inlineStr">
        <is>
          <t>MSAVI 2024 — MEDIA DEL BLOQUE</t>
        </is>
      </c>
      <c r="B15" s="17" t="n">
        <v>0.660111</v>
      </c>
      <c r="C15" s="17" t="inlineStr">
        <is>
          <t>—</t>
        </is>
      </c>
      <c r="D15" s="17" t="inlineStr">
        <is>
          <t>Vigor alto · clase &gt; 0.6139</t>
        </is>
      </c>
      <c r="E15" s="17" t="inlineStr">
        <is>
          <t>Sobre umbral</t>
        </is>
      </c>
    </row>
    <row r="17" ht="72" customHeight="1">
      <c r="A17" s="9" t="inlineStr">
        <is>
          <t>NOTA METODOLÓGICA. La media del MSAVI 2024 del bloque (0.660111)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202.7485</v>
      </c>
      <c r="C21" s="19" t="n">
        <v>88.09999999999999</v>
      </c>
      <c r="D21" s="15" t="inlineStr">
        <is>
          <t>Dosel continuo, matorral denso o mosaico agroforestal</t>
        </is>
      </c>
      <c r="E21" s="15" t="inlineStr"/>
    </row>
    <row r="22">
      <c r="A22" s="13" t="inlineStr">
        <is>
          <t>Vegetación mediana</t>
        </is>
      </c>
      <c r="B22" s="20" t="n">
        <v>25.1485</v>
      </c>
      <c r="C22" s="21" t="n">
        <v>10.93</v>
      </c>
      <c r="D22" s="14" t="inlineStr">
        <is>
          <t>Pastizal cultivado, matorral ralo, parcelas agrícolas</t>
        </is>
      </c>
      <c r="E22" s="14" t="inlineStr"/>
    </row>
    <row r="23">
      <c r="A23" s="7" t="inlineStr">
        <is>
          <t>Vegetación ligera</t>
        </is>
      </c>
      <c r="B23" s="18" t="n">
        <v>2.1467</v>
      </c>
      <c r="C23" s="19" t="n">
        <v>0.93</v>
      </c>
      <c r="D23" s="15" t="inlineStr">
        <is>
          <t>Cobertura discontinua, suelo parcialmente expuesto</t>
        </is>
      </c>
      <c r="E23" s="15" t="inlineStr"/>
    </row>
    <row r="24">
      <c r="A24" s="13" t="inlineStr">
        <is>
          <t>Tierra desnuda</t>
        </is>
      </c>
      <c r="B24" s="20" t="n">
        <v>0.0989</v>
      </c>
      <c r="C24" s="21" t="n">
        <v>0.04</v>
      </c>
      <c r="D24" s="14" t="inlineStr">
        <is>
          <t>Suelo desnudo, afloramientos, plataformas y taludes</t>
        </is>
      </c>
      <c r="E24" s="14" t="inlineStr"/>
    </row>
    <row r="25">
      <c r="A25" s="16" t="inlineStr">
        <is>
          <t>TOTAL CLASIFICADO</t>
        </is>
      </c>
      <c r="B25" s="22">
        <f>SUM(B21:B24)</f>
        <v/>
      </c>
      <c r="C25" s="23">
        <f>SUM(C21:C24)</f>
        <v/>
      </c>
      <c r="D25" s="17" t="inlineStr"/>
      <c r="E25" s="17" t="inlineStr"/>
    </row>
    <row r="26">
      <c r="A26" s="24" t="inlineStr">
        <is>
          <t>Superficie de catálogo (V5/V6)</t>
        </is>
      </c>
      <c r="B26" s="25" t="n">
        <v>230.1</v>
      </c>
      <c r="C26" s="25" t="inlineStr">
        <is>
          <t>—</t>
        </is>
      </c>
      <c r="D26" s="25" t="inlineStr">
        <is>
          <t>Desviación planimétrica frente al catálogo</t>
        </is>
      </c>
      <c r="E26" s="25" t="inlineStr">
        <is>
          <t>+0.02 %</t>
        </is>
      </c>
    </row>
    <row r="28" ht="108" customHeight="1">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91 % frente a un 88.10 % del polígono clasificado como «Vegetación alta» por el NDVI 2025; la observación de campo corresponde a una parcela o recorrido puntual y no es estadísticamente representativa de las 230.100 ha del bloque.</t>
        </is>
      </c>
    </row>
  </sheetData>
  <mergeCells count="10">
    <mergeCell ref="A4:E4"/>
    <mergeCell ref="A2:E2"/>
    <mergeCell ref="A28:E28"/>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4</t>
        </is>
      </c>
    </row>
    <row r="6" ht="24" customHeight="1">
      <c r="A6" s="4" t="inlineStr">
        <is>
          <t>Levantamiento del 2026-08-20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656704</v>
      </c>
      <c r="D10" s="26" t="n">
        <v>9382756</v>
      </c>
      <c r="E10" s="15" t="n">
        <v>762.9</v>
      </c>
      <c r="F10" s="15" t="inlineStr"/>
      <c r="G10" s="15" t="inlineStr">
        <is>
          <t>Coordenada consignada en F-DT-01</t>
        </is>
      </c>
    </row>
    <row r="11">
      <c r="A11" s="13" t="inlineStr">
        <is>
          <t>E-02</t>
        </is>
      </c>
      <c r="B11" s="14" t="inlineStr">
        <is>
          <t>Estación fotográfica</t>
        </is>
      </c>
      <c r="C11" s="27" t="n">
        <v>657482</v>
      </c>
      <c r="D11" s="27" t="n">
        <v>9383238</v>
      </c>
      <c r="E11" s="14" t="n">
        <v>1543</v>
      </c>
      <c r="F11" s="14" t="inlineStr"/>
      <c r="G11" s="14" t="inlineStr">
        <is>
          <t>Registro fotográfico georreferenciado</t>
        </is>
      </c>
    </row>
    <row r="12">
      <c r="A12" s="7" t="inlineStr">
        <is>
          <t>E-03</t>
        </is>
      </c>
      <c r="B12" s="15" t="inlineStr">
        <is>
          <t>Estación fotográfica</t>
        </is>
      </c>
      <c r="C12" s="26" t="n">
        <v>656704</v>
      </c>
      <c r="D12" s="26" t="n">
        <v>9382756</v>
      </c>
      <c r="E12" s="15" t="n">
        <v>762.9</v>
      </c>
      <c r="F12" s="15" t="inlineStr"/>
      <c r="G12" s="15" t="inlineStr">
        <is>
          <t>Registro fotográfico georreferenciado</t>
        </is>
      </c>
    </row>
    <row r="13">
      <c r="A13" s="13" t="inlineStr">
        <is>
          <t>E-05</t>
        </is>
      </c>
      <c r="B13" s="14" t="inlineStr">
        <is>
          <t>Estación fotográfica</t>
        </is>
      </c>
      <c r="C13" s="27" t="n">
        <v>656513</v>
      </c>
      <c r="D13" s="27" t="n">
        <v>9382803</v>
      </c>
      <c r="E13" s="14" t="n">
        <v>794.8</v>
      </c>
      <c r="F13" s="14" t="inlineStr"/>
      <c r="G13" s="14" t="inlineStr">
        <is>
          <t>Registro fotográfico georreferenciado</t>
        </is>
      </c>
    </row>
    <row r="14">
      <c r="A14" s="7" t="inlineStr">
        <is>
          <t>E-06</t>
        </is>
      </c>
      <c r="B14" s="15" t="inlineStr">
        <is>
          <t>Estación fotográfica</t>
        </is>
      </c>
      <c r="C14" s="26" t="n">
        <v>656485</v>
      </c>
      <c r="D14" s="26" t="n">
        <v>9382766</v>
      </c>
      <c r="E14" s="15" t="n">
        <v>759.7</v>
      </c>
      <c r="F14" s="15" t="inlineStr"/>
      <c r="G14" s="15" t="inlineStr">
        <is>
          <t>Registro fotográfico georreferenciado</t>
        </is>
      </c>
    </row>
    <row r="15">
      <c r="A15" s="13" t="inlineStr">
        <is>
          <t>E-07</t>
        </is>
      </c>
      <c r="B15" s="14" t="inlineStr">
        <is>
          <t>Estación fotográfica</t>
        </is>
      </c>
      <c r="C15" s="27" t="n">
        <v>656445</v>
      </c>
      <c r="D15" s="27" t="n">
        <v>9382836</v>
      </c>
      <c r="E15" s="14" t="n">
        <v>833.5</v>
      </c>
      <c r="F15" s="14" t="inlineStr"/>
      <c r="G15" s="14" t="inlineStr">
        <is>
          <t>Registro fotográfico georreferenciado</t>
        </is>
      </c>
    </row>
    <row r="16">
      <c r="A16" s="7" t="inlineStr">
        <is>
          <t>E-09</t>
        </is>
      </c>
      <c r="B16" s="15" t="inlineStr">
        <is>
          <t>Estación fotográfica</t>
        </is>
      </c>
      <c r="C16" s="26" t="n">
        <v>656516</v>
      </c>
      <c r="D16" s="26" t="n">
        <v>9382809</v>
      </c>
      <c r="E16" s="15" t="n">
        <v>800.7</v>
      </c>
      <c r="F16" s="15" t="inlineStr"/>
      <c r="G16" s="15" t="inlineStr">
        <is>
          <t>Registro fotográfico georreferenciado</t>
        </is>
      </c>
    </row>
    <row r="17">
      <c r="A17" s="13" t="inlineStr">
        <is>
          <t>—</t>
        </is>
      </c>
      <c r="B17" s="14" t="inlineStr">
        <is>
          <t>Rasgo erosivo — Surco (&lt;30 cm)</t>
        </is>
      </c>
      <c r="C17" s="27" t="n">
        <v>656445</v>
      </c>
      <c r="D17" s="27" t="n">
        <v>9382836</v>
      </c>
      <c r="E17" s="14" t="n">
        <v>833.5</v>
      </c>
      <c r="F17" s="14" t="inlineStr">
        <is>
          <t>Semi-activa</t>
        </is>
      </c>
      <c r="G17" s="14" t="inlineStr">
        <is>
          <t>Caminos / huellas de ganado</t>
        </is>
      </c>
    </row>
    <row r="18">
      <c r="A18" s="7" t="inlineStr">
        <is>
          <t>—</t>
        </is>
      </c>
      <c r="B18" s="15" t="inlineStr">
        <is>
          <t>Rasgo erosivo — Surco (&lt;30 cm)</t>
        </is>
      </c>
      <c r="C18" s="26" t="n">
        <v>656516</v>
      </c>
      <c r="D18" s="26" t="n">
        <v>9382809</v>
      </c>
      <c r="E18" s="15" t="n">
        <v>800.7</v>
      </c>
      <c r="F18" s="15" t="inlineStr">
        <is>
          <t>Semi-activa</t>
        </is>
      </c>
      <c r="G18" s="15" t="inlineStr">
        <is>
          <t>Caminos / huellas de ganado</t>
        </is>
      </c>
    </row>
    <row r="19">
      <c r="A19" s="13" t="inlineStr">
        <is>
          <t>H-01</t>
        </is>
      </c>
      <c r="B19" s="14" t="inlineStr">
        <is>
          <t>Fuente de agua — Quebrada estacional</t>
        </is>
      </c>
      <c r="C19" s="27" t="n">
        <v>656485</v>
      </c>
      <c r="D19" s="27" t="n">
        <v>9382766</v>
      </c>
      <c r="E19" s="14" t="n">
        <v>759.7</v>
      </c>
      <c r="F19" s="14" t="inlineStr">
        <is>
          <t>Intermitente</t>
        </is>
      </c>
      <c r="G19" s="14" t="inlineStr">
        <is>
          <t>Cauce de fondo plano</t>
        </is>
      </c>
    </row>
    <row r="20">
      <c r="A20" s="7" t="inlineStr">
        <is>
          <t>H-02</t>
        </is>
      </c>
      <c r="B20" s="15" t="inlineStr">
        <is>
          <t>Fuente de agua — Quebrada estacional</t>
        </is>
      </c>
      <c r="C20" s="26" t="n">
        <v>656704</v>
      </c>
      <c r="D20" s="26" t="n">
        <v>9382756</v>
      </c>
      <c r="E20" s="15" t="n">
        <v>762.9</v>
      </c>
      <c r="F20" s="15" t="inlineStr">
        <is>
          <t>Intermitente</t>
        </is>
      </c>
      <c r="G20" s="15" t="inlineStr">
        <is>
          <t>Quebrada encajonada</t>
        </is>
      </c>
    </row>
    <row r="21">
      <c r="A21" s="13" t="inlineStr">
        <is>
          <t>H-03</t>
        </is>
      </c>
      <c r="B21" s="14" t="inlineStr">
        <is>
          <t>Fuente de agua — Otro (reservorio elevado)</t>
        </is>
      </c>
      <c r="C21" s="27" t="n">
        <v>657460</v>
      </c>
      <c r="D21" s="27" t="n">
        <v>9382956</v>
      </c>
      <c r="E21" s="14" t="n">
        <v>1314.1</v>
      </c>
      <c r="F21" s="14" t="inlineStr">
        <is>
          <t>Permanente</t>
        </is>
      </c>
      <c r="G21" s="14" t="inlineStr">
        <is>
          <t>Reservorio elevado</t>
        </is>
      </c>
    </row>
    <row r="22">
      <c r="A22" s="16" t="inlineStr">
        <is>
          <t>TOTAL: 12 puntos</t>
        </is>
      </c>
      <c r="B22" s="17" t="inlineStr"/>
      <c r="C22" s="17" t="inlineStr"/>
      <c r="D22" s="17" t="inlineStr"/>
      <c r="E22" s="17" t="inlineStr"/>
      <c r="F22" s="17" t="inlineStr"/>
      <c r="G22" s="17" t="inlineStr"/>
    </row>
    <row r="24">
      <c r="A24" s="6" t="inlineStr">
        <is>
          <t>Centroide del bloque — UTM ESTE (m)</t>
        </is>
      </c>
      <c r="B24" s="7" t="n">
        <v>656549</v>
      </c>
      <c r="C24" s="6" t="inlineStr">
        <is>
          <t>Centroide del bloque — UTM NORTE (m)</t>
        </is>
      </c>
      <c r="D24" s="7" t="n">
        <v>9382009</v>
      </c>
      <c r="E24" s="8" t="n"/>
      <c r="F24" s="8" t="n"/>
      <c r="G24" s="8" t="n"/>
      <c r="H24" s="8" t="n"/>
    </row>
    <row r="25">
      <c r="A25" s="6" t="inlineStr">
        <is>
          <t>N.° de estaciones fotográficas declaradas</t>
        </is>
      </c>
      <c r="B25" s="7" t="n">
        <v>12</v>
      </c>
      <c r="C25" s="6" t="inlineStr">
        <is>
          <t>Estaciones dentro del polígono</t>
        </is>
      </c>
      <c r="D25" s="7" t="n">
        <v>0</v>
      </c>
      <c r="E25" s="8" t="n"/>
      <c r="F25" s="8" t="n"/>
      <c r="G25" s="8" t="n"/>
      <c r="H25" s="8" t="n"/>
    </row>
    <row r="27" ht="120" customHeight="1">
      <c r="A2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Ficha NO diligenciada en campo; prellenado de gabinete a partir del registro fotográfico georreferenciado del 20-08-2026 (12 tomas, 10 con sello UTM), planos MSAVI 2024 y NDVI 2025, Google Earth y catálogos V4/V5/V6. El punto de muestreo (656704 E / 9382756 N) es la estación E-03, 69 m al norte del límite: NINGUNA estación se localiza dentro del bloque. El registro «No» en reptación, deslizamientos y remociones NO equivale a ausencia verificada. Pendiente promedio MDE: 35.01% (la mayor de la microcuenca C1076-Q9588).</t>
        </is>
      </c>
    </row>
  </sheetData>
  <mergeCells count="8">
    <mergeCell ref="A1:G1"/>
    <mergeCell ref="A27:G2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C1076-Q9588 — BLOQUE 4</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C1076-Q9588</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M12B1</t>
        </is>
      </c>
      <c r="B10" s="28" t="n">
        <v>268.39</v>
      </c>
      <c r="C10" s="19" t="n">
        <v>50.86</v>
      </c>
      <c r="D10" s="15" t="inlineStr">
        <is>
          <t>333 – 821</t>
        </is>
      </c>
      <c r="E10" s="15" t="n">
        <v>488</v>
      </c>
      <c r="F10" s="15" t="n">
        <v>18.18</v>
      </c>
      <c r="G10" s="18" t="n">
        <v>0.3475</v>
      </c>
      <c r="H10" s="19" t="n">
        <v>2.49</v>
      </c>
    </row>
    <row r="11">
      <c r="A11" s="11" t="inlineStr">
        <is>
          <t>► 4</t>
        </is>
      </c>
      <c r="B11" s="29" t="n">
        <v>230.1</v>
      </c>
      <c r="C11" s="30" t="n">
        <v>43.6</v>
      </c>
      <c r="D11" s="12" t="inlineStr">
        <is>
          <t>1378 – 2318</t>
        </is>
      </c>
      <c r="E11" s="12" t="n">
        <v>940</v>
      </c>
      <c r="F11" s="12" t="n">
        <v>35.01</v>
      </c>
      <c r="G11" s="31" t="n">
        <v>0.6601</v>
      </c>
      <c r="H11" s="30" t="n">
        <v>88.09999999999999</v>
      </c>
    </row>
    <row r="12">
      <c r="A12" s="7" t="inlineStr">
        <is>
          <t>74</t>
        </is>
      </c>
      <c r="B12" s="28" t="n">
        <v>29.23</v>
      </c>
      <c r="C12" s="19" t="n">
        <v>5.54</v>
      </c>
      <c r="D12" s="15" t="inlineStr">
        <is>
          <t>663 – 975</t>
        </is>
      </c>
      <c r="E12" s="15" t="n">
        <v>312</v>
      </c>
      <c r="F12" s="15" t="n">
        <v>29.51</v>
      </c>
      <c r="G12" s="18" t="n">
        <v>0.3565</v>
      </c>
      <c r="H12" s="19" t="n">
        <v>3.75</v>
      </c>
    </row>
    <row r="13">
      <c r="A13" s="16" t="inlineStr">
        <is>
          <t>TOTAL / PROMEDIO</t>
        </is>
      </c>
      <c r="B13" s="32">
        <f>SUM(B10:B12)</f>
        <v/>
      </c>
      <c r="C13" s="23">
        <f>SUM(C10:C12)</f>
        <v/>
      </c>
      <c r="D13" s="17" t="inlineStr">
        <is>
          <t>333 – 2318</t>
        </is>
      </c>
      <c r="E13" s="17" t="inlineStr"/>
      <c r="F13" s="17">
        <f>ROUND(AVERAGE(F10:F12),2)</f>
        <v/>
      </c>
      <c r="G13" s="22">
        <f>ROUND(AVERAGE(G10:G12),4)</f>
        <v/>
      </c>
      <c r="H13" s="23">
        <f>ROUND(AVERAGE(H10:H12),2)</f>
        <v/>
      </c>
    </row>
    <row r="15" ht="84" customHeight="1">
      <c r="A15" s="9" t="inlineStr">
        <is>
          <t>LECTURA INTRAMICROCUENCA. El bloque 4 ocupa el puesto 2 de 3 por superficie dentro de la microcuenca C1076-Q9588 (43.60 % de las 527.72 ha preliminares de la microcuenca). Su pendiente promedio (35.01 %, clase «25-50% (Mod. escarpado)») es la 3.ª más baja de 3 y se sitúa por encima del promedio de la microcuenca (27.57 %). Su MSAVI 2024 (0.6601) es el 1.º de 3 y queda por encima del promedio local (0.4547). Amplitud altitudinal del bloque: 940 m (1378–2318 msnm). El cuadro conserva todos los bloques catalogados en la microcuenca, incluidos los descartados en el tamizaje, para referencia del conjunto. Los bloques sin ficha DT figuran con sus parámetros de gabinete.</t>
        </is>
      </c>
    </row>
    <row r="17" ht="60" customHeight="1">
      <c r="A17"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15:H15"/>
    <mergeCell ref="A2:H2"/>
    <mergeCell ref="A5:H5"/>
    <mergeCell ref="A8:H8"/>
    <mergeCell ref="A6:H6"/>
    <mergeCell ref="A17:H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4</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La ficha DT declara «C1076-Q9584»; el catálogo maestro V5/V6 asigna el bloque a «C1076-Q9588»</t>
        </is>
      </c>
      <c r="D10" s="34" t="inlineStr">
        <is>
          <t>SUSTANTIVA</t>
        </is>
      </c>
      <c r="E10" s="33" t="inlineStr">
        <is>
          <t>Se conserva el código del catálogo maestro para todo cálculo intramicrocuenca. La declaración de la ficha debe corregirse en la siguiente versión del formato V5.</t>
        </is>
      </c>
    </row>
    <row r="11" ht="48" customHeight="1">
      <c r="A11" s="35" t="inlineStr">
        <is>
          <t>D-02</t>
        </is>
      </c>
      <c r="B11" s="35" t="inlineStr">
        <is>
          <t>UTM del punto de muestreo</t>
        </is>
      </c>
      <c r="C11" s="35" t="inlineStr">
        <is>
          <t>El punto de muestreo declarado dista 763 m del centroide de catálogo, compatible con la extensión del bloque</t>
        </is>
      </c>
      <c r="D11" s="36" t="inlineStr">
        <is>
          <t>CONFORME</t>
        </is>
      </c>
      <c r="E11" s="35" t="inlineStr">
        <is>
          <t>Sin acción.</t>
        </is>
      </c>
    </row>
    <row r="12" ht="48" customHeight="1">
      <c r="A12" s="33" t="inlineStr">
        <is>
          <t>D-03</t>
        </is>
      </c>
      <c r="B12" s="33" t="inlineStr">
        <is>
          <t>Superficie del polígono</t>
        </is>
      </c>
      <c r="C12" s="33" t="inlineStr">
        <is>
          <t>La superficie clasificada por el NDVI 2025 (230.143 ha) coincide con la de catálogo (230.1 ha) dentro del ±2 % (+0.02 %)</t>
        </is>
      </c>
      <c r="D12" s="36" t="inlineStr">
        <is>
          <t>CONFORME</t>
        </is>
      </c>
      <c r="E12" s="33" t="inlineStr">
        <is>
          <t>Sin acción: la segmentación valida la geometría del bloque.</t>
        </is>
      </c>
    </row>
    <row r="13" ht="48" customHeight="1">
      <c r="A13" s="35" t="inlineStr">
        <is>
          <t>D-04</t>
        </is>
      </c>
      <c r="B13" s="35" t="inlineStr">
        <is>
          <t>Rango altitudinal / piso ecológico</t>
        </is>
      </c>
      <c r="C13" s="35" t="inlineStr">
        <is>
          <t>La ficha DT declara «2000-2500 m (Quechua alta)»; el MDE sitúa el bloque entre 1378 y 2318 msnm, cuyo punto medio corresponde a «1500-2000 m (Quechua media)»</t>
        </is>
      </c>
      <c r="D13" s="12" t="inlineStr">
        <is>
          <t>NO SUSTANTIVA</t>
        </is>
      </c>
      <c r="E13" s="35" t="inlineStr">
        <is>
          <t>Se declara la divergencia. El bloque abarca más de un piso altitudinal cuando la amplitud supera el ancho de la clase; el registro de campo corresponde al sector recorrido.</t>
        </is>
      </c>
    </row>
    <row r="14" ht="48" customHeight="1">
      <c r="A14" s="33" t="inlineStr">
        <is>
          <t>D-05</t>
        </is>
      </c>
      <c r="B14" s="33" t="inlineStr">
        <is>
          <t>Dimensiones del inventario de cárcavas</t>
        </is>
      </c>
      <c r="C14" s="33" t="inlineStr">
        <is>
          <t>Se registran 0 rasgos erosivos, pero longitud, profundidad y ancho no fueron medidos instrumentalmente</t>
        </is>
      </c>
      <c r="D14" s="12" t="inlineStr">
        <is>
          <t>NO SUSTANTIVA</t>
        </is>
      </c>
      <c r="E14" s="33" t="inlineStr">
        <is>
          <t>El conteo registrado no debe usarse para calcular densidad de cárcavas por hectárea. Pendiente de levantamiento con GPS submétrico.</t>
        </is>
      </c>
    </row>
    <row r="15" ht="48" customHeight="1">
      <c r="A15" s="35" t="inlineStr">
        <is>
          <t>D-06</t>
        </is>
      </c>
      <c r="B15" s="35" t="inlineStr">
        <is>
          <t>Elenco florístico</t>
        </is>
      </c>
      <c r="C15" s="35" t="inlineStr">
        <is>
          <t>La ficha registra 10 taxones, por debajo del mínimo de 15 que exige el formato V5</t>
        </is>
      </c>
      <c r="D15" s="34" t="inlineStr">
        <is>
          <t>SUSTANTIVA</t>
        </is>
      </c>
      <c r="E15" s="35" t="inlineStr">
        <is>
          <t>Registro florístico preliminar, sin colecta ni determinación botánica formal. Debe cerrarse con colecta botánica en la siguiente campaña.</t>
        </is>
      </c>
    </row>
    <row r="16" ht="48" customHeight="1">
      <c r="A16" s="33" t="inlineStr">
        <is>
          <t>D-07</t>
        </is>
      </c>
      <c r="B16" s="33" t="inlineStr">
        <is>
          <t>Representatividad del levantamiento</t>
        </is>
      </c>
      <c r="C16" s="33" t="inlineStr">
        <is>
          <t>Ninguna de las estaciones fotográficas georreferenciadas se localiza dentro del polígono del bloque</t>
        </is>
      </c>
      <c r="D16" s="34" t="inlineStr">
        <is>
          <t>SUSTANTIVA</t>
        </is>
      </c>
      <c r="E16" s="33" t="inlineStr">
        <is>
          <t>La verificación documenta el perímetro y la vista panorámica del bloque, no su interior. Los parámetros que exigen recorrido interno se consignan «Por determinar».</t>
        </is>
      </c>
    </row>
    <row r="17" ht="48" customHeight="1">
      <c r="A17" s="35" t="inlineStr">
        <is>
          <t>D-08</t>
        </is>
      </c>
      <c r="B17" s="35" t="inlineStr">
        <is>
          <t>Centro poblado asociado</t>
        </is>
      </c>
      <c r="C17" s="35" t="inlineStr">
        <is>
          <t>La ficha DT declara «San Antonio de Succhirca / La Rinconada»; el cruce INEI-Bloques V5 identifica 2 centro(s) poblado(s) en el bloque: LA RINCONADA, SAN ANTONIO DE SUCCHIRCA</t>
        </is>
      </c>
      <c r="D17" s="36" t="inlineStr">
        <is>
          <t>CONFORME</t>
        </is>
      </c>
      <c r="E17" s="35" t="inlineStr">
        <is>
          <t>Se conserva el registro de campo como referencia y se adopta el listado INEI para el diagnóstico social y el cálculo de población beneficiaria.</t>
        </is>
      </c>
    </row>
    <row r="18" ht="48" customHeight="1">
      <c r="A18" s="33" t="inlineStr">
        <is>
          <t>D-09</t>
        </is>
      </c>
      <c r="B18" s="33" t="inlineStr">
        <is>
          <t>Peligro integrado (MCA-AHP)</t>
        </is>
      </c>
      <c r="C18" s="33" t="inlineStr">
        <is>
          <t>El nivel de peligro integrado no está disponible en los insumos de este entregable</t>
        </is>
      </c>
      <c r="D18" s="34" t="inlineStr">
        <is>
          <t>SUSTANTIVA</t>
        </is>
      </c>
      <c r="E18" s="33" t="inlineStr">
        <is>
          <t>Debe tomarse del modelamiento de mesolocalización (PMM + EPH + PGI ponderados por AHP) antes de fijar la prioridad definitiva de intervención del bloque.</t>
        </is>
      </c>
    </row>
    <row r="20">
      <c r="A20" s="16" t="inlineStr">
        <is>
          <t>RESUMEN</t>
        </is>
      </c>
      <c r="B20" s="17" t="inlineStr">
        <is>
          <t>9 verificaciones</t>
        </is>
      </c>
      <c r="C20" s="17" t="inlineStr">
        <is>
          <t>CONFORME: 3 · NO SUSTANTIVA: 2 · SUSTANTIVA: 4</t>
        </is>
      </c>
      <c r="D20" s="17" t="inlineStr"/>
      <c r="E20" s="17" t="inlineStr"/>
    </row>
    <row r="22" ht="60" customHeight="1">
      <c r="A2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1:E1"/>
    <mergeCell ref="A5:E5"/>
    <mergeCell ref="A8:E8"/>
    <mergeCell ref="A6:E6"/>
    <mergeCell ref="A22:E22"/>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4 — IN Piura</dc:title>
  <dc:subject>Diagnóstico Territorial por bloque de intervención</dc:subject>
  <dcterms:created xsi:type="dcterms:W3CDTF">2026-09-08T02:45:03Z</dcterms:created>
  <dcterms:modified xsi:type="dcterms:W3CDTF">2026-09-08T02:45:03Z</dcterms:modified>
</cp:coreProperties>
</file>