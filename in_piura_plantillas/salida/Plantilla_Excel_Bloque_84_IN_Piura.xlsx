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84</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 (Miguelpampa)</t>
        </is>
      </c>
      <c r="C13" s="6" t="inlineStr">
        <is>
          <t>Comunidad campesina</t>
        </is>
      </c>
      <c r="D13" s="7" t="inlineStr">
        <is>
          <t>POR VERIFICAR — no consignada</t>
        </is>
      </c>
      <c r="E13" s="8" t="n"/>
      <c r="F13" s="8" t="n"/>
    </row>
    <row r="14">
      <c r="A14" s="6" t="inlineStr">
        <is>
          <t>Superficie de catálogo (V5/V6), ha</t>
        </is>
      </c>
      <c r="B14" s="7" t="n">
        <v>5.097</v>
      </c>
      <c r="C14" s="6" t="inlineStr">
        <is>
          <t>Fuente de superficie</t>
        </is>
      </c>
      <c r="D14" s="7" t="inlineStr">
        <is>
          <t>Catálogo maestro Bloques V5/V6</t>
        </is>
      </c>
      <c r="E14" s="8" t="n"/>
      <c r="F14" s="8" t="n"/>
    </row>
    <row r="15">
      <c r="A15" s="6" t="inlineStr">
        <is>
          <t>Centroide UTM ESTE (m)</t>
        </is>
      </c>
      <c r="B15" s="7" t="n">
        <v>640237</v>
      </c>
      <c r="C15" s="6" t="inlineStr">
        <is>
          <t>Centroide UTM NORTE (m)</t>
        </is>
      </c>
      <c r="D15" s="7" t="n">
        <v>9410714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0.2516</v>
      </c>
      <c r="C28" s="6" t="inlineStr">
        <is>
          <t>MSAVI 2024 — clase de la media</t>
        </is>
      </c>
      <c r="D28" s="7" t="inlineStr">
        <is>
          <t>&lt;= 0.2650 (Suelo desnudo / no vegetal)</t>
        </is>
      </c>
      <c r="E28" s="8" t="n"/>
      <c r="F28" s="8" t="n"/>
    </row>
    <row r="29">
      <c r="A29" s="6" t="inlineStr">
        <is>
          <t>Condición frente al umbral 0.4976</t>
        </is>
      </c>
      <c r="B29" s="7" t="inlineStr">
        <is>
          <t>BAJO umbral 0.4976</t>
        </is>
      </c>
      <c r="C29" s="6" t="inlineStr">
        <is>
          <t>NDVI mediana 2025 — clase modal</t>
        </is>
      </c>
      <c r="D29" s="7" t="inlineStr">
        <is>
          <t>Vegetación ligera (78.09 %)</t>
        </is>
      </c>
      <c r="E29" s="8" t="n"/>
      <c r="F29" s="8" t="n"/>
    </row>
    <row r="30">
      <c r="A30" s="6" t="inlineStr">
        <is>
          <t>Superficie clasificada NDVI 2025 (ha)</t>
        </is>
      </c>
      <c r="B30" s="7" t="n">
        <v>5.099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 — asignación POR VERIFICAR</t>
        </is>
      </c>
      <c r="C33" s="6" t="inlineStr">
        <is>
          <t>Superficie de ecosistema (ha)</t>
        </is>
      </c>
      <c r="D33" s="7" t="inlineStr">
        <is>
          <t>5.099 ha (100% del bloque)</t>
        </is>
      </c>
      <c r="E33" s="8" t="n"/>
      <c r="F33" s="8" t="n"/>
    </row>
    <row r="34">
      <c r="A34" s="6" t="inlineStr">
        <is>
          <t>Estado de conservación</t>
        </is>
      </c>
      <c r="B34" s="7" t="inlineStr">
        <is>
          <t>Muy alterado / Degradado</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n">
        <v>11</v>
      </c>
      <c r="E35" s="8" t="n"/>
      <c r="F35" s="8" t="n"/>
    </row>
    <row r="36">
      <c r="A36" s="6" t="inlineStr">
        <is>
          <t>Suelo desnudo — campo (%)</t>
        </is>
      </c>
      <c r="B36" s="7" t="n">
        <v>77</v>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inlineStr">
        <is>
          <t>No inventariadas</t>
        </is>
      </c>
      <c r="E37" s="8" t="n"/>
      <c r="F37" s="8" t="n"/>
    </row>
    <row r="38">
      <c r="A38" s="6" t="inlineStr">
        <is>
          <t>Elenco florístico (n.° de taxones)</t>
        </is>
      </c>
      <c r="B38" s="7" t="n">
        <v>15</v>
      </c>
      <c r="C38" s="6" t="inlineStr">
        <is>
          <t>Estado sanitario</t>
        </is>
      </c>
      <c r="D38" s="7" t="inlineStr">
        <is>
          <t>Sin consignar (sin mediciones)</t>
        </is>
      </c>
      <c r="E38" s="8" t="n"/>
      <c r="F38" s="8" t="n"/>
    </row>
    <row r="40" ht="18" customHeight="1">
      <c r="A40" s="5" t="inlineStr">
        <is>
          <t>5. RESPONSABLE Y MODALIDAD DE LA EVALUACIÓN</t>
        </is>
      </c>
    </row>
    <row r="41">
      <c r="A41" s="6" t="inlineStr">
        <is>
          <t>Responsable de la evaluación</t>
        </is>
      </c>
      <c r="B41" s="7" t="inlineStr">
        <is>
          <t>Ing. Héctor Salomón Cahuas Miller — SESDI</t>
        </is>
      </c>
      <c r="C41" s="6" t="inlineStr">
        <is>
          <t>Fecha de evaluación</t>
        </is>
      </c>
      <c r="D41" s="7" t="inlineStr">
        <is>
          <t>2026-08-14</t>
        </is>
      </c>
      <c r="E41" s="8" t="n"/>
      <c r="F41" s="8" t="n"/>
    </row>
    <row r="42">
      <c r="A42" s="6" t="inlineStr">
        <is>
          <t>Hora de registro</t>
        </is>
      </c>
      <c r="B42" s="7" t="inlineStr">
        <is>
          <t>10:36 h</t>
        </is>
      </c>
      <c r="C42" s="6" t="inlineStr">
        <is>
          <t>Correlativo de ficha</t>
        </is>
      </c>
      <c r="D42" s="7" t="inlineStr">
        <is>
          <t>F-DT-B84-01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fotointerpretación de ortofoto RPA</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Ausencia de régimen de manejo del pastoreo comunal, agravada por la ocupación efectiva del bloque y de su contorno</t>
        </is>
      </c>
      <c r="C48" s="6" t="inlineStr">
        <is>
          <t>Velocidad de degradación</t>
        </is>
      </c>
      <c r="D48" s="7" t="inlineStr">
        <is>
          <t>SIN CONSIGNAR — no se dispone de la serie Theil-Sen (TAU) ni de MSAVI multianual para el bloque</t>
        </is>
      </c>
      <c r="E48" s="8" t="n"/>
      <c r="F48" s="8" t="n"/>
    </row>
    <row r="49">
      <c r="A49" s="6" t="inlineStr">
        <is>
          <t>Reversibilidad técnica</t>
        </is>
      </c>
      <c r="B49" s="7" t="inlineStr">
        <is>
          <t>Difícilmente reversible</t>
        </is>
      </c>
      <c r="C49" s="6" t="inlineStr">
        <is>
          <t>Urgencia de intervención</t>
        </is>
      </c>
      <c r="D49" s="7" t="inlineStr">
        <is>
          <t>Crítica</t>
        </is>
      </c>
      <c r="E49" s="8" t="n"/>
      <c r="F49" s="8" t="n"/>
    </row>
    <row r="50">
      <c r="A50" s="6" t="inlineStr">
        <is>
          <t>Urgencia de control de erosión</t>
        </is>
      </c>
      <c r="B50" s="7" t="inlineStr">
        <is>
          <t>Crítica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14"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0.251596</v>
      </c>
      <c r="C15" s="17" t="inlineStr">
        <is>
          <t>—</t>
        </is>
      </c>
      <c r="D15" s="17" t="inlineStr">
        <is>
          <t>Suelo desnudo / no vegetal · clase &lt;= 0.2650</t>
        </is>
      </c>
      <c r="E15" s="17" t="inlineStr">
        <is>
          <t>BAJO umbral 0.4976</t>
        </is>
      </c>
    </row>
    <row r="17" ht="72" customHeight="1">
      <c r="A17" s="9" t="inlineStr">
        <is>
          <t>NOTA METODOLÓGICA. La media del MSAVI 2024 del bloque (0.251596)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mediana</t>
        </is>
      </c>
      <c r="B21" s="18" t="n">
        <v>0.0693</v>
      </c>
      <c r="C21" s="19" t="n">
        <v>1.36</v>
      </c>
      <c r="D21" s="11" t="inlineStr">
        <is>
          <t>Pastizal cultivado, matorral ralo, parcelas agrícolas</t>
        </is>
      </c>
      <c r="E21" s="11" t="inlineStr"/>
    </row>
    <row r="22">
      <c r="A22" s="12" t="inlineStr">
        <is>
          <t>Vegetación ligera</t>
        </is>
      </c>
      <c r="B22" s="20" t="n">
        <v>3.9816</v>
      </c>
      <c r="C22" s="21" t="n">
        <v>78.09</v>
      </c>
      <c r="D22" s="13" t="inlineStr">
        <is>
          <t>Cobertura discontinua, suelo parcialmente expuesto</t>
        </is>
      </c>
      <c r="E22" s="13" t="inlineStr"/>
    </row>
    <row r="23">
      <c r="A23" s="7" t="inlineStr">
        <is>
          <t>Tierra desnuda</t>
        </is>
      </c>
      <c r="B23" s="18" t="n">
        <v>1.0478</v>
      </c>
      <c r="C23" s="19" t="n">
        <v>20.55</v>
      </c>
      <c r="D23" s="11" t="inlineStr">
        <is>
          <t>Suelo desnudo, afloramientos, plataformas y taludes</t>
        </is>
      </c>
      <c r="E23" s="11" t="inlineStr"/>
    </row>
    <row r="24">
      <c r="A24" s="16" t="inlineStr">
        <is>
          <t>TOTAL CLASIFICADO</t>
        </is>
      </c>
      <c r="B24" s="22">
        <f>SUM(B21:B23)</f>
        <v/>
      </c>
      <c r="C24" s="23">
        <f>SUM(C21:C23)</f>
        <v/>
      </c>
      <c r="D24" s="17" t="inlineStr"/>
      <c r="E24" s="17" t="inlineStr"/>
    </row>
    <row r="25">
      <c r="A25" s="24" t="inlineStr">
        <is>
          <t>Superficie de catálogo (V5/V6)</t>
        </is>
      </c>
      <c r="B25" s="25" t="n">
        <v>5.097</v>
      </c>
      <c r="C25" s="25" t="inlineStr">
        <is>
          <t>—</t>
        </is>
      </c>
      <c r="D25" s="25" t="inlineStr">
        <is>
          <t>Desviación planimétrica frente al catálogo</t>
        </is>
      </c>
      <c r="E25" s="25" t="inlineStr">
        <is>
          <t>+0.03 %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11 % frente a un 0.00 % del polígono clasificado como «Vegetación alta» por el NDVI 2025; la observación de campo corresponde a una parcela o recorrido puntual y no es estadísticamente representativa de las 5.097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84</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640174</v>
      </c>
      <c r="D10" s="26" t="n">
        <v>9410693</v>
      </c>
      <c r="E10" s="11" t="n">
        <v>66.40000000000001</v>
      </c>
      <c r="F10" s="11" t="inlineStr"/>
      <c r="G10" s="11" t="inlineStr">
        <is>
          <t>Coordenada consignada en F-DT-01</t>
        </is>
      </c>
    </row>
    <row r="11">
      <c r="A11" s="12" t="inlineStr">
        <is>
          <t>H-01</t>
        </is>
      </c>
      <c r="B11" s="13" t="inlineStr">
        <is>
          <t>Fuente de agua — Río</t>
        </is>
      </c>
      <c r="C11" s="27" t="n">
        <v>640140</v>
      </c>
      <c r="D11" s="27" t="n">
        <v>9410947</v>
      </c>
      <c r="E11" s="13" t="n">
        <v>252.4</v>
      </c>
      <c r="F11" s="13" t="inlineStr">
        <is>
          <t>Permanente</t>
        </is>
      </c>
      <c r="G11" s="13" t="inlineStr">
        <is>
          <t>Cauce principal que limita el bloque por el norte</t>
        </is>
      </c>
    </row>
    <row r="12">
      <c r="A12" s="7" t="inlineStr">
        <is>
          <t>H-02</t>
        </is>
      </c>
      <c r="B12" s="11" t="inlineStr">
        <is>
          <t>Fuente de agua — Quebrada estacional</t>
        </is>
      </c>
      <c r="C12" s="26" t="n">
        <v>640174</v>
      </c>
      <c r="D12" s="26" t="n">
        <v>9410693</v>
      </c>
      <c r="E12" s="11" t="n">
        <v>66.40000000000001</v>
      </c>
      <c r="F12" s="11" t="inlineStr">
        <is>
          <t>Estacional</t>
        </is>
      </c>
      <c r="G12" s="11" t="inlineStr">
        <is>
          <t>Cauce interior con incisión</t>
        </is>
      </c>
    </row>
    <row r="13">
      <c r="A13" s="12" t="inlineStr">
        <is>
          <t>H-03</t>
        </is>
      </c>
      <c r="B13" s="13" t="inlineStr">
        <is>
          <t>Fuente de agua — Quebrada estacional</t>
        </is>
      </c>
      <c r="C13" s="27" t="n">
        <v>640361</v>
      </c>
      <c r="D13" s="27" t="n">
        <v>9410542</v>
      </c>
      <c r="E13" s="13" t="n">
        <v>212</v>
      </c>
      <c r="F13" s="13" t="inlineStr">
        <is>
          <t>Estacional</t>
        </is>
      </c>
      <c r="G13" s="13" t="inlineStr">
        <is>
          <t>Cauce del flanco suroriental</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640237</v>
      </c>
      <c r="C16" s="6" t="inlineStr">
        <is>
          <t>Centroide del bloque — UTM NORTE (m)</t>
        </is>
      </c>
      <c r="D16" s="7" t="n">
        <v>9410714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32"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NO REGISTRADO EN LOS CATÁLOGOS «Bloques V4» NI «Bloques V5»; procede del REPORTE_BLOQUES_V6 y de la capa «Bloques extras». Registro añadido a la hoja auxiliar exclusivamente para habilitar los VLOOKUP (D-02). CENTROIDE POR RESTITUCIÓN CARTOGRÁFICA (±30 m). ALTITUD GPS SIN CONSIGNAR: la cota EXIF de los fotogramas corresponde a LA AERONAVE y no al terreno (≈230-270 msnm). Rango altitudinal y pendiente REFERENCIALES, derivados de un transecto de 214 m en Google Earth (mín. 232 · media 241 · máx. 253 msnm; pendiente media 9.8%, máxima 37.5%); NO equivalen a estadística zonal del DEM, no disponible para este bloque.</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84</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63</t>
        </is>
      </c>
      <c r="B13" s="29" t="n">
        <v>50.46</v>
      </c>
      <c r="C13" s="21" t="n">
        <v>12.68</v>
      </c>
      <c r="D13" s="13" t="inlineStr">
        <is>
          <t>1508 – 2080</t>
        </is>
      </c>
      <c r="E13" s="13" t="n">
        <v>572</v>
      </c>
      <c r="F13" s="13" t="n">
        <v>35.5</v>
      </c>
      <c r="G13" s="20" t="n">
        <v>0.6036</v>
      </c>
      <c r="H13" s="2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row>
    <row r="16">
      <c r="A16" s="7" t="inlineStr">
        <is>
          <t>77</t>
        </is>
      </c>
      <c r="B16" s="28" t="n">
        <v>17.82</v>
      </c>
      <c r="C16" s="19" t="n">
        <v>4.48</v>
      </c>
      <c r="D16" s="11" t="inlineStr">
        <is>
          <t>242 – 346</t>
        </is>
      </c>
      <c r="E16" s="11" t="n">
        <v>104</v>
      </c>
      <c r="F16" s="11" t="n">
        <v>13.71</v>
      </c>
      <c r="G16" s="18" t="n">
        <v>0.2725</v>
      </c>
      <c r="H16" s="19" t="n">
        <v>0.11</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row>
    <row r="18">
      <c r="A18" s="14" t="inlineStr">
        <is>
          <t>► 84</t>
        </is>
      </c>
      <c r="B18" s="30" t="n">
        <v>5.097</v>
      </c>
      <c r="C18" s="31" t="n">
        <v>1.28</v>
      </c>
      <c r="D18" s="15" t="inlineStr">
        <is>
          <t>Por determinar</t>
        </is>
      </c>
      <c r="E18" s="15" t="inlineStr">
        <is>
          <t>Por determinar</t>
        </is>
      </c>
      <c r="F18" s="15" t="inlineStr">
        <is>
          <t>Por determinar</t>
        </is>
      </c>
      <c r="G18" s="32" t="n">
        <v>0.2516</v>
      </c>
      <c r="H18" s="31"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row>
    <row r="22" ht="48" customHeight="1">
      <c r="A22" s="9" t="inlineStr">
        <is>
          <t>LECTURA INTRAMICROCUENCA. El bloque 84 ocupa el puesto 9 de 9 por superficie dentro de la microcuenca C1081-Q9583 (1.28 % de las 398.04 ha preliminares de la microcuenca).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66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(5.099 ha) coincide con la de catálogo (5.097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«8-15% (Mod.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11 % de cobertura vegetal en campo; el NDVI mediana 2025 clasifica 79.45 %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D-02: bloque NO registrado en «Bloques V4» ni «Bloques V5»; procede del REPORTE_BLOQUES_V6 y de «Bloques extras»</t>
        </is>
      </c>
      <c r="D17" s="37" t="inlineStr">
        <is>
          <t>SUSTANTIVA</t>
        </is>
      </c>
      <c r="E17" s="36" t="inlineStr">
        <is>
          <t>Regularizar en el catálogo maestro</t>
        </is>
      </c>
    </row>
    <row r="18" ht="48" customHeight="1">
      <c r="A18" s="34" t="inlineStr">
        <is>
          <t>D-09</t>
        </is>
      </c>
      <c r="B18" s="34" t="inlineStr">
        <is>
          <t>F-DT-01</t>
        </is>
      </c>
      <c r="C18" s="34" t="inlineStr">
        <is>
          <t>Centroide por restitución cartográfica (±30 m); altitud GPS sin consignar (la cota EXIF es de la aeronave)</t>
        </is>
      </c>
      <c r="D18" s="37" t="inlineStr">
        <is>
          <t>SUSTANTIVA</t>
        </is>
      </c>
      <c r="E18" s="34" t="inlineStr">
        <is>
          <t>Georreferencia y altitud por levantar</t>
        </is>
      </c>
    </row>
    <row r="19" ht="48" customHeight="1">
      <c r="A19" s="36" t="inlineStr">
        <is>
          <t>D-10</t>
        </is>
      </c>
      <c r="B19" s="36" t="inlineStr">
        <is>
          <t>F-DT-01</t>
        </is>
      </c>
      <c r="C19" s="36" t="inlineStr">
        <is>
          <t>Rango altitudinal y pendiente referenciales de transecto Google Earth; sin estadística zonal del DEM</t>
        </is>
      </c>
      <c r="D19" s="37" t="inlineStr">
        <is>
          <t>SUSTANTIVA</t>
        </is>
      </c>
      <c r="E19" s="36" t="inlineStr">
        <is>
          <t>Calcular estadística zonal del MDE</t>
        </is>
      </c>
    </row>
    <row r="20" ht="48" customHeight="1">
      <c r="A20" s="34" t="inlineStr">
        <is>
          <t>D-11</t>
        </is>
      </c>
      <c r="B20" s="34" t="inlineStr">
        <is>
          <t>F-DT-02</t>
        </is>
      </c>
      <c r="C20" s="34" t="inlineStr">
        <is>
          <t>Inventario georreferenciado de cárcavas no ejecutado pese a calificar la erosión como Fuerte y la urgencia como Crítica</t>
        </is>
      </c>
      <c r="D20" s="37" t="inlineStr">
        <is>
          <t>SUSTANTIVA</t>
        </is>
      </c>
      <c r="E20" s="34" t="inlineStr">
        <is>
          <t>Levantamiento prioritario</t>
        </is>
      </c>
    </row>
    <row r="21" ht="48" customHeight="1">
      <c r="A21" s="36" t="inlineStr">
        <is>
          <t>D-12</t>
        </is>
      </c>
      <c r="B21" s="36" t="inlineStr">
        <is>
          <t>F-DT-03</t>
        </is>
      </c>
      <c r="C21" s="36" t="inlineStr">
        <is>
          <t>Las 15 especies se REPLICAN de los bloques 85, 86 y 87; no hay muestreo propio del bloque 84</t>
        </is>
      </c>
      <c r="D21" s="37" t="inlineStr">
        <is>
          <t>SUSTANTIVA</t>
        </is>
      </c>
      <c r="E21" s="36" t="inlineStr">
        <is>
          <t>No constituye inventario del bloque</t>
        </is>
      </c>
    </row>
    <row r="22" ht="48" customHeight="1">
      <c r="A22" s="34" t="inlineStr">
        <is>
          <t>D-13</t>
        </is>
      </c>
      <c r="B22" s="34" t="inlineStr">
        <is>
          <t>F-DT-04</t>
        </is>
      </c>
      <c r="C22" s="34" t="inlineStr">
        <is>
          <t>Velocidad de degradación sin consignar (falta serie TAU y MSAVI multianual)</t>
        </is>
      </c>
      <c r="D22" s="37" t="inlineStr">
        <is>
          <t>SUSTANTIVA</t>
        </is>
      </c>
      <c r="E22" s="34" t="inlineStr">
        <is>
          <t>Procesar serie temporal</t>
        </is>
      </c>
    </row>
    <row r="23" ht="48" customHeight="1">
      <c r="A23" s="36" t="inlineStr">
        <is>
          <t>D-14</t>
        </is>
      </c>
      <c r="B23" s="36" t="inlineStr">
        <is>
          <t>F-DT-05</t>
        </is>
      </c>
      <c r="C23" s="36" t="inlineStr">
        <is>
          <t>Viviendas, corrales, cercos de piedra y terrazas de cultivo en el borde y posiblemente DENTRO del polígono</t>
        </is>
      </c>
      <c r="D23" s="37" t="inlineStr">
        <is>
          <t>SUSTANTIVA</t>
        </is>
      </c>
      <c r="E23" s="36" t="inlineStr">
        <is>
          <t>Elevado a la Subdirección: redelimitación y tamizaje predial previos al Expediente de Liberación de Áreas</t>
        </is>
      </c>
    </row>
    <row r="24" ht="48" customHeight="1">
      <c r="A24" s="34" t="inlineStr">
        <is>
          <t>D-15</t>
        </is>
      </c>
      <c r="B24" s="34" t="inlineStr">
        <is>
          <t>F-DT-05</t>
        </is>
      </c>
      <c r="C24" s="34" t="inlineStr">
        <is>
          <t>Coordenadas de las fuentes = centro del fotograma, no punto exacto de la fuente</t>
        </is>
      </c>
      <c r="D24" s="15" t="inlineStr">
        <is>
          <t>NO SUSTANTIVA</t>
        </is>
      </c>
      <c r="E24" s="34" t="inlineStr">
        <is>
          <t>Relevar con GPS</t>
        </is>
      </c>
    </row>
    <row r="26">
      <c r="A26" s="16" t="inlineStr">
        <is>
          <t>RESUMEN</t>
        </is>
      </c>
      <c r="B26" s="17" t="inlineStr">
        <is>
          <t>15 verificaciones</t>
        </is>
      </c>
      <c r="C26" s="17" t="inlineStr">
        <is>
          <t>CONFORME: 3 · NO SUSTANTIVA: 3 · SUSTANTIVA: 9</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84 — IN Piura</dc:title>
  <dc:subject>Diagnóstico Territorial por bloque de intervención</dc:subject>
  <dcterms:created xsi:type="dcterms:W3CDTF">2026-09-08T03:39:59Z</dcterms:created>
  <dcterms:modified xsi:type="dcterms:W3CDTF">2026-09-08T03:39:59Z</dcterms:modified>
</cp:coreProperties>
</file>