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M6B10</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M6B10</t>
        </is>
      </c>
      <c r="C9" s="6" t="inlineStr">
        <is>
          <t>Microcuenca (catálogo)</t>
        </is>
      </c>
      <c r="D9" s="7" t="inlineStr">
        <is>
          <t>C1077-Q9566</t>
        </is>
      </c>
      <c r="E9" s="8" t="n"/>
      <c r="F9" s="8" t="n"/>
    </row>
    <row r="10">
      <c r="A10" s="6" t="inlineStr">
        <is>
          <t>Zona de planificación</t>
        </is>
      </c>
      <c r="B10" s="7" t="inlineStr">
        <is>
          <t>Z06</t>
        </is>
      </c>
      <c r="C10" s="6" t="inlineStr">
        <is>
          <t>Microcuenca declarada en ficha DT</t>
        </is>
      </c>
      <c r="D10" s="7" t="inlineStr">
        <is>
          <t>C1077-Q9566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Caserío La Pilca</t>
        </is>
      </c>
      <c r="C13" s="6" t="inlineStr">
        <is>
          <t>Comunidad campesina</t>
        </is>
      </c>
      <c r="D13" s="7" t="inlineStr">
        <is>
          <t>No aplica / por confirmar con autoridades locales</t>
        </is>
      </c>
      <c r="E13" s="8" t="n"/>
      <c r="F13" s="8" t="n"/>
    </row>
    <row r="14">
      <c r="A14" s="6" t="inlineStr">
        <is>
          <t>Superficie de catálogo (V5/V6), ha</t>
        </is>
      </c>
      <c r="B14" s="7" t="n">
        <v>249.89</v>
      </c>
      <c r="C14" s="6" t="inlineStr">
        <is>
          <t>Fuente de superficie</t>
        </is>
      </c>
      <c r="D14" s="7" t="inlineStr">
        <is>
          <t>Catálogo maestro Bloques V5/V6</t>
        </is>
      </c>
      <c r="E14" s="8" t="n"/>
      <c r="F14" s="8" t="n"/>
    </row>
    <row r="15">
      <c r="A15" s="6" t="inlineStr">
        <is>
          <t>Centroide UTM ESTE (m)</t>
        </is>
      </c>
      <c r="B15" s="7" t="n">
        <v>618299</v>
      </c>
      <c r="C15" s="6" t="inlineStr">
        <is>
          <t>Centroide UTM NORTE (m)</t>
        </is>
      </c>
      <c r="D15" s="7" t="n">
        <v>9423119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158</v>
      </c>
      <c r="C19" s="6" t="inlineStr">
        <is>
          <t>Altitud máxima (msnm)</t>
        </is>
      </c>
      <c r="D19" s="7" t="n">
        <v>537</v>
      </c>
      <c r="E19" s="8" t="n"/>
      <c r="F19" s="8" t="n"/>
    </row>
    <row r="20">
      <c r="A20" s="6" t="inlineStr">
        <is>
          <t>Amplitud altitudinal (m)</t>
        </is>
      </c>
      <c r="B20" s="7" t="n">
        <v>379</v>
      </c>
      <c r="C20" s="6" t="inlineStr">
        <is>
          <t>Piso altitudinal dominante</t>
        </is>
      </c>
      <c r="D20" s="7" t="inlineStr">
        <is>
          <t>&lt;1000 m (Yunga)</t>
        </is>
      </c>
      <c r="E20" s="8" t="n"/>
      <c r="F20" s="8" t="n"/>
    </row>
    <row r="21">
      <c r="A21" s="6" t="inlineStr">
        <is>
          <t>Pendiente promedio (%)</t>
        </is>
      </c>
      <c r="B21" s="7" t="n">
        <v>20.6</v>
      </c>
      <c r="C21" s="6" t="inlineStr">
        <is>
          <t>Pendiente promedio (grados)</t>
        </is>
      </c>
      <c r="D21" s="7" t="n">
        <v>11.6</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0.3099</v>
      </c>
      <c r="C28" s="6" t="inlineStr">
        <is>
          <t>MSAVI 2024 — clase de la media</t>
        </is>
      </c>
      <c r="D28" s="7" t="inlineStr">
        <is>
          <t>0.2650 - 0.3813 (Vigor muy bajo)</t>
        </is>
      </c>
      <c r="E28" s="8" t="n"/>
      <c r="F28" s="8" t="n"/>
    </row>
    <row r="29">
      <c r="A29" s="6" t="inlineStr">
        <is>
          <t>Condición frente al umbral 0.4976</t>
        </is>
      </c>
      <c r="B29" s="7" t="inlineStr">
        <is>
          <t>Bajo umbral · distribución areal: 99.84 % del bloque BAJO el umbral (249.490 ha de 249.890 ha)</t>
        </is>
      </c>
      <c r="C29" s="6" t="inlineStr">
        <is>
          <t>NDVI mediana 2025 — clase modal</t>
        </is>
      </c>
      <c r="D29" s="7" t="inlineStr">
        <is>
          <t>Vegetación ligera (56.95 %)</t>
        </is>
      </c>
      <c r="E29" s="8" t="n"/>
      <c r="F29" s="8" t="n"/>
    </row>
    <row r="30">
      <c r="A30" s="6" t="inlineStr">
        <is>
          <t>MSAVI 2024 — superficie BAJO el umbral 0.4976 (ha)</t>
        </is>
      </c>
      <c r="B30" s="7" t="n">
        <v>249.49</v>
      </c>
      <c r="C30" s="6" t="inlineStr">
        <is>
          <t>MSAVI 2024 — % del bloque BAJO el umbral</t>
        </is>
      </c>
      <c r="D30" s="7" t="n">
        <v>99.84</v>
      </c>
      <c r="E30" s="8" t="n"/>
      <c r="F30" s="8" t="n"/>
    </row>
    <row r="31">
      <c r="A31" s="6" t="inlineStr">
        <is>
          <t>MSAVI 2024 — clase areal dominante</t>
        </is>
      </c>
      <c r="B31" s="7" t="inlineStr">
        <is>
          <t>Vigor muy bajo</t>
        </is>
      </c>
      <c r="C31" s="6" t="inlineStr">
        <is>
          <t>MSAVI 2024 — fuente de la distribución areal</t>
        </is>
      </c>
      <c r="D31" s="7" t="inlineStr">
        <is>
          <t>Conteo de celdas sobre la cartografía MSAVI 2024 del bloque (MSAVI M6B10.png)</t>
        </is>
      </c>
      <c r="E31" s="8" t="n"/>
      <c r="F31" s="8" t="n"/>
    </row>
    <row r="32" ht="18" customHeight="1">
      <c r="A32" s="6" t="inlineStr">
        <is>
          <t>Superficie clasificada NDVI 2025 (ha)</t>
        </is>
      </c>
      <c r="B32" s="7" t="n">
        <v>250.004</v>
      </c>
      <c r="C32" s="6" t="inlineStr">
        <is>
          <t>Desviación frente al catálogo (%)</t>
        </is>
      </c>
      <c r="D32" s="7" t="n">
        <v>0.05</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≈200 ha (de 249.89 ha del bloque)</t>
        </is>
      </c>
      <c r="E35" s="8" t="n"/>
      <c r="F35" s="8" t="n"/>
    </row>
    <row r="36">
      <c r="A36" s="6" t="inlineStr">
        <is>
          <t>Estado de conservación</t>
        </is>
      </c>
      <c r="B36" s="7" t="inlineStr">
        <is>
          <t>Medianamente alterado</t>
        </is>
      </c>
      <c r="C36" s="6" t="inlineStr">
        <is>
          <t>Uso actual dominante del suelo</t>
        </is>
      </c>
      <c r="D36" s="7" t="inlineStr">
        <is>
          <t>Forestal de protección</t>
        </is>
      </c>
      <c r="E36" s="8" t="n"/>
      <c r="F36" s="8" t="n"/>
    </row>
    <row r="37">
      <c r="A37" s="6" t="inlineStr">
        <is>
          <t>Tipo de cobertura dominante</t>
        </is>
      </c>
      <c r="B37" s="7" t="inlineStr">
        <is>
          <t>Matorral ralo</t>
        </is>
      </c>
      <c r="C37" s="6" t="inlineStr">
        <is>
          <t>Cobertura vegetal total — campo (%)</t>
        </is>
      </c>
      <c r="D37" s="7" t="n">
        <v>30</v>
      </c>
      <c r="E37" s="8" t="n"/>
      <c r="F37" s="8" t="n"/>
    </row>
    <row r="38">
      <c r="A38" s="6" t="inlineStr">
        <is>
          <t>Suelo desnudo — campo (%)</t>
        </is>
      </c>
      <c r="B38" s="7" t="n">
        <v>30</v>
      </c>
      <c r="C38" s="6" t="inlineStr">
        <is>
          <t>Regeneración natural</t>
        </is>
      </c>
      <c r="D38" s="7" t="inlineStr">
        <is>
          <t>Escasa (&lt;10 pl./100m²)</t>
        </is>
      </c>
      <c r="E38" s="8" t="n"/>
      <c r="F38" s="8" t="n"/>
    </row>
    <row r="39">
      <c r="A39" s="6" t="inlineStr">
        <is>
          <t>Nivel general de erosión</t>
        </is>
      </c>
      <c r="B39" s="7" t="inlineStr">
        <is>
          <t>Moderada (surcos)</t>
        </is>
      </c>
      <c r="C39" s="6" t="inlineStr">
        <is>
          <t>N.° de cárcavas registradas</t>
        </is>
      </c>
      <c r="D39" s="7" t="inlineStr">
        <is>
          <t>Inventario preliminar (no consignado el número)</t>
        </is>
      </c>
      <c r="E39" s="8" t="n"/>
      <c r="F39" s="8" t="n"/>
    </row>
    <row r="40" ht="18" customHeight="1">
      <c r="A40" s="6" t="inlineStr">
        <is>
          <t>Elenco florístico (n.° de taxones)</t>
        </is>
      </c>
      <c r="B40" s="7" t="n">
        <v>13</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 S. Cahuas Miller / Ing. J.C. Domínguez Varas</t>
        </is>
      </c>
      <c r="C43" s="6" t="inlineStr">
        <is>
          <t>Fecha de evaluación</t>
        </is>
      </c>
      <c r="D43" s="7" t="inlineStr">
        <is>
          <t>2026-05-13</t>
        </is>
      </c>
      <c r="E43" s="8" t="n"/>
      <c r="F43" s="8" t="n"/>
    </row>
    <row r="44">
      <c r="A44" s="6" t="inlineStr">
        <is>
          <t>Hora de registro</t>
        </is>
      </c>
      <c r="B44" s="7" t="inlineStr">
        <is>
          <t>08:00 - 10:00 h</t>
        </is>
      </c>
      <c r="C44" s="6" t="inlineStr">
        <is>
          <t>Correlativo de ficha</t>
        </is>
      </c>
      <c r="D44" s="7" t="inlineStr">
        <is>
          <t>F-DT-01-M6B10-001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P-01 (cara oeste, ladera media)</t>
        </is>
      </c>
      <c r="E46" s="8" t="n"/>
      <c r="F46" s="8" t="n"/>
    </row>
    <row r="47" ht="18" customHeight="1">
      <c r="A47" s="6" t="inlineStr">
        <is>
          <t>Estaciones fotográficas georreferenciadas</t>
        </is>
      </c>
      <c r="B47" s="7" t="n">
        <v>0</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Pobreza rural + ausencia de alternativas económicas locales + débil gobernanza forestal y debilitada presencia institucional</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Alta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9" t="n"/>
      <c r="C56" s="39" t="n"/>
      <c r="D56" s="39" t="n"/>
      <c r="E56" s="39" t="n"/>
      <c r="F56" s="40"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M6B10</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v>
      </c>
      <c r="C10" s="19" t="n">
        <v>0</v>
      </c>
      <c r="D10" s="11" t="inlineStr">
        <is>
          <t>Vigor alto</t>
        </is>
      </c>
      <c r="E10" s="11" t="inlineStr">
        <is>
          <t>Sobre umbral</t>
        </is>
      </c>
    </row>
    <row r="11">
      <c r="A11" s="12" t="inlineStr">
        <is>
          <t>0.4976 - 0.6139</t>
        </is>
      </c>
      <c r="B11" s="20" t="n">
        <v>0.3998</v>
      </c>
      <c r="C11" s="21" t="n">
        <v>0.16</v>
      </c>
      <c r="D11" s="13" t="inlineStr">
        <is>
          <t>Vigor moderado</t>
        </is>
      </c>
      <c r="E11" s="13" t="inlineStr">
        <is>
          <t>Sobre umbral</t>
        </is>
      </c>
    </row>
    <row r="12">
      <c r="A12" s="7" t="inlineStr">
        <is>
          <t>0.3813 - 0.4976</t>
        </is>
      </c>
      <c r="B12" s="18" t="n">
        <v>46.0047</v>
      </c>
      <c r="C12" s="19" t="n">
        <v>18.41</v>
      </c>
      <c r="D12" s="11" t="inlineStr">
        <is>
          <t>Vigor bajo</t>
        </is>
      </c>
      <c r="E12" s="11" t="inlineStr">
        <is>
          <t>BAJO umbral 0.4976</t>
        </is>
      </c>
    </row>
    <row r="13">
      <c r="A13" s="14" t="inlineStr">
        <is>
          <t>0.2650 - 0.3813</t>
        </is>
      </c>
      <c r="B13" s="32" t="n">
        <v>126.8692</v>
      </c>
      <c r="C13" s="31" t="n">
        <v>50.77</v>
      </c>
      <c r="D13" s="15" t="inlineStr">
        <is>
          <t>Vigor muy bajo</t>
        </is>
      </c>
      <c r="E13" s="15" t="inlineStr">
        <is>
          <t>BAJO umbral 0.4976</t>
        </is>
      </c>
    </row>
    <row r="14">
      <c r="A14" s="7" t="inlineStr">
        <is>
          <t>&lt;= 0.2650</t>
        </is>
      </c>
      <c r="B14" s="18" t="n">
        <v>76.6163</v>
      </c>
      <c r="C14" s="19" t="n">
        <v>30.66</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0.30989</v>
      </c>
      <c r="C16" s="17" t="inlineStr">
        <is>
          <t>—</t>
        </is>
      </c>
      <c r="D16" s="17" t="inlineStr">
        <is>
          <t>Vigor muy bajo · clase 0.2650 - 0.3813</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9" t="n"/>
      <c r="C18" s="39" t="n"/>
      <c r="D18" s="39" t="n"/>
      <c r="E18" s="40"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0.2047</v>
      </c>
      <c r="C22" s="19" t="n">
        <v>0.08</v>
      </c>
      <c r="D22" s="11" t="inlineStr">
        <is>
          <t>Dosel continuo, matorral denso o mosaico agroforestal</t>
        </is>
      </c>
      <c r="E22" s="11" t="inlineStr"/>
    </row>
    <row r="23">
      <c r="A23" s="12" t="inlineStr">
        <is>
          <t>Vegetación mediana</t>
        </is>
      </c>
      <c r="B23" s="20" t="n">
        <v>57.3494</v>
      </c>
      <c r="C23" s="21" t="n">
        <v>22.94</v>
      </c>
      <c r="D23" s="13" t="inlineStr">
        <is>
          <t>Pastizal cultivado, matorral ralo, parcelas agrícolas</t>
        </is>
      </c>
      <c r="E23" s="13" t="inlineStr"/>
    </row>
    <row r="24">
      <c r="A24" s="7" t="inlineStr">
        <is>
          <t>Vegetación ligera</t>
        </is>
      </c>
      <c r="B24" s="18" t="n">
        <v>142.3668</v>
      </c>
      <c r="C24" s="19" t="n">
        <v>56.95</v>
      </c>
      <c r="D24" s="11" t="inlineStr">
        <is>
          <t>Cobertura discontinua, suelo parcialmente expuesto</t>
        </is>
      </c>
      <c r="E24" s="11" t="inlineStr"/>
    </row>
    <row r="25">
      <c r="A25" s="12" t="inlineStr">
        <is>
          <t>Tierra desnuda</t>
        </is>
      </c>
      <c r="B25" s="20" t="n">
        <v>50.083</v>
      </c>
      <c r="C25" s="21" t="n">
        <v>20.03</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249.89</v>
      </c>
      <c r="C27" s="25" t="inlineStr">
        <is>
          <t>—</t>
        </is>
      </c>
      <c r="D27" s="25" t="inlineStr">
        <is>
          <t>Desviación planimétrica frente al catálogo</t>
        </is>
      </c>
      <c r="E27" s="25" t="inlineStr">
        <is>
          <t>+0.05 %</t>
        </is>
      </c>
    </row>
    <row r="28" ht="108"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30 % frente a un 0.08 % del polígono clasificado como «Vegetación alta» por el NDVI 2025; la observación de campo corresponde a una parcela o recorrido puntual y no es estadísticamente representativa de las 249.890 ha del bloque.</t>
        </is>
      </c>
      <c r="B29" s="39" t="n"/>
      <c r="C29" s="39" t="n"/>
      <c r="D29" s="39" t="n"/>
      <c r="E29" s="40"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M6B10</t>
        </is>
      </c>
    </row>
    <row r="6" ht="24" customHeight="1">
      <c r="A6" s="4" t="inlineStr">
        <is>
          <t>Levantamiento del 2026-05-13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617140</v>
      </c>
      <c r="D10" s="26" t="n">
        <v>9423015</v>
      </c>
      <c r="E10" s="11" t="n">
        <v>1163.7</v>
      </c>
      <c r="F10" s="11" t="inlineStr"/>
      <c r="G10" s="11" t="inlineStr">
        <is>
          <t>Coordenada consignada en F-DT-01</t>
        </is>
      </c>
    </row>
    <row r="11">
      <c r="A11" s="12" t="inlineStr">
        <is>
          <t>H-01</t>
        </is>
      </c>
      <c r="B11" s="13" t="inlineStr">
        <is>
          <t>Fuente de agua — Quebrada estacional</t>
        </is>
      </c>
      <c r="C11" s="27" t="n">
        <v>617400</v>
      </c>
      <c r="D11" s="27" t="n">
        <v>9423050</v>
      </c>
      <c r="E11" s="13" t="n">
        <v>901.6</v>
      </c>
      <c r="F11" s="13" t="inlineStr">
        <is>
          <t>Estacional</t>
        </is>
      </c>
      <c r="G11" s="13" t="inlineStr">
        <is>
          <t>Quebrada sin nombre que bordea el flanco norte</t>
        </is>
      </c>
    </row>
    <row r="12">
      <c r="A12" s="7" t="inlineStr">
        <is>
          <t>H-02</t>
        </is>
      </c>
      <c r="B12" s="11" t="inlineStr">
        <is>
          <t>Fuente de agua — Río</t>
        </is>
      </c>
      <c r="C12" s="26" t="n">
        <v>618800</v>
      </c>
      <c r="D12" s="26" t="n">
        <v>9422700</v>
      </c>
      <c r="E12" s="11" t="n">
        <v>653.1</v>
      </c>
      <c r="F12" s="11" t="inlineStr">
        <is>
          <t>Permanente</t>
        </is>
      </c>
      <c r="G12" s="11" t="inlineStr">
        <is>
          <t>Río Piura, eje hidrológico regional</t>
        </is>
      </c>
    </row>
    <row r="13">
      <c r="A13" s="12" t="inlineStr">
        <is>
          <t>H-03</t>
        </is>
      </c>
      <c r="B13" s="13" t="inlineStr">
        <is>
          <t>Fuente de agua — Canal de riego</t>
        </is>
      </c>
      <c r="C13" s="27" t="n">
        <v>617050</v>
      </c>
      <c r="D13" s="27" t="n">
        <v>9422850</v>
      </c>
      <c r="E13" s="13" t="n">
        <v>1277.6</v>
      </c>
      <c r="F13" s="13" t="inlineStr">
        <is>
          <t>Permanente</t>
        </is>
      </c>
      <c r="G13" s="13" t="inlineStr">
        <is>
          <t>Canal de riego del sistema del valle</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618299</v>
      </c>
      <c r="C16" s="6" t="inlineStr">
        <is>
          <t>Centroide del bloque — UTM NORTE (m)</t>
        </is>
      </c>
      <c r="D16" s="7" t="n">
        <v>9423119</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32"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CERRO AISLADO enclavado entre la planicie aluvial cultivada del valle del río Piura (SE) y los centros poblados de Pilca, Ingenio (O) y Maravilla (S). TRES UNIDADES FISIOGRÁFICAS INTERNAS: (i) cresta rocosa con afloramientos y vegetación arbustiva-cactácea; (ii) ladera media con bosque seco caducifolio EN MEJOR ESTADO; (iii) pie de monte y bordes de quebrada sin nombre, CON MAYOR PRESIÓN ANTRÓPICA (pastoreo y huellas). Pendientes máximas registradas en Google Earth: 61.4% (cara oeste, sobre Pilca). El acceso se realiza desde la trocha que parte del C.P. La Pilca, tras cruzar la Quebrada sin nombre (punto de ingreso 617 345 E · 9 422 993 N).</t>
        </is>
      </c>
      <c r="B19" s="39" t="n"/>
      <c r="C19" s="39" t="n"/>
      <c r="D19" s="39" t="n"/>
      <c r="E19" s="39" t="n"/>
      <c r="F19" s="39" t="n"/>
      <c r="G19" s="40"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C1077-Q9566 — BLOQUE M6B10</t>
        </is>
      </c>
    </row>
    <row r="6" ht="24" customHeight="1">
      <c r="A6" s="4" t="inlineStr">
        <is>
          <t>Distrito de Buenos Aires · Provincia de Morropon · Comparación de los bloques preliminares de intervención de la misma microcuenca</t>
        </is>
      </c>
    </row>
    <row r="8" ht="18" customHeight="1">
      <c r="A8" s="5" t="inlineStr">
        <is>
          <t>BLOQUES DE LA MICROCUENCA C1077-Q9566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M6B2-1</t>
        </is>
      </c>
      <c r="B10" s="28" t="n">
        <v>514.36</v>
      </c>
      <c r="C10" s="19" t="n">
        <v>33.1</v>
      </c>
      <c r="D10" s="11" t="inlineStr">
        <is>
          <t>181 – 504</t>
        </is>
      </c>
      <c r="E10" s="11" t="n">
        <v>323</v>
      </c>
      <c r="F10" s="11" t="n">
        <v>16.84</v>
      </c>
      <c r="G10" s="18" t="n">
        <v>0.3381</v>
      </c>
      <c r="H10" s="19" t="n">
        <v>0.98</v>
      </c>
    </row>
    <row r="11">
      <c r="A11" s="12" t="inlineStr">
        <is>
          <t>M6B2-2</t>
        </is>
      </c>
      <c r="B11" s="29" t="n">
        <v>333.01</v>
      </c>
      <c r="C11" s="21" t="n">
        <v>21.43</v>
      </c>
      <c r="D11" s="13" t="inlineStr">
        <is>
          <t>195 – 440</t>
        </is>
      </c>
      <c r="E11" s="13" t="n">
        <v>245</v>
      </c>
      <c r="F11" s="13" t="n">
        <v>14.33</v>
      </c>
      <c r="G11" s="20" t="n">
        <v>0.3026</v>
      </c>
      <c r="H11" s="21" t="n">
        <v>0.68</v>
      </c>
    </row>
    <row r="12">
      <c r="A12" s="7" t="inlineStr">
        <is>
          <t>5</t>
        </is>
      </c>
      <c r="B12" s="28" t="n">
        <v>295.73</v>
      </c>
      <c r="C12" s="19" t="n">
        <v>19.03</v>
      </c>
      <c r="D12" s="11" t="inlineStr">
        <is>
          <t>150 – 377</t>
        </is>
      </c>
      <c r="E12" s="11" t="n">
        <v>227</v>
      </c>
      <c r="F12" s="11" t="n">
        <v>18.57</v>
      </c>
      <c r="G12" s="18" t="n">
        <v>0.3394</v>
      </c>
      <c r="H12" s="19" t="n">
        <v>5.59</v>
      </c>
    </row>
    <row r="13">
      <c r="A13" s="14" t="inlineStr">
        <is>
          <t>► M6B10</t>
        </is>
      </c>
      <c r="B13" s="30" t="n">
        <v>249.89</v>
      </c>
      <c r="C13" s="31" t="n">
        <v>16.08</v>
      </c>
      <c r="D13" s="15" t="inlineStr">
        <is>
          <t>158 – 537</t>
        </is>
      </c>
      <c r="E13" s="15" t="n">
        <v>379</v>
      </c>
      <c r="F13" s="15" t="n">
        <v>20.6</v>
      </c>
      <c r="G13" s="32" t="n">
        <v>0.3099</v>
      </c>
      <c r="H13" s="31" t="n">
        <v>0.08</v>
      </c>
    </row>
    <row r="14">
      <c r="A14" s="7" t="inlineStr">
        <is>
          <t>M6B2-3</t>
        </is>
      </c>
      <c r="B14" s="28" t="n">
        <v>160.98</v>
      </c>
      <c r="C14" s="19" t="n">
        <v>10.36</v>
      </c>
      <c r="D14" s="11" t="inlineStr">
        <is>
          <t>166 – 557</t>
        </is>
      </c>
      <c r="E14" s="11" t="n">
        <v>391</v>
      </c>
      <c r="F14" s="11" t="n">
        <v>19.78</v>
      </c>
      <c r="G14" s="18" t="n">
        <v>0.4063</v>
      </c>
      <c r="H14" s="19" t="n">
        <v>4.92</v>
      </c>
    </row>
    <row r="15">
      <c r="A15" s="16" t="inlineStr">
        <is>
          <t>TOTAL / PROMEDIO</t>
        </is>
      </c>
      <c r="B15" s="33">
        <f>SUM(B10:B14)</f>
        <v/>
      </c>
      <c r="C15" s="23">
        <f>SUM(C10:C14)</f>
        <v/>
      </c>
      <c r="D15" s="17" t="inlineStr">
        <is>
          <t>150 – 557</t>
        </is>
      </c>
      <c r="E15" s="17" t="inlineStr"/>
      <c r="F15" s="17">
        <f>ROUND(AVERAGE(F10:F14),2)</f>
        <v/>
      </c>
      <c r="G15" s="22">
        <f>ROUND(AVERAGE(G10:G14),4)</f>
        <v/>
      </c>
      <c r="H15" s="23">
        <f>ROUND(AVERAGE(H10:H14),2)</f>
        <v/>
      </c>
    </row>
    <row r="17" ht="84" customHeight="1">
      <c r="A17" s="9" t="inlineStr">
        <is>
          <t>LECTURA INTRAMICROCUENCA. El bloque M6B10 ocupa el puesto 4 de 5 por superficie dentro de la microcuenca C1077-Q9566 (16.08 % de las 1553.97 ha preliminares de la microcuenca). Su pendiente promedio (20.60 %, clase «15-25% (Fuert. inclinado)») es la 5.ª más baja de 5 y se sitúa por encima del promedio de la microcuenca (18.02 %). Su MSAVI 2024 (0.3099) es el 4.º de 5 y queda por debajo del promedio local (0.3393). Amplitud altitudinal del bloque: 379 m (158–537 msnm). El cuadro conserva todos los bloques catalogados en la microcuenca, incluidos los descartados en el tamizaje, para referencia del conjunto. Los bloques sin ficha DT figuran con sus parámetros de gabinete.</t>
        </is>
      </c>
      <c r="B17" s="39" t="n"/>
      <c r="C17" s="39" t="n"/>
      <c r="D17" s="39" t="n"/>
      <c r="E17" s="39" t="n"/>
      <c r="F17" s="39" t="n"/>
      <c r="G17" s="39" t="n"/>
      <c r="H17" s="40" t="n"/>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19" s="39" t="n"/>
      <c r="C19" s="39" t="n"/>
      <c r="D19" s="39" t="n"/>
      <c r="E19" s="39" t="n"/>
      <c r="F19" s="39" t="n"/>
      <c r="G19" s="39" t="n"/>
      <c r="H19" s="40" t="n"/>
    </row>
  </sheetData>
  <mergeCells count="9">
    <mergeCell ref="A1:H1"/>
    <mergeCell ref="A4:H4"/>
    <mergeCell ref="A3:H3"/>
    <mergeCell ref="A2:H2"/>
    <mergeCell ref="A19:H19"/>
    <mergeCell ref="A5:H5"/>
    <mergeCell ref="A8:H8"/>
    <mergeCell ref="A6:H6"/>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M6B10</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«C1077-Q9566»</t>
        </is>
      </c>
      <c r="D10" s="35" t="inlineStr">
        <is>
          <t>CONFORME</t>
        </is>
      </c>
      <c r="E10" s="34" t="inlineStr">
        <is>
          <t>Sin acción.</t>
        </is>
      </c>
    </row>
    <row r="11" ht="48" customHeight="1">
      <c r="A11" s="36" t="inlineStr">
        <is>
          <t>D-02</t>
        </is>
      </c>
      <c r="B11" s="36" t="inlineStr">
        <is>
          <t>UTM del punto de muestreo</t>
        </is>
      </c>
      <c r="C11" s="36" t="inlineStr">
        <is>
          <t>El punto de muestreo declarado (617140 E / 9423015 N) dista 1,164 m del centroide de catálogo (618299 E / 9423119 N), distancia incompatible con la superficie del bloque (249.89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(250.004 ha) coincide con la de catálogo (249.89 ha) dentro del ±2 % (+0.05 %)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20.60 %,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30 % de cobertura vegetal en campo; el NDVI mediana 2025 clasifica 79.97 %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13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«Caserío La Pilca»; el cruce INEI-Bloques V5 identifica 3 centro(s) poblado(s) en el bloque: INGENIO DE BUENOS AIRES, LA MARAVILLA, LA PILCA</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(244 msnm)</t>
        </is>
      </c>
    </row>
    <row r="20" ht="48" customHeight="1">
      <c r="A20" s="34" t="inlineStr">
        <is>
          <t>D-11</t>
        </is>
      </c>
      <c r="B20" s="34" t="inlineStr">
        <is>
          <t>F-DT-02</t>
        </is>
      </c>
      <c r="C20" s="34" t="inlineStr">
        <is>
          <t>Se declara longitud total de cárcavas (380 m) y % de bloque afectado (12%) sin consignar el número de cárcavas ni su georreferencia</t>
        </is>
      </c>
      <c r="D20" s="37" t="inlineStr">
        <is>
          <t>SUSTANTIVA</t>
        </is>
      </c>
      <c r="E20" s="34" t="inlineStr">
        <is>
          <t>Recorrido sistemático con GPS pendiente</t>
        </is>
      </c>
    </row>
    <row r="21" ht="48" customHeight="1">
      <c r="A21" s="36" t="inlineStr">
        <is>
          <t>D-12</t>
        </is>
      </c>
      <c r="B21" s="36" t="inlineStr">
        <is>
          <t>F-DT-04</t>
        </is>
      </c>
      <c r="C21" s="36" t="inlineStr">
        <is>
          <t>Frecuencia de quemas sin valor pese a registrarse quema de renovación de pastos (18%) y quema accidental (10%)</t>
        </is>
      </c>
      <c r="D21" s="37" t="inlineStr">
        <is>
          <t>SUSTANTIVA</t>
        </is>
      </c>
      <c r="E21" s="36" t="inlineStr">
        <is>
          <t>El indicador no puede quedar vacío</t>
        </is>
      </c>
    </row>
    <row r="22" ht="48" customHeight="1">
      <c r="A22" s="34" t="inlineStr">
        <is>
          <t>D-13</t>
        </is>
      </c>
      <c r="B22" s="34" t="inlineStr">
        <is>
          <t>F-DT-03</t>
        </is>
      </c>
      <c r="C22" s="34" t="inlineStr">
        <is>
          <t>Categorías de amenaza incompletas para Palo santo y Charán</t>
        </is>
      </c>
      <c r="D22" s="15" t="inlineStr">
        <is>
          <t>NO SUSTANTIVA</t>
        </is>
      </c>
      <c r="E22" s="34" t="inlineStr">
        <is>
          <t>Completar categorización</t>
        </is>
      </c>
    </row>
    <row r="23" ht="48" customHeight="1">
      <c r="A23" s="36" t="inlineStr">
        <is>
          <t>D-14</t>
        </is>
      </c>
      <c r="B23" s="36" t="inlineStr">
        <is>
          <t>F-DT-05</t>
        </is>
      </c>
      <c r="C23" s="36" t="inlineStr">
        <is>
          <t>Escorrentía concentrada «No» pese a que el bloque se declara zona de generación de escorrentía hacia el río Piura</t>
        </is>
      </c>
      <c r="D23" s="37" t="inlineStr">
        <is>
          <t>SUSTANTIVA</t>
        </is>
      </c>
      <c r="E23" s="36" t="inlineStr">
        <is>
          <t>Inconsistencia interna a resolver</t>
        </is>
      </c>
    </row>
    <row r="24" ht="48" customHeight="1">
      <c r="A24" s="34" t="inlineStr">
        <is>
          <t>D-15</t>
        </is>
      </c>
      <c r="B24" s="34" t="inlineStr">
        <is>
          <t>F-DT-05</t>
        </is>
      </c>
      <c r="C24" s="34" t="inlineStr">
        <is>
          <t>Los terrenos serían de propiedad del Estado según entrevistado lugareño</t>
        </is>
      </c>
      <c r="D24" s="37" t="inlineStr">
        <is>
          <t>SUSTANTIVA</t>
        </is>
      </c>
      <c r="E24" s="34" t="inlineStr">
        <is>
          <t>Verificar en el tamizaje predial: condiciona el Expediente de Liberación de Áreas</t>
        </is>
      </c>
    </row>
    <row r="25">
      <c r="A25" s="34" t="inlineStr">
        <is>
          <t>D-16</t>
        </is>
      </c>
      <c r="B25" s="34" t="inlineStr">
        <is>
          <t>Distribución areal de clases MSAVI 2024</t>
        </is>
      </c>
      <c r="C25" s="34" t="inlineStr">
        <is>
          <t>La hoja «Cobertura MSAVI-NDVI» consignaba «Por determinar» en la distribución areal de clases MSAVI 2024; se incorpora el metrado por clase medido sobre la cartografía temática MSAVI 2024 del bloque: 99.84 % del bloque (249.490 ha) bajo el umbral 0.4976 y 0.16 % sobre el umbral; clase areal dominante «Vigor muy bajo».</t>
        </is>
      </c>
      <c r="D25" s="37" t="inlineStr">
        <is>
          <t>CORREGIDO</t>
        </is>
      </c>
      <c r="E25"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6"/>
    <row r="27">
      <c r="A27" s="16" t="inlineStr">
        <is>
          <t>RESUMEN</t>
        </is>
      </c>
      <c r="B27" s="17" t="inlineStr">
        <is>
          <t>16 verificaciones</t>
        </is>
      </c>
      <c r="C27" s="17" t="inlineStr">
        <is>
          <t>CONFORME: 3 · NO SUSTANTIVA: 3 · SUSTANTIVA: 8 · CORREGIDO: 2</t>
        </is>
      </c>
      <c r="D27" s="17" t="inlineStr"/>
      <c r="E27" s="17" t="inlineStr"/>
    </row>
    <row r="28" ht="60" customHeight="1"/>
    <row r="29">
      <c r="A2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9" s="39" t="n"/>
      <c r="C29" s="39" t="n"/>
      <c r="D29" s="39" t="n"/>
      <c r="E29" s="40" t="n"/>
    </row>
  </sheetData>
  <mergeCells count="8">
    <mergeCell ref="A29:E29"/>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M6B10 — IN Piura</dc:title>
  <dc:subject>Diagnóstico Territorial por bloque de intervención</dc:subject>
  <dcterms:created xsi:type="dcterms:W3CDTF">2026-09-08T03:39:59Z</dcterms:created>
  <dcterms:modified xsi:type="dcterms:W3CDTF">2026-09-09T14:49:47Z</dcterms:modified>
</cp:coreProperties>
</file>