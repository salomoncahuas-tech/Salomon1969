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M2B5</t>
        </is>
      </c>
      <c r="C9" s="6" t="inlineStr">
        <is>
          <t>Microcuenca (catálogo)</t>
        </is>
      </c>
      <c r="D9" s="7" t="inlineStr">
        <is>
          <t>C1076-Q9584</t>
        </is>
      </c>
      <c r="E9" s="8" t="n"/>
      <c r="F9" s="8" t="n"/>
    </row>
    <row r="10">
      <c r="A10" s="6" t="inlineStr">
        <is>
          <t>Zona de planificación</t>
        </is>
      </c>
      <c r="B10" s="7" t="inlineStr">
        <is>
          <t>Z07</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Villa Hornopampa de los Andes</t>
        </is>
      </c>
      <c r="C13" s="6" t="inlineStr">
        <is>
          <t>Comunidad campesina</t>
        </is>
      </c>
      <c r="D13" s="7" t="inlineStr">
        <is>
          <t>No aplica formalmente — predios rurales del CP Villa Hornopampa de los Andes; sector colindante con el ACR Bosque Seco Salitral</t>
        </is>
      </c>
      <c r="E13" s="8" t="n"/>
      <c r="F13" s="8" t="n"/>
    </row>
    <row r="14">
      <c r="A14" s="6" t="inlineStr">
        <is>
          <t>Superficie de catálogo (V5/V6), ha</t>
        </is>
      </c>
      <c r="B14" s="7" t="n">
        <v>30.91</v>
      </c>
      <c r="C14" s="6" t="inlineStr">
        <is>
          <t>Fuente de superficie</t>
        </is>
      </c>
      <c r="D14" s="7" t="inlineStr">
        <is>
          <t>Catálogo maestro Bloques V5/V6</t>
        </is>
      </c>
      <c r="E14" s="8" t="n"/>
      <c r="F14" s="8" t="n"/>
    </row>
    <row r="15">
      <c r="A15" s="6" t="inlineStr">
        <is>
          <t>Centroide UTM ESTE (m)</t>
        </is>
      </c>
      <c r="B15" s="7" t="n">
        <v>639987</v>
      </c>
      <c r="C15" s="6" t="inlineStr">
        <is>
          <t>Centroide UTM NORTE (m)</t>
        </is>
      </c>
      <c r="D15" s="7" t="n">
        <v>9394392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68</v>
      </c>
      <c r="C19" s="6" t="inlineStr">
        <is>
          <t>Altitud máxima (msnm)</t>
        </is>
      </c>
      <c r="D19" s="7" t="n">
        <v>322</v>
      </c>
      <c r="E19" s="8" t="n"/>
      <c r="F19" s="8" t="n"/>
    </row>
    <row r="20">
      <c r="A20" s="6" t="inlineStr">
        <is>
          <t>Amplitud altitudinal (m)</t>
        </is>
      </c>
      <c r="B20" s="7" t="n">
        <v>254</v>
      </c>
      <c r="C20" s="6" t="inlineStr">
        <is>
          <t>Piso altitudinal dominante</t>
        </is>
      </c>
      <c r="D20" s="7" t="inlineStr">
        <is>
          <t>&lt;1000 m (Yunga)</t>
        </is>
      </c>
      <c r="E20" s="8" t="n"/>
      <c r="F20" s="8" t="n"/>
    </row>
    <row r="21">
      <c r="A21" s="6" t="inlineStr">
        <is>
          <t>Pendiente promedio (%)</t>
        </is>
      </c>
      <c r="B21" s="7" t="n">
        <v>8.32</v>
      </c>
      <c r="C21" s="6" t="inlineStr">
        <is>
          <t>Pendiente promedio (grados)</t>
        </is>
      </c>
      <c r="D21" s="7" t="n">
        <v>4.8</v>
      </c>
      <c r="E21" s="8" t="n"/>
      <c r="F21" s="8" t="n"/>
    </row>
    <row r="22">
      <c r="A22" s="6" t="inlineStr">
        <is>
          <t>Clase de pendiente equivalente</t>
        </is>
      </c>
      <c r="B22" s="7" t="inlineStr">
        <is>
          <t>8-15% (Mod.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0.3047</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98.90 % del bloque BAJO el umbral (30.570 ha de 30.910 ha)</t>
        </is>
      </c>
      <c r="C29" s="6" t="inlineStr">
        <is>
          <t>NDVI mediana 2025 — clase modal</t>
        </is>
      </c>
      <c r="D29" s="7" t="inlineStr">
        <is>
          <t>Vegetación ligera (59.24 %)</t>
        </is>
      </c>
      <c r="E29" s="8" t="n"/>
      <c r="F29" s="8" t="n"/>
    </row>
    <row r="30">
      <c r="A30" s="6" t="inlineStr">
        <is>
          <t>MSAVI 2024 — superficie BAJO el umbral 0.4976 (ha)</t>
        </is>
      </c>
      <c r="B30" s="7" t="n">
        <v>30.57</v>
      </c>
      <c r="C30" s="6" t="inlineStr">
        <is>
          <t>MSAVI 2024 — % del bloque BAJO el umbral</t>
        </is>
      </c>
      <c r="D30" s="7" t="n">
        <v>98.90000000000001</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M2B5.png)</t>
        </is>
      </c>
      <c r="E31" s="8" t="n"/>
      <c r="F31" s="8" t="n"/>
    </row>
    <row r="32" ht="18" customHeight="1">
      <c r="A32" s="6" t="inlineStr">
        <is>
          <t>Superficie clasificada NDVI 2025 (ha)</t>
        </is>
      </c>
      <c r="B32" s="7" t="n">
        <v>30.918</v>
      </c>
      <c r="C32" s="6" t="inlineStr">
        <is>
          <t>Desviación frente al catálogo (%)</t>
        </is>
      </c>
      <c r="D32" s="7" t="n">
        <v>0.03</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≈30.91 ha (ecosistema dominante en ≈100% del bloque)</t>
        </is>
      </c>
      <c r="E35" s="8" t="n"/>
      <c r="F35" s="8" t="n"/>
    </row>
    <row r="36">
      <c r="A36" s="6" t="inlineStr">
        <is>
          <t>Estado de conservación</t>
        </is>
      </c>
      <c r="B36" s="7" t="inlineStr">
        <is>
          <t>Medianamente alterado</t>
        </is>
      </c>
      <c r="C36" s="6" t="inlineStr">
        <is>
          <t>Uso actual dominante del suelo</t>
        </is>
      </c>
      <c r="D36" s="7" t="inlineStr">
        <is>
          <t>Pastoreo extensivo</t>
        </is>
      </c>
      <c r="E36" s="8" t="n"/>
      <c r="F36" s="8" t="n"/>
    </row>
    <row r="37">
      <c r="A37" s="6" t="inlineStr">
        <is>
          <t>Tipo de cobertura dominante</t>
        </is>
      </c>
      <c r="B37" s="7" t="inlineStr">
        <is>
          <t>Matorral denso</t>
        </is>
      </c>
      <c r="C37" s="6" t="inlineStr">
        <is>
          <t>Cobertura vegetal total — campo (%)</t>
        </is>
      </c>
      <c r="D37" s="7" t="n">
        <v>45</v>
      </c>
      <c r="E37" s="8" t="n"/>
      <c r="F37" s="8" t="n"/>
    </row>
    <row r="38">
      <c r="A38" s="6" t="inlineStr">
        <is>
          <t>Suelo desnudo — campo (%)</t>
        </is>
      </c>
      <c r="B38" s="7" t="n">
        <v>25</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2</v>
      </c>
      <c r="E39" s="8" t="n"/>
      <c r="F39" s="8" t="n"/>
    </row>
    <row r="40" ht="18" customHeight="1">
      <c r="A40" s="6" t="inlineStr">
        <is>
          <t>Elenco florístico (n.° de taxones)</t>
        </is>
      </c>
      <c r="B40" s="7" t="n">
        <v>13</v>
      </c>
      <c r="C40" s="6" t="inlineStr">
        <is>
          <t>Estado sanitario</t>
        </is>
      </c>
      <c r="D40" s="7" t="inlineStr">
        <is>
          <t>Daño mecánico</t>
        </is>
      </c>
      <c r="E40" s="8" t="n"/>
      <c r="F40" s="8" t="n"/>
    </row>
    <row r="41"/>
    <row r="42">
      <c r="A42" s="5" t="inlineStr">
        <is>
          <t>5. RESPONSABLE Y MODALIDAD DE LA EVALUACIÓN</t>
        </is>
      </c>
    </row>
    <row r="43">
      <c r="A43" s="6" t="inlineStr">
        <is>
          <t>Responsable de la evaluación</t>
        </is>
      </c>
      <c r="B43" s="7" t="inlineStr">
        <is>
          <t>Ing. Héctor Salomón Cahuas Miller (con Ing. Juan Carlos Domínguez Varas)</t>
        </is>
      </c>
      <c r="C43" s="6" t="inlineStr">
        <is>
          <t>Fecha de evaluación</t>
        </is>
      </c>
      <c r="D43" s="7" t="inlineStr">
        <is>
          <t>2026-05-20</t>
        </is>
      </c>
      <c r="E43" s="8" t="n"/>
      <c r="F43" s="8" t="n"/>
    </row>
    <row r="44">
      <c r="A44" s="6" t="inlineStr">
        <is>
          <t>Hora de registro</t>
        </is>
      </c>
      <c r="B44" s="7" t="inlineStr">
        <is>
          <t>14:45 h (inspección 15:00 - 15:30 h)</t>
        </is>
      </c>
      <c r="C44" s="6" t="inlineStr">
        <is>
          <t>Correlativo de ficha</t>
        </is>
      </c>
      <c r="D44" s="7" t="inlineStr">
        <is>
          <t>DT-M2B5-001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Sin registro en ficha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Dependencia económica de actividades pecuarias (cría caprina) de bajo retorno por parte de pobladores del CP Villa Hornopampa de los Andes</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v>
      </c>
      <c r="C10" s="19" t="n">
        <v>0</v>
      </c>
      <c r="D10" s="11" t="inlineStr">
        <is>
          <t>Vigor alto</t>
        </is>
      </c>
      <c r="E10" s="11" t="inlineStr">
        <is>
          <t>Sobre umbral</t>
        </is>
      </c>
    </row>
    <row r="11">
      <c r="A11" s="12" t="inlineStr">
        <is>
          <t>0.4976 - 0.6139</t>
        </is>
      </c>
      <c r="B11" s="20" t="n">
        <v>0.34</v>
      </c>
      <c r="C11" s="21" t="n">
        <v>1.1</v>
      </c>
      <c r="D11" s="13" t="inlineStr">
        <is>
          <t>Vigor moderado</t>
        </is>
      </c>
      <c r="E11" s="13" t="inlineStr">
        <is>
          <t>Sobre umbral</t>
        </is>
      </c>
    </row>
    <row r="12">
      <c r="A12" s="7" t="inlineStr">
        <is>
          <t>0.3813 - 0.4976</t>
        </is>
      </c>
      <c r="B12" s="18" t="n">
        <v>3.4001</v>
      </c>
      <c r="C12" s="19" t="n">
        <v>11</v>
      </c>
      <c r="D12" s="11" t="inlineStr">
        <is>
          <t>Vigor bajo</t>
        </is>
      </c>
      <c r="E12" s="11" t="inlineStr">
        <is>
          <t>BAJO umbral 0.4976</t>
        </is>
      </c>
    </row>
    <row r="13">
      <c r="A13" s="14" t="inlineStr">
        <is>
          <t>0.2650 - 0.3813</t>
        </is>
      </c>
      <c r="B13" s="32" t="n">
        <v>18.5429</v>
      </c>
      <c r="C13" s="31" t="n">
        <v>59.99</v>
      </c>
      <c r="D13" s="15" t="inlineStr">
        <is>
          <t>Vigor muy bajo</t>
        </is>
      </c>
      <c r="E13" s="15" t="inlineStr">
        <is>
          <t>BAJO umbral 0.4976</t>
        </is>
      </c>
    </row>
    <row r="14">
      <c r="A14" s="7" t="inlineStr">
        <is>
          <t>&lt;= 0.2650</t>
        </is>
      </c>
      <c r="B14" s="18" t="n">
        <v>8.627000000000001</v>
      </c>
      <c r="C14" s="19" t="n">
        <v>27.91</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0.304733</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1.5901</v>
      </c>
      <c r="C22" s="19" t="n">
        <v>5.14</v>
      </c>
      <c r="D22" s="11" t="inlineStr">
        <is>
          <t>Dosel continuo, matorral denso o mosaico agroforestal</t>
        </is>
      </c>
      <c r="E22" s="11" t="inlineStr"/>
    </row>
    <row r="23">
      <c r="A23" s="12" t="inlineStr">
        <is>
          <t>Vegetación mediana</t>
        </is>
      </c>
      <c r="B23" s="20" t="n">
        <v>10.8494</v>
      </c>
      <c r="C23" s="21" t="n">
        <v>35.09</v>
      </c>
      <c r="D23" s="13" t="inlineStr">
        <is>
          <t>Pastizal cultivado, matorral ralo, parcelas agrícolas</t>
        </is>
      </c>
      <c r="E23" s="13" t="inlineStr"/>
    </row>
    <row r="24">
      <c r="A24" s="7" t="inlineStr">
        <is>
          <t>Vegetación ligera</t>
        </is>
      </c>
      <c r="B24" s="18" t="n">
        <v>18.3151</v>
      </c>
      <c r="C24" s="19" t="n">
        <v>59.24</v>
      </c>
      <c r="D24" s="11" t="inlineStr">
        <is>
          <t>Cobertura discontinua, suelo parcialmente expuesto</t>
        </is>
      </c>
      <c r="E24" s="11" t="inlineStr"/>
    </row>
    <row r="25">
      <c r="A25" s="12" t="inlineStr">
        <is>
          <t>Tierra desnuda</t>
        </is>
      </c>
      <c r="B25" s="20" t="n">
        <v>0.1637</v>
      </c>
      <c r="C25" s="21" t="n">
        <v>0.53</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30.91</v>
      </c>
      <c r="C27" s="25" t="inlineStr">
        <is>
          <t>—</t>
        </is>
      </c>
      <c r="D27" s="25" t="inlineStr">
        <is>
          <t>Desviación planimétrica frente al catálogo</t>
        </is>
      </c>
      <c r="E27" s="25" t="inlineStr">
        <is>
          <t>+0.03 %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5.14 % del polígono clasificado como «Vegetación alta» por el NDVI 2025; la observación de campo corresponde a una parcela o recorrido puntual y no es estadísticamente representativa de las 30.910 ha del bloque.</t>
        </is>
      </c>
      <c r="B29" s="39" t="n"/>
      <c r="C29" s="39" t="n"/>
      <c r="D29" s="39" t="n"/>
      <c r="E29" s="40"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M2B5</t>
        </is>
      </c>
    </row>
    <row r="6" ht="24" customHeight="1">
      <c r="A6" s="4" t="inlineStr">
        <is>
          <t>Levantamiento del 2026-05-20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640325</v>
      </c>
      <c r="D10" s="26" t="n">
        <v>9394442</v>
      </c>
      <c r="E10" s="11" t="n">
        <v>341.7</v>
      </c>
      <c r="F10" s="11" t="inlineStr"/>
      <c r="G10" s="11" t="inlineStr">
        <is>
          <t>Coordenada consignada en F-DT-01</t>
        </is>
      </c>
    </row>
    <row r="11">
      <c r="A11" s="12" t="inlineStr">
        <is>
          <t>CA-01</t>
        </is>
      </c>
      <c r="B11" s="13" t="inlineStr">
        <is>
          <t>Rasgo erosivo — Surco (&lt;30 cm) — 110 m, 0.25 m prof., 0.6 m ancho</t>
        </is>
      </c>
      <c r="C11" s="27" t="n">
        <v>640325</v>
      </c>
      <c r="D11" s="27" t="n">
        <v>9394442</v>
      </c>
      <c r="E11" s="13" t="n">
        <v>341.7</v>
      </c>
      <c r="F11" s="13" t="inlineStr">
        <is>
          <t>Activa</t>
        </is>
      </c>
      <c r="G11" s="13" t="inlineStr">
        <is>
          <t>Sobrepastoreo</t>
        </is>
      </c>
    </row>
    <row r="12">
      <c r="A12" s="7" t="inlineStr">
        <is>
          <t>CA-02</t>
        </is>
      </c>
      <c r="B12" s="11" t="inlineStr">
        <is>
          <t>Rasgo erosivo — Cárcava incipiente — 170 m, 0.4 m prof., 0.8 m ancho</t>
        </is>
      </c>
      <c r="C12" s="26" t="n">
        <v>640260</v>
      </c>
      <c r="D12" s="26" t="n">
        <v>9394429</v>
      </c>
      <c r="E12" s="11" t="n">
        <v>275.5</v>
      </c>
      <c r="F12" s="11" t="inlineStr">
        <is>
          <t>Semi-activa</t>
        </is>
      </c>
      <c r="G12" s="11" t="inlineStr">
        <is>
          <t>Concentración natural de escorrentía</t>
        </is>
      </c>
    </row>
    <row r="13">
      <c r="A13" s="12" t="inlineStr">
        <is>
          <t>H-01</t>
        </is>
      </c>
      <c r="B13" s="13" t="inlineStr">
        <is>
          <t>Fuente de agua — Río</t>
        </is>
      </c>
      <c r="C13" s="27" t="n">
        <v>639750</v>
      </c>
      <c r="D13" s="27" t="n">
        <v>9394800</v>
      </c>
      <c r="E13" s="13" t="n">
        <v>471.8</v>
      </c>
      <c r="F13" s="13" t="inlineStr">
        <is>
          <t>Permanente</t>
        </is>
      </c>
      <c r="G13" s="13" t="inlineStr">
        <is>
          <t>Río Piura — cauce principal</t>
        </is>
      </c>
    </row>
    <row r="14">
      <c r="A14" s="7" t="inlineStr">
        <is>
          <t>H-02</t>
        </is>
      </c>
      <c r="B14" s="11" t="inlineStr">
        <is>
          <t>Fuente de agua — Quebrada estacional</t>
        </is>
      </c>
      <c r="C14" s="26" t="n">
        <v>640200</v>
      </c>
      <c r="D14" s="26" t="n">
        <v>9394400</v>
      </c>
      <c r="E14" s="11" t="n">
        <v>213.2</v>
      </c>
      <c r="F14" s="11" t="inlineStr">
        <is>
          <t>Efímero</t>
        </is>
      </c>
      <c r="G14" s="11" t="inlineStr">
        <is>
          <t>Quebrada de bajo orden</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639987</v>
      </c>
      <c r="C17" s="6" t="inlineStr">
        <is>
          <t>Centroide del bloque — UTM NORTE (m)</t>
        </is>
      </c>
      <c r="D17" s="7" t="n">
        <v>9394392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44"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desde la carretera Morropón-Buenos Aires-Salitral, ingresando a la altura del CP Villa Hornopampa de los Andes. Inspección del 20-05-2026 entre las 15:00 y 15:30 h. Pese a pendientes locales moderadas (perfiles Google Earth: 13.0% máx. en sector central; 27.7% máx. en sector occidental), NO se observaron procesos de remoción en masa activos. Las evidencias predominantes corresponden a REPTACIÓN LENTA ASOCIADA AL TRÁNSITO CAPRINO (terracetas de pisoteo) y a afloramientos rocosos diseminados principalmente en cabeceras de microquebradas. LA EXISTENCIA DE BOSQUE RELICTUAL EN LA PARTE ALTA DEL BLOQUE, CONTIGUO AL ACR BOSQUE SECO SALITRAL, CONSTITUYE UN NÚCLEO DE PROPÁGULOS RELEVANTE para la estrategia de restauración pasiva-asistida.</t>
        </is>
      </c>
      <c r="B20" s="39" t="n"/>
      <c r="C20" s="39" t="n"/>
      <c r="D20" s="39" t="n"/>
      <c r="E20" s="39" t="n"/>
      <c r="F20" s="39" t="n"/>
      <c r="G20" s="40"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M2B5</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t>
        </is>
      </c>
      <c r="B10" s="28" t="n">
        <v>1370.96</v>
      </c>
      <c r="C10" s="19" t="n">
        <v>77.31999999999999</v>
      </c>
      <c r="D10" s="11" t="inlineStr">
        <is>
          <t>291 – 1204</t>
        </is>
      </c>
      <c r="E10" s="11" t="n">
        <v>913</v>
      </c>
      <c r="F10" s="11" t="n">
        <v>21.39</v>
      </c>
      <c r="G10" s="18" t="n">
        <v>0.4545</v>
      </c>
      <c r="H10" s="19" t="inlineStr">
        <is>
          <t>Por determinar</t>
        </is>
      </c>
    </row>
    <row r="11">
      <c r="A11" s="12" t="inlineStr">
        <is>
          <t>7</t>
        </is>
      </c>
      <c r="B11" s="29" t="n">
        <v>173.43</v>
      </c>
      <c r="C11" s="21" t="n">
        <v>9.779999999999999</v>
      </c>
      <c r="D11" s="13" t="inlineStr">
        <is>
          <t>257 – 577</t>
        </is>
      </c>
      <c r="E11" s="13" t="n">
        <v>320</v>
      </c>
      <c r="F11" s="13" t="n">
        <v>18.59</v>
      </c>
      <c r="G11" s="20" t="n">
        <v>0.3753</v>
      </c>
      <c r="H11" s="21" t="inlineStr">
        <is>
          <t>Por determinar</t>
        </is>
      </c>
    </row>
    <row r="12">
      <c r="A12" s="7" t="inlineStr">
        <is>
          <t>M2B8</t>
        </is>
      </c>
      <c r="B12" s="28" t="n">
        <v>116.1</v>
      </c>
      <c r="C12" s="19" t="n">
        <v>6.55</v>
      </c>
      <c r="D12" s="11" t="inlineStr">
        <is>
          <t>244 – 673</t>
        </is>
      </c>
      <c r="E12" s="11" t="n">
        <v>429</v>
      </c>
      <c r="F12" s="11" t="n">
        <v>19.24</v>
      </c>
      <c r="G12" s="18" t="n">
        <v>0.3752</v>
      </c>
      <c r="H12" s="19" t="n">
        <v>16.64</v>
      </c>
    </row>
    <row r="13">
      <c r="A13" s="12" t="inlineStr">
        <is>
          <t>M2B1</t>
        </is>
      </c>
      <c r="B13" s="29" t="n">
        <v>81.79000000000001</v>
      </c>
      <c r="C13" s="21" t="n">
        <v>4.61</v>
      </c>
      <c r="D13" s="13" t="inlineStr">
        <is>
          <t>235 – 446</t>
        </is>
      </c>
      <c r="E13" s="13" t="n">
        <v>211</v>
      </c>
      <c r="F13" s="13" t="n">
        <v>17.48</v>
      </c>
      <c r="G13" s="20" t="n">
        <v>0.2984</v>
      </c>
      <c r="H13" s="21" t="n">
        <v>0.04</v>
      </c>
    </row>
    <row r="14">
      <c r="A14" s="14" t="inlineStr">
        <is>
          <t>► M2B5</t>
        </is>
      </c>
      <c r="B14" s="30" t="n">
        <v>30.91</v>
      </c>
      <c r="C14" s="31" t="n">
        <v>1.74</v>
      </c>
      <c r="D14" s="15" t="inlineStr">
        <is>
          <t>68 – 322</t>
        </is>
      </c>
      <c r="E14" s="15" t="n">
        <v>254</v>
      </c>
      <c r="F14" s="15" t="n">
        <v>8.32</v>
      </c>
      <c r="G14" s="32" t="n">
        <v>0.3047</v>
      </c>
      <c r="H14" s="31" t="n">
        <v>5.14</v>
      </c>
    </row>
    <row r="15">
      <c r="A15" s="16" t="inlineStr">
        <is>
          <t>TOTAL / PROMEDIO</t>
        </is>
      </c>
      <c r="B15" s="33">
        <f>SUM(B10:B14)</f>
        <v/>
      </c>
      <c r="C15" s="23">
        <f>SUM(C10:C14)</f>
        <v/>
      </c>
      <c r="D15" s="17" t="inlineStr">
        <is>
          <t>68 – 1204</t>
        </is>
      </c>
      <c r="E15" s="17" t="inlineStr"/>
      <c r="F15" s="17">
        <f>ROUND(AVERAGE(F10:F14),2)</f>
        <v/>
      </c>
      <c r="G15" s="22">
        <f>ROUND(AVERAGE(G10:G14),4)</f>
        <v/>
      </c>
      <c r="H15" s="23">
        <f>ROUND(AVERAGE(H10:H14),2)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c r="B16" s="39" t="n"/>
      <c r="C16" s="39" t="n"/>
      <c r="D16" s="39" t="n"/>
      <c r="E16" s="39" t="n"/>
      <c r="F16" s="39" t="n"/>
      <c r="G16" s="39" t="n"/>
      <c r="H16" s="40" t="n"/>
    </row>
    <row r="18" ht="84" customHeight="1">
      <c r="A18" s="9" t="inlineStr">
        <is>
          <t>LECTURA INTRAMICROCUENCA. El bloque M2B5 ocupa el puesto 5 de 5 por superficie dentro de la microcuenca C1076-Q9584 (1.74 % de las 1773.19 ha preliminares de la microcuenca). Su pendiente promedio (8.32 %, clase «8-15% (Mod. inclinado)») es la 1.ª más baja de 5 y se sitúa por debajo del promedio de la microcuenca (17.00 %). Su MSAVI 2024 (0.3047) es el 4.º de 5 y queda por debajo del promedio local (0.3616). Amplitud altitudinal del bloque: 254 m (68–322 msnm). El cuadro conserva todos los bloques catalogados en la microcuenca, incluidos los descartados en el tamizaje, para referencia del conjunto. Los bloques sin ficha DT figuran con sus parámetros de gabinete.</t>
        </is>
      </c>
      <c r="B18" s="39" t="n"/>
      <c r="C18" s="39" t="n"/>
      <c r="D18" s="39" t="n"/>
      <c r="E18" s="39" t="n"/>
      <c r="F18" s="39" t="n"/>
      <c r="G18" s="39" t="n"/>
      <c r="H18" s="40"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0" s="39" t="n"/>
      <c r="C20" s="39" t="n"/>
      <c r="D20" s="39" t="n"/>
      <c r="E20" s="39" t="n"/>
      <c r="F20" s="39" t="n"/>
      <c r="G20" s="39" t="n"/>
      <c r="H20" s="40" t="n"/>
    </row>
  </sheetData>
  <mergeCells count="10">
    <mergeCell ref="A18:H18"/>
    <mergeCell ref="A4:H4"/>
    <mergeCell ref="A1:H1"/>
    <mergeCell ref="A3:H3"/>
    <mergeCell ref="A20:H20"/>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M2B5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342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(30.918 ha) coincide con la de catálogo (30.91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45 % de cobertura vegetal en campo; el NDVI mediana 2025 clasifica 99.47 %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13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«Villa Hornopampa de los Andes»; el cruce INEI-Bloques V5 identifica 1 centro(s) poblado(s) en el bloque: HORNOPAMPA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(320 msnm)</t>
        </is>
      </c>
    </row>
    <row r="19" ht="48" customHeight="1">
      <c r="A19" s="36" t="inlineStr">
        <is>
          <t>D-10</t>
        </is>
      </c>
      <c r="B19" s="36" t="inlineStr">
        <is>
          <t>F-DT-02</t>
        </is>
      </c>
      <c r="C19" s="36" t="inlineStr">
        <is>
          <t>El campo «% bloque con cárcavas» contiene un texto descriptivo (25-35%) en lugar de un valor numérico</t>
        </is>
      </c>
      <c r="D19" s="15" t="inlineStr">
        <is>
          <t>NO SUSTANTIVA</t>
        </is>
      </c>
      <c r="E19" s="36" t="inlineStr">
        <is>
          <t>Normalizar el registro</t>
        </is>
      </c>
    </row>
    <row r="20" ht="48" customHeight="1">
      <c r="A20" s="34" t="inlineStr">
        <is>
          <t>D-11</t>
        </is>
      </c>
      <c r="B20" s="34" t="inlineStr">
        <is>
          <t>F-DT-03</t>
        </is>
      </c>
      <c r="C20" s="34" t="inlineStr">
        <is>
          <t>La tabla de composición florística invierte las columnas de nombre común y nombre científico</t>
        </is>
      </c>
      <c r="D20" s="15" t="inlineStr">
        <is>
          <t>NO SUSTANTIVA</t>
        </is>
      </c>
      <c r="E20" s="34" t="inlineStr">
        <is>
          <t>Error de formato de la ficha</t>
        </is>
      </c>
    </row>
    <row r="21" ht="48" customHeight="1">
      <c r="A21" s="36" t="inlineStr">
        <is>
          <t>D-12</t>
        </is>
      </c>
      <c r="B21" s="36" t="inlineStr">
        <is>
          <t>F-DT-04</t>
        </is>
      </c>
      <c r="C21" s="36" t="inlineStr">
        <is>
          <t>El indicador de especies invasoras consigna 0% y la matriz marca «No», pese a que F-DT-03 declara Ipomoea carnea ABUNDANTE y dominante del estrato arbustivo</t>
        </is>
      </c>
      <c r="D21" s="37" t="inlineStr">
        <is>
          <t>SUSTANTIVA</t>
        </is>
      </c>
      <c r="E21" s="36" t="inlineStr">
        <is>
          <t>Inconsistencia interna: Ipomoea carnea es especie nativa pero indicadora de perturbación; precisar el criterio del indicador</t>
        </is>
      </c>
    </row>
    <row r="22" ht="48" customHeight="1">
      <c r="A22" s="34" t="inlineStr">
        <is>
          <t>D-13</t>
        </is>
      </c>
      <c r="B22" s="34" t="inlineStr">
        <is>
          <t>F-DT-01 / F-DT-03</t>
        </is>
      </c>
      <c r="C22" s="34" t="inlineStr">
        <is>
          <t>Colindancia con el ACR Bosque Seco Salitral (D.S. N.° 019-2011-MINAM)</t>
        </is>
      </c>
      <c r="D22" s="37" t="inlineStr">
        <is>
          <t>SUSTANTIVA</t>
        </is>
      </c>
      <c r="E22" s="34" t="inlineStr">
        <is>
          <t>Coordinación obligatoria con SERFOR-ARFFS Piura y GORE Piura; verificar filtro de exclusión por ANP/ACR</t>
        </is>
      </c>
    </row>
    <row r="23">
      <c r="A23" s="34" t="inlineStr">
        <is>
          <t>D-14</t>
        </is>
      </c>
      <c r="B23" s="34" t="inlineStr">
        <is>
          <t>Distribución areal de clases MSAVI 2024</t>
        </is>
      </c>
      <c r="C23" s="34" t="inlineStr">
        <is>
          <t>La hoja «Cobertura MSAVI-NDVI» consignaba «Por determinar» en la distribución areal de clases MSAVI 2024; se incorpora el metrado por clase medido sobre la cartografía temática MSAVI 2024 del bloque: 98.90 % del bloque (30.570 ha) bajo el umbral 0.4976 y 1.10 % sobre el umbral; clase areal dominante «Vigor muy bajo».</t>
        </is>
      </c>
      <c r="D23" s="37" t="inlineStr">
        <is>
          <t>CORREGIDO</t>
        </is>
      </c>
      <c r="E23" s="34"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4"/>
    <row r="25">
      <c r="A25" s="16" t="inlineStr">
        <is>
          <t>RESUMEN</t>
        </is>
      </c>
      <c r="B25" s="17" t="inlineStr">
        <is>
          <t>14 verificaciones</t>
        </is>
      </c>
      <c r="C25" s="17" t="inlineStr">
        <is>
          <t>CONFORME: 4 · NO SUSTANTIVA: 3 · SUSTANTIVA: 5 · CORREGIDO: 2</t>
        </is>
      </c>
      <c r="D25" s="17" t="inlineStr"/>
      <c r="E25" s="17" t="inlineStr"/>
    </row>
    <row r="26" ht="60" customHeight="1"/>
    <row r="27">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7" s="39" t="n"/>
      <c r="C27" s="39" t="n"/>
      <c r="D27" s="39" t="n"/>
      <c r="E27" s="40" t="n"/>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M2B5 — IN Piura</dc:title>
  <dc:subject>Diagnóstico Territorial por bloque de intervención</dc:subject>
  <dcterms:created xsi:type="dcterms:W3CDTF">2026-09-08T03:39:58Z</dcterms:created>
  <dcterms:modified xsi:type="dcterms:W3CDTF">2026-09-09T14:49:46Z</dcterms:modified>
</cp:coreProperties>
</file>