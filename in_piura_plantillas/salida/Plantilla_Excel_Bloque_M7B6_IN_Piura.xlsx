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M7B6</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Serrán / Nuevo San Juan</t>
        </is>
      </c>
      <c r="C13" s="6" t="inlineStr">
        <is>
          <t>Comunidad campesina</t>
        </is>
      </c>
      <c r="D13" s="7" t="inlineStr">
        <is>
          <t>No aplica</t>
        </is>
      </c>
      <c r="E13" s="8" t="n"/>
      <c r="F13" s="8" t="n"/>
    </row>
    <row r="14">
      <c r="A14" s="6" t="inlineStr">
        <is>
          <t>Superficie de catálogo (V5/V6), ha</t>
        </is>
      </c>
      <c r="B14" s="7" t="n">
        <v>91.29000000000001</v>
      </c>
      <c r="C14" s="6" t="inlineStr">
        <is>
          <t>Fuente de superficie</t>
        </is>
      </c>
      <c r="D14" s="7" t="inlineStr">
        <is>
          <t>Catálogo maestro Bloques V5/V6</t>
        </is>
      </c>
      <c r="E14" s="8" t="n"/>
      <c r="F14" s="8" t="n"/>
    </row>
    <row r="15">
      <c r="A15" s="6" t="inlineStr">
        <is>
          <t>Centroide UTM ESTE (m)</t>
        </is>
      </c>
      <c r="B15" s="7" t="n">
        <v>635110</v>
      </c>
      <c r="C15" s="6" t="inlineStr">
        <is>
          <t>Centroide UTM NORTE (m)</t>
        </is>
      </c>
      <c r="D15" s="7" t="n">
        <v>9399092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228</v>
      </c>
      <c r="C19" s="6" t="inlineStr">
        <is>
          <t>Altitud máxima (msnm)</t>
        </is>
      </c>
      <c r="D19" s="7" t="n">
        <v>453</v>
      </c>
      <c r="E19" s="8" t="n"/>
      <c r="F19" s="8" t="n"/>
    </row>
    <row r="20">
      <c r="A20" s="6" t="inlineStr">
        <is>
          <t>Amplitud altitudinal (m)</t>
        </is>
      </c>
      <c r="B20" s="7" t="n">
        <v>225</v>
      </c>
      <c r="C20" s="6" t="inlineStr">
        <is>
          <t>Piso altitudinal dominante</t>
        </is>
      </c>
      <c r="D20" s="7" t="inlineStr">
        <is>
          <t>&lt;1000 m (Yunga)</t>
        </is>
      </c>
      <c r="E20" s="8" t="n"/>
      <c r="F20" s="8" t="n"/>
    </row>
    <row r="21">
      <c r="A21" s="6" t="inlineStr">
        <is>
          <t>Pendiente promedio (%)</t>
        </is>
      </c>
      <c r="B21" s="7" t="n">
        <v>16.87</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0.2878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(52.88 %)</t>
        </is>
      </c>
      <c r="E29" s="8" t="n"/>
      <c r="F29" s="8" t="n"/>
    </row>
    <row r="30">
      <c r="A30" s="6" t="inlineStr">
        <is>
          <t>Superficie clasificada NDVI 2025 (ha)</t>
        </is>
      </c>
      <c r="B30" s="7" t="n">
        <v>91.31699999999999</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80 ha (de 91.29 ha del bloque)</t>
        </is>
      </c>
      <c r="E33" s="8" t="n"/>
      <c r="F33" s="8" t="n"/>
    </row>
    <row r="34">
      <c r="A34" s="6" t="inlineStr">
        <is>
          <t>Estado de conservación</t>
        </is>
      </c>
      <c r="B34" s="7" t="inlineStr">
        <is>
          <t>Muy alterado / Degradado</t>
        </is>
      </c>
      <c r="C34" s="6" t="inlineStr">
        <is>
          <t>Uso actual dominante del suelo</t>
        </is>
      </c>
      <c r="D34" s="7" t="inlineStr">
        <is>
          <t>Uso mixto</t>
        </is>
      </c>
      <c r="E34" s="8" t="n"/>
      <c r="F34" s="8" t="n"/>
    </row>
    <row r="35">
      <c r="A35" s="6" t="inlineStr">
        <is>
          <t>Tipo de cobertura dominante</t>
        </is>
      </c>
      <c r="B35" s="7" t="inlineStr">
        <is>
          <t>Matorral ralo</t>
        </is>
      </c>
      <c r="C35" s="6" t="inlineStr">
        <is>
          <t>Cobertura vegetal total — campo (%)</t>
        </is>
      </c>
      <c r="D35" s="7" t="n">
        <v>55</v>
      </c>
      <c r="E35" s="8" t="n"/>
      <c r="F35" s="8" t="n"/>
    </row>
    <row r="36">
      <c r="A36" s="6" t="inlineStr">
        <is>
          <t>Suelo desnudo — campo (%)</t>
        </is>
      </c>
      <c r="B36" s="7" t="n">
        <v>20</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2</v>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 (con Ing. Juan Carlos Domínguez Varas)</t>
        </is>
      </c>
      <c r="C41" s="6" t="inlineStr">
        <is>
          <t>Fecha de evaluación</t>
        </is>
      </c>
      <c r="D41" s="7" t="inlineStr">
        <is>
          <t>2026-05-19</t>
        </is>
      </c>
      <c r="E41" s="8" t="n"/>
      <c r="F41" s="8" t="n"/>
    </row>
    <row r="42">
      <c r="A42" s="6" t="inlineStr">
        <is>
          <t>Hora de registro</t>
        </is>
      </c>
      <c r="B42" s="7" t="inlineStr">
        <is>
          <t>10:06 h</t>
        </is>
      </c>
      <c r="C42" s="6" t="inlineStr">
        <is>
          <t>Correlativo de ficha</t>
        </is>
      </c>
      <c r="D42" s="7" t="inlineStr">
        <is>
          <t>DT-M7B6-01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socioeconómica de subsistencia (ganadería extensiva y demanda de leña) sumada a la expansión urbana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0.287833</v>
      </c>
      <c r="C15" s="17" t="inlineStr">
        <is>
          <t>—</t>
        </is>
      </c>
      <c r="D15" s="17" t="inlineStr">
        <is>
          <t>Vigor muy bajo · clase 0.2650 - 0.3813</t>
        </is>
      </c>
      <c r="E15" s="17" t="inlineStr">
        <is>
          <t>BAJO umbral 0.4976</t>
        </is>
      </c>
    </row>
    <row r="17" ht="72" customHeight="1">
      <c r="A17" s="9" t="inlineStr">
        <is>
          <t>NOTA METODOLÓGICA. La media del MSAVI 2024 del bloque (0.287833)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0.6704</v>
      </c>
      <c r="C21" s="19" t="n">
        <v>0.73</v>
      </c>
      <c r="D21" s="11" t="inlineStr">
        <is>
          <t>Dosel continuo, matorral denso o mosaico agroforestal</t>
        </is>
      </c>
      <c r="E21" s="11" t="inlineStr"/>
    </row>
    <row r="22">
      <c r="A22" s="12" t="inlineStr">
        <is>
          <t>Vegetación mediana</t>
        </is>
      </c>
      <c r="B22" s="20" t="n">
        <v>42.0151</v>
      </c>
      <c r="C22" s="21" t="n">
        <v>46.01</v>
      </c>
      <c r="D22" s="13" t="inlineStr">
        <is>
          <t>Pastizal cultivado, matorral ralo, parcelas agrícolas</t>
        </is>
      </c>
      <c r="E22" s="13" t="inlineStr"/>
    </row>
    <row r="23">
      <c r="A23" s="7" t="inlineStr">
        <is>
          <t>Vegetación ligera</t>
        </is>
      </c>
      <c r="B23" s="18" t="n">
        <v>48.2907</v>
      </c>
      <c r="C23" s="19" t="n">
        <v>52.88</v>
      </c>
      <c r="D23" s="11" t="inlineStr">
        <is>
          <t>Cobertura discontinua, suelo parcialmente expuesto</t>
        </is>
      </c>
      <c r="E23" s="11" t="inlineStr"/>
    </row>
    <row r="24">
      <c r="A24" s="12" t="inlineStr">
        <is>
          <t>Tierra desnuda</t>
        </is>
      </c>
      <c r="B24" s="20" t="n">
        <v>0.3409</v>
      </c>
      <c r="C24" s="21" t="n">
        <v>0.37</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91.29000000000001</v>
      </c>
      <c r="C26" s="25" t="inlineStr">
        <is>
          <t>—</t>
        </is>
      </c>
      <c r="D26" s="25" t="inlineStr">
        <is>
          <t>Desviación planimétrica frente al catálogo</t>
        </is>
      </c>
      <c r="E26" s="25" t="inlineStr">
        <is>
          <t>+0.03 %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0.73 % del polígono clasificado como «Vegetación alta» por el NDVI 2025; la observación de campo corresponde a una parcela o recorrido puntual y no es estadísticamente representativa de las 91.290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M7B6</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635150</v>
      </c>
      <c r="D10" s="26" t="n">
        <v>9399300</v>
      </c>
      <c r="E10" s="11" t="n">
        <v>211.8</v>
      </c>
      <c r="F10" s="11" t="inlineStr"/>
      <c r="G10" s="11" t="inlineStr">
        <is>
          <t>Coordenada consignada en F-DT-01</t>
        </is>
      </c>
    </row>
    <row r="11">
      <c r="A11" s="12" t="inlineStr">
        <is>
          <t>C-M7B6-01</t>
        </is>
      </c>
      <c r="B11" s="13" t="inlineStr">
        <is>
          <t>Rasgo erosivo — Cárcava somera — 125 m, 0.8 m prof., 1.6 m ancho</t>
        </is>
      </c>
      <c r="C11" s="27" t="n">
        <v>635180</v>
      </c>
      <c r="D11" s="27" t="n">
        <v>9399400</v>
      </c>
      <c r="E11" s="13" t="n">
        <v>315.9</v>
      </c>
      <c r="F11" s="13" t="inlineStr">
        <is>
          <t>Semi-activa</t>
        </is>
      </c>
      <c r="G11" s="13" t="inlineStr">
        <is>
          <t>Concentración natural de escorrentía</t>
        </is>
      </c>
    </row>
    <row r="12">
      <c r="A12" s="7" t="inlineStr">
        <is>
          <t>C-M7B6-02</t>
        </is>
      </c>
      <c r="B12" s="11" t="inlineStr">
        <is>
          <t>Rasgo erosivo — Cárcava incipiente — 70 m, 0.4 m prof., 0.7 m ancho</t>
        </is>
      </c>
      <c r="C12" s="26" t="n">
        <v>635300</v>
      </c>
      <c r="D12" s="26" t="n">
        <v>9399560</v>
      </c>
      <c r="E12" s="11" t="n">
        <v>505.1</v>
      </c>
      <c r="F12" s="11" t="inlineStr">
        <is>
          <t>Activa</t>
        </is>
      </c>
      <c r="G12" s="11" t="inlineStr">
        <is>
          <t>Caminos / huellas de ganado</t>
        </is>
      </c>
    </row>
    <row r="13">
      <c r="A13" s="12" t="inlineStr">
        <is>
          <t>H-01</t>
        </is>
      </c>
      <c r="B13" s="13" t="inlineStr">
        <is>
          <t>Fuente de agua — Quebrada estacional</t>
        </is>
      </c>
      <c r="C13" s="27" t="n">
        <v>635300</v>
      </c>
      <c r="D13" s="27" t="n">
        <v>9399520</v>
      </c>
      <c r="E13" s="13" t="n">
        <v>468.3</v>
      </c>
      <c r="F13" s="13" t="inlineStr">
        <is>
          <t>Estacional</t>
        </is>
      </c>
      <c r="G13" s="13" t="inlineStr">
        <is>
          <t>Quebrada que se activa en lluvias y atraviesa el sector poblado</t>
        </is>
      </c>
    </row>
    <row r="14">
      <c r="A14" s="7" t="inlineStr">
        <is>
          <t>H-02</t>
        </is>
      </c>
      <c r="B14" s="11" t="inlineStr">
        <is>
          <t>Fuente de agua — Río</t>
        </is>
      </c>
      <c r="C14" s="26" t="n">
        <v>634650</v>
      </c>
      <c r="D14" s="26" t="n">
        <v>9399200</v>
      </c>
      <c r="E14" s="11" t="n">
        <v>472.5</v>
      </c>
      <c r="F14" s="11" t="inlineStr">
        <is>
          <t>Permanente</t>
        </is>
      </c>
      <c r="G14" s="11" t="inlineStr">
        <is>
          <t>Río Serrán (tributario)</t>
        </is>
      </c>
    </row>
    <row r="15">
      <c r="A15" s="12" t="inlineStr">
        <is>
          <t>H-03</t>
        </is>
      </c>
      <c r="B15" s="13" t="inlineStr">
        <is>
          <t>Fuente de agua — Canal de riego</t>
        </is>
      </c>
      <c r="C15" s="27" t="n">
        <v>635950</v>
      </c>
      <c r="D15" s="27" t="n">
        <v>9399100</v>
      </c>
      <c r="E15" s="13" t="n">
        <v>840</v>
      </c>
      <c r="F15" s="13" t="inlineStr">
        <is>
          <t>Intermitente</t>
        </is>
      </c>
      <c r="G15" s="13" t="inlineStr">
        <is>
          <t>Riego de chacras del valle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635110</v>
      </c>
      <c r="C18" s="6" t="inlineStr">
        <is>
          <t>Centroide del bloque — UTM NORTE (m)</t>
        </is>
      </c>
      <c r="D18" s="7" t="n">
        <v>9399092</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COLINDA POR EL FLANCO ORIENTAL CON EL ÁREA URBANA DE SERRÁN Y EL SECTOR NUEVO SAN JUAN. SE OBSERVAN VIVIENDAS CON MUROS DERRUIDOS Y DAÑOS A INFRAESTRUCTURA ASOCIADOS A LA ACTIVACIÓN DE QUEBRADAS Y AVENIDAS DE PRECIPITACIÓN EN TEMPORADA DE LLUVIAS, según refieren los pobladores. Inspección realizada el 19-05-2026. BLOQUE CONTIGUO A M2B1.</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M7B6</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M7B1</t>
        </is>
      </c>
      <c r="B10" s="28" t="n">
        <v>130.43</v>
      </c>
      <c r="C10" s="19" t="n">
        <v>32.38</v>
      </c>
      <c r="D10" s="11" t="inlineStr">
        <is>
          <t>183 – 357</t>
        </is>
      </c>
      <c r="E10" s="11" t="n">
        <v>174</v>
      </c>
      <c r="F10" s="11" t="n">
        <v>17.35</v>
      </c>
      <c r="G10" s="18" t="n">
        <v>0.3136</v>
      </c>
      <c r="H10" s="19" t="n">
        <v>4.28</v>
      </c>
    </row>
    <row r="11">
      <c r="A11" s="12" t="inlineStr">
        <is>
          <t>M7B2</t>
        </is>
      </c>
      <c r="B11" s="29" t="n">
        <v>115.38</v>
      </c>
      <c r="C11" s="21" t="n">
        <v>28.64</v>
      </c>
      <c r="D11" s="13" t="inlineStr">
        <is>
          <t>204 – 362</t>
        </is>
      </c>
      <c r="E11" s="13" t="n">
        <v>158</v>
      </c>
      <c r="F11" s="13" t="n">
        <v>14.01</v>
      </c>
      <c r="G11" s="20" t="n">
        <v>0.2877</v>
      </c>
      <c r="H11" s="21" t="n">
        <v>0.91</v>
      </c>
    </row>
    <row r="12">
      <c r="A12" s="14" t="inlineStr">
        <is>
          <t>► M7B6</t>
        </is>
      </c>
      <c r="B12" s="30" t="n">
        <v>91.29000000000001</v>
      </c>
      <c r="C12" s="31" t="n">
        <v>22.66</v>
      </c>
      <c r="D12" s="15" t="inlineStr">
        <is>
          <t>228 – 453</t>
        </is>
      </c>
      <c r="E12" s="15" t="n">
        <v>225</v>
      </c>
      <c r="F12" s="15" t="n">
        <v>16.87</v>
      </c>
      <c r="G12" s="32" t="n">
        <v>0.2878</v>
      </c>
      <c r="H12" s="31" t="n">
        <v>0.73</v>
      </c>
    </row>
    <row r="13">
      <c r="A13" s="12" t="inlineStr">
        <is>
          <t>M7B3</t>
        </is>
      </c>
      <c r="B13" s="29" t="n">
        <v>65.73999999999999</v>
      </c>
      <c r="C13" s="21" t="n">
        <v>16.32</v>
      </c>
      <c r="D13" s="13" t="inlineStr">
        <is>
          <t>209 – 372</t>
        </is>
      </c>
      <c r="E13" s="13" t="n">
        <v>163</v>
      </c>
      <c r="F13" s="13" t="n">
        <v>19.61</v>
      </c>
      <c r="G13" s="20" t="n">
        <v>0.298</v>
      </c>
      <c r="H13" s="21" t="n">
        <v>1.32</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row>
    <row r="16" ht="84" customHeight="1">
      <c r="A16" s="9" t="inlineStr">
        <is>
          <t>LECTURA INTRAMICROCUENCA. El bloque M7B6 ocupa el puesto 3 de 4 por superficie dentro de la microcuenca C1076-Q9581 (22.66 % de las 402.84 ha preliminares de la microcuenca). Su pendiente promedio (16.87 %, clase «15-25% (Fuert. inclinado)») es la 2.ª más baja de 4 y se sitúa por debajo del promedio de la microcuenca (16.96 %). Su MSAVI 2024 (0.2878) es el 3.º de 4 y queda por debajo del promedio local (0.2968). Amplitud altitudinal del bloque: 225 m (228–453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18:H18"/>
    <mergeCell ref="A3:H3"/>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212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(91.317 ha) coincide con la de catálogo (91.29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55 % de cobertura vegetal en campo; el NDVI mediana 2025 clasifica 99.62 %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«Serrán / Nuevo San Juan»; el cruce INEI-Bloques V5 identifica 3 centro(s) poblado(s) en el bloque: NUEVO SAN JUAN, SANTA ROSA, SERRAN</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(250 msnm)</t>
        </is>
      </c>
    </row>
    <row r="19" ht="48" customHeight="1">
      <c r="A19" s="36" t="inlineStr">
        <is>
          <t>D-10</t>
        </is>
      </c>
      <c r="B19" s="36" t="inlineStr">
        <is>
          <t>F-DT-01</t>
        </is>
      </c>
      <c r="C19" s="36" t="inlineStr">
        <is>
          <t>Viviendas con muros derruidos y daños a infraestructura por activación de quebradas en el flanco oriental (Serrán / Nuevo San Juan)</t>
        </is>
      </c>
      <c r="D19" s="37" t="inlineStr">
        <is>
          <t>SUSTANTIVA</t>
        </is>
      </c>
      <c r="E19" s="36" t="inlineStr">
        <is>
          <t>Elementos expuestos urbanos inmediatos: incorporar al análisis de riesgo y priorizar el control de escorrentía</t>
        </is>
      </c>
    </row>
    <row r="20" ht="48" customHeight="1">
      <c r="A20" s="34" t="inlineStr">
        <is>
          <t>D-11</t>
        </is>
      </c>
      <c r="B20" s="34" t="inlineStr">
        <is>
          <t>F-DT-02 / F-DT-04</t>
        </is>
      </c>
      <c r="C20" s="34" t="inlineStr">
        <is>
          <t>Urgencia de control de erosión MEDIA frente a urgencia de intervención ALTA</t>
        </is>
      </c>
      <c r="D20" s="15" t="inlineStr">
        <is>
          <t>NO SUSTANTIVA</t>
        </is>
      </c>
      <c r="E20" s="34" t="inlineStr">
        <is>
          <t>Resolver en la carga definitiva</t>
        </is>
      </c>
    </row>
    <row r="21" ht="48" customHeight="1">
      <c r="A21" s="36" t="inlineStr">
        <is>
          <t>D-12</t>
        </is>
      </c>
      <c r="B21" s="36" t="inlineStr">
        <is>
          <t>F-DT-03</t>
        </is>
      </c>
      <c r="C21" s="36" t="inlineStr">
        <is>
          <t>Categoría del Hualtaco consignada VU y del Palo Santo NT, frente a CR en la mayoría de los bloques</t>
        </is>
      </c>
      <c r="D21" s="37" t="inlineStr">
        <is>
          <t>SUSTANTIVA</t>
        </is>
      </c>
      <c r="E21" s="36" t="inlineStr">
        <is>
          <t>Homogeneizar criterio de categorización</t>
        </is>
      </c>
    </row>
    <row r="22" ht="48" customHeight="1">
      <c r="A22" s="34" t="inlineStr">
        <is>
          <t>D-13</t>
        </is>
      </c>
      <c r="B22" s="34" t="inlineStr">
        <is>
          <t>F-DT-03</t>
        </is>
      </c>
      <c r="C22" s="34" t="inlineStr">
        <is>
          <t>Solo 12 taxones registrados frente al mínimo de 15 exigido</t>
        </is>
      </c>
      <c r="D22" s="15" t="inlineStr">
        <is>
          <t>NO SUSTANTIVA</t>
        </is>
      </c>
      <c r="E22" s="34" t="inlineStr">
        <is>
          <t>Inventario a completar</t>
        </is>
      </c>
    </row>
    <row r="23" ht="48" customHeight="1">
      <c r="A23" s="36" t="inlineStr">
        <is>
          <t>D-14</t>
        </is>
      </c>
      <c r="B23" s="36" t="inlineStr">
        <is>
          <t>F-DT-04</t>
        </is>
      </c>
      <c r="C23" s="36" t="inlineStr">
        <is>
          <t>Expansión urbana FUERTE (15%, 5 años) sobre el pie de ladera del bloque</t>
        </is>
      </c>
      <c r="D23" s="37" t="inlineStr">
        <is>
          <t>SUSTANTIVA</t>
        </is>
      </c>
      <c r="E23" s="36" t="inlineStr">
        <is>
          <t>Tamizaje predial y coordinación con la municipalidad de Salitral</t>
        </is>
      </c>
    </row>
    <row r="24" ht="48" customHeight="1">
      <c r="A24" s="34" t="inlineStr">
        <is>
          <t>D-15</t>
        </is>
      </c>
      <c r="B24" s="34" t="inlineStr">
        <is>
          <t>F-DT-04</t>
        </is>
      </c>
      <c r="C24" s="34" t="inlineStr">
        <is>
          <t>Extracción de áridos en la cantera Río Serrán colindante</t>
        </is>
      </c>
      <c r="D24" s="37" t="inlineStr">
        <is>
          <t>SUSTANTIVA</t>
        </is>
      </c>
      <c r="E24" s="34" t="inlineStr">
        <is>
          <t>Pasivo ambiental: incorporar al diagnóstico</t>
        </is>
      </c>
    </row>
    <row r="25" ht="48" customHeight="1">
      <c r="A25" s="36" t="inlineStr">
        <is>
          <t>D-16</t>
        </is>
      </c>
      <c r="B25" s="36" t="inlineStr">
        <is>
          <t>F-DT-03</t>
        </is>
      </c>
      <c r="C25" s="36" t="inlineStr">
        <is>
          <t>Altura del estrato dominante 1.5 m y dosel 10%: pérdida de estructura forestal</t>
        </is>
      </c>
      <c r="D25" s="37" t="inlineStr">
        <is>
          <t>SUSTANTIVA</t>
        </is>
      </c>
      <c r="E25" s="36" t="inlineStr">
        <is>
          <t>El bloque requiere restauración activa, no solo pasiva</t>
        </is>
      </c>
    </row>
    <row r="27">
      <c r="A27" s="16" t="inlineStr">
        <is>
          <t>RESUMEN</t>
        </is>
      </c>
      <c r="B27" s="17" t="inlineStr">
        <is>
          <t>16 verificaciones</t>
        </is>
      </c>
      <c r="C27" s="17" t="inlineStr">
        <is>
          <t>CONFORME: 4 · CORREGIDO: 1 · NO SUSTANTIVA: 3 · SUSTANTIVA: 8</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M7B6 — IN Piura</dc:title>
  <dc:subject>Diagnóstico Territorial por bloque de intervención</dc:subject>
  <dcterms:created xsi:type="dcterms:W3CDTF">2026-09-08T02:45:06Z</dcterms:created>
  <dcterms:modified xsi:type="dcterms:W3CDTF">2026-09-08T02:45:06Z</dcterms:modified>
</cp:coreProperties>
</file>