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F8CBAD"/>
      </patternFill>
    </fill>
    <fill>
      <patternFill patternType="solid">
        <fgColor rgb="00D9E1F2"/>
      </patternFill>
    </fill>
  </fills>
  <borders count="2">
    <border>
      <left/>
      <right/>
      <top/>
      <bottom/>
      <diagonal/>
    </border>
    <border>
      <left style="thin">
        <color rgb="009C9C9C"/>
      </left>
      <right style="thin">
        <color rgb="009C9C9C"/>
      </right>
      <top style="thin">
        <color rgb="009C9C9C"/>
      </top>
      <bottom style="thin">
        <color rgb="009C9C9C"/>
      </bottom>
    </border>
  </borders>
  <cellStyleXfs count="1">
    <xf numFmtId="0" fontId="0" fillId="0" borderId="0"/>
  </cellStyleXfs>
  <cellXfs count="38">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4"/>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31</t>
        </is>
      </c>
    </row>
    <row r="6" ht="24" customHeight="1">
      <c r="A6" s="4" t="inlineStr">
        <is>
          <t>Diagnóstico Territorial — Plantilla DT Campo Check Validada V5 | Sistema de referencia: UTM WGS 84 Zona 17S (EPSG:32717)</t>
        </is>
      </c>
    </row>
    <row r="8" ht="18" customHeight="1">
      <c r="A8" s="5" t="inlineStr">
        <is>
          <t>1. IDENTIFICACIÓN Y LOCALIZACIÓN</t>
        </is>
      </c>
    </row>
    <row r="9">
      <c r="A9" s="6" t="inlineStr">
        <is>
          <t>Código del bloque</t>
        </is>
      </c>
      <c r="B9" s="7" t="inlineStr">
        <is>
          <t>31</t>
        </is>
      </c>
      <c r="C9" s="6" t="inlineStr">
        <is>
          <t>Microcuenca (catálogo)</t>
        </is>
      </c>
      <c r="D9" s="7" t="inlineStr">
        <is>
          <t>C1076-Q9592</t>
        </is>
      </c>
      <c r="E9" s="8" t="n"/>
      <c r="F9" s="8" t="n"/>
    </row>
    <row r="10">
      <c r="A10" s="6" t="inlineStr">
        <is>
          <t>Zona de planificación</t>
        </is>
      </c>
      <c r="B10" s="7" t="inlineStr">
        <is>
          <t>Z13</t>
        </is>
      </c>
      <c r="C10" s="6" t="inlineStr">
        <is>
          <t>Microcuenca declarada en ficha DT</t>
        </is>
      </c>
      <c r="D10" s="7" t="inlineStr">
        <is>
          <t>C1076-Q9584</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Huarmaca</t>
        </is>
      </c>
      <c r="C12" s="6" t="inlineStr">
        <is>
          <t>Capital distrital</t>
        </is>
      </c>
      <c r="D12" s="7" t="inlineStr">
        <is>
          <t>Huarmaca</t>
        </is>
      </c>
      <c r="E12" s="8" t="n"/>
      <c r="F12" s="8" t="n"/>
    </row>
    <row r="13">
      <c r="A13" s="6" t="inlineStr">
        <is>
          <t>Centro poblado asociado</t>
        </is>
      </c>
      <c r="B13" s="7" t="inlineStr">
        <is>
          <t>Molle y Hualanga Pampa</t>
        </is>
      </c>
      <c r="C13" s="6" t="inlineStr">
        <is>
          <t>Comunidad campesina</t>
        </is>
      </c>
      <c r="D13" s="7" t="inlineStr">
        <is>
          <t>Por verificar (tamizaje predial pendiente)</t>
        </is>
      </c>
      <c r="E13" s="8" t="n"/>
      <c r="F13" s="8" t="n"/>
    </row>
    <row r="14">
      <c r="A14" s="6" t="inlineStr">
        <is>
          <t>Superficie de catálogo (V5/V6), ha</t>
        </is>
      </c>
      <c r="B14" s="7" t="n">
        <v>47.58</v>
      </c>
      <c r="C14" s="6" t="inlineStr">
        <is>
          <t>Fuente de superficie</t>
        </is>
      </c>
      <c r="D14" s="7" t="inlineStr">
        <is>
          <t>Catálogo maestro Bloques V5/V6</t>
        </is>
      </c>
      <c r="E14" s="8" t="n"/>
      <c r="F14" s="8" t="n"/>
    </row>
    <row r="15">
      <c r="A15" s="6" t="inlineStr">
        <is>
          <t>Centroide UTM ESTE (m)</t>
        </is>
      </c>
      <c r="B15" s="7" t="n">
        <v>663334</v>
      </c>
      <c r="C15" s="6" t="inlineStr">
        <is>
          <t>Centroide UTM NORTE (m)</t>
        </is>
      </c>
      <c r="D15" s="7" t="n">
        <v>9392820</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8" ht="18" customHeight="1">
      <c r="A18" s="5" t="inlineStr">
        <is>
          <t>2. PARÁMETROS FÍSICOS (ESTADÍSTICA ZONAL SOBRE MDE)</t>
        </is>
      </c>
    </row>
    <row r="19">
      <c r="A19" s="6" t="inlineStr">
        <is>
          <t>Altitud mínima (msnm)</t>
        </is>
      </c>
      <c r="B19" s="7" t="n">
        <v>1741</v>
      </c>
      <c r="C19" s="6" t="inlineStr">
        <is>
          <t>Altitud máxima (msnm)</t>
        </is>
      </c>
      <c r="D19" s="7" t="n">
        <v>2234</v>
      </c>
      <c r="E19" s="8" t="n"/>
      <c r="F19" s="8" t="n"/>
    </row>
    <row r="20">
      <c r="A20" s="6" t="inlineStr">
        <is>
          <t>Amplitud altitudinal (m)</t>
        </is>
      </c>
      <c r="B20" s="7" t="n">
        <v>493</v>
      </c>
      <c r="C20" s="6" t="inlineStr">
        <is>
          <t>Piso altitudinal dominante</t>
        </is>
      </c>
      <c r="D20" s="7" t="inlineStr">
        <is>
          <t>1500-2000 m (Quechua media)</t>
        </is>
      </c>
      <c r="E20" s="8" t="n"/>
      <c r="F20" s="8" t="n"/>
    </row>
    <row r="21">
      <c r="A21" s="6" t="inlineStr">
        <is>
          <t>Pendiente promedio (%)</t>
        </is>
      </c>
      <c r="B21" s="7" t="n">
        <v>27.08</v>
      </c>
      <c r="C21" s="6" t="inlineStr">
        <is>
          <t>Pendiente promedio (grados)</t>
        </is>
      </c>
      <c r="D21" s="7" t="n">
        <v>15.2</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Sur</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Sí</t>
        </is>
      </c>
      <c r="E25" s="8" t="n"/>
      <c r="F25" s="8" t="n"/>
    </row>
    <row r="27" ht="18" customHeight="1">
      <c r="A27" s="5" t="inlineStr">
        <is>
          <t>3. ÍNDICES DE VEGETACIÓN (SENTINEL-2)</t>
        </is>
      </c>
    </row>
    <row r="28">
      <c r="A28" s="6" t="inlineStr">
        <is>
          <t>MSAVI 2024 — media del bloque</t>
        </is>
      </c>
      <c r="B28" s="7" t="n">
        <v>0.4358</v>
      </c>
      <c r="C28" s="6" t="inlineStr">
        <is>
          <t>MSAVI 2024 — clase de la media</t>
        </is>
      </c>
      <c r="D28" s="7" t="inlineStr">
        <is>
          <t>0.3813 - 0.4976 (Vigor bajo)</t>
        </is>
      </c>
      <c r="E28" s="8" t="n"/>
      <c r="F28" s="8" t="n"/>
    </row>
    <row r="29">
      <c r="A29" s="6" t="inlineStr">
        <is>
          <t>Condición frente al umbral 0.4976</t>
        </is>
      </c>
      <c r="B29" s="7" t="inlineStr">
        <is>
          <t>BAJO umbral 0.4976</t>
        </is>
      </c>
      <c r="C29" s="6" t="inlineStr">
        <is>
          <t>NDVI mediana 2025 — clase modal</t>
        </is>
      </c>
      <c r="D29" s="7" t="inlineStr">
        <is>
          <t>Vegetación mediana (68.50 %)</t>
        </is>
      </c>
      <c r="E29" s="8" t="n"/>
      <c r="F29" s="8" t="n"/>
    </row>
    <row r="30">
      <c r="A30" s="6" t="inlineStr">
        <is>
          <t>Superficie clasificada NDVI 2025 (ha)</t>
        </is>
      </c>
      <c r="B30" s="7" t="n">
        <v>47.588</v>
      </c>
      <c r="C30" s="6" t="inlineStr">
        <is>
          <t>Desviación frente al catálogo (%)</t>
        </is>
      </c>
      <c r="D30" s="7" t="n">
        <v>0.02</v>
      </c>
      <c r="E30" s="8" t="n"/>
      <c r="F30" s="8" t="n"/>
    </row>
    <row r="32" ht="18" customHeight="1">
      <c r="A32" s="5" t="inlineStr">
        <is>
          <t>4. ECOSISTEMA Y ESTADO DE CONSERVACIÓN</t>
        </is>
      </c>
    </row>
    <row r="33">
      <c r="A33" s="6" t="inlineStr">
        <is>
          <t>Tipo de ecosistema (UP)</t>
        </is>
      </c>
      <c r="B33" s="7" t="inlineStr">
        <is>
          <t>Matorral Andino semiárido</t>
        </is>
      </c>
      <c r="C33" s="6" t="inlineStr">
        <is>
          <t>Superficie de ecosistema (ha)</t>
        </is>
      </c>
      <c r="D33" s="7" t="inlineStr">
        <is>
          <t>Por determinar (intersección con capa nacional MINAM pendiente)</t>
        </is>
      </c>
      <c r="E33" s="8" t="n"/>
      <c r="F33" s="8" t="n"/>
    </row>
    <row r="34">
      <c r="A34" s="6" t="inlineStr">
        <is>
          <t>Estado de conservación</t>
        </is>
      </c>
      <c r="B34" s="7" t="inlineStr">
        <is>
          <t>Muy alterado / Degradado</t>
        </is>
      </c>
      <c r="C34" s="6" t="inlineStr">
        <is>
          <t>Uso actual dominante del suelo</t>
        </is>
      </c>
      <c r="D34" s="7" t="inlineStr">
        <is>
          <t>Pastoreo extensivo</t>
        </is>
      </c>
      <c r="E34" s="8" t="n"/>
      <c r="F34" s="8" t="n"/>
    </row>
    <row r="35">
      <c r="A35" s="6" t="inlineStr">
        <is>
          <t>Tipo de cobertura dominante</t>
        </is>
      </c>
      <c r="B35" s="7" t="inlineStr">
        <is>
          <t>Mixto / Mosaico</t>
        </is>
      </c>
      <c r="C35" s="6" t="inlineStr">
        <is>
          <t>Cobertura vegetal total — campo (%)</t>
        </is>
      </c>
      <c r="D35" s="7" t="inlineStr">
        <is>
          <t>70 - 80</t>
        </is>
      </c>
      <c r="E35" s="8" t="n"/>
      <c r="F35" s="8" t="n"/>
    </row>
    <row r="36">
      <c r="A36" s="6" t="inlineStr">
        <is>
          <t>Suelo desnudo — campo (%)</t>
        </is>
      </c>
      <c r="B36" s="7" t="inlineStr">
        <is>
          <t>10 - 20</t>
        </is>
      </c>
      <c r="C36" s="6" t="inlineStr">
        <is>
          <t>Regeneración natural</t>
        </is>
      </c>
      <c r="D36" s="7" t="inlineStr">
        <is>
          <t>Escasa (&lt;10 pl./100m²)</t>
        </is>
      </c>
      <c r="E36" s="8" t="n"/>
      <c r="F36" s="8" t="n"/>
    </row>
    <row r="37">
      <c r="A37" s="6" t="inlineStr">
        <is>
          <t>Nivel general de erosión</t>
        </is>
      </c>
      <c r="B37" s="7" t="inlineStr">
        <is>
          <t>Fuerte (cárcavas incipientes)</t>
        </is>
      </c>
      <c r="C37" s="6" t="inlineStr">
        <is>
          <t>N.° de cárcavas registradas</t>
        </is>
      </c>
      <c r="D37" s="7" t="inlineStr">
        <is>
          <t>Sin inventario</t>
        </is>
      </c>
      <c r="E37" s="8" t="n"/>
      <c r="F37" s="8" t="n"/>
    </row>
    <row r="38">
      <c r="A38" s="6" t="inlineStr">
        <is>
          <t>Elenco florístico (n.° de taxones)</t>
        </is>
      </c>
      <c r="B38" s="7" t="n">
        <v>12</v>
      </c>
      <c r="C38" s="6" t="inlineStr">
        <is>
          <t>Estado sanitario</t>
        </is>
      </c>
      <c r="D38" s="7" t="inlineStr">
        <is>
          <t>Sano</t>
        </is>
      </c>
      <c r="E38" s="8" t="n"/>
      <c r="F38" s="8" t="n"/>
    </row>
    <row r="40" ht="18" customHeight="1">
      <c r="A40" s="5" t="inlineStr">
        <is>
          <t>5. RESPONSABLE Y MODALIDAD DE LA EVALUACIÓN</t>
        </is>
      </c>
    </row>
    <row r="41">
      <c r="A41" s="6" t="inlineStr">
        <is>
          <t>Responsable de la evaluación</t>
        </is>
      </c>
      <c r="B41" s="7" t="inlineStr">
        <is>
          <t>Ing. Pedro Talledo Hernández</t>
        </is>
      </c>
      <c r="C41" s="6" t="inlineStr">
        <is>
          <t>Fecha de evaluación</t>
        </is>
      </c>
      <c r="D41" s="7" t="inlineStr">
        <is>
          <t>2026-08-21</t>
        </is>
      </c>
      <c r="E41" s="8" t="n"/>
      <c r="F41" s="8" t="n"/>
    </row>
    <row r="42">
      <c r="A42" s="6" t="inlineStr">
        <is>
          <t>Hora de registro</t>
        </is>
      </c>
      <c r="B42" s="7" t="inlineStr">
        <is>
          <t>12:09 - 12:25 h</t>
        </is>
      </c>
      <c r="C42" s="6" t="inlineStr">
        <is>
          <t>Correlativo de ficha</t>
        </is>
      </c>
      <c r="D42" s="7" t="inlineStr">
        <is>
          <t>F-DT-01-B31-2026</t>
        </is>
      </c>
      <c r="E42" s="8" t="n"/>
      <c r="F42" s="8" t="n"/>
    </row>
    <row r="43">
      <c r="A43" s="6" t="inlineStr">
        <is>
          <t>Entidad</t>
        </is>
      </c>
      <c r="B43" s="7" t="inlineStr">
        <is>
          <t>ANIN - DIME - SESDI</t>
        </is>
      </c>
      <c r="C43" s="6" t="inlineStr">
        <is>
          <t>Fase del estudio</t>
        </is>
      </c>
      <c r="D43" s="7" t="inlineStr">
        <is>
          <t>Preinversión (Perfil) · Invierte.pe</t>
        </is>
      </c>
      <c r="E43" s="8" t="n"/>
      <c r="F43" s="8" t="n"/>
    </row>
    <row r="44">
      <c r="A44" s="6" t="inlineStr">
        <is>
          <t>Instrumento aplicado</t>
        </is>
      </c>
      <c r="B44" s="7" t="inlineStr">
        <is>
          <t>Fichas F-DT-01 a F-DT-05 (Plantilla V5)</t>
        </is>
      </c>
      <c r="C44" s="6" t="inlineStr">
        <is>
          <t>Parcela de muestreo</t>
        </is>
      </c>
      <c r="D44" s="7" t="inlineStr">
        <is>
          <t>No instalada</t>
        </is>
      </c>
      <c r="E44" s="8" t="n"/>
      <c r="F44" s="8" t="n"/>
    </row>
    <row r="45">
      <c r="A45" s="6" t="inlineStr">
        <is>
          <t>Estaciones fotográficas georreferenciadas</t>
        </is>
      </c>
      <c r="B45" s="7" t="n">
        <v>7</v>
      </c>
      <c r="C45" s="6" t="inlineStr">
        <is>
          <t>Modalidad de acceso</t>
        </is>
      </c>
      <c r="D45" s="7" t="inlineStr">
        <is>
          <t>Vehicular 4x4 hasta el bloque</t>
        </is>
      </c>
      <c r="E45" s="8" t="n"/>
      <c r="F45" s="8" t="n"/>
    </row>
    <row r="47" ht="18" customHeight="1">
      <c r="A47" s="5" t="inlineStr">
        <is>
          <t>6. SÍNTESIS PARA LA GESTIÓN DEL RIESGO EN CONTEXTO DE CAMBIO CLIMÁTICO</t>
        </is>
      </c>
    </row>
    <row r="48">
      <c r="A48" s="6" t="inlineStr">
        <is>
          <t>Causa subyacente principal</t>
        </is>
      </c>
      <c r="B48" s="7" t="inlineStr">
        <is>
          <t>Ganadería extensiva sin ordenamiento de carga ni calendario de pastoreo, sobre predios sin acuerdos de conservación</t>
        </is>
      </c>
      <c r="C48" s="6" t="inlineStr">
        <is>
          <t>Velocidad de degradación</t>
        </is>
      </c>
      <c r="D48" s="7" t="inlineStr">
        <is>
          <t>Moderada</t>
        </is>
      </c>
      <c r="E48" s="8" t="n"/>
      <c r="F48" s="8" t="n"/>
    </row>
    <row r="49">
      <c r="A49" s="6" t="inlineStr">
        <is>
          <t>Reversibilidad técnica</t>
        </is>
      </c>
      <c r="B49" s="7" t="inlineStr">
        <is>
          <t>Parcialmente reversible</t>
        </is>
      </c>
      <c r="C49" s="6" t="inlineStr">
        <is>
          <t>Urgencia de intervención</t>
        </is>
      </c>
      <c r="D49" s="7" t="inlineStr">
        <is>
          <t>Alta</t>
        </is>
      </c>
      <c r="E49" s="8" t="n"/>
      <c r="F49" s="8" t="n"/>
    </row>
    <row r="50">
      <c r="A50" s="6" t="inlineStr">
        <is>
          <t>Urgencia de control de erosión</t>
        </is>
      </c>
      <c r="B50" s="7" t="inlineStr">
        <is>
          <t>Alta</t>
        </is>
      </c>
      <c r="C50" s="6" t="inlineStr">
        <is>
          <t>Zona de recarga hídrica</t>
        </is>
      </c>
      <c r="D50" s="7" t="inlineStr">
        <is>
          <t>Sí</t>
        </is>
      </c>
      <c r="E50" s="8" t="n"/>
      <c r="F50" s="8" t="n"/>
    </row>
    <row r="51">
      <c r="A51" s="6" t="inlineStr">
        <is>
          <t>Peligro integrado preliminar (MCA-AHP)</t>
        </is>
      </c>
      <c r="B51" s="7" t="inlineStr">
        <is>
          <t>No disponible en los insumos; debe tomarse del modelamiento de mesolocalización</t>
        </is>
      </c>
      <c r="C51" s="6" t="inlineStr">
        <is>
          <t>Prioridad de intervención</t>
        </is>
      </c>
      <c r="D51" s="7" t="inlineStr">
        <is>
          <t>Por definir en mesolocalización</t>
        </is>
      </c>
      <c r="E51" s="8" t="n"/>
      <c r="F51" s="8" t="n"/>
    </row>
    <row r="52">
      <c r="A52" s="6" t="inlineStr">
        <is>
          <t>Estado de verificación de campo</t>
        </is>
      </c>
      <c r="B52" s="7" t="inlineStr">
        <is>
          <t>VERIFICADO</t>
        </is>
      </c>
      <c r="C52" s="6" t="inlineStr">
        <is>
          <t>Marco del indicador de brecha</t>
        </is>
      </c>
      <c r="D52" s="7" t="inlineStr">
        <is>
          <t>R.M. N.° 00213-2024-MINAM</t>
        </is>
      </c>
      <c r="E52" s="8" t="n"/>
      <c r="F52" s="8" t="n"/>
    </row>
    <row r="54" ht="72" customHeight="1">
      <c r="A54"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t>
        </is>
      </c>
    </row>
  </sheetData>
  <mergeCells count="13">
    <mergeCell ref="A2:F2"/>
    <mergeCell ref="A54:F54"/>
    <mergeCell ref="A47:F47"/>
    <mergeCell ref="A1:F1"/>
    <mergeCell ref="A5:F5"/>
    <mergeCell ref="A32:F32"/>
    <mergeCell ref="A27:F27"/>
    <mergeCell ref="A8:F8"/>
    <mergeCell ref="A6:F6"/>
    <mergeCell ref="A40:F40"/>
    <mergeCell ref="A18:F18"/>
    <mergeCell ref="A4:F4"/>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8"/>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31</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t>
        </is>
      </c>
      <c r="B10" s="11" t="inlineStr">
        <is>
          <t>Por determinar</t>
        </is>
      </c>
      <c r="C10" s="11" t="inlineStr">
        <is>
          <t>Por determinar</t>
        </is>
      </c>
      <c r="D10" s="11" t="inlineStr">
        <is>
          <t>Vigor alto</t>
        </is>
      </c>
      <c r="E10" s="11" t="inlineStr">
        <is>
          <t>Sobre umbral</t>
        </is>
      </c>
    </row>
    <row r="11">
      <c r="A11" s="12" t="inlineStr">
        <is>
          <t>0.4976 - 0.6139</t>
        </is>
      </c>
      <c r="B11" s="13" t="inlineStr">
        <is>
          <t>Por determinar</t>
        </is>
      </c>
      <c r="C11" s="13" t="inlineStr">
        <is>
          <t>Por determinar</t>
        </is>
      </c>
      <c r="D11" s="13" t="inlineStr">
        <is>
          <t>Vigor moderado</t>
        </is>
      </c>
      <c r="E11" s="13" t="inlineStr">
        <is>
          <t>Sobre umbral</t>
        </is>
      </c>
    </row>
    <row r="12">
      <c r="A12" s="14" t="inlineStr">
        <is>
          <t>0.3813 - 0.4976</t>
        </is>
      </c>
      <c r="B12" s="15" t="inlineStr">
        <is>
          <t>Por determinar</t>
        </is>
      </c>
      <c r="C12" s="15" t="inlineStr">
        <is>
          <t>Por determinar</t>
        </is>
      </c>
      <c r="D12" s="15" t="inlineStr">
        <is>
          <t>Vigor bajo</t>
        </is>
      </c>
      <c r="E12" s="15" t="inlineStr">
        <is>
          <t>BAJO umbral 0.4976</t>
        </is>
      </c>
    </row>
    <row r="13">
      <c r="A13" s="12" t="inlineStr">
        <is>
          <t>0.2650 - 0.3813</t>
        </is>
      </c>
      <c r="B13" s="13" t="inlineStr">
        <is>
          <t>Por determinar</t>
        </is>
      </c>
      <c r="C13" s="13" t="inlineStr">
        <is>
          <t>Por determinar</t>
        </is>
      </c>
      <c r="D13" s="13" t="inlineStr">
        <is>
          <t>Vigor muy bajo</t>
        </is>
      </c>
      <c r="E13" s="13" t="inlineStr">
        <is>
          <t>BAJO umbral 0.4976</t>
        </is>
      </c>
    </row>
    <row r="14">
      <c r="A14" s="7" t="inlineStr">
        <is>
          <t>&lt;= 0.2650</t>
        </is>
      </c>
      <c r="B14" s="11" t="inlineStr">
        <is>
          <t>Por determinar</t>
        </is>
      </c>
      <c r="C14" s="11" t="inlineStr">
        <is>
          <t>Por determinar</t>
        </is>
      </c>
      <c r="D14" s="11" t="inlineStr">
        <is>
          <t>Suelo desnudo / no vegetal</t>
        </is>
      </c>
      <c r="E14" s="11" t="inlineStr">
        <is>
          <t>BAJO umbral 0.4976</t>
        </is>
      </c>
    </row>
    <row r="15">
      <c r="A15" s="16" t="inlineStr">
        <is>
          <t>MSAVI 2024 — MEDIA DEL BLOQUE</t>
        </is>
      </c>
      <c r="B15" s="17" t="n">
        <v>0.435805</v>
      </c>
      <c r="C15" s="17" t="inlineStr">
        <is>
          <t>—</t>
        </is>
      </c>
      <c r="D15" s="17" t="inlineStr">
        <is>
          <t>Vigor bajo · clase 0.3813 - 0.4976</t>
        </is>
      </c>
      <c r="E15" s="17" t="inlineStr">
        <is>
          <t>BAJO umbral 0.4976</t>
        </is>
      </c>
    </row>
    <row r="17" ht="72" customHeight="1">
      <c r="A17" s="9" t="inlineStr">
        <is>
          <t>NOTA METODOLÓGICA. La media del MSAVI 2024 del bloque (0.435805) procede del catálogo maestro de bloques V5/V6 y es dato oficial. La DISTRIBUCIÓN AREAL por clase de MSAVI no está disponible como estadística zonal en los insumos de este entregable: se consigna «Por determinar» y NO se estima, conforme a la declaración de integridad de datos del proyecto. La fila resaltada indica la clase en la que cae la media del bloque. Para el dimensionamiento de metas físicas debe ejecutarse estadística zonal directa sobre el ráster MSAVI 2024 recortado al polígono.</t>
        </is>
      </c>
    </row>
    <row r="19" ht="18" customHeight="1">
      <c r="A19" s="5" t="inlineStr">
        <is>
          <t>B. NDVI MEDIANA 2025 — DISTRIBUCIÓN AREAL (ESTADÍSTICA ZONAL)</t>
        </is>
      </c>
    </row>
    <row r="20" ht="28" customHeight="1">
      <c r="A20" s="10" t="inlineStr">
        <is>
          <t>Clase NDVI</t>
        </is>
      </c>
      <c r="B20" s="10" t="inlineStr">
        <is>
          <t>Superficie (ha)</t>
        </is>
      </c>
      <c r="C20" s="10" t="inlineStr">
        <is>
          <t>% del área clasificada</t>
        </is>
      </c>
      <c r="D20" s="10" t="inlineStr">
        <is>
          <t>Interpretación</t>
        </is>
      </c>
      <c r="E20" s="10" t="inlineStr">
        <is>
          <t>Observación</t>
        </is>
      </c>
    </row>
    <row r="21">
      <c r="A21" s="7" t="inlineStr">
        <is>
          <t>Vegetación alta</t>
        </is>
      </c>
      <c r="B21" s="18" t="n">
        <v>8.8344</v>
      </c>
      <c r="C21" s="19" t="n">
        <v>18.56</v>
      </c>
      <c r="D21" s="11" t="inlineStr">
        <is>
          <t>Dosel continuo, matorral denso o mosaico agroforestal</t>
        </is>
      </c>
      <c r="E21" s="11" t="inlineStr"/>
    </row>
    <row r="22">
      <c r="A22" s="12" t="inlineStr">
        <is>
          <t>Vegetación mediana</t>
        </is>
      </c>
      <c r="B22" s="20" t="n">
        <v>32.598</v>
      </c>
      <c r="C22" s="21" t="n">
        <v>68.5</v>
      </c>
      <c r="D22" s="13" t="inlineStr">
        <is>
          <t>Pastizal cultivado, matorral ralo, parcelas agrícolas</t>
        </is>
      </c>
      <c r="E22" s="13" t="inlineStr"/>
    </row>
    <row r="23">
      <c r="A23" s="7" t="inlineStr">
        <is>
          <t>Vegetación ligera</t>
        </is>
      </c>
      <c r="B23" s="18" t="n">
        <v>5.9086</v>
      </c>
      <c r="C23" s="19" t="n">
        <v>12.42</v>
      </c>
      <c r="D23" s="11" t="inlineStr">
        <is>
          <t>Cobertura discontinua, suelo parcialmente expuesto</t>
        </is>
      </c>
      <c r="E23" s="11" t="inlineStr"/>
    </row>
    <row r="24">
      <c r="A24" s="12" t="inlineStr">
        <is>
          <t>Tierra desnuda</t>
        </is>
      </c>
      <c r="B24" s="20" t="n">
        <v>0.247</v>
      </c>
      <c r="C24" s="21" t="n">
        <v>0.52</v>
      </c>
      <c r="D24" s="13" t="inlineStr">
        <is>
          <t>Suelo desnudo, afloramientos, plataformas y taludes</t>
        </is>
      </c>
      <c r="E24" s="13" t="inlineStr"/>
    </row>
    <row r="25">
      <c r="A25" s="16" t="inlineStr">
        <is>
          <t>TOTAL CLASIFICADO</t>
        </is>
      </c>
      <c r="B25" s="22">
        <f>SUM(B21:B24)</f>
        <v/>
      </c>
      <c r="C25" s="23">
        <f>SUM(C21:C24)</f>
        <v/>
      </c>
      <c r="D25" s="17" t="inlineStr"/>
      <c r="E25" s="17" t="inlineStr"/>
    </row>
    <row r="26">
      <c r="A26" s="24" t="inlineStr">
        <is>
          <t>Superficie de catálogo (V5/V6)</t>
        </is>
      </c>
      <c r="B26" s="25" t="n">
        <v>47.58</v>
      </c>
      <c r="C26" s="25" t="inlineStr">
        <is>
          <t>—</t>
        </is>
      </c>
      <c r="D26" s="25" t="inlineStr">
        <is>
          <t>Desviación planimétrica frente al catálogo</t>
        </is>
      </c>
      <c r="E26" s="25" t="inlineStr">
        <is>
          <t>+0.02 %</t>
        </is>
      </c>
    </row>
    <row r="28" ht="72" customHeight="1">
      <c r="A28"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t>
        </is>
      </c>
    </row>
  </sheetData>
  <mergeCells count="10">
    <mergeCell ref="A4:E4"/>
    <mergeCell ref="A2:E2"/>
    <mergeCell ref="A28:E28"/>
    <mergeCell ref="A19:E19"/>
    <mergeCell ref="A1:E1"/>
    <mergeCell ref="A5:E5"/>
    <mergeCell ref="A8:E8"/>
    <mergeCell ref="A6:E6"/>
    <mergeCell ref="A17:E17"/>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8"/>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31</t>
        </is>
      </c>
    </row>
    <row r="6" ht="24" customHeight="1">
      <c r="A6" s="4" t="inlineStr">
        <is>
          <t>Levantamiento del 2026-08-21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663334</v>
      </c>
      <c r="D10" s="26" t="n">
        <v>9392820</v>
      </c>
      <c r="E10" s="11" t="n">
        <v>0</v>
      </c>
      <c r="F10" s="11" t="inlineStr"/>
      <c r="G10" s="11" t="inlineStr">
        <is>
          <t>Coordenada consignada en F-DT-01</t>
        </is>
      </c>
    </row>
    <row r="11">
      <c r="A11" s="12" t="inlineStr">
        <is>
          <t>H-01</t>
        </is>
      </c>
      <c r="B11" s="13" t="inlineStr">
        <is>
          <t>Fuente de agua — Quebrada estacional</t>
        </is>
      </c>
      <c r="C11" s="27" t="n">
        <v>663039</v>
      </c>
      <c r="D11" s="27" t="n">
        <v>9392813</v>
      </c>
      <c r="E11" s="13" t="n">
        <v>295.1</v>
      </c>
      <c r="F11" s="13" t="inlineStr">
        <is>
          <t>Estacional</t>
        </is>
      </c>
      <c r="G11" s="13" t="inlineStr">
        <is>
          <t>Vaguada interior</t>
        </is>
      </c>
    </row>
    <row r="12">
      <c r="A12" s="7" t="inlineStr">
        <is>
          <t>H-02</t>
        </is>
      </c>
      <c r="B12" s="11" t="inlineStr">
        <is>
          <t>Fuente de agua — Otro (línea de conducción)</t>
        </is>
      </c>
      <c r="C12" s="26" t="n">
        <v>662650</v>
      </c>
      <c r="D12" s="26" t="n">
        <v>9393175</v>
      </c>
      <c r="E12" s="11" t="n">
        <v>770.6</v>
      </c>
      <c r="F12" s="11" t="inlineStr">
        <is>
          <t>Permanente</t>
        </is>
      </c>
      <c r="G12" s="11" t="inlineStr">
        <is>
          <t>Línea de conducción</t>
        </is>
      </c>
    </row>
    <row r="13">
      <c r="A13" s="16" t="inlineStr">
        <is>
          <t>TOTAL: 3 puntos</t>
        </is>
      </c>
      <c r="B13" s="17" t="inlineStr"/>
      <c r="C13" s="17" t="inlineStr"/>
      <c r="D13" s="17" t="inlineStr"/>
      <c r="E13" s="17" t="inlineStr"/>
      <c r="F13" s="17" t="inlineStr"/>
      <c r="G13" s="17" t="inlineStr"/>
    </row>
    <row r="15">
      <c r="A15" s="6" t="inlineStr">
        <is>
          <t>Centroide del bloque — UTM ESTE (m)</t>
        </is>
      </c>
      <c r="B15" s="7" t="n">
        <v>663334</v>
      </c>
      <c r="C15" s="6" t="inlineStr">
        <is>
          <t>Centroide del bloque — UTM NORTE (m)</t>
        </is>
      </c>
      <c r="D15" s="7" t="n">
        <v>9392820</v>
      </c>
      <c r="E15" s="8" t="n"/>
      <c r="F15" s="8" t="n"/>
      <c r="G15" s="8" t="n"/>
      <c r="H15" s="8" t="n"/>
    </row>
    <row r="16">
      <c r="A16" s="6" t="inlineStr">
        <is>
          <t>N.° de estaciones fotográficas declaradas</t>
        </is>
      </c>
      <c r="B16" s="7" t="n">
        <v>7</v>
      </c>
      <c r="C16" s="6" t="inlineStr">
        <is>
          <t>Estaciones dentro del polígono</t>
        </is>
      </c>
      <c r="D16" s="7" t="n">
        <v>6</v>
      </c>
      <c r="E16" s="8" t="n"/>
      <c r="F16" s="8" t="n"/>
      <c r="G16" s="8" t="n"/>
      <c r="H16" s="8" t="n"/>
    </row>
    <row r="18" ht="120" customHeight="1">
      <c r="A18"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Pendiente promedio zonal 27.08% ≈ 15.15°. Centroide oficial 663334 E · 9392820 N; centroide planimétrico medido sobre el plano MSAVI 663392 E · 9392806 N (Δ ≈ 59 m). Superficie planimétrica ≈ 44.785 ha frente a las 47.588 ha del catálogo (−5.9%). SEIS de las siete estaciones fotográficas cayeron DENTRO del polígono (30 a 79 m del borde): la verificación es interior, no limítrofe. El cuadrante suroriental no fue recorrido.</t>
        </is>
      </c>
    </row>
  </sheetData>
  <mergeCells count="8">
    <mergeCell ref="A1:G1"/>
    <mergeCell ref="A18:G18"/>
    <mergeCell ref="A8:G8"/>
    <mergeCell ref="A3:G3"/>
    <mergeCell ref="A6:G6"/>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5"/>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C1076-Q9592 — BLOQUE 31</t>
        </is>
      </c>
    </row>
    <row r="6" ht="24" customHeight="1">
      <c r="A6" s="4" t="inlineStr">
        <is>
          <t>Distrito de Huarmaca · Provincia de Huancabamba · Comparación de los bloques preliminares de intervención de la misma microcuenca</t>
        </is>
      </c>
    </row>
    <row r="8" ht="18" customHeight="1">
      <c r="A8" s="5" t="inlineStr">
        <is>
          <t>BLOQUES DE LA MICROCUENCA C1076-Q9592</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row>
    <row r="10">
      <c r="A10" s="7" t="inlineStr">
        <is>
          <t>18</t>
        </is>
      </c>
      <c r="B10" s="28" t="n">
        <v>103.62</v>
      </c>
      <c r="C10" s="19" t="n">
        <v>21.54</v>
      </c>
      <c r="D10" s="11" t="inlineStr">
        <is>
          <t>1218 – 1904</t>
        </is>
      </c>
      <c r="E10" s="11" t="n">
        <v>686</v>
      </c>
      <c r="F10" s="11" t="n">
        <v>28.7</v>
      </c>
      <c r="G10" s="18" t="n">
        <v>0.6402</v>
      </c>
      <c r="H10" s="19" t="n">
        <v>96.64</v>
      </c>
    </row>
    <row r="11">
      <c r="A11" s="12" t="inlineStr">
        <is>
          <t>19</t>
        </is>
      </c>
      <c r="B11" s="29" t="n">
        <v>82.09</v>
      </c>
      <c r="C11" s="21" t="n">
        <v>17.06</v>
      </c>
      <c r="D11" s="13" t="inlineStr">
        <is>
          <t>2064 – 2503</t>
        </is>
      </c>
      <c r="E11" s="13" t="n">
        <v>439</v>
      </c>
      <c r="F11" s="13" t="n">
        <v>31.01</v>
      </c>
      <c r="G11" s="20" t="n">
        <v>0.5372</v>
      </c>
      <c r="H11" s="21" t="n">
        <v>60.33</v>
      </c>
    </row>
    <row r="12">
      <c r="A12" s="7" t="inlineStr">
        <is>
          <t>41</t>
        </is>
      </c>
      <c r="B12" s="28" t="n">
        <v>64.92</v>
      </c>
      <c r="C12" s="19" t="n">
        <v>13.49</v>
      </c>
      <c r="D12" s="11" t="inlineStr">
        <is>
          <t>1536 – 1818</t>
        </is>
      </c>
      <c r="E12" s="11" t="n">
        <v>282</v>
      </c>
      <c r="F12" s="11" t="n">
        <v>25.53</v>
      </c>
      <c r="G12" s="18" t="n">
        <v>0.5927</v>
      </c>
      <c r="H12" s="19" t="n">
        <v>98.02</v>
      </c>
    </row>
    <row r="13">
      <c r="A13" s="12" t="inlineStr">
        <is>
          <t>73</t>
        </is>
      </c>
      <c r="B13" s="29" t="n">
        <v>54.29</v>
      </c>
      <c r="C13" s="21" t="n">
        <v>11.28</v>
      </c>
      <c r="D13" s="13" t="inlineStr">
        <is>
          <t>1845 – 2305</t>
        </is>
      </c>
      <c r="E13" s="13" t="n">
        <v>460</v>
      </c>
      <c r="F13" s="13" t="n">
        <v>36.34</v>
      </c>
      <c r="G13" s="20" t="n">
        <v>0.555</v>
      </c>
      <c r="H13" s="21" t="n">
        <v>88.8</v>
      </c>
    </row>
    <row r="14">
      <c r="A14" s="14" t="inlineStr">
        <is>
          <t>► 31</t>
        </is>
      </c>
      <c r="B14" s="30" t="n">
        <v>47.58</v>
      </c>
      <c r="C14" s="31" t="n">
        <v>9.890000000000001</v>
      </c>
      <c r="D14" s="15" t="inlineStr">
        <is>
          <t>1741 – 2234</t>
        </is>
      </c>
      <c r="E14" s="15" t="n">
        <v>493</v>
      </c>
      <c r="F14" s="15" t="n">
        <v>27.08</v>
      </c>
      <c r="G14" s="32" t="n">
        <v>0.4358</v>
      </c>
      <c r="H14" s="31" t="n">
        <v>18.56</v>
      </c>
    </row>
    <row r="15">
      <c r="A15" s="12" t="inlineStr">
        <is>
          <t>29</t>
        </is>
      </c>
      <c r="B15" s="29" t="n">
        <v>40.1</v>
      </c>
      <c r="C15" s="21" t="n">
        <v>8.33</v>
      </c>
      <c r="D15" s="13" t="inlineStr">
        <is>
          <t>2142 – 2391</t>
        </is>
      </c>
      <c r="E15" s="13" t="n">
        <v>249</v>
      </c>
      <c r="F15" s="13" t="n">
        <v>31.54</v>
      </c>
      <c r="G15" s="20" t="n">
        <v>0.5482</v>
      </c>
      <c r="H15" s="21" t="inlineStr">
        <is>
          <t>Por determinar</t>
        </is>
      </c>
    </row>
    <row r="16">
      <c r="A16" s="7" t="inlineStr">
        <is>
          <t>70</t>
        </is>
      </c>
      <c r="B16" s="28" t="n">
        <v>22.39</v>
      </c>
      <c r="C16" s="19" t="n">
        <v>4.65</v>
      </c>
      <c r="D16" s="11" t="inlineStr">
        <is>
          <t>2326 – 2536</t>
        </is>
      </c>
      <c r="E16" s="11" t="n">
        <v>210</v>
      </c>
      <c r="F16" s="11" t="n">
        <v>23.2</v>
      </c>
      <c r="G16" s="18" t="n">
        <v>0.6223</v>
      </c>
      <c r="H16" s="19" t="n">
        <v>98.39</v>
      </c>
    </row>
    <row r="17">
      <c r="A17" s="12" t="inlineStr">
        <is>
          <t>68</t>
        </is>
      </c>
      <c r="B17" s="29" t="n">
        <v>21.29</v>
      </c>
      <c r="C17" s="21" t="n">
        <v>4.42</v>
      </c>
      <c r="D17" s="13" t="inlineStr">
        <is>
          <t>2086 – 2374</t>
        </is>
      </c>
      <c r="E17" s="13" t="n">
        <v>288</v>
      </c>
      <c r="F17" s="13" t="n">
        <v>36.81</v>
      </c>
      <c r="G17" s="20" t="n">
        <v>0.483</v>
      </c>
      <c r="H17" s="21" t="inlineStr">
        <is>
          <t>Por determinar</t>
        </is>
      </c>
    </row>
    <row r="18">
      <c r="A18" s="7" t="inlineStr">
        <is>
          <t>69</t>
        </is>
      </c>
      <c r="B18" s="28" t="n">
        <v>19.43</v>
      </c>
      <c r="C18" s="19" t="n">
        <v>4.04</v>
      </c>
      <c r="D18" s="11" t="inlineStr">
        <is>
          <t>1931 – 2205</t>
        </is>
      </c>
      <c r="E18" s="11" t="n">
        <v>274</v>
      </c>
      <c r="F18" s="11" t="n">
        <v>27.95</v>
      </c>
      <c r="G18" s="18" t="n">
        <v>0.4489</v>
      </c>
      <c r="H18" s="19" t="n">
        <v>22.92</v>
      </c>
    </row>
    <row r="19">
      <c r="A19" s="12" t="inlineStr">
        <is>
          <t>53</t>
        </is>
      </c>
      <c r="B19" s="29" t="n">
        <v>13.06</v>
      </c>
      <c r="C19" s="21" t="n">
        <v>2.71</v>
      </c>
      <c r="D19" s="13" t="inlineStr">
        <is>
          <t>2235 – 2540</t>
        </is>
      </c>
      <c r="E19" s="13" t="n">
        <v>305</v>
      </c>
      <c r="F19" s="13" t="n">
        <v>26.89</v>
      </c>
      <c r="G19" s="20" t="n">
        <v>0.5963000000000001</v>
      </c>
      <c r="H19" s="21" t="n">
        <v>86.15000000000001</v>
      </c>
    </row>
    <row r="20">
      <c r="A20" s="7" t="inlineStr">
        <is>
          <t>72</t>
        </is>
      </c>
      <c r="B20" s="28" t="n">
        <v>12.4</v>
      </c>
      <c r="C20" s="19" t="n">
        <v>2.58</v>
      </c>
      <c r="D20" s="11" t="inlineStr">
        <is>
          <t>1538 – 1742</t>
        </is>
      </c>
      <c r="E20" s="11" t="n">
        <v>204</v>
      </c>
      <c r="F20" s="11" t="n">
        <v>28.25</v>
      </c>
      <c r="G20" s="18" t="n">
        <v>0.5185</v>
      </c>
      <c r="H20" s="19" t="n">
        <v>92.44</v>
      </c>
    </row>
    <row r="21">
      <c r="A21" s="16" t="inlineStr">
        <is>
          <t>TOTAL / PROMEDIO</t>
        </is>
      </c>
      <c r="B21" s="33">
        <f>SUM(B10:B20)</f>
        <v/>
      </c>
      <c r="C21" s="23">
        <f>SUM(C10:C20)</f>
        <v/>
      </c>
      <c r="D21" s="17" t="inlineStr">
        <is>
          <t>1218 – 2540</t>
        </is>
      </c>
      <c r="E21" s="17" t="inlineStr"/>
      <c r="F21" s="17">
        <f>ROUND(AVERAGE(F10:F20),2)</f>
        <v/>
      </c>
      <c r="G21" s="22">
        <f>ROUND(AVERAGE(G10:G20),4)</f>
        <v/>
      </c>
      <c r="H21" s="23">
        <f>ROUND(AVERAGE(H10:H20),2)</f>
        <v/>
      </c>
    </row>
    <row r="23" ht="84" customHeight="1">
      <c r="A23" s="9" t="inlineStr">
        <is>
          <t>LECTURA INTRAMICROCUENCA. El bloque 31 ocupa el puesto 5 de 11 por superficie dentro de la microcuenca C1076-Q9592 (9.89 % de las 481.17 ha preliminares de la microcuenca). Su pendiente promedio (27.08 %, clase «25-50% (Mod. escarpado)») es la 4.ª más baja de 11 y se sitúa por debajo del promedio de la microcuenca (29.39 %). Su MSAVI 2024 (0.4358) es el 11.º de 11 y queda por debajo del promedio local (0.5435). Amplitud altitudinal del bloque: 493 m (1741–2234 msnm). El cuadro conserva todos los bloques catalogados en la microcuenca, incluidos los descartados en el tamizaje, para referencia del conjunto. Los bloques sin ficha DT figuran con sus parámetros de gabinete.</t>
        </is>
      </c>
    </row>
    <row r="25" ht="60" customHeight="1">
      <c r="A25"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t>
        </is>
      </c>
    </row>
  </sheetData>
  <mergeCells count="9">
    <mergeCell ref="A1:H1"/>
    <mergeCell ref="A4:H4"/>
    <mergeCell ref="A3:H3"/>
    <mergeCell ref="A25:H25"/>
    <mergeCell ref="A2:H2"/>
    <mergeCell ref="A5:H5"/>
    <mergeCell ref="A23:H23"/>
    <mergeCell ref="A8:H8"/>
    <mergeCell ref="A6:H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9"/>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31</t>
        </is>
      </c>
    </row>
    <row r="6" ht="24" customHeight="1">
      <c r="A6" s="4" t="inlineStr">
        <is>
          <t>Discrepancias detectadas entre el registro de campo, los productos de gabinete y el catálogo maestro. Calificación: SUSTANTIVA / NO SUSTANTIVA / CORREGIDO / CONFORME.</t>
        </is>
      </c>
    </row>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La ficha DT declara «C1076-Q9584»; el catálogo maestro V5/V6 asigna el bloque a «C1076-Q9592»</t>
        </is>
      </c>
      <c r="D10" s="35" t="inlineStr">
        <is>
          <t>SUSTANTIVA</t>
        </is>
      </c>
      <c r="E10" s="34" t="inlineStr">
        <is>
          <t>Se conserva el código del catálogo maestro para todo cálculo intramicrocuenca. La declaración de la ficha debe corregirse en la siguiente versión del formato V5.</t>
        </is>
      </c>
    </row>
    <row r="11" ht="48" customHeight="1">
      <c r="A11" s="36" t="inlineStr">
        <is>
          <t>D-02</t>
        </is>
      </c>
      <c r="B11" s="36" t="inlineStr">
        <is>
          <t>UTM del punto de muestreo</t>
        </is>
      </c>
      <c r="C11" s="36" t="inlineStr">
        <is>
          <t>El punto de muestreo declarado dista 0 m del centroide de catálogo, compatible con la extensión del bloque</t>
        </is>
      </c>
      <c r="D11" s="37" t="inlineStr">
        <is>
          <t>CONFORME</t>
        </is>
      </c>
      <c r="E11" s="36" t="inlineStr">
        <is>
          <t>Sin acción.</t>
        </is>
      </c>
    </row>
    <row r="12" ht="48" customHeight="1">
      <c r="A12" s="34" t="inlineStr">
        <is>
          <t>D-03</t>
        </is>
      </c>
      <c r="B12" s="34" t="inlineStr">
        <is>
          <t>Superficie del polígono</t>
        </is>
      </c>
      <c r="C12" s="34" t="inlineStr">
        <is>
          <t>La superficie clasificada por el NDVI 2025 (47.588 ha) coincide con la de catálogo (47.58 ha) dentro del ±2 % (+0.02 %)</t>
        </is>
      </c>
      <c r="D12" s="37" t="inlineStr">
        <is>
          <t>CONFORME</t>
        </is>
      </c>
      <c r="E12" s="34" t="inlineStr">
        <is>
          <t>Sin acción: la segmentación valida la geometría del bloque.</t>
        </is>
      </c>
    </row>
    <row r="13" ht="48" customHeight="1">
      <c r="A13" s="36" t="inlineStr">
        <is>
          <t>D-04</t>
        </is>
      </c>
      <c r="B13" s="36" t="inlineStr">
        <is>
          <t>Inventario georreferenciado de cárcavas</t>
        </is>
      </c>
      <c r="C13" s="36" t="inlineStr">
        <is>
          <t>El inventario de cárcavas no fue ejecutado o no consta en la ficha DT</t>
        </is>
      </c>
      <c r="D13" s="35" t="inlineStr">
        <is>
          <t>SUSTANTIVA</t>
        </is>
      </c>
      <c r="E13" s="36" t="inlineStr">
        <is>
          <t>La ausencia de registros NO equivale a ausencia verificada de cárcavas. Queda pendiente el levantamiento instrumental a cargo del especialista de Infraestructura Marrón antes de fijar metas físicas de infraestructura gris.</t>
        </is>
      </c>
    </row>
    <row r="14" ht="48" customHeight="1">
      <c r="A14" s="34" t="inlineStr">
        <is>
          <t>D-05</t>
        </is>
      </c>
      <c r="B14" s="34" t="inlineStr">
        <is>
          <t>Elenco florístico</t>
        </is>
      </c>
      <c r="C14" s="34" t="inlineStr">
        <is>
          <t>La ficha registra 12 taxones, por debajo del mínimo de 15 que exige el formato V5</t>
        </is>
      </c>
      <c r="D14" s="35" t="inlineStr">
        <is>
          <t>SUSTANTIVA</t>
        </is>
      </c>
      <c r="E14" s="34" t="inlineStr">
        <is>
          <t>Registro florístico preliminar, sin colecta ni determinación botánica formal. Debe cerrarse con colecta botánica en la siguiente campaña.</t>
        </is>
      </c>
    </row>
    <row r="15" ht="48" customHeight="1">
      <c r="A15" s="36" t="inlineStr">
        <is>
          <t>D-06</t>
        </is>
      </c>
      <c r="B15" s="36" t="inlineStr">
        <is>
          <t>Peligro integrado (MCA-AHP)</t>
        </is>
      </c>
      <c r="C15" s="36" t="inlineStr">
        <is>
          <t>El nivel de peligro integrado no está disponible en los insumos de este entregable</t>
        </is>
      </c>
      <c r="D15" s="35" t="inlineStr">
        <is>
          <t>SUSTANTIVA</t>
        </is>
      </c>
      <c r="E15" s="36" t="inlineStr">
        <is>
          <t>Debe tomarse del modelamiento de mesolocalización (PMM + EPH + PGI ponderados por AHP) antes de fijar la prioridad definitiva de intervención del bloque.</t>
        </is>
      </c>
    </row>
    <row r="17">
      <c r="A17" s="16" t="inlineStr">
        <is>
          <t>RESUMEN</t>
        </is>
      </c>
      <c r="B17" s="17" t="inlineStr">
        <is>
          <t>6 verificaciones</t>
        </is>
      </c>
      <c r="C17" s="17" t="inlineStr">
        <is>
          <t>CONFORME: 2 · SUSTANTIVA: 4</t>
        </is>
      </c>
      <c r="D17" s="17" t="inlineStr"/>
      <c r="E17" s="17" t="inlineStr"/>
    </row>
    <row r="19" ht="60" customHeight="1">
      <c r="A19"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row>
  </sheetData>
  <mergeCells count="8">
    <mergeCell ref="A4:E4"/>
    <mergeCell ref="A2:E2"/>
    <mergeCell ref="A19:E19"/>
    <mergeCell ref="A1:E1"/>
    <mergeCell ref="A5:E5"/>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31 — IN Piura</dc:title>
  <dc:subject>Diagnóstico Territorial por bloque de intervención</dc:subject>
  <dcterms:created xsi:type="dcterms:W3CDTF">2026-09-08T02:45:07Z</dcterms:created>
  <dcterms:modified xsi:type="dcterms:W3CDTF">2026-09-08T02:45:07Z</dcterms:modified>
</cp:coreProperties>
</file>