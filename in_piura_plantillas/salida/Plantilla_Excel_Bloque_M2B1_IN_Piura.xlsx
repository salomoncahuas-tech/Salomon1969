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M2B1</t>
        </is>
      </c>
      <c r="C9" s="6" t="inlineStr">
        <is>
          <t>Microcuenca (catálogo)</t>
        </is>
      </c>
      <c r="D9" s="7" t="inlineStr">
        <is>
          <t>C1076-Q9584</t>
        </is>
      </c>
      <c r="E9" s="8" t="n"/>
      <c r="F9" s="8" t="n"/>
    </row>
    <row r="10">
      <c r="A10" s="6" t="inlineStr">
        <is>
          <t>Zona de planificación</t>
        </is>
      </c>
      <c r="B10" s="7" t="inlineStr">
        <is>
          <t>Z07</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Santa Rosa de Serrán</t>
        </is>
      </c>
      <c r="C13" s="6" t="inlineStr">
        <is>
          <t>Comunidad campesina</t>
        </is>
      </c>
      <c r="D13" s="7" t="inlineStr">
        <is>
          <t>No aplica (predominio predial privado)</t>
        </is>
      </c>
      <c r="E13" s="8" t="n"/>
      <c r="F13" s="8" t="n"/>
    </row>
    <row r="14">
      <c r="A14" s="6" t="inlineStr">
        <is>
          <t>Superficie de catálogo (V5/V6), ha</t>
        </is>
      </c>
      <c r="B14" s="7" t="n">
        <v>81.79000000000001</v>
      </c>
      <c r="C14" s="6" t="inlineStr">
        <is>
          <t>Fuente de superficie</t>
        </is>
      </c>
      <c r="D14" s="7" t="inlineStr">
        <is>
          <t>Catálogo maestro Bloques V5/V6</t>
        </is>
      </c>
      <c r="E14" s="8" t="n"/>
      <c r="F14" s="8" t="n"/>
    </row>
    <row r="15">
      <c r="A15" s="6" t="inlineStr">
        <is>
          <t>Centroide UTM ESTE (m)</t>
        </is>
      </c>
      <c r="B15" s="7" t="n">
        <v>635876</v>
      </c>
      <c r="C15" s="6" t="inlineStr">
        <is>
          <t>Centroide UTM NORTE (m)</t>
        </is>
      </c>
      <c r="D15" s="7" t="n">
        <v>9397941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235</v>
      </c>
      <c r="C19" s="6" t="inlineStr">
        <is>
          <t>Altitud máxima (msnm)</t>
        </is>
      </c>
      <c r="D19" s="7" t="n">
        <v>446</v>
      </c>
      <c r="E19" s="8" t="n"/>
      <c r="F19" s="8" t="n"/>
    </row>
    <row r="20">
      <c r="A20" s="6" t="inlineStr">
        <is>
          <t>Amplitud altitudinal (m)</t>
        </is>
      </c>
      <c r="B20" s="7" t="n">
        <v>211</v>
      </c>
      <c r="C20" s="6" t="inlineStr">
        <is>
          <t>Piso altitudinal dominante</t>
        </is>
      </c>
      <c r="D20" s="7" t="inlineStr">
        <is>
          <t>&lt;1000 m (Yunga)</t>
        </is>
      </c>
      <c r="E20" s="8" t="n"/>
      <c r="F20" s="8" t="n"/>
    </row>
    <row r="21">
      <c r="A21" s="6" t="inlineStr">
        <is>
          <t>Pendiente promedio (%)</t>
        </is>
      </c>
      <c r="B21" s="7" t="n">
        <v>17.48</v>
      </c>
      <c r="C21" s="6" t="inlineStr">
        <is>
          <t>Pendiente promedio (grados)</t>
        </is>
      </c>
      <c r="D21" s="7" t="n">
        <v>9.9</v>
      </c>
      <c r="E21" s="8" t="n"/>
      <c r="F21" s="8" t="n"/>
    </row>
    <row r="22">
      <c r="A22" s="6" t="inlineStr">
        <is>
          <t>Clase de pendiente equivalente</t>
        </is>
      </c>
      <c r="B22" s="7" t="inlineStr">
        <is>
          <t>15-25% (Fuert. inclinado)</t>
        </is>
      </c>
      <c r="C22" s="6" t="inlineStr">
        <is>
          <t>Rango de pendiente declarado en campo</t>
        </is>
      </c>
      <c r="D22" s="7" t="inlineStr">
        <is>
          <t>15-35% (según narrativa de la ficha)</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Este-Noreste (hacia el valle del río Huarmaca)</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0.2984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(54.58 %)</t>
        </is>
      </c>
      <c r="E29" s="8" t="n"/>
      <c r="F29" s="8" t="n"/>
    </row>
    <row r="30">
      <c r="A30" s="6" t="inlineStr">
        <is>
          <t>Superficie clasificada NDVI 2025 (ha)</t>
        </is>
      </c>
      <c r="B30" s="7" t="n">
        <v>81.82299999999999</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81.79 ha (100% del bloque)</t>
        </is>
      </c>
      <c r="E33" s="8" t="n"/>
      <c r="F33" s="8" t="n"/>
    </row>
    <row r="34">
      <c r="A34" s="6" t="inlineStr">
        <is>
          <t>Estado de conservación</t>
        </is>
      </c>
      <c r="B34" s="7" t="inlineStr">
        <is>
          <t>Alterado (intervención marcada)</t>
        </is>
      </c>
      <c r="C34" s="6" t="inlineStr">
        <is>
          <t>Uso actual dominante del suelo</t>
        </is>
      </c>
      <c r="D34" s="7" t="inlineStr">
        <is>
          <t>Pastoreo extensivo</t>
        </is>
      </c>
      <c r="E34" s="8" t="n"/>
      <c r="F34" s="8" t="n"/>
    </row>
    <row r="35">
      <c r="A35" s="6" t="inlineStr">
        <is>
          <t>Tipo de cobertura dominante</t>
        </is>
      </c>
      <c r="B35" s="7" t="inlineStr">
        <is>
          <t>Matorral ralo</t>
        </is>
      </c>
      <c r="C35" s="6" t="inlineStr">
        <is>
          <t>Cobertura vegetal total — campo (%)</t>
        </is>
      </c>
      <c r="D35" s="7" t="n">
        <v>55</v>
      </c>
      <c r="E35" s="8" t="n"/>
      <c r="F35" s="8" t="n"/>
    </row>
    <row r="36">
      <c r="A36" s="6" t="inlineStr">
        <is>
          <t>Suelo desnudo — campo (%)</t>
        </is>
      </c>
      <c r="B36" s="7" t="n">
        <v>40</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4</v>
      </c>
      <c r="E37" s="8" t="n"/>
      <c r="F37" s="8" t="n"/>
    </row>
    <row r="38">
      <c r="A38" s="6" t="inlineStr">
        <is>
          <t>Elenco florístico (n.° de taxones)</t>
        </is>
      </c>
      <c r="B38" s="7" t="n">
        <v>11</v>
      </c>
      <c r="C38" s="6" t="inlineStr">
        <is>
          <t>Estado sanitario</t>
        </is>
      </c>
      <c r="D38" s="7" t="inlineStr">
        <is>
          <t>Sin registro en ficha</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2026-05-19</t>
        </is>
      </c>
      <c r="E41" s="8" t="n"/>
      <c r="F41" s="8" t="n"/>
    </row>
    <row r="42">
      <c r="A42" s="6" t="inlineStr">
        <is>
          <t>Hora de registro</t>
        </is>
      </c>
      <c r="B42" s="7" t="inlineStr">
        <is>
          <t>08:45 h</t>
        </is>
      </c>
      <c r="C42" s="6" t="inlineStr">
        <is>
          <t>Correlativo de ficha</t>
        </is>
      </c>
      <c r="D42" s="7" t="inlineStr">
        <is>
          <t>F-DT-M2B1-01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Pobreza rural + ausencia de planes de manejo del ecosistema + débil control territorial municipal frente a la habilitación urbana</t>
        </is>
      </c>
      <c r="C48" s="6" t="inlineStr">
        <is>
          <t>Velocidad de degradación</t>
        </is>
      </c>
      <c r="D48" s="7" t="inlineStr">
        <is>
          <t>Moderada (implícita)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0.29836</v>
      </c>
      <c r="C15" s="17" t="inlineStr">
        <is>
          <t>—</t>
        </is>
      </c>
      <c r="D15" s="17" t="inlineStr">
        <is>
          <t>Vigor muy bajo · clase 0.2650 - 0.3813</t>
        </is>
      </c>
      <c r="E15" s="17" t="inlineStr">
        <is>
          <t>BAJO umbral 0.4976</t>
        </is>
      </c>
    </row>
    <row r="17" ht="72" customHeight="1">
      <c r="A17" s="9" t="inlineStr">
        <is>
          <t>NOTA METODOLÓGICA. La media del MSAVI 2024 del bloque (0.298360)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0.0297</v>
      </c>
      <c r="C21" s="19" t="n">
        <v>0.04</v>
      </c>
      <c r="D21" s="11" t="inlineStr">
        <is>
          <t>Dosel continuo, matorral denso o mosaico agroforestal</t>
        </is>
      </c>
      <c r="E21" s="11" t="inlineStr"/>
    </row>
    <row r="22">
      <c r="A22" s="12" t="inlineStr">
        <is>
          <t>Vegetación mediana</t>
        </is>
      </c>
      <c r="B22" s="20" t="n">
        <v>36.9266</v>
      </c>
      <c r="C22" s="21" t="n">
        <v>45.13</v>
      </c>
      <c r="D22" s="13" t="inlineStr">
        <is>
          <t>Pastizal cultivado, matorral ralo, parcelas agrícolas</t>
        </is>
      </c>
      <c r="E22" s="13" t="inlineStr"/>
    </row>
    <row r="23">
      <c r="A23" s="7" t="inlineStr">
        <is>
          <t>Vegetación ligera</t>
        </is>
      </c>
      <c r="B23" s="18" t="n">
        <v>44.6572</v>
      </c>
      <c r="C23" s="19" t="n">
        <v>54.58</v>
      </c>
      <c r="D23" s="11" t="inlineStr">
        <is>
          <t>Cobertura discontinua, suelo parcialmente expuesto</t>
        </is>
      </c>
      <c r="E23" s="11" t="inlineStr"/>
    </row>
    <row r="24">
      <c r="A24" s="12" t="inlineStr">
        <is>
          <t>Tierra desnuda</t>
        </is>
      </c>
      <c r="B24" s="20" t="n">
        <v>0.2094</v>
      </c>
      <c r="C24" s="21" t="n">
        <v>0.26</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81.79000000000001</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55 % frente a un 0.04 % del polígono clasificado como «Vegetación alta» por el NDVI 2025; la observación de campo corresponde a una parcela o recorrido puntual y no es estadísticamente representativa de las 81.790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M2B1</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636128</v>
      </c>
      <c r="D10" s="26" t="n">
        <v>9398519</v>
      </c>
      <c r="E10" s="11" t="n">
        <v>630.5</v>
      </c>
      <c r="F10" s="11" t="inlineStr"/>
      <c r="G10" s="11" t="inlineStr">
        <is>
          <t>Coordenada consignada en F-DT-01</t>
        </is>
      </c>
    </row>
    <row r="11">
      <c r="A11" s="12" t="inlineStr">
        <is>
          <t>C-01</t>
        </is>
      </c>
      <c r="B11" s="13" t="inlineStr">
        <is>
          <t>Rasgo erosivo — Surco (&lt;30 cm) — 55 m, 0.25 m prof., 0.45 m ancho</t>
        </is>
      </c>
      <c r="C11" s="27" t="n">
        <v>636120</v>
      </c>
      <c r="D11" s="27" t="n">
        <v>9398525</v>
      </c>
      <c r="E11" s="13" t="n">
        <v>632.9</v>
      </c>
      <c r="F11" s="13" t="inlineStr">
        <is>
          <t>Activa</t>
        </is>
      </c>
      <c r="G11" s="13" t="inlineStr">
        <is>
          <t>Sobrepastoreo</t>
        </is>
      </c>
    </row>
    <row r="12">
      <c r="A12" s="7" t="inlineStr">
        <is>
          <t>C-02</t>
        </is>
      </c>
      <c r="B12" s="11" t="inlineStr">
        <is>
          <t>Rasgo erosivo — Cárcava incipiente — 75 m, 0.6 m prof., 1.2 m ancho</t>
        </is>
      </c>
      <c r="C12" s="26" t="n">
        <v>636160</v>
      </c>
      <c r="D12" s="26" t="n">
        <v>9398550</v>
      </c>
      <c r="E12" s="11" t="n">
        <v>672</v>
      </c>
      <c r="F12" s="11" t="inlineStr">
        <is>
          <t>Activa</t>
        </is>
      </c>
      <c r="G12" s="11" t="inlineStr">
        <is>
          <t>Sobrepastoreo</t>
        </is>
      </c>
    </row>
    <row r="13">
      <c r="A13" s="12" t="inlineStr">
        <is>
          <t>C-03</t>
        </is>
      </c>
      <c r="B13" s="13" t="inlineStr">
        <is>
          <t>Rasgo erosivo — Surco (&lt;30 cm) — 65 m, 0.9 m prof., 2.1 m ancho</t>
        </is>
      </c>
      <c r="C13" s="27" t="n">
        <v>636079</v>
      </c>
      <c r="D13" s="27" t="n">
        <v>9399152</v>
      </c>
      <c r="E13" s="13" t="n">
        <v>1227.9</v>
      </c>
      <c r="F13" s="13" t="inlineStr">
        <is>
          <t>Activa</t>
        </is>
      </c>
      <c r="G13" s="13" t="inlineStr">
        <is>
          <t>Concentración natural de escorrentía</t>
        </is>
      </c>
    </row>
    <row r="14">
      <c r="A14" s="7" t="inlineStr">
        <is>
          <t>C-04</t>
        </is>
      </c>
      <c r="B14" s="11" t="inlineStr">
        <is>
          <t>Rasgo erosivo — Cárcava incipiente — 40 m, 0.2 m prof., 0.35 m ancho</t>
        </is>
      </c>
      <c r="C14" s="26" t="n">
        <v>636316</v>
      </c>
      <c r="D14" s="26" t="n">
        <v>9398321</v>
      </c>
      <c r="E14" s="11" t="n">
        <v>581.4</v>
      </c>
      <c r="F14" s="11" t="inlineStr">
        <is>
          <t>Activa</t>
        </is>
      </c>
      <c r="G14" s="11" t="inlineStr">
        <is>
          <t>Otro</t>
        </is>
      </c>
    </row>
    <row r="15">
      <c r="A15" s="12" t="inlineStr">
        <is>
          <t>H-01</t>
        </is>
      </c>
      <c r="B15" s="13" t="inlineStr">
        <is>
          <t>Fuente de agua — Río</t>
        </is>
      </c>
      <c r="C15" s="27" t="n">
        <v>636500</v>
      </c>
      <c r="D15" s="27" t="n">
        <v>9398100</v>
      </c>
      <c r="E15" s="13" t="n">
        <v>643.9</v>
      </c>
      <c r="F15" s="13" t="inlineStr">
        <is>
          <t>Permanente</t>
        </is>
      </c>
      <c r="G15" s="13" t="inlineStr">
        <is>
          <t>Río Huarmaca — colindante</t>
        </is>
      </c>
    </row>
    <row r="16">
      <c r="A16" s="7" t="inlineStr">
        <is>
          <t>H-02</t>
        </is>
      </c>
      <c r="B16" s="11" t="inlineStr">
        <is>
          <t>Fuente de agua — Quebrada estacional</t>
        </is>
      </c>
      <c r="C16" s="26" t="n">
        <v>636120</v>
      </c>
      <c r="D16" s="26" t="n">
        <v>9398525</v>
      </c>
      <c r="E16" s="11" t="n">
        <v>632.9</v>
      </c>
      <c r="F16" s="11" t="inlineStr">
        <is>
          <t>Estacional</t>
        </is>
      </c>
      <c r="G16" s="11" t="inlineStr">
        <is>
          <t>Quebrada interna sin nombre</t>
        </is>
      </c>
    </row>
    <row r="17">
      <c r="A17" s="12" t="inlineStr">
        <is>
          <t>H-03</t>
        </is>
      </c>
      <c r="B17" s="13" t="inlineStr">
        <is>
          <t>Fuente de agua — Quebrada estacional</t>
        </is>
      </c>
      <c r="C17" s="27" t="n">
        <v>636045</v>
      </c>
      <c r="D17" s="27" t="n">
        <v>9399100</v>
      </c>
      <c r="E17" s="13" t="n">
        <v>1171.3</v>
      </c>
      <c r="F17" s="13" t="inlineStr">
        <is>
          <t>Estacional</t>
        </is>
      </c>
      <c r="G17" s="13" t="inlineStr">
        <is>
          <t>Quebrada N — desemboca en el CP Serrán</t>
        </is>
      </c>
    </row>
    <row r="18">
      <c r="A18" s="7" t="inlineStr">
        <is>
          <t>H-04</t>
        </is>
      </c>
      <c r="B18" s="11" t="inlineStr">
        <is>
          <t>Fuente de agua — Reservorio / Represa</t>
        </is>
      </c>
      <c r="C18" s="26" t="n">
        <v>636151</v>
      </c>
      <c r="D18" s="26" t="n">
        <v>9398547</v>
      </c>
      <c r="E18" s="11" t="n">
        <v>665.5</v>
      </c>
      <c r="F18" s="11" t="inlineStr">
        <is>
          <t>Permanente</t>
        </is>
      </c>
      <c r="G18" s="11" t="inlineStr">
        <is>
          <t>Reservorio JASS Serrán (cota 285 msnm)</t>
        </is>
      </c>
    </row>
    <row r="19">
      <c r="A19" s="12" t="inlineStr">
        <is>
          <t>H-05</t>
        </is>
      </c>
      <c r="B19" s="13" t="inlineStr">
        <is>
          <t>Fuente de agua — Quebrada Garabo</t>
        </is>
      </c>
      <c r="C19" s="27" t="n">
        <v>636150</v>
      </c>
      <c r="D19" s="27" t="n">
        <v>9396800</v>
      </c>
      <c r="E19" s="13" t="n">
        <v>1173.4</v>
      </c>
      <c r="F19" s="13" t="inlineStr">
        <is>
          <t>Permanente</t>
        </is>
      </c>
      <c r="G19" s="13" t="inlineStr">
        <is>
          <t>Quebrada Garabo al sur; riesgo de huaicos</t>
        </is>
      </c>
    </row>
    <row r="20">
      <c r="A20" s="16" t="inlineStr">
        <is>
          <t>TOTAL: 10 puntos</t>
        </is>
      </c>
      <c r="B20" s="17" t="inlineStr"/>
      <c r="C20" s="17" t="inlineStr"/>
      <c r="D20" s="17" t="inlineStr"/>
      <c r="E20" s="17" t="inlineStr"/>
      <c r="F20" s="17" t="inlineStr"/>
      <c r="G20" s="17" t="inlineStr"/>
    </row>
    <row r="22">
      <c r="A22" s="6" t="inlineStr">
        <is>
          <t>Centroide del bloque — UTM ESTE (m)</t>
        </is>
      </c>
      <c r="B22" s="7" t="n">
        <v>635876</v>
      </c>
      <c r="C22" s="6" t="inlineStr">
        <is>
          <t>Centroide del bloque — UTM NORTE (m)</t>
        </is>
      </c>
      <c r="D22" s="7" t="n">
        <v>9397941</v>
      </c>
      <c r="E22" s="8" t="n"/>
      <c r="F22" s="8" t="n"/>
      <c r="G22" s="8" t="n"/>
      <c r="H22" s="8" t="n"/>
    </row>
    <row r="23">
      <c r="A23" s="6" t="inlineStr">
        <is>
          <t>N.° de estaciones fotográficas declaradas</t>
        </is>
      </c>
      <c r="B23" s="7" t="n">
        <v>0</v>
      </c>
      <c r="C23" s="6" t="inlineStr">
        <is>
          <t>Estaciones dentro del polígono</t>
        </is>
      </c>
      <c r="D23" s="7" t="n">
        <v>0</v>
      </c>
      <c r="E23" s="8" t="n"/>
      <c r="F23" s="8" t="n"/>
      <c r="G23" s="8" t="n"/>
      <c r="H23" s="8" t="n"/>
    </row>
    <row r="25" ht="132" customHeight="1">
      <c r="A2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Fisiografía característica de borde de cuenca seca interandina: colinas bajas de pendiente moderada a fuerte (15-35%), expuestas al sector E-NE hacia el valle del río Huarmaca. LITOLOGÍA: pizarras y lutitas grises a rojizas FUERTEMENTE METEORIZADAS (Grupo Salas / Complejo del Marañón) con fragmentos angulosos sueltos. No se observaron deslizamientos activos durante la visita; sin embargo, LA SUSCEPTIBILIDAD A MOVIMIENTOS SOMEROS Y FLUJOS DE DETRITOS DURANTE EVENTOS EXTREMOS ASOCIADOS AL FEN COSTERO ES ALTA, evidenciada por terracillas de pisoteo, escarpes incipientes y por el depósito grueso del cauce activo del río Huarmaca colindante.</t>
        </is>
      </c>
    </row>
  </sheetData>
  <mergeCells count="8">
    <mergeCell ref="A1:G1"/>
    <mergeCell ref="A8:G8"/>
    <mergeCell ref="A3:G3"/>
    <mergeCell ref="A6:G6"/>
    <mergeCell ref="A4:G4"/>
    <mergeCell ref="A2:G2"/>
    <mergeCell ref="A25:G2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M2B1</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t>
        </is>
      </c>
      <c r="B10" s="28" t="n">
        <v>1370.96</v>
      </c>
      <c r="C10" s="19" t="n">
        <v>77.31999999999999</v>
      </c>
      <c r="D10" s="11" t="inlineStr">
        <is>
          <t>291 – 1204</t>
        </is>
      </c>
      <c r="E10" s="11" t="n">
        <v>913</v>
      </c>
      <c r="F10" s="11" t="n">
        <v>21.39</v>
      </c>
      <c r="G10" s="18" t="n">
        <v>0.4545</v>
      </c>
      <c r="H10" s="19" t="inlineStr">
        <is>
          <t>Por determinar</t>
        </is>
      </c>
    </row>
    <row r="11">
      <c r="A11" s="12" t="inlineStr">
        <is>
          <t>7</t>
        </is>
      </c>
      <c r="B11" s="29" t="n">
        <v>173.43</v>
      </c>
      <c r="C11" s="21" t="n">
        <v>9.779999999999999</v>
      </c>
      <c r="D11" s="13" t="inlineStr">
        <is>
          <t>257 – 577</t>
        </is>
      </c>
      <c r="E11" s="13" t="n">
        <v>320</v>
      </c>
      <c r="F11" s="13" t="n">
        <v>18.59</v>
      </c>
      <c r="G11" s="20" t="n">
        <v>0.3753</v>
      </c>
      <c r="H11" s="21" t="inlineStr">
        <is>
          <t>Por determinar</t>
        </is>
      </c>
    </row>
    <row r="12">
      <c r="A12" s="7" t="inlineStr">
        <is>
          <t>M2B8</t>
        </is>
      </c>
      <c r="B12" s="28" t="n">
        <v>116.1</v>
      </c>
      <c r="C12" s="19" t="n">
        <v>6.55</v>
      </c>
      <c r="D12" s="11" t="inlineStr">
        <is>
          <t>244 – 673</t>
        </is>
      </c>
      <c r="E12" s="11" t="n">
        <v>429</v>
      </c>
      <c r="F12" s="11" t="n">
        <v>19.24</v>
      </c>
      <c r="G12" s="18" t="n">
        <v>0.3752</v>
      </c>
      <c r="H12" s="19" t="n">
        <v>16.64</v>
      </c>
    </row>
    <row r="13">
      <c r="A13" s="14" t="inlineStr">
        <is>
          <t>► M2B1</t>
        </is>
      </c>
      <c r="B13" s="30" t="n">
        <v>81.79000000000001</v>
      </c>
      <c r="C13" s="31" t="n">
        <v>4.61</v>
      </c>
      <c r="D13" s="15" t="inlineStr">
        <is>
          <t>235 – 446</t>
        </is>
      </c>
      <c r="E13" s="15" t="n">
        <v>211</v>
      </c>
      <c r="F13" s="15" t="n">
        <v>17.48</v>
      </c>
      <c r="G13" s="32" t="n">
        <v>0.2984</v>
      </c>
      <c r="H13" s="31" t="n">
        <v>0.04</v>
      </c>
    </row>
    <row r="14">
      <c r="A14" s="7" t="inlineStr">
        <is>
          <t>M2B5</t>
        </is>
      </c>
      <c r="B14" s="28" t="n">
        <v>30.91</v>
      </c>
      <c r="C14" s="19" t="n">
        <v>1.74</v>
      </c>
      <c r="D14" s="11" t="inlineStr">
        <is>
          <t>68 – 322</t>
        </is>
      </c>
      <c r="E14" s="11" t="n">
        <v>254</v>
      </c>
      <c r="F14" s="11" t="n">
        <v>8.32</v>
      </c>
      <c r="G14" s="18" t="n">
        <v>0.3047</v>
      </c>
      <c r="H14" s="19" t="n">
        <v>5.14</v>
      </c>
    </row>
    <row r="15">
      <c r="A15" s="16" t="inlineStr">
        <is>
          <t>TOTAL / PROMEDIO</t>
        </is>
      </c>
      <c r="B15" s="33">
        <f>SUM(B10:B14)</f>
        <v/>
      </c>
      <c r="C15" s="23">
        <f>SUM(C10:C14)</f>
        <v/>
      </c>
      <c r="D15" s="17" t="inlineStr">
        <is>
          <t>68 – 1204</t>
        </is>
      </c>
      <c r="E15" s="17" t="inlineStr"/>
      <c r="F15" s="17">
        <f>ROUND(AVERAGE(F10:F14),2)</f>
        <v/>
      </c>
      <c r="G15" s="22">
        <f>ROUND(AVERAGE(G10:G14),4)</f>
        <v/>
      </c>
      <c r="H15" s="23">
        <f>ROUND(AVERAGE(H10:H14),2)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row>
    <row r="18" ht="84" customHeight="1">
      <c r="A18" s="9" t="inlineStr">
        <is>
          <t>LECTURA INTRAMICROCUENCA. El bloque M2B1 ocupa el puesto 4 de 5 por superficie dentro de la microcuenca C1076-Q9584 (4.61 % de las 1773.19 ha preliminares de la microcuenca). Su pendiente promedio (17.48 %, clase «15-25% (Fuert. inclinado)») es la 2.ª más baja de 5 y se sitúa por encima del promedio de la microcuenca (17.00 %). Su MSAVI 2024 (0.2984) es el 5.º de 5 y queda por debajo del promedio local (0.3616). Amplitud altitudinal del bloque: 211 m (235–446 msnm). El cuadro conserva todos los bloques catalogados en la microcuenca, incluidos los descartados en el tamizaje, para referencia del conjunto. Los bloques sin ficha DT figuran con sus parámetros de gabinete.</t>
        </is>
      </c>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18:H18"/>
    <mergeCell ref="A3:H3"/>
    <mergeCell ref="A20:H20"/>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M2B1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630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(81.823 ha) coincide con la de catálogo (81.79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«15-35% (según narrativa de la ficha)»; la estadística zonal sobre el MDE arroja una pendiente promedio de 17.48 %,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55 % de cobertura vegetal en campo; el NDVI mediana 2025 clasifica 99.75 %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11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«Santa Rosa de Serrán»; el cruce INEI-Bloques V5 identifica 1 centro(s) poblado(s) en el bloque: SANTA ROSA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(290 msnm)</t>
        </is>
      </c>
    </row>
    <row r="20" ht="48" customHeight="1">
      <c r="A20" s="34" t="inlineStr">
        <is>
          <t>D-11</t>
        </is>
      </c>
      <c r="B20" s="34" t="inlineStr">
        <is>
          <t>F-DT-01</t>
        </is>
      </c>
      <c r="C20" s="34" t="inlineStr">
        <is>
          <t>Rango de pendiente no consignado en el campo de lista; la narrativa declara 15-35%</t>
        </is>
      </c>
      <c r="D20" s="15" t="inlineStr">
        <is>
          <t>NO SUSTANTIVA</t>
        </is>
      </c>
      <c r="E20" s="34" t="inlineStr">
        <is>
          <t>Completar el campo con la clase correspondiente</t>
        </is>
      </c>
    </row>
    <row r="21" ht="48" customHeight="1">
      <c r="A21" s="36" t="inlineStr">
        <is>
          <t>D-12</t>
        </is>
      </c>
      <c r="B21" s="36" t="inlineStr">
        <is>
          <t>F-DT-02</t>
        </is>
      </c>
      <c r="C21" s="36" t="inlineStr">
        <is>
          <t>C-03 se rotula «Surco (&lt;30 cm)» pero declara 0.9 m de profundidad y 2.1 m de ancho</t>
        </is>
      </c>
      <c r="D21" s="37" t="inlineStr">
        <is>
          <t>SUSTANTIVA</t>
        </is>
      </c>
      <c r="E21" s="36" t="inlineStr">
        <is>
          <t>Tipología incompatible con las dimensiones: reclasificar</t>
        </is>
      </c>
    </row>
    <row r="22" ht="48" customHeight="1">
      <c r="A22" s="34" t="inlineStr">
        <is>
          <t>D-13</t>
        </is>
      </c>
      <c r="B22" s="34" t="inlineStr">
        <is>
          <t>F-DT-03</t>
        </is>
      </c>
      <c r="C22" s="34" t="inlineStr">
        <is>
          <t>Cobertura de hojarasca: la ficha registra una fecha (2026-08-10) en lugar de un porcentaje</t>
        </is>
      </c>
      <c r="D22" s="37" t="inlineStr">
        <is>
          <t>SUSTANTIVA</t>
        </is>
      </c>
      <c r="E22" s="34" t="inlineStr">
        <is>
          <t>Dato corrupto: relevar</t>
        </is>
      </c>
    </row>
    <row r="23" ht="48" customHeight="1">
      <c r="A23" s="36" t="inlineStr">
        <is>
          <t>D-14</t>
        </is>
      </c>
      <c r="B23" s="36" t="inlineStr">
        <is>
          <t>F-DT-03</t>
        </is>
      </c>
      <c r="C23" s="36" t="inlineStr">
        <is>
          <t>Categoría UICN del Hualtaco consignada VU, frente a CR/EN en otros bloques del proyecto</t>
        </is>
      </c>
      <c r="D23" s="37" t="inlineStr">
        <is>
          <t>SUSTANTIVA</t>
        </is>
      </c>
      <c r="E23" s="36" t="inlineStr">
        <is>
          <t>Homogeneizar criterio de categorización en todo el portafolio</t>
        </is>
      </c>
    </row>
    <row r="24" ht="48" customHeight="1">
      <c r="A24" s="34" t="inlineStr">
        <is>
          <t>D-15</t>
        </is>
      </c>
      <c r="B24" s="34" t="inlineStr">
        <is>
          <t>F-DT-04</t>
        </is>
      </c>
      <c r="C24" s="34" t="inlineStr">
        <is>
          <t>Urgencia de intervención declarada «Media» frente a urgencia de control de erosión «Alta» y presión urbana calificada de crítica</t>
        </is>
      </c>
      <c r="D24" s="37" t="inlineStr">
        <is>
          <t>SUSTANTIVA</t>
        </is>
      </c>
      <c r="E24" s="34" t="inlineStr">
        <is>
          <t>Revisar calificación</t>
        </is>
      </c>
    </row>
    <row r="25" ht="48" customHeight="1">
      <c r="A25" s="36" t="inlineStr">
        <is>
          <t>D-16</t>
        </is>
      </c>
      <c r="B25" s="36" t="inlineStr">
        <is>
          <t>F-DT-04</t>
        </is>
      </c>
      <c r="C25" s="36" t="inlineStr">
        <is>
          <t>EXPANSIÓN URBANA AUTORIZADA por la Municipalidad de Salitral en el flanco NE (lotes Mz.H1-Lt.1 y Mz.A1-Lt.2) sobre franja antes ecosistémica</t>
        </is>
      </c>
      <c r="D25" s="37" t="inlineStr">
        <is>
          <t>SUSTANTIVA</t>
        </is>
      </c>
      <c r="E25" s="36" t="inlineStr">
        <is>
          <t>Gestión urgente con la Municipalidad Distrital y el GORE Piura; asegurar tamizaje predial definitivo</t>
        </is>
      </c>
    </row>
    <row r="26" ht="48" customHeight="1">
      <c r="A26" s="34" t="inlineStr">
        <is>
          <t>D-17</t>
        </is>
      </c>
      <c r="B26" s="34" t="inlineStr">
        <is>
          <t>F-DT-05</t>
        </is>
      </c>
      <c r="C26" s="34" t="inlineStr">
        <is>
          <t>Vínculo hidrológico directo con la captación de la JASS Santa Rosa de Serrán</t>
        </is>
      </c>
      <c r="D26" s="37" t="inlineStr">
        <is>
          <t>SUSTANTIVA</t>
        </is>
      </c>
      <c r="E26" s="34" t="inlineStr">
        <is>
          <t>Oportunidad para MERESE: incorporar a la línea de gobernanza</t>
        </is>
      </c>
    </row>
    <row r="28">
      <c r="A28" s="16" t="inlineStr">
        <is>
          <t>RESUMEN</t>
        </is>
      </c>
      <c r="B28" s="17" t="inlineStr">
        <is>
          <t>17 verificaciones</t>
        </is>
      </c>
      <c r="C28" s="17" t="inlineStr">
        <is>
          <t>CONFORME: 4 · CORREGIDO: 1 · NO SUSTANTIVA: 3 · SUSTANTIVA: 9</t>
        </is>
      </c>
      <c r="D28" s="17" t="inlineStr"/>
      <c r="E28" s="17" t="inlineStr"/>
    </row>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M2B1 — IN Piura</dc:title>
  <dc:subject>Diagnóstico Territorial por bloque de intervención</dc:subject>
  <dcterms:created xsi:type="dcterms:W3CDTF">2026-09-08T03:39:58Z</dcterms:created>
  <dcterms:modified xsi:type="dcterms:W3CDTF">2026-09-08T03:39:58Z</dcterms:modified>
</cp:coreProperties>
</file>