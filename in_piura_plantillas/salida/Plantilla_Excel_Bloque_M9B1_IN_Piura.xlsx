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M9B1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M9B1</t>
        </is>
      </c>
      <c r="C9" s="6" t="inlineStr">
        <is>
          <t>Microcuenca (catálogo)</t>
        </is>
      </c>
      <c r="D9" s="7" t="inlineStr">
        <is>
          <t>C1096-Q9545</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C1096-Q9545)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La Peña</t>
        </is>
      </c>
      <c r="C13" s="6" t="inlineStr">
        <is>
          <t>Comunidad campesina</t>
        </is>
      </c>
      <c r="D13" s="7" t="inlineStr">
        <is>
          <t>María Ángela Alvarado de Zeta (según ficha DT); el F-DS-02 declara que NO pertenecen a ninguna comunidad campesina</t>
        </is>
      </c>
      <c r="E13" s="8" t="n"/>
      <c r="F13" s="8" t="n"/>
    </row>
    <row r="14">
      <c r="A14" s="6" t="inlineStr">
        <is>
          <t>Superficie de catálogo (V5/V6), ha</t>
        </is>
      </c>
      <c r="B14" s="7" t="n">
        <v>355.36</v>
      </c>
      <c r="C14" s="6" t="inlineStr">
        <is>
          <t>Fuente de superficie</t>
        </is>
      </c>
      <c r="D14" s="7" t="inlineStr">
        <is>
          <t>Catálogo maestro Bloques V5/V6</t>
        </is>
      </c>
      <c r="E14" s="8" t="n"/>
      <c r="F14" s="8" t="n"/>
    </row>
    <row r="15">
      <c r="A15" s="6" t="inlineStr">
        <is>
          <t>Centroide UTM ESTE (m)</t>
        </is>
      </c>
      <c r="B15" s="7" t="n">
        <v>595552</v>
      </c>
      <c r="C15" s="6" t="inlineStr">
        <is>
          <t>Centroide UTM NORTE (m)</t>
        </is>
      </c>
      <c r="D15" s="7" t="n">
        <v>9451222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147</v>
      </c>
      <c r="C19" s="6" t="inlineStr">
        <is>
          <t>Altitud máxima (msnm)</t>
        </is>
      </c>
      <c r="D19" s="7" t="n">
        <v>265</v>
      </c>
      <c r="E19" s="8" t="n"/>
      <c r="F19" s="8" t="n"/>
    </row>
    <row r="20">
      <c r="A20" s="6" t="inlineStr">
        <is>
          <t>Amplitud altitudinal (m)</t>
        </is>
      </c>
      <c r="B20" s="7" t="n">
        <v>118</v>
      </c>
      <c r="C20" s="6" t="inlineStr">
        <is>
          <t>Piso altitudinal dominante</t>
        </is>
      </c>
      <c r="D20" s="7" t="inlineStr">
        <is>
          <t>&lt;1000 m (Yunga)</t>
        </is>
      </c>
      <c r="E20" s="8" t="n"/>
      <c r="F20" s="8" t="n"/>
    </row>
    <row r="21">
      <c r="A21" s="6" t="inlineStr">
        <is>
          <t>Pendiente promedio (%)</t>
        </is>
      </c>
      <c r="B21" s="7" t="n">
        <v>10.17</v>
      </c>
      <c r="C21" s="6" t="inlineStr">
        <is>
          <t>Pendiente promedio (grados)</t>
        </is>
      </c>
      <c r="D21" s="7" t="n">
        <v>5.8</v>
      </c>
      <c r="E21" s="8" t="n"/>
      <c r="F21" s="8" t="n"/>
    </row>
    <row r="22">
      <c r="A22" s="6" t="inlineStr">
        <is>
          <t>Clase de pendiente equivalente</t>
        </is>
      </c>
      <c r="B22" s="7" t="inlineStr">
        <is>
          <t>8-15% (Mod.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0.3143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(78.10 %)</t>
        </is>
      </c>
      <c r="E29" s="8" t="n"/>
      <c r="F29" s="8" t="n"/>
    </row>
    <row r="30">
      <c r="A30" s="6" t="inlineStr">
        <is>
          <t>Superficie clasificada NDVI 2025 (ha)</t>
        </is>
      </c>
      <c r="B30" s="7" t="n">
        <v>355.568</v>
      </c>
      <c r="C30" s="6" t="inlineStr">
        <is>
          <t>Desviación frente al catálogo (%)</t>
        </is>
      </c>
      <c r="D30" s="7" t="n">
        <v>0.06</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320 ha (de 355.36 ha del bloque)</t>
        </is>
      </c>
      <c r="E33" s="8" t="n"/>
      <c r="F33" s="8" t="n"/>
    </row>
    <row r="34">
      <c r="A34" s="6" t="inlineStr">
        <is>
          <t>Estado de conservación</t>
        </is>
      </c>
      <c r="B34" s="7" t="inlineStr">
        <is>
          <t>Medianamente alterado</t>
        </is>
      </c>
      <c r="C34" s="6" t="inlineStr">
        <is>
          <t>Uso actual dominante del suelo</t>
        </is>
      </c>
      <c r="D34" s="7" t="inlineStr">
        <is>
          <t>Pastoreo extensivo</t>
        </is>
      </c>
      <c r="E34" s="8" t="n"/>
      <c r="F34" s="8" t="n"/>
    </row>
    <row r="35">
      <c r="A35" s="6" t="inlineStr">
        <is>
          <t>Tipo de cobertura dominante</t>
        </is>
      </c>
      <c r="B35" s="7" t="inlineStr">
        <is>
          <t>Bosque ralo (30-70%)</t>
        </is>
      </c>
      <c r="C35" s="6" t="inlineStr">
        <is>
          <t>Cobertura vegetal total — campo (%)</t>
        </is>
      </c>
      <c r="D35" s="7" t="n">
        <v>90</v>
      </c>
      <c r="E35" s="8" t="n"/>
      <c r="F35" s="8" t="n"/>
    </row>
    <row r="36">
      <c r="A36" s="6" t="inlineStr">
        <is>
          <t>Suelo desnudo — campo (%)</t>
        </is>
      </c>
      <c r="B36" s="7" t="n">
        <v>10</v>
      </c>
      <c r="C36" s="6" t="inlineStr">
        <is>
          <t>Regeneración natural</t>
        </is>
      </c>
      <c r="D36" s="7" t="inlineStr">
        <is>
          <t>Regular (10-50 pl./100m²)</t>
        </is>
      </c>
      <c r="E36" s="8" t="n"/>
      <c r="F36" s="8" t="n"/>
    </row>
    <row r="37">
      <c r="A37" s="6" t="inlineStr">
        <is>
          <t>Nivel general de erosión</t>
        </is>
      </c>
      <c r="B37" s="7" t="inlineStr">
        <is>
          <t>FICHA F-DT-02 SIN CONTENIDO. Evidencia narrativa de F-DT-01: erosión laminar y eólica por pastoreo</t>
        </is>
      </c>
      <c r="C37" s="6" t="inlineStr">
        <is>
          <t>N.° de cárcavas registradas</t>
        </is>
      </c>
      <c r="D37" s="7" t="inlineStr">
        <is>
          <t>No inventariadas (F-DT-02 sin contenido)</t>
        </is>
      </c>
      <c r="E37" s="8" t="n"/>
      <c r="F37" s="8" t="n"/>
    </row>
    <row r="38">
      <c r="A38" s="6" t="inlineStr">
        <is>
          <t>Elenco florístico (n.° de taxones)</t>
        </is>
      </c>
      <c r="B38" s="7" t="n">
        <v>9</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t>
        </is>
      </c>
      <c r="C41" s="6" t="inlineStr">
        <is>
          <t>Fecha de evaluación</t>
        </is>
      </c>
      <c r="D41" s="7" t="inlineStr">
        <is>
          <t>2026-07-03</t>
        </is>
      </c>
      <c r="E41" s="8" t="n"/>
      <c r="F41" s="8" t="n"/>
    </row>
    <row r="42">
      <c r="A42" s="6" t="inlineStr">
        <is>
          <t>Hora de registro</t>
        </is>
      </c>
      <c r="B42" s="7" t="inlineStr">
        <is>
          <t>09:55 h</t>
        </is>
      </c>
      <c r="C42" s="6" t="inlineStr">
        <is>
          <t>Correlativo de ficha</t>
        </is>
      </c>
      <c r="D42" s="7" t="inlineStr">
        <is>
          <t>Sin registro en ficha</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Por determinar</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M9B1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0.314312</v>
      </c>
      <c r="C15" s="17" t="inlineStr">
        <is>
          <t>—</t>
        </is>
      </c>
      <c r="D15" s="17" t="inlineStr">
        <is>
          <t>Vigor muy bajo · clase 0.2650 - 0.3813</t>
        </is>
      </c>
      <c r="E15" s="17" t="inlineStr">
        <is>
          <t>BAJO umbral 0.4976</t>
        </is>
      </c>
    </row>
    <row r="17" ht="72" customHeight="1">
      <c r="A17" s="9" t="inlineStr">
        <is>
          <t>NOTA METODOLÓGICA. La media del MSAVI 2024 del bloque (0.314312)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0.5237000000000001</v>
      </c>
      <c r="C21" s="19" t="n">
        <v>0.15</v>
      </c>
      <c r="D21" s="11" t="inlineStr">
        <is>
          <t>Dosel continuo, matorral denso o mosaico agroforestal</t>
        </is>
      </c>
      <c r="E21" s="11" t="inlineStr"/>
    </row>
    <row r="22">
      <c r="A22" s="12" t="inlineStr">
        <is>
          <t>Vegetación mediana</t>
        </is>
      </c>
      <c r="B22" s="20" t="n">
        <v>28.9887</v>
      </c>
      <c r="C22" s="21" t="n">
        <v>8.15</v>
      </c>
      <c r="D22" s="13" t="inlineStr">
        <is>
          <t>Pastizal cultivado, matorral ralo, parcelas agrícolas</t>
        </is>
      </c>
      <c r="E22" s="13" t="inlineStr"/>
    </row>
    <row r="23">
      <c r="A23" s="7" t="inlineStr">
        <is>
          <t>Vegetación ligera</t>
        </is>
      </c>
      <c r="B23" s="18" t="n">
        <v>277.6993</v>
      </c>
      <c r="C23" s="19" t="n">
        <v>78.09999999999999</v>
      </c>
      <c r="D23" s="11" t="inlineStr">
        <is>
          <t>Cobertura discontinua, suelo parcialmente expuesto</t>
        </is>
      </c>
      <c r="E23" s="11" t="inlineStr"/>
    </row>
    <row r="24">
      <c r="A24" s="12" t="inlineStr">
        <is>
          <t>Tierra desnuda</t>
        </is>
      </c>
      <c r="B24" s="20" t="n">
        <v>48.356</v>
      </c>
      <c r="C24" s="21" t="n">
        <v>13.6</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355.36</v>
      </c>
      <c r="C26" s="25" t="inlineStr">
        <is>
          <t>—</t>
        </is>
      </c>
      <c r="D26" s="25" t="inlineStr">
        <is>
          <t>Desviación planimétrica frente al catálogo</t>
        </is>
      </c>
      <c r="E26" s="25" t="inlineStr">
        <is>
          <t>+0.06 %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0.15 % del polígono clasificado como «Vegetación alta» por el NDVI 2025; la observación de campo corresponde a una parcela o recorrido puntual y no es estadísticamente representativa de las 355.360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M9B1</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76381.5</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595552</v>
      </c>
      <c r="C13" s="6" t="inlineStr">
        <is>
          <t>Centroide del bloque — UTM NORTE (m)</t>
        </is>
      </c>
      <c r="D13" s="7" t="n">
        <v>9451222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6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está conformado por un conjunto de LADERAS DE COLINA BAJA, con pendientes inferiores al 30% y altitud media ≈250 msnm. Debido a su extensión (355.36 ha) y a la accidentada topografía, el área presenta DIVERSAS QUEBRADAS QUE CANALIZAN EL AGUA DE LLUVIA HACIA EL SECTOR DEL CCPP: el flujo atraviesa la vía afirmada mediante BADENES, continúa por parcelas de cultivo y desemboca en la quebrada principal (colector). En las zonas de pendiente se observan piedras de tamaño pequeño a mediano. NO SE DETECTARON SURCOS SIGNIFICATIVOS NI CÁRCAVAS en formación evidente. En el interior se evidenció EROSIÓN LAMINAR Y EÓLICA causada por el pastoreo de ganado vacuno y caprino. Se evidenciaron CAMINOS DE HERRADURA marcados dejados por el tránsito de personas y ganado, que contribuyen a la erosión. ATENCIÓN: el UTM del punto de registro (645 575 · 9 393 500) es el valor por defecto de la plantilla; el centroide de catálogo es 595 552 · 9 451 220 (≈70 km de diferencia).</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C1096-Q9545 — BLOQUE M9B1</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C1096-Q9545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3</t>
        </is>
      </c>
      <c r="B10" s="27" t="n">
        <v>459.29</v>
      </c>
      <c r="C10" s="19" t="n">
        <v>56.38</v>
      </c>
      <c r="D10" s="11" t="inlineStr">
        <is>
          <t>951 – 2173</t>
        </is>
      </c>
      <c r="E10" s="11" t="n">
        <v>1222</v>
      </c>
      <c r="F10" s="11" t="n">
        <v>29.52</v>
      </c>
      <c r="G10" s="18" t="n">
        <v>0.5677</v>
      </c>
      <c r="H10" s="19" t="n">
        <v>57.21</v>
      </c>
    </row>
    <row r="11">
      <c r="A11" s="14" t="inlineStr">
        <is>
          <t>► M9B1</t>
        </is>
      </c>
      <c r="B11" s="28" t="n">
        <v>355.36</v>
      </c>
      <c r="C11" s="29" t="n">
        <v>43.62</v>
      </c>
      <c r="D11" s="15" t="inlineStr">
        <is>
          <t>147 – 265</t>
        </is>
      </c>
      <c r="E11" s="15" t="n">
        <v>118</v>
      </c>
      <c r="F11" s="15" t="n">
        <v>10.17</v>
      </c>
      <c r="G11" s="30" t="n">
        <v>0.3143</v>
      </c>
      <c r="H11" s="29" t="n">
        <v>0.15</v>
      </c>
    </row>
    <row r="12">
      <c r="A12" s="16" t="inlineStr">
        <is>
          <t>TOTAL / PROMEDIO</t>
        </is>
      </c>
      <c r="B12" s="31">
        <f>SUM(B10:B11)</f>
        <v/>
      </c>
      <c r="C12" s="23">
        <f>SUM(C10:C11)</f>
        <v/>
      </c>
      <c r="D12" s="17" t="inlineStr">
        <is>
          <t>147 – 2173</t>
        </is>
      </c>
      <c r="E12" s="17" t="inlineStr"/>
      <c r="F12" s="17">
        <f>ROUND(AVERAGE(F10:F11),2)</f>
        <v/>
      </c>
      <c r="G12" s="22">
        <f>ROUND(AVERAGE(G10:G11),4)</f>
        <v/>
      </c>
      <c r="H12" s="23">
        <f>ROUND(AVERAGE(H10:H11),2)</f>
        <v/>
      </c>
    </row>
    <row r="14" ht="84" customHeight="1">
      <c r="A14" s="9" t="inlineStr">
        <is>
          <t>LECTURA INTRAMICROCUENCA. El bloque M9B1 ocupa el puesto 2 de 2 por superficie dentro de la microcuenca C1096-Q9545 (43.62 % de las 814.65 ha preliminares de la microcuenca). Su pendiente promedio (10.17 %, clase «8-15% (Mod. inclinado)») es la 1.ª más baja de 2 y se sitúa por debajo del promedio de la microcuenca (19.84 %). Su MSAVI 2024 (0.3143) es el 2.º de 2 y queda por debajo del promedio local (0.4410). Amplitud altitudinal del bloque: 118 m (147–265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M9B1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(según ficha — valor por defecto de plantilla; catálogo: C1096-Q9545)»; el catálogo maestro V5/V6 asigna el bloque a «C1096-Q9545»</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El punto de muestreo declarado (645575 E / 9393500 N) dista 76,382 m del centroide de catálogo (595552 E / 9451222 N), distancia incompatible con la superficie del bloque (355.36 ha)</t>
        </is>
      </c>
      <c r="D11" s="33" t="inlineStr">
        <is>
          <t>SUSTANTIVA</t>
        </is>
      </c>
      <c r="E11" s="34" t="inlineStr">
        <is>
          <t>Se declara la coordenada como POR VERIFICAR: puede corresponder a otro bloque o a un error de digitación. No se corrige de oficio.</t>
        </is>
      </c>
    </row>
    <row r="12" ht="48" customHeight="1">
      <c r="A12" s="32" t="inlineStr">
        <is>
          <t>D-03</t>
        </is>
      </c>
      <c r="B12" s="32" t="inlineStr">
        <is>
          <t>Superficie del polígono</t>
        </is>
      </c>
      <c r="C12" s="32" t="inlineStr">
        <is>
          <t>La superficie clasificada por el NDVI 2025 (355.568 ha) coincide con la de catálogo (355.36 ha) dentro del ±2 % (+0.06 %)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«15-25% (Fuert. inclinado)»; la estadística zonal sobre el MDE arroja una pendiente promedio de 10.17 %, que corresponde a la clase «8-15% (Mod. inclinado)»</t>
        </is>
      </c>
      <c r="D13" s="15"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Dimensiones del inventario de cárcavas</t>
        </is>
      </c>
      <c r="C14" s="32" t="inlineStr">
        <is>
          <t>Se registran No inventariadas (F-DT-02 sin contenido) rasgos erosivos, pero longitud, profundidad y ancho no fueron medidos instrumentalmente</t>
        </is>
      </c>
      <c r="D14" s="15" t="inlineStr">
        <is>
          <t>NO SUSTANTIVA</t>
        </is>
      </c>
      <c r="E14" s="32" t="inlineStr">
        <is>
          <t>El conteo registrado no debe usarse para calcular densidad de cárcavas por hectárea. Pendiente de levantamiento con GPS submétrico.</t>
        </is>
      </c>
    </row>
    <row r="15" ht="48" customHeight="1">
      <c r="A15" s="34" t="inlineStr">
        <is>
          <t>D-06</t>
        </is>
      </c>
      <c r="B15" s="34" t="inlineStr">
        <is>
          <t>Elenco florístico</t>
        </is>
      </c>
      <c r="C15" s="34" t="inlineStr">
        <is>
          <t>La ficha registra 9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Representatividad del levantamiento</t>
        </is>
      </c>
      <c r="C16" s="32" t="inlineStr">
        <is>
          <t>Ninguna de las estaciones fotográficas georreferenciadas se localiza dentro del polígono del bloque</t>
        </is>
      </c>
      <c r="D16" s="33" t="inlineStr">
        <is>
          <t>SUSTANTIVA</t>
        </is>
      </c>
      <c r="E16" s="32" t="inlineStr">
        <is>
          <t>La verificación documenta el perímetro y la vista panorámica del bloque, no su interior. Los parámetros que exigen recorrido interno se consignan «Por determinar».</t>
        </is>
      </c>
    </row>
    <row r="17" ht="48" customHeight="1">
      <c r="A17" s="34" t="inlineStr">
        <is>
          <t>D-08</t>
        </is>
      </c>
      <c r="B17" s="34" t="inlineStr">
        <is>
          <t>Centro poblado asociado</t>
        </is>
      </c>
      <c r="C17" s="34" t="inlineStr">
        <is>
          <t>La ficha DT declara «La Peña»; el cruce INEI-Bloques V5 identifica 1 centro(s) poblado(s) en el bloque: LA PEÑA</t>
        </is>
      </c>
      <c r="D17" s="35" t="inlineStr">
        <is>
          <t>CONFORME</t>
        </is>
      </c>
      <c r="E17" s="34" t="inlineStr">
        <is>
          <t>Se conserva el registro de campo como referencia y se adopta el listado INEI para el diagnóstico social y el cálculo de población beneficiaria.</t>
        </is>
      </c>
    </row>
    <row r="18" ht="48" customHeight="1">
      <c r="A18" s="32" t="inlineStr">
        <is>
          <t>D-09</t>
        </is>
      </c>
      <c r="B18" s="32" t="inlineStr">
        <is>
          <t>Peligro integrado (MCA-AHP)</t>
        </is>
      </c>
      <c r="C18" s="32" t="inlineStr">
        <is>
          <t>El nivel de peligro integrado no está disponible en los insumos de este entregable</t>
        </is>
      </c>
      <c r="D18" s="33" t="inlineStr">
        <is>
          <t>SUSTANTIVA</t>
        </is>
      </c>
      <c r="E18" s="32" t="inlineStr">
        <is>
          <t>Debe tomarse del modelamiento de mesolocalización (PMM + EPH + PGI ponderados por AHP) antes de fijar la prioridad definitiva de intervención del bloque.</t>
        </is>
      </c>
    </row>
    <row r="19" ht="48" customHeight="1">
      <c r="A19" s="34" t="inlineStr">
        <is>
          <t>D-10</t>
        </is>
      </c>
      <c r="B19" s="34" t="inlineStr">
        <is>
          <t>Ficha DT</t>
        </is>
      </c>
      <c r="C19" s="34" t="inlineStr">
        <is>
          <t>La ficha consigna microcuenca C1076-Q9584; el catálogo maestro asigna a M9B1 la microcuenca C1096-Q9545</t>
        </is>
      </c>
      <c r="D19" s="33" t="inlineStr">
        <is>
          <t>SUSTANTIVA</t>
        </is>
      </c>
      <c r="E19" s="34" t="inlineStr">
        <is>
          <t>Valor por defecto de la plantilla; se conserva el del catálogo</t>
        </is>
      </c>
    </row>
    <row r="20" ht="48" customHeight="1">
      <c r="A20" s="32" t="inlineStr">
        <is>
          <t>D-11</t>
        </is>
      </c>
      <c r="B20" s="32" t="inlineStr">
        <is>
          <t>Ficha DT</t>
        </is>
      </c>
      <c r="C20" s="32" t="inlineStr">
        <is>
          <t>UTM del punto de registro (645 575 · 9 393 500) = valor por defecto; el centroide de catálogo es 595 552 · 9 451 220 (≈70 km)</t>
        </is>
      </c>
      <c r="D20" s="33" t="inlineStr">
        <is>
          <t>SUSTANTIVA</t>
        </is>
      </c>
      <c r="E20" s="32" t="inlineStr">
        <is>
          <t>Georreferencia por reponer</t>
        </is>
      </c>
    </row>
    <row r="21" ht="48" customHeight="1">
      <c r="A21" s="34" t="inlineStr">
        <is>
          <t>D-12</t>
        </is>
      </c>
      <c r="B21" s="34" t="inlineStr">
        <is>
          <t>Plan de Ingreso</t>
        </is>
      </c>
      <c r="C21" s="34" t="inlineStr">
        <is>
          <t>Altitud = 0 msnm (captura por defecto del aplicativo)</t>
        </is>
      </c>
      <c r="D21" s="36" t="inlineStr">
        <is>
          <t>CORREGIDO</t>
        </is>
      </c>
      <c r="E21" s="34" t="inlineStr">
        <is>
          <t>Se reemplaza por la altitud GPS de campo (254 msnm)</t>
        </is>
      </c>
    </row>
    <row r="22" ht="48" customHeight="1">
      <c r="A22" s="32" t="inlineStr">
        <is>
          <t>D-13</t>
        </is>
      </c>
      <c r="B22" s="32" t="inlineStr">
        <is>
          <t>F-DT-02</t>
        </is>
      </c>
      <c r="C22" s="32" t="inlineStr">
        <is>
          <t>Sección SIN CONTENIDO en el documento de origen</t>
        </is>
      </c>
      <c r="D22" s="33" t="inlineStr">
        <is>
          <t>SUSTANTIVA</t>
        </is>
      </c>
      <c r="E22" s="32" t="inlineStr">
        <is>
          <t>Levantamiento de suelo y procesos erosivos pendiente en su totalidad</t>
        </is>
      </c>
    </row>
    <row r="23" ht="48" customHeight="1">
      <c r="A23" s="34" t="inlineStr">
        <is>
          <t>D-14</t>
        </is>
      </c>
      <c r="B23" s="34" t="inlineStr">
        <is>
          <t>F-DT-03</t>
        </is>
      </c>
      <c r="C23" s="34" t="inlineStr">
        <is>
          <t>La tabla florística (9 taxones) no consigna nombre científico ni familia</t>
        </is>
      </c>
      <c r="D23" s="33" t="inlineStr">
        <is>
          <t>SUSTANTIVA</t>
        </is>
      </c>
      <c r="E23" s="34" t="inlineStr">
        <is>
          <t>Determinación botánica pendiente</t>
        </is>
      </c>
    </row>
    <row r="24" ht="48" customHeight="1">
      <c r="A24" s="32" t="inlineStr">
        <is>
          <t>D-15</t>
        </is>
      </c>
      <c r="B24" s="32" t="inlineStr">
        <is>
          <t>F-DT-03</t>
        </is>
      </c>
      <c r="C24" s="32" t="inlineStr">
        <is>
          <t>Cobertura de dosel 90% incompatible con el tipo de cobertura «Bosque ralo (30-70%)»; alturas narrativas &lt;6 m frente a 7 m consignados</t>
        </is>
      </c>
      <c r="D24" s="33" t="inlineStr">
        <is>
          <t>SUSTANTIVA</t>
        </is>
      </c>
      <c r="E24" s="32" t="inlineStr">
        <is>
          <t>Inconsistencias internas a resolver</t>
        </is>
      </c>
    </row>
    <row r="25" ht="48" customHeight="1">
      <c r="A25" s="34" t="inlineStr">
        <is>
          <t>D-16</t>
        </is>
      </c>
      <c r="B25" s="34" t="inlineStr">
        <is>
          <t>F-DT-04</t>
        </is>
      </c>
      <c r="C25" s="34" t="inlineStr">
        <is>
          <t>Densidad de cárcavas 1 N.°/ha pese a declararse que no se detectaron cárcavas y a no existir inventario</t>
        </is>
      </c>
      <c r="D25" s="33" t="inlineStr">
        <is>
          <t>SUSTANTIVA</t>
        </is>
      </c>
      <c r="E25" s="34" t="inlineStr">
        <is>
          <t>Inconsistencia interna a resolver</t>
        </is>
      </c>
    </row>
    <row r="26" ht="48" customHeight="1">
      <c r="A26" s="32" t="inlineStr">
        <is>
          <t>D-17</t>
        </is>
      </c>
      <c r="B26" s="32" t="inlineStr">
        <is>
          <t>F-DT-03 / F-DT-04</t>
        </is>
      </c>
      <c r="C26" s="32" t="inlineStr">
        <is>
          <t>Suelo desnudo: 10% en F-DT-03 frente a 5% en el indicador N.° 2</t>
        </is>
      </c>
      <c r="D26" s="15" t="inlineStr">
        <is>
          <t>NO SUSTANTIVA</t>
        </is>
      </c>
      <c r="E26" s="32" t="inlineStr">
        <is>
          <t>Conciliar</t>
        </is>
      </c>
    </row>
    <row r="27" ht="48" customHeight="1">
      <c r="A27" s="34" t="inlineStr">
        <is>
          <t>D-18</t>
        </is>
      </c>
      <c r="B27" s="34" t="inlineStr">
        <is>
          <t>F-DT-05</t>
        </is>
      </c>
      <c r="C27" s="34" t="inlineStr">
        <is>
          <t>Inventario de fuentes vacío pese a describirse diversas quebradas que canalizan agua hacia el CCPP</t>
        </is>
      </c>
      <c r="D27" s="33" t="inlineStr">
        <is>
          <t>SUSTANTIVA</t>
        </is>
      </c>
      <c r="E27" s="34" t="inlineStr">
        <is>
          <t>Levantamiento pendiente</t>
        </is>
      </c>
    </row>
    <row r="28" ht="48" customHeight="1">
      <c r="A28" s="32" t="inlineStr">
        <is>
          <t>D-19</t>
        </is>
      </c>
      <c r="B28" s="32" t="inlineStr">
        <is>
          <t>F-DS-01 / F-DS-02</t>
        </is>
      </c>
      <c r="C28" s="32" t="inlineStr">
        <is>
          <t>Contradicción: F-DS-01 declara Comunidad Campesina reconocida con título; F-DS-02 declara que no pertenecen a ninguna comunidad campesina</t>
        </is>
      </c>
      <c r="D28" s="33" t="inlineStr">
        <is>
          <t>SUSTANTIVA</t>
        </is>
      </c>
      <c r="E28" s="32" t="inlineStr">
        <is>
          <t>Condiciona el tamizaje predial y la estrategia de gobernanza: resolver antes del Expediente de Liberación de Áreas</t>
        </is>
      </c>
    </row>
    <row r="30">
      <c r="A30" s="16" t="inlineStr">
        <is>
          <t>RESUMEN</t>
        </is>
      </c>
      <c r="B30" s="17" t="inlineStr">
        <is>
          <t>19 verificaciones</t>
        </is>
      </c>
      <c r="C30" s="17" t="inlineStr">
        <is>
          <t>CONFORME: 2 · CORREGIDO: 1 · NO SUSTANTIVA: 3 · SUSTANTIVA: 13</t>
        </is>
      </c>
      <c r="D30" s="17" t="inlineStr"/>
      <c r="E30" s="17" t="inlineStr"/>
    </row>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M9B1 — IN Piura</dc:title>
  <dc:subject>Diagnóstico Territorial por bloque de intervención</dc:subject>
  <dcterms:created xsi:type="dcterms:W3CDTF">2026-09-08T02:45:07Z</dcterms:created>
  <dcterms:modified xsi:type="dcterms:W3CDTF">2026-09-08T02:45:07Z</dcterms:modified>
</cp:coreProperties>
</file>