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
      <patternFill patternType="solid">
        <fgColor rgb="00C6E0B4"/>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51</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51</t>
        </is>
      </c>
      <c r="C9" s="6" t="inlineStr">
        <is>
          <t>Microcuenca (catálogo)</t>
        </is>
      </c>
      <c r="D9" s="7" t="inlineStr">
        <is>
          <t>C1076-Q9593</t>
        </is>
      </c>
      <c r="E9" s="8" t="n"/>
      <c r="F9" s="8" t="n"/>
    </row>
    <row r="10">
      <c r="A10" s="6" t="inlineStr">
        <is>
          <t>Zona de planificación</t>
        </is>
      </c>
      <c r="B10" s="7" t="inlineStr">
        <is>
          <t>Z14</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Talla / Shain (colindantes); Huarmaca (capital distrital)</t>
        </is>
      </c>
      <c r="C13" s="6" t="inlineStr">
        <is>
          <t>Comunidad campesina</t>
        </is>
      </c>
      <c r="D13" s="7" t="inlineStr">
        <is>
          <t>Por verificar</t>
        </is>
      </c>
      <c r="E13" s="8" t="n"/>
      <c r="F13" s="8" t="n"/>
    </row>
    <row r="14">
      <c r="A14" s="6" t="inlineStr">
        <is>
          <t>Superficie de catálogo (V5/V6), ha</t>
        </is>
      </c>
      <c r="B14" s="7" t="n">
        <v>22.93</v>
      </c>
      <c r="C14" s="6" t="inlineStr">
        <is>
          <t>Fuente de superficie</t>
        </is>
      </c>
      <c r="D14" s="7" t="inlineStr">
        <is>
          <t>Catálogo maestro Bloques V5/V6</t>
        </is>
      </c>
      <c r="E14" s="8" t="n"/>
      <c r="F14" s="8" t="n"/>
    </row>
    <row r="15">
      <c r="A15" s="6" t="inlineStr">
        <is>
          <t>Centroide UTM ESTE (m)</t>
        </is>
      </c>
      <c r="B15" s="7" t="n">
        <v>656291</v>
      </c>
      <c r="C15" s="6" t="inlineStr">
        <is>
          <t>Centroide UTM NORTE (m)</t>
        </is>
      </c>
      <c r="D15" s="7" t="n">
        <v>9379096</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1734</v>
      </c>
      <c r="C19" s="6" t="inlineStr">
        <is>
          <t>Altitud máxima (msnm)</t>
        </is>
      </c>
      <c r="D19" s="7" t="n">
        <v>2018</v>
      </c>
      <c r="E19" s="8" t="n"/>
      <c r="F19" s="8" t="n"/>
    </row>
    <row r="20">
      <c r="A20" s="6" t="inlineStr">
        <is>
          <t>Amplitud altitudinal (m)</t>
        </is>
      </c>
      <c r="B20" s="7" t="n">
        <v>284</v>
      </c>
      <c r="C20" s="6" t="inlineStr">
        <is>
          <t>Piso altitudinal dominante</t>
        </is>
      </c>
      <c r="D20" s="7" t="inlineStr">
        <is>
          <t>1500-2000 m (Quechua media)</t>
        </is>
      </c>
      <c r="E20" s="8" t="n"/>
      <c r="F20" s="8" t="n"/>
    </row>
    <row r="21">
      <c r="A21" s="6" t="inlineStr">
        <is>
          <t>Pendiente promedio (%)</t>
        </is>
      </c>
      <c r="B21" s="7" t="n">
        <v>31.74</v>
      </c>
      <c r="C21" s="6" t="inlineStr">
        <is>
          <t>Pendiente promedio (grados)</t>
        </is>
      </c>
      <c r="D21" s="7" t="n">
        <v>17.6</v>
      </c>
      <c r="E21" s="8" t="n"/>
      <c r="F21" s="8" t="n"/>
    </row>
    <row r="22">
      <c r="A22" s="6" t="inlineStr">
        <is>
          <t>Clase de pendiente equivalente</t>
        </is>
      </c>
      <c r="B22" s="7" t="inlineStr">
        <is>
          <t>25-50% (Mod. escarpado)</t>
        </is>
      </c>
      <c r="C22" s="6" t="inlineStr">
        <is>
          <t>Rango de pendiente declarado en campo</t>
        </is>
      </c>
      <c r="D22" s="7" t="inlineStr">
        <is>
          <t>50-75% (Escarpado)</t>
        </is>
      </c>
      <c r="E22" s="8" t="n"/>
      <c r="F22" s="8" t="n"/>
    </row>
    <row r="23">
      <c r="A23" s="6" t="inlineStr">
        <is>
          <t>Forma predominante del terreno</t>
        </is>
      </c>
      <c r="B23" s="7" t="inlineStr">
        <is>
          <t>Montañoso</t>
        </is>
      </c>
      <c r="C23" s="6" t="inlineStr">
        <is>
          <t>Posición fisiográfica</t>
        </is>
      </c>
      <c r="D23" s="7" t="inlineStr">
        <is>
          <t>Ladera alta</t>
        </is>
      </c>
      <c r="E23" s="8" t="n"/>
      <c r="F23" s="8" t="n"/>
    </row>
    <row r="24">
      <c r="A24" s="6" t="inlineStr">
        <is>
          <t>Exposición / orientación</t>
        </is>
      </c>
      <c r="B24" s="7" t="inlineStr">
        <is>
          <t>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0.5238</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(69.46 %)</t>
        </is>
      </c>
      <c r="E29" s="8" t="n"/>
      <c r="F29" s="8" t="n"/>
    </row>
    <row r="30">
      <c r="A30" s="6" t="inlineStr">
        <is>
          <t>Superficie clasificada NDVI 2025 (ha)</t>
        </is>
      </c>
      <c r="B30" s="7" t="n">
        <v>22.931</v>
      </c>
      <c r="C30" s="6" t="inlineStr">
        <is>
          <t>Desviación frente al catálogo (%)</t>
        </is>
      </c>
      <c r="D30" s="7" t="n">
        <v>0.01</v>
      </c>
      <c r="E30" s="8" t="n"/>
      <c r="F30" s="8" t="n"/>
    </row>
    <row r="32" ht="18" customHeight="1">
      <c r="A32" s="5" t="inlineStr">
        <is>
          <t>4. ECOSISTEMA Y ESTADO DE CONSERVACIÓN</t>
        </is>
      </c>
    </row>
    <row r="33">
      <c r="A33" s="6" t="inlineStr">
        <is>
          <t>Tipo de ecosistema (UP)</t>
        </is>
      </c>
      <c r="B33" s="7" t="inlineStr">
        <is>
          <t>Bosque Estacionalmente Seco Colina/Montaña (Bes-cm)</t>
        </is>
      </c>
      <c r="C33" s="6" t="inlineStr">
        <is>
          <t>Superficie de ecosistema (ha)</t>
        </is>
      </c>
      <c r="D33" s="7" t="inlineStr">
        <is>
          <t>22.927 ha</t>
        </is>
      </c>
      <c r="E33" s="8" t="n"/>
      <c r="F33" s="8" t="n"/>
    </row>
    <row r="34">
      <c r="A34" s="6" t="inlineStr">
        <is>
          <t>Estado de conservación</t>
        </is>
      </c>
      <c r="B34" s="7" t="inlineStr">
        <is>
          <t>Medianamente alterado</t>
        </is>
      </c>
      <c r="C34" s="6" t="inlineStr">
        <is>
          <t>Uso actual dominante del suelo</t>
        </is>
      </c>
      <c r="D34" s="7" t="inlineStr">
        <is>
          <t>Agricultura secano</t>
        </is>
      </c>
      <c r="E34" s="8" t="n"/>
      <c r="F34" s="8" t="n"/>
    </row>
    <row r="35">
      <c r="A35" s="6" t="inlineStr">
        <is>
          <t>Tipo de cobertura dominante</t>
        </is>
      </c>
      <c r="B35" s="7" t="inlineStr">
        <is>
          <t>Mixto / Mosaico</t>
        </is>
      </c>
      <c r="C35" s="6" t="inlineStr">
        <is>
          <t>Cobertura vegetal total — campo (%)</t>
        </is>
      </c>
      <c r="D35" s="7" t="n">
        <v>65</v>
      </c>
      <c r="E35" s="8" t="n"/>
      <c r="F35" s="8" t="n"/>
    </row>
    <row r="36">
      <c r="A36" s="6" t="inlineStr">
        <is>
          <t>Suelo desnudo — campo (%)</t>
        </is>
      </c>
      <c r="B36" s="7" t="n">
        <v>20</v>
      </c>
      <c r="C36" s="6" t="inlineStr">
        <is>
          <t>Regeneración natural</t>
        </is>
      </c>
      <c r="D36" s="7" t="inlineStr">
        <is>
          <t>Escasa (&lt;10 pl./100m²)</t>
        </is>
      </c>
      <c r="E36" s="8" t="n"/>
      <c r="F36" s="8" t="n"/>
    </row>
    <row r="37">
      <c r="A37" s="6" t="inlineStr">
        <is>
          <t>Nivel general de erosión</t>
        </is>
      </c>
      <c r="B37" s="7" t="inlineStr">
        <is>
          <t>Moderada (surcos)</t>
        </is>
      </c>
      <c r="C37" s="6" t="inlineStr">
        <is>
          <t>N.° de cárcavas registradas</t>
        </is>
      </c>
      <c r="D37" s="7" t="n">
        <v>0</v>
      </c>
      <c r="E37" s="8" t="n"/>
      <c r="F37" s="8" t="n"/>
    </row>
    <row r="38">
      <c r="A38" s="6" t="inlineStr">
        <is>
          <t>Elenco florístico (n.° de taxones)</t>
        </is>
      </c>
      <c r="B38" s="7" t="n">
        <v>11</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Pedro Talledo Hernández</t>
        </is>
      </c>
      <c r="C41" s="6" t="inlineStr">
        <is>
          <t>Fecha de evaluación</t>
        </is>
      </c>
      <c r="D41" s="7" t="inlineStr">
        <is>
          <t>2026-08-11</t>
        </is>
      </c>
      <c r="E41" s="8" t="n"/>
      <c r="F41" s="8" t="n"/>
    </row>
    <row r="42">
      <c r="A42" s="6" t="inlineStr">
        <is>
          <t>Hora de registro</t>
        </is>
      </c>
      <c r="B42" s="7" t="inlineStr">
        <is>
          <t>Por registrar</t>
        </is>
      </c>
      <c r="C42" s="6" t="inlineStr">
        <is>
          <t>Correlativo de ficha</t>
        </is>
      </c>
      <c r="D42" s="7" t="inlineStr">
        <is>
          <t>Por registrar</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P-51-A (20x20 m)</t>
        </is>
      </c>
      <c r="E44" s="8" t="n"/>
      <c r="F44" s="8" t="n"/>
    </row>
    <row r="45">
      <c r="A45" s="6" t="inlineStr">
        <is>
          <t>Estaciones fotográficas georreferenciadas</t>
        </is>
      </c>
      <c r="B45" s="7" t="inlineStr">
        <is>
          <t>Sin registro en la ficha DT</t>
        </is>
      </c>
      <c r="C45" s="6" t="inlineStr">
        <is>
          <t>Modalidad de acceso</t>
        </is>
      </c>
      <c r="D45" s="7" t="inlineStr">
        <is>
          <t>Vehicular + caminata 30-90 min</t>
        </is>
      </c>
      <c r="E45" s="8" t="n"/>
      <c r="F45" s="8" t="n"/>
    </row>
    <row r="47" ht="18" customHeight="1">
      <c r="A47" s="5" t="inlineStr">
        <is>
          <t>6. SÍNTESIS PARA LA GESTIÓN DEL RIESGO EN CONTEXTO DE CAMBIO CLIMÁTICO</t>
        </is>
      </c>
    </row>
    <row r="48">
      <c r="A48" s="6" t="inlineStr">
        <is>
          <t>Causa subyacente principal</t>
        </is>
      </c>
      <c r="B48" s="7" t="inlineStr">
        <is>
          <t>Falta de alternativas económicas y tenencia de tierra minifundista</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Alta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51</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0.523788</v>
      </c>
      <c r="C15" s="17" t="inlineStr">
        <is>
          <t>—</t>
        </is>
      </c>
      <c r="D15" s="17" t="inlineStr">
        <is>
          <t>Vigor moderado · clase 0.4976 - 0.6139</t>
        </is>
      </c>
      <c r="E15" s="17" t="inlineStr">
        <is>
          <t>Sobre umbral</t>
        </is>
      </c>
    </row>
    <row r="17" ht="72" customHeight="1">
      <c r="A17" s="9" t="inlineStr">
        <is>
          <t>NOTA METODOLÓGICA. La media del MSAVI 2024 del bloque (0.523788)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15.9281</v>
      </c>
      <c r="C21" s="19" t="n">
        <v>69.45999999999999</v>
      </c>
      <c r="D21" s="11" t="inlineStr">
        <is>
          <t>Dosel continuo, matorral denso o mosaico agroforestal</t>
        </is>
      </c>
      <c r="E21" s="11" t="inlineStr"/>
    </row>
    <row r="22">
      <c r="A22" s="14" t="inlineStr">
        <is>
          <t>Vegetación mediana</t>
        </is>
      </c>
      <c r="B22" s="20" t="n">
        <v>6.5477</v>
      </c>
      <c r="C22" s="21" t="n">
        <v>28.55</v>
      </c>
      <c r="D22" s="15" t="inlineStr">
        <is>
          <t>Pastizal cultivado, matorral ralo, parcelas agrícolas</t>
        </is>
      </c>
      <c r="E22" s="15" t="inlineStr"/>
    </row>
    <row r="23">
      <c r="A23" s="7" t="inlineStr">
        <is>
          <t>Vegetación ligera</t>
        </is>
      </c>
      <c r="B23" s="18" t="n">
        <v>0.4557</v>
      </c>
      <c r="C23" s="19" t="n">
        <v>1.99</v>
      </c>
      <c r="D23" s="11" t="inlineStr">
        <is>
          <t>Cobertura discontinua, suelo parcialmente expuesto</t>
        </is>
      </c>
      <c r="E23" s="11" t="inlineStr"/>
    </row>
    <row r="24">
      <c r="A24" s="16" t="inlineStr">
        <is>
          <t>TOTAL CLASIFICADO</t>
        </is>
      </c>
      <c r="B24" s="22">
        <f>SUM(B21:B23)</f>
        <v/>
      </c>
      <c r="C24" s="23">
        <f>SUM(C21:C23)</f>
        <v/>
      </c>
      <c r="D24" s="17" t="inlineStr"/>
      <c r="E24" s="17" t="inlineStr"/>
    </row>
    <row r="25">
      <c r="A25" s="24" t="inlineStr">
        <is>
          <t>Superficie de catálogo (V5/V6)</t>
        </is>
      </c>
      <c r="B25" s="25" t="n">
        <v>22.93</v>
      </c>
      <c r="C25" s="25" t="inlineStr">
        <is>
          <t>—</t>
        </is>
      </c>
      <c r="D25" s="25" t="inlineStr">
        <is>
          <t>Desviación planimétrica frente al catálogo</t>
        </is>
      </c>
      <c r="E25" s="25" t="inlineStr">
        <is>
          <t>+0.01 %</t>
        </is>
      </c>
    </row>
    <row r="27" ht="108" customHeight="1">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65 % frente a un 69.46 % del polígono clasificado como «Vegetación alta» por el NDVI 2025; la observación de campo corresponde a una parcela o recorrido puntual y no es estadísticamente representativa de las 22.930 ha del bloque.</t>
        </is>
      </c>
    </row>
  </sheetData>
  <mergeCells count="10">
    <mergeCell ref="A4:E4"/>
    <mergeCell ref="A2:E2"/>
    <mergeCell ref="A19:E19"/>
    <mergeCell ref="A1:E1"/>
    <mergeCell ref="A5:E5"/>
    <mergeCell ref="A8:E8"/>
    <mergeCell ref="A6:E6"/>
    <mergeCell ref="A17:E17"/>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5"/>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51</t>
        </is>
      </c>
    </row>
    <row r="6" ht="24" customHeight="1">
      <c r="A6" s="4" t="inlineStr">
        <is>
          <t>Levantamiento del 2026-08-11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t>
        </is>
      </c>
      <c r="B10" s="11" t="inlineStr">
        <is>
          <t>Sin puntos georreferenciados en la ficha DT</t>
        </is>
      </c>
      <c r="C10" s="11" t="inlineStr"/>
      <c r="D10" s="11" t="inlineStr"/>
      <c r="E10" s="11" t="inlineStr"/>
      <c r="F10" s="11" t="inlineStr"/>
      <c r="G10" s="11" t="inlineStr">
        <is>
          <t>No corresponde para este bloque</t>
        </is>
      </c>
    </row>
    <row r="12">
      <c r="A12" s="6" t="inlineStr">
        <is>
          <t>Centroide del bloque — UTM ESTE (m)</t>
        </is>
      </c>
      <c r="B12" s="7" t="n">
        <v>656291</v>
      </c>
      <c r="C12" s="6" t="inlineStr">
        <is>
          <t>Centroide del bloque — UTM NORTE (m)</t>
        </is>
      </c>
      <c r="D12" s="7" t="n">
        <v>9379096</v>
      </c>
      <c r="E12" s="8" t="n"/>
      <c r="F12" s="8" t="n"/>
      <c r="G12" s="8" t="n"/>
      <c r="H12" s="8" t="n"/>
    </row>
    <row r="13">
      <c r="A13" s="6" t="inlineStr">
        <is>
          <t>N.° de estaciones fotográficas declaradas</t>
        </is>
      </c>
      <c r="B13" s="7" t="inlineStr">
        <is>
          <t>Sin registro en la ficha DT</t>
        </is>
      </c>
      <c r="C13" s="6" t="inlineStr">
        <is>
          <t>Estaciones dentro del polígono</t>
        </is>
      </c>
      <c r="D13" s="7" t="inlineStr">
        <is>
          <t>Por determinar</t>
        </is>
      </c>
      <c r="E13" s="8" t="n"/>
      <c r="F13" s="8" t="n"/>
      <c r="G13" s="8" t="n"/>
      <c r="H13" s="8" t="n"/>
    </row>
    <row r="15" ht="84" customHeight="1">
      <c r="A15"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Pendiente fuerte limita la mecanización agrícola, predominio de agricultura de subsistencia y matorral.</t>
        </is>
      </c>
    </row>
  </sheetData>
  <mergeCells count="8">
    <mergeCell ref="A1:G1"/>
    <mergeCell ref="A8:G8"/>
    <mergeCell ref="A3:G3"/>
    <mergeCell ref="A6:G6"/>
    <mergeCell ref="A4:G4"/>
    <mergeCell ref="A2:G2"/>
    <mergeCell ref="A15:G15"/>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2"/>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C1076-Q9593 — BLOQUE 51</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C1076-Q9593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10</t>
        </is>
      </c>
      <c r="B10" s="26" t="n">
        <v>150.21</v>
      </c>
      <c r="C10" s="19" t="n">
        <v>28.67</v>
      </c>
      <c r="D10" s="11" t="inlineStr">
        <is>
          <t>912 – 1510</t>
        </is>
      </c>
      <c r="E10" s="11" t="n">
        <v>598</v>
      </c>
      <c r="F10" s="11" t="n">
        <v>27.39</v>
      </c>
      <c r="G10" s="18" t="n">
        <v>0.5465</v>
      </c>
      <c r="H10" s="19" t="n">
        <v>85.18000000000001</v>
      </c>
    </row>
    <row r="11">
      <c r="A11" s="14" t="inlineStr">
        <is>
          <t>8</t>
        </is>
      </c>
      <c r="B11" s="27" t="n">
        <v>126.95</v>
      </c>
      <c r="C11" s="21" t="n">
        <v>24.23</v>
      </c>
      <c r="D11" s="15" t="inlineStr">
        <is>
          <t>1504 – 1970</t>
        </is>
      </c>
      <c r="E11" s="15" t="n">
        <v>466</v>
      </c>
      <c r="F11" s="15" t="n">
        <v>29.85</v>
      </c>
      <c r="G11" s="20" t="n">
        <v>0.5548</v>
      </c>
      <c r="H11" s="21" t="n">
        <v>72.25</v>
      </c>
    </row>
    <row r="12">
      <c r="A12" s="7" t="inlineStr">
        <is>
          <t>16</t>
        </is>
      </c>
      <c r="B12" s="26" t="n">
        <v>83.33</v>
      </c>
      <c r="C12" s="19" t="n">
        <v>15.91</v>
      </c>
      <c r="D12" s="11" t="inlineStr">
        <is>
          <t>1349 – 1746</t>
        </is>
      </c>
      <c r="E12" s="11" t="n">
        <v>397</v>
      </c>
      <c r="F12" s="11" t="n">
        <v>22.34</v>
      </c>
      <c r="G12" s="18" t="n">
        <v>0.6284</v>
      </c>
      <c r="H12" s="19" t="n">
        <v>94.13</v>
      </c>
    </row>
    <row r="13">
      <c r="A13" s="14" t="inlineStr">
        <is>
          <t>20</t>
        </is>
      </c>
      <c r="B13" s="27" t="n">
        <v>81.33</v>
      </c>
      <c r="C13" s="21" t="n">
        <v>15.52</v>
      </c>
      <c r="D13" s="15" t="inlineStr">
        <is>
          <t>1217 – 1607</t>
        </is>
      </c>
      <c r="E13" s="15" t="n">
        <v>390</v>
      </c>
      <c r="F13" s="15" t="n">
        <v>24.54</v>
      </c>
      <c r="G13" s="20" t="n">
        <v>0.4851</v>
      </c>
      <c r="H13" s="21" t="n">
        <v>52.44</v>
      </c>
    </row>
    <row r="14">
      <c r="A14" s="7" t="inlineStr">
        <is>
          <t>80</t>
        </is>
      </c>
      <c r="B14" s="26" t="n">
        <v>28.83</v>
      </c>
      <c r="C14" s="19" t="n">
        <v>5.5</v>
      </c>
      <c r="D14" s="11" t="inlineStr">
        <is>
          <t>2180 – 2491</t>
        </is>
      </c>
      <c r="E14" s="11" t="n">
        <v>311</v>
      </c>
      <c r="F14" s="11" t="n">
        <v>32.9</v>
      </c>
      <c r="G14" s="18" t="n">
        <v>0.5931</v>
      </c>
      <c r="H14" s="19" t="n">
        <v>78.73</v>
      </c>
    </row>
    <row r="15">
      <c r="A15" s="12" t="inlineStr">
        <is>
          <t>► 51</t>
        </is>
      </c>
      <c r="B15" s="28" t="n">
        <v>22.93</v>
      </c>
      <c r="C15" s="29" t="n">
        <v>4.38</v>
      </c>
      <c r="D15" s="13" t="inlineStr">
        <is>
          <t>1734 – 2018</t>
        </is>
      </c>
      <c r="E15" s="13" t="n">
        <v>284</v>
      </c>
      <c r="F15" s="13" t="n">
        <v>31.74</v>
      </c>
      <c r="G15" s="30" t="n">
        <v>0.5238</v>
      </c>
      <c r="H15" s="29" t="n">
        <v>69.45999999999999</v>
      </c>
    </row>
    <row r="16">
      <c r="A16" s="7" t="inlineStr">
        <is>
          <t>76</t>
        </is>
      </c>
      <c r="B16" s="26" t="n">
        <v>19.62</v>
      </c>
      <c r="C16" s="19" t="n">
        <v>3.75</v>
      </c>
      <c r="D16" s="11" t="inlineStr">
        <is>
          <t>1647 – 1838</t>
        </is>
      </c>
      <c r="E16" s="11" t="n">
        <v>191</v>
      </c>
      <c r="F16" s="11" t="n">
        <v>26.25</v>
      </c>
      <c r="G16" s="18" t="n">
        <v>0.4925</v>
      </c>
      <c r="H16" s="19" t="n">
        <v>46.27</v>
      </c>
    </row>
    <row r="17">
      <c r="A17" s="14" t="inlineStr">
        <is>
          <t>71</t>
        </is>
      </c>
      <c r="B17" s="27" t="n">
        <v>10.67</v>
      </c>
      <c r="C17" s="21" t="n">
        <v>2.04</v>
      </c>
      <c r="D17" s="15" t="inlineStr">
        <is>
          <t>1478 – 1609</t>
        </is>
      </c>
      <c r="E17" s="15" t="n">
        <v>131</v>
      </c>
      <c r="F17" s="15" t="n">
        <v>29.45</v>
      </c>
      <c r="G17" s="20" t="n">
        <v>0.5571</v>
      </c>
      <c r="H17" s="21" t="n">
        <v>81.37</v>
      </c>
    </row>
    <row r="18">
      <c r="A18" s="16" t="inlineStr">
        <is>
          <t>TOTAL / PROMEDIO</t>
        </is>
      </c>
      <c r="B18" s="31">
        <f>SUM(B10:B17)</f>
        <v/>
      </c>
      <c r="C18" s="23">
        <f>SUM(C10:C17)</f>
        <v/>
      </c>
      <c r="D18" s="17" t="inlineStr">
        <is>
          <t>912 – 2491</t>
        </is>
      </c>
      <c r="E18" s="17" t="inlineStr"/>
      <c r="F18" s="17">
        <f>ROUND(AVERAGE(F10:F17),2)</f>
        <v/>
      </c>
      <c r="G18" s="22">
        <f>ROUND(AVERAGE(G10:G17),4)</f>
        <v/>
      </c>
      <c r="H18" s="23">
        <f>ROUND(AVERAGE(H10:H17),2)</f>
        <v/>
      </c>
    </row>
    <row r="20" ht="84" customHeight="1">
      <c r="A20" s="9" t="inlineStr">
        <is>
          <t>LECTURA INTRAMICROCUENCA. El bloque 51 ocupa el puesto 6 de 8 por superficie dentro de la microcuenca C1076-Q9593 (4.38 % de las 523.87 ha preliminares de la microcuenca). Su pendiente promedio (31.74 %, clase «25-50% (Mod. escarpado)») es la 7.ª más baja de 8 y se sitúa por encima del promedio de la microcuenca (28.06 %). Su MSAVI 2024 (0.5238) es el 6.º de 8 y queda por debajo del promedio local (0.5477). Amplitud altitudinal del bloque: 284 m (1734–2018 msnm). El cuadro conserva todos los bloques catalogados en la microcuenca, incluidos los descartados en el tamizaje, para referencia del conjunto. Los bloques sin ficha DT figuran con sus parámetros de gabinete.</t>
        </is>
      </c>
    </row>
    <row r="22" ht="60" customHeight="1">
      <c r="A22"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0:H20"/>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51</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2" t="inlineStr">
        <is>
          <t>D-01</t>
        </is>
      </c>
      <c r="B10" s="32" t="inlineStr">
        <is>
          <t>Código de microcuenca</t>
        </is>
      </c>
      <c r="C10" s="32" t="inlineStr">
        <is>
          <t>La ficha DT declara «C1076-Q9584»; el catálogo maestro V5/V6 asigna el bloque a «C1076-Q9593»</t>
        </is>
      </c>
      <c r="D10" s="33" t="inlineStr">
        <is>
          <t>SUSTANTIVA</t>
        </is>
      </c>
      <c r="E10" s="32" t="inlineStr">
        <is>
          <t>Se conserva el código del catálogo maestro para todo cálculo intramicrocuenca. La declaración de la ficha debe corregirse en la siguiente versión del formato V5.</t>
        </is>
      </c>
    </row>
    <row r="11" ht="48" customHeight="1">
      <c r="A11" s="34" t="inlineStr">
        <is>
          <t>D-02</t>
        </is>
      </c>
      <c r="B11" s="34" t="inlineStr">
        <is>
          <t>UTM del punto de muestreo</t>
        </is>
      </c>
      <c r="C11" s="34" t="inlineStr">
        <is>
          <t>Las celdas de UTM ESTE / NORTE del punto de muestreo están vacías o incompletas en la ficha DT</t>
        </is>
      </c>
      <c r="D11" s="33" t="inlineStr">
        <is>
          <t>SUSTANTIVA</t>
        </is>
      </c>
      <c r="E11" s="34" t="inlineStr">
        <is>
          <t>No se sustituye por el centroide del catálogo. Se consigna «Por registrar en campo».</t>
        </is>
      </c>
    </row>
    <row r="12" ht="48" customHeight="1">
      <c r="A12" s="32" t="inlineStr">
        <is>
          <t>D-03</t>
        </is>
      </c>
      <c r="B12" s="32" t="inlineStr">
        <is>
          <t>Superficie del polígono</t>
        </is>
      </c>
      <c r="C12" s="32" t="inlineStr">
        <is>
          <t>La superficie clasificada por el NDVI 2025 (22.931 ha) coincide con la de catálogo (22.93 ha) dentro del ±2 % (+0.01 %)</t>
        </is>
      </c>
      <c r="D12" s="35" t="inlineStr">
        <is>
          <t>CONFORME</t>
        </is>
      </c>
      <c r="E12" s="32" t="inlineStr">
        <is>
          <t>Sin acción: la segmentación valida la geometría del bloque.</t>
        </is>
      </c>
    </row>
    <row r="13" ht="48" customHeight="1">
      <c r="A13" s="34" t="inlineStr">
        <is>
          <t>D-04</t>
        </is>
      </c>
      <c r="B13" s="34" t="inlineStr">
        <is>
          <t>Rango de pendiente dominante</t>
        </is>
      </c>
      <c r="C13" s="34" t="inlineStr">
        <is>
          <t>La ficha DT declara «50-75% (Escarpado)»; la estadística zonal sobre el MDE arroja una pendiente promedio de 31.74 %, que corresponde a la clase «25-50% (Mod. escarpado)»</t>
        </is>
      </c>
      <c r="D13" s="13" t="inlineStr">
        <is>
          <t>NO SUSTANTIVA</t>
        </is>
      </c>
      <c r="E13" s="34"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2" t="inlineStr">
        <is>
          <t>D-05</t>
        </is>
      </c>
      <c r="B14" s="32" t="inlineStr">
        <is>
          <t>Cobertura vegetal total</t>
        </is>
      </c>
      <c r="C14" s="32" t="inlineStr">
        <is>
          <t>La ficha DT estima 65 % de cobertura vegetal en campo; el NDVI mediana 2025 clasifica 100.00 % del polígono en clases de vegetación</t>
        </is>
      </c>
      <c r="D14" s="13" t="inlineStr">
        <is>
          <t>NO SUSTANTIVA</t>
        </is>
      </c>
      <c r="E14" s="32"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4" t="inlineStr">
        <is>
          <t>D-06</t>
        </is>
      </c>
      <c r="B15" s="34" t="inlineStr">
        <is>
          <t>Elenco florístico</t>
        </is>
      </c>
      <c r="C15" s="34" t="inlineStr">
        <is>
          <t>La ficha registra 11 taxones, por debajo del mínimo de 15 que exige el formato V5</t>
        </is>
      </c>
      <c r="D15" s="33" t="inlineStr">
        <is>
          <t>SUSTANTIVA</t>
        </is>
      </c>
      <c r="E15" s="34" t="inlineStr">
        <is>
          <t>Registro florístico preliminar, sin colecta ni determinación botánica formal. Debe cerrarse con colecta botánica en la siguiente campaña.</t>
        </is>
      </c>
    </row>
    <row r="16" ht="48" customHeight="1">
      <c r="A16" s="32" t="inlineStr">
        <is>
          <t>D-07</t>
        </is>
      </c>
      <c r="B16" s="32" t="inlineStr">
        <is>
          <t>Centro poblado asociado</t>
        </is>
      </c>
      <c r="C16" s="32" t="inlineStr">
        <is>
          <t>La ficha DT declara «Talla / Shain (colindantes); Huarmaca (capital distrital)»; el cruce INEI-Bloques V5 identifica 2 centro(s) poblado(s) en el bloque: SHAIN, TALLA</t>
        </is>
      </c>
      <c r="D16" s="35" t="inlineStr">
        <is>
          <t>CONFORME</t>
        </is>
      </c>
      <c r="E16" s="32" t="inlineStr">
        <is>
          <t>Se conserva el registro de campo como referencia y se adopta el listado INEI para el diagnóstico social y el cálculo de población beneficiaria.</t>
        </is>
      </c>
    </row>
    <row r="17" ht="48" customHeight="1">
      <c r="A17" s="34" t="inlineStr">
        <is>
          <t>D-08</t>
        </is>
      </c>
      <c r="B17" s="34" t="inlineStr">
        <is>
          <t>Peligro integrado (MCA-AHP)</t>
        </is>
      </c>
      <c r="C17" s="34" t="inlineStr">
        <is>
          <t>El nivel de peligro integrado no está disponible en los insumos de este entregable</t>
        </is>
      </c>
      <c r="D17" s="33" t="inlineStr">
        <is>
          <t>SUSTANTIVA</t>
        </is>
      </c>
      <c r="E17" s="34" t="inlineStr">
        <is>
          <t>Debe tomarse del modelamiento de mesolocalización (PMM + EPH + PGI ponderados por AHP) antes de fijar la prioridad definitiva de intervención del bloque.</t>
        </is>
      </c>
    </row>
    <row r="18" ht="48" customHeight="1">
      <c r="A18" s="32" t="inlineStr">
        <is>
          <t>C-01</t>
        </is>
      </c>
      <c r="B18" s="32" t="inlineStr">
        <is>
          <t>Tipo de ecosistema y elenco florístico</t>
        </is>
      </c>
      <c r="C18" s="32" t="inlineStr">
        <is>
          <t>El levantamiento asignó «Agroecosistema / Mosaico» y 5 especies; la UF determinó que ambos elementos son erróneos</t>
        </is>
      </c>
      <c r="D18" s="36" t="inlineStr">
        <is>
          <t>CORREGIDO</t>
        </is>
      </c>
      <c r="E18" s="32" t="inlineStr">
        <is>
          <t>Se adopta Bes-cm en mosaico agro-forestal y el elenco de 11 taxones del Bloque 76 (misma microcuenca C1076-Q9593, ~2.3 km, 1647-1838 msnm) por analogía</t>
        </is>
      </c>
    </row>
    <row r="19" ht="48" customHeight="1">
      <c r="A19" s="34" t="inlineStr">
        <is>
          <t>C-02</t>
        </is>
      </c>
      <c r="B19" s="34" t="inlineStr">
        <is>
          <t>Registros retirados del elenco</t>
        </is>
      </c>
      <c r="C19" s="34" t="inlineStr">
        <is>
          <t>Se retiran Algarrobo-Prosopis pallida, Palo santo-Cordia lutea e Ichu-Calamagrostis vicunarum por incompatibilidad altitudinal o nomenclatural</t>
        </is>
      </c>
      <c r="D19" s="36" t="inlineStr">
        <is>
          <t>CORREGIDO</t>
        </is>
      </c>
      <c r="E19" s="34" t="inlineStr">
        <is>
          <t>Retiro documentado; el elenco debe validarse con colecta botánica</t>
        </is>
      </c>
    </row>
    <row r="20" ht="48" customHeight="1">
      <c r="A20" s="32" t="inlineStr">
        <is>
          <t>D-01</t>
        </is>
      </c>
      <c r="B20" s="32" t="inlineStr">
        <is>
          <t>UTM del punto de muestreo</t>
        </is>
      </c>
      <c r="C20" s="32" t="inlineStr">
        <is>
          <t>Celdas UTM ESTE/NORTE vacías en F-DT-01, 02 y 03</t>
        </is>
      </c>
      <c r="D20" s="33" t="inlineStr">
        <is>
          <t>SUSTANTIVA</t>
        </is>
      </c>
      <c r="E20" s="32" t="inlineStr">
        <is>
          <t>No se sustituye por el centroide de catálogo; se consigna «Por registrar en campo»</t>
        </is>
      </c>
    </row>
    <row r="21" ht="48" customHeight="1">
      <c r="A21" s="34" t="inlineStr">
        <is>
          <t>D-03</t>
        </is>
      </c>
      <c r="B21" s="34" t="inlineStr">
        <is>
          <t>Centro poblado más cercano</t>
        </is>
      </c>
      <c r="C21" s="34" t="inlineStr">
        <is>
          <t>F-DT-01 declara Huarmaca (capital distrital); la vista satelital muestra Talla y Shain contiguos</t>
        </is>
      </c>
      <c r="D21" s="33" t="inlineStr">
        <is>
          <t>SUSTANTIVA</t>
        </is>
      </c>
      <c r="E21" s="34" t="inlineStr">
        <is>
          <t>Se adopta Talla / Shain; Huarmaca queda como referencia distrital</t>
        </is>
      </c>
    </row>
    <row r="22" ht="48" customHeight="1">
      <c r="A22" s="32" t="inlineStr">
        <is>
          <t>D-04</t>
        </is>
      </c>
      <c r="B22" s="32" t="inlineStr">
        <is>
          <t>Distancia a vía vecinal</t>
        </is>
      </c>
      <c r="C22" s="32" t="inlineStr">
        <is>
          <t>F-DT-04 asigna 1200 m nivel Medio; el plano NDVI muestra la red vial tangente al límite oriental (~0 m)</t>
        </is>
      </c>
      <c r="D22" s="33" t="inlineStr">
        <is>
          <t>SUSTANTIVA</t>
        </is>
      </c>
      <c r="E22" s="32" t="inlineStr">
        <is>
          <t>Se corrige a colindancia vial directa y nivel de presión Alto</t>
        </is>
      </c>
    </row>
    <row r="23" ht="48" customHeight="1">
      <c r="A23" s="34" t="inlineStr">
        <is>
          <t>D-08</t>
        </is>
      </c>
      <c r="B23" s="34" t="inlineStr">
        <is>
          <t>Escarpes activos</t>
        </is>
      </c>
      <c r="C23" s="34" t="inlineStr">
        <is>
          <t>F-DT-01 declara No; la vista satelital muestra cicatriz de suelo descubierto en el sector alto nororiental</t>
        </is>
      </c>
      <c r="D23" s="33" t="inlineStr">
        <is>
          <t>SUSTANTIVA</t>
        </is>
      </c>
      <c r="E23" s="34" t="inlineStr">
        <is>
          <t>Se declara rasgo por verificar en campo</t>
        </is>
      </c>
    </row>
    <row r="25">
      <c r="A25" s="16" t="inlineStr">
        <is>
          <t>RESUMEN</t>
        </is>
      </c>
      <c r="B25" s="17" t="inlineStr">
        <is>
          <t>14 verificaciones</t>
        </is>
      </c>
      <c r="C25" s="17" t="inlineStr">
        <is>
          <t>CONFORME: 2 · CORREGIDO: 2 · NO SUSTANTIVA: 2 · SUSTANTIVA: 8</t>
        </is>
      </c>
      <c r="D25" s="17" t="inlineStr"/>
      <c r="E25" s="17" t="inlineStr"/>
    </row>
    <row r="27" ht="60" customHeight="1">
      <c r="A27"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E1"/>
    <mergeCell ref="A5:E5"/>
    <mergeCell ref="A8:E8"/>
    <mergeCell ref="A6:E6"/>
    <mergeCell ref="A27:E27"/>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51 — IN Piura</dc:title>
  <dc:subject>Diagnóstico Territorial por bloque de intervención</dc:subject>
  <dcterms:created xsi:type="dcterms:W3CDTF">2026-09-08T03:39:54Z</dcterms:created>
  <dcterms:modified xsi:type="dcterms:W3CDTF">2026-09-08T03:39:54Z</dcterms:modified>
</cp:coreProperties>
</file>