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M7B3</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Palo Blanco Centro (Caserío Palo Blanco de Salitral)</t>
        </is>
      </c>
      <c r="C13" s="6" t="inlineStr">
        <is>
          <t>Comunidad campesina</t>
        </is>
      </c>
      <c r="D13" s="7" t="inlineStr">
        <is>
          <t>No aplica — TIERRAS DEL ESTADO BAJO ADMINISTRACIÓN DEL GORE PIURA</t>
        </is>
      </c>
      <c r="E13" s="8" t="n"/>
      <c r="F13" s="8" t="n"/>
    </row>
    <row r="14">
      <c r="A14" s="6" t="inlineStr">
        <is>
          <t>Superficie de catálogo (V5/V6), ha</t>
        </is>
      </c>
      <c r="B14" s="7" t="n">
        <v>65.73999999999999</v>
      </c>
      <c r="C14" s="6" t="inlineStr">
        <is>
          <t>Fuente de superficie</t>
        </is>
      </c>
      <c r="D14" s="7" t="inlineStr">
        <is>
          <t>Catálogo maestro Bloques V5/V6</t>
        </is>
      </c>
      <c r="E14" s="8" t="n"/>
      <c r="F14" s="8" t="n"/>
    </row>
    <row r="15">
      <c r="A15" s="6" t="inlineStr">
        <is>
          <t>Centroide UTM ESTE (m)</t>
        </is>
      </c>
      <c r="B15" s="7" t="n">
        <v>633232</v>
      </c>
      <c r="C15" s="6" t="inlineStr">
        <is>
          <t>Centroide UTM NORTE (m)</t>
        </is>
      </c>
      <c r="D15" s="7" t="n">
        <v>9401227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209</v>
      </c>
      <c r="C19" s="6" t="inlineStr">
        <is>
          <t>Altitud máxima (msnm)</t>
        </is>
      </c>
      <c r="D19" s="7" t="n">
        <v>372</v>
      </c>
      <c r="E19" s="8" t="n"/>
      <c r="F19" s="8" t="n"/>
    </row>
    <row r="20">
      <c r="A20" s="6" t="inlineStr">
        <is>
          <t>Amplitud altitudinal (m)</t>
        </is>
      </c>
      <c r="B20" s="7" t="n">
        <v>163</v>
      </c>
      <c r="C20" s="6" t="inlineStr">
        <is>
          <t>Piso altitudinal dominante</t>
        </is>
      </c>
      <c r="D20" s="7" t="inlineStr">
        <is>
          <t>&lt;1000 m (Yunga)</t>
        </is>
      </c>
      <c r="E20" s="8" t="n"/>
      <c r="F20" s="8" t="n"/>
    </row>
    <row r="21">
      <c r="A21" s="6" t="inlineStr">
        <is>
          <t>Pendiente promedio (%)</t>
        </is>
      </c>
      <c r="B21" s="7" t="n">
        <v>19.61</v>
      </c>
      <c r="C21" s="6" t="inlineStr">
        <is>
          <t>Pendiente promedio (grados)</t>
        </is>
      </c>
      <c r="D21" s="7" t="n">
        <v>11.1</v>
      </c>
      <c r="E21" s="8" t="n"/>
      <c r="F21" s="8" t="n"/>
    </row>
    <row r="22">
      <c r="A22" s="6" t="inlineStr">
        <is>
          <t>Clase de pendiente equivalente</t>
        </is>
      </c>
      <c r="B22" s="7" t="inlineStr">
        <is>
          <t>15-25% (Fuert. inclinado)</t>
        </is>
      </c>
      <c r="C22" s="6" t="inlineStr">
        <is>
          <t>Rango de pendiente declarado en campo</t>
        </is>
      </c>
      <c r="D22" s="7" t="inlineStr">
        <is>
          <t>No consignado en el campo de lista (30-40% del área con pendiente &gt;50%)</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0.298</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(48.88 %)</t>
        </is>
      </c>
      <c r="E29" s="8" t="n"/>
      <c r="F29" s="8" t="n"/>
    </row>
    <row r="30">
      <c r="A30" s="6" t="inlineStr">
        <is>
          <t>Superficie clasificada NDVI 2025 (ha)</t>
        </is>
      </c>
      <c r="B30" s="7" t="n">
        <v>65.768</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Por determinar</t>
        </is>
      </c>
      <c r="E33" s="8" t="n"/>
      <c r="F33" s="8" t="n"/>
    </row>
    <row r="34">
      <c r="A34" s="6" t="inlineStr">
        <is>
          <t>Estado de conservación</t>
        </is>
      </c>
      <c r="B34" s="7" t="inlineStr">
        <is>
          <t>Medianamente alterado</t>
        </is>
      </c>
      <c r="C34" s="6" t="inlineStr">
        <is>
          <t>Uso actual dominante del suelo</t>
        </is>
      </c>
      <c r="D34" s="7" t="inlineStr">
        <is>
          <t>Forestal de protección</t>
        </is>
      </c>
      <c r="E34" s="8" t="n"/>
      <c r="F34" s="8" t="n"/>
    </row>
    <row r="35">
      <c r="A35" s="6" t="inlineStr">
        <is>
          <t>Tipo de cobertura dominante</t>
        </is>
      </c>
      <c r="B35" s="7" t="inlineStr">
        <is>
          <t>Matorral ralo</t>
        </is>
      </c>
      <c r="C35" s="6" t="inlineStr">
        <is>
          <t>Cobertura vegetal total — campo (%)</t>
        </is>
      </c>
      <c r="D35" s="7" t="n">
        <v>70</v>
      </c>
      <c r="E35" s="8" t="n"/>
      <c r="F35" s="8" t="n"/>
    </row>
    <row r="36">
      <c r="A36" s="6" t="inlineStr">
        <is>
          <t>Suelo desnudo — campo (%)</t>
        </is>
      </c>
      <c r="B36" s="7" t="n">
        <v>25</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2</v>
      </c>
      <c r="E37" s="8" t="n"/>
      <c r="F37" s="8" t="n"/>
    </row>
    <row r="38">
      <c r="A38" s="6" t="inlineStr">
        <is>
          <t>Elenco florístico (n.° de taxones)</t>
        </is>
      </c>
      <c r="B38" s="7" t="n">
        <v>10</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2026-05-14</t>
        </is>
      </c>
      <c r="E41" s="8" t="n"/>
      <c r="F41" s="8" t="n"/>
    </row>
    <row r="42">
      <c r="A42" s="6" t="inlineStr">
        <is>
          <t>Hora de registro</t>
        </is>
      </c>
      <c r="B42" s="7" t="inlineStr">
        <is>
          <t>10:24 h</t>
        </is>
      </c>
      <c r="C42" s="6" t="inlineStr">
        <is>
          <t>Correlativo de ficha</t>
        </is>
      </c>
      <c r="D42" s="7" t="inlineStr">
        <is>
          <t>F-DT-M7B3-001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Demanda histórica de madera/leña + acceso facilitado por la PE-02A + ausencia de mecanismos formales de gobernanza</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0.298017</v>
      </c>
      <c r="C15" s="17" t="inlineStr">
        <is>
          <t>—</t>
        </is>
      </c>
      <c r="D15" s="17" t="inlineStr">
        <is>
          <t>Vigor muy bajo · clase 0.2650 - 0.3813</t>
        </is>
      </c>
      <c r="E15" s="17" t="inlineStr">
        <is>
          <t>BAJO umbral 0.4976</t>
        </is>
      </c>
    </row>
    <row r="17" ht="72" customHeight="1">
      <c r="A17" s="9" t="inlineStr">
        <is>
          <t>NOTA METODOLÓGICA. La media del MSAVI 2024 del bloque (0.298017)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0.8705000000000001</v>
      </c>
      <c r="C21" s="19" t="n">
        <v>1.32</v>
      </c>
      <c r="D21" s="11" t="inlineStr">
        <is>
          <t>Dosel continuo, matorral denso o mosaico agroforestal</t>
        </is>
      </c>
      <c r="E21" s="11" t="inlineStr"/>
    </row>
    <row r="22">
      <c r="A22" s="12" t="inlineStr">
        <is>
          <t>Vegetación mediana</t>
        </is>
      </c>
      <c r="B22" s="20" t="n">
        <v>32.1456</v>
      </c>
      <c r="C22" s="21" t="n">
        <v>48.88</v>
      </c>
      <c r="D22" s="13" t="inlineStr">
        <is>
          <t>Pastizal cultivado, matorral ralo, parcelas agrícolas</t>
        </is>
      </c>
      <c r="E22" s="13" t="inlineStr"/>
    </row>
    <row r="23">
      <c r="A23" s="7" t="inlineStr">
        <is>
          <t>Vegetación ligera</t>
        </is>
      </c>
      <c r="B23" s="18" t="n">
        <v>31.688</v>
      </c>
      <c r="C23" s="19" t="n">
        <v>48.18</v>
      </c>
      <c r="D23" s="11" t="inlineStr">
        <is>
          <t>Cobertura discontinua, suelo parcialmente expuesto</t>
        </is>
      </c>
      <c r="E23" s="11" t="inlineStr"/>
    </row>
    <row r="24">
      <c r="A24" s="12" t="inlineStr">
        <is>
          <t>Tierra desnuda</t>
        </is>
      </c>
      <c r="B24" s="20" t="n">
        <v>1.0642</v>
      </c>
      <c r="C24" s="21" t="n">
        <v>1.62</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65.73999999999999</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1.32 % del polígono clasificado como «Vegetación alta» por el NDVI 2025; la observación de campo corresponde a una parcela o recorrido puntual y no es estadísticamente representativa de las 65.740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M7B3</t>
        </is>
      </c>
    </row>
    <row r="6" ht="24" customHeight="1">
      <c r="A6" s="4" t="inlineStr">
        <is>
          <t>Levantamiento del 2026-05-14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633171</v>
      </c>
      <c r="D10" s="26" t="n">
        <v>9402000</v>
      </c>
      <c r="E10" s="11" t="n">
        <v>775.4</v>
      </c>
      <c r="F10" s="11" t="inlineStr"/>
      <c r="G10" s="11" t="inlineStr">
        <is>
          <t>Coordenada consignada en F-DT-01</t>
        </is>
      </c>
    </row>
    <row r="11">
      <c r="A11" s="12" t="inlineStr">
        <is>
          <t>M7B3-S01</t>
        </is>
      </c>
      <c r="B11" s="13" t="inlineStr">
        <is>
          <t>Rasgo erosivo — Surco (&lt;30 cm) — 25 m, 0.15 m prof., 0.2 m ancho</t>
        </is>
      </c>
      <c r="C11" s="27" t="n">
        <v>633100</v>
      </c>
      <c r="D11" s="27" t="n">
        <v>9401980</v>
      </c>
      <c r="E11" s="13" t="n">
        <v>764.5</v>
      </c>
      <c r="F11" s="13" t="inlineStr">
        <is>
          <t>Activa</t>
        </is>
      </c>
      <c r="G11" s="13" t="inlineStr">
        <is>
          <t>Concentración natural de escorrentía</t>
        </is>
      </c>
    </row>
    <row r="12">
      <c r="A12" s="7" t="inlineStr">
        <is>
          <t>M7B3-S02</t>
        </is>
      </c>
      <c r="B12" s="11" t="inlineStr">
        <is>
          <t>Rasgo erosivo — Surco (&lt;30 cm) — 30 m, 0.2 m prof., 0.25 m ancho</t>
        </is>
      </c>
      <c r="C12" s="26" t="n">
        <v>633150</v>
      </c>
      <c r="D12" s="26" t="n">
        <v>9401950</v>
      </c>
      <c r="E12" s="11" t="n">
        <v>727.6</v>
      </c>
      <c r="F12" s="11" t="inlineStr">
        <is>
          <t>Activa</t>
        </is>
      </c>
      <c r="G12" s="11" t="inlineStr">
        <is>
          <t>Sobrepastoreo</t>
        </is>
      </c>
    </row>
    <row r="13">
      <c r="A13" s="12" t="inlineStr">
        <is>
          <t>H-01</t>
        </is>
      </c>
      <c r="B13" s="13" t="inlineStr">
        <is>
          <t>Fuente de agua — Río</t>
        </is>
      </c>
      <c r="C13" s="27" t="n">
        <v>633400</v>
      </c>
      <c r="D13" s="27" t="n">
        <v>9401500</v>
      </c>
      <c r="E13" s="13" t="n">
        <v>320.6</v>
      </c>
      <c r="F13" s="13" t="inlineStr">
        <is>
          <t>Permanente</t>
        </is>
      </c>
      <c r="G13" s="13" t="inlineStr">
        <is>
          <t>Río Piura — cauce principal</t>
        </is>
      </c>
    </row>
    <row r="14">
      <c r="A14" s="7" t="inlineStr">
        <is>
          <t>H-02</t>
        </is>
      </c>
      <c r="B14" s="11" t="inlineStr">
        <is>
          <t>Fuente de agua — Quebrada estacional</t>
        </is>
      </c>
      <c r="C14" s="26" t="n">
        <v>633050</v>
      </c>
      <c r="D14" s="26" t="n">
        <v>9402100</v>
      </c>
      <c r="E14" s="11" t="n">
        <v>891.8</v>
      </c>
      <c r="F14" s="11" t="inlineStr">
        <is>
          <t>Estacional</t>
        </is>
      </c>
      <c r="G14" s="11" t="inlineStr">
        <is>
          <t>Quebrada tributaria interna</t>
        </is>
      </c>
    </row>
    <row r="15">
      <c r="A15" s="12" t="inlineStr">
        <is>
          <t>H-03</t>
        </is>
      </c>
      <c r="B15" s="13" t="inlineStr">
        <is>
          <t>Fuente de agua — Quebrada estacional</t>
        </is>
      </c>
      <c r="C15" s="27" t="n">
        <v>633300</v>
      </c>
      <c r="D15" s="27" t="n">
        <v>9401200</v>
      </c>
      <c r="E15" s="13" t="n">
        <v>73.2</v>
      </c>
      <c r="F15" s="13" t="inlineStr">
        <is>
          <t>Estacional</t>
        </is>
      </c>
      <c r="G15" s="13" t="inlineStr">
        <is>
          <t>Quebrada tributaria interna</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633232</v>
      </c>
      <c r="C18" s="6" t="inlineStr">
        <is>
          <t>Centroide del bloque — UTM NORTE (m)</t>
        </is>
      </c>
      <c r="D18" s="7" t="n">
        <v>9401227</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32"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del 14-15/05/2026 con acompañamiento del Sr. Luis Alberto Porras (Teniente Gobernador del CP Palo Blanco Centro), Ing. Florencio Loardo e Ing. Ángela Cruz Solórzano. AVANCE FÍSICO ≈30% DEL BLOQUE (sector bajo y medio-bajo). CUMBRES NO ALCANZADAS — requieren visita complementaria con acémila o RPA. HALLAZGO CRÍTICO: LA ESPECIE PALO BLANCO SE IDENTIFICA COMO ESPECIE CULTURAL EMBLEMÁTICA EN ESTADO CRÍTICO DE CONSERVACIÓN LOCAL DEBIDO A TALA SELECTIVA INTENSIVA HISTÓRICA. EL TOPÓNIMO DEL CENTRO POBLADO CONFIRMA EL VALOR HISTÓRICO DE LA ESPECIE.</t>
        </is>
      </c>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M7B3</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M7B1</t>
        </is>
      </c>
      <c r="B10" s="28" t="n">
        <v>130.43</v>
      </c>
      <c r="C10" s="19" t="n">
        <v>32.38</v>
      </c>
      <c r="D10" s="11" t="inlineStr">
        <is>
          <t>183 – 357</t>
        </is>
      </c>
      <c r="E10" s="11" t="n">
        <v>174</v>
      </c>
      <c r="F10" s="11" t="n">
        <v>17.35</v>
      </c>
      <c r="G10" s="18" t="n">
        <v>0.3136</v>
      </c>
      <c r="H10" s="19" t="n">
        <v>4.28</v>
      </c>
    </row>
    <row r="11">
      <c r="A11" s="12" t="inlineStr">
        <is>
          <t>M7B2</t>
        </is>
      </c>
      <c r="B11" s="29" t="n">
        <v>115.38</v>
      </c>
      <c r="C11" s="21" t="n">
        <v>28.64</v>
      </c>
      <c r="D11" s="13" t="inlineStr">
        <is>
          <t>204 – 362</t>
        </is>
      </c>
      <c r="E11" s="13" t="n">
        <v>158</v>
      </c>
      <c r="F11" s="13" t="n">
        <v>14.01</v>
      </c>
      <c r="G11" s="20" t="n">
        <v>0.2877</v>
      </c>
      <c r="H11" s="21" t="n">
        <v>0.91</v>
      </c>
    </row>
    <row r="12">
      <c r="A12" s="7" t="inlineStr">
        <is>
          <t>M7B6</t>
        </is>
      </c>
      <c r="B12" s="28" t="n">
        <v>91.29000000000001</v>
      </c>
      <c r="C12" s="19" t="n">
        <v>22.66</v>
      </c>
      <c r="D12" s="11" t="inlineStr">
        <is>
          <t>228 – 453</t>
        </is>
      </c>
      <c r="E12" s="11" t="n">
        <v>225</v>
      </c>
      <c r="F12" s="11" t="n">
        <v>16.87</v>
      </c>
      <c r="G12" s="18" t="n">
        <v>0.2878</v>
      </c>
      <c r="H12" s="19" t="n">
        <v>0.73</v>
      </c>
    </row>
    <row r="13">
      <c r="A13" s="14" t="inlineStr">
        <is>
          <t>► M7B3</t>
        </is>
      </c>
      <c r="B13" s="30" t="n">
        <v>65.73999999999999</v>
      </c>
      <c r="C13" s="31" t="n">
        <v>16.32</v>
      </c>
      <c r="D13" s="15" t="inlineStr">
        <is>
          <t>209 – 372</t>
        </is>
      </c>
      <c r="E13" s="15" t="n">
        <v>163</v>
      </c>
      <c r="F13" s="15" t="n">
        <v>19.61</v>
      </c>
      <c r="G13" s="32" t="n">
        <v>0.298</v>
      </c>
      <c r="H13" s="31" t="n">
        <v>1.32</v>
      </c>
    </row>
    <row r="14">
      <c r="A14" s="16" t="inlineStr">
        <is>
          <t>TOTAL / PROMEDIO</t>
        </is>
      </c>
      <c r="B14" s="33">
        <f>SUM(B10:B13)</f>
        <v/>
      </c>
      <c r="C14" s="23">
        <f>SUM(C10:C13)</f>
        <v/>
      </c>
      <c r="D14" s="17" t="inlineStr">
        <is>
          <t>183 – 453</t>
        </is>
      </c>
      <c r="E14" s="17" t="inlineStr"/>
      <c r="F14" s="17">
        <f>ROUND(AVERAGE(F10:F13),2)</f>
        <v/>
      </c>
      <c r="G14" s="22">
        <f>ROUND(AVERAGE(G10:G13),4)</f>
        <v/>
      </c>
      <c r="H14" s="23">
        <f>ROUND(AVERAGE(H10:H13),2)</f>
        <v/>
      </c>
    </row>
    <row r="16" ht="84" customHeight="1">
      <c r="A16" s="9" t="inlineStr">
        <is>
          <t>LECTURA INTRAMICROCUENCA. El bloque M7B3 ocupa el puesto 4 de 4 por superficie dentro de la microcuenca C1076-Q9581 (16.32 % de las 402.84 ha preliminares de la microcuenca). Su pendiente promedio (19.61 %, clase «15-25% (Fuert. inclinado)») es la 4.ª más baja de 4 y se sitúa por encima del promedio de la microcuenca (16.96 %). Su MSAVI 2024 (0.2980) es el 2.º de 4 y queda por encima del promedio local (0.2968). Amplitud altitudinal del bloque: 163 m (209–372 msnm). El cuadro conserva todos los bloques catalogados en la microcuenca, incluidos los descartados en el tamizaje, para referencia del conjunto. Los bloques sin ficha DT figuran con sus parámetros de gabinete.</t>
        </is>
      </c>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18:H18"/>
    <mergeCell ref="A3:H3"/>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M7B3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775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(65.768 ha) coincide con la de catálogo (65.74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«No consignado en el campo de lista (30-40% del área con pendiente &gt;50%)»; la estadística zonal sobre el MDE arroja una pendiente promedio de 19.61 %,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70 % de cobertura vegetal en campo; el NDVI mediana 2025 clasifica 98.38 %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10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«Palo Blanco Centro (Caserío Palo Blanco de Salitral)»; el cruce INEI-Bloques V5 identifica 2 centro(s) poblado(s) en el bloque: LA TRANCA, PALO BLANCO-EL CEREZO</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(204 msnm)</t>
        </is>
      </c>
    </row>
    <row r="20" ht="48" customHeight="1">
      <c r="A20" s="34" t="inlineStr">
        <is>
          <t>D-11</t>
        </is>
      </c>
      <c r="B20" s="34" t="inlineStr">
        <is>
          <t>F-DT-01</t>
        </is>
      </c>
      <c r="C20" s="34" t="inlineStr">
        <is>
          <t>Avance físico de la verificación ≈30% del bloque; cumbres no alcanzadas</t>
        </is>
      </c>
      <c r="D20" s="37" t="inlineStr">
        <is>
          <t>SUSTANTIVA</t>
        </is>
      </c>
      <c r="E20" s="34" t="inlineStr">
        <is>
          <t>Visita complementaria con acémila o RPA requerida</t>
        </is>
      </c>
    </row>
    <row r="21" ht="48" customHeight="1">
      <c r="A21" s="36" t="inlineStr">
        <is>
          <t>D-12</t>
        </is>
      </c>
      <c r="B21" s="36" t="inlineStr">
        <is>
          <t>F-DT-01</t>
        </is>
      </c>
      <c r="C21" s="36" t="inlineStr">
        <is>
          <t>Rango de pendiente no consignado en el campo de lista</t>
        </is>
      </c>
      <c r="D21" s="15" t="inlineStr">
        <is>
          <t>NO SUSTANTIVA</t>
        </is>
      </c>
      <c r="E21" s="36" t="inlineStr">
        <is>
          <t>Completar con la clase correspondiente</t>
        </is>
      </c>
    </row>
    <row r="22" ht="48" customHeight="1">
      <c r="A22" s="34" t="inlineStr">
        <is>
          <t>D-13</t>
        </is>
      </c>
      <c r="B22" s="34" t="inlineStr">
        <is>
          <t>F-DT-03</t>
        </is>
      </c>
      <c r="C22" s="34" t="inlineStr">
        <is>
          <t>Superficie de ecosistema sin valor</t>
        </is>
      </c>
      <c r="D22" s="15" t="inlineStr">
        <is>
          <t>NO SUSTANTIVA</t>
        </is>
      </c>
      <c r="E22" s="34" t="inlineStr">
        <is>
          <t>Completar por intersección con la capa MINAM</t>
        </is>
      </c>
    </row>
    <row r="23" ht="48" customHeight="1">
      <c r="A23" s="36" t="inlineStr">
        <is>
          <t>D-14</t>
        </is>
      </c>
      <c r="B23" s="36" t="inlineStr">
        <is>
          <t>F-DT-03</t>
        </is>
      </c>
      <c r="C23" s="36" t="inlineStr">
        <is>
          <t>El PALO BLANCO, especie cultural emblemática, permanece «Por determinar» y con solo 3 individuos registrados</t>
        </is>
      </c>
      <c r="D23" s="37" t="inlineStr">
        <is>
          <t>SUSTANTIVA</t>
        </is>
      </c>
      <c r="E23" s="36" t="inlineStr">
        <is>
          <t>Determinación botánica y evaluación poblacional: acciones de cierre PRIORITARIAS</t>
        </is>
      </c>
    </row>
    <row r="24" ht="48" customHeight="1">
      <c r="A24" s="34" t="inlineStr">
        <is>
          <t>D-15</t>
        </is>
      </c>
      <c r="B24" s="34" t="inlineStr">
        <is>
          <t>F-DT-03</t>
        </is>
      </c>
      <c r="C24" s="34" t="inlineStr">
        <is>
          <t>Solo 10 taxones registrados frente al mínimo de 15 exigido</t>
        </is>
      </c>
      <c r="D24" s="15" t="inlineStr">
        <is>
          <t>NO SUSTANTIVA</t>
        </is>
      </c>
      <c r="E24" s="34" t="inlineStr">
        <is>
          <t>Inventario a completar en la visita complementaria</t>
        </is>
      </c>
    </row>
    <row r="25" ht="48" customHeight="1">
      <c r="A25" s="36" t="inlineStr">
        <is>
          <t>D-16</t>
        </is>
      </c>
      <c r="B25" s="36" t="inlineStr">
        <is>
          <t>F-DT-04</t>
        </is>
      </c>
      <c r="C25" s="36" t="inlineStr">
        <is>
          <t>Densidad de cárcavas, carga ganadera y frecuencia de quemas por determinar</t>
        </is>
      </c>
      <c r="D25" s="15" t="inlineStr">
        <is>
          <t>NO SUSTANTIVA</t>
        </is>
      </c>
      <c r="E25" s="36" t="inlineStr">
        <is>
          <t>Cuantificación pendiente</t>
        </is>
      </c>
    </row>
    <row r="26" ht="48" customHeight="1">
      <c r="A26" s="34" t="inlineStr">
        <is>
          <t>D-17</t>
        </is>
      </c>
      <c r="B26" s="34" t="inlineStr">
        <is>
          <t>F-DT-04</t>
        </is>
      </c>
      <c r="C26" s="34" t="inlineStr">
        <is>
          <t>La tala para madera se califica FUERTE con &gt;50 años de antigüedad y 50% de extensión</t>
        </is>
      </c>
      <c r="D26" s="37" t="inlineStr">
        <is>
          <t>SUSTANTIVA</t>
        </is>
      </c>
      <c r="E26" s="34" t="inlineStr">
        <is>
          <t>Motor histórico de la degradación: eje del componente de gobernanza</t>
        </is>
      </c>
    </row>
    <row r="27" ht="48" customHeight="1">
      <c r="A27" s="36" t="inlineStr">
        <is>
          <t>D-18</t>
        </is>
      </c>
      <c r="B27" s="36" t="inlineStr">
        <is>
          <t>F-DS-01</t>
        </is>
      </c>
      <c r="C27" s="36" t="inlineStr">
        <is>
          <t>La ficha social consigna microcuenca C1076-Q9584 (valor heredado de plantilla)</t>
        </is>
      </c>
      <c r="D27" s="15" t="inlineStr">
        <is>
          <t>NO SUSTANTIVA</t>
        </is>
      </c>
      <c r="E27" s="36" t="inlineStr">
        <is>
          <t>Se conserva la microcuenca del catálogo C1076-Q9581</t>
        </is>
      </c>
    </row>
    <row r="29">
      <c r="A29" s="16" t="inlineStr">
        <is>
          <t>RESUMEN</t>
        </is>
      </c>
      <c r="B29" s="17" t="inlineStr">
        <is>
          <t>18 verificaciones</t>
        </is>
      </c>
      <c r="C29" s="17" t="inlineStr">
        <is>
          <t>CONFORME: 4 · CORREGIDO: 1 · NO SUSTANTIVA: 7 · SUSTANTIVA: 6</t>
        </is>
      </c>
      <c r="D29" s="17" t="inlineStr"/>
      <c r="E29" s="17" t="inlineStr"/>
    </row>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31:E3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M7B3 — IN Piura</dc:title>
  <dc:subject>Diagnóstico Territorial por bloque de intervención</dc:subject>
  <dcterms:created xsi:type="dcterms:W3CDTF">2026-09-08T02:45:01Z</dcterms:created>
  <dcterms:modified xsi:type="dcterms:W3CDTF">2026-09-08T02:45:02Z</dcterms:modified>
</cp:coreProperties>
</file>