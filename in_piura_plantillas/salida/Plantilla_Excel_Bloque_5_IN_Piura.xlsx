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5</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El Ala (~250 m al norte del límite)</t>
        </is>
      </c>
      <c r="C13" s="6" t="inlineStr">
        <is>
          <t>Comunidad campesina</t>
        </is>
      </c>
      <c r="D13" s="7" t="inlineStr">
        <is>
          <t>Hualas (referencial - por confirmar con Ronda Campesina)</t>
        </is>
      </c>
      <c r="E13" s="8" t="n"/>
      <c r="F13" s="8" t="n"/>
    </row>
    <row r="14">
      <c r="A14" s="6" t="inlineStr">
        <is>
          <t>Superficie de catálogo (V5/V6), ha</t>
        </is>
      </c>
      <c r="B14" s="7" t="n">
        <v>295.73</v>
      </c>
      <c r="C14" s="6" t="inlineStr">
        <is>
          <t>Fuente de superficie</t>
        </is>
      </c>
      <c r="D14" s="7" t="inlineStr">
        <is>
          <t>Catálogo maestro Bloques V5/V6</t>
        </is>
      </c>
      <c r="E14" s="8" t="n"/>
      <c r="F14" s="8" t="n"/>
    </row>
    <row r="15">
      <c r="A15" s="6" t="inlineStr">
        <is>
          <t>Centroide UTM ESTE (m)</t>
        </is>
      </c>
      <c r="B15" s="7" t="n">
        <v>617860</v>
      </c>
      <c r="C15" s="6" t="inlineStr">
        <is>
          <t>Centroide UTM NORTE (m)</t>
        </is>
      </c>
      <c r="D15" s="7" t="n">
        <v>9413182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150</v>
      </c>
      <c r="C19" s="6" t="inlineStr">
        <is>
          <t>Altitud máxima (msnm)</t>
        </is>
      </c>
      <c r="D19" s="7" t="n">
        <v>377</v>
      </c>
      <c r="E19" s="8" t="n"/>
      <c r="F19" s="8" t="n"/>
    </row>
    <row r="20">
      <c r="A20" s="6" t="inlineStr">
        <is>
          <t>Amplitud altitudinal (m)</t>
        </is>
      </c>
      <c r="B20" s="7" t="n">
        <v>227</v>
      </c>
      <c r="C20" s="6" t="inlineStr">
        <is>
          <t>Piso altitudinal dominante</t>
        </is>
      </c>
      <c r="D20" s="7" t="inlineStr">
        <is>
          <t>&lt;1000 m (Yunga)</t>
        </is>
      </c>
      <c r="E20" s="8" t="n"/>
      <c r="F20" s="8" t="n"/>
    </row>
    <row r="21">
      <c r="A21" s="6" t="inlineStr">
        <is>
          <t>Pendiente promedio (%)</t>
        </is>
      </c>
      <c r="B21" s="7" t="n">
        <v>18.57</v>
      </c>
      <c r="C21" s="6" t="inlineStr">
        <is>
          <t>Pendiente promedio (grados)</t>
        </is>
      </c>
      <c r="D21" s="7" t="n">
        <v>10.5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0.3394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(64.60 %)</t>
        </is>
      </c>
      <c r="E29" s="8" t="n"/>
      <c r="F29" s="8" t="n"/>
    </row>
    <row r="30">
      <c r="A30" s="6" t="inlineStr">
        <is>
          <t>Superficie clasificada NDVI 2025 (ha)</t>
        </is>
      </c>
      <c r="B30" s="7" t="n">
        <v>295.861</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295.73 ha</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70</v>
      </c>
      <c r="E35" s="8" t="n"/>
      <c r="F35" s="8" t="n"/>
    </row>
    <row r="36">
      <c r="A36" s="6" t="inlineStr">
        <is>
          <t>Suelo desnudo — campo (%)</t>
        </is>
      </c>
      <c r="B36" s="7" t="n">
        <v>13</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4</v>
      </c>
      <c r="E37" s="8" t="n"/>
      <c r="F37" s="8" t="n"/>
    </row>
    <row r="38">
      <c r="A38" s="6" t="inlineStr">
        <is>
          <t>Elenco florístico (n.° de taxones)</t>
        </is>
      </c>
      <c r="B38" s="7" t="n">
        <v>14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Carlos Domínguez Varas</t>
        </is>
      </c>
      <c r="C41" s="6" t="inlineStr">
        <is>
          <t>Fecha de evaluación</t>
        </is>
      </c>
      <c r="D41" s="7" t="inlineStr">
        <is>
          <t>2026-05-14</t>
        </is>
      </c>
      <c r="E41" s="8" t="n"/>
      <c r="F41" s="8" t="n"/>
    </row>
    <row r="42">
      <c r="A42" s="6" t="inlineStr">
        <is>
          <t>Hora de registro</t>
        </is>
      </c>
      <c r="B42" s="7" t="inlineStr">
        <is>
          <t>10:05 a.m.</t>
        </is>
      </c>
      <c r="C42" s="6" t="inlineStr">
        <is>
          <t>Correlativo de ficha</t>
        </is>
      </c>
      <c r="D42" s="7" t="inlineStr">
        <is>
          <t>F-DT-2026-B5-001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P-B5-01</t>
        </is>
      </c>
      <c r="E44" s="8" t="n"/>
      <c r="F44" s="8" t="n"/>
    </row>
    <row r="45">
      <c r="A45" s="6" t="inlineStr">
        <is>
          <t>Estaciones fotográficas georreferenciadas</t>
        </is>
      </c>
      <c r="B45" s="7" t="inlineStr">
        <is>
          <t>Sin registro en la ficha DT</t>
        </is>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Pobreza rural + ausencia de planes comunitarios de manejo silvopastoril + tenencia difusa de la tierra + baja adopción de prácticas de conservación</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0.3394</v>
      </c>
      <c r="C15" s="17" t="inlineStr">
        <is>
          <t>—</t>
        </is>
      </c>
      <c r="D15" s="17" t="inlineStr">
        <is>
          <t>Vigor muy bajo · clase 0.2650 - 0.3813</t>
        </is>
      </c>
      <c r="E15" s="17" t="inlineStr">
        <is>
          <t>BAJO umbral 0.4976</t>
        </is>
      </c>
    </row>
    <row r="17" ht="72" customHeight="1">
      <c r="A17" s="9" t="inlineStr">
        <is>
          <t>NOTA METODOLÓGICA. La media del MSAVI 2024 del bloque (0.339400)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16.5447</v>
      </c>
      <c r="C21" s="19" t="n">
        <v>5.59</v>
      </c>
      <c r="D21" s="11" t="inlineStr">
        <is>
          <t>Dosel continuo, matorral denso o mosaico agroforestal</t>
        </is>
      </c>
      <c r="E21" s="11" t="inlineStr"/>
    </row>
    <row r="22">
      <c r="A22" s="12" t="inlineStr">
        <is>
          <t>Vegetación mediana</t>
        </is>
      </c>
      <c r="B22" s="20" t="n">
        <v>191.1145</v>
      </c>
      <c r="C22" s="21" t="n">
        <v>64.59999999999999</v>
      </c>
      <c r="D22" s="13" t="inlineStr">
        <is>
          <t>Pastizal cultivado, matorral ralo, parcelas agrícolas</t>
        </is>
      </c>
      <c r="E22" s="13" t="inlineStr"/>
    </row>
    <row r="23">
      <c r="A23" s="7" t="inlineStr">
        <is>
          <t>Vegetación ligera</t>
        </is>
      </c>
      <c r="B23" s="18" t="n">
        <v>82.94370000000001</v>
      </c>
      <c r="C23" s="19" t="n">
        <v>28.03</v>
      </c>
      <c r="D23" s="11" t="inlineStr">
        <is>
          <t>Cobertura discontinua, suelo parcialmente expuesto</t>
        </is>
      </c>
      <c r="E23" s="11" t="inlineStr"/>
    </row>
    <row r="24">
      <c r="A24" s="12" t="inlineStr">
        <is>
          <t>Tierra desnuda</t>
        </is>
      </c>
      <c r="B24" s="20" t="n">
        <v>5.258</v>
      </c>
      <c r="C24" s="21" t="n">
        <v>1.78</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295.73</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5.59 % del polígono clasificado como «Vegetación alta» por el NDVI 2025; la observación de campo corresponde a una parcela o recorrido puntual y no es estadísticamente representativa de las 295.730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t>
        </is>
      </c>
    </row>
    <row r="6" ht="24" customHeight="1">
      <c r="A6" s="4" t="inlineStr">
        <is>
          <t>Levantamiento del 2026-05-14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618722</v>
      </c>
      <c r="D10" s="26" t="n">
        <v>9413102</v>
      </c>
      <c r="E10" s="11" t="n">
        <v>865.7</v>
      </c>
      <c r="F10" s="11" t="inlineStr"/>
      <c r="G10" s="11" t="inlineStr">
        <is>
          <t>Coordenada consignada en F-DT-01</t>
        </is>
      </c>
    </row>
    <row r="11">
      <c r="A11" s="12" t="inlineStr">
        <is>
          <t>C-01</t>
        </is>
      </c>
      <c r="B11" s="13" t="inlineStr">
        <is>
          <t>Rasgo erosivo — Cárcava incipiente (30-50 cm)</t>
        </is>
      </c>
      <c r="C11" s="27" t="n">
        <v>618650</v>
      </c>
      <c r="D11" s="27" t="n">
        <v>9413100</v>
      </c>
      <c r="E11" s="13" t="n">
        <v>794.2</v>
      </c>
      <c r="F11" s="13" t="inlineStr">
        <is>
          <t>Semi-activa</t>
        </is>
      </c>
      <c r="G11" s="13" t="inlineStr">
        <is>
          <t>Concentración natural de escorrentía</t>
        </is>
      </c>
    </row>
    <row r="12">
      <c r="A12" s="7" t="inlineStr">
        <is>
          <t>C-02</t>
        </is>
      </c>
      <c r="B12" s="11" t="inlineStr">
        <is>
          <t>Rasgo erosivo — Cárcava somera (0.5-2 m)</t>
        </is>
      </c>
      <c r="C12" s="26" t="n">
        <v>618620</v>
      </c>
      <c r="D12" s="26" t="n">
        <v>9413110</v>
      </c>
      <c r="E12" s="11" t="n">
        <v>763.4</v>
      </c>
      <c r="F12" s="11" t="inlineStr">
        <is>
          <t>Activa</t>
        </is>
      </c>
      <c r="G12" s="11" t="inlineStr">
        <is>
          <t>Socavamiento de cauce</t>
        </is>
      </c>
    </row>
    <row r="13">
      <c r="A13" s="12" t="inlineStr">
        <is>
          <t>C-03</t>
        </is>
      </c>
      <c r="B13" s="13" t="inlineStr">
        <is>
          <t>Rasgo erosivo — Surco (&lt;30 cm)</t>
        </is>
      </c>
      <c r="C13" s="27" t="n">
        <v>618700</v>
      </c>
      <c r="D13" s="27" t="n">
        <v>9413105</v>
      </c>
      <c r="E13" s="13" t="n">
        <v>843.5</v>
      </c>
      <c r="F13" s="13" t="inlineStr">
        <is>
          <t>Activa</t>
        </is>
      </c>
      <c r="G13" s="13" t="inlineStr">
        <is>
          <t>Caminos / huellas de ganado</t>
        </is>
      </c>
    </row>
    <row r="14">
      <c r="A14" s="7" t="inlineStr">
        <is>
          <t>C-04</t>
        </is>
      </c>
      <c r="B14" s="11" t="inlineStr">
        <is>
          <t>Rasgo erosivo — Surco (&lt;30 cm)</t>
        </is>
      </c>
      <c r="C14" s="26" t="n">
        <v>618680</v>
      </c>
      <c r="D14" s="26" t="n">
        <v>9413090</v>
      </c>
      <c r="E14" s="11" t="n">
        <v>825.1</v>
      </c>
      <c r="F14" s="11" t="inlineStr">
        <is>
          <t>Activa</t>
        </is>
      </c>
      <c r="G14" s="11" t="inlineStr">
        <is>
          <t>Caminos / huellas de ganado</t>
        </is>
      </c>
    </row>
    <row r="15">
      <c r="A15" s="12" t="inlineStr">
        <is>
          <t>H-01</t>
        </is>
      </c>
      <c r="B15" s="13" t="inlineStr">
        <is>
          <t>Fuente de agua — Quebrada estacional</t>
        </is>
      </c>
      <c r="C15" s="27" t="n">
        <v>614511</v>
      </c>
      <c r="D15" s="27" t="n">
        <v>9414400</v>
      </c>
      <c r="E15" s="13" t="n">
        <v>3563.6</v>
      </c>
      <c r="F15" s="13" t="inlineStr"/>
      <c r="G15" s="13" t="inlineStr">
        <is>
          <t>Quebrada s/n - drenaje</t>
        </is>
      </c>
    </row>
    <row r="16">
      <c r="A16" s="7" t="inlineStr">
        <is>
          <t>H-02</t>
        </is>
      </c>
      <c r="B16" s="11" t="inlineStr">
        <is>
          <t>Fuente de agua — Reservorio / Represa</t>
        </is>
      </c>
      <c r="C16" s="26" t="n">
        <v>613891</v>
      </c>
      <c r="D16" s="26" t="n">
        <v>9415280</v>
      </c>
      <c r="E16" s="11" t="n">
        <v>4489.4</v>
      </c>
      <c r="F16" s="11" t="inlineStr">
        <is>
          <t>Permanente</t>
        </is>
      </c>
      <c r="G16" s="11" t="inlineStr">
        <is>
          <t>Tanque / mini-reservorio</t>
        </is>
      </c>
    </row>
    <row r="17">
      <c r="A17" s="12" t="inlineStr">
        <is>
          <t>H-03</t>
        </is>
      </c>
      <c r="B17" s="13" t="inlineStr">
        <is>
          <t>Fuente de agua — Río</t>
        </is>
      </c>
      <c r="C17" s="27" t="n">
        <v>615000</v>
      </c>
      <c r="D17" s="27" t="n">
        <v>9414500</v>
      </c>
      <c r="E17" s="13" t="n">
        <v>3149.1</v>
      </c>
      <c r="F17" s="13" t="inlineStr">
        <is>
          <t>Permanente</t>
        </is>
      </c>
      <c r="G17" s="13" t="inlineStr">
        <is>
          <t>Río Piura - uso doméstico</t>
        </is>
      </c>
    </row>
    <row r="18">
      <c r="A18" s="7" t="inlineStr">
        <is>
          <t>H-04</t>
        </is>
      </c>
      <c r="B18" s="11" t="inlineStr">
        <is>
          <t>Fuente de agua — Otro</t>
        </is>
      </c>
      <c r="C18" s="26" t="n">
        <v>617500</v>
      </c>
      <c r="D18" s="26" t="n">
        <v>9413600</v>
      </c>
      <c r="E18" s="11" t="n">
        <v>551.7</v>
      </c>
      <c r="F18" s="11" t="inlineStr"/>
      <c r="G18" s="11" t="inlineStr">
        <is>
          <t>Punto interno CT1</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617860</v>
      </c>
      <c r="C21" s="6" t="inlineStr">
        <is>
          <t>Centroide del bloque — UTM NORTE (m)</t>
        </is>
      </c>
      <c r="D21" s="7" t="n">
        <v>9413182</v>
      </c>
      <c r="E21" s="8" t="n"/>
      <c r="F21" s="8" t="n"/>
      <c r="G21" s="8" t="n"/>
      <c r="H21" s="8" t="n"/>
    </row>
    <row r="22">
      <c r="A22" s="6" t="inlineStr">
        <is>
          <t>N.° de estaciones fotográficas declaradas</t>
        </is>
      </c>
      <c r="B22" s="7" t="inlineStr">
        <is>
          <t>Sin registro en la ficha DT</t>
        </is>
      </c>
      <c r="C22" s="6" t="inlineStr">
        <is>
          <t>Estaciones dentro del polígono</t>
        </is>
      </c>
      <c r="D22" s="7" t="inlineStr">
        <is>
          <t>Por determinar</t>
        </is>
      </c>
      <c r="E22" s="8" t="n"/>
      <c r="F22" s="8" t="n"/>
      <c r="G22" s="8" t="n"/>
      <c r="H22" s="8" t="n"/>
    </row>
    <row r="24" ht="120"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Aunque no se evidencian movimientos en masa activos a escala de polígono, la combinación de pendientes 25-50% con cobertura discontinua, suelos delgados sobre material parental rocoso y precipitaciones erráticas de alta intensidad (ENSO costero) configura susceptibilidad media-alta a generación de escorrentía y arrastre de sedimentos. El bloque actúa como zona de ORIGEN del peligro de inundación que afecta aguas abajo a Buenos Aires, Bigote y Salitral.</t>
        </is>
      </c>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5</t>
        </is>
      </c>
    </row>
    <row r="6" ht="24" customHeight="1">
      <c r="A6" s="4" t="inlineStr">
        <is>
          <t>Distrito de Buenos Aires · Provincia de Morropon · Comparación de los bloques preliminares de intervención de la misma microcuenca</t>
        </is>
      </c>
    </row>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M6B2-1</t>
        </is>
      </c>
      <c r="B10" s="28" t="n">
        <v>514.36</v>
      </c>
      <c r="C10" s="19" t="n">
        <v>33.1</v>
      </c>
      <c r="D10" s="11" t="inlineStr">
        <is>
          <t>181 – 504</t>
        </is>
      </c>
      <c r="E10" s="11" t="n">
        <v>323</v>
      </c>
      <c r="F10" s="11" t="n">
        <v>16.84</v>
      </c>
      <c r="G10" s="18" t="n">
        <v>0.3381</v>
      </c>
      <c r="H10" s="19" t="n">
        <v>0.98</v>
      </c>
    </row>
    <row r="11">
      <c r="A11" s="12" t="inlineStr">
        <is>
          <t>M6B2-2</t>
        </is>
      </c>
      <c r="B11" s="29" t="n">
        <v>333.01</v>
      </c>
      <c r="C11" s="21" t="n">
        <v>21.43</v>
      </c>
      <c r="D11" s="13" t="inlineStr">
        <is>
          <t>195 – 440</t>
        </is>
      </c>
      <c r="E11" s="13" t="n">
        <v>245</v>
      </c>
      <c r="F11" s="13" t="n">
        <v>14.33</v>
      </c>
      <c r="G11" s="20" t="n">
        <v>0.3026</v>
      </c>
      <c r="H11" s="21" t="n">
        <v>0.68</v>
      </c>
    </row>
    <row r="12">
      <c r="A12" s="14" t="inlineStr">
        <is>
          <t>► 5</t>
        </is>
      </c>
      <c r="B12" s="30" t="n">
        <v>295.73</v>
      </c>
      <c r="C12" s="31" t="n">
        <v>19.03</v>
      </c>
      <c r="D12" s="15" t="inlineStr">
        <is>
          <t>150 – 377</t>
        </is>
      </c>
      <c r="E12" s="15" t="n">
        <v>227</v>
      </c>
      <c r="F12" s="15" t="n">
        <v>18.57</v>
      </c>
      <c r="G12" s="32" t="n">
        <v>0.3394</v>
      </c>
      <c r="H12" s="31" t="n">
        <v>5.59</v>
      </c>
    </row>
    <row r="13">
      <c r="A13" s="12" t="inlineStr">
        <is>
          <t>M6B10</t>
        </is>
      </c>
      <c r="B13" s="29" t="n">
        <v>249.89</v>
      </c>
      <c r="C13" s="21" t="n">
        <v>16.08</v>
      </c>
      <c r="D13" s="13" t="inlineStr">
        <is>
          <t>158 – 537</t>
        </is>
      </c>
      <c r="E13" s="13" t="n">
        <v>379</v>
      </c>
      <c r="F13" s="13" t="n">
        <v>20.6</v>
      </c>
      <c r="G13" s="20" t="n">
        <v>0.3099</v>
      </c>
      <c r="H13" s="21" t="n">
        <v>0.08</v>
      </c>
    </row>
    <row r="14">
      <c r="A14" s="7" t="inlineStr">
        <is>
          <t>M6B2-3</t>
        </is>
      </c>
      <c r="B14" s="28" t="n">
        <v>160.98</v>
      </c>
      <c r="C14" s="19" t="n">
        <v>10.36</v>
      </c>
      <c r="D14" s="11" t="inlineStr">
        <is>
          <t>166 – 557</t>
        </is>
      </c>
      <c r="E14" s="11" t="n">
        <v>391</v>
      </c>
      <c r="F14" s="11" t="n">
        <v>19.78</v>
      </c>
      <c r="G14" s="18" t="n">
        <v>0.4063</v>
      </c>
      <c r="H14" s="19" t="n">
        <v>4.92</v>
      </c>
    </row>
    <row r="15">
      <c r="A15" s="16" t="inlineStr">
        <is>
          <t>TOTAL / PROMEDIO</t>
        </is>
      </c>
      <c r="B15" s="33">
        <f>SUM(B10:B14)</f>
        <v/>
      </c>
      <c r="C15" s="23">
        <f>SUM(C10:C14)</f>
        <v/>
      </c>
      <c r="D15" s="17" t="inlineStr">
        <is>
          <t>150 – 557</t>
        </is>
      </c>
      <c r="E15" s="17" t="inlineStr"/>
      <c r="F15" s="17">
        <f>ROUND(AVERAGE(F10:F14),2)</f>
        <v/>
      </c>
      <c r="G15" s="22">
        <f>ROUND(AVERAGE(G10:G14),4)</f>
        <v/>
      </c>
      <c r="H15" s="23">
        <f>ROUND(AVERAGE(H10:H14),2)</f>
        <v/>
      </c>
    </row>
    <row r="17" ht="84" customHeight="1">
      <c r="A17" s="9" t="inlineStr">
        <is>
          <t>LECTURA INTRAMICROCUENCA. El bloque 5 ocupa el puesto 3 de 5 por superficie dentro de la microcuenca C1077-Q9566 (19.03 % de las 1553.97 ha preliminares de la microcuenca). Su pendiente promedio (18.57 %, clase «15-25% (Fuert. inclinado)») es la 3.ª más baja de 5 y se sitúa por encima del promedio de la microcuenca (18.02 %). Su MSAVI 2024 (0.3394) es el 2.º de 5 y queda por encima del promedio local (0.3393). Amplitud altitudinal del bloque: 227 m (150–377 msnm). El cuadro conserva todos los bloques catalogados en la microcuenca, incluidos los descartados en el tamizaje, para referencia del conjunto. Los bloques sin ficha DT figuran con sus parámetros de gabinete.</t>
        </is>
      </c>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9:H19"/>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(618722 E / 9413102 N) dista 866 m del centroide de catálogo (617860 E / 9413182 N), distancia incompatible con la superficie del bloque (295.73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(295.861 ha) coincide con la de catálogo (295.73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18.57 %,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98.22 %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14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Centro poblado asociado</t>
        </is>
      </c>
      <c r="C16" s="34" t="inlineStr">
        <is>
          <t>La ficha DT declara «Caserío El Ala (~250 m al norte del límite)»; el cruce INEI-Bloques V5 identifica 3 centro(s) poblado(s) en el bloque: EL ALA, JUAN VELASCO, LINDEROS DEL ALA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3 · NO SUSTANTIVA: 2 · SUSTANTIVA: 3</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 — IN Piura</dc:title>
  <dc:subject>Diagnóstico Territorial por bloque de intervención</dc:subject>
  <dcterms:created xsi:type="dcterms:W3CDTF">2026-09-08T03:39:55Z</dcterms:created>
  <dcterms:modified xsi:type="dcterms:W3CDTF">2026-09-08T03:39:55Z</dcterms:modified>
</cp:coreProperties>
</file>