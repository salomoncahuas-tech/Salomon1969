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10">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
      <patternFill patternType="solid">
        <fgColor rgb="00C6E0B4"/>
      </patternFill>
    </fill>
  </fills>
  <borders count="2">
    <border>
      <left/>
      <right/>
      <top/>
      <bottom/>
      <diagonal/>
    </border>
    <border>
      <left style="thin">
        <color rgb="009C9C9C"/>
      </left>
      <right style="thin">
        <color rgb="009C9C9C"/>
      </right>
      <top style="thin">
        <color rgb="009C9C9C"/>
      </top>
      <bottom style="thin">
        <color rgb="009C9C9C"/>
      </bottom>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5" fillId="9"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M6B2-3</t>
        </is>
      </c>
    </row>
    <row r="6" ht="24" customHeight="1">
      <c r="A6" s="4" t="inlineStr">
        <is>
          <t>Diagnóstico Territorial — Plantilla DT Campo Check Validada V5 | Sistema de referencia: UTM WGS 84 Zona 17S (EPSG:32717)</t>
        </is>
      </c>
    </row>
    <row r="8" ht="18" customHeight="1">
      <c r="A8" s="5" t="inlineStr">
        <is>
          <t>1. IDENTIFICACIÓN Y LOCALIZACIÓN</t>
        </is>
      </c>
    </row>
    <row r="9">
      <c r="A9" s="6" t="inlineStr">
        <is>
          <t>Código del bloque</t>
        </is>
      </c>
      <c r="B9" s="7" t="inlineStr">
        <is>
          <t>M6B2-3</t>
        </is>
      </c>
      <c r="C9" s="6" t="inlineStr">
        <is>
          <t>Microcuenca (catálogo)</t>
        </is>
      </c>
      <c r="D9" s="7" t="inlineStr">
        <is>
          <t>C1077-Q9566</t>
        </is>
      </c>
      <c r="E9" s="8" t="n"/>
      <c r="F9" s="8" t="n"/>
    </row>
    <row r="10">
      <c r="A10" s="6" t="inlineStr">
        <is>
          <t>Zona de planificación</t>
        </is>
      </c>
      <c r="B10" s="7" t="inlineStr">
        <is>
          <t>Z06</t>
        </is>
      </c>
      <c r="C10" s="6" t="inlineStr">
        <is>
          <t>Microcuenca declarada en ficha DT</t>
        </is>
      </c>
      <c r="D10" s="7" t="inlineStr">
        <is>
          <t>C1077-Q9566</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Buenos Aires</t>
        </is>
      </c>
      <c r="C12" s="6" t="inlineStr">
        <is>
          <t>Capital distrital</t>
        </is>
      </c>
      <c r="D12" s="7" t="inlineStr">
        <is>
          <t>Buenos Aires</t>
        </is>
      </c>
      <c r="E12" s="8" t="n"/>
      <c r="F12" s="8" t="n"/>
    </row>
    <row r="13">
      <c r="A13" s="6" t="inlineStr">
        <is>
          <t>Centro poblado asociado</t>
        </is>
      </c>
      <c r="B13" s="7" t="inlineStr">
        <is>
          <t>Caserío Pedregal</t>
        </is>
      </c>
      <c r="C13" s="6" t="inlineStr">
        <is>
          <t>Comunidad campesina</t>
        </is>
      </c>
      <c r="D13" s="7" t="inlineStr">
        <is>
          <t>Sin registro en ficha</t>
        </is>
      </c>
      <c r="E13" s="8" t="n"/>
      <c r="F13" s="8" t="n"/>
    </row>
    <row r="14">
      <c r="A14" s="6" t="inlineStr">
        <is>
          <t>Superficie de catálogo (V5/V6), ha</t>
        </is>
      </c>
      <c r="B14" s="7" t="n">
        <v>160.98</v>
      </c>
      <c r="C14" s="6" t="inlineStr">
        <is>
          <t>Fuente de superficie</t>
        </is>
      </c>
      <c r="D14" s="7" t="inlineStr">
        <is>
          <t>Catálogo maestro Bloques V5/V6</t>
        </is>
      </c>
      <c r="E14" s="8" t="n"/>
      <c r="F14" s="8" t="n"/>
    </row>
    <row r="15">
      <c r="A15" s="6" t="inlineStr">
        <is>
          <t>Centroide UTM ESTE (m)</t>
        </is>
      </c>
      <c r="B15" s="7" t="n">
        <v>611305</v>
      </c>
      <c r="C15" s="6" t="inlineStr">
        <is>
          <t>Centroide UTM NORTE (m)</t>
        </is>
      </c>
      <c r="D15" s="7" t="n">
        <v>9419274</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8" ht="18" customHeight="1">
      <c r="A18" s="5" t="inlineStr">
        <is>
          <t>2. PARÁMETROS FÍSICOS (ESTADÍSTICA ZONAL SOBRE MDE)</t>
        </is>
      </c>
    </row>
    <row r="19">
      <c r="A19" s="6" t="inlineStr">
        <is>
          <t>Altitud mínima (msnm)</t>
        </is>
      </c>
      <c r="B19" s="7" t="n">
        <v>166</v>
      </c>
      <c r="C19" s="6" t="inlineStr">
        <is>
          <t>Altitud máxima (msnm)</t>
        </is>
      </c>
      <c r="D19" s="7" t="n">
        <v>557</v>
      </c>
      <c r="E19" s="8" t="n"/>
      <c r="F19" s="8" t="n"/>
    </row>
    <row r="20">
      <c r="A20" s="6" t="inlineStr">
        <is>
          <t>Amplitud altitudinal (m)</t>
        </is>
      </c>
      <c r="B20" s="7" t="n">
        <v>391</v>
      </c>
      <c r="C20" s="6" t="inlineStr">
        <is>
          <t>Piso altitudinal dominante</t>
        </is>
      </c>
      <c r="D20" s="7" t="inlineStr">
        <is>
          <t>&lt;1000 m (Yunga)</t>
        </is>
      </c>
      <c r="E20" s="8" t="n"/>
      <c r="F20" s="8" t="n"/>
    </row>
    <row r="21">
      <c r="A21" s="6" t="inlineStr">
        <is>
          <t>Pendiente promedio (%)</t>
        </is>
      </c>
      <c r="B21" s="7" t="n">
        <v>19.78</v>
      </c>
      <c r="C21" s="6" t="inlineStr">
        <is>
          <t>Pendiente promedio (grados)</t>
        </is>
      </c>
      <c r="D21" s="7" t="n">
        <v>11.2</v>
      </c>
      <c r="E21" s="8" t="n"/>
      <c r="F21" s="8" t="n"/>
    </row>
    <row r="22">
      <c r="A22" s="6" t="inlineStr">
        <is>
          <t>Clase de pendiente equivalente</t>
        </is>
      </c>
      <c r="B22" s="7" t="inlineStr">
        <is>
          <t>15-25% (Fuert. inclinado)</t>
        </is>
      </c>
      <c r="C22" s="6" t="inlineStr">
        <is>
          <t>Rango de pendiente declarado en campo</t>
        </is>
      </c>
      <c r="D22" s="7" t="inlineStr">
        <is>
          <t>15-25% (Fuert. inclinado)</t>
        </is>
      </c>
      <c r="E22" s="8" t="n"/>
      <c r="F22" s="8" t="n"/>
    </row>
    <row r="23">
      <c r="A23" s="6" t="inlineStr">
        <is>
          <t>Forma predominante del terreno</t>
        </is>
      </c>
      <c r="B23" s="7" t="inlineStr">
        <is>
          <t>Colinoso</t>
        </is>
      </c>
      <c r="C23" s="6" t="inlineStr">
        <is>
          <t>Posición fisiográfica</t>
        </is>
      </c>
      <c r="D23" s="7" t="inlineStr">
        <is>
          <t>Ladera media</t>
        </is>
      </c>
      <c r="E23" s="8" t="n"/>
      <c r="F23" s="8" t="n"/>
    </row>
    <row r="24">
      <c r="A24" s="6" t="inlineStr">
        <is>
          <t>Exposición / orientación</t>
        </is>
      </c>
      <c r="B24" s="7" t="inlineStr">
        <is>
          <t>Noreste</t>
        </is>
      </c>
      <c r="C24" s="6" t="inlineStr">
        <is>
          <t>Afloramientos rocosos</t>
        </is>
      </c>
      <c r="D24" s="7" t="inlineStr">
        <is>
          <t>Sí</t>
        </is>
      </c>
      <c r="E24" s="8" t="n"/>
      <c r="F24" s="8" t="n"/>
    </row>
    <row r="25">
      <c r="A25" s="6" t="inlineStr">
        <is>
          <t>Escarpes activos</t>
        </is>
      </c>
      <c r="B25" s="7" t="inlineStr">
        <is>
          <t>Por verificar (indicios no concluyentes)</t>
        </is>
      </c>
      <c r="C25" s="6" t="inlineStr">
        <is>
          <t>Remociones en masa activas</t>
        </is>
      </c>
      <c r="D25" s="7" t="inlineStr">
        <is>
          <t>Sí</t>
        </is>
      </c>
      <c r="E25" s="8" t="n"/>
      <c r="F25" s="8" t="n"/>
    </row>
    <row r="27" ht="18" customHeight="1">
      <c r="A27" s="5" t="inlineStr">
        <is>
          <t>3. ÍNDICES DE VEGETACIÓN (SENTINEL-2)</t>
        </is>
      </c>
    </row>
    <row r="28">
      <c r="A28" s="6" t="inlineStr">
        <is>
          <t>MSAVI 2024 — media del bloque</t>
        </is>
      </c>
      <c r="B28" s="7" t="n">
        <v>0.4063</v>
      </c>
      <c r="C28" s="6" t="inlineStr">
        <is>
          <t>MSAVI 2024 — clase de la media</t>
        </is>
      </c>
      <c r="D28" s="7" t="inlineStr">
        <is>
          <t>0.3813 - 0.4976 (Vigor bajo)</t>
        </is>
      </c>
      <c r="E28" s="8" t="n"/>
      <c r="F28" s="8" t="n"/>
    </row>
    <row r="29">
      <c r="A29" s="6" t="inlineStr">
        <is>
          <t>Condición frente al umbral 0.4976</t>
        </is>
      </c>
      <c r="B29" s="7" t="inlineStr">
        <is>
          <t>BAJO umbral 0.4976</t>
        </is>
      </c>
      <c r="C29" s="6" t="inlineStr">
        <is>
          <t>NDVI mediana 2025 — clase modal</t>
        </is>
      </c>
      <c r="D29" s="7" t="inlineStr">
        <is>
          <t>Vegetación mediana (60.25 %)</t>
        </is>
      </c>
      <c r="E29" s="8" t="n"/>
      <c r="F29" s="8" t="n"/>
    </row>
    <row r="30">
      <c r="A30" s="6" t="inlineStr">
        <is>
          <t>Superficie clasificada NDVI 2025 (ha)</t>
        </is>
      </c>
      <c r="B30" s="7" t="n">
        <v>161.058</v>
      </c>
      <c r="C30" s="6" t="inlineStr">
        <is>
          <t>Desviación frente al catálogo (%)</t>
        </is>
      </c>
      <c r="D30" s="7" t="n">
        <v>0.05</v>
      </c>
      <c r="E30" s="8" t="n"/>
      <c r="F30" s="8" t="n"/>
    </row>
    <row r="32" ht="18" customHeight="1">
      <c r="A32" s="5" t="inlineStr">
        <is>
          <t>4. ECOSISTEMA Y ESTADO DE CONSERVACIÓN</t>
        </is>
      </c>
    </row>
    <row r="33">
      <c r="A33" s="6" t="inlineStr">
        <is>
          <t>Tipo de ecosistema (UP)</t>
        </is>
      </c>
      <c r="B33" s="7" t="inlineStr">
        <is>
          <t>Bosque Estacionalmente Seco de Colina y Montaña (Bes-cm)</t>
        </is>
      </c>
      <c r="C33" s="6" t="inlineStr">
        <is>
          <t>Superficie de ecosistema (ha)</t>
        </is>
      </c>
      <c r="D33" s="7" t="inlineStr">
        <is>
          <t>160.98 ha (100% del bloque, por dominancia)</t>
        </is>
      </c>
      <c r="E33" s="8" t="n"/>
      <c r="F33" s="8" t="n"/>
    </row>
    <row r="34">
      <c r="A34" s="6" t="inlineStr">
        <is>
          <t>Estado de conservación</t>
        </is>
      </c>
      <c r="B34" s="7" t="inlineStr">
        <is>
          <t>Alterado (intervención marcada)</t>
        </is>
      </c>
      <c r="C34" s="6" t="inlineStr">
        <is>
          <t>Uso actual dominante del suelo</t>
        </is>
      </c>
      <c r="D34" s="7" t="inlineStr">
        <is>
          <t>Pastoreo extensivo</t>
        </is>
      </c>
      <c r="E34" s="8" t="n"/>
      <c r="F34" s="8" t="n"/>
    </row>
    <row r="35">
      <c r="A35" s="6" t="inlineStr">
        <is>
          <t>Tipo de cobertura dominante</t>
        </is>
      </c>
      <c r="B35" s="7" t="inlineStr">
        <is>
          <t>Mixto / Mosaico</t>
        </is>
      </c>
      <c r="C35" s="6" t="inlineStr">
        <is>
          <t>Cobertura vegetal total — campo (%)</t>
        </is>
      </c>
      <c r="D35" s="7" t="inlineStr">
        <is>
          <t>55 - 85</t>
        </is>
      </c>
      <c r="E35" s="8" t="n"/>
      <c r="F35" s="8" t="n"/>
    </row>
    <row r="36">
      <c r="A36" s="6" t="inlineStr">
        <is>
          <t>Suelo desnudo — campo (%)</t>
        </is>
      </c>
      <c r="B36" s="7" t="inlineStr">
        <is>
          <t>15 - 30</t>
        </is>
      </c>
      <c r="C36" s="6" t="inlineStr">
        <is>
          <t>Regeneración natural</t>
        </is>
      </c>
      <c r="D36" s="7" t="inlineStr">
        <is>
          <t>Regular (10-50 pl./100m²)</t>
        </is>
      </c>
      <c r="E36" s="8" t="n"/>
      <c r="F36" s="8" t="n"/>
    </row>
    <row r="37">
      <c r="A37" s="6" t="inlineStr">
        <is>
          <t>Nivel general de erosión</t>
        </is>
      </c>
      <c r="B37" s="7" t="inlineStr">
        <is>
          <t>Moderada (surcos)</t>
        </is>
      </c>
      <c r="C37" s="6" t="inlineStr">
        <is>
          <t>N.° de cárcavas registradas</t>
        </is>
      </c>
      <c r="D37" s="7" t="n">
        <v>0</v>
      </c>
      <c r="E37" s="8" t="n"/>
      <c r="F37" s="8" t="n"/>
    </row>
    <row r="38">
      <c r="A38" s="6" t="inlineStr">
        <is>
          <t>Elenco florístico (n.° de taxones)</t>
        </is>
      </c>
      <c r="B38" s="7" t="n">
        <v>12</v>
      </c>
      <c r="C38" s="6" t="inlineStr">
        <is>
          <t>Estado sanitario</t>
        </is>
      </c>
      <c r="D38" s="7" t="inlineStr">
        <is>
          <t>Sano</t>
        </is>
      </c>
      <c r="E38" s="8" t="n"/>
      <c r="F38" s="8" t="n"/>
    </row>
    <row r="40" ht="18" customHeight="1">
      <c r="A40" s="5" t="inlineStr">
        <is>
          <t>5. RESPONSABLE Y MODALIDAD DE LA EVALUACIÓN</t>
        </is>
      </c>
    </row>
    <row r="41">
      <c r="A41" s="6" t="inlineStr">
        <is>
          <t>Responsable de la evaluación</t>
        </is>
      </c>
      <c r="B41" s="7" t="inlineStr">
        <is>
          <t>Ing. Héctor Salomón Cahuas Miller</t>
        </is>
      </c>
      <c r="C41" s="6" t="inlineStr">
        <is>
          <t>Fecha de evaluación</t>
        </is>
      </c>
      <c r="D41" s="7" t="inlineStr">
        <is>
          <t>2026-05-18</t>
        </is>
      </c>
      <c r="E41" s="8" t="n"/>
      <c r="F41" s="8" t="n"/>
    </row>
    <row r="42">
      <c r="A42" s="6" t="inlineStr">
        <is>
          <t>Hora de registro</t>
        </is>
      </c>
      <c r="B42" s="7" t="inlineStr">
        <is>
          <t>14:30 h</t>
        </is>
      </c>
      <c r="C42" s="6" t="inlineStr">
        <is>
          <t>Correlativo de ficha</t>
        </is>
      </c>
      <c r="D42" s="7" t="inlineStr">
        <is>
          <t>F-DT/M6B2-3/2026</t>
        </is>
      </c>
      <c r="E42" s="8" t="n"/>
      <c r="F42" s="8" t="n"/>
    </row>
    <row r="43">
      <c r="A43" s="6" t="inlineStr">
        <is>
          <t>Entidad</t>
        </is>
      </c>
      <c r="B43" s="7" t="inlineStr">
        <is>
          <t>ANIN - DIME - SESDI</t>
        </is>
      </c>
      <c r="C43" s="6" t="inlineStr">
        <is>
          <t>Fase del estudio</t>
        </is>
      </c>
      <c r="D43" s="7" t="inlineStr">
        <is>
          <t>Preinversión (Perfil) · Invierte.pe</t>
        </is>
      </c>
      <c r="E43" s="8" t="n"/>
      <c r="F43" s="8" t="n"/>
    </row>
    <row r="44">
      <c r="A44" s="6" t="inlineStr">
        <is>
          <t>Instrumento aplicado</t>
        </is>
      </c>
      <c r="B44" s="7" t="inlineStr">
        <is>
          <t>Fichas F-DT-01 a F-DT-05 (Plantilla V5)</t>
        </is>
      </c>
      <c r="C44" s="6" t="inlineStr">
        <is>
          <t>Parcela de muestreo</t>
        </is>
      </c>
      <c r="D44" s="7" t="inlineStr">
        <is>
          <t>Recorrido de reconocimiento (sin parcela formal)</t>
        </is>
      </c>
      <c r="E44" s="8" t="n"/>
      <c r="F44" s="8" t="n"/>
    </row>
    <row r="45">
      <c r="A45" s="6" t="inlineStr">
        <is>
          <t>Estaciones fotográficas georreferenciadas</t>
        </is>
      </c>
      <c r="B45" s="7" t="n">
        <v>0</v>
      </c>
      <c r="C45" s="6" t="inlineStr">
        <is>
          <t>Modalidad de acceso</t>
        </is>
      </c>
      <c r="D45" s="7" t="inlineStr">
        <is>
          <t>Vehicular + caminata &lt;30 min</t>
        </is>
      </c>
      <c r="E45" s="8" t="n"/>
      <c r="F45" s="8" t="n"/>
    </row>
    <row r="47" ht="18" customHeight="1">
      <c r="A47" s="5" t="inlineStr">
        <is>
          <t>6. SÍNTESIS PARA LA GESTIÓN DEL RIESGO EN CONTEXTO DE CAMBIO CLIMÁTICO</t>
        </is>
      </c>
    </row>
    <row r="48">
      <c r="A48" s="6" t="inlineStr">
        <is>
          <t>Causa subyacente principal</t>
        </is>
      </c>
      <c r="B48" s="7" t="inlineStr">
        <is>
          <t>Presión de pastoreo extensivo sin manejo sobre un bosque seco frágil, agravada por la estacionalidad climática</t>
        </is>
      </c>
      <c r="C48" s="6" t="inlineStr">
        <is>
          <t>Velocidad de degradación</t>
        </is>
      </c>
      <c r="D48" s="7" t="inlineStr">
        <is>
          <t>Moderada</t>
        </is>
      </c>
      <c r="E48" s="8" t="n"/>
      <c r="F48" s="8" t="n"/>
    </row>
    <row r="49">
      <c r="A49" s="6" t="inlineStr">
        <is>
          <t>Reversibilidad técnica</t>
        </is>
      </c>
      <c r="B49" s="7" t="inlineStr">
        <is>
          <t>Parcialmente reversible</t>
        </is>
      </c>
      <c r="C49" s="6" t="inlineStr">
        <is>
          <t>Urgencia de intervención</t>
        </is>
      </c>
      <c r="D49" s="7" t="inlineStr">
        <is>
          <t>Media</t>
        </is>
      </c>
      <c r="E49" s="8" t="n"/>
      <c r="F49" s="8" t="n"/>
    </row>
    <row r="50">
      <c r="A50" s="6" t="inlineStr">
        <is>
          <t>Urgencia de control de erosión</t>
        </is>
      </c>
      <c r="B50" s="7" t="inlineStr">
        <is>
          <t>Media</t>
        </is>
      </c>
      <c r="C50" s="6" t="inlineStr">
        <is>
          <t>Zona de recarga hídrica</t>
        </is>
      </c>
      <c r="D50" s="7" t="inlineStr">
        <is>
          <t>Sí</t>
        </is>
      </c>
      <c r="E50" s="8" t="n"/>
      <c r="F50" s="8" t="n"/>
    </row>
    <row r="51">
      <c r="A51" s="6" t="inlineStr">
        <is>
          <t>Peligro integrado preliminar (MCA-AHP)</t>
        </is>
      </c>
      <c r="B51" s="7" t="inlineStr">
        <is>
          <t>No disponible en los insumos; debe tomarse del modelamiento de mesolocalización</t>
        </is>
      </c>
      <c r="C51" s="6" t="inlineStr">
        <is>
          <t>Prioridad de intervención</t>
        </is>
      </c>
      <c r="D51" s="7" t="inlineStr">
        <is>
          <t>Por definir en mesolocalización</t>
        </is>
      </c>
      <c r="E51" s="8" t="n"/>
      <c r="F51" s="8" t="n"/>
    </row>
    <row r="52">
      <c r="A52" s="6" t="inlineStr">
        <is>
          <t>Estado de verificación de campo</t>
        </is>
      </c>
      <c r="B52" s="7" t="inlineStr">
        <is>
          <t>VERIFICADO</t>
        </is>
      </c>
      <c r="C52" s="6" t="inlineStr">
        <is>
          <t>Marco del indicador de brecha</t>
        </is>
      </c>
      <c r="D52" s="7" t="inlineStr">
        <is>
          <t>R.M. N.° 00213-2024-MINAM</t>
        </is>
      </c>
      <c r="E52" s="8" t="n"/>
      <c r="F52" s="8" t="n"/>
    </row>
    <row r="54" ht="72" customHeight="1">
      <c r="A54"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row>
  </sheetData>
  <mergeCells count="13">
    <mergeCell ref="A2:F2"/>
    <mergeCell ref="A54:F54"/>
    <mergeCell ref="A47:F47"/>
    <mergeCell ref="A1:F1"/>
    <mergeCell ref="A5:F5"/>
    <mergeCell ref="A32:F32"/>
    <mergeCell ref="A27:F27"/>
    <mergeCell ref="A8:F8"/>
    <mergeCell ref="A6:F6"/>
    <mergeCell ref="A40:F40"/>
    <mergeCell ref="A18:F18"/>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8"/>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M6B2-3</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1" t="inlineStr">
        <is>
          <t>Por determinar</t>
        </is>
      </c>
      <c r="C10" s="11" t="inlineStr">
        <is>
          <t>Por determinar</t>
        </is>
      </c>
      <c r="D10" s="11" t="inlineStr">
        <is>
          <t>Vigor alto</t>
        </is>
      </c>
      <c r="E10" s="11" t="inlineStr">
        <is>
          <t>Sobre umbral</t>
        </is>
      </c>
    </row>
    <row r="11">
      <c r="A11" s="12" t="inlineStr">
        <is>
          <t>0.4976 - 0.6139</t>
        </is>
      </c>
      <c r="B11" s="13" t="inlineStr">
        <is>
          <t>Por determinar</t>
        </is>
      </c>
      <c r="C11" s="13" t="inlineStr">
        <is>
          <t>Por determinar</t>
        </is>
      </c>
      <c r="D11" s="13" t="inlineStr">
        <is>
          <t>Vigor moderado</t>
        </is>
      </c>
      <c r="E11" s="13" t="inlineStr">
        <is>
          <t>Sobre umbral</t>
        </is>
      </c>
    </row>
    <row r="12">
      <c r="A12" s="14" t="inlineStr">
        <is>
          <t>0.3813 - 0.4976</t>
        </is>
      </c>
      <c r="B12" s="15" t="inlineStr">
        <is>
          <t>Por determinar</t>
        </is>
      </c>
      <c r="C12" s="15" t="inlineStr">
        <is>
          <t>Por determinar</t>
        </is>
      </c>
      <c r="D12" s="15" t="inlineStr">
        <is>
          <t>Vigor bajo</t>
        </is>
      </c>
      <c r="E12" s="15" t="inlineStr">
        <is>
          <t>BAJO umbral 0.4976</t>
        </is>
      </c>
    </row>
    <row r="13">
      <c r="A13" s="12" t="inlineStr">
        <is>
          <t>0.2650 - 0.3813</t>
        </is>
      </c>
      <c r="B13" s="13" t="inlineStr">
        <is>
          <t>Por determinar</t>
        </is>
      </c>
      <c r="C13" s="13" t="inlineStr">
        <is>
          <t>Por determinar</t>
        </is>
      </c>
      <c r="D13" s="13" t="inlineStr">
        <is>
          <t>Vigor muy bajo</t>
        </is>
      </c>
      <c r="E13" s="13" t="inlineStr">
        <is>
          <t>BAJO umbral 0.4976</t>
        </is>
      </c>
    </row>
    <row r="14">
      <c r="A14" s="7" t="inlineStr">
        <is>
          <t>&lt;= 0.2650</t>
        </is>
      </c>
      <c r="B14" s="11" t="inlineStr">
        <is>
          <t>Por determinar</t>
        </is>
      </c>
      <c r="C14" s="11" t="inlineStr">
        <is>
          <t>Por determinar</t>
        </is>
      </c>
      <c r="D14" s="11" t="inlineStr">
        <is>
          <t>Suelo desnudo / no vegetal</t>
        </is>
      </c>
      <c r="E14" s="11" t="inlineStr">
        <is>
          <t>BAJO umbral 0.4976</t>
        </is>
      </c>
    </row>
    <row r="15">
      <c r="A15" s="16" t="inlineStr">
        <is>
          <t>MSAVI 2024 — MEDIA DEL BLOQUE</t>
        </is>
      </c>
      <c r="B15" s="17" t="n">
        <v>0.406259</v>
      </c>
      <c r="C15" s="17" t="inlineStr">
        <is>
          <t>—</t>
        </is>
      </c>
      <c r="D15" s="17" t="inlineStr">
        <is>
          <t>Vigor bajo · clase 0.3813 - 0.4976</t>
        </is>
      </c>
      <c r="E15" s="17" t="inlineStr">
        <is>
          <t>BAJO umbral 0.4976</t>
        </is>
      </c>
    </row>
    <row r="17" ht="72" customHeight="1">
      <c r="A17" s="9" t="inlineStr">
        <is>
          <t>NOTA METODOLÓGICA. La media del MSAVI 2024 del bloque (0.406259) procede del catálogo maestro de bloques V5/V6 y es dato oficial. La DISTRIBUCIÓN AREAL por clase de MSAVI no está disponible como estadística zonal en los insumos de este entregable: se consigna «Por determinar» y NO se estima, conforme a la declaración de integridad de datos del proyecto. La fila resaltada indica la clase en la que cae la media del bloque. Para el dimensionamiento de metas físicas debe ejecutarse estadística zonal directa sobre el ráster MSAVI 2024 recortado al polígono.</t>
        </is>
      </c>
    </row>
    <row r="19" ht="18" customHeight="1">
      <c r="A19" s="5" t="inlineStr">
        <is>
          <t>B. NDVI MEDIANA 2025 — DISTRIBUCIÓN AREAL (ESTADÍSTICA ZONAL)</t>
        </is>
      </c>
    </row>
    <row r="20" ht="28" customHeight="1">
      <c r="A20" s="10" t="inlineStr">
        <is>
          <t>Clase NDVI</t>
        </is>
      </c>
      <c r="B20" s="10" t="inlineStr">
        <is>
          <t>Superficie (ha)</t>
        </is>
      </c>
      <c r="C20" s="10" t="inlineStr">
        <is>
          <t>% del área clasificada</t>
        </is>
      </c>
      <c r="D20" s="10" t="inlineStr">
        <is>
          <t>Interpretación</t>
        </is>
      </c>
      <c r="E20" s="10" t="inlineStr">
        <is>
          <t>Observación</t>
        </is>
      </c>
    </row>
    <row r="21">
      <c r="A21" s="7" t="inlineStr">
        <is>
          <t>Vegetación alta</t>
        </is>
      </c>
      <c r="B21" s="18" t="n">
        <v>7.9284</v>
      </c>
      <c r="C21" s="19" t="n">
        <v>4.92</v>
      </c>
      <c r="D21" s="11" t="inlineStr">
        <is>
          <t>Dosel continuo, matorral denso o mosaico agroforestal</t>
        </is>
      </c>
      <c r="E21" s="11" t="inlineStr"/>
    </row>
    <row r="22">
      <c r="A22" s="12" t="inlineStr">
        <is>
          <t>Vegetación mediana</t>
        </is>
      </c>
      <c r="B22" s="20" t="n">
        <v>97.033</v>
      </c>
      <c r="C22" s="21" t="n">
        <v>60.25</v>
      </c>
      <c r="D22" s="13" t="inlineStr">
        <is>
          <t>Pastizal cultivado, matorral ralo, parcelas agrícolas</t>
        </is>
      </c>
      <c r="E22" s="13" t="inlineStr"/>
    </row>
    <row r="23">
      <c r="A23" s="7" t="inlineStr">
        <is>
          <t>Vegetación ligera</t>
        </is>
      </c>
      <c r="B23" s="18" t="n">
        <v>55.2152</v>
      </c>
      <c r="C23" s="19" t="n">
        <v>34.28</v>
      </c>
      <c r="D23" s="11" t="inlineStr">
        <is>
          <t>Cobertura discontinua, suelo parcialmente expuesto</t>
        </is>
      </c>
      <c r="E23" s="11" t="inlineStr"/>
    </row>
    <row r="24">
      <c r="A24" s="12" t="inlineStr">
        <is>
          <t>Tierra desnuda</t>
        </is>
      </c>
      <c r="B24" s="20" t="n">
        <v>0.8812</v>
      </c>
      <c r="C24" s="21" t="n">
        <v>0.55</v>
      </c>
      <c r="D24" s="13" t="inlineStr">
        <is>
          <t>Suelo desnudo, afloramientos, plataformas y taludes</t>
        </is>
      </c>
      <c r="E24" s="13" t="inlineStr"/>
    </row>
    <row r="25">
      <c r="A25" s="16" t="inlineStr">
        <is>
          <t>TOTAL CLASIFICADO</t>
        </is>
      </c>
      <c r="B25" s="22">
        <f>SUM(B21:B24)</f>
        <v/>
      </c>
      <c r="C25" s="23">
        <f>SUM(C21:C24)</f>
        <v/>
      </c>
      <c r="D25" s="17" t="inlineStr"/>
      <c r="E25" s="17" t="inlineStr"/>
    </row>
    <row r="26">
      <c r="A26" s="24" t="inlineStr">
        <is>
          <t>Superficie de catálogo (V5/V6)</t>
        </is>
      </c>
      <c r="B26" s="25" t="n">
        <v>160.98</v>
      </c>
      <c r="C26" s="25" t="inlineStr">
        <is>
          <t>—</t>
        </is>
      </c>
      <c r="D26" s="25" t="inlineStr">
        <is>
          <t>Desviación planimétrica frente al catálogo</t>
        </is>
      </c>
      <c r="E26" s="25" t="inlineStr">
        <is>
          <t>+0.05 %</t>
        </is>
      </c>
    </row>
    <row r="28" ht="72" customHeight="1">
      <c r="A28"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t>
        </is>
      </c>
    </row>
  </sheetData>
  <mergeCells count="10">
    <mergeCell ref="A4:E4"/>
    <mergeCell ref="A2:E2"/>
    <mergeCell ref="A28:E28"/>
    <mergeCell ref="A19:E19"/>
    <mergeCell ref="A1:E1"/>
    <mergeCell ref="A5:E5"/>
    <mergeCell ref="A8:E8"/>
    <mergeCell ref="A6:E6"/>
    <mergeCell ref="A17:E1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8"/>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M6B2-3</t>
        </is>
      </c>
    </row>
    <row r="6" ht="24" customHeight="1">
      <c r="A6" s="4" t="inlineStr">
        <is>
          <t>Levantamiento del 2026-05-18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611500</v>
      </c>
      <c r="D10" s="26" t="n">
        <v>9419250</v>
      </c>
      <c r="E10" s="11" t="n">
        <v>196.5</v>
      </c>
      <c r="F10" s="11" t="inlineStr"/>
      <c r="G10" s="11" t="inlineStr">
        <is>
          <t>Coordenada consignada en F-DT-01</t>
        </is>
      </c>
    </row>
    <row r="11">
      <c r="A11" s="12" t="inlineStr">
        <is>
          <t>H-01</t>
        </is>
      </c>
      <c r="B11" s="13" t="inlineStr">
        <is>
          <t>Fuente de agua — Quebrada estacional</t>
        </is>
      </c>
      <c r="C11" s="27" t="n">
        <v>611200</v>
      </c>
      <c r="D11" s="27" t="n">
        <v>9419600</v>
      </c>
      <c r="E11" s="13" t="n">
        <v>342.5</v>
      </c>
      <c r="F11" s="13" t="inlineStr">
        <is>
          <t>Intermitente</t>
        </is>
      </c>
      <c r="G11" s="13" t="inlineStr">
        <is>
          <t>Cauce central del bloque</t>
        </is>
      </c>
    </row>
    <row r="12">
      <c r="A12" s="7" t="inlineStr">
        <is>
          <t>H-02</t>
        </is>
      </c>
      <c r="B12" s="11" t="inlineStr">
        <is>
          <t>Fuente de agua — Quebrada estacional</t>
        </is>
      </c>
      <c r="C12" s="26" t="n">
        <v>611600</v>
      </c>
      <c r="D12" s="26" t="n">
        <v>9419750</v>
      </c>
      <c r="E12" s="11" t="n">
        <v>560</v>
      </c>
      <c r="F12" s="11" t="inlineStr">
        <is>
          <t>Intermitente</t>
        </is>
      </c>
      <c r="G12" s="11" t="inlineStr">
        <is>
          <t>Drenaje secundario en el sector NE</t>
        </is>
      </c>
    </row>
    <row r="13">
      <c r="A13" s="16" t="inlineStr">
        <is>
          <t>TOTAL: 3 puntos</t>
        </is>
      </c>
      <c r="B13" s="17" t="inlineStr"/>
      <c r="C13" s="17" t="inlineStr"/>
      <c r="D13" s="17" t="inlineStr"/>
      <c r="E13" s="17" t="inlineStr"/>
      <c r="F13" s="17" t="inlineStr"/>
      <c r="G13" s="17" t="inlineStr"/>
    </row>
    <row r="15">
      <c r="A15" s="6" t="inlineStr">
        <is>
          <t>Centroide del bloque — UTM ESTE (m)</t>
        </is>
      </c>
      <c r="B15" s="7" t="n">
        <v>611305</v>
      </c>
      <c r="C15" s="6" t="inlineStr">
        <is>
          <t>Centroide del bloque — UTM NORTE (m)</t>
        </is>
      </c>
      <c r="D15" s="7" t="n">
        <v>9419274</v>
      </c>
      <c r="E15" s="8" t="n"/>
      <c r="F15" s="8" t="n"/>
      <c r="G15" s="8" t="n"/>
      <c r="H15" s="8" t="n"/>
    </row>
    <row r="16">
      <c r="A16" s="6" t="inlineStr">
        <is>
          <t>N.° de estaciones fotográficas declaradas</t>
        </is>
      </c>
      <c r="B16" s="7" t="n">
        <v>0</v>
      </c>
      <c r="C16" s="6" t="inlineStr">
        <is>
          <t>Estaciones dentro del polígono</t>
        </is>
      </c>
      <c r="D16" s="7" t="n">
        <v>0</v>
      </c>
      <c r="E16" s="8" t="n"/>
      <c r="F16" s="8" t="n"/>
      <c r="G16" s="8" t="n"/>
      <c r="H16" s="8" t="n"/>
    </row>
    <row r="18" ht="144" customHeight="1">
      <c r="A18"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ACCESO AL BLOQUE DIFICULTOSO desde la capital distrital de Buenos Aires; ruta viable identificada por el Caserío Pedregal (NE), ATRAVESANDO PREDIOS CERCADOS CON AUTORIZACIÓN PREVIA DE TITULARES. LA PARTE ALTA (relictos de bosque seco mejor conservado, &gt;450 msnm) NO FUE ACCESIBLE por pendiente &gt;40% y ausencia de senderos. CONSISTENCIA: microcuenca y área se autocompletan desde Bloques V4 (C1077-Q9566; 160.98 ha); EL DATO PRELIMINAR DE CAMPO REGISTRABA «M6» Y 214.6 ha. Coordenadas = punto de muestreo (611 500 E · 9 419 250 N); centroide maestro 611 305 E · 9 419 274 N. POR VERIFICAR: escarpes activos, reptación de suelo (indicios no concluyentes) y evidencia de deslizamientos antiguos.</t>
        </is>
      </c>
    </row>
  </sheetData>
  <mergeCells count="8">
    <mergeCell ref="A1:G1"/>
    <mergeCell ref="A18:G18"/>
    <mergeCell ref="A8:G8"/>
    <mergeCell ref="A3:G3"/>
    <mergeCell ref="A6:G6"/>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9"/>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C1077-Q9566 — BLOQUE M6B2-3</t>
        </is>
      </c>
    </row>
    <row r="6" ht="24" customHeight="1">
      <c r="A6" s="4" t="inlineStr">
        <is>
          <t>Distrito de Buenos Aires · Provincia de Morropon · Comparación de los bloques preliminares de intervención de la misma microcuenca</t>
        </is>
      </c>
    </row>
    <row r="8" ht="18" customHeight="1">
      <c r="A8" s="5" t="inlineStr">
        <is>
          <t>BLOQUES DE LA MICROCUENCA C1077-Q9566</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M6B2-1</t>
        </is>
      </c>
      <c r="B10" s="28" t="n">
        <v>514.36</v>
      </c>
      <c r="C10" s="19" t="n">
        <v>33.1</v>
      </c>
      <c r="D10" s="11" t="inlineStr">
        <is>
          <t>181 – 504</t>
        </is>
      </c>
      <c r="E10" s="11" t="n">
        <v>323</v>
      </c>
      <c r="F10" s="11" t="n">
        <v>16.84</v>
      </c>
      <c r="G10" s="18" t="n">
        <v>0.3381</v>
      </c>
      <c r="H10" s="19" t="n">
        <v>0.98</v>
      </c>
    </row>
    <row r="11">
      <c r="A11" s="12" t="inlineStr">
        <is>
          <t>M6B2-2</t>
        </is>
      </c>
      <c r="B11" s="29" t="n">
        <v>333.01</v>
      </c>
      <c r="C11" s="21" t="n">
        <v>21.43</v>
      </c>
      <c r="D11" s="13" t="inlineStr">
        <is>
          <t>195 – 440</t>
        </is>
      </c>
      <c r="E11" s="13" t="n">
        <v>245</v>
      </c>
      <c r="F11" s="13" t="n">
        <v>14.33</v>
      </c>
      <c r="G11" s="20" t="n">
        <v>0.3026</v>
      </c>
      <c r="H11" s="21" t="n">
        <v>0.68</v>
      </c>
    </row>
    <row r="12">
      <c r="A12" s="7" t="inlineStr">
        <is>
          <t>5</t>
        </is>
      </c>
      <c r="B12" s="28" t="n">
        <v>295.73</v>
      </c>
      <c r="C12" s="19" t="n">
        <v>19.03</v>
      </c>
      <c r="D12" s="11" t="inlineStr">
        <is>
          <t>150 – 377</t>
        </is>
      </c>
      <c r="E12" s="11" t="n">
        <v>227</v>
      </c>
      <c r="F12" s="11" t="n">
        <v>18.57</v>
      </c>
      <c r="G12" s="18" t="n">
        <v>0.3394</v>
      </c>
      <c r="H12" s="19" t="n">
        <v>5.59</v>
      </c>
    </row>
    <row r="13">
      <c r="A13" s="12" t="inlineStr">
        <is>
          <t>M6B10</t>
        </is>
      </c>
      <c r="B13" s="29" t="n">
        <v>249.89</v>
      </c>
      <c r="C13" s="21" t="n">
        <v>16.08</v>
      </c>
      <c r="D13" s="13" t="inlineStr">
        <is>
          <t>158 – 537</t>
        </is>
      </c>
      <c r="E13" s="13" t="n">
        <v>379</v>
      </c>
      <c r="F13" s="13" t="n">
        <v>20.6</v>
      </c>
      <c r="G13" s="20" t="n">
        <v>0.3099</v>
      </c>
      <c r="H13" s="21" t="n">
        <v>0.08</v>
      </c>
    </row>
    <row r="14">
      <c r="A14" s="14" t="inlineStr">
        <is>
          <t>► M6B2-3</t>
        </is>
      </c>
      <c r="B14" s="30" t="n">
        <v>160.98</v>
      </c>
      <c r="C14" s="31" t="n">
        <v>10.36</v>
      </c>
      <c r="D14" s="15" t="inlineStr">
        <is>
          <t>166 – 557</t>
        </is>
      </c>
      <c r="E14" s="15" t="n">
        <v>391</v>
      </c>
      <c r="F14" s="15" t="n">
        <v>19.78</v>
      </c>
      <c r="G14" s="32" t="n">
        <v>0.4063</v>
      </c>
      <c r="H14" s="31" t="n">
        <v>4.92</v>
      </c>
    </row>
    <row r="15">
      <c r="A15" s="16" t="inlineStr">
        <is>
          <t>TOTAL / PROMEDIO</t>
        </is>
      </c>
      <c r="B15" s="33">
        <f>SUM(B10:B14)</f>
        <v/>
      </c>
      <c r="C15" s="23">
        <f>SUM(C10:C14)</f>
        <v/>
      </c>
      <c r="D15" s="17" t="inlineStr">
        <is>
          <t>150 – 557</t>
        </is>
      </c>
      <c r="E15" s="17" t="inlineStr"/>
      <c r="F15" s="17">
        <f>ROUND(AVERAGE(F10:F14),2)</f>
        <v/>
      </c>
      <c r="G15" s="22">
        <f>ROUND(AVERAGE(G10:G14),4)</f>
        <v/>
      </c>
      <c r="H15" s="23">
        <f>ROUND(AVERAGE(H10:H14),2)</f>
        <v/>
      </c>
    </row>
    <row r="17" ht="84" customHeight="1">
      <c r="A17" s="9" t="inlineStr">
        <is>
          <t>LECTURA INTRAMICROCUENCA. El bloque M6B2-3 ocupa el puesto 5 de 5 por superficie dentro de la microcuenca C1077-Q9566 (10.36 % de las 1553.97 ha preliminares de la microcuenca). Su pendiente promedio (19.78 %, clase «15-25% (Fuert. inclinado)») es la 4.ª más baja de 5 y se sitúa por encima del promedio de la microcuenca (18.02 %). Su MSAVI 2024 (0.4063) es el 1.º de 5 y queda por encima del promedio local (0.3393). Amplitud altitudinal del bloque: 391 m (166–557 msnm). El cuadro conserva todos los bloques catalogados en la microcuenca, incluidos los descartados en el tamizaje, para referencia del conjunto. Los bloques sin ficha DT figuran con sus parámetros de gabinete.</t>
        </is>
      </c>
    </row>
    <row r="19" ht="60" customHeight="1">
      <c r="A19"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row>
  </sheetData>
  <mergeCells count="9">
    <mergeCell ref="A1:H1"/>
    <mergeCell ref="A4:H4"/>
    <mergeCell ref="A3:H3"/>
    <mergeCell ref="A2:H2"/>
    <mergeCell ref="A19:H19"/>
    <mergeCell ref="A5:H5"/>
    <mergeCell ref="A8:H8"/>
    <mergeCell ref="A6:H6"/>
    <mergeCell ref="A17:H1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0"/>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M6B2-3</t>
        </is>
      </c>
    </row>
    <row r="6" ht="24" customHeight="1">
      <c r="A6" s="4" t="inlineStr">
        <is>
          <t>Discrepancias detectadas entre el registro de campo, los productos de gabinete y el catálogo maestro. Calificación: SUSTANTIVA / NO SUSTANTIVA / CORREGIDO / CONFORME.</t>
        </is>
      </c>
    </row>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«C1077-Q9566»</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196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(161.058 ha) coincide con la de catálogo (160.98 ha) dentro del ±2 % (+0.05 %)</t>
        </is>
      </c>
      <c r="D12" s="35" t="inlineStr">
        <is>
          <t>CONFORME</t>
        </is>
      </c>
      <c r="E12" s="34" t="inlineStr">
        <is>
          <t>Sin acción: la segmentación valida la geometría del bloque.</t>
        </is>
      </c>
    </row>
    <row r="13" ht="48" customHeight="1">
      <c r="A13" s="36" t="inlineStr">
        <is>
          <t>D-04</t>
        </is>
      </c>
      <c r="B13" s="36" t="inlineStr">
        <is>
          <t>Elenco florístico</t>
        </is>
      </c>
      <c r="C13" s="36" t="inlineStr">
        <is>
          <t>La ficha registra 12 taxones, por debajo del mínimo de 15 que exige el formato V5</t>
        </is>
      </c>
      <c r="D13" s="37" t="inlineStr">
        <is>
          <t>SUSTANTIVA</t>
        </is>
      </c>
      <c r="E13" s="36" t="inlineStr">
        <is>
          <t>Registro florístico preliminar, sin colecta ni determinación botánica formal. Debe cerrarse con colecta botánica en la siguiente campaña.</t>
        </is>
      </c>
    </row>
    <row r="14" ht="48" customHeight="1">
      <c r="A14" s="34" t="inlineStr">
        <is>
          <t>D-05</t>
        </is>
      </c>
      <c r="B14" s="34" t="inlineStr">
        <is>
          <t>Representatividad del levantamiento</t>
        </is>
      </c>
      <c r="C14" s="34" t="inlineStr">
        <is>
          <t>Ninguna de las estaciones fotográficas georreferenciadas se localiza dentro del polígono del bloque</t>
        </is>
      </c>
      <c r="D14" s="37" t="inlineStr">
        <is>
          <t>SUSTANTIVA</t>
        </is>
      </c>
      <c r="E14" s="34" t="inlineStr">
        <is>
          <t>La verificación documenta el perímetro y la vista panorámica del bloque, no su interior. Los parámetros que exigen recorrido interno se consignan «Por determinar».</t>
        </is>
      </c>
    </row>
    <row r="15" ht="48" customHeight="1">
      <c r="A15" s="36" t="inlineStr">
        <is>
          <t>D-06</t>
        </is>
      </c>
      <c r="B15" s="36" t="inlineStr">
        <is>
          <t>Centro poblado asociado</t>
        </is>
      </c>
      <c r="C15" s="36" t="inlineStr">
        <is>
          <t>La ficha DT declara «Caserío Pedregal»; el cruce INEI-Bloques V5 identifica 2 centro(s) poblado(s) en el bloque: PEDREGAL, PUEBLO NUEVO</t>
        </is>
      </c>
      <c r="D15" s="35" t="inlineStr">
        <is>
          <t>CONFORME</t>
        </is>
      </c>
      <c r="E15" s="36" t="inlineStr">
        <is>
          <t>Se conserva el registro de campo como referencia y se adopta el listado INEI para el diagnóstico social y el cálculo de población beneficiaria.</t>
        </is>
      </c>
    </row>
    <row r="16" ht="48" customHeight="1">
      <c r="A16" s="34" t="inlineStr">
        <is>
          <t>D-07</t>
        </is>
      </c>
      <c r="B16" s="34" t="inlineStr">
        <is>
          <t>Peligro integrado (MCA-AHP)</t>
        </is>
      </c>
      <c r="C16" s="34" t="inlineStr">
        <is>
          <t>El nivel de peligro integrado no está disponible en los insumos de este entregable</t>
        </is>
      </c>
      <c r="D16" s="37" t="inlineStr">
        <is>
          <t>SUSTANTIVA</t>
        </is>
      </c>
      <c r="E16" s="34" t="inlineStr">
        <is>
          <t>Debe tomarse del modelamiento de mesolocalización (PMM + EPH + PGI ponderados por AHP) antes de fijar la prioridad definitiva de intervención del bloque.</t>
        </is>
      </c>
    </row>
    <row r="17" ht="48" customHeight="1">
      <c r="A17" s="36" t="inlineStr">
        <is>
          <t>D-08</t>
        </is>
      </c>
      <c r="B17" s="36" t="inlineStr">
        <is>
          <t>Plan de Ingreso</t>
        </is>
      </c>
      <c r="C17" s="36" t="inlineStr">
        <is>
          <t>Altitud = 0 msnm (captura por defecto del aplicativo)</t>
        </is>
      </c>
      <c r="D17" s="38" t="inlineStr">
        <is>
          <t>CORREGIDO</t>
        </is>
      </c>
      <c r="E17" s="36" t="inlineStr">
        <is>
          <t>Se reemplaza por la altitud GPS de campo (340 msnm)</t>
        </is>
      </c>
    </row>
    <row r="18" ht="48" customHeight="1">
      <c r="A18" s="34" t="inlineStr">
        <is>
          <t>D-09</t>
        </is>
      </c>
      <c r="B18" s="34" t="inlineStr">
        <is>
          <t>F-DT-01</t>
        </is>
      </c>
      <c r="C18" s="34" t="inlineStr">
        <is>
          <t>El dato preliminar de campo registraba «M6» y 214.6 ha frente a C1077-Q9566 y 160.98 ha del catálogo</t>
        </is>
      </c>
      <c r="D18" s="15" t="inlineStr">
        <is>
          <t>NO SUSTANTIVA</t>
        </is>
      </c>
      <c r="E18" s="34" t="inlineStr">
        <is>
          <t>Se conserva el valor del catálogo; declarado en la propia ficha</t>
        </is>
      </c>
    </row>
    <row r="19" ht="48" customHeight="1">
      <c r="A19" s="36" t="inlineStr">
        <is>
          <t>D-10</t>
        </is>
      </c>
      <c r="B19" s="36" t="inlineStr">
        <is>
          <t>F-DT-01</t>
        </is>
      </c>
      <c r="C19" s="36" t="inlineStr">
        <is>
          <t>La parte alta (&gt;450 msnm), con los relictos de bosque mejor conservados, NO fue accesible</t>
        </is>
      </c>
      <c r="D19" s="37" t="inlineStr">
        <is>
          <t>SUSTANTIVA</t>
        </is>
      </c>
      <c r="E19" s="36" t="inlineStr">
        <is>
          <t>Caracterización del sector alto pendiente</t>
        </is>
      </c>
    </row>
    <row r="20" ht="48" customHeight="1">
      <c r="A20" s="34" t="inlineStr">
        <is>
          <t>D-11</t>
        </is>
      </c>
      <c r="B20" s="34" t="inlineStr">
        <is>
          <t>F-DT-01</t>
        </is>
      </c>
      <c r="C20" s="34" t="inlineStr">
        <is>
          <t>Escarpes activos, reptación y deslizamientos antiguos con indicios no concluyentes</t>
        </is>
      </c>
      <c r="D20" s="37" t="inlineStr">
        <is>
          <t>SUSTANTIVA</t>
        </is>
      </c>
      <c r="E20" s="34" t="inlineStr">
        <is>
          <t>Verificación pendiente</t>
        </is>
      </c>
    </row>
    <row r="21" ht="48" customHeight="1">
      <c r="A21" s="36" t="inlineStr">
        <is>
          <t>D-12</t>
        </is>
      </c>
      <c r="B21" s="36" t="inlineStr">
        <is>
          <t>F-DT-03</t>
        </is>
      </c>
      <c r="C21" s="36" t="inlineStr">
        <is>
          <t>Inventario florístico preliminar (12 especies) sin colecta ni confirmación de herbario</t>
        </is>
      </c>
      <c r="D21" s="37" t="inlineStr">
        <is>
          <t>SUSTANTIVA</t>
        </is>
      </c>
      <c r="E21" s="36" t="inlineStr">
        <is>
          <t>Determinación botánica pendiente</t>
        </is>
      </c>
    </row>
    <row r="22" ht="48" customHeight="1">
      <c r="A22" s="34" t="inlineStr">
        <is>
          <t>D-13</t>
        </is>
      </c>
      <c r="B22" s="34" t="inlineStr">
        <is>
          <t>F-DT-03</t>
        </is>
      </c>
      <c r="C22" s="34" t="inlineStr">
        <is>
          <t>La mayoría de parámetros estructurales se expresan como rangos y no como valores puntuales</t>
        </is>
      </c>
      <c r="D22" s="15" t="inlineStr">
        <is>
          <t>NO SUSTANTIVA</t>
        </is>
      </c>
      <c r="E22" s="34" t="inlineStr">
        <is>
          <t>Normalizar el registro</t>
        </is>
      </c>
    </row>
    <row r="23" ht="48" customHeight="1">
      <c r="A23" s="36" t="inlineStr">
        <is>
          <t>D-14</t>
        </is>
      </c>
      <c r="B23" s="36" t="inlineStr">
        <is>
          <t>F-DT-04</t>
        </is>
      </c>
      <c r="C23" s="36" t="inlineStr">
        <is>
          <t>Cobertura vegetal total 55-85% calificada «Bajo», incompatible con el umbral de la propia ficha</t>
        </is>
      </c>
      <c r="D23" s="37" t="inlineStr">
        <is>
          <t>SUSTANTIVA</t>
        </is>
      </c>
      <c r="E23" s="36" t="inlineStr">
        <is>
          <t>Recalificar</t>
        </is>
      </c>
    </row>
    <row r="24" ht="48" customHeight="1">
      <c r="A24" s="34" t="inlineStr">
        <is>
          <t>D-15</t>
        </is>
      </c>
      <c r="B24" s="34" t="inlineStr">
        <is>
          <t>F-DT-04</t>
        </is>
      </c>
      <c r="C24" s="34" t="inlineStr">
        <is>
          <t>Carga ganadera y distancia a vía vecinal sin valor; extensiones y antigüedades de las causas sin cuantificar</t>
        </is>
      </c>
      <c r="D24" s="37" t="inlineStr">
        <is>
          <t>SUSTANTIVA</t>
        </is>
      </c>
      <c r="E24" s="34" t="inlineStr">
        <is>
          <t>Cuantificación pendiente</t>
        </is>
      </c>
    </row>
    <row r="25" ht="48" customHeight="1">
      <c r="A25" s="36" t="inlineStr">
        <is>
          <t>D-16</t>
        </is>
      </c>
      <c r="B25" s="36" t="inlineStr">
        <is>
          <t>F-DT-05</t>
        </is>
      </c>
      <c r="C25" s="36" t="inlineStr">
        <is>
          <t>Predios privados cercados que requieren autorización de titulares para el ingreso</t>
        </is>
      </c>
      <c r="D25" s="37" t="inlineStr">
        <is>
          <t>SUSTANTIVA</t>
        </is>
      </c>
      <c r="E25" s="36" t="inlineStr">
        <is>
          <t>Gestión predial previa indispensable</t>
        </is>
      </c>
    </row>
    <row r="26" ht="48" customHeight="1">
      <c r="A26" s="34" t="inlineStr">
        <is>
          <t>D-17</t>
        </is>
      </c>
      <c r="B26" s="34" t="inlineStr">
        <is>
          <t>F-DT-05</t>
        </is>
      </c>
      <c r="C26" s="34" t="inlineStr">
        <is>
          <t>La quebrada central drena hacia el Caserío Pedregal y la planicie agrícola: conectividad de riesgo ALTA</t>
        </is>
      </c>
      <c r="D26" s="37" t="inlineStr">
        <is>
          <t>SUSTANTIVA</t>
        </is>
      </c>
      <c r="E26" s="34" t="inlineStr">
        <is>
          <t>Elemento expuesto: incorporar al análisis de riesgo</t>
        </is>
      </c>
    </row>
    <row r="28">
      <c r="A28" s="16" t="inlineStr">
        <is>
          <t>RESUMEN</t>
        </is>
      </c>
      <c r="B28" s="17" t="inlineStr">
        <is>
          <t>17 verificaciones</t>
        </is>
      </c>
      <c r="C28" s="17" t="inlineStr">
        <is>
          <t>CONFORME: 4 · CORREGIDO: 1 · NO SUSTANTIVA: 2 · SUSTANTIVA: 10</t>
        </is>
      </c>
      <c r="D28" s="17" t="inlineStr"/>
      <c r="E28" s="17" t="inlineStr"/>
    </row>
    <row r="30" ht="60" customHeight="1">
      <c r="A30"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row>
  </sheetData>
  <mergeCells count="8">
    <mergeCell ref="A30:E30"/>
    <mergeCell ref="A4:E4"/>
    <mergeCell ref="A2:E2"/>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M6B2-3 — IN Piura</dc:title>
  <dc:subject>Diagnóstico Territorial por bloque de intervención</dc:subject>
  <dcterms:created xsi:type="dcterms:W3CDTF">2026-09-08T03:39:54Z</dcterms:created>
  <dcterms:modified xsi:type="dcterms:W3CDTF">2026-09-08T03:39:54Z</dcterms:modified>
</cp:coreProperties>
</file>