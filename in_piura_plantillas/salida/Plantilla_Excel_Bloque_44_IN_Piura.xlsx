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44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44</t>
        </is>
      </c>
      <c r="C9" s="6" t="inlineStr">
        <is>
          <t>Microcuenca (catálogo)</t>
        </is>
      </c>
      <c r="D9" s="7" t="inlineStr">
        <is>
          <t>C1076-Q9586</t>
        </is>
      </c>
      <c r="E9" s="8" t="n"/>
      <c r="F9" s="8" t="n"/>
    </row>
    <row r="10">
      <c r="A10" s="6" t="inlineStr">
        <is>
          <t>Zona de planificación</t>
        </is>
      </c>
      <c r="B10" s="7" t="inlineStr">
        <is>
          <t>Z12</t>
        </is>
      </c>
      <c r="C10" s="6" t="inlineStr">
        <is>
          <t>Microcuenca declarada en ficha DT</t>
        </is>
      </c>
      <c r="D10" s="7" t="inlineStr">
        <is>
          <t>C1076-Q9586</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San Miguel de El Faique</t>
        </is>
      </c>
      <c r="C12" s="6" t="inlineStr">
        <is>
          <t>Capital distrital</t>
        </is>
      </c>
      <c r="D12" s="7" t="inlineStr">
        <is>
          <t>San Miguel de El Faique</t>
        </is>
      </c>
      <c r="E12" s="8" t="n"/>
      <c r="F12" s="8" t="n"/>
    </row>
    <row r="13">
      <c r="A13" s="6" t="inlineStr">
        <is>
          <t>Centro poblado asociado</t>
        </is>
      </c>
      <c r="B13" s="7" t="inlineStr">
        <is>
          <t>Cruz de Piedra</t>
        </is>
      </c>
      <c r="C13" s="6" t="inlineStr">
        <is>
          <t>Comunidad campesina</t>
        </is>
      </c>
      <c r="D13" s="7" t="inlineStr">
        <is>
          <t>Por verificar</t>
        </is>
      </c>
      <c r="E13" s="8" t="n"/>
      <c r="F13" s="8" t="n"/>
    </row>
    <row r="14">
      <c r="A14" s="6" t="inlineStr">
        <is>
          <t>Superficie de catálogo (V5/V6), ha</t>
        </is>
      </c>
      <c r="B14" s="7" t="n">
        <v>28.23</v>
      </c>
      <c r="C14" s="6" t="inlineStr">
        <is>
          <t>Fuente de superficie</t>
        </is>
      </c>
      <c r="D14" s="7" t="inlineStr">
        <is>
          <t>Catálogo maestro Bloques V5/V6</t>
        </is>
      </c>
      <c r="E14" s="8" t="n"/>
      <c r="F14" s="8" t="n"/>
    </row>
    <row r="15">
      <c r="A15" s="6" t="inlineStr">
        <is>
          <t>Centroide UTM ESTE (m)</t>
        </is>
      </c>
      <c r="B15" s="7" t="n">
        <v>663637</v>
      </c>
      <c r="C15" s="6" t="inlineStr">
        <is>
          <t>Centroide UTM NORTE (m)</t>
        </is>
      </c>
      <c r="D15" s="7" t="n">
        <v>9400618</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3091</v>
      </c>
      <c r="C19" s="6" t="inlineStr">
        <is>
          <t>Altitud máxima (msnm)</t>
        </is>
      </c>
      <c r="D19" s="7" t="n">
        <v>3277</v>
      </c>
      <c r="E19" s="8" t="n"/>
      <c r="F19" s="8" t="n"/>
    </row>
    <row r="20">
      <c r="A20" s="6" t="inlineStr">
        <is>
          <t>Amplitud altitudinal (m)</t>
        </is>
      </c>
      <c r="B20" s="7" t="n">
        <v>186</v>
      </c>
      <c r="C20" s="6" t="inlineStr">
        <is>
          <t>Piso altitudinal dominante</t>
        </is>
      </c>
      <c r="D20" s="7" t="inlineStr">
        <is>
          <t>3000-3500 m (Puna baja)</t>
        </is>
      </c>
      <c r="E20" s="8" t="n"/>
      <c r="F20" s="8" t="n"/>
    </row>
    <row r="21">
      <c r="A21" s="6" t="inlineStr">
        <is>
          <t>Pendiente promedio (%)</t>
        </is>
      </c>
      <c r="B21" s="7" t="n">
        <v>22.21</v>
      </c>
      <c r="C21" s="6" t="inlineStr">
        <is>
          <t>Pendiente promedio (grados)</t>
        </is>
      </c>
      <c r="D21" s="7" t="n">
        <v>12.5</v>
      </c>
      <c r="E21" s="8" t="n"/>
      <c r="F21" s="8" t="n"/>
    </row>
    <row r="22">
      <c r="A22" s="6" t="inlineStr">
        <is>
          <t>Clase de pendiente equivalente</t>
        </is>
      </c>
      <c r="B22" s="7" t="inlineStr">
        <is>
          <t>15-25% (Fuert. inclinado)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alta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0.5113</v>
      </c>
      <c r="C28" s="6" t="inlineStr">
        <is>
          <t>MSAVI 2024 — clase de la media</t>
        </is>
      </c>
      <c r="D28" s="7" t="inlineStr">
        <is>
          <t>0.4976 - 0.6139 (Vigor moderado)</t>
        </is>
      </c>
      <c r="E28" s="8" t="n"/>
      <c r="F28" s="8" t="n"/>
    </row>
    <row r="29">
      <c r="A29" s="6" t="inlineStr">
        <is>
          <t>Condición frente al umbral 0.4976</t>
        </is>
      </c>
      <c r="B29" s="7" t="inlineStr">
        <is>
          <t>Bajo umbral · distribución areal: 52.92 % del bloque BAJO el umbral (14.939 ha de 28.230 ha)</t>
        </is>
      </c>
      <c r="C29" s="6" t="inlineStr">
        <is>
          <t>NDVI mediana 2025 — clase modal</t>
        </is>
      </c>
      <c r="D29" s="7" t="inlineStr">
        <is>
          <t>Vegetación alta (83.85 %)</t>
        </is>
      </c>
      <c r="E29" s="8" t="n"/>
      <c r="F29" s="8" t="n"/>
    </row>
    <row r="30">
      <c r="A30" s="6" t="inlineStr">
        <is>
          <t>MSAVI 2024 — superficie BAJO el umbral 0.4976 (ha)</t>
        </is>
      </c>
      <c r="B30" s="7" t="n">
        <v>14.939</v>
      </c>
      <c r="C30" s="6" t="inlineStr">
        <is>
          <t>MSAVI 2024 — % del bloque BAJO el umbral</t>
        </is>
      </c>
      <c r="D30" s="7" t="n">
        <v>52.92</v>
      </c>
      <c r="E30" s="8" t="n"/>
      <c r="F30" s="8" t="n"/>
    </row>
    <row r="31">
      <c r="A31" s="6" t="inlineStr">
        <is>
          <t>MSAVI 2024 — clase areal dominante</t>
        </is>
      </c>
      <c r="B31" s="7" t="inlineStr">
        <is>
          <t>Vigor bajo</t>
        </is>
      </c>
      <c r="C31" s="6" t="inlineStr">
        <is>
          <t>MSAVI 2024 — fuente de la distribución areal</t>
        </is>
      </c>
      <c r="D31" s="7" t="inlineStr">
        <is>
          <t>Conteo de celdas sobre la cartografía MSAVI 2024 del bloque (44.png)</t>
        </is>
      </c>
      <c r="E31" s="8" t="n"/>
      <c r="F31" s="8" t="n"/>
    </row>
    <row r="32" ht="18" customHeight="1">
      <c r="A32" s="6" t="inlineStr">
        <is>
          <t>Superficie clasificada NDVI 2025 (ha)</t>
        </is>
      </c>
      <c r="B32" s="7" t="n">
        <v>28.238</v>
      </c>
      <c r="C32" s="6" t="inlineStr">
        <is>
          <t>Desviación frente al catálogo (%)</t>
        </is>
      </c>
      <c r="D32" s="7" t="n">
        <v>0.03</v>
      </c>
      <c r="E32" s="8" t="n"/>
      <c r="F32" s="8" t="n"/>
    </row>
    <row r="33"/>
    <row r="34">
      <c r="A34" s="5" t="inlineStr">
        <is>
          <t>4. ECOSISTEMA Y ESTADO DE CONSERVACIÓN</t>
        </is>
      </c>
    </row>
    <row r="35">
      <c r="A35" s="6" t="inlineStr">
        <is>
          <t>Tipo de ecosistema (UP)</t>
        </is>
      </c>
      <c r="B35" s="7" t="inlineStr">
        <is>
          <t>Páramo</t>
        </is>
      </c>
      <c r="C35" s="6" t="inlineStr">
        <is>
          <t>Superficie de ecosistema (ha)</t>
        </is>
      </c>
      <c r="D35" s="7" t="inlineStr">
        <is>
          <t>Páramo 26.89 ha + Matorral andino 1.34 ha = 28.23 ha</t>
        </is>
      </c>
      <c r="E35" s="8" t="n"/>
      <c r="F35" s="8" t="n"/>
    </row>
    <row r="36">
      <c r="A36" s="6" t="inlineStr">
        <is>
          <t>Estado de conservación</t>
        </is>
      </c>
      <c r="B36" s="7" t="inlineStr">
        <is>
          <t>Medianamente alterado</t>
        </is>
      </c>
      <c r="C36" s="6" t="inlineStr">
        <is>
          <t>Uso actual dominante del suelo</t>
        </is>
      </c>
      <c r="D36" s="7" t="inlineStr">
        <is>
          <t>Pastoreo extensivo</t>
        </is>
      </c>
      <c r="E36" s="8" t="n"/>
      <c r="F36" s="8" t="n"/>
    </row>
    <row r="37">
      <c r="A37" s="6" t="inlineStr">
        <is>
          <t>Tipo de cobertura dominante</t>
        </is>
      </c>
      <c r="B37" s="7" t="inlineStr">
        <is>
          <t>Pastizal natural</t>
        </is>
      </c>
      <c r="C37" s="6" t="inlineStr">
        <is>
          <t>Cobertura vegetal total — campo (%)</t>
        </is>
      </c>
      <c r="D37" s="7" t="n">
        <v>85</v>
      </c>
      <c r="E37" s="8" t="n"/>
      <c r="F37" s="8" t="n"/>
    </row>
    <row r="38">
      <c r="A38" s="6" t="inlineStr">
        <is>
          <t>Suelo desnudo — campo (%)</t>
        </is>
      </c>
      <c r="B38" s="7" t="n">
        <v>8</v>
      </c>
      <c r="C38" s="6" t="inlineStr">
        <is>
          <t>Regeneración natural</t>
        </is>
      </c>
      <c r="D38" s="7" t="inlineStr">
        <is>
          <t>No aplica (ecosistema no arbóreo)</t>
        </is>
      </c>
      <c r="E38" s="8" t="n"/>
      <c r="F38" s="8" t="n"/>
    </row>
    <row r="39">
      <c r="A39" s="6" t="inlineStr">
        <is>
          <t>Nivel general de erosión</t>
        </is>
      </c>
      <c r="B39" s="7" t="inlineStr">
        <is>
          <t>Ligera (laminar)</t>
        </is>
      </c>
      <c r="C39" s="6" t="inlineStr">
        <is>
          <t>N.° de cárcavas registradas</t>
        </is>
      </c>
      <c r="D39" s="7" t="n">
        <v>0</v>
      </c>
      <c r="E39" s="8" t="n"/>
      <c r="F39" s="8" t="n"/>
    </row>
    <row r="40" ht="18" customHeight="1">
      <c r="A40" s="6" t="inlineStr">
        <is>
          <t>Elenco florístico (n.° de taxones)</t>
        </is>
      </c>
      <c r="B40" s="7" t="n">
        <v>10</v>
      </c>
      <c r="C40" s="6" t="inlineStr">
        <is>
          <t>Estado sanitario</t>
        </is>
      </c>
      <c r="D40" s="7" t="inlineStr">
        <is>
          <t>No aplica</t>
        </is>
      </c>
      <c r="E40" s="8" t="n"/>
      <c r="F40" s="8" t="n"/>
    </row>
    <row r="41"/>
    <row r="42">
      <c r="A42" s="5" t="inlineStr">
        <is>
          <t>5. RESPONSABLE Y MODALIDAD DE LA EVALUACIÓN</t>
        </is>
      </c>
    </row>
    <row r="43">
      <c r="A43" s="6" t="inlineStr">
        <is>
          <t>Responsable de la evaluación</t>
        </is>
      </c>
      <c r="B43" s="7" t="inlineStr">
        <is>
          <t>Ing. Héctor S. Cahuas Miller</t>
        </is>
      </c>
      <c r="C43" s="6" t="inlineStr">
        <is>
          <t>Fecha de evaluación</t>
        </is>
      </c>
      <c r="D43" s="7" t="inlineStr">
        <is>
          <t>2026-07-22</t>
        </is>
      </c>
      <c r="E43" s="8" t="n"/>
      <c r="F43" s="8" t="n"/>
    </row>
    <row r="44">
      <c r="A44" s="6" t="inlineStr">
        <is>
          <t>Hora de registro</t>
        </is>
      </c>
      <c r="B44" s="7" t="inlineStr">
        <is>
          <t>15:00 - 15:24</t>
        </is>
      </c>
      <c r="C44" s="6" t="inlineStr">
        <is>
          <t>Correlativo de ficha</t>
        </is>
      </c>
      <c r="D44" s="7" t="inlineStr">
        <is>
          <t>F-DT-01/B44</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Recorrido de reconocimiento (sin parcela permanente)</t>
        </is>
      </c>
      <c r="E46" s="8" t="n"/>
      <c r="F46" s="8" t="n"/>
    </row>
    <row r="47" ht="18" customHeight="1">
      <c r="A47" s="6" t="inlineStr">
        <is>
          <t>Estaciones fotográficas georreferenciadas</t>
        </is>
      </c>
      <c r="B47" s="7" t="inlineStr">
        <is>
          <t>Sin registro en la ficha DT</t>
        </is>
      </c>
      <c r="C47" s="6" t="inlineStr">
        <is>
          <t>Modalidad de acceso</t>
        </is>
      </c>
      <c r="D47" s="7" t="inlineStr">
        <is>
          <t>Vehicular + caminata &lt;30 min</t>
        </is>
      </c>
      <c r="E47" s="8" t="n"/>
      <c r="F47" s="8" t="n"/>
    </row>
    <row r="48"/>
    <row r="49">
      <c r="A49" s="5" t="inlineStr">
        <is>
          <t>6. SÍNTESIS PARA LA GESTIÓN DEL RIESGO EN CONTEXTO DE CAMBIO CLIMÁTICO</t>
        </is>
      </c>
    </row>
    <row r="50">
      <c r="A50" s="6" t="inlineStr">
        <is>
          <t>Causa subyacente principal</t>
        </is>
      </c>
      <c r="B50" s="7" t="inlineStr">
        <is>
          <t>Ausencia de un régimen de manejo del pastizal altoandino (sin control de carga, sin rotación ni clausura)</t>
        </is>
      </c>
      <c r="C50" s="6" t="inlineStr">
        <is>
          <t>Velocidad de degradación</t>
        </is>
      </c>
      <c r="D50" s="7" t="inlineStr">
        <is>
          <t>Lenta</t>
        </is>
      </c>
      <c r="E50" s="8" t="n"/>
      <c r="F50" s="8" t="n"/>
    </row>
    <row r="51">
      <c r="A51" s="6" t="inlineStr">
        <is>
          <t>Reversibilidad técnica</t>
        </is>
      </c>
      <c r="B51" s="7" t="inlineStr">
        <is>
          <t>Parcialmente reversible</t>
        </is>
      </c>
      <c r="C51" s="6" t="inlineStr">
        <is>
          <t>Urgencia de intervención</t>
        </is>
      </c>
      <c r="D51" s="7" t="inlineStr">
        <is>
          <t>Alta</t>
        </is>
      </c>
      <c r="E51" s="8" t="n"/>
      <c r="F51" s="8" t="n"/>
    </row>
    <row r="52">
      <c r="A52" s="6" t="inlineStr">
        <is>
          <t>Urgencia de control de erosión</t>
        </is>
      </c>
      <c r="B52" s="7" t="inlineStr">
        <is>
          <t>Media</t>
        </is>
      </c>
      <c r="C52" s="6" t="inlineStr">
        <is>
          <t>Zona de recarga hídrica</t>
        </is>
      </c>
      <c r="D52" s="7" t="inlineStr">
        <is>
          <t>Sí</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7" t="n"/>
      <c r="C56" s="37" t="n"/>
      <c r="D56" s="37" t="n"/>
      <c r="E56" s="37" t="n"/>
      <c r="F56" s="38"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44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2.0862</v>
      </c>
      <c r="C10" s="19" t="n">
        <v>7.39</v>
      </c>
      <c r="D10" s="11" t="inlineStr">
        <is>
          <t>Vigor alto</t>
        </is>
      </c>
      <c r="E10" s="11" t="inlineStr">
        <is>
          <t>Sobre umbral</t>
        </is>
      </c>
    </row>
    <row r="11">
      <c r="A11" s="12" t="inlineStr">
        <is>
          <t>0.4976 - 0.6139</t>
        </is>
      </c>
      <c r="B11" s="31" t="n">
        <v>11.2045</v>
      </c>
      <c r="C11" s="30" t="n">
        <v>39.69</v>
      </c>
      <c r="D11" s="13" t="inlineStr">
        <is>
          <t>Vigor moderado</t>
        </is>
      </c>
      <c r="E11" s="13" t="inlineStr">
        <is>
          <t>Sobre umbral</t>
        </is>
      </c>
    </row>
    <row r="12">
      <c r="A12" s="7" t="inlineStr">
        <is>
          <t>0.3813 - 0.4976</t>
        </is>
      </c>
      <c r="B12" s="18" t="n">
        <v>14.9393</v>
      </c>
      <c r="C12" s="19" t="n">
        <v>52.92</v>
      </c>
      <c r="D12" s="11" t="inlineStr">
        <is>
          <t>Vigor bajo</t>
        </is>
      </c>
      <c r="E12" s="11" t="inlineStr">
        <is>
          <t>BAJO umbral 0.4976</t>
        </is>
      </c>
    </row>
    <row r="13">
      <c r="A13" s="14" t="inlineStr">
        <is>
          <t>0.2650 - 0.3813</t>
        </is>
      </c>
      <c r="B13" s="20" t="n">
        <v>0</v>
      </c>
      <c r="C13" s="21" t="n">
        <v>0</v>
      </c>
      <c r="D13" s="15" t="inlineStr">
        <is>
          <t>Vigor muy bajo</t>
        </is>
      </c>
      <c r="E13" s="15" t="inlineStr">
        <is>
          <t>BAJO umbral 0.4976</t>
        </is>
      </c>
    </row>
    <row r="14">
      <c r="A14" s="7" t="inlineStr">
        <is>
          <t>&lt;= 0.2650</t>
        </is>
      </c>
      <c r="B14" s="18" t="n">
        <v>0</v>
      </c>
      <c r="C14" s="19" t="n">
        <v>0</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0.511324</v>
      </c>
      <c r="C16" s="17" t="inlineStr">
        <is>
          <t>—</t>
        </is>
      </c>
      <c r="D16" s="17" t="inlineStr">
        <is>
          <t>Vigor moderado · clase 0.4976 - 0.6139</t>
        </is>
      </c>
      <c r="E16" s="17" t="inlineStr">
        <is>
          <t>Sobre umbral</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7" t="n"/>
      <c r="C18" s="37" t="n"/>
      <c r="D18" s="37" t="n"/>
      <c r="E18" s="38"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alta</t>
        </is>
      </c>
      <c r="B22" s="18" t="n">
        <v>23.6771</v>
      </c>
      <c r="C22" s="19" t="n">
        <v>83.84999999999999</v>
      </c>
      <c r="D22" s="11" t="inlineStr">
        <is>
          <t>Dosel continuo, matorral denso o mosaico agroforestal</t>
        </is>
      </c>
      <c r="E22" s="11" t="inlineStr"/>
    </row>
    <row r="23">
      <c r="A23" s="14" t="inlineStr">
        <is>
          <t>Vegetación mediana</t>
        </is>
      </c>
      <c r="B23" s="20" t="n">
        <v>4.5611</v>
      </c>
      <c r="C23" s="21" t="n">
        <v>16.15</v>
      </c>
      <c r="D23" s="15" t="inlineStr">
        <is>
          <t>Pastizal cultivado, matorral ralo, parcelas agrícolas</t>
        </is>
      </c>
      <c r="E23" s="15" t="inlineStr"/>
    </row>
    <row r="24">
      <c r="A24" s="16" t="inlineStr">
        <is>
          <t>TOTAL CLASIFICADO</t>
        </is>
      </c>
      <c r="B24" s="22">
        <f>SUM(B21:B22)</f>
        <v/>
      </c>
      <c r="C24" s="23">
        <f>SUM(C21:C22)</f>
        <v/>
      </c>
      <c r="D24" s="17" t="inlineStr"/>
      <c r="E24" s="17" t="inlineStr"/>
    </row>
    <row r="25">
      <c r="A25" s="24" t="inlineStr">
        <is>
          <t>Superficie de catálogo (V5/V6)</t>
        </is>
      </c>
      <c r="B25" s="25" t="n">
        <v>28.23</v>
      </c>
      <c r="C25" s="25" t="inlineStr">
        <is>
          <t>—</t>
        </is>
      </c>
      <c r="D25" s="25" t="inlineStr">
        <is>
          <t>Desviación planimétrica frente al catálogo</t>
        </is>
      </c>
      <c r="E25" s="25" t="inlineStr">
        <is>
          <t>+0.03 %</t>
        </is>
      </c>
    </row>
    <row r="26" ht="108" customHeight="1"/>
    <row r="27">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83.85 % del polígono clasificado como «Vegetación alta» por el NDVI 2025; la observación de campo corresponde a una parcela o recorrido puntual y no es estadísticamente representativa de las 28.230 ha del bloque.</t>
        </is>
      </c>
      <c r="B27" s="37" t="n"/>
      <c r="C27" s="37" t="n"/>
      <c r="D27" s="37" t="n"/>
      <c r="E27" s="38" t="n"/>
    </row>
  </sheetData>
  <mergeCells count="10">
    <mergeCell ref="A4:E4"/>
    <mergeCell ref="A20:E20"/>
    <mergeCell ref="A2:E2"/>
    <mergeCell ref="A5:E5"/>
    <mergeCell ref="A1:E1"/>
    <mergeCell ref="A8:E8"/>
    <mergeCell ref="A6:E6"/>
    <mergeCell ref="A18:E18"/>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44</t>
        </is>
      </c>
    </row>
    <row r="6" ht="24" customHeight="1">
      <c r="A6" s="4" t="inlineStr">
        <is>
          <t>Levantamiento del 2026-07-22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663790</v>
      </c>
      <c r="D10" s="26" t="n">
        <v>9400681</v>
      </c>
      <c r="E10" s="11" t="n">
        <v>165.5</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663637</v>
      </c>
      <c r="C13" s="6" t="inlineStr">
        <is>
          <t>Centroide del bloque — UTM NORTE (m)</t>
        </is>
      </c>
      <c r="D13" s="7" t="n">
        <v>9400618</v>
      </c>
      <c r="E13" s="8" t="n"/>
      <c r="F13" s="8" t="n"/>
      <c r="G13" s="8" t="n"/>
      <c r="H13" s="8" t="n"/>
    </row>
    <row r="14">
      <c r="A14" s="6" t="inlineStr">
        <is>
          <t>N.° de estaciones fotográficas declaradas</t>
        </is>
      </c>
      <c r="B14" s="7" t="inlineStr">
        <is>
          <t>Sin registro en la ficha DT</t>
        </is>
      </c>
      <c r="C14" s="6" t="inlineStr">
        <is>
          <t>Estaciones dentro del polígono</t>
        </is>
      </c>
      <c r="D14" s="7" t="inlineStr">
        <is>
          <t>Por determinar</t>
        </is>
      </c>
      <c r="E14" s="8" t="n"/>
      <c r="F14" s="8" t="n"/>
      <c r="G14" s="8" t="n"/>
      <c r="H14" s="8" t="n"/>
    </row>
    <row r="16" ht="108"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Recorrido de reconocimiento sobre el sector central-norte del bloque. La altitud GPS no fue registrada; el perfil Google Earth arroja cotas entre 3079 y 3232 msnm. La exposición «Oeste» corresponde al sector muestreado; la exposición dominante a escala de polígono queda pendiente de confirmación en GIS. Se observa REPTACIÓN expresada como terracetas de pisoteo continuas en ladera.</t>
        </is>
      </c>
      <c r="B16" s="37" t="n"/>
      <c r="C16" s="37" t="n"/>
      <c r="D16" s="37" t="n"/>
      <c r="E16" s="37" t="n"/>
      <c r="F16" s="37" t="n"/>
      <c r="G16" s="38"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1"/>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C1076-Q9586 — BLOQUE 44</t>
        </is>
      </c>
    </row>
    <row r="6" ht="24" customHeight="1">
      <c r="A6" s="4" t="inlineStr">
        <is>
          <t>Distrito de San Miguel de El Faique · Provincia de Huancabamba · Comparación de los bloques preliminares de intervención de la misma microcuenca</t>
        </is>
      </c>
    </row>
    <row r="8" ht="18" customHeight="1">
      <c r="A8" s="5" t="inlineStr">
        <is>
          <t>BLOQUES DE LA MICROCUENCA C1076-Q9586</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9</t>
        </is>
      </c>
      <c r="B10" s="27" t="n">
        <v>109.86</v>
      </c>
      <c r="C10" s="19" t="n">
        <v>40.1</v>
      </c>
      <c r="D10" s="11" t="inlineStr">
        <is>
          <t>1529 – 2264</t>
        </is>
      </c>
      <c r="E10" s="11" t="n">
        <v>735</v>
      </c>
      <c r="F10" s="11" t="n">
        <v>34.82</v>
      </c>
      <c r="G10" s="18" t="n">
        <v>0.5745</v>
      </c>
      <c r="H10" s="19" t="n">
        <v>90.23999999999999</v>
      </c>
    </row>
    <row r="11">
      <c r="A11" s="14" t="inlineStr">
        <is>
          <t>M22B1</t>
        </is>
      </c>
      <c r="B11" s="28" t="n">
        <v>55.17</v>
      </c>
      <c r="C11" s="21" t="n">
        <v>20.14</v>
      </c>
      <c r="D11" s="15" t="inlineStr">
        <is>
          <t>3216 – 3436</t>
        </is>
      </c>
      <c r="E11" s="15" t="n">
        <v>220</v>
      </c>
      <c r="F11" s="15" t="n">
        <v>19.98</v>
      </c>
      <c r="G11" s="20" t="n">
        <v>0.594</v>
      </c>
      <c r="H11" s="21" t="n">
        <v>91.05</v>
      </c>
    </row>
    <row r="12">
      <c r="A12" s="7" t="inlineStr">
        <is>
          <t>35</t>
        </is>
      </c>
      <c r="B12" s="27" t="n">
        <v>30.8</v>
      </c>
      <c r="C12" s="19" t="n">
        <v>11.24</v>
      </c>
      <c r="D12" s="11" t="inlineStr">
        <is>
          <t>1376 – 1621</t>
        </is>
      </c>
      <c r="E12" s="11" t="n">
        <v>245</v>
      </c>
      <c r="F12" s="11" t="n">
        <v>33.66</v>
      </c>
      <c r="G12" s="18" t="n">
        <v>0.6245000000000001</v>
      </c>
      <c r="H12" s="19" t="n">
        <v>98.17</v>
      </c>
    </row>
    <row r="13">
      <c r="A13" s="12" t="inlineStr">
        <is>
          <t>► 44</t>
        </is>
      </c>
      <c r="B13" s="29" t="n">
        <v>28.23</v>
      </c>
      <c r="C13" s="30" t="n">
        <v>10.3</v>
      </c>
      <c r="D13" s="13" t="inlineStr">
        <is>
          <t>3091 – 3277</t>
        </is>
      </c>
      <c r="E13" s="13" t="n">
        <v>186</v>
      </c>
      <c r="F13" s="13" t="n">
        <v>22.21</v>
      </c>
      <c r="G13" s="31" t="n">
        <v>0.5113</v>
      </c>
      <c r="H13" s="30" t="n">
        <v>83.84999999999999</v>
      </c>
    </row>
    <row r="14">
      <c r="A14" s="7" t="inlineStr">
        <is>
          <t>43</t>
        </is>
      </c>
      <c r="B14" s="27" t="n">
        <v>23.17</v>
      </c>
      <c r="C14" s="19" t="n">
        <v>8.460000000000001</v>
      </c>
      <c r="D14" s="11" t="inlineStr">
        <is>
          <t>251 – 811</t>
        </is>
      </c>
      <c r="E14" s="11" t="n">
        <v>560</v>
      </c>
      <c r="F14" s="11" t="n">
        <v>31.39</v>
      </c>
      <c r="G14" s="18" t="n">
        <v>0.5515</v>
      </c>
      <c r="H14" s="19" t="n">
        <v>78.91</v>
      </c>
    </row>
    <row r="15">
      <c r="A15" s="14" t="inlineStr">
        <is>
          <t>47</t>
        </is>
      </c>
      <c r="B15" s="28" t="n">
        <v>13.55</v>
      </c>
      <c r="C15" s="21" t="n">
        <v>4.95</v>
      </c>
      <c r="D15" s="15" t="inlineStr">
        <is>
          <t>2105 – 2333</t>
        </is>
      </c>
      <c r="E15" s="15" t="n">
        <v>228</v>
      </c>
      <c r="F15" s="15" t="n">
        <v>32.43</v>
      </c>
      <c r="G15" s="20" t="n">
        <v>0.5936</v>
      </c>
      <c r="H15" s="21" t="n">
        <v>91.26000000000001</v>
      </c>
    </row>
    <row r="16">
      <c r="A16" s="7" t="inlineStr">
        <is>
          <t>67</t>
        </is>
      </c>
      <c r="B16" s="27" t="n">
        <v>13.18</v>
      </c>
      <c r="C16" s="19" t="n">
        <v>4.81</v>
      </c>
      <c r="D16" s="11" t="inlineStr">
        <is>
          <t>1575 – 1770</t>
        </is>
      </c>
      <c r="E16" s="11" t="n">
        <v>195</v>
      </c>
      <c r="F16" s="11" t="n">
        <v>30.33</v>
      </c>
      <c r="G16" s="18" t="n">
        <v>0.6052999999999999</v>
      </c>
      <c r="H16" s="19" t="n">
        <v>97.5</v>
      </c>
    </row>
    <row r="17">
      <c r="A17" s="16" t="inlineStr">
        <is>
          <t>TOTAL / PROMEDIO</t>
        </is>
      </c>
      <c r="B17" s="32">
        <f>SUM(B10:B16)</f>
        <v/>
      </c>
      <c r="C17" s="23">
        <f>SUM(C10:C16)</f>
        <v/>
      </c>
      <c r="D17" s="17" t="inlineStr">
        <is>
          <t>251 – 3436</t>
        </is>
      </c>
      <c r="E17" s="17" t="inlineStr"/>
      <c r="F17" s="17">
        <f>ROUND(AVERAGE(F10:F16),2)</f>
        <v/>
      </c>
      <c r="G17" s="22">
        <f>ROUND(AVERAGE(G10:G16),4)</f>
        <v/>
      </c>
      <c r="H17" s="23">
        <f>ROUND(AVERAGE(H10:H16),2)</f>
        <v/>
      </c>
    </row>
    <row r="19" ht="84" customHeight="1">
      <c r="A19" s="9" t="inlineStr">
        <is>
          <t>LECTURA INTRAMICROCUENCA. El bloque 44 ocupa el puesto 4 de 7 por superficie dentro de la microcuenca C1076-Q9586 (10.30 % de las 273.96 ha preliminares de la microcuenca). Su pendiente promedio (22.21 %, clase «15-25% (Fuert. inclinado)») es la 2.ª más baja de 7 y se sitúa por debajo del promedio de la microcuenca (29.26 %). Su MSAVI 2024 (0.5113) es el 7.º de 7 y queda por debajo del promedio local (0.5793). Amplitud altitudinal del bloque: 186 m (3091–3277 msnm). El cuadro conserva todos los bloques catalogados en la microcuenca, incluidos los descartados en el tamizaje, para referencia del conjunto. Los bloques sin ficha DT figuran con sus parámetros de gabinete.</t>
        </is>
      </c>
      <c r="B19" s="37" t="n"/>
      <c r="C19" s="37" t="n"/>
      <c r="D19" s="37" t="n"/>
      <c r="E19" s="37" t="n"/>
      <c r="F19" s="37" t="n"/>
      <c r="G19" s="37" t="n"/>
      <c r="H19" s="38" t="n"/>
    </row>
    <row r="21" ht="60" customHeight="1">
      <c r="A21"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21" s="37" t="n"/>
      <c r="C21" s="37" t="n"/>
      <c r="D21" s="37" t="n"/>
      <c r="E21" s="37" t="n"/>
      <c r="F21" s="37" t="n"/>
      <c r="G21" s="37" t="n"/>
      <c r="H21" s="38" t="n"/>
    </row>
  </sheetData>
  <mergeCells count="9">
    <mergeCell ref="A1:H1"/>
    <mergeCell ref="A4:H4"/>
    <mergeCell ref="A3:H3"/>
    <mergeCell ref="A21:H21"/>
    <mergeCell ref="A2:H2"/>
    <mergeCell ref="A19:H19"/>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44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«C1076-Q9586»</t>
        </is>
      </c>
      <c r="D10" s="34" t="inlineStr">
        <is>
          <t>CONFORME</t>
        </is>
      </c>
      <c r="E10" s="33" t="inlineStr">
        <is>
          <t>Sin acción.</t>
        </is>
      </c>
    </row>
    <row r="11" ht="48" customHeight="1">
      <c r="A11" s="35" t="inlineStr">
        <is>
          <t>D-02</t>
        </is>
      </c>
      <c r="B11" s="35" t="inlineStr">
        <is>
          <t>UTM del punto de muestreo</t>
        </is>
      </c>
      <c r="C11" s="35" t="inlineStr">
        <is>
          <t>El punto de muestreo declarado dista 166 m del centroide de catálogo, compatible con la extensión del bloque</t>
        </is>
      </c>
      <c r="D11" s="34" t="inlineStr">
        <is>
          <t>CONFORME</t>
        </is>
      </c>
      <c r="E11" s="35" t="inlineStr">
        <is>
          <t>Sin acción.</t>
        </is>
      </c>
    </row>
    <row r="12" ht="48" customHeight="1">
      <c r="A12" s="33" t="inlineStr">
        <is>
          <t>D-03</t>
        </is>
      </c>
      <c r="B12" s="33" t="inlineStr">
        <is>
          <t>Superficie del polígono</t>
        </is>
      </c>
      <c r="C12" s="33" t="inlineStr">
        <is>
          <t>La superficie clasificada por el NDVI 2025 (28.238 ha) coincide con la de catálogo (28.23 ha) dentro del ±2 % (+0.03 %)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22.21 %, que corresponde a la clase «15-25% (Fuert. inclinado)»</t>
        </is>
      </c>
      <c r="D13" s="13"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Altitud GPS del punto de muestreo</t>
        </is>
      </c>
      <c r="C14" s="33" t="inlineStr">
        <is>
          <t>La aplicación de captura no registró altitud GPS en campo</t>
        </is>
      </c>
      <c r="D14" s="13" t="inlineStr">
        <is>
          <t>NO SUSTANTIVA</t>
        </is>
      </c>
      <c r="E14" s="33" t="inlineStr">
        <is>
          <t>El rango altitudinal del bloque (3091–3277 msnm) y la pendiente promedio (22.21 %) se toman de la estadística zonal sobre el MDE, no de medición de campo. Se declara la fuente.</t>
        </is>
      </c>
    </row>
    <row r="15" ht="48" customHeight="1">
      <c r="A15" s="35" t="inlineStr">
        <is>
          <t>D-06</t>
        </is>
      </c>
      <c r="B15" s="35" t="inlineStr">
        <is>
          <t>Elenco florístico</t>
        </is>
      </c>
      <c r="C15" s="35" t="inlineStr">
        <is>
          <t>La ficha registra 10 taxones, por debajo del mínimo de 15 que exige el formato V5</t>
        </is>
      </c>
      <c r="D15" s="36"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Centro poblado asociado</t>
        </is>
      </c>
      <c r="C16" s="33" t="inlineStr">
        <is>
          <t>La ficha DT declara «Cruz de Piedra»; el cruce INEI-Bloques V5 identifica 1 centro(s) poblado(s) en el bloque: CRUZ DE PIEDRA</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c r="A18" s="35" t="inlineStr">
        <is>
          <t>D-09</t>
        </is>
      </c>
      <c r="B18" s="35" t="inlineStr">
        <is>
          <t>Distribución areal de clases MSAVI 2024</t>
        </is>
      </c>
      <c r="C18" s="35" t="inlineStr">
        <is>
          <t>La hoja «Cobertura MSAVI-NDVI» consignaba «Por determinar» en la distribución areal de clases MSAVI 2024; se incorpora el metrado por clase medido sobre la cartografía temática MSAVI 2024 del bloque: 52.92 % del bloque (14.939 ha) bajo el umbral 0.4976 y 47.08 % sobre el umbral; clase areal dominante «Vigor bajo».</t>
        </is>
      </c>
      <c r="D18" s="36" t="inlineStr">
        <is>
          <t>CORREGIDO</t>
        </is>
      </c>
      <c r="E18" s="35"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19"/>
    <row r="20">
      <c r="A20" s="16" t="inlineStr">
        <is>
          <t>RESUMEN</t>
        </is>
      </c>
      <c r="B20" s="17" t="inlineStr">
        <is>
          <t>9 verificaciones</t>
        </is>
      </c>
      <c r="C20" s="17" t="inlineStr">
        <is>
          <t>CONFORME: 4 · NO SUSTANTIVA: 2 · SUSTANTIVA: 2 · CORREGIDO: 1</t>
        </is>
      </c>
      <c r="D20" s="17" t="inlineStr"/>
      <c r="E20" s="17" t="inlineStr"/>
    </row>
    <row r="21" ht="60" customHeight="1"/>
    <row r="22">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37" t="n"/>
      <c r="C22" s="37" t="n"/>
      <c r="D22" s="37" t="n"/>
      <c r="E22" s="38"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44 — IN Piura</dc:title>
  <dc:subject>Diagnóstico Territorial por bloque de intervención</dc:subject>
  <dcterms:created xsi:type="dcterms:W3CDTF">2026-09-08T03:39:56Z</dcterms:created>
  <dcterms:modified xsi:type="dcterms:W3CDTF">2026-09-09T14:49:42Z</dcterms:modified>
</cp:coreProperties>
</file>