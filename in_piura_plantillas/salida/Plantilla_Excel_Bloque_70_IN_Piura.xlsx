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70</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70</t>
        </is>
      </c>
      <c r="C9" s="6" t="inlineStr">
        <is>
          <t>Microcuenca (catálogo)</t>
        </is>
      </c>
      <c r="D9" s="7" t="inlineStr">
        <is>
          <t>C1076-Q9592</t>
        </is>
      </c>
      <c r="E9" s="8" t="n"/>
      <c r="F9" s="8" t="n"/>
    </row>
    <row r="10">
      <c r="A10" s="6" t="inlineStr">
        <is>
          <t>Zona de planificación</t>
        </is>
      </c>
      <c r="B10" s="7" t="inlineStr">
        <is>
          <t>Z13</t>
        </is>
      </c>
      <c r="C10" s="6" t="inlineStr">
        <is>
          <t>Microcuenca declarada en ficha DT</t>
        </is>
      </c>
      <c r="D10" s="7" t="inlineStr">
        <is>
          <t>C1076-Q9592</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Huarmaca</t>
        </is>
      </c>
      <c r="C12" s="6" t="inlineStr">
        <is>
          <t>Capital distrital</t>
        </is>
      </c>
      <c r="D12" s="7" t="inlineStr">
        <is>
          <t>Huarmaca</t>
        </is>
      </c>
      <c r="E12" s="8" t="n"/>
      <c r="F12" s="8" t="n"/>
    </row>
    <row r="13">
      <c r="A13" s="6" t="inlineStr">
        <is>
          <t>Centro poblado asociado</t>
        </is>
      </c>
      <c r="B13" s="7" t="inlineStr">
        <is>
          <t>Zururán</t>
        </is>
      </c>
      <c r="C13" s="6" t="inlineStr">
        <is>
          <t>Comunidad campesina</t>
        </is>
      </c>
      <c r="D13" s="7" t="inlineStr">
        <is>
          <t>Por verificar — no se consultó registro de comunidades campesinas en campo</t>
        </is>
      </c>
      <c r="E13" s="8" t="n"/>
      <c r="F13" s="8" t="n"/>
    </row>
    <row r="14">
      <c r="A14" s="6" t="inlineStr">
        <is>
          <t>Superficie de catálogo (V5/V6), ha</t>
        </is>
      </c>
      <c r="B14" s="7" t="n">
        <v>22.39</v>
      </c>
      <c r="C14" s="6" t="inlineStr">
        <is>
          <t>Fuente de superficie</t>
        </is>
      </c>
      <c r="D14" s="7" t="inlineStr">
        <is>
          <t>Catálogo maestro Bloques V5/V6</t>
        </is>
      </c>
      <c r="E14" s="8" t="n"/>
      <c r="F14" s="8" t="n"/>
    </row>
    <row r="15">
      <c r="A15" s="6" t="inlineStr">
        <is>
          <t>Centroide UTM ESTE (m)</t>
        </is>
      </c>
      <c r="B15" s="7" t="n">
        <v>666781</v>
      </c>
      <c r="C15" s="6" t="inlineStr">
        <is>
          <t>Centroide UTM NORTE (m)</t>
        </is>
      </c>
      <c r="D15" s="7" t="n">
        <v>9395573</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2326</v>
      </c>
      <c r="C19" s="6" t="inlineStr">
        <is>
          <t>Altitud máxima (msnm)</t>
        </is>
      </c>
      <c r="D19" s="7" t="n">
        <v>2536</v>
      </c>
      <c r="E19" s="8" t="n"/>
      <c r="F19" s="8" t="n"/>
    </row>
    <row r="20">
      <c r="A20" s="6" t="inlineStr">
        <is>
          <t>Amplitud altitudinal (m)</t>
        </is>
      </c>
      <c r="B20" s="7" t="n">
        <v>210</v>
      </c>
      <c r="C20" s="6" t="inlineStr">
        <is>
          <t>Piso altitudinal dominante</t>
        </is>
      </c>
      <c r="D20" s="7" t="inlineStr">
        <is>
          <t>2000-2500 m (Quechua alta)</t>
        </is>
      </c>
      <c r="E20" s="8" t="n"/>
      <c r="F20" s="8" t="n"/>
    </row>
    <row r="21">
      <c r="A21" s="6" t="inlineStr">
        <is>
          <t>Pendiente promedio (%)</t>
        </is>
      </c>
      <c r="B21" s="7" t="n">
        <v>23.2</v>
      </c>
      <c r="C21" s="6" t="inlineStr">
        <is>
          <t>Pendiente promedio (grados)</t>
        </is>
      </c>
      <c r="D21" s="7" t="n">
        <v>13.1</v>
      </c>
      <c r="E21" s="8" t="n"/>
      <c r="F21" s="8" t="n"/>
    </row>
    <row r="22">
      <c r="A22" s="6" t="inlineStr">
        <is>
          <t>Clase de pendiente equivalente</t>
        </is>
      </c>
      <c r="B22" s="7" t="inlineStr">
        <is>
          <t>15-25% (Fuert. inclinado)</t>
        </is>
      </c>
      <c r="C22" s="6" t="inlineStr">
        <is>
          <t>Rango de pendiente declarado en campo</t>
        </is>
      </c>
      <c r="D22" s="7" t="inlineStr">
        <is>
          <t>15-25% (Fuert. inclinado)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0.6223</v>
      </c>
      <c r="C28" s="6" t="inlineStr">
        <is>
          <t>MSAVI 2024 — clase de la media</t>
        </is>
      </c>
      <c r="D28" s="7" t="inlineStr">
        <is>
          <t>&gt; 0.6139 (Vigor alto)</t>
        </is>
      </c>
      <c r="E28" s="8" t="n"/>
      <c r="F28" s="8" t="n"/>
    </row>
    <row r="29">
      <c r="A29" s="6" t="inlineStr">
        <is>
          <t>Condición frente al umbral 0.4976</t>
        </is>
      </c>
      <c r="B29" s="7" t="inlineStr">
        <is>
          <t>Sobre umbral</t>
        </is>
      </c>
      <c r="C29" s="6" t="inlineStr">
        <is>
          <t>NDVI mediana 2025 — clase modal</t>
        </is>
      </c>
      <c r="D29" s="7" t="inlineStr">
        <is>
          <t>Vegetación alta (98.39 %)</t>
        </is>
      </c>
      <c r="E29" s="8" t="n"/>
      <c r="F29" s="8" t="n"/>
    </row>
    <row r="30">
      <c r="A30" s="6" t="inlineStr">
        <is>
          <t>Superficie clasificada NDVI 2025 (ha)</t>
        </is>
      </c>
      <c r="B30" s="7" t="n">
        <v>22.39</v>
      </c>
      <c r="C30" s="6" t="inlineStr">
        <is>
          <t>Desviación frente al catálogo (%)</t>
        </is>
      </c>
      <c r="D30" s="7" t="n">
        <v>0</v>
      </c>
      <c r="E30" s="8" t="n"/>
      <c r="F30" s="8" t="n"/>
    </row>
    <row r="32" ht="18" customHeight="1">
      <c r="A32" s="5" t="inlineStr">
        <is>
          <t>4. ECOSISTEMA Y ESTADO DE CONSERVACIÓN</t>
        </is>
      </c>
    </row>
    <row r="33">
      <c r="A33" s="6" t="inlineStr">
        <is>
          <t>Tipo de ecosistema (UP)</t>
        </is>
      </c>
      <c r="B33" s="7" t="inlineStr">
        <is>
          <t>Matorral Andino subhúmedo (adscripción preliminar)</t>
        </is>
      </c>
      <c r="C33" s="6" t="inlineStr">
        <is>
          <t>Superficie de ecosistema (ha)</t>
        </is>
      </c>
      <c r="D33" s="7" t="inlineStr">
        <is>
          <t>22.39 ha (100% del bloque)</t>
        </is>
      </c>
      <c r="E33" s="8" t="n"/>
      <c r="F33" s="8" t="n"/>
    </row>
    <row r="34">
      <c r="A34" s="6" t="inlineStr">
        <is>
          <t>Estado de conservación</t>
        </is>
      </c>
      <c r="B34" s="7" t="inlineStr">
        <is>
          <t>Medianamente alterado</t>
        </is>
      </c>
      <c r="C34" s="6" t="inlineStr">
        <is>
          <t>Uso actual dominante del suelo</t>
        </is>
      </c>
      <c r="D34" s="7" t="inlineStr">
        <is>
          <t>Pastoreo extensivo</t>
        </is>
      </c>
      <c r="E34" s="8" t="n"/>
      <c r="F34" s="8" t="n"/>
    </row>
    <row r="35">
      <c r="A35" s="6" t="inlineStr">
        <is>
          <t>Tipo de cobertura dominante</t>
        </is>
      </c>
      <c r="B35" s="7" t="inlineStr">
        <is>
          <t>Mixto / Mosaico</t>
        </is>
      </c>
      <c r="C35" s="6" t="inlineStr">
        <is>
          <t>Cobertura vegetal total — campo (%)</t>
        </is>
      </c>
      <c r="D35" s="7" t="n">
        <v>85</v>
      </c>
      <c r="E35" s="8" t="n"/>
      <c r="F35" s="8" t="n"/>
    </row>
    <row r="36">
      <c r="A36" s="6" t="inlineStr">
        <is>
          <t>Suelo desnudo — campo (%)</t>
        </is>
      </c>
      <c r="B36" s="7" t="n">
        <v>5</v>
      </c>
      <c r="C36" s="6" t="inlineStr">
        <is>
          <t>Regeneración natural</t>
        </is>
      </c>
      <c r="D36" s="7" t="inlineStr">
        <is>
          <t>Regular (10-50 pl./100m²)</t>
        </is>
      </c>
      <c r="E36" s="8" t="n"/>
      <c r="F36" s="8" t="n"/>
    </row>
    <row r="37">
      <c r="A37" s="6" t="inlineStr">
        <is>
          <t>Nivel general de erosión</t>
        </is>
      </c>
      <c r="B37" s="7" t="inlineStr">
        <is>
          <t>Ligera (laminar)</t>
        </is>
      </c>
      <c r="C37" s="6" t="inlineStr">
        <is>
          <t>N.° de cárcavas registradas</t>
        </is>
      </c>
      <c r="D37" s="7" t="inlineStr">
        <is>
          <t>Por determinar</t>
        </is>
      </c>
      <c r="E37" s="8" t="n"/>
      <c r="F37" s="8" t="n"/>
    </row>
    <row r="38">
      <c r="A38" s="6" t="inlineStr">
        <is>
          <t>Elenco florístico (n.° de taxones)</t>
        </is>
      </c>
      <c r="B38" s="7" t="n">
        <v>15</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Por determinar (prellenado de gabinete SESDI)</t>
        </is>
      </c>
      <c r="C41" s="6" t="inlineStr">
        <is>
          <t>Fecha de evaluación</t>
        </is>
      </c>
      <c r="D41" s="7" t="inlineStr">
        <is>
          <t>2026-09-05 (gabinete) — reconocimiento de campo 19-08-2026</t>
        </is>
      </c>
      <c r="E41" s="8" t="n"/>
      <c r="F41" s="8" t="n"/>
    </row>
    <row r="42">
      <c r="A42" s="6" t="inlineStr">
        <is>
          <t>Hora de registro</t>
        </is>
      </c>
      <c r="B42" s="7" t="inlineStr">
        <is>
          <t>09:20 - 10:05 h</t>
        </is>
      </c>
      <c r="C42" s="6" t="inlineStr">
        <is>
          <t>Correlativo de ficha</t>
        </is>
      </c>
      <c r="D42" s="7" t="inlineStr">
        <is>
          <t>F-DT-01/70/2026</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No instalada (prellenado de gabinete)</t>
        </is>
      </c>
      <c r="E44" s="8" t="n"/>
      <c r="F44" s="8" t="n"/>
    </row>
    <row r="45">
      <c r="A45" s="6" t="inlineStr">
        <is>
          <t>Estaciones fotográficas georreferenciadas</t>
        </is>
      </c>
      <c r="B45" s="7" t="n">
        <v>0</v>
      </c>
      <c r="C45" s="6" t="inlineStr">
        <is>
          <t>Modalidad de acceso</t>
        </is>
      </c>
      <c r="D45" s="7" t="inlineStr">
        <is>
          <t>Vehicular 4x4 hasta el bloque</t>
        </is>
      </c>
      <c r="E45" s="8" t="n"/>
      <c r="F45" s="8" t="n"/>
    </row>
    <row r="47" ht="18" customHeight="1">
      <c r="A47" s="5" t="inlineStr">
        <is>
          <t>6. SÍNTESIS PARA LA GESTIÓN DEL RIESGO EN CONTEXTO DE CAMBIO CLIMÁTICO</t>
        </is>
      </c>
    </row>
    <row r="48">
      <c r="A48" s="6" t="inlineStr">
        <is>
          <t>Causa subyacente principal</t>
        </is>
      </c>
      <c r="B48" s="7" t="inlineStr">
        <is>
          <t>Presión ganadera sin ordenamiento de carga ni clausura, sobre una unidad de cabecera de microcuenca</t>
        </is>
      </c>
      <c r="C48" s="6" t="inlineStr">
        <is>
          <t>Velocidad de degradación</t>
        </is>
      </c>
      <c r="D48" s="7" t="inlineStr">
        <is>
          <t>Lenta</t>
        </is>
      </c>
      <c r="E48" s="8" t="n"/>
      <c r="F48" s="8" t="n"/>
    </row>
    <row r="49">
      <c r="A49" s="6" t="inlineStr">
        <is>
          <t>Reversibilidad técnica</t>
        </is>
      </c>
      <c r="B49" s="7" t="inlineStr">
        <is>
          <t>Totalmente reversible</t>
        </is>
      </c>
      <c r="C49" s="6" t="inlineStr">
        <is>
          <t>Urgencia de intervención</t>
        </is>
      </c>
      <c r="D49" s="7" t="inlineStr">
        <is>
          <t>Media</t>
        </is>
      </c>
      <c r="E49" s="8" t="n"/>
      <c r="F49" s="8" t="n"/>
    </row>
    <row r="50">
      <c r="A50" s="6" t="inlineStr">
        <is>
          <t>Urgencia de control de erosión</t>
        </is>
      </c>
      <c r="B50" s="7" t="inlineStr">
        <is>
          <t>Media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6"/>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70</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t>
        </is>
      </c>
      <c r="B10" s="12" t="inlineStr">
        <is>
          <t>Por determinar</t>
        </is>
      </c>
      <c r="C10" s="12" t="inlineStr">
        <is>
          <t>Por determinar</t>
        </is>
      </c>
      <c r="D10" s="12" t="inlineStr">
        <is>
          <t>Vigor alto</t>
        </is>
      </c>
      <c r="E10" s="12" t="inlineStr">
        <is>
          <t>Sobre umbral</t>
        </is>
      </c>
    </row>
    <row r="11">
      <c r="A11" s="13" t="inlineStr">
        <is>
          <t>0.4976 - 0.6139</t>
        </is>
      </c>
      <c r="B11" s="14" t="inlineStr">
        <is>
          <t>Por determinar</t>
        </is>
      </c>
      <c r="C11" s="14" t="inlineStr">
        <is>
          <t>Por determinar</t>
        </is>
      </c>
      <c r="D11" s="14" t="inlineStr">
        <is>
          <t>Vigor moderado</t>
        </is>
      </c>
      <c r="E11" s="14" t="inlineStr">
        <is>
          <t>Sobre umbral</t>
        </is>
      </c>
    </row>
    <row r="12">
      <c r="A12" s="7" t="inlineStr">
        <is>
          <t>0.3813 - 0.4976</t>
        </is>
      </c>
      <c r="B12" s="15" t="inlineStr">
        <is>
          <t>Por determinar</t>
        </is>
      </c>
      <c r="C12" s="15" t="inlineStr">
        <is>
          <t>Por determinar</t>
        </is>
      </c>
      <c r="D12" s="15" t="inlineStr">
        <is>
          <t>Vigor bajo</t>
        </is>
      </c>
      <c r="E12" s="15" t="inlineStr">
        <is>
          <t>BAJO umbral 0.4976</t>
        </is>
      </c>
    </row>
    <row r="13">
      <c r="A13" s="13" t="inlineStr">
        <is>
          <t>0.2650 - 0.3813</t>
        </is>
      </c>
      <c r="B13" s="14" t="inlineStr">
        <is>
          <t>Por determinar</t>
        </is>
      </c>
      <c r="C13" s="14" t="inlineStr">
        <is>
          <t>Por determinar</t>
        </is>
      </c>
      <c r="D13" s="14" t="inlineStr">
        <is>
          <t>Vigor muy bajo</t>
        </is>
      </c>
      <c r="E13" s="14" t="inlineStr">
        <is>
          <t>BAJO umbral 0.4976</t>
        </is>
      </c>
    </row>
    <row r="14">
      <c r="A14" s="7" t="inlineStr">
        <is>
          <t>&lt;= 0.2650</t>
        </is>
      </c>
      <c r="B14" s="15" t="inlineStr">
        <is>
          <t>Por determinar</t>
        </is>
      </c>
      <c r="C14" s="15" t="inlineStr">
        <is>
          <t>Por determinar</t>
        </is>
      </c>
      <c r="D14" s="15" t="inlineStr">
        <is>
          <t>Suelo desnudo / no vegetal</t>
        </is>
      </c>
      <c r="E14" s="15" t="inlineStr">
        <is>
          <t>BAJO umbral 0.4976</t>
        </is>
      </c>
    </row>
    <row r="15">
      <c r="A15" s="16" t="inlineStr">
        <is>
          <t>MSAVI 2024 — MEDIA DEL BLOQUE</t>
        </is>
      </c>
      <c r="B15" s="17" t="n">
        <v>0.622295</v>
      </c>
      <c r="C15" s="17" t="inlineStr">
        <is>
          <t>—</t>
        </is>
      </c>
      <c r="D15" s="17" t="inlineStr">
        <is>
          <t>Vigor alto · clase &gt; 0.6139</t>
        </is>
      </c>
      <c r="E15" s="17" t="inlineStr">
        <is>
          <t>Sobre umbral</t>
        </is>
      </c>
    </row>
    <row r="17" ht="72" customHeight="1">
      <c r="A17" s="9" t="inlineStr">
        <is>
          <t>NOTA METODOLÓGICA. La media del MSAVI 2024 del bloque (0.622295)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22.0293</v>
      </c>
      <c r="C21" s="19" t="n">
        <v>98.39</v>
      </c>
      <c r="D21" s="15" t="inlineStr">
        <is>
          <t>Dosel continuo, matorral denso o mosaico agroforestal</t>
        </is>
      </c>
      <c r="E21" s="15" t="inlineStr"/>
    </row>
    <row r="22">
      <c r="A22" s="13" t="inlineStr">
        <is>
          <t>Vegetación mediana</t>
        </is>
      </c>
      <c r="B22" s="20" t="n">
        <v>0.3612</v>
      </c>
      <c r="C22" s="21" t="n">
        <v>1.61</v>
      </c>
      <c r="D22" s="14" t="inlineStr">
        <is>
          <t>Pastizal cultivado, matorral ralo, parcelas agrícolas</t>
        </is>
      </c>
      <c r="E22" s="14" t="inlineStr"/>
    </row>
    <row r="23">
      <c r="A23" s="16" t="inlineStr">
        <is>
          <t>TOTAL CLASIFICADO</t>
        </is>
      </c>
      <c r="B23" s="22">
        <f>SUM(B21:B22)</f>
        <v/>
      </c>
      <c r="C23" s="23">
        <f>SUM(C21:C22)</f>
        <v/>
      </c>
      <c r="D23" s="17" t="inlineStr"/>
      <c r="E23" s="17" t="inlineStr"/>
    </row>
    <row r="24">
      <c r="A24" s="24" t="inlineStr">
        <is>
          <t>Superficie de catálogo (V5/V6)</t>
        </is>
      </c>
      <c r="B24" s="25" t="n">
        <v>22.39</v>
      </c>
      <c r="C24" s="25" t="inlineStr">
        <is>
          <t>—</t>
        </is>
      </c>
      <c r="D24" s="25" t="inlineStr">
        <is>
          <t>Desviación planimétrica frente al catálogo</t>
        </is>
      </c>
      <c r="E24" s="25" t="inlineStr">
        <is>
          <t>+0.00 %</t>
        </is>
      </c>
    </row>
    <row r="26" ht="108" customHeight="1">
      <c r="A26"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85 % frente a un 98.39 % del polígono clasificado como «Vegetación alta» por el NDVI 2025; la observación de campo corresponde a una parcela o recorrido puntual y no es estadísticamente representativa de las 22.390 ha del bloque.</t>
        </is>
      </c>
    </row>
  </sheetData>
  <mergeCells count="10">
    <mergeCell ref="A4:E4"/>
    <mergeCell ref="A26:E26"/>
    <mergeCell ref="A2:E2"/>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6"/>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70</t>
        </is>
      </c>
    </row>
    <row r="6" ht="24" customHeight="1">
      <c r="A6" s="4" t="inlineStr">
        <is>
          <t>Levantamiento del 2026-09-05 (gabinete) — reconocimiento de campo 19-08-2026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645575</v>
      </c>
      <c r="D10" s="26" t="n">
        <v>9393500</v>
      </c>
      <c r="E10" s="15" t="n">
        <v>21307.1</v>
      </c>
      <c r="F10" s="15" t="inlineStr"/>
      <c r="G10" s="15" t="inlineStr">
        <is>
          <t>Coordenada consignada en F-DT-01</t>
        </is>
      </c>
    </row>
    <row r="11">
      <c r="A11" s="16" t="inlineStr">
        <is>
          <t>TOTAL: 1 puntos</t>
        </is>
      </c>
      <c r="B11" s="17" t="inlineStr"/>
      <c r="C11" s="17" t="inlineStr"/>
      <c r="D11" s="17" t="inlineStr"/>
      <c r="E11" s="17" t="inlineStr"/>
      <c r="F11" s="17" t="inlineStr"/>
      <c r="G11" s="17" t="inlineStr"/>
    </row>
    <row r="13">
      <c r="A13" s="6" t="inlineStr">
        <is>
          <t>Centroide del bloque — UTM ESTE (m)</t>
        </is>
      </c>
      <c r="B13" s="7" t="n">
        <v>666781</v>
      </c>
      <c r="C13" s="6" t="inlineStr">
        <is>
          <t>Centroide del bloque — UTM NORTE (m)</t>
        </is>
      </c>
      <c r="D13" s="7" t="n">
        <v>9395573</v>
      </c>
      <c r="E13" s="8" t="n"/>
      <c r="F13" s="8" t="n"/>
      <c r="G13" s="8" t="n"/>
      <c r="H13" s="8" t="n"/>
    </row>
    <row r="14">
      <c r="A14" s="6" t="inlineStr">
        <is>
          <t>N.° de estaciones fotográficas declaradas</t>
        </is>
      </c>
      <c r="B14" s="7" t="n">
        <v>0</v>
      </c>
      <c r="C14" s="6" t="inlineStr">
        <is>
          <t>Estaciones dentro del polígono</t>
        </is>
      </c>
      <c r="D14" s="7" t="n">
        <v>0</v>
      </c>
      <c r="E14" s="8" t="n"/>
      <c r="F14" s="8" t="n"/>
      <c r="G14" s="8" t="n"/>
      <c r="H14" s="8" t="n"/>
    </row>
    <row r="16" ht="144" customHeight="1">
      <c r="A16"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PRELLENADO DE GABINETE. NINGUNA FICHA F-DT FUE DILIGENCIADA EN CAMPO el 19-08-2026; el reconocimiento consistió en recorrido con registro fotográfico georreferenciado. Pendiente promedio zonal (MDE) 23.20% ≈ 13.05°; rango altitudinal 2 326-2 536 msnm (amplitud 210 m). Escarpes activos: no observados; los taludes de corte del camino se localizan FUERA del polígono. Reptación: SÍ — terracillas de pisoteo de ganado paralelas a la curva de nivel (estación E-04), indicio de reptación superficial asociada a sobrepastoreo. Afloramientos rocosos verificados en el talud de la vía (E-05). ATENCIÓN: el registro consigna UTM Este 645 575 (valor por defecto de la plantilla), distinto del centroide de catálogo 666 781 E · 9 395 570 N.</t>
        </is>
      </c>
    </row>
  </sheetData>
  <mergeCells count="8">
    <mergeCell ref="A1:G1"/>
    <mergeCell ref="A8:G8"/>
    <mergeCell ref="A3:G3"/>
    <mergeCell ref="A6:G6"/>
    <mergeCell ref="A4:G4"/>
    <mergeCell ref="A2:G2"/>
    <mergeCell ref="A16:G16"/>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C1076-Q9592 — BLOQUE 70</t>
        </is>
      </c>
    </row>
    <row r="6" ht="24" customHeight="1">
      <c r="A6" s="4" t="inlineStr">
        <is>
          <t>Distrito de Huarmaca · Provincia de Huancabamba · Comparación de los bloques preliminares de intervención de la misma microcuenca</t>
        </is>
      </c>
    </row>
    <row r="8" ht="18" customHeight="1">
      <c r="A8" s="5" t="inlineStr">
        <is>
          <t>BLOQUES DE LA MICROCUENCA C1076-Q9592</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18</t>
        </is>
      </c>
      <c r="B10" s="27" t="n">
        <v>103.62</v>
      </c>
      <c r="C10" s="19" t="n">
        <v>21.54</v>
      </c>
      <c r="D10" s="15" t="inlineStr">
        <is>
          <t>1218 – 1904</t>
        </is>
      </c>
      <c r="E10" s="15" t="n">
        <v>686</v>
      </c>
      <c r="F10" s="15" t="n">
        <v>28.7</v>
      </c>
      <c r="G10" s="18" t="n">
        <v>0.6402</v>
      </c>
      <c r="H10" s="19" t="n">
        <v>96.64</v>
      </c>
    </row>
    <row r="11">
      <c r="A11" s="13" t="inlineStr">
        <is>
          <t>19</t>
        </is>
      </c>
      <c r="B11" s="28" t="n">
        <v>82.09</v>
      </c>
      <c r="C11" s="21" t="n">
        <v>17.06</v>
      </c>
      <c r="D11" s="14" t="inlineStr">
        <is>
          <t>2064 – 2503</t>
        </is>
      </c>
      <c r="E11" s="14" t="n">
        <v>439</v>
      </c>
      <c r="F11" s="14" t="n">
        <v>31.01</v>
      </c>
      <c r="G11" s="20" t="n">
        <v>0.5372</v>
      </c>
      <c r="H11" s="21" t="n">
        <v>60.33</v>
      </c>
    </row>
    <row r="12">
      <c r="A12" s="7" t="inlineStr">
        <is>
          <t>41</t>
        </is>
      </c>
      <c r="B12" s="27" t="n">
        <v>64.92</v>
      </c>
      <c r="C12" s="19" t="n">
        <v>13.49</v>
      </c>
      <c r="D12" s="15" t="inlineStr">
        <is>
          <t>1536 – 1818</t>
        </is>
      </c>
      <c r="E12" s="15" t="n">
        <v>282</v>
      </c>
      <c r="F12" s="15" t="n">
        <v>25.53</v>
      </c>
      <c r="G12" s="18" t="n">
        <v>0.5927</v>
      </c>
      <c r="H12" s="19" t="n">
        <v>98.02</v>
      </c>
    </row>
    <row r="13">
      <c r="A13" s="13" t="inlineStr">
        <is>
          <t>73</t>
        </is>
      </c>
      <c r="B13" s="28" t="n">
        <v>54.29</v>
      </c>
      <c r="C13" s="21" t="n">
        <v>11.28</v>
      </c>
      <c r="D13" s="14" t="inlineStr">
        <is>
          <t>1845 – 2305</t>
        </is>
      </c>
      <c r="E13" s="14" t="n">
        <v>460</v>
      </c>
      <c r="F13" s="14" t="n">
        <v>36.34</v>
      </c>
      <c r="G13" s="20" t="n">
        <v>0.555</v>
      </c>
      <c r="H13" s="21" t="n">
        <v>88.8</v>
      </c>
    </row>
    <row r="14">
      <c r="A14" s="7" t="inlineStr">
        <is>
          <t>31</t>
        </is>
      </c>
      <c r="B14" s="27" t="n">
        <v>47.58</v>
      </c>
      <c r="C14" s="19" t="n">
        <v>9.890000000000001</v>
      </c>
      <c r="D14" s="15" t="inlineStr">
        <is>
          <t>1741 – 2234</t>
        </is>
      </c>
      <c r="E14" s="15" t="n">
        <v>493</v>
      </c>
      <c r="F14" s="15" t="n">
        <v>27.08</v>
      </c>
      <c r="G14" s="18" t="n">
        <v>0.4358</v>
      </c>
      <c r="H14" s="19" t="n">
        <v>18.56</v>
      </c>
    </row>
    <row r="15">
      <c r="A15" s="13" t="inlineStr">
        <is>
          <t>29</t>
        </is>
      </c>
      <c r="B15" s="28" t="n">
        <v>40.1</v>
      </c>
      <c r="C15" s="21" t="n">
        <v>8.33</v>
      </c>
      <c r="D15" s="14" t="inlineStr">
        <is>
          <t>2142 – 2391</t>
        </is>
      </c>
      <c r="E15" s="14" t="n">
        <v>249</v>
      </c>
      <c r="F15" s="14" t="n">
        <v>31.54</v>
      </c>
      <c r="G15" s="20" t="n">
        <v>0.5482</v>
      </c>
      <c r="H15" s="21" t="inlineStr">
        <is>
          <t>Por determinar</t>
        </is>
      </c>
    </row>
    <row r="16">
      <c r="A16" s="11" t="inlineStr">
        <is>
          <t>► 70</t>
        </is>
      </c>
      <c r="B16" s="29" t="n">
        <v>22.39</v>
      </c>
      <c r="C16" s="30" t="n">
        <v>4.65</v>
      </c>
      <c r="D16" s="12" t="inlineStr">
        <is>
          <t>2326 – 2536</t>
        </is>
      </c>
      <c r="E16" s="12" t="n">
        <v>210</v>
      </c>
      <c r="F16" s="12" t="n">
        <v>23.2</v>
      </c>
      <c r="G16" s="31" t="n">
        <v>0.6223</v>
      </c>
      <c r="H16" s="30" t="n">
        <v>98.39</v>
      </c>
    </row>
    <row r="17">
      <c r="A17" s="13" t="inlineStr">
        <is>
          <t>68</t>
        </is>
      </c>
      <c r="B17" s="28" t="n">
        <v>21.29</v>
      </c>
      <c r="C17" s="21" t="n">
        <v>4.42</v>
      </c>
      <c r="D17" s="14" t="inlineStr">
        <is>
          <t>2086 – 2374</t>
        </is>
      </c>
      <c r="E17" s="14" t="n">
        <v>288</v>
      </c>
      <c r="F17" s="14" t="n">
        <v>36.81</v>
      </c>
      <c r="G17" s="20" t="n">
        <v>0.483</v>
      </c>
      <c r="H17" s="21" t="inlineStr">
        <is>
          <t>Por determinar</t>
        </is>
      </c>
    </row>
    <row r="18">
      <c r="A18" s="7" t="inlineStr">
        <is>
          <t>69</t>
        </is>
      </c>
      <c r="B18" s="27" t="n">
        <v>19.43</v>
      </c>
      <c r="C18" s="19" t="n">
        <v>4.04</v>
      </c>
      <c r="D18" s="15" t="inlineStr">
        <is>
          <t>1931 – 2205</t>
        </is>
      </c>
      <c r="E18" s="15" t="n">
        <v>274</v>
      </c>
      <c r="F18" s="15" t="n">
        <v>27.95</v>
      </c>
      <c r="G18" s="18" t="n">
        <v>0.4489</v>
      </c>
      <c r="H18" s="19" t="n">
        <v>22.92</v>
      </c>
    </row>
    <row r="19">
      <c r="A19" s="13" t="inlineStr">
        <is>
          <t>53</t>
        </is>
      </c>
      <c r="B19" s="28" t="n">
        <v>13.06</v>
      </c>
      <c r="C19" s="21" t="n">
        <v>2.71</v>
      </c>
      <c r="D19" s="14" t="inlineStr">
        <is>
          <t>2235 – 2540</t>
        </is>
      </c>
      <c r="E19" s="14" t="n">
        <v>305</v>
      </c>
      <c r="F19" s="14" t="n">
        <v>26.89</v>
      </c>
      <c r="G19" s="20" t="n">
        <v>0.5963000000000001</v>
      </c>
      <c r="H19" s="21" t="n">
        <v>86.15000000000001</v>
      </c>
    </row>
    <row r="20">
      <c r="A20" s="7" t="inlineStr">
        <is>
          <t>72</t>
        </is>
      </c>
      <c r="B20" s="27" t="n">
        <v>12.4</v>
      </c>
      <c r="C20" s="19" t="n">
        <v>2.58</v>
      </c>
      <c r="D20" s="15" t="inlineStr">
        <is>
          <t>1538 – 1742</t>
        </is>
      </c>
      <c r="E20" s="15" t="n">
        <v>204</v>
      </c>
      <c r="F20" s="15" t="n">
        <v>28.25</v>
      </c>
      <c r="G20" s="18" t="n">
        <v>0.5185</v>
      </c>
      <c r="H20" s="19" t="n">
        <v>92.44</v>
      </c>
    </row>
    <row r="21">
      <c r="A21" s="16" t="inlineStr">
        <is>
          <t>TOTAL / PROMEDIO</t>
        </is>
      </c>
      <c r="B21" s="32">
        <f>SUM(B10:B20)</f>
        <v/>
      </c>
      <c r="C21" s="23">
        <f>SUM(C10:C20)</f>
        <v/>
      </c>
      <c r="D21" s="17" t="inlineStr">
        <is>
          <t>1218 – 2540</t>
        </is>
      </c>
      <c r="E21" s="17" t="inlineStr"/>
      <c r="F21" s="17">
        <f>ROUND(AVERAGE(F10:F20),2)</f>
        <v/>
      </c>
      <c r="G21" s="22">
        <f>ROUND(AVERAGE(G10:G20),4)</f>
        <v/>
      </c>
      <c r="H21" s="23">
        <f>ROUND(AVERAGE(H10:H20),2)</f>
        <v/>
      </c>
    </row>
    <row r="22" ht="48" customHeight="1">
      <c r="A22" s="9" t="inlineStr">
        <is>
          <t>ALCANCE DE LOS PROMEDIOS. La fila TOTAL / PROMEDIO omite las celdas «Por determinar»: el promedio de VEGETACIÓN ALTA (NDVI 2025) se calcula sobre 9 de los 11 bloques; los 2 bloques restantes carecen de estadística zonal de NDVI. Los totales de ÁREA y % de microcuenca sí comprenden la totalidad de los 11 bloques. No se estima ningún valor ausente.</t>
        </is>
      </c>
    </row>
    <row r="24" ht="84" customHeight="1">
      <c r="A24" s="9" t="inlineStr">
        <is>
          <t>LECTURA INTRAMICROCUENCA. El bloque 70 ocupa el puesto 7 de 11 por superficie dentro de la microcuenca C1076-Q9592 (4.65 % de las 481.17 ha preliminares de la microcuenca). Su pendiente promedio (23.20 %, clase «15-25% (Fuert. inclinado)») es la 1.ª más baja de 11 y se sitúa por debajo del promedio de la microcuenca (29.39 %). Su MSAVI 2024 (0.6223) es el 2.º de 11 y queda por encima del promedio local (0.5435). Amplitud altitudinal del bloque: 210 m (2326–2536 msnm). El cuadro conserva todos los bloques catalogados en la microcuenca, incluidos los descartados en el tamizaje, para referencia del conjunto. Los bloques sin ficha DT figuran con sus parámetros de gabinete.</t>
        </is>
      </c>
    </row>
    <row r="26" ht="60" customHeight="1">
      <c r="A2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10">
    <mergeCell ref="A1:H1"/>
    <mergeCell ref="A4:H4"/>
    <mergeCell ref="A3:H3"/>
    <mergeCell ref="A26:H26"/>
    <mergeCell ref="A24:H24"/>
    <mergeCell ref="A2:H2"/>
    <mergeCell ref="A5:H5"/>
    <mergeCell ref="A8:H8"/>
    <mergeCell ref="A6:H6"/>
    <mergeCell ref="A22:H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7"/>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70</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3" t="inlineStr">
        <is>
          <t>D-01</t>
        </is>
      </c>
      <c r="B10" s="33" t="inlineStr">
        <is>
          <t>Código de microcuenca</t>
        </is>
      </c>
      <c r="C10" s="33" t="inlineStr">
        <is>
          <t>Ficha DT y catálogo maestro coinciden en «C1076-Q9592»</t>
        </is>
      </c>
      <c r="D10" s="34" t="inlineStr">
        <is>
          <t>CONFORME</t>
        </is>
      </c>
      <c r="E10" s="33" t="inlineStr">
        <is>
          <t>Sin acción.</t>
        </is>
      </c>
    </row>
    <row r="11" ht="48" customHeight="1">
      <c r="A11" s="35" t="inlineStr">
        <is>
          <t>D-02</t>
        </is>
      </c>
      <c r="B11" s="35" t="inlineStr">
        <is>
          <t>UTM del punto de muestreo</t>
        </is>
      </c>
      <c r="C11" s="35" t="inlineStr">
        <is>
          <t>El punto de muestreo declarado (645575 E / 9393500 N) dista 21,307 m del centroide de catálogo (666781 E / 9395573 N), distancia incompatible con la superficie del bloque (22.39 ha)</t>
        </is>
      </c>
      <c r="D11" s="36" t="inlineStr">
        <is>
          <t>SUSTANTIVA</t>
        </is>
      </c>
      <c r="E11" s="35" t="inlineStr">
        <is>
          <t>Se declara la coordenada como POR VERIFICAR: puede corresponder a otro bloque o a un error de digitación. No se corrige de oficio.</t>
        </is>
      </c>
    </row>
    <row r="12" ht="48" customHeight="1">
      <c r="A12" s="33" t="inlineStr">
        <is>
          <t>D-03</t>
        </is>
      </c>
      <c r="B12" s="33" t="inlineStr">
        <is>
          <t>Superficie del polígono</t>
        </is>
      </c>
      <c r="C12" s="33" t="inlineStr">
        <is>
          <t>La superficie clasificada por el NDVI 2025 (22.390 ha) coincide con la de catálogo (22.39 ha) dentro del ±2 % (+0.00 %)</t>
        </is>
      </c>
      <c r="D12" s="34" t="inlineStr">
        <is>
          <t>CONFORME</t>
        </is>
      </c>
      <c r="E12" s="33" t="inlineStr">
        <is>
          <t>Sin acción: la segmentación valida la geometría del bloque.</t>
        </is>
      </c>
    </row>
    <row r="13" ht="48" customHeight="1">
      <c r="A13" s="35" t="inlineStr">
        <is>
          <t>D-04</t>
        </is>
      </c>
      <c r="B13" s="35" t="inlineStr">
        <is>
          <t>Inventario georreferenciado de cárcavas</t>
        </is>
      </c>
      <c r="C13" s="35" t="inlineStr">
        <is>
          <t>El inventario de cárcavas no fue ejecutado o no consta en la ficha DT</t>
        </is>
      </c>
      <c r="D13" s="36" t="inlineStr">
        <is>
          <t>SUSTANTIVA</t>
        </is>
      </c>
      <c r="E13" s="35" t="inlineStr">
        <is>
          <t>La ausencia de registros NO equivale a ausencia verificada de cárcavas. Queda pendiente el levantamiento instrumental a cargo del especialista de Infraestructura Marrón antes de fijar metas físicas de infraestructura gris.</t>
        </is>
      </c>
    </row>
    <row r="14" ht="48" customHeight="1">
      <c r="A14" s="33" t="inlineStr">
        <is>
          <t>D-05</t>
        </is>
      </c>
      <c r="B14" s="33" t="inlineStr">
        <is>
          <t>Representatividad del levantamiento</t>
        </is>
      </c>
      <c r="C14" s="33" t="inlineStr">
        <is>
          <t>Ninguna de las estaciones fotográficas georreferenciadas se localiza dentro del polígono del bloque</t>
        </is>
      </c>
      <c r="D14" s="36" t="inlineStr">
        <is>
          <t>SUSTANTIVA</t>
        </is>
      </c>
      <c r="E14" s="33" t="inlineStr">
        <is>
          <t>La verificación documenta el perímetro y la vista panorámica del bloque, no su interior. Los parámetros que exigen recorrido interno se consignan «Por determinar».</t>
        </is>
      </c>
    </row>
    <row r="15" ht="48" customHeight="1">
      <c r="A15" s="35" t="inlineStr">
        <is>
          <t>D-06</t>
        </is>
      </c>
      <c r="B15" s="35" t="inlineStr">
        <is>
          <t>Centro poblado asociado</t>
        </is>
      </c>
      <c r="C15" s="35" t="inlineStr">
        <is>
          <t>La ficha DT declara «Zururán»; el cruce INEI-Bloques V5 identifica 1 centro(s) poblado(s) en el bloque: ZURURAN</t>
        </is>
      </c>
      <c r="D15" s="12" t="inlineStr">
        <is>
          <t>NO SUSTANTIVA</t>
        </is>
      </c>
      <c r="E15" s="35" t="inlineStr">
        <is>
          <t>Se conserva el registro de campo como referencia y se adopta el listado INEI para el diagnóstico social y el cálculo de población beneficiaria.</t>
        </is>
      </c>
    </row>
    <row r="16" ht="48" customHeight="1">
      <c r="A16" s="33" t="inlineStr">
        <is>
          <t>D-07</t>
        </is>
      </c>
      <c r="B16" s="33" t="inlineStr">
        <is>
          <t>Peligro integrado (MCA-AHP)</t>
        </is>
      </c>
      <c r="C16" s="33" t="inlineStr">
        <is>
          <t>El nivel de peligro integrado no está disponible en los insumos de este entregable</t>
        </is>
      </c>
      <c r="D16" s="36" t="inlineStr">
        <is>
          <t>SUSTANTIVA</t>
        </is>
      </c>
      <c r="E16" s="33" t="inlineStr">
        <is>
          <t>Debe tomarse del modelamiento de mesolocalización (PMM + EPH + PGI ponderados por AHP) antes de fijar la prioridad definitiva de intervención del bloque.</t>
        </is>
      </c>
    </row>
    <row r="17" ht="48" customHeight="1">
      <c r="A17" s="35" t="inlineStr">
        <is>
          <t>D-08</t>
        </is>
      </c>
      <c r="B17" s="35" t="inlineStr">
        <is>
          <t>Fichas F-DT-01 a F-DT-05</t>
        </is>
      </c>
      <c r="C17" s="35" t="inlineStr">
        <is>
          <t>NINGUNA ficha fue diligenciada en campo el 19-08-2026: todo el contenido es prellenado de gabinete a partir de fotografías georreferenciadas y cartografía temática</t>
        </is>
      </c>
      <c r="D17" s="36" t="inlineStr">
        <is>
          <t>SUSTANTIVA</t>
        </is>
      </c>
      <c r="E17" s="35" t="inlineStr">
        <is>
          <t>Levantamiento de campo pendiente en su totalidad</t>
        </is>
      </c>
    </row>
    <row r="18" ht="48" customHeight="1">
      <c r="A18" s="33" t="inlineStr">
        <is>
          <t>D-09</t>
        </is>
      </c>
      <c r="B18" s="33" t="inlineStr">
        <is>
          <t>Ficha DT</t>
        </is>
      </c>
      <c r="C18" s="33" t="inlineStr">
        <is>
          <t>UTM Este 645 575 corresponde al valor por defecto de la plantilla; el centroide de catálogo es 666 781 E · 9 395 570 N</t>
        </is>
      </c>
      <c r="D18" s="36" t="inlineStr">
        <is>
          <t>SUSTANTIVA</t>
        </is>
      </c>
      <c r="E18" s="33" t="inlineStr">
        <is>
          <t>Georreferencia por reponer</t>
        </is>
      </c>
    </row>
    <row r="19" ht="48" customHeight="1">
      <c r="A19" s="35" t="inlineStr">
        <is>
          <t>D-10</t>
        </is>
      </c>
      <c r="B19" s="35" t="inlineStr">
        <is>
          <t>F-DT-02</t>
        </is>
      </c>
      <c r="C19" s="35" t="inlineStr">
        <is>
          <t>Inventario de cárcavas no ejecutado</t>
        </is>
      </c>
      <c r="D19" s="36" t="inlineStr">
        <is>
          <t>SUSTANTIVA</t>
        </is>
      </c>
      <c r="E19" s="35" t="inlineStr">
        <is>
          <t>La ausencia de registros no equivale a ausencia verificada</t>
        </is>
      </c>
    </row>
    <row r="20" ht="48" customHeight="1">
      <c r="A20" s="33" t="inlineStr">
        <is>
          <t>D-11</t>
        </is>
      </c>
      <c r="B20" s="33" t="inlineStr">
        <is>
          <t>F-DT-03</t>
        </is>
      </c>
      <c r="C20" s="33" t="inlineStr">
        <is>
          <t>5 de los 15 registros florísticos carecen de género; ningún binomio confirmado taxonómicamente</t>
        </is>
      </c>
      <c r="D20" s="36" t="inlineStr">
        <is>
          <t>SUSTANTIVA</t>
        </is>
      </c>
      <c r="E20" s="33" t="inlineStr">
        <is>
          <t>Colecta y determinación botánica pendientes</t>
        </is>
      </c>
    </row>
    <row r="21" ht="48" customHeight="1">
      <c r="A21" s="35" t="inlineStr">
        <is>
          <t>D-12</t>
        </is>
      </c>
      <c r="B21" s="35" t="inlineStr">
        <is>
          <t>F-DT-03</t>
        </is>
      </c>
      <c r="C21" s="35" t="inlineStr">
        <is>
          <t>Adscripción a Matorral Andino subhúmedo preliminar</t>
        </is>
      </c>
      <c r="D21" s="12" t="inlineStr">
        <is>
          <t>NO SUSTANTIVA</t>
        </is>
      </c>
      <c r="E21" s="35" t="inlineStr">
        <is>
          <t>Verificar por intersección con la capa nacional de ecosistemas del MINAM</t>
        </is>
      </c>
    </row>
    <row r="22" ht="48" customHeight="1">
      <c r="A22" s="33" t="inlineStr">
        <is>
          <t>D-13</t>
        </is>
      </c>
      <c r="B22" s="33" t="inlineStr">
        <is>
          <t>F-DT-04</t>
        </is>
      </c>
      <c r="C22" s="33" t="inlineStr">
        <is>
          <t>Diez causas no consignadas quedan SIN VERIFICAR</t>
        </is>
      </c>
      <c r="D22" s="36" t="inlineStr">
        <is>
          <t>SUSTANTIVA</t>
        </is>
      </c>
      <c r="E22" s="33" t="inlineStr">
        <is>
          <t>No interpretar como ausencia</t>
        </is>
      </c>
    </row>
    <row r="23" ht="48" customHeight="1">
      <c r="A23" s="35" t="inlineStr">
        <is>
          <t>D-14</t>
        </is>
      </c>
      <c r="B23" s="35" t="inlineStr">
        <is>
          <t>F-DT-05</t>
        </is>
      </c>
      <c r="C23" s="35" t="inlineStr">
        <is>
          <t>Inventario de fuentes de agua vacío; JASS, captación, señal, tiempos, alojamiento y Ronda no levantados</t>
        </is>
      </c>
      <c r="D23" s="36" t="inlineStr">
        <is>
          <t>SUSTANTIVA</t>
        </is>
      </c>
      <c r="E23" s="35" t="inlineStr">
        <is>
          <t>Pendientes de la siguiente salida</t>
        </is>
      </c>
    </row>
    <row r="25">
      <c r="A25" s="16" t="inlineStr">
        <is>
          <t>RESUMEN</t>
        </is>
      </c>
      <c r="B25" s="17" t="inlineStr">
        <is>
          <t>14 verificaciones</t>
        </is>
      </c>
      <c r="C25" s="17" t="inlineStr">
        <is>
          <t>CONFORME: 2 · NO SUSTANTIVA: 2 · SUSTANTIVA: 10</t>
        </is>
      </c>
      <c r="D25" s="17" t="inlineStr"/>
      <c r="E25" s="17" t="inlineStr"/>
    </row>
    <row r="27" ht="60" customHeight="1">
      <c r="A27"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E2"/>
    <mergeCell ref="A1:E1"/>
    <mergeCell ref="A5:E5"/>
    <mergeCell ref="A8:E8"/>
    <mergeCell ref="A6:E6"/>
    <mergeCell ref="A27:E27"/>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70 — IN Piura</dc:title>
  <dc:subject>Diagnóstico Territorial por bloque de intervención</dc:subject>
  <dcterms:created xsi:type="dcterms:W3CDTF">2026-09-08T03:39:59Z</dcterms:created>
  <dcterms:modified xsi:type="dcterms:W3CDTF">2026-09-08T03:39:59Z</dcterms:modified>
</cp:coreProperties>
</file>