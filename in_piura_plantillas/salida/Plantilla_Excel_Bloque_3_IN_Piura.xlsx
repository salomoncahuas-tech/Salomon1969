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t>
        </is>
      </c>
      <c r="C9" s="6" t="inlineStr">
        <is>
          <t>Microcuenca (catálogo)</t>
        </is>
      </c>
      <c r="D9" s="7" t="inlineStr">
        <is>
          <t>C1096-Q9545</t>
        </is>
      </c>
      <c r="E9" s="8" t="n"/>
      <c r="F9" s="8" t="n"/>
    </row>
    <row r="10">
      <c r="A10" s="6" t="inlineStr">
        <is>
          <t>Zona de planificación</t>
        </is>
      </c>
      <c r="B10" s="7" t="inlineStr">
        <is>
          <t>Z02</t>
        </is>
      </c>
      <c r="C10" s="6" t="inlineStr">
        <is>
          <t>Microcuenca declarada en ficha DT</t>
        </is>
      </c>
      <c r="D10" s="7" t="inlineStr">
        <is>
          <t>C1096-Q9545</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Huayabal</t>
        </is>
      </c>
      <c r="C13" s="6" t="inlineStr">
        <is>
          <t>Comunidad campesina</t>
        </is>
      </c>
      <c r="D13" s="7" t="inlineStr">
        <is>
          <t>Por verificar</t>
        </is>
      </c>
      <c r="E13" s="8" t="n"/>
      <c r="F13" s="8" t="n"/>
    </row>
    <row r="14">
      <c r="A14" s="6" t="inlineStr">
        <is>
          <t>Superficie de catálogo (V5/V6), ha</t>
        </is>
      </c>
      <c r="B14" s="7" t="n">
        <v>459.29</v>
      </c>
      <c r="C14" s="6" t="inlineStr">
        <is>
          <t>Fuente de superficie</t>
        </is>
      </c>
      <c r="D14" s="7" t="inlineStr">
        <is>
          <t>Catálogo maestro Bloques V5/V6</t>
        </is>
      </c>
      <c r="E14" s="8" t="n"/>
      <c r="F14" s="8" t="n"/>
    </row>
    <row r="15">
      <c r="A15" s="6" t="inlineStr">
        <is>
          <t>Centroide UTM ESTE (m)</t>
        </is>
      </c>
      <c r="B15" s="7" t="n">
        <v>606816</v>
      </c>
      <c r="C15" s="6" t="inlineStr">
        <is>
          <t>Centroide UTM NORTE (m)</t>
        </is>
      </c>
      <c r="D15" s="7" t="n">
        <v>9458469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951</v>
      </c>
      <c r="C19" s="6" t="inlineStr">
        <is>
          <t>Altitud máxima (msnm)</t>
        </is>
      </c>
      <c r="D19" s="7" t="n">
        <v>2173</v>
      </c>
      <c r="E19" s="8" t="n"/>
      <c r="F19" s="8" t="n"/>
    </row>
    <row r="20">
      <c r="A20" s="6" t="inlineStr">
        <is>
          <t>Amplitud altitudinal (m)</t>
        </is>
      </c>
      <c r="B20" s="7" t="n">
        <v>1222</v>
      </c>
      <c r="C20" s="6" t="inlineStr">
        <is>
          <t>Piso altitudinal dominante</t>
        </is>
      </c>
      <c r="D20" s="7" t="inlineStr">
        <is>
          <t>1500-2000 m (Quechua media)</t>
        </is>
      </c>
      <c r="E20" s="8" t="n"/>
      <c r="F20" s="8" t="n"/>
    </row>
    <row r="21">
      <c r="A21" s="6" t="inlineStr">
        <is>
          <t>Pendiente promedio (%)</t>
        </is>
      </c>
      <c r="B21" s="7" t="n">
        <v>29.52</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0.5677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(57.21 %)</t>
        </is>
      </c>
      <c r="E29" s="8" t="n"/>
      <c r="F29" s="8" t="n"/>
    </row>
    <row r="30">
      <c r="A30" s="6" t="inlineStr">
        <is>
          <t>Superficie clasificada NDVI 2025 (ha)</t>
        </is>
      </c>
      <c r="B30" s="7" t="n">
        <v>459.532</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434.20 ha Zona agrícola (total bloque 459.29 ha)</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≈85</t>
        </is>
      </c>
      <c r="E35" s="8" t="n"/>
      <c r="F35" s="8" t="n"/>
    </row>
    <row r="36">
      <c r="A36" s="6" t="inlineStr">
        <is>
          <t>Suelo desnudo — campo (%)</t>
        </is>
      </c>
      <c r="B36" s="7" t="inlineStr">
        <is>
          <t>≈10</t>
        </is>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2</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2026-06-26</t>
        </is>
      </c>
      <c r="E41" s="8" t="n"/>
      <c r="F41" s="8" t="n"/>
    </row>
    <row r="42">
      <c r="A42" s="6" t="inlineStr">
        <is>
          <t>Hora de registro</t>
        </is>
      </c>
      <c r="B42" s="7" t="inlineStr">
        <is>
          <t>11:15 a.m. - 1:34 p.m.</t>
        </is>
      </c>
      <c r="C42" s="6" t="inlineStr">
        <is>
          <t>Correlativo de ficha</t>
        </is>
      </c>
      <c r="D42" s="7" t="inlineStr">
        <is>
          <t>DT-B3-2026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reconocimiento</t>
        </is>
      </c>
      <c r="E44" s="8" t="n"/>
      <c r="F44" s="8" t="n"/>
    </row>
    <row r="45">
      <c r="A45" s="6" t="inlineStr">
        <is>
          <t>Estaciones fotográficas georreferenciadas</t>
        </is>
      </c>
      <c r="B45" s="7" t="n">
        <v>15</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de subsistencia sobre laderas de fuerte pendiente,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0.567707</v>
      </c>
      <c r="C15" s="17" t="inlineStr">
        <is>
          <t>—</t>
        </is>
      </c>
      <c r="D15" s="17" t="inlineStr">
        <is>
          <t>Vigor moderado · clase 0.4976 - 0.6139</t>
        </is>
      </c>
      <c r="E15" s="17" t="inlineStr">
        <is>
          <t>Sobre umbral</t>
        </is>
      </c>
    </row>
    <row r="17" ht="72" customHeight="1">
      <c r="A17" s="9" t="inlineStr">
        <is>
          <t>NOTA METODOLÓGICA. La media del MSAVI 2024 del bloque (0.567707)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262.8806</v>
      </c>
      <c r="C21" s="19" t="n">
        <v>57.21</v>
      </c>
      <c r="D21" s="11" t="inlineStr">
        <is>
          <t>Dosel continuo, matorral denso o mosaico agroforestal</t>
        </is>
      </c>
      <c r="E21" s="11" t="inlineStr"/>
    </row>
    <row r="22">
      <c r="A22" s="14" t="inlineStr">
        <is>
          <t>Vegetación mediana</t>
        </is>
      </c>
      <c r="B22" s="20" t="n">
        <v>189.5765</v>
      </c>
      <c r="C22" s="21" t="n">
        <v>41.25</v>
      </c>
      <c r="D22" s="15" t="inlineStr">
        <is>
          <t>Pastizal cultivado, matorral ralo, parcelas agrícolas</t>
        </is>
      </c>
      <c r="E22" s="15" t="inlineStr"/>
    </row>
    <row r="23">
      <c r="A23" s="7" t="inlineStr">
        <is>
          <t>Vegetación ligera</t>
        </is>
      </c>
      <c r="B23" s="18" t="n">
        <v>7.0266</v>
      </c>
      <c r="C23" s="19" t="n">
        <v>1.53</v>
      </c>
      <c r="D23" s="11" t="inlineStr">
        <is>
          <t>Cobertura discontinua, suelo parcialmente expuesto</t>
        </is>
      </c>
      <c r="E23" s="11" t="inlineStr"/>
    </row>
    <row r="24">
      <c r="A24" s="14" t="inlineStr">
        <is>
          <t>Tierra desnuda</t>
        </is>
      </c>
      <c r="B24" s="20" t="n">
        <v>0.0486</v>
      </c>
      <c r="C24" s="21" t="n">
        <v>0.01</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459.29</v>
      </c>
      <c r="C26" s="25" t="inlineStr">
        <is>
          <t>—</t>
        </is>
      </c>
      <c r="D26" s="25" t="inlineStr">
        <is>
          <t>Desviación planimétrica frente al catálogo</t>
        </is>
      </c>
      <c r="E26" s="25" t="inlineStr">
        <is>
          <t>+0.05 %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t>
        </is>
      </c>
    </row>
    <row r="6" ht="24" customHeight="1">
      <c r="A6" s="4" t="inlineStr">
        <is>
          <t>Levantamiento del 2026-06-26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605299</v>
      </c>
      <c r="D10" s="26" t="n">
        <v>9458681</v>
      </c>
      <c r="E10" s="11" t="n">
        <v>1531.7</v>
      </c>
      <c r="F10" s="11" t="inlineStr"/>
      <c r="G10" s="11" t="inlineStr">
        <is>
          <t>Coordenada consignada en F-DT-01</t>
        </is>
      </c>
    </row>
    <row r="11">
      <c r="A11" s="14" t="inlineStr">
        <is>
          <t>C-01</t>
        </is>
      </c>
      <c r="B11" s="15" t="inlineStr">
        <is>
          <t>Rasgo erosivo — Cárcava incipiente (30-50 cm)</t>
        </is>
      </c>
      <c r="C11" s="27" t="n">
        <v>607136</v>
      </c>
      <c r="D11" s="27" t="n">
        <v>9459234</v>
      </c>
      <c r="E11" s="15" t="n">
        <v>829.2</v>
      </c>
      <c r="F11" s="15" t="inlineStr">
        <is>
          <t>Activa</t>
        </is>
      </c>
      <c r="G11" s="15" t="inlineStr">
        <is>
          <t>Caminos / huellas de ganado</t>
        </is>
      </c>
    </row>
    <row r="12">
      <c r="A12" s="7" t="inlineStr">
        <is>
          <t>C-02</t>
        </is>
      </c>
      <c r="B12" s="11" t="inlineStr">
        <is>
          <t>Rasgo erosivo — Surco (&lt;30 cm)</t>
        </is>
      </c>
      <c r="C12" s="26" t="n">
        <v>607148</v>
      </c>
      <c r="D12" s="26" t="n">
        <v>9459234</v>
      </c>
      <c r="E12" s="11" t="n">
        <v>833.9</v>
      </c>
      <c r="F12" s="11" t="inlineStr">
        <is>
          <t>Activa</t>
        </is>
      </c>
      <c r="G12" s="11" t="inlineStr">
        <is>
          <t>Caminos / huellas de ganado</t>
        </is>
      </c>
    </row>
    <row r="13">
      <c r="A13" s="14" t="inlineStr">
        <is>
          <t>H-01</t>
        </is>
      </c>
      <c r="B13" s="15" t="inlineStr">
        <is>
          <t>Fuente de agua — Quebrada estacional</t>
        </is>
      </c>
      <c r="C13" s="27" t="n">
        <v>606000</v>
      </c>
      <c r="D13" s="27" t="n">
        <v>9459000</v>
      </c>
      <c r="E13" s="15" t="n">
        <v>973.6</v>
      </c>
      <c r="F13" s="15" t="inlineStr">
        <is>
          <t>Estacional (lluvias)</t>
        </is>
      </c>
      <c r="G13" s="15" t="inlineStr">
        <is>
          <t>Quebrada tributaria</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606816</v>
      </c>
      <c r="C16" s="6" t="inlineStr">
        <is>
          <t>Centroide del bloque — UTM NORTE (m)</t>
        </is>
      </c>
      <c r="D16" s="7" t="n">
        <v>9458469</v>
      </c>
      <c r="E16" s="8" t="n"/>
      <c r="F16" s="8" t="n"/>
      <c r="G16" s="8" t="n"/>
      <c r="H16" s="8" t="n"/>
    </row>
    <row r="17">
      <c r="A17" s="6" t="inlineStr">
        <is>
          <t>N.° de estaciones fotográficas declaradas</t>
        </is>
      </c>
      <c r="B17" s="7" t="n">
        <v>15</v>
      </c>
      <c r="C17" s="6" t="inlineStr">
        <is>
          <t>Estaciones dentro del polígono</t>
        </is>
      </c>
      <c r="D17" s="7" t="inlineStr">
        <is>
          <t>Por determinar</t>
        </is>
      </c>
      <c r="E17" s="8" t="n"/>
      <c r="F17" s="8" t="n"/>
      <c r="G17" s="8" t="n"/>
      <c r="H17" s="8" t="n"/>
    </row>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observado 1328-1803 msnm (perfil Google Earth, 1.47 km; pendiente media 31.9%, máx 46.4%). La app fotográfica no registró altitud GPS. Un registro presentó coordenada anómala (17M 539535 9428686), descartada. Escarpes/erosión localizados en taludes de camino y sendas de ganado, no en superficie natural.</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3</t>
        </is>
      </c>
    </row>
    <row r="6" ht="24" customHeight="1">
      <c r="A6" s="4" t="inlineStr">
        <is>
          <t>Distrito de Frias · Provincia de Ayabaca · Comparación de los bloques preliminares de intervención de la misma microcuenca</t>
        </is>
      </c>
    </row>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3</t>
        </is>
      </c>
      <c r="B10" s="28" t="n">
        <v>459.29</v>
      </c>
      <c r="C10" s="29" t="n">
        <v>56.38</v>
      </c>
      <c r="D10" s="13" t="inlineStr">
        <is>
          <t>951 – 2173</t>
        </is>
      </c>
      <c r="E10" s="13" t="n">
        <v>1222</v>
      </c>
      <c r="F10" s="13" t="n">
        <v>29.52</v>
      </c>
      <c r="G10" s="30" t="n">
        <v>0.5677</v>
      </c>
      <c r="H10" s="29" t="n">
        <v>57.21</v>
      </c>
    </row>
    <row r="11">
      <c r="A11" s="14" t="inlineStr">
        <is>
          <t>M9B1</t>
        </is>
      </c>
      <c r="B11" s="31" t="n">
        <v>355.36</v>
      </c>
      <c r="C11" s="21" t="n">
        <v>43.62</v>
      </c>
      <c r="D11" s="15" t="inlineStr">
        <is>
          <t>147 – 265</t>
        </is>
      </c>
      <c r="E11" s="15" t="n">
        <v>118</v>
      </c>
      <c r="F11" s="15" t="n">
        <v>10.17</v>
      </c>
      <c r="G11" s="20" t="n">
        <v>0.3143</v>
      </c>
      <c r="H11" s="21" t="n">
        <v>0.15</v>
      </c>
    </row>
    <row r="12">
      <c r="A12" s="16" t="inlineStr">
        <is>
          <t>TOTAL / PROMEDIO</t>
        </is>
      </c>
      <c r="B12" s="32">
        <f>SUM(B10:B11)</f>
        <v/>
      </c>
      <c r="C12" s="23">
        <f>SUM(C10:C11)</f>
        <v/>
      </c>
      <c r="D12" s="17" t="inlineStr">
        <is>
          <t>147 – 2173</t>
        </is>
      </c>
      <c r="E12" s="17" t="inlineStr"/>
      <c r="F12" s="17">
        <f>ROUND(AVERAGE(F10:F11),2)</f>
        <v/>
      </c>
      <c r="G12" s="22">
        <f>ROUND(AVERAGE(G10:G11),4)</f>
        <v/>
      </c>
      <c r="H12" s="23">
        <f>ROUND(AVERAGE(H10:H11),2)</f>
        <v/>
      </c>
    </row>
    <row r="14" ht="84" customHeight="1">
      <c r="A14" s="9" t="inlineStr">
        <is>
          <t>LECTURA INTRAMICROCUENCA. El bloque 3 ocupa el puesto 1 de 2 por superficie dentro de la microcuenca C1096-Q9545 (56.38 % de las 814.65 ha preliminares de la microcuenca). Su pendiente promedio (29.52 %, clase «25-50% (Mod. escarpado)») es la 2.ª más baja de 2 y se sitúa por encima del promedio de la microcuenca (19.84 %). Su MSAVI 2024 (0.5677) es el 1.º de 2 y queda por encima del promedio local (0.4410). Amplitud altitudinal del bloque: 1222 m (951–2173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«C1096-Q9545»</t>
        </is>
      </c>
      <c r="D10" s="34" t="inlineStr">
        <is>
          <t>CONFORME</t>
        </is>
      </c>
      <c r="E10" s="33" t="inlineStr">
        <is>
          <t>Sin acción.</t>
        </is>
      </c>
    </row>
    <row r="11" ht="48" customHeight="1">
      <c r="A11" s="35" t="inlineStr">
        <is>
          <t>D-02</t>
        </is>
      </c>
      <c r="B11" s="35" t="inlineStr">
        <is>
          <t>UTM del punto de muestreo</t>
        </is>
      </c>
      <c r="C11" s="35" t="inlineStr">
        <is>
          <t>El punto de muestreo declarado (605299 E / 9458681 N) dista 1,532 m del centroide de catálogo (606816 E / 9458469 N), distancia incompatible con la superficie del bloque (459.29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(459.532 ha) coincide con la de catálogo (459.29 ha) dentro del ±2 % (+0.05 %)</t>
        </is>
      </c>
      <c r="D12" s="34" t="inlineStr">
        <is>
          <t>CONFORME</t>
        </is>
      </c>
      <c r="E12" s="33" t="inlineStr">
        <is>
          <t>Sin acción: la segmentación valida la geometría del bloque.</t>
        </is>
      </c>
    </row>
    <row r="13" ht="48" customHeight="1">
      <c r="A13" s="35" t="inlineStr">
        <is>
          <t>D-04</t>
        </is>
      </c>
      <c r="B13" s="35" t="inlineStr">
        <is>
          <t>Altitud GPS del punto de muestreo</t>
        </is>
      </c>
      <c r="C13" s="35" t="inlineStr">
        <is>
          <t>La aplicación de captura no registró altitud GPS en campo</t>
        </is>
      </c>
      <c r="D13" s="13" t="inlineStr">
        <is>
          <t>NO SUSTANTIVA</t>
        </is>
      </c>
      <c r="E13" s="35" t="inlineStr">
        <is>
          <t>El rango altitudinal del bloque (951–2173 msnm) y la pendiente promedio (29.52 %) se toman de la estadística zonal sobre el MDE, no de medición de campo. Se declara la fuente.</t>
        </is>
      </c>
    </row>
    <row r="14" ht="48" customHeight="1">
      <c r="A14" s="33" t="inlineStr">
        <is>
          <t>D-05</t>
        </is>
      </c>
      <c r="B14" s="33" t="inlineStr">
        <is>
          <t>Dimensiones del inventario de cárcavas</t>
        </is>
      </c>
      <c r="C14" s="33" t="inlineStr">
        <is>
          <t>Se registran 2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11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«Huayabal»; el cruce INEI-Bloques V5 identifica 5 centro(s) poblado(s) en el bloque: EL MIRADOR, HUASIPE DE GERALDO, HUAYABAL, LOS CHECCHES, RINCON DE GERALDO</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3 · NO SUSTANTIVA: 2 · SUSTANTIVA: 3</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 — IN Piura</dc:title>
  <dc:subject>Diagnóstico Territorial por bloque de intervención</dc:subject>
  <dcterms:created xsi:type="dcterms:W3CDTF">2026-09-08T03:39:53Z</dcterms:created>
  <dcterms:modified xsi:type="dcterms:W3CDTF">2026-09-08T03:39:53Z</dcterms:modified>
</cp:coreProperties>
</file>