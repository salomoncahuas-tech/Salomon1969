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t>
        </is>
      </c>
      <c r="C9" s="6" t="inlineStr">
        <is>
          <t>Microcuenca (catálogo)</t>
        </is>
      </c>
      <c r="D9" s="7" t="inlineStr">
        <is>
          <t>C1096-Q9545</t>
        </is>
      </c>
      <c r="E9" s="8" t="n"/>
      <c r="F9" s="8" t="n"/>
    </row>
    <row r="10">
      <c r="A10" s="6" t="inlineStr">
        <is>
          <t>Zona de planificación</t>
        </is>
      </c>
      <c r="B10" s="7" t="inlineStr">
        <is>
          <t>Z02</t>
        </is>
      </c>
      <c r="C10" s="6" t="inlineStr">
        <is>
          <t>Microcuenca declarada en ficha DT</t>
        </is>
      </c>
      <c r="D10" s="7" t="inlineStr">
        <is>
          <t>C1096-Q9545</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Huayabal</t>
        </is>
      </c>
      <c r="C13" s="6" t="inlineStr">
        <is>
          <t>Comunidad campesina</t>
        </is>
      </c>
      <c r="D13" s="7" t="inlineStr">
        <is>
          <t>Por verificar</t>
        </is>
      </c>
      <c r="E13" s="8" t="n"/>
      <c r="F13" s="8" t="n"/>
    </row>
    <row r="14">
      <c r="A14" s="6" t="inlineStr">
        <is>
          <t>Superficie de catálogo (V5/V6), ha</t>
        </is>
      </c>
      <c r="B14" s="7" t="n">
        <v>459.29</v>
      </c>
      <c r="C14" s="6" t="inlineStr">
        <is>
          <t>Fuente de superficie</t>
        </is>
      </c>
      <c r="D14" s="7" t="inlineStr">
        <is>
          <t>Catálogo maestro Bloques V5/V6</t>
        </is>
      </c>
      <c r="E14" s="8" t="n"/>
      <c r="F14" s="8" t="n"/>
    </row>
    <row r="15">
      <c r="A15" s="6" t="inlineStr">
        <is>
          <t>Centroide UTM ESTE (m)</t>
        </is>
      </c>
      <c r="B15" s="7" t="n">
        <v>606816</v>
      </c>
      <c r="C15" s="6" t="inlineStr">
        <is>
          <t>Centroide UTM NORTE (m)</t>
        </is>
      </c>
      <c r="D15" s="7" t="n">
        <v>9458469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951</v>
      </c>
      <c r="C19" s="6" t="inlineStr">
        <is>
          <t>Altitud máxima (msnm)</t>
        </is>
      </c>
      <c r="D19" s="7" t="n">
        <v>2173</v>
      </c>
      <c r="E19" s="8" t="n"/>
      <c r="F19" s="8" t="n"/>
    </row>
    <row r="20">
      <c r="A20" s="6" t="inlineStr">
        <is>
          <t>Amplitud altitudinal (m)</t>
        </is>
      </c>
      <c r="B20" s="7" t="n">
        <v>1222</v>
      </c>
      <c r="C20" s="6" t="inlineStr">
        <is>
          <t>Piso altitudinal dominante</t>
        </is>
      </c>
      <c r="D20" s="7" t="inlineStr">
        <is>
          <t>1500-2000 m (Quechua media)</t>
        </is>
      </c>
      <c r="E20" s="8" t="n"/>
      <c r="F20" s="8" t="n"/>
    </row>
    <row r="21">
      <c r="A21" s="6" t="inlineStr">
        <is>
          <t>Pendiente promedio (%)</t>
        </is>
      </c>
      <c r="B21" s="7" t="n">
        <v>29.52</v>
      </c>
      <c r="C21" s="6" t="inlineStr">
        <is>
          <t>Pendiente promedio (grados)</t>
        </is>
      </c>
      <c r="D21" s="7" t="n">
        <v>16.4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0.5677</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29.28 % del bloque BAJO el umbral (134.480 ha de 459.290 ha)</t>
        </is>
      </c>
      <c r="C29" s="6" t="inlineStr">
        <is>
          <t>NDVI mediana 2025 — clase modal</t>
        </is>
      </c>
      <c r="D29" s="7" t="inlineStr">
        <is>
          <t>Vegetación alta (57.21 %)</t>
        </is>
      </c>
      <c r="E29" s="8" t="n"/>
      <c r="F29" s="8" t="n"/>
    </row>
    <row r="30">
      <c r="A30" s="6" t="inlineStr">
        <is>
          <t>MSAVI 2024 — superficie BAJO el umbral 0.4976 (ha)</t>
        </is>
      </c>
      <c r="B30" s="7" t="n">
        <v>134.48</v>
      </c>
      <c r="C30" s="6" t="inlineStr">
        <is>
          <t>MSAVI 2024 — % del bloque BAJO el umbral</t>
        </is>
      </c>
      <c r="D30" s="7" t="n">
        <v>29.28</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(3.png)</t>
        </is>
      </c>
      <c r="E31" s="8" t="n"/>
      <c r="F31" s="8" t="n"/>
    </row>
    <row r="32" ht="18" customHeight="1">
      <c r="A32" s="6" t="inlineStr">
        <is>
          <t>Superficie clasificada NDVI 2025 (ha)</t>
        </is>
      </c>
      <c r="B32" s="7" t="n">
        <v>459.532</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434.20 ha Zona agrícola (total bloque 459.29 ha)</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≈85</t>
        </is>
      </c>
      <c r="E37" s="8" t="n"/>
      <c r="F37" s="8" t="n"/>
    </row>
    <row r="38">
      <c r="A38" s="6" t="inlineStr">
        <is>
          <t>Suelo desnudo — campo (%)</t>
        </is>
      </c>
      <c r="B38" s="7" t="inlineStr">
        <is>
          <t>≈10</t>
        </is>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2</v>
      </c>
      <c r="E39" s="8" t="n"/>
      <c r="F39" s="8" t="n"/>
    </row>
    <row r="40" ht="18" customHeight="1">
      <c r="A40" s="6" t="inlineStr">
        <is>
          <t>Elenco florístico (n.° de taxones)</t>
        </is>
      </c>
      <c r="B40" s="7" t="n">
        <v>11</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t>
        </is>
      </c>
      <c r="C43" s="6" t="inlineStr">
        <is>
          <t>Fecha de evaluación</t>
        </is>
      </c>
      <c r="D43" s="7" t="inlineStr">
        <is>
          <t>2026-06-26</t>
        </is>
      </c>
      <c r="E43" s="8" t="n"/>
      <c r="F43" s="8" t="n"/>
    </row>
    <row r="44">
      <c r="A44" s="6" t="inlineStr">
        <is>
          <t>Hora de registro</t>
        </is>
      </c>
      <c r="B44" s="7" t="inlineStr">
        <is>
          <t>11:15 a.m. - 1:34 p.m.</t>
        </is>
      </c>
      <c r="C44" s="6" t="inlineStr">
        <is>
          <t>Correlativo de ficha</t>
        </is>
      </c>
      <c r="D44" s="7" t="inlineStr">
        <is>
          <t>DT-B3-2026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Recorrido de reconocimiento</t>
        </is>
      </c>
      <c r="E46" s="8" t="n"/>
      <c r="F46" s="8" t="n"/>
    </row>
    <row r="47" ht="18" customHeight="1">
      <c r="A47" s="6" t="inlineStr">
        <is>
          <t>Estaciones fotográficas georreferenciadas</t>
        </is>
      </c>
      <c r="B47" s="7" t="n">
        <v>15</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agropecuaria de subsistencia sobre laderas de fuerte pendiente, sin prácticas de conservación de suelos.</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150.6471</v>
      </c>
      <c r="C10" s="19" t="n">
        <v>32.8</v>
      </c>
      <c r="D10" s="11" t="inlineStr">
        <is>
          <t>Vigor alto</t>
        </is>
      </c>
      <c r="E10" s="11" t="inlineStr">
        <is>
          <t>Sobre umbral</t>
        </is>
      </c>
    </row>
    <row r="11">
      <c r="A11" s="12" t="inlineStr">
        <is>
          <t>0.4976 - 0.6139</t>
        </is>
      </c>
      <c r="B11" s="30" t="n">
        <v>174.1628</v>
      </c>
      <c r="C11" s="29" t="n">
        <v>37.92</v>
      </c>
      <c r="D11" s="13" t="inlineStr">
        <is>
          <t>Vigor moderado</t>
        </is>
      </c>
      <c r="E11" s="13" t="inlineStr">
        <is>
          <t>Sobre umbral</t>
        </is>
      </c>
    </row>
    <row r="12">
      <c r="A12" s="7" t="inlineStr">
        <is>
          <t>0.3813 - 0.4976</t>
        </is>
      </c>
      <c r="B12" s="18" t="n">
        <v>128.8308</v>
      </c>
      <c r="C12" s="19" t="n">
        <v>28.05</v>
      </c>
      <c r="D12" s="11" t="inlineStr">
        <is>
          <t>Vigor bajo</t>
        </is>
      </c>
      <c r="E12" s="11" t="inlineStr">
        <is>
          <t>BAJO umbral 0.4976</t>
        </is>
      </c>
    </row>
    <row r="13">
      <c r="A13" s="14" t="inlineStr">
        <is>
          <t>0.2650 - 0.3813</t>
        </is>
      </c>
      <c r="B13" s="20" t="n">
        <v>5.6493</v>
      </c>
      <c r="C13" s="21" t="n">
        <v>1.23</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0.567707</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262.8806</v>
      </c>
      <c r="C22" s="19" t="n">
        <v>57.21</v>
      </c>
      <c r="D22" s="11" t="inlineStr">
        <is>
          <t>Dosel continuo, matorral denso o mosaico agroforestal</t>
        </is>
      </c>
      <c r="E22" s="11" t="inlineStr"/>
    </row>
    <row r="23">
      <c r="A23" s="14" t="inlineStr">
        <is>
          <t>Vegetación mediana</t>
        </is>
      </c>
      <c r="B23" s="20" t="n">
        <v>189.5765</v>
      </c>
      <c r="C23" s="21" t="n">
        <v>41.25</v>
      </c>
      <c r="D23" s="15" t="inlineStr">
        <is>
          <t>Pastizal cultivado, matorral ralo, parcelas agrícolas</t>
        </is>
      </c>
      <c r="E23" s="15" t="inlineStr"/>
    </row>
    <row r="24">
      <c r="A24" s="7" t="inlineStr">
        <is>
          <t>Vegetación ligera</t>
        </is>
      </c>
      <c r="B24" s="18" t="n">
        <v>7.0266</v>
      </c>
      <c r="C24" s="19" t="n">
        <v>1.53</v>
      </c>
      <c r="D24" s="11" t="inlineStr">
        <is>
          <t>Cobertura discontinua, suelo parcialmente expuesto</t>
        </is>
      </c>
      <c r="E24" s="11" t="inlineStr"/>
    </row>
    <row r="25">
      <c r="A25" s="14" t="inlineStr">
        <is>
          <t>Tierra desnuda</t>
        </is>
      </c>
      <c r="B25" s="20" t="n">
        <v>0.0486</v>
      </c>
      <c r="C25" s="21" t="n">
        <v>0.01</v>
      </c>
      <c r="D25" s="15" t="inlineStr">
        <is>
          <t>Suelo desnudo, afloramientos, plataformas y taludes</t>
        </is>
      </c>
      <c r="E25" s="15" t="inlineStr"/>
    </row>
    <row r="26">
      <c r="A26" s="16" t="inlineStr">
        <is>
          <t>TOTAL CLASIFICADO</t>
        </is>
      </c>
      <c r="B26" s="22">
        <f>SUM(B21:B24)</f>
        <v/>
      </c>
      <c r="C26" s="23">
        <f>SUM(C21:C24)</f>
        <v/>
      </c>
      <c r="D26" s="17" t="inlineStr"/>
      <c r="E26" s="17" t="inlineStr"/>
    </row>
    <row r="27">
      <c r="A27" s="24" t="inlineStr">
        <is>
          <t>Superficie de catálogo (V5/V6)</t>
        </is>
      </c>
      <c r="B27" s="25" t="n">
        <v>459.29</v>
      </c>
      <c r="C27" s="25" t="inlineStr">
        <is>
          <t>—</t>
        </is>
      </c>
      <c r="D27" s="25" t="inlineStr">
        <is>
          <t>Desviación planimétrica frente al catálogo</t>
        </is>
      </c>
      <c r="E27" s="25" t="inlineStr">
        <is>
          <t>+0.05 %</t>
        </is>
      </c>
    </row>
    <row r="28" ht="72"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9" s="37" t="n"/>
      <c r="C29" s="37" t="n"/>
      <c r="D29" s="37" t="n"/>
      <c r="E29" s="38"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t>
        </is>
      </c>
    </row>
    <row r="6" ht="24" customHeight="1">
      <c r="A6" s="4" t="inlineStr">
        <is>
          <t>Levantamiento del 2026-06-26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605299</v>
      </c>
      <c r="D10" s="26" t="n">
        <v>9458681</v>
      </c>
      <c r="E10" s="11" t="n">
        <v>1531.7</v>
      </c>
      <c r="F10" s="11" t="inlineStr"/>
      <c r="G10" s="11" t="inlineStr">
        <is>
          <t>Coordenada consignada en F-DT-01</t>
        </is>
      </c>
    </row>
    <row r="11">
      <c r="A11" s="14" t="inlineStr">
        <is>
          <t>C-01</t>
        </is>
      </c>
      <c r="B11" s="15" t="inlineStr">
        <is>
          <t>Rasgo erosivo — Cárcava incipiente (30-50 cm)</t>
        </is>
      </c>
      <c r="C11" s="27" t="n">
        <v>607136</v>
      </c>
      <c r="D11" s="27" t="n">
        <v>9459234</v>
      </c>
      <c r="E11" s="15" t="n">
        <v>829.2</v>
      </c>
      <c r="F11" s="15" t="inlineStr">
        <is>
          <t>Activa</t>
        </is>
      </c>
      <c r="G11" s="15" t="inlineStr">
        <is>
          <t>Caminos / huellas de ganado</t>
        </is>
      </c>
    </row>
    <row r="12">
      <c r="A12" s="7" t="inlineStr">
        <is>
          <t>C-02</t>
        </is>
      </c>
      <c r="B12" s="11" t="inlineStr">
        <is>
          <t>Rasgo erosivo — Surco (&lt;30 cm)</t>
        </is>
      </c>
      <c r="C12" s="26" t="n">
        <v>607148</v>
      </c>
      <c r="D12" s="26" t="n">
        <v>9459234</v>
      </c>
      <c r="E12" s="11" t="n">
        <v>833.9</v>
      </c>
      <c r="F12" s="11" t="inlineStr">
        <is>
          <t>Activa</t>
        </is>
      </c>
      <c r="G12" s="11" t="inlineStr">
        <is>
          <t>Caminos / huellas de ganado</t>
        </is>
      </c>
    </row>
    <row r="13">
      <c r="A13" s="14" t="inlineStr">
        <is>
          <t>H-01</t>
        </is>
      </c>
      <c r="B13" s="15" t="inlineStr">
        <is>
          <t>Fuente de agua — Quebrada estacional</t>
        </is>
      </c>
      <c r="C13" s="27" t="n">
        <v>606000</v>
      </c>
      <c r="D13" s="27" t="n">
        <v>9459000</v>
      </c>
      <c r="E13" s="15" t="n">
        <v>973.6</v>
      </c>
      <c r="F13" s="15" t="inlineStr">
        <is>
          <t>Estacional (lluvias)</t>
        </is>
      </c>
      <c r="G13" s="15" t="inlineStr">
        <is>
          <t>Quebrada tributaria</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606816</v>
      </c>
      <c r="C16" s="6" t="inlineStr">
        <is>
          <t>Centroide del bloque — UTM NORTE (m)</t>
        </is>
      </c>
      <c r="D16" s="7" t="n">
        <v>9458469</v>
      </c>
      <c r="E16" s="8" t="n"/>
      <c r="F16" s="8" t="n"/>
      <c r="G16" s="8" t="n"/>
      <c r="H16" s="8" t="n"/>
    </row>
    <row r="17">
      <c r="A17" s="6" t="inlineStr">
        <is>
          <t>N.° de estaciones fotográficas declaradas</t>
        </is>
      </c>
      <c r="B17" s="7" t="n">
        <v>15</v>
      </c>
      <c r="C17" s="6" t="inlineStr">
        <is>
          <t>Estaciones dentro del polígono</t>
        </is>
      </c>
      <c r="D17" s="7" t="inlineStr">
        <is>
          <t>Por determinar</t>
        </is>
      </c>
      <c r="E17" s="8" t="n"/>
      <c r="F17" s="8" t="n"/>
      <c r="G17" s="8" t="n"/>
      <c r="H17" s="8" t="n"/>
    </row>
    <row r="19" ht="10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Rango altitudinal observado 1328-1803 msnm (perfil Google Earth, 1.47 km; pendiente media 31.9%, máx 46.4%). La app fotográfica no registró altitud GPS. Un registro presentó coordenada anómala (17M 539535 9428686), descartada. Escarpes/erosión localizados en taludes de camino y sendas de ganado, no en superficie natural.</t>
        </is>
      </c>
      <c r="B19" s="37" t="n"/>
      <c r="C19" s="37" t="n"/>
      <c r="D19" s="37" t="n"/>
      <c r="E19" s="37" t="n"/>
      <c r="F19" s="37" t="n"/>
      <c r="G19" s="38"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C1096-Q9545 — BLOQUE 3</t>
        </is>
      </c>
    </row>
    <row r="6" ht="24" customHeight="1">
      <c r="A6" s="4" t="inlineStr">
        <is>
          <t>Distrito de Frias · Provincia de Ayabaca · Comparación de los bloques preliminares de intervención de la misma microcuenca</t>
        </is>
      </c>
    </row>
    <row r="8" ht="18" customHeight="1">
      <c r="A8" s="5" t="inlineStr">
        <is>
          <t>BLOQUES DE LA MICROCUENCA C1096-Q9545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3</t>
        </is>
      </c>
      <c r="B10" s="28" t="n">
        <v>459.29</v>
      </c>
      <c r="C10" s="29" t="n">
        <v>56.38</v>
      </c>
      <c r="D10" s="13" t="inlineStr">
        <is>
          <t>951 – 2173</t>
        </is>
      </c>
      <c r="E10" s="13" t="n">
        <v>1222</v>
      </c>
      <c r="F10" s="13" t="n">
        <v>29.52</v>
      </c>
      <c r="G10" s="30" t="n">
        <v>0.5677</v>
      </c>
      <c r="H10" s="29" t="n">
        <v>57.21</v>
      </c>
    </row>
    <row r="11">
      <c r="A11" s="14" t="inlineStr">
        <is>
          <t>M9B1</t>
        </is>
      </c>
      <c r="B11" s="31" t="n">
        <v>355.36</v>
      </c>
      <c r="C11" s="21" t="n">
        <v>43.62</v>
      </c>
      <c r="D11" s="15" t="inlineStr">
        <is>
          <t>147 – 265</t>
        </is>
      </c>
      <c r="E11" s="15" t="n">
        <v>118</v>
      </c>
      <c r="F11" s="15" t="n">
        <v>10.17</v>
      </c>
      <c r="G11" s="20" t="n">
        <v>0.3143</v>
      </c>
      <c r="H11" s="21" t="n">
        <v>0.15</v>
      </c>
    </row>
    <row r="12">
      <c r="A12" s="16" t="inlineStr">
        <is>
          <t>TOTAL / PROMEDIO</t>
        </is>
      </c>
      <c r="B12" s="32">
        <f>SUM(B10:B11)</f>
        <v/>
      </c>
      <c r="C12" s="23">
        <f>SUM(C10:C11)</f>
        <v/>
      </c>
      <c r="D12" s="17" t="inlineStr">
        <is>
          <t>147 – 2173</t>
        </is>
      </c>
      <c r="E12" s="17" t="inlineStr"/>
      <c r="F12" s="17">
        <f>ROUND(AVERAGE(F10:F11),2)</f>
        <v/>
      </c>
      <c r="G12" s="22">
        <f>ROUND(AVERAGE(G10:G11),4)</f>
        <v/>
      </c>
      <c r="H12" s="23">
        <f>ROUND(AVERAGE(H10:H11),2)</f>
        <v/>
      </c>
    </row>
    <row r="14" ht="84" customHeight="1">
      <c r="A14" s="9" t="inlineStr">
        <is>
          <t>LECTURA INTRAMICROCUENCA. El bloque 3 ocupa el puesto 1 de 2 por superficie dentro de la microcuenca C1096-Q9545 (56.38 % de las 814.65 ha preliminares de la microcuenca). Su pendiente promedio (29.52 %, clase «25-50% (Mod. escarpado)») es la 2.ª más baja de 2 y se sitúa por encima del promedio de la microcuenca (19.84 %). Su MSAVI 2024 (0.5677) es el 1.º de 2 y queda por encima del promedio local (0.4410). Amplitud altitudinal del bloque: 1222 m (951–2173 msnm). El cuadro conserva todos los bloques catalogados en la microcuenca, incluidos los descartados en el tamizaje, para referencia del conjunto. Los bloques sin ficha DT figuran con sus parámetros de gabinete.</t>
        </is>
      </c>
      <c r="B14" s="37" t="n"/>
      <c r="C14" s="37" t="n"/>
      <c r="D14" s="37" t="n"/>
      <c r="E14" s="37" t="n"/>
      <c r="F14" s="37" t="n"/>
      <c r="G14" s="37" t="n"/>
      <c r="H14" s="38"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6" s="37" t="n"/>
      <c r="C16" s="37" t="n"/>
      <c r="D16" s="37" t="n"/>
      <c r="E16" s="37" t="n"/>
      <c r="F16" s="37" t="n"/>
      <c r="G16" s="37" t="n"/>
      <c r="H16" s="38" t="n"/>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«C1096-Q9545»</t>
        </is>
      </c>
      <c r="D10" s="34" t="inlineStr">
        <is>
          <t>CONFORME</t>
        </is>
      </c>
      <c r="E10" s="33" t="inlineStr">
        <is>
          <t>Sin acción.</t>
        </is>
      </c>
    </row>
    <row r="11" ht="48" customHeight="1">
      <c r="A11" s="35" t="inlineStr">
        <is>
          <t>D-02</t>
        </is>
      </c>
      <c r="B11" s="35" t="inlineStr">
        <is>
          <t>UTM del punto de muestreo</t>
        </is>
      </c>
      <c r="C11" s="35" t="inlineStr">
        <is>
          <t>El punto de muestreo declarado (605299 E / 9458681 N) dista 1,532 m del centroide de catálogo (606816 E / 9458469 N), distancia incompatible con la superficie del bloque (459.29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(459.532 ha) coincide con la de catálogo (459.29 ha) dentro del ±2 % (+0.05 %)</t>
        </is>
      </c>
      <c r="D12" s="34" t="inlineStr">
        <is>
          <t>CONFORME</t>
        </is>
      </c>
      <c r="E12" s="33" t="inlineStr">
        <is>
          <t>Sin acción: la segmentación valida la geometría del bloque.</t>
        </is>
      </c>
    </row>
    <row r="13" ht="48" customHeight="1">
      <c r="A13" s="35" t="inlineStr">
        <is>
          <t>D-04</t>
        </is>
      </c>
      <c r="B13" s="35" t="inlineStr">
        <is>
          <t>Altitud GPS del punto de muestreo</t>
        </is>
      </c>
      <c r="C13" s="35" t="inlineStr">
        <is>
          <t>La aplicación de captura no registró altitud GPS en campo</t>
        </is>
      </c>
      <c r="D13" s="13" t="inlineStr">
        <is>
          <t>NO SUSTANTIVA</t>
        </is>
      </c>
      <c r="E13" s="35" t="inlineStr">
        <is>
          <t>El rango altitudinal del bloque (951–2173 msnm) y la pendiente promedio (29.52 %) se toman de la estadística zonal sobre el MDE, no de medición de campo. Se declara la fuente.</t>
        </is>
      </c>
    </row>
    <row r="14" ht="48" customHeight="1">
      <c r="A14" s="33" t="inlineStr">
        <is>
          <t>D-05</t>
        </is>
      </c>
      <c r="B14" s="33" t="inlineStr">
        <is>
          <t>Dimensiones del inventario de cárcavas</t>
        </is>
      </c>
      <c r="C14" s="33" t="inlineStr">
        <is>
          <t>Se registran 2 rasgos erosivos, pero longitud, profundidad y ancho no fueron medidos instrumentalmente</t>
        </is>
      </c>
      <c r="D14" s="13"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11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«Huayabal»; el cruce INEI-Bloques V5 identifica 5 centro(s) poblado(s) en el bloque: EL MIRADOR, HUASIPE DE GERALDO, HUAYABAL, LOS CHECCHES, RINCON DE GERALDO</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c r="A18" s="35" t="inlineStr">
        <is>
          <t>D-09</t>
        </is>
      </c>
      <c r="B18" s="35" t="inlineStr">
        <is>
          <t>Distribución areal de clases MSAVI 2024</t>
        </is>
      </c>
      <c r="C18" s="35" t="inlineStr">
        <is>
          <t>La hoja «Cobertura MSAVI-NDVI» consignaba «Por determinar» en la distribución areal de clases MSAVI 2024; se incorpora el metrado por clase medido sobre la cartografía temática MSAVI 2024 del bloque: 29.28 % del bloque (134.480 ha) bajo el umbral 0.4976 y 70.72 % sobre el umbral; clase areal dominante «Vigor moderado».</t>
        </is>
      </c>
      <c r="D18" s="36" t="inlineStr">
        <is>
          <t>CORREGIDO</t>
        </is>
      </c>
      <c r="E18"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9"/>
    <row r="20">
      <c r="A20" s="16" t="inlineStr">
        <is>
          <t>RESUMEN</t>
        </is>
      </c>
      <c r="B20" s="17" t="inlineStr">
        <is>
          <t>9 verificaciones</t>
        </is>
      </c>
      <c r="C20" s="17" t="inlineStr">
        <is>
          <t>CONFORME: 3 · NO SUSTANTIVA: 2 · SUSTANTIVA: 3 · CORREGIDO: 1</t>
        </is>
      </c>
      <c r="D20" s="17" t="inlineStr"/>
      <c r="E20" s="17" t="inlineStr"/>
    </row>
    <row r="21" ht="60" customHeight="1"/>
    <row r="22">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37" t="n"/>
      <c r="C22" s="37" t="n"/>
      <c r="D22" s="37" t="n"/>
      <c r="E22" s="38"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 — IN Piura</dc:title>
  <dc:subject>Diagnóstico Territorial por bloque de intervención</dc:subject>
  <dcterms:created xsi:type="dcterms:W3CDTF">2026-09-08T03:39:53Z</dcterms:created>
  <dcterms:modified xsi:type="dcterms:W3CDTF">2026-09-09T14:49:41Z</dcterms:modified>
</cp:coreProperties>
</file>