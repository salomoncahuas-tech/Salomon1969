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57</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57</t>
        </is>
      </c>
      <c r="C9" s="6" t="inlineStr">
        <is>
          <t>Microcuenca (catálogo)</t>
        </is>
      </c>
      <c r="D9" s="7" t="inlineStr">
        <is>
          <t>C1086-Q9576</t>
        </is>
      </c>
      <c r="E9" s="8" t="n"/>
      <c r="F9" s="8" t="n"/>
    </row>
    <row r="10">
      <c r="A10" s="6" t="inlineStr">
        <is>
          <t>Zona de planificación</t>
        </is>
      </c>
      <c r="B10" s="7" t="inlineStr">
        <is>
          <t>Z04</t>
        </is>
      </c>
      <c r="C10" s="6" t="inlineStr">
        <is>
          <t>Microcuenca declarada en ficha DT</t>
        </is>
      </c>
      <c r="D10" s="7" t="inlineStr">
        <is>
          <t>C1086-Q9576</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Chalaco</t>
        </is>
      </c>
      <c r="C12" s="6" t="inlineStr">
        <is>
          <t>Capital distrital</t>
        </is>
      </c>
      <c r="D12" s="7" t="inlineStr">
        <is>
          <t>Chalaco</t>
        </is>
      </c>
      <c r="E12" s="8" t="n"/>
      <c r="F12" s="8" t="n"/>
    </row>
    <row r="13">
      <c r="A13" s="6" t="inlineStr">
        <is>
          <t>Centro poblado asociado</t>
        </is>
      </c>
      <c r="B13" s="7" t="inlineStr">
        <is>
          <t>Taspa (631 621 E · 9 440 841 N; 250 hab.) / San Lorenzo (126 hab.) — ref. Los Lúcumos</t>
        </is>
      </c>
      <c r="C13" s="6" t="inlineStr">
        <is>
          <t>Comunidad campesina</t>
        </is>
      </c>
      <c r="D13" s="7" t="inlineStr">
        <is>
          <t>Comunidad Campesina Chalaco - Trigopampa (según F-DS-03)</t>
        </is>
      </c>
      <c r="E13" s="8" t="n"/>
      <c r="F13" s="8" t="n"/>
    </row>
    <row r="14">
      <c r="A14" s="6" t="inlineStr">
        <is>
          <t>Superficie de catálogo (V5/V6), ha</t>
        </is>
      </c>
      <c r="B14" s="7" t="n">
        <v>25.67</v>
      </c>
      <c r="C14" s="6" t="inlineStr">
        <is>
          <t>Fuente de superficie</t>
        </is>
      </c>
      <c r="D14" s="7" t="inlineStr">
        <is>
          <t>Catálogo maestro Bloques V5/V6</t>
        </is>
      </c>
      <c r="E14" s="8" t="n"/>
      <c r="F14" s="8" t="n"/>
    </row>
    <row r="15">
      <c r="A15" s="6" t="inlineStr">
        <is>
          <t>Centroide UTM ESTE (m)</t>
        </is>
      </c>
      <c r="B15" s="7" t="n">
        <v>631195</v>
      </c>
      <c r="C15" s="6" t="inlineStr">
        <is>
          <t>Centroide UTM NORTE (m)</t>
        </is>
      </c>
      <c r="D15" s="7" t="n">
        <v>9441777</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2306</v>
      </c>
      <c r="C19" s="6" t="inlineStr">
        <is>
          <t>Altitud máxima (msnm)</t>
        </is>
      </c>
      <c r="D19" s="7" t="n">
        <v>2624</v>
      </c>
      <c r="E19" s="8" t="n"/>
      <c r="F19" s="8" t="n"/>
    </row>
    <row r="20">
      <c r="A20" s="6" t="inlineStr">
        <is>
          <t>Amplitud altitudinal (m)</t>
        </is>
      </c>
      <c r="B20" s="7" t="n">
        <v>318</v>
      </c>
      <c r="C20" s="6" t="inlineStr">
        <is>
          <t>Piso altitudinal dominante</t>
        </is>
      </c>
      <c r="D20" s="7" t="inlineStr">
        <is>
          <t>2000-2500 m (Quechua alta)</t>
        </is>
      </c>
      <c r="E20" s="8" t="n"/>
      <c r="F20" s="8" t="n"/>
    </row>
    <row r="21">
      <c r="A21" s="6" t="inlineStr">
        <is>
          <t>Pendiente promedio (%)</t>
        </is>
      </c>
      <c r="B21" s="7" t="n">
        <v>30.44</v>
      </c>
      <c r="C21" s="6" t="inlineStr">
        <is>
          <t>Pendiente promedio (grados)</t>
        </is>
      </c>
      <c r="D21" s="7" t="n">
        <v>16.9</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7" ht="18" customHeight="1">
      <c r="A27" s="5" t="inlineStr">
        <is>
          <t>3. ÍNDICES DE VEGETACIÓN (SENTINEL-2)</t>
        </is>
      </c>
    </row>
    <row r="28">
      <c r="A28" s="6" t="inlineStr">
        <is>
          <t>MSAVI 2024 — media del bloque</t>
        </is>
      </c>
      <c r="B28" s="7" t="n">
        <v>0.6031</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(82.90 %)</t>
        </is>
      </c>
      <c r="E29" s="8" t="n"/>
      <c r="F29" s="8" t="n"/>
    </row>
    <row r="30">
      <c r="A30" s="6" t="inlineStr">
        <is>
          <t>Superficie clasificada NDVI 2025 (ha)</t>
        </is>
      </c>
      <c r="B30" s="7" t="n">
        <v>25.677</v>
      </c>
      <c r="C30" s="6" t="inlineStr">
        <is>
          <t>Desviación frente al catálogo (%)</t>
        </is>
      </c>
      <c r="D30" s="7" t="n">
        <v>0.03</v>
      </c>
      <c r="E30" s="8" t="n"/>
      <c r="F30" s="8" t="n"/>
    </row>
    <row r="32" ht="18" customHeight="1">
      <c r="A32" s="5" t="inlineStr">
        <is>
          <t>4. ECOSISTEMA Y ESTADO DE CONSERVACIÓN</t>
        </is>
      </c>
    </row>
    <row r="33">
      <c r="A33" s="6" t="inlineStr">
        <is>
          <t>Tipo de ecosistema (UP)</t>
        </is>
      </c>
      <c r="B33" s="7" t="inlineStr">
        <is>
          <t>Matorral Andino húmedo</t>
        </is>
      </c>
      <c r="C33" s="6" t="inlineStr">
        <is>
          <t>Superficie de ecosistema (ha)</t>
        </is>
      </c>
      <c r="D33" s="7" t="inlineStr">
        <is>
          <t>21.26 ha de matorral andino húmedo (de 25.67 ha del bloque)</t>
        </is>
      </c>
      <c r="E33" s="8" t="n"/>
      <c r="F33" s="8" t="n"/>
    </row>
    <row r="34">
      <c r="A34" s="6" t="inlineStr">
        <is>
          <t>Estado de conservación</t>
        </is>
      </c>
      <c r="B34" s="7" t="inlineStr">
        <is>
          <t>Medianamente alterado</t>
        </is>
      </c>
      <c r="C34" s="6" t="inlineStr">
        <is>
          <t>Uso actual dominante del suelo</t>
        </is>
      </c>
      <c r="D34" s="7" t="inlineStr">
        <is>
          <t>Uso mixto</t>
        </is>
      </c>
      <c r="E34" s="8" t="n"/>
      <c r="F34" s="8" t="n"/>
    </row>
    <row r="35">
      <c r="A35" s="6" t="inlineStr">
        <is>
          <t>Tipo de cobertura dominante</t>
        </is>
      </c>
      <c r="B35" s="7" t="inlineStr">
        <is>
          <t>Mixto / Mosaico</t>
        </is>
      </c>
      <c r="C35" s="6" t="inlineStr">
        <is>
          <t>Cobertura vegetal total — campo (%)</t>
        </is>
      </c>
      <c r="D35" s="7" t="n">
        <v>85</v>
      </c>
      <c r="E35" s="8" t="n"/>
      <c r="F35" s="8" t="n"/>
    </row>
    <row r="36">
      <c r="A36" s="6" t="inlineStr">
        <is>
          <t>Suelo desnudo — campo (%)</t>
        </is>
      </c>
      <c r="B36" s="7" t="n">
        <v>10</v>
      </c>
      <c r="C36" s="6" t="inlineStr">
        <is>
          <t>Regeneración natural</t>
        </is>
      </c>
      <c r="D36" s="7" t="inlineStr">
        <is>
          <t>Regular (10-50 pl./100m²)</t>
        </is>
      </c>
      <c r="E36" s="8" t="n"/>
      <c r="F36" s="8" t="n"/>
    </row>
    <row r="37">
      <c r="A37" s="6" t="inlineStr">
        <is>
          <t>Nivel general de erosión</t>
        </is>
      </c>
      <c r="B37" s="7" t="inlineStr">
        <is>
          <t>Moderada (surcos)</t>
        </is>
      </c>
      <c r="C37" s="6" t="inlineStr">
        <is>
          <t>N.° de cárcavas registradas</t>
        </is>
      </c>
      <c r="D37" s="7" t="inlineStr">
        <is>
          <t>Por determinar</t>
        </is>
      </c>
      <c r="E37" s="8" t="n"/>
      <c r="F37" s="8" t="n"/>
    </row>
    <row r="38">
      <c r="A38" s="6" t="inlineStr">
        <is>
          <t>Elenco florístico (n.° de taxones)</t>
        </is>
      </c>
      <c r="B38" s="7" t="n">
        <v>15</v>
      </c>
      <c r="C38" s="6" t="inlineStr">
        <is>
          <t>Estado sanitario</t>
        </is>
      </c>
      <c r="D38" s="7" t="inlineStr">
        <is>
          <t>Sano</t>
        </is>
      </c>
      <c r="E38" s="8" t="n"/>
      <c r="F38" s="8" t="n"/>
    </row>
    <row r="40" ht="18" customHeight="1">
      <c r="A40" s="5" t="inlineStr">
        <is>
          <t>5. RESPONSABLE Y MODALIDAD DE LA EVALUACIÓN</t>
        </is>
      </c>
    </row>
    <row r="41">
      <c r="A41" s="6" t="inlineStr">
        <is>
          <t>Responsable de la evaluación</t>
        </is>
      </c>
      <c r="B41" s="7" t="inlineStr">
        <is>
          <t>Ing. Héctor S. Cahuas Miller</t>
        </is>
      </c>
      <c r="C41" s="6" t="inlineStr">
        <is>
          <t>Fecha de evaluación</t>
        </is>
      </c>
      <c r="D41" s="7" t="inlineStr">
        <is>
          <t>2026-07-01</t>
        </is>
      </c>
      <c r="E41" s="8" t="n"/>
      <c r="F41" s="8" t="n"/>
    </row>
    <row r="42">
      <c r="A42" s="6" t="inlineStr">
        <is>
          <t>Hora de registro</t>
        </is>
      </c>
      <c r="B42" s="7" t="inlineStr">
        <is>
          <t>10:27 - 11:30 h</t>
        </is>
      </c>
      <c r="C42" s="6" t="inlineStr">
        <is>
          <t>Correlativo de ficha</t>
        </is>
      </c>
      <c r="D42" s="7" t="inlineStr">
        <is>
          <t>DT-57</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Recorrido de reconocimiento (sin parcela permanente)</t>
        </is>
      </c>
      <c r="E44" s="8" t="n"/>
      <c r="F44" s="8" t="n"/>
    </row>
    <row r="45">
      <c r="A45" s="6" t="inlineStr">
        <is>
          <t>Estaciones fotográficas georreferenciadas</t>
        </is>
      </c>
      <c r="B45" s="7" t="n">
        <v>0</v>
      </c>
      <c r="C45" s="6" t="inlineStr">
        <is>
          <t>Modalidad de acceso</t>
        </is>
      </c>
      <c r="D45" s="7" t="inlineStr">
        <is>
          <t>Vehicular + caminata 30-90 min</t>
        </is>
      </c>
      <c r="E45" s="8" t="n"/>
      <c r="F45" s="8" t="n"/>
    </row>
    <row r="47" ht="18" customHeight="1">
      <c r="A47" s="5" t="inlineStr">
        <is>
          <t>6. SÍNTESIS PARA LA GESTIÓN DEL RIESGO EN CONTEXTO DE CAMBIO CLIMÁTICO</t>
        </is>
      </c>
    </row>
    <row r="48">
      <c r="A48" s="6" t="inlineStr">
        <is>
          <t>Causa subyacente principal</t>
        </is>
      </c>
      <c r="B48" s="7" t="inlineStr">
        <is>
          <t>Presión agropecuaria sostenida sobre laderas de fuerte pendiente sin prácticas de conservación de suelos</t>
        </is>
      </c>
      <c r="C48" s="6" t="inlineStr">
        <is>
          <t>Velocidad de degradación</t>
        </is>
      </c>
      <c r="D48" s="7" t="inlineStr">
        <is>
          <t>Moderada</t>
        </is>
      </c>
      <c r="E48" s="8" t="n"/>
      <c r="F48" s="8" t="n"/>
    </row>
    <row r="49">
      <c r="A49" s="6" t="inlineStr">
        <is>
          <t>Reversibilidad técnica</t>
        </is>
      </c>
      <c r="B49" s="7" t="inlineStr">
        <is>
          <t>Parcialmente reversible</t>
        </is>
      </c>
      <c r="C49" s="6" t="inlineStr">
        <is>
          <t>Urgencia de intervención</t>
        </is>
      </c>
      <c r="D49" s="7" t="inlineStr">
        <is>
          <t>Media</t>
        </is>
      </c>
      <c r="E49" s="8" t="n"/>
      <c r="F49" s="8" t="n"/>
    </row>
    <row r="50">
      <c r="A50" s="6" t="inlineStr">
        <is>
          <t>Urgencia de control de erosión</t>
        </is>
      </c>
      <c r="B50" s="7" t="inlineStr">
        <is>
          <t>Media</t>
        </is>
      </c>
      <c r="C50" s="6" t="inlineStr">
        <is>
          <t>Zona de recarga hídrica</t>
        </is>
      </c>
      <c r="D50" s="7" t="inlineStr">
        <is>
          <t>Sí</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7"/>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57</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1" t="inlineStr">
        <is>
          <t>Por determinar</t>
        </is>
      </c>
      <c r="C10" s="11" t="inlineStr">
        <is>
          <t>Por determinar</t>
        </is>
      </c>
      <c r="D10" s="11" t="inlineStr">
        <is>
          <t>Vigor alto</t>
        </is>
      </c>
      <c r="E10" s="11" t="inlineStr">
        <is>
          <t>Sobre umbral</t>
        </is>
      </c>
    </row>
    <row r="11">
      <c r="A11" s="12" t="inlineStr">
        <is>
          <t>0.4976 - 0.6139</t>
        </is>
      </c>
      <c r="B11" s="13" t="inlineStr">
        <is>
          <t>Por determinar</t>
        </is>
      </c>
      <c r="C11" s="13" t="inlineStr">
        <is>
          <t>Por determinar</t>
        </is>
      </c>
      <c r="D11" s="13" t="inlineStr">
        <is>
          <t>Vigor moderado</t>
        </is>
      </c>
      <c r="E11" s="13" t="inlineStr">
        <is>
          <t>Sobre umbral</t>
        </is>
      </c>
    </row>
    <row r="12">
      <c r="A12" s="7" t="inlineStr">
        <is>
          <t>0.3813 - 0.4976</t>
        </is>
      </c>
      <c r="B12" s="11" t="inlineStr">
        <is>
          <t>Por determinar</t>
        </is>
      </c>
      <c r="C12" s="11" t="inlineStr">
        <is>
          <t>Por determinar</t>
        </is>
      </c>
      <c r="D12" s="11" t="inlineStr">
        <is>
          <t>Vigor bajo</t>
        </is>
      </c>
      <c r="E12" s="11" t="inlineStr">
        <is>
          <t>BAJO umbral 0.4976</t>
        </is>
      </c>
    </row>
    <row r="13">
      <c r="A13" s="14" t="inlineStr">
        <is>
          <t>0.2650 - 0.3813</t>
        </is>
      </c>
      <c r="B13" s="15" t="inlineStr">
        <is>
          <t>Por determinar</t>
        </is>
      </c>
      <c r="C13" s="15" t="inlineStr">
        <is>
          <t>Por determinar</t>
        </is>
      </c>
      <c r="D13" s="15" t="inlineStr">
        <is>
          <t>Vigor muy bajo</t>
        </is>
      </c>
      <c r="E13" s="15" t="inlineStr">
        <is>
          <t>BAJO umbral 0.4976</t>
        </is>
      </c>
    </row>
    <row r="14">
      <c r="A14" s="7" t="inlineStr">
        <is>
          <t>&lt;= 0.2650</t>
        </is>
      </c>
      <c r="B14" s="11" t="inlineStr">
        <is>
          <t>Por determinar</t>
        </is>
      </c>
      <c r="C14" s="11" t="inlineStr">
        <is>
          <t>Por determinar</t>
        </is>
      </c>
      <c r="D14" s="11" t="inlineStr">
        <is>
          <t>Suelo desnudo / no vegetal</t>
        </is>
      </c>
      <c r="E14" s="11" t="inlineStr">
        <is>
          <t>BAJO umbral 0.4976</t>
        </is>
      </c>
    </row>
    <row r="15">
      <c r="A15" s="16" t="inlineStr">
        <is>
          <t>MSAVI 2024 — MEDIA DEL BLOQUE</t>
        </is>
      </c>
      <c r="B15" s="17" t="n">
        <v>0.603055</v>
      </c>
      <c r="C15" s="17" t="inlineStr">
        <is>
          <t>—</t>
        </is>
      </c>
      <c r="D15" s="17" t="inlineStr">
        <is>
          <t>Vigor moderado · clase 0.4976 - 0.6139</t>
        </is>
      </c>
      <c r="E15" s="17" t="inlineStr">
        <is>
          <t>Sobre umbral</t>
        </is>
      </c>
    </row>
    <row r="17" ht="72" customHeight="1">
      <c r="A17" s="9" t="inlineStr">
        <is>
          <t>NOTA METODOLÓGICA. La media del MSAVI 2024 del bloque (0.603055)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alta</t>
        </is>
      </c>
      <c r="B21" s="18" t="n">
        <v>21.2854</v>
      </c>
      <c r="C21" s="19" t="n">
        <v>82.90000000000001</v>
      </c>
      <c r="D21" s="11" t="inlineStr">
        <is>
          <t>Dosel continuo, matorral denso o mosaico agroforestal</t>
        </is>
      </c>
      <c r="E21" s="11" t="inlineStr"/>
    </row>
    <row r="22">
      <c r="A22" s="14" t="inlineStr">
        <is>
          <t>Vegetación mediana</t>
        </is>
      </c>
      <c r="B22" s="20" t="n">
        <v>4.3623</v>
      </c>
      <c r="C22" s="21" t="n">
        <v>16.99</v>
      </c>
      <c r="D22" s="15" t="inlineStr">
        <is>
          <t>Pastizal cultivado, matorral ralo, parcelas agrícolas</t>
        </is>
      </c>
      <c r="E22" s="15" t="inlineStr"/>
    </row>
    <row r="23">
      <c r="A23" s="7" t="inlineStr">
        <is>
          <t>Vegetación ligera</t>
        </is>
      </c>
      <c r="B23" s="18" t="n">
        <v>0.0297</v>
      </c>
      <c r="C23" s="19" t="n">
        <v>0.12</v>
      </c>
      <c r="D23" s="11" t="inlineStr">
        <is>
          <t>Cobertura discontinua, suelo parcialmente expuesto</t>
        </is>
      </c>
      <c r="E23" s="11" t="inlineStr"/>
    </row>
    <row r="24">
      <c r="A24" s="16" t="inlineStr">
        <is>
          <t>TOTAL CLASIFICADO</t>
        </is>
      </c>
      <c r="B24" s="22">
        <f>SUM(B21:B23)</f>
        <v/>
      </c>
      <c r="C24" s="23">
        <f>SUM(C21:C23)</f>
        <v/>
      </c>
      <c r="D24" s="17" t="inlineStr"/>
      <c r="E24" s="17" t="inlineStr"/>
    </row>
    <row r="25">
      <c r="A25" s="24" t="inlineStr">
        <is>
          <t>Superficie de catálogo (V5/V6)</t>
        </is>
      </c>
      <c r="B25" s="25" t="n">
        <v>25.67</v>
      </c>
      <c r="C25" s="25" t="inlineStr">
        <is>
          <t>—</t>
        </is>
      </c>
      <c r="D25" s="25" t="inlineStr">
        <is>
          <t>Desviación planimétrica frente al catálogo</t>
        </is>
      </c>
      <c r="E25" s="25" t="inlineStr">
        <is>
          <t>+0.03 %</t>
        </is>
      </c>
    </row>
    <row r="27" ht="108" customHeight="1">
      <c r="A27"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85 % frente a un 82.90 % del polígono clasificado como «Vegetación alta» por el NDVI 2025; la observación de campo corresponde a una parcela o recorrido puntual y no es estadísticamente representativa de las 25.670 ha del bloque.</t>
        </is>
      </c>
    </row>
  </sheetData>
  <mergeCells count="10">
    <mergeCell ref="A4:E4"/>
    <mergeCell ref="A2:E2"/>
    <mergeCell ref="A19:E19"/>
    <mergeCell ref="A1:E1"/>
    <mergeCell ref="A5:E5"/>
    <mergeCell ref="A8:E8"/>
    <mergeCell ref="A6:E6"/>
    <mergeCell ref="A17:E17"/>
    <mergeCell ref="A27:E2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57</t>
        </is>
      </c>
    </row>
    <row r="6" ht="24" customHeight="1">
      <c r="A6" s="4" t="inlineStr">
        <is>
          <t>Levantamiento del 2026-07-01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631723</v>
      </c>
      <c r="D10" s="26" t="n">
        <v>9439702</v>
      </c>
      <c r="E10" s="11" t="n">
        <v>2141.1</v>
      </c>
      <c r="F10" s="11" t="inlineStr"/>
      <c r="G10" s="11" t="inlineStr">
        <is>
          <t>Coordenada consignada en F-DT-01</t>
        </is>
      </c>
    </row>
    <row r="11">
      <c r="A11" s="14" t="inlineStr">
        <is>
          <t>H-01</t>
        </is>
      </c>
      <c r="B11" s="15" t="inlineStr">
        <is>
          <t>Fuente de agua — Manantial / Puquio</t>
        </is>
      </c>
      <c r="C11" s="27" t="n">
        <v>631909</v>
      </c>
      <c r="D11" s="27" t="n">
        <v>9440083</v>
      </c>
      <c r="E11" s="15" t="n">
        <v>1838.3</v>
      </c>
      <c r="F11" s="15" t="inlineStr">
        <is>
          <t>Permanente</t>
        </is>
      </c>
      <c r="G11" s="15" t="inlineStr">
        <is>
          <t>Pileta/reservorio de captación dentro del bloque</t>
        </is>
      </c>
    </row>
    <row r="12">
      <c r="A12" s="7" t="inlineStr">
        <is>
          <t>H-02</t>
        </is>
      </c>
      <c r="B12" s="11" t="inlineStr">
        <is>
          <t>Fuente de agua — Quebrada estacional</t>
        </is>
      </c>
      <c r="C12" s="26" t="inlineStr">
        <is>
          <t>Por verificar</t>
        </is>
      </c>
      <c r="D12" s="26" t="inlineStr">
        <is>
          <t>Por verificar</t>
        </is>
      </c>
      <c r="E12" s="11" t="inlineStr"/>
      <c r="F12" s="11" t="inlineStr">
        <is>
          <t>Estacional</t>
        </is>
      </c>
      <c r="G12" s="11" t="inlineStr">
        <is>
          <t>Quebrada tributaria</t>
        </is>
      </c>
    </row>
    <row r="13">
      <c r="A13" s="16" t="inlineStr">
        <is>
          <t>TOTAL: 3 puntos</t>
        </is>
      </c>
      <c r="B13" s="17" t="inlineStr"/>
      <c r="C13" s="17" t="inlineStr"/>
      <c r="D13" s="17" t="inlineStr"/>
      <c r="E13" s="17" t="inlineStr"/>
      <c r="F13" s="17" t="inlineStr"/>
      <c r="G13" s="17" t="inlineStr"/>
    </row>
    <row r="15">
      <c r="A15" s="6" t="inlineStr">
        <is>
          <t>Centroide del bloque — UTM ESTE (m)</t>
        </is>
      </c>
      <c r="B15" s="7" t="n">
        <v>631195</v>
      </c>
      <c r="C15" s="6" t="inlineStr">
        <is>
          <t>Centroide del bloque — UTM NORTE (m)</t>
        </is>
      </c>
      <c r="D15" s="7" t="n">
        <v>9441777</v>
      </c>
      <c r="E15" s="8" t="n"/>
      <c r="F15" s="8" t="n"/>
      <c r="G15" s="8" t="n"/>
      <c r="H15" s="8" t="n"/>
    </row>
    <row r="16">
      <c r="A16" s="6" t="inlineStr">
        <is>
          <t>N.° de estaciones fotográficas declaradas</t>
        </is>
      </c>
      <c r="B16" s="7" t="n">
        <v>0</v>
      </c>
      <c r="C16" s="6" t="inlineStr">
        <is>
          <t>Estaciones dentro del polígono</t>
        </is>
      </c>
      <c r="D16" s="7" t="n">
        <v>0</v>
      </c>
      <c r="E16" s="8" t="n"/>
      <c r="F16" s="8" t="n"/>
      <c r="G16" s="8" t="n"/>
      <c r="H16" s="8" t="n"/>
    </row>
    <row r="18" ht="120" customHeight="1">
      <c r="A18"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Pendiente media 42.7% y máxima 65.0% (perfil Google Earth). Se observó reptación de suelo en laderas de pastoreo y un parche de suelo expuesto rojizo (631 809 E · 9 440 087 N) cuya naturaleza (remoción incipiente vs. desbroce) queda por verificar. NOTA DE CATÁLOGO: el centroide de campo (631 723 E · 9 439 702 N, Centroides_V5) coincide con la evidencia GPS; el registro este/norte de «Bloques V4» (631 195 E · 9 441 777 N) difiere ≈2.1 km al N y debe revisarse.</t>
        </is>
      </c>
    </row>
  </sheetData>
  <mergeCells count="8">
    <mergeCell ref="A1:G1"/>
    <mergeCell ref="A18:G18"/>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C1086-Q9576 — BLOQUE 57</t>
        </is>
      </c>
    </row>
    <row r="6" ht="24" customHeight="1">
      <c r="A6" s="4" t="inlineStr">
        <is>
          <t>Distrito de Chalaco · Provincia de Morropon · Comparación de los bloques preliminares de intervención de la misma microcuenca</t>
        </is>
      </c>
    </row>
    <row r="8" ht="18" customHeight="1">
      <c r="A8" s="5" t="inlineStr">
        <is>
          <t>BLOQUES DE LA MICROCUENCA C1086-Q9576</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M36B2</t>
        </is>
      </c>
      <c r="B10" s="28" t="n">
        <v>28.19</v>
      </c>
      <c r="C10" s="19" t="n">
        <v>52.34</v>
      </c>
      <c r="D10" s="11" t="inlineStr">
        <is>
          <t>1331 – 1533</t>
        </is>
      </c>
      <c r="E10" s="11" t="n">
        <v>202</v>
      </c>
      <c r="F10" s="11" t="n">
        <v>29.67</v>
      </c>
      <c r="G10" s="18" t="n">
        <v>0.5974</v>
      </c>
      <c r="H10" s="19" t="n">
        <v>82.34999999999999</v>
      </c>
    </row>
    <row r="11">
      <c r="A11" s="12" t="inlineStr">
        <is>
          <t>► 57</t>
        </is>
      </c>
      <c r="B11" s="29" t="n">
        <v>25.67</v>
      </c>
      <c r="C11" s="30" t="n">
        <v>47.66</v>
      </c>
      <c r="D11" s="13" t="inlineStr">
        <is>
          <t>2306 – 2624</t>
        </is>
      </c>
      <c r="E11" s="13" t="n">
        <v>318</v>
      </c>
      <c r="F11" s="13" t="n">
        <v>30.44</v>
      </c>
      <c r="G11" s="31" t="n">
        <v>0.6031</v>
      </c>
      <c r="H11" s="30" t="n">
        <v>82.90000000000001</v>
      </c>
    </row>
    <row r="12">
      <c r="A12" s="16" t="inlineStr">
        <is>
          <t>TOTAL / PROMEDIO</t>
        </is>
      </c>
      <c r="B12" s="32">
        <f>SUM(B10:B11)</f>
        <v/>
      </c>
      <c r="C12" s="23">
        <f>SUM(C10:C11)</f>
        <v/>
      </c>
      <c r="D12" s="17" t="inlineStr">
        <is>
          <t>1331 – 2624</t>
        </is>
      </c>
      <c r="E12" s="17" t="inlineStr"/>
      <c r="F12" s="17">
        <f>ROUND(AVERAGE(F10:F11),2)</f>
        <v/>
      </c>
      <c r="G12" s="22">
        <f>ROUND(AVERAGE(G10:G11),4)</f>
        <v/>
      </c>
      <c r="H12" s="23">
        <f>ROUND(AVERAGE(H10:H11),2)</f>
        <v/>
      </c>
    </row>
    <row r="14" ht="84" customHeight="1">
      <c r="A14" s="9" t="inlineStr">
        <is>
          <t>LECTURA INTRAMICROCUENCA. El bloque 57 ocupa el puesto 2 de 2 por superficie dentro de la microcuenca C1086-Q9576 (47.66 % de las 53.86 ha preliminares de la microcuenca). Su pendiente promedio (30.44 %, clase «25-50% (Mod. escarpado)») es la 2.ª más baja de 2 y se sitúa por encima del promedio de la microcuenca (30.05 %). Su MSAVI 2024 (0.6031) es el 1.º de 2 y queda por encima del promedio local (0.6002). Amplitud altitudinal del bloque: 318 m (2306–2624 msnm). El cuadro conserva todos los bloques catalogados en la microcuenca, incluidos los descartados en el tamizaje, para referencia del conjunto. Los bloques sin ficha DT figuran con sus parámetros de gabinete.</t>
        </is>
      </c>
    </row>
    <row r="16" ht="60" customHeight="1">
      <c r="A1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9">
    <mergeCell ref="A1:H1"/>
    <mergeCell ref="A4:H4"/>
    <mergeCell ref="A3:H3"/>
    <mergeCell ref="A2:H2"/>
    <mergeCell ref="A16:H16"/>
    <mergeCell ref="A14:H14"/>
    <mergeCell ref="A5:H5"/>
    <mergeCell ref="A8:H8"/>
    <mergeCell ref="A6: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5"/>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57</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3" t="inlineStr">
        <is>
          <t>D-01</t>
        </is>
      </c>
      <c r="B10" s="33" t="inlineStr">
        <is>
          <t>Código de microcuenca</t>
        </is>
      </c>
      <c r="C10" s="33" t="inlineStr">
        <is>
          <t>Ficha DT y catálogo maestro coinciden en «C1086-Q9576»</t>
        </is>
      </c>
      <c r="D10" s="34" t="inlineStr">
        <is>
          <t>CONFORME</t>
        </is>
      </c>
      <c r="E10" s="33" t="inlineStr">
        <is>
          <t>Sin acción.</t>
        </is>
      </c>
    </row>
    <row r="11" ht="48" customHeight="1">
      <c r="A11" s="35" t="inlineStr">
        <is>
          <t>D-02</t>
        </is>
      </c>
      <c r="B11" s="35" t="inlineStr">
        <is>
          <t>UTM del punto de muestreo</t>
        </is>
      </c>
      <c r="C11" s="35" t="inlineStr">
        <is>
          <t>El punto de muestreo declarado (631723 E / 9439702 N) dista 2,141 m del centroide de catálogo (631195 E / 9441777 N), distancia incompatible con la superficie del bloque (25.67 ha)</t>
        </is>
      </c>
      <c r="D11" s="36" t="inlineStr">
        <is>
          <t>SUSTANTIVA</t>
        </is>
      </c>
      <c r="E11" s="35" t="inlineStr">
        <is>
          <t>Se declara la coordenada como POR VERIFICAR: puede corresponder a otro bloque o a un error de digitación. No se corrige de oficio.</t>
        </is>
      </c>
    </row>
    <row r="12" ht="48" customHeight="1">
      <c r="A12" s="33" t="inlineStr">
        <is>
          <t>D-03</t>
        </is>
      </c>
      <c r="B12" s="33" t="inlineStr">
        <is>
          <t>Superficie del polígono</t>
        </is>
      </c>
      <c r="C12" s="33" t="inlineStr">
        <is>
          <t>La superficie clasificada por el NDVI 2025 (25.677 ha) coincide con la de catálogo (25.67 ha) dentro del ±2 % (+0.03 %)</t>
        </is>
      </c>
      <c r="D12" s="34" t="inlineStr">
        <is>
          <t>CONFORME</t>
        </is>
      </c>
      <c r="E12" s="33" t="inlineStr">
        <is>
          <t>Sin acción: la segmentación valida la geometría del bloque.</t>
        </is>
      </c>
    </row>
    <row r="13" ht="48" customHeight="1">
      <c r="A13" s="35" t="inlineStr">
        <is>
          <t>D-04</t>
        </is>
      </c>
      <c r="B13" s="35" t="inlineStr">
        <is>
          <t>Cobertura vegetal total</t>
        </is>
      </c>
      <c r="C13" s="35" t="inlineStr">
        <is>
          <t>La ficha DT estima 85 % de cobertura vegetal en campo; el NDVI mediana 2025 clasifica 100.01 % del polígono en clases de vegetación</t>
        </is>
      </c>
      <c r="D13" s="13" t="inlineStr">
        <is>
          <t>NO SUSTANTIVA</t>
        </is>
      </c>
      <c r="E13" s="35" t="inlineStr">
        <is>
          <t>Se declaran ambos valores. La observación de campo corresponde a una parcela o recorrido puntual y no es representativa de la totalidad del bloque; el índice espectral no discrimina composición ni integridad ecosistémica.</t>
        </is>
      </c>
    </row>
    <row r="14" ht="48" customHeight="1">
      <c r="A14" s="33" t="inlineStr">
        <is>
          <t>D-05</t>
        </is>
      </c>
      <c r="B14" s="33" t="inlineStr">
        <is>
          <t>Altitud GPS del punto de muestreo</t>
        </is>
      </c>
      <c r="C14" s="33" t="inlineStr">
        <is>
          <t>La aplicación de captura no registró altitud GPS en campo</t>
        </is>
      </c>
      <c r="D14" s="13" t="inlineStr">
        <is>
          <t>NO SUSTANTIVA</t>
        </is>
      </c>
      <c r="E14" s="33" t="inlineStr">
        <is>
          <t>El rango altitudinal del bloque (2306–2624 msnm) y la pendiente promedio (30.44 %) se toman de la estadística zonal sobre el MDE, no de medición de campo. Se declara la fuente.</t>
        </is>
      </c>
    </row>
    <row r="15" ht="48" customHeight="1">
      <c r="A15" s="35" t="inlineStr">
        <is>
          <t>D-06</t>
        </is>
      </c>
      <c r="B15" s="35" t="inlineStr">
        <is>
          <t>Inventario georreferenciado de cárcavas</t>
        </is>
      </c>
      <c r="C15" s="35" t="inlineStr">
        <is>
          <t>El inventario de cárcavas no fue ejecutado o no consta en la ficha DT</t>
        </is>
      </c>
      <c r="D15" s="36" t="inlineStr">
        <is>
          <t>SUSTANTIVA</t>
        </is>
      </c>
      <c r="E15" s="35" t="inlineStr">
        <is>
          <t>La ausencia de registros NO equivale a ausencia verificada de cárcavas. Queda pendiente el levantamiento instrumental a cargo del especialista de Infraestructura Marrón antes de fijar metas físicas de infraestructura gris.</t>
        </is>
      </c>
    </row>
    <row r="16" ht="48" customHeight="1">
      <c r="A16" s="33" t="inlineStr">
        <is>
          <t>D-07</t>
        </is>
      </c>
      <c r="B16" s="33" t="inlineStr">
        <is>
          <t>Representatividad del levantamiento</t>
        </is>
      </c>
      <c r="C16" s="33" t="inlineStr">
        <is>
          <t>Ninguna de las estaciones fotográficas georreferenciadas se localiza dentro del polígono del bloque</t>
        </is>
      </c>
      <c r="D16" s="36" t="inlineStr">
        <is>
          <t>SUSTANTIVA</t>
        </is>
      </c>
      <c r="E16" s="33" t="inlineStr">
        <is>
          <t>La verificación documenta el perímetro y la vista panorámica del bloque, no su interior. Los parámetros que exigen recorrido interno se consignan «Por determinar».</t>
        </is>
      </c>
    </row>
    <row r="17" ht="48" customHeight="1">
      <c r="A17" s="35" t="inlineStr">
        <is>
          <t>D-08</t>
        </is>
      </c>
      <c r="B17" s="35" t="inlineStr">
        <is>
          <t>Centro poblado asociado</t>
        </is>
      </c>
      <c r="C17" s="35" t="inlineStr">
        <is>
          <t>La ficha DT declara «Taspa (631 621 E · 9 440 841 N; 250 hab.) / San Lorenzo (126 hab.) — ref. Los Lúcumos»; el cruce INEI-Bloques V5 identifica 2 centro(s) poblado(s) en el bloque: SAN LORENZO, TASPA</t>
        </is>
      </c>
      <c r="D17" s="34" t="inlineStr">
        <is>
          <t>CONFORME</t>
        </is>
      </c>
      <c r="E17" s="35" t="inlineStr">
        <is>
          <t>Se conserva el registro de campo como referencia y se adopta el listado INEI para el diagnóstico social y el cálculo de población beneficiaria.</t>
        </is>
      </c>
    </row>
    <row r="18" ht="48" customHeight="1">
      <c r="A18" s="33" t="inlineStr">
        <is>
          <t>D-09</t>
        </is>
      </c>
      <c r="B18" s="33" t="inlineStr">
        <is>
          <t>Peligro integrado (MCA-AHP)</t>
        </is>
      </c>
      <c r="C18" s="33" t="inlineStr">
        <is>
          <t>El nivel de peligro integrado no está disponible en los insumos de este entregable</t>
        </is>
      </c>
      <c r="D18" s="36" t="inlineStr">
        <is>
          <t>SUSTANTIVA</t>
        </is>
      </c>
      <c r="E18" s="33" t="inlineStr">
        <is>
          <t>Debe tomarse del modelamiento de mesolocalización (PMM + EPH + PGI ponderados por AHP) antes de fijar la prioridad definitiva de intervención del bloque.</t>
        </is>
      </c>
    </row>
    <row r="19" ht="48" customHeight="1">
      <c r="A19" s="35" t="inlineStr">
        <is>
          <t>D-10</t>
        </is>
      </c>
      <c r="B19" s="35" t="inlineStr">
        <is>
          <t>Catálogo</t>
        </is>
      </c>
      <c r="C19" s="35" t="inlineStr">
        <is>
          <t>El registro este/norte de «Bloques V4» (631 195 E · 9 441 777 N) difiere ≈2.1 km al N del centroide de campo/Centroides_V5 (631 723 E · 9 439 702 N)</t>
        </is>
      </c>
      <c r="D19" s="36" t="inlineStr">
        <is>
          <t>SUSTANTIVA</t>
        </is>
      </c>
      <c r="E19" s="35" t="inlineStr">
        <is>
          <t>Documentada en la propia ficha; conciliar catálogo maestro</t>
        </is>
      </c>
    </row>
    <row r="20" ht="48" customHeight="1">
      <c r="A20" s="33" t="inlineStr">
        <is>
          <t>D-11</t>
        </is>
      </c>
      <c r="B20" s="33" t="inlineStr">
        <is>
          <t>Plan de Ingreso</t>
        </is>
      </c>
      <c r="C20" s="33" t="inlineStr">
        <is>
          <t>Altitud = 0 msnm (captura por defecto del aplicativo)</t>
        </is>
      </c>
      <c r="D20" s="13" t="inlineStr">
        <is>
          <t>NO SUSTANTIVA</t>
        </is>
      </c>
      <c r="E20" s="33" t="inlineStr">
        <is>
          <t>Se sustituye por el rango del MDE 2306-2624 msnm</t>
        </is>
      </c>
    </row>
    <row r="21" ht="48" customHeight="1">
      <c r="A21" s="35" t="inlineStr">
        <is>
          <t>D-12</t>
        </is>
      </c>
      <c r="B21" s="35" t="inlineStr">
        <is>
          <t>F-DS-03</t>
        </is>
      </c>
      <c r="C21" s="35" t="inlineStr">
        <is>
          <t>Las fichas sociales del C.P. San Lorenzo/Taspa consignan microcuenca C1076-Q9584 y UTM 631 195 · 9 441 780 (valores heredados de plantilla)</t>
        </is>
      </c>
      <c r="D21" s="13" t="inlineStr">
        <is>
          <t>NO SUSTANTIVA</t>
        </is>
      </c>
      <c r="E21" s="35" t="inlineStr">
        <is>
          <t>Se conserva la microcuenca del catálogo C1086-Q9576</t>
        </is>
      </c>
    </row>
    <row r="23">
      <c r="A23" s="16" t="inlineStr">
        <is>
          <t>RESUMEN</t>
        </is>
      </c>
      <c r="B23" s="17" t="inlineStr">
        <is>
          <t>12 verificaciones</t>
        </is>
      </c>
      <c r="C23" s="17" t="inlineStr">
        <is>
          <t>CONFORME: 3 · NO SUSTANTIVA: 4 · SUSTANTIVA: 5</t>
        </is>
      </c>
      <c r="D23" s="17" t="inlineStr"/>
      <c r="E23" s="17" t="inlineStr"/>
    </row>
    <row r="25" ht="60" customHeight="1">
      <c r="A25"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4:E4"/>
    <mergeCell ref="A2:E2"/>
    <mergeCell ref="A25:E25"/>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57 — IN Piura</dc:title>
  <dc:subject>Diagnóstico Territorial por bloque de intervención</dc:subject>
  <dcterms:created xsi:type="dcterms:W3CDTF">2026-09-08T03:39:56Z</dcterms:created>
  <dcterms:modified xsi:type="dcterms:W3CDTF">2026-09-08T03:39:56Z</dcterms:modified>
</cp:coreProperties>
</file>