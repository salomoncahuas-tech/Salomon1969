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57</t>
        </is>
      </c>
      <c r="C9" s="6" t="inlineStr">
        <is>
          <t>Microcuenca (catálogo)</t>
        </is>
      </c>
      <c r="D9" s="7" t="inlineStr">
        <is>
          <t>C1086-Q9576</t>
        </is>
      </c>
      <c r="E9" s="8" t="n"/>
      <c r="F9" s="8" t="n"/>
    </row>
    <row r="10">
      <c r="A10" s="6" t="inlineStr">
        <is>
          <t>Zona de planificación</t>
        </is>
      </c>
      <c r="B10" s="7" t="inlineStr">
        <is>
          <t>Z04</t>
        </is>
      </c>
      <c r="C10" s="6" t="inlineStr">
        <is>
          <t>Microcuenca declarada en ficha DT</t>
        </is>
      </c>
      <c r="D10" s="7" t="inlineStr">
        <is>
          <t>C1086-Q9576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Chalaco</t>
        </is>
      </c>
      <c r="C12" s="6" t="inlineStr">
        <is>
          <t>Capital distrital</t>
        </is>
      </c>
      <c r="D12" s="7" t="inlineStr">
        <is>
          <t>Chalaco</t>
        </is>
      </c>
      <c r="E12" s="8" t="n"/>
      <c r="F12" s="8" t="n"/>
    </row>
    <row r="13">
      <c r="A13" s="6" t="inlineStr">
        <is>
          <t>Centro poblado asociado</t>
        </is>
      </c>
      <c r="B13" s="7" t="inlineStr">
        <is>
          <t>Taspa (631 621 E · 9 440 841 N; 250 hab.) / San Lorenzo (126 hab.) — ref. Los Lúcumos</t>
        </is>
      </c>
      <c r="C13" s="6" t="inlineStr">
        <is>
          <t>Comunidad campesina</t>
        </is>
      </c>
      <c r="D13" s="7" t="inlineStr">
        <is>
          <t>Comunidad Campesina Chalaco - Trigopampa (según F-DS-03)</t>
        </is>
      </c>
      <c r="E13" s="8" t="n"/>
      <c r="F13" s="8" t="n"/>
    </row>
    <row r="14">
      <c r="A14" s="6" t="inlineStr">
        <is>
          <t>Superficie de catálogo (V5/V6), ha</t>
        </is>
      </c>
      <c r="B14" s="7" t="n">
        <v>25.67</v>
      </c>
      <c r="C14" s="6" t="inlineStr">
        <is>
          <t>Fuente de superficie</t>
        </is>
      </c>
      <c r="D14" s="7" t="inlineStr">
        <is>
          <t>Catálogo maestro Bloques V5/V6</t>
        </is>
      </c>
      <c r="E14" s="8" t="n"/>
      <c r="F14" s="8" t="n"/>
    </row>
    <row r="15">
      <c r="A15" s="6" t="inlineStr">
        <is>
          <t>Centroide UTM ESTE (m)</t>
        </is>
      </c>
      <c r="B15" s="7" t="n">
        <v>631195</v>
      </c>
      <c r="C15" s="6" t="inlineStr">
        <is>
          <t>Centroide UTM NORTE (m)</t>
        </is>
      </c>
      <c r="D15" s="7" t="n">
        <v>9441777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2306</v>
      </c>
      <c r="C19" s="6" t="inlineStr">
        <is>
          <t>Altitud máxima (msnm)</t>
        </is>
      </c>
      <c r="D19" s="7" t="n">
        <v>2624</v>
      </c>
      <c r="E19" s="8" t="n"/>
      <c r="F19" s="8" t="n"/>
    </row>
    <row r="20">
      <c r="A20" s="6" t="inlineStr">
        <is>
          <t>Amplitud altitudinal (m)</t>
        </is>
      </c>
      <c r="B20" s="7" t="n">
        <v>318</v>
      </c>
      <c r="C20" s="6" t="inlineStr">
        <is>
          <t>Piso altitudinal dominante</t>
        </is>
      </c>
      <c r="D20" s="7" t="inlineStr">
        <is>
          <t>2000-2500 m (Quechua alta)</t>
        </is>
      </c>
      <c r="E20" s="8" t="n"/>
      <c r="F20" s="8" t="n"/>
    </row>
    <row r="21">
      <c r="A21" s="6" t="inlineStr">
        <is>
          <t>Pendiente promedio (%)</t>
        </is>
      </c>
      <c r="B21" s="7" t="n">
        <v>30.44</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0.6031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(82.90 %)</t>
        </is>
      </c>
      <c r="E29" s="8" t="n"/>
      <c r="F29" s="8" t="n"/>
    </row>
    <row r="30">
      <c r="A30" s="6" t="inlineStr">
        <is>
          <t>Superficie clasificada NDVI 2025 (ha)</t>
        </is>
      </c>
      <c r="B30" s="7" t="n">
        <v>25.677</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Matorral Andino húmedo</t>
        </is>
      </c>
      <c r="C33" s="6" t="inlineStr">
        <is>
          <t>Superficie de ecosistema (ha)</t>
        </is>
      </c>
      <c r="D33" s="7" t="inlineStr">
        <is>
          <t>21.26 ha de matorral andino húmedo (de 25.67 ha del bloque)</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inlineStr">
        <is>
          <t>Por determinar</t>
        </is>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t>
        </is>
      </c>
      <c r="C41" s="6" t="inlineStr">
        <is>
          <t>Fecha de evaluación</t>
        </is>
      </c>
      <c r="D41" s="7" t="inlineStr">
        <is>
          <t>2026-07-01</t>
        </is>
      </c>
      <c r="E41" s="8" t="n"/>
      <c r="F41" s="8" t="n"/>
    </row>
    <row r="42">
      <c r="A42" s="6" t="inlineStr">
        <is>
          <t>Hora de registro</t>
        </is>
      </c>
      <c r="B42" s="7" t="inlineStr">
        <is>
          <t>10:27 - 11:30 h</t>
        </is>
      </c>
      <c r="C42" s="6" t="inlineStr">
        <is>
          <t>Correlativo de ficha</t>
        </is>
      </c>
      <c r="D42" s="7" t="inlineStr">
        <is>
          <t>DT-57</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permanente)</t>
        </is>
      </c>
      <c r="E44" s="8" t="n"/>
      <c r="F44" s="8" t="n"/>
    </row>
    <row r="45">
      <c r="A45" s="6" t="inlineStr">
        <is>
          <t>Estaciones fotográficas georreferenciadas</t>
        </is>
      </c>
      <c r="B45" s="7" t="n">
        <v>0</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sostenida sobre laderas de fuerte pendiente sin prácticas de conservación de suelos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0.603055</v>
      </c>
      <c r="C15" s="17" t="inlineStr">
        <is>
          <t>—</t>
        </is>
      </c>
      <c r="D15" s="17" t="inlineStr">
        <is>
          <t>Vigor moderado · clase 0.4976 - 0.6139</t>
        </is>
      </c>
      <c r="E15" s="17" t="inlineStr">
        <is>
          <t>Sobre umbral</t>
        </is>
      </c>
    </row>
    <row r="17" ht="72" customHeight="1">
      <c r="A17" s="9" t="inlineStr">
        <is>
          <t>NOTA METODOLÓGICA. La media del MSAVI 2024 del bloque (0.603055)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21.2854</v>
      </c>
      <c r="C21" s="19" t="n">
        <v>82.90000000000001</v>
      </c>
      <c r="D21" s="11" t="inlineStr">
        <is>
          <t>Dosel continuo, matorral denso o mosaico agroforestal</t>
        </is>
      </c>
      <c r="E21" s="11" t="inlineStr"/>
    </row>
    <row r="22">
      <c r="A22" s="14" t="inlineStr">
        <is>
          <t>Vegetación mediana</t>
        </is>
      </c>
      <c r="B22" s="20" t="n">
        <v>4.3623</v>
      </c>
      <c r="C22" s="21" t="n">
        <v>16.99</v>
      </c>
      <c r="D22" s="15" t="inlineStr">
        <is>
          <t>Pastizal cultivado, matorral ralo, parcelas agrícolas</t>
        </is>
      </c>
      <c r="E22" s="15" t="inlineStr"/>
    </row>
    <row r="23">
      <c r="A23" s="7" t="inlineStr">
        <is>
          <t>Vegetación ligera</t>
        </is>
      </c>
      <c r="B23" s="18" t="n">
        <v>0.0297</v>
      </c>
      <c r="C23" s="19" t="n">
        <v>0.12</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25.67</v>
      </c>
      <c r="C25" s="25" t="inlineStr">
        <is>
          <t>—</t>
        </is>
      </c>
      <c r="D25" s="25" t="inlineStr">
        <is>
          <t>Desviación planimétrica frente al catálogo</t>
        </is>
      </c>
      <c r="E25" s="25" t="inlineStr">
        <is>
          <t>+0.03 %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82.90 % del polígono clasificado como «Vegetación alta» por el NDVI 2025; la observación de campo corresponde a una parcela o recorrido puntual y no es estadísticamente representativa de las 25.670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57</t>
        </is>
      </c>
    </row>
    <row r="6" ht="24" customHeight="1">
      <c r="A6" s="4" t="inlineStr">
        <is>
          <t>Levantamiento del 2026-07-01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631723</v>
      </c>
      <c r="D10" s="26" t="n">
        <v>9439702</v>
      </c>
      <c r="E10" s="11" t="n">
        <v>2141.1</v>
      </c>
      <c r="F10" s="11" t="inlineStr"/>
      <c r="G10" s="11" t="inlineStr">
        <is>
          <t>Coordenada consignada en F-DT-01</t>
        </is>
      </c>
    </row>
    <row r="11">
      <c r="A11" s="14" t="inlineStr">
        <is>
          <t>H-01</t>
        </is>
      </c>
      <c r="B11" s="15" t="inlineStr">
        <is>
          <t>Fuente de agua — Manantial / Puquio</t>
        </is>
      </c>
      <c r="C11" s="27" t="n">
        <v>631909</v>
      </c>
      <c r="D11" s="27" t="n">
        <v>9440083</v>
      </c>
      <c r="E11" s="15" t="n">
        <v>1838.3</v>
      </c>
      <c r="F11" s="15" t="inlineStr">
        <is>
          <t>Permanente</t>
        </is>
      </c>
      <c r="G11" s="15" t="inlineStr">
        <is>
          <t>Pileta/reservorio de captación dentro del bloque</t>
        </is>
      </c>
    </row>
    <row r="12">
      <c r="A12" s="7" t="inlineStr">
        <is>
          <t>H-02</t>
        </is>
      </c>
      <c r="B12" s="11" t="inlineStr">
        <is>
          <t>Fuente de agua — Quebrada estacional</t>
        </is>
      </c>
      <c r="C12" s="26" t="inlineStr">
        <is>
          <t>Por verificar</t>
        </is>
      </c>
      <c r="D12" s="26" t="inlineStr">
        <is>
          <t>Por verificar</t>
        </is>
      </c>
      <c r="E12" s="11" t="inlineStr"/>
      <c r="F12" s="11" t="inlineStr">
        <is>
          <t>Estacional</t>
        </is>
      </c>
      <c r="G12" s="11" t="inlineStr">
        <is>
          <t>Quebrada tributaria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631195</v>
      </c>
      <c r="C15" s="6" t="inlineStr">
        <is>
          <t>Centroide del bloque — UTM NORTE (m)</t>
        </is>
      </c>
      <c r="D15" s="7" t="n">
        <v>9441777</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20"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media 42.7% y máxima 65.0% (perfil Google Earth). Se observó reptación de suelo en laderas de pastoreo y un parche de suelo expuesto rojizo (631 809 E · 9 440 087 N) cuya naturaleza (remoción incipiente vs. desbroce) queda por verificar. NOTA DE CATÁLOGO: el centroide de campo (631 723 E · 9 439 702 N, Centroides_V5) coincide con la evidencia GPS; el registro este/norte de «Bloques V4» (631 195 E · 9 441 777 N) difiere ≈2.1 km al N y debe revisarse.</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C1086-Q9576 — BLOQUE 57</t>
        </is>
      </c>
    </row>
    <row r="6" ht="24" customHeight="1">
      <c r="A6" s="4" t="inlineStr">
        <is>
          <t>Distrito de Chalaco · Provincia de Morropon · Comparación de los bloques preliminares de intervención de la misma microcuenca</t>
        </is>
      </c>
    </row>
    <row r="8" ht="18" customHeight="1">
      <c r="A8" s="5" t="inlineStr">
        <is>
          <t>BLOQUES DE LA MICROCUENCA C1086-Q9576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M36B2</t>
        </is>
      </c>
      <c r="B10" s="28" t="n">
        <v>28.19</v>
      </c>
      <c r="C10" s="19" t="n">
        <v>52.34</v>
      </c>
      <c r="D10" s="11" t="inlineStr">
        <is>
          <t>1331 – 1533</t>
        </is>
      </c>
      <c r="E10" s="11" t="n">
        <v>202</v>
      </c>
      <c r="F10" s="11" t="n">
        <v>29.67</v>
      </c>
      <c r="G10" s="18" t="n">
        <v>0.5974</v>
      </c>
      <c r="H10" s="19" t="n">
        <v>82.34999999999999</v>
      </c>
    </row>
    <row r="11">
      <c r="A11" s="12" t="inlineStr">
        <is>
          <t>► 57</t>
        </is>
      </c>
      <c r="B11" s="29" t="n">
        <v>25.67</v>
      </c>
      <c r="C11" s="30" t="n">
        <v>47.66</v>
      </c>
      <c r="D11" s="13" t="inlineStr">
        <is>
          <t>2306 – 2624</t>
        </is>
      </c>
      <c r="E11" s="13" t="n">
        <v>318</v>
      </c>
      <c r="F11" s="13" t="n">
        <v>30.44</v>
      </c>
      <c r="G11" s="31" t="n">
        <v>0.6031</v>
      </c>
      <c r="H11" s="30" t="n">
        <v>82.90000000000001</v>
      </c>
    </row>
    <row r="12">
      <c r="A12" s="16" t="inlineStr">
        <is>
          <t>TOTAL / PROMEDIO</t>
        </is>
      </c>
      <c r="B12" s="32">
        <f>SUM(B10:B11)</f>
        <v/>
      </c>
      <c r="C12" s="23">
        <f>SUM(C10:C11)</f>
        <v/>
      </c>
      <c r="D12" s="17" t="inlineStr">
        <is>
          <t>1331 – 2624</t>
        </is>
      </c>
      <c r="E12" s="17" t="inlineStr"/>
      <c r="F12" s="17">
        <f>ROUND(AVERAGE(F10:F11),2)</f>
        <v/>
      </c>
      <c r="G12" s="22">
        <f>ROUND(AVERAGE(G10:G11),4)</f>
        <v/>
      </c>
      <c r="H12" s="23">
        <f>ROUND(AVERAGE(H10:H11),2)</f>
        <v/>
      </c>
    </row>
    <row r="14" ht="84" customHeight="1">
      <c r="A14" s="9" t="inlineStr">
        <is>
          <t>LECTURA INTRAMICROCUENCA. El bloque 57 ocupa el puesto 2 de 2 por superficie dentro de la microcuenca C1086-Q9576 (47.66 % de las 53.86 ha preliminares de la microcuenca). Su pendiente promedio (30.44 %, clase «25-50% (Mod. escarpado)») es la 2.ª más baja de 2 y se sitúa por encima del promedio de la microcuenca (30.05 %). Su MSAVI 2024 (0.6031) es el 1.º de 2 y queda por encima del promedio local (0.6002). Amplitud altitudinal del bloque: 318 m (2306–2624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«C1086-Q9576»</t>
        </is>
      </c>
      <c r="D10" s="34" t="inlineStr">
        <is>
          <t>CONFORME</t>
        </is>
      </c>
      <c r="E10" s="33" t="inlineStr">
        <is>
          <t>Sin acción.</t>
        </is>
      </c>
    </row>
    <row r="11" ht="48" customHeight="1">
      <c r="A11" s="35" t="inlineStr">
        <is>
          <t>D-02</t>
        </is>
      </c>
      <c r="B11" s="35" t="inlineStr">
        <is>
          <t>UTM del punto de muestreo</t>
        </is>
      </c>
      <c r="C11" s="35" t="inlineStr">
        <is>
          <t>El punto de muestreo declarado (631723 E / 9439702 N) dista 2,141 m del centroide de catálogo (631195 E / 9441777 N), distancia incompatible con la superficie del bloque (25.67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(25.677 ha) coincide con la de catálogo (25.67 ha) dentro del ±2 % (+0.03 %)</t>
        </is>
      </c>
      <c r="D12" s="34" t="inlineStr">
        <is>
          <t>CONFORME</t>
        </is>
      </c>
      <c r="E12" s="33" t="inlineStr">
        <is>
          <t>Sin acción: la segmentación valida la geometría del bloque.</t>
        </is>
      </c>
    </row>
    <row r="13" ht="48" customHeight="1">
      <c r="A13" s="35" t="inlineStr">
        <is>
          <t>D-04</t>
        </is>
      </c>
      <c r="B13" s="35" t="inlineStr">
        <is>
          <t>Cobertura vegetal total</t>
        </is>
      </c>
      <c r="C13" s="35" t="inlineStr">
        <is>
          <t>La ficha DT estima 85 % de cobertura vegetal en campo; el NDVI mediana 2025 clasifica 100.01 % del polígono en clases de vegetación</t>
        </is>
      </c>
      <c r="D13" s="13" t="inlineStr">
        <is>
          <t>NO SUSTANTIVA</t>
        </is>
      </c>
      <c r="E13" s="35"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3" t="inlineStr">
        <is>
          <t>D-05</t>
        </is>
      </c>
      <c r="B14" s="33" t="inlineStr">
        <is>
          <t>Altitud GPS del punto de muestreo</t>
        </is>
      </c>
      <c r="C14" s="33" t="inlineStr">
        <is>
          <t>La aplicación de captura no registró altitud GPS en campo</t>
        </is>
      </c>
      <c r="D14" s="13" t="inlineStr">
        <is>
          <t>NO SUSTANTIVA</t>
        </is>
      </c>
      <c r="E14" s="33" t="inlineStr">
        <is>
          <t>El rango altitudinal del bloque (2306–2624 msnm) y la pendiente promedio (30.44 %) se toman de la estadística zonal sobre el MDE, no de medición de campo. Se declara la fuente.</t>
        </is>
      </c>
    </row>
    <row r="15" ht="48" customHeight="1">
      <c r="A15" s="35" t="inlineStr">
        <is>
          <t>D-06</t>
        </is>
      </c>
      <c r="B15" s="35" t="inlineStr">
        <is>
          <t>Inventario georreferenciado de cárcavas</t>
        </is>
      </c>
      <c r="C15" s="35" t="inlineStr">
        <is>
          <t>El inventario de cárcavas no fue ejecutado o no consta en la ficha DT</t>
        </is>
      </c>
      <c r="D15" s="36" t="inlineStr">
        <is>
          <t>SUSTANTIVA</t>
        </is>
      </c>
      <c r="E15" s="35" t="inlineStr">
        <is>
          <t>La ausencia de registros NO equivale a ausencia verificada de cárcavas. Queda pendiente el levantamiento instrumental a cargo del especialista de Infraestructura Marrón antes de fijar metas físicas de infraestructura gris.</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«Taspa (631 621 E · 9 440 841 N; 250 hab.) / San Lorenzo (126 hab.) — ref. Los Lúcumos»; el cruce INEI-Bloques V5 identifica 2 centro(s) poblado(s) en el bloque: SAN LORENZO, TASPA</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Catálogo</t>
        </is>
      </c>
      <c r="C19" s="35" t="inlineStr">
        <is>
          <t>El registro este/norte de «Bloques V4» (631 195 E · 9 441 777 N) difiere ≈2.1 km al N del centroide de campo/Centroides_V5 (631 723 E · 9 439 702 N)</t>
        </is>
      </c>
      <c r="D19" s="36" t="inlineStr">
        <is>
          <t>SUSTANTIVA</t>
        </is>
      </c>
      <c r="E19" s="35" t="inlineStr">
        <is>
          <t>Documentada en la propia ficha; conciliar catálogo maestro</t>
        </is>
      </c>
    </row>
    <row r="20" ht="48" customHeight="1">
      <c r="A20" s="33" t="inlineStr">
        <is>
          <t>D-11</t>
        </is>
      </c>
      <c r="B20" s="33" t="inlineStr">
        <is>
          <t>Plan de Ingreso</t>
        </is>
      </c>
      <c r="C20" s="33" t="inlineStr">
        <is>
          <t>Altitud = 0 msnm (captura por defecto del aplicativo)</t>
        </is>
      </c>
      <c r="D20" s="13" t="inlineStr">
        <is>
          <t>NO SUSTANTIVA</t>
        </is>
      </c>
      <c r="E20" s="33" t="inlineStr">
        <is>
          <t>Se sustituye por el rango del MDE 2306-2624 msnm</t>
        </is>
      </c>
    </row>
    <row r="21" ht="48" customHeight="1">
      <c r="A21" s="35" t="inlineStr">
        <is>
          <t>D-12</t>
        </is>
      </c>
      <c r="B21" s="35" t="inlineStr">
        <is>
          <t>F-DS-03</t>
        </is>
      </c>
      <c r="C21" s="35" t="inlineStr">
        <is>
          <t>Las fichas sociales del C.P. San Lorenzo/Taspa consignan microcuenca C1076-Q9584 y UTM 631 195 · 9 441 780 (valores heredados de plantilla)</t>
        </is>
      </c>
      <c r="D21" s="13" t="inlineStr">
        <is>
          <t>NO SUSTANTIVA</t>
        </is>
      </c>
      <c r="E21" s="35" t="inlineStr">
        <is>
          <t>Se conserva la microcuenca del catálogo C1086-Q9576</t>
        </is>
      </c>
    </row>
    <row r="23">
      <c r="A23" s="16" t="inlineStr">
        <is>
          <t>RESUMEN</t>
        </is>
      </c>
      <c r="B23" s="17" t="inlineStr">
        <is>
          <t>12 verificaciones</t>
        </is>
      </c>
      <c r="C23" s="17" t="inlineStr">
        <is>
          <t>CONFORME: 3 · NO SUSTANTIVA: 4 · SUSTANTIVA: 5</t>
        </is>
      </c>
      <c r="D23" s="17" t="inlineStr"/>
      <c r="E23" s="17" t="inlineStr"/>
    </row>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57 — IN Piura</dc:title>
  <dc:subject>Diagnóstico Territorial por bloque de intervención</dc:subject>
  <dcterms:created xsi:type="dcterms:W3CDTF">2026-09-08T02:45:04Z</dcterms:created>
  <dcterms:modified xsi:type="dcterms:W3CDTF">2026-09-08T02:45:04Z</dcterms:modified>
</cp:coreProperties>
</file>