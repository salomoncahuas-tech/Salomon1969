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M12B1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M12B1</t>
        </is>
      </c>
      <c r="C9" s="6" t="inlineStr">
        <is>
          <t>Microcuenca (catálogo)</t>
        </is>
      </c>
      <c r="D9" s="7" t="inlineStr">
        <is>
          <t>C1076-Q9588</t>
        </is>
      </c>
      <c r="E9" s="8" t="n"/>
      <c r="F9" s="8" t="n"/>
    </row>
    <row r="10">
      <c r="A10" s="6" t="inlineStr">
        <is>
          <t>Zona de planificación</t>
        </is>
      </c>
      <c r="B10" s="7" t="inlineStr">
        <is>
          <t>Z13</t>
        </is>
      </c>
      <c r="C10" s="6" t="inlineStr">
        <is>
          <t>Microcuenca declarada en ficha DT</t>
        </is>
      </c>
      <c r="D10" s="7" t="inlineStr">
        <is>
          <t>C1076-Q9584 (según ficha — valor por defecto de plantilla; catálogo: C1076-Q9588)</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Nueva Esperanza de Los Molinos y Faicalito</t>
        </is>
      </c>
      <c r="C13" s="6" t="inlineStr">
        <is>
          <t>Comunidad campesina</t>
        </is>
      </c>
      <c r="D13" s="7" t="inlineStr">
        <is>
          <t>No consignada</t>
        </is>
      </c>
      <c r="E13" s="8" t="n"/>
      <c r="F13" s="8" t="n"/>
    </row>
    <row r="14">
      <c r="A14" s="6" t="inlineStr">
        <is>
          <t>Superficie de catálogo (V5/V6), ha</t>
        </is>
      </c>
      <c r="B14" s="7" t="n">
        <v>268.39</v>
      </c>
      <c r="C14" s="6" t="inlineStr">
        <is>
          <t>Fuente de superficie</t>
        </is>
      </c>
      <c r="D14" s="7" t="inlineStr">
        <is>
          <t>Catálogo maestro Bloques V5/V6</t>
        </is>
      </c>
      <c r="E14" s="8" t="n"/>
      <c r="F14" s="8" t="n"/>
    </row>
    <row r="15">
      <c r="A15" s="6" t="inlineStr">
        <is>
          <t>Centroide UTM ESTE (m)</t>
        </is>
      </c>
      <c r="B15" s="7" t="n">
        <v>644546</v>
      </c>
      <c r="C15" s="6" t="inlineStr">
        <is>
          <t>Centroide UTM NORTE (m)</t>
        </is>
      </c>
      <c r="D15" s="7" t="n">
        <v>9389106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333</v>
      </c>
      <c r="C19" s="6" t="inlineStr">
        <is>
          <t>Altitud máxima (msnm)</t>
        </is>
      </c>
      <c r="D19" s="7" t="n">
        <v>821</v>
      </c>
      <c r="E19" s="8" t="n"/>
      <c r="F19" s="8" t="n"/>
    </row>
    <row r="20">
      <c r="A20" s="6" t="inlineStr">
        <is>
          <t>Amplitud altitudinal (m)</t>
        </is>
      </c>
      <c r="B20" s="7" t="n">
        <v>488</v>
      </c>
      <c r="C20" s="6" t="inlineStr">
        <is>
          <t>Piso altitudinal dominante</t>
        </is>
      </c>
      <c r="D20" s="7" t="inlineStr">
        <is>
          <t>&lt;1000 m (Yunga)</t>
        </is>
      </c>
      <c r="E20" s="8" t="n"/>
      <c r="F20" s="8" t="n"/>
    </row>
    <row r="21">
      <c r="A21" s="6" t="inlineStr">
        <is>
          <t>Pendiente promedio (%)</t>
        </is>
      </c>
      <c r="B21" s="7" t="n">
        <v>18.18</v>
      </c>
      <c r="C21" s="6" t="inlineStr">
        <is>
          <t>Pendiente promedio (grados)</t>
        </is>
      </c>
      <c r="D21" s="7" t="n">
        <v>10.3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0.3475</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96.65 % del bloque BAJO el umbral (259.399 ha de 268.390 ha)</t>
        </is>
      </c>
      <c r="C29" s="6" t="inlineStr">
        <is>
          <t>NDVI mediana 2025 — clase modal</t>
        </is>
      </c>
      <c r="D29" s="7" t="inlineStr">
        <is>
          <t>Vegetación mediana (53.38 %)</t>
        </is>
      </c>
      <c r="E29" s="8" t="n"/>
      <c r="F29" s="8" t="n"/>
    </row>
    <row r="30">
      <c r="A30" s="6" t="inlineStr">
        <is>
          <t>MSAVI 2024 — superficie BAJO el umbral 0.4976 (ha)</t>
        </is>
      </c>
      <c r="B30" s="7" t="n">
        <v>259.399</v>
      </c>
      <c r="C30" s="6" t="inlineStr">
        <is>
          <t>MSAVI 2024 — % del bloque BAJO el umbral</t>
        </is>
      </c>
      <c r="D30" s="7" t="n">
        <v>96.65000000000001</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(M12B1.png)</t>
        </is>
      </c>
      <c r="E31" s="8" t="n"/>
      <c r="F31" s="8" t="n"/>
    </row>
    <row r="32" ht="18" customHeight="1">
      <c r="A32" s="6" t="inlineStr">
        <is>
          <t>Superficie clasificada NDVI 2025 (ha)</t>
        </is>
      </c>
      <c r="B32" s="7" t="n">
        <v>268.469</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120 ha (de 268.39 ha del bloque)</t>
        </is>
      </c>
      <c r="E35" s="8" t="n"/>
      <c r="F35" s="8" t="n"/>
    </row>
    <row r="36">
      <c r="A36" s="6" t="inlineStr">
        <is>
          <t>Estado de conservación</t>
        </is>
      </c>
      <c r="B36" s="7" t="inlineStr">
        <is>
          <t>Medianamente alterado</t>
        </is>
      </c>
      <c r="C36" s="6" t="inlineStr">
        <is>
          <t>Uso actual dominante del suelo</t>
        </is>
      </c>
      <c r="D36" s="7" t="inlineStr">
        <is>
          <t>Pastoreo extensivo</t>
        </is>
      </c>
      <c r="E36" s="8" t="n"/>
      <c r="F36" s="8" t="n"/>
    </row>
    <row r="37">
      <c r="A37" s="6" t="inlineStr">
        <is>
          <t>Tipo de cobertura dominante</t>
        </is>
      </c>
      <c r="B37" s="7" t="inlineStr">
        <is>
          <t>Bosque ralo (30-70%)</t>
        </is>
      </c>
      <c r="C37" s="6" t="inlineStr">
        <is>
          <t>Cobertura vegetal total — campo (%)</t>
        </is>
      </c>
      <c r="D37" s="7" t="n">
        <v>70</v>
      </c>
      <c r="E37" s="8" t="n"/>
      <c r="F37" s="8" t="n"/>
    </row>
    <row r="38">
      <c r="A38" s="6" t="inlineStr">
        <is>
          <t>Suelo desnudo — campo (%)</t>
        </is>
      </c>
      <c r="B38" s="7" t="n">
        <v>10</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0</v>
      </c>
      <c r="E39" s="8" t="n"/>
      <c r="F39" s="8" t="n"/>
    </row>
    <row r="40" ht="18" customHeight="1">
      <c r="A40" s="6" t="inlineStr">
        <is>
          <t>Elenco florístico (n.° de taxones)</t>
        </is>
      </c>
      <c r="B40" s="7" t="n">
        <v>7</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Juan Domínguez</t>
        </is>
      </c>
      <c r="C43" s="6" t="inlineStr">
        <is>
          <t>Fecha de evaluación</t>
        </is>
      </c>
      <c r="D43" s="7" t="inlineStr">
        <is>
          <t>2026-08-10</t>
        </is>
      </c>
      <c r="E43" s="8" t="n"/>
      <c r="F43" s="8" t="n"/>
    </row>
    <row r="44">
      <c r="A44" s="6" t="inlineStr">
        <is>
          <t>Hora de registro</t>
        </is>
      </c>
      <c r="B44" s="7" t="inlineStr">
        <is>
          <t>11:46 h</t>
        </is>
      </c>
      <c r="C44" s="6" t="inlineStr">
        <is>
          <t>Correlativo de ficha</t>
        </is>
      </c>
      <c r="D44" s="7" t="inlineStr">
        <is>
          <t>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Sin registro en ficha</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No consignada en la ficha</t>
        </is>
      </c>
      <c r="C50" s="6" t="inlineStr">
        <is>
          <t>Velocidad de degradación</t>
        </is>
      </c>
      <c r="D50" s="7" t="inlineStr">
        <is>
          <t>Lenta</t>
        </is>
      </c>
      <c r="E50" s="8" t="n"/>
      <c r="F50" s="8" t="n"/>
    </row>
    <row r="51">
      <c r="A51" s="6" t="inlineStr">
        <is>
          <t>Reversibilidad técnica</t>
        </is>
      </c>
      <c r="B51" s="7" t="inlineStr">
        <is>
          <t>Totalmente reversible</t>
        </is>
      </c>
      <c r="C51" s="6" t="inlineStr">
        <is>
          <t>Urgencia de intervención</t>
        </is>
      </c>
      <c r="D51" s="7" t="inlineStr">
        <is>
          <t>Baja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7" t="n"/>
      <c r="C56" s="37" t="n"/>
      <c r="D56" s="37" t="n"/>
      <c r="E56" s="37" t="n"/>
      <c r="F56" s="38"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M12B1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0.1342</v>
      </c>
      <c r="C10" s="19" t="n">
        <v>0.05</v>
      </c>
      <c r="D10" s="11" t="inlineStr">
        <is>
          <t>Vigor alto</t>
        </is>
      </c>
      <c r="E10" s="11" t="inlineStr">
        <is>
          <t>Sobre umbral</t>
        </is>
      </c>
    </row>
    <row r="11">
      <c r="A11" s="12" t="inlineStr">
        <is>
          <t>0.4976 - 0.6139</t>
        </is>
      </c>
      <c r="B11" s="20" t="n">
        <v>8.8569</v>
      </c>
      <c r="C11" s="21" t="n">
        <v>3.3</v>
      </c>
      <c r="D11" s="13" t="inlineStr">
        <is>
          <t>Vigor moderado</t>
        </is>
      </c>
      <c r="E11" s="13" t="inlineStr">
        <is>
          <t>Sobre umbral</t>
        </is>
      </c>
    </row>
    <row r="12">
      <c r="A12" s="7" t="inlineStr">
        <is>
          <t>0.3813 - 0.4976</t>
        </is>
      </c>
      <c r="B12" s="18" t="n">
        <v>78.2625</v>
      </c>
      <c r="C12" s="19" t="n">
        <v>29.16</v>
      </c>
      <c r="D12" s="11" t="inlineStr">
        <is>
          <t>Vigor bajo</t>
        </is>
      </c>
      <c r="E12" s="11" t="inlineStr">
        <is>
          <t>BAJO umbral 0.4976</t>
        </is>
      </c>
    </row>
    <row r="13">
      <c r="A13" s="14" t="inlineStr">
        <is>
          <t>0.2650 - 0.3813</t>
        </is>
      </c>
      <c r="B13" s="29" t="n">
        <v>139.4018</v>
      </c>
      <c r="C13" s="28" t="n">
        <v>51.94</v>
      </c>
      <c r="D13" s="15" t="inlineStr">
        <is>
          <t>Vigor muy bajo</t>
        </is>
      </c>
      <c r="E13" s="15" t="inlineStr">
        <is>
          <t>BAJO umbral 0.4976</t>
        </is>
      </c>
    </row>
    <row r="14">
      <c r="A14" s="7" t="inlineStr">
        <is>
          <t>&lt;= 0.2650</t>
        </is>
      </c>
      <c r="B14" s="18" t="n">
        <v>41.7346</v>
      </c>
      <c r="C14" s="19" t="n">
        <v>15.55</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0.34753</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7" t="n"/>
      <c r="C18" s="37" t="n"/>
      <c r="D18" s="37" t="n"/>
      <c r="E18" s="38"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6.6849</v>
      </c>
      <c r="C22" s="19" t="n">
        <v>2.49</v>
      </c>
      <c r="D22" s="11" t="inlineStr">
        <is>
          <t>Dosel continuo, matorral denso o mosaico agroforestal</t>
        </is>
      </c>
      <c r="E22" s="11" t="inlineStr"/>
    </row>
    <row r="23">
      <c r="A23" s="12" t="inlineStr">
        <is>
          <t>Vegetación mediana</t>
        </is>
      </c>
      <c r="B23" s="20" t="n">
        <v>143.3102</v>
      </c>
      <c r="C23" s="21" t="n">
        <v>53.38</v>
      </c>
      <c r="D23" s="13" t="inlineStr">
        <is>
          <t>Pastizal cultivado, matorral ralo, parcelas agrícolas</t>
        </is>
      </c>
      <c r="E23" s="13" t="inlineStr"/>
    </row>
    <row r="24">
      <c r="A24" s="7" t="inlineStr">
        <is>
          <t>Vegetación ligera</t>
        </is>
      </c>
      <c r="B24" s="18" t="n">
        <v>116.8474</v>
      </c>
      <c r="C24" s="19" t="n">
        <v>43.52</v>
      </c>
      <c r="D24" s="11" t="inlineStr">
        <is>
          <t>Cobertura discontinua, suelo parcialmente expuesto</t>
        </is>
      </c>
      <c r="E24" s="11" t="inlineStr"/>
    </row>
    <row r="25">
      <c r="A25" s="12" t="inlineStr">
        <is>
          <t>Tierra desnuda</t>
        </is>
      </c>
      <c r="B25" s="20" t="n">
        <v>1.6265</v>
      </c>
      <c r="C25" s="21" t="n">
        <v>0.61</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268.39</v>
      </c>
      <c r="C27" s="25" t="inlineStr">
        <is>
          <t>—</t>
        </is>
      </c>
      <c r="D27" s="25" t="inlineStr">
        <is>
          <t>Desviación planimétrica frente al catálogo</t>
        </is>
      </c>
      <c r="E27" s="25" t="inlineStr">
        <is>
          <t>+0.03 %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2.49 % del polígono clasificado como «Vegetación alta» por el NDVI 2025; la observación de campo corresponde a una parcela o recorrido puntual y no es estadísticamente representativa de las 268.390 ha del bloque.</t>
        </is>
      </c>
      <c r="B29" s="37" t="n"/>
      <c r="C29" s="37" t="n"/>
      <c r="D29" s="37" t="n"/>
      <c r="E29" s="38"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M12B1</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643508</v>
      </c>
      <c r="D10" s="26" t="n">
        <v>9389713</v>
      </c>
      <c r="E10" s="11" t="n">
        <v>1202.5</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644546</v>
      </c>
      <c r="C13" s="6" t="inlineStr">
        <is>
          <t>Centroide del bloque — UTM NORTE (m)</t>
        </is>
      </c>
      <c r="D13" s="7" t="n">
        <v>9389106</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6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≈380 msnm. Presenta AFLORAMIENTO ROCOSO, rocas semienterradas y piedras medianas a grandes dispersas. Zonas con cobertura vegetal remanente. LA LADERA ES EMPLEADA PARA PASTOREO EXTENSIVO DE GANADO CAPRINO del centro poblado próximo. LEÑA APILADA en viviendas próximas. El suelo presenta erosión eólica; estrías y surcos por tránsito de ganado; caminos de herradura dentro del bloque y áreas de suelo desprovistas de vegetación. INCONSISTENCIA INTERNA (D-04): la sección 3 de la ficha responde «No» a la presencia de afloramientos rocosos, mientras estas mismas observaciones afirman que «presenta afloramiento rocoso». NOTA: el punto de muestreo (643 508 · 9 389 713) dista ≈1.2 km al SO del centroide catastral (644 546 · 9 389 110) y es contiguo al empleado en las fichas de M4B3 y M4B4.</t>
        </is>
      </c>
      <c r="B16" s="37" t="n"/>
      <c r="C16" s="37" t="n"/>
      <c r="D16" s="37" t="n"/>
      <c r="E16" s="37" t="n"/>
      <c r="F16" s="37" t="n"/>
      <c r="G16" s="38"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C1076-Q9588 — BLOQUE M12B1</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C1076-Q9588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M12B1</t>
        </is>
      </c>
      <c r="B10" s="27" t="n">
        <v>268.39</v>
      </c>
      <c r="C10" s="28" t="n">
        <v>50.86</v>
      </c>
      <c r="D10" s="15" t="inlineStr">
        <is>
          <t>333 – 821</t>
        </is>
      </c>
      <c r="E10" s="15" t="n">
        <v>488</v>
      </c>
      <c r="F10" s="15" t="n">
        <v>18.18</v>
      </c>
      <c r="G10" s="29" t="n">
        <v>0.3475</v>
      </c>
      <c r="H10" s="28" t="n">
        <v>2.49</v>
      </c>
    </row>
    <row r="11">
      <c r="A11" s="12" t="inlineStr">
        <is>
          <t>4</t>
        </is>
      </c>
      <c r="B11" s="30" t="n">
        <v>230.1</v>
      </c>
      <c r="C11" s="21" t="n">
        <v>43.6</v>
      </c>
      <c r="D11" s="13" t="inlineStr">
        <is>
          <t>1378 – 2318</t>
        </is>
      </c>
      <c r="E11" s="13" t="n">
        <v>940</v>
      </c>
      <c r="F11" s="13" t="n">
        <v>35.01</v>
      </c>
      <c r="G11" s="20" t="n">
        <v>0.6601</v>
      </c>
      <c r="H11" s="21" t="n">
        <v>88.09999999999999</v>
      </c>
    </row>
    <row r="12">
      <c r="A12" s="7" t="inlineStr">
        <is>
          <t>74</t>
        </is>
      </c>
      <c r="B12" s="31" t="n">
        <v>29.23</v>
      </c>
      <c r="C12" s="19" t="n">
        <v>5.54</v>
      </c>
      <c r="D12" s="11" t="inlineStr">
        <is>
          <t>663 – 975</t>
        </is>
      </c>
      <c r="E12" s="11" t="n">
        <v>312</v>
      </c>
      <c r="F12" s="11" t="n">
        <v>29.51</v>
      </c>
      <c r="G12" s="18" t="n">
        <v>0.3565</v>
      </c>
      <c r="H12" s="19" t="n">
        <v>3.75</v>
      </c>
    </row>
    <row r="13">
      <c r="A13" s="16" t="inlineStr">
        <is>
          <t>TOTAL / PROMEDIO</t>
        </is>
      </c>
      <c r="B13" s="32">
        <f>SUM(B10:B12)</f>
        <v/>
      </c>
      <c r="C13" s="23">
        <f>SUM(C10:C12)</f>
        <v/>
      </c>
      <c r="D13" s="17" t="inlineStr">
        <is>
          <t>333 – 2318</t>
        </is>
      </c>
      <c r="E13" s="17" t="inlineStr"/>
      <c r="F13" s="17">
        <f>ROUND(AVERAGE(F10:F12),2)</f>
        <v/>
      </c>
      <c r="G13" s="22">
        <f>ROUND(AVERAGE(G10:G12),4)</f>
        <v/>
      </c>
      <c r="H13" s="23">
        <f>ROUND(AVERAGE(H10:H12),2)</f>
        <v/>
      </c>
    </row>
    <row r="15" ht="84" customHeight="1">
      <c r="A15" s="9" t="inlineStr">
        <is>
          <t>LECTURA INTRAMICROCUENCA. El bloque M12B1 ocupa el puesto 1 de 3 por superficie dentro de la microcuenca C1076-Q9588 (50.86 % de las 527.72 ha preliminares de la microcuenca). Su pendiente promedio (18.18 %, clase «15-25% (Fuert. inclinado)») es la 1.ª más baja de 3 y se sitúa por debajo del promedio de la microcuenca (27.57 %). Su MSAVI 2024 (0.3475) es el 3.º de 3 y queda por debajo del promedio local (0.4547). Amplitud altitudinal del bloque: 488 m (333–821 msnm). El cuadro conserva todos los bloques catalogados en la microcuenca, incluidos los descartados en el tamizaje, para referencia del conjunto. Los bloques sin ficha DT figuran con sus parámetros de gabinete.</t>
        </is>
      </c>
      <c r="B15" s="37" t="n"/>
      <c r="C15" s="37" t="n"/>
      <c r="D15" s="37" t="n"/>
      <c r="E15" s="37" t="n"/>
      <c r="F15" s="37" t="n"/>
      <c r="G15" s="37" t="n"/>
      <c r="H15" s="38" t="n"/>
    </row>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17" s="37" t="n"/>
      <c r="C17" s="37" t="n"/>
      <c r="D17" s="37" t="n"/>
      <c r="E17" s="37" t="n"/>
      <c r="F17" s="37" t="n"/>
      <c r="G17" s="37" t="n"/>
      <c r="H17" s="38" t="n"/>
    </row>
  </sheetData>
  <mergeCells count="9">
    <mergeCell ref="A1:H1"/>
    <mergeCell ref="A4:H4"/>
    <mergeCell ref="A3:H3"/>
    <mergeCell ref="A15:H15"/>
    <mergeCell ref="A2:H2"/>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M12B1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(según ficha — valor por defecto de plantilla; catálogo: C1076-Q9588)»; el catálogo maestro V5/V6 asigna el bloque a «C1076-Q9588»</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(643508 E / 9389713 N) dista 1,202 m del centroide de catálogo (644546 E / 9389106 N), distancia incompatible con la superficie del bloque (268.39 ha)</t>
        </is>
      </c>
      <c r="D11" s="34"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(268.469 ha) coincide con la de catálogo (268.39 ha) dentro del ±2 % (+0.03 %)</t>
        </is>
      </c>
      <c r="D12" s="36"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18.18 %,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Cobertura vegetal total</t>
        </is>
      </c>
      <c r="C14" s="33" t="inlineStr">
        <is>
          <t>La ficha DT estima 70 % de cobertura vegetal en campo; el NDVI mediana 2025 clasifica 99.39 % del polígono en clases de vegetación</t>
        </is>
      </c>
      <c r="D14" s="15" t="inlineStr">
        <is>
          <t>NO SUSTANTIVA</t>
        </is>
      </c>
      <c r="E14" s="33"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5" t="inlineStr">
        <is>
          <t>D-06</t>
        </is>
      </c>
      <c r="B15" s="35" t="inlineStr">
        <is>
          <t>Elenco florístico</t>
        </is>
      </c>
      <c r="C15" s="35" t="inlineStr">
        <is>
          <t>La ficha registra 7 taxones, por debajo del mínimo de 15 que exige el formato V5</t>
        </is>
      </c>
      <c r="D15" s="34"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4"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«Nueva Esperanza de Los Molinos y Faicalito»; el cruce INEI-Bloques V5 identifica 2 centro(s) poblado(s) en el bloque: FAICALITO, NUEVA ESPERANZA</t>
        </is>
      </c>
      <c r="D17" s="36"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4"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Ficha DT</t>
        </is>
      </c>
      <c r="C19" s="35" t="inlineStr">
        <is>
          <t>La ficha consigna microcuenca C1076-Q9584; el catálogo maestro asigna a M12B1 la microcuenca C1076-Q9588</t>
        </is>
      </c>
      <c r="D19" s="34" t="inlineStr">
        <is>
          <t>SUSTANTIVA</t>
        </is>
      </c>
      <c r="E19" s="35" t="inlineStr">
        <is>
          <t>Valor por defecto de la plantilla; se conserva el del catálogo</t>
        </is>
      </c>
    </row>
    <row r="20" ht="48" customHeight="1">
      <c r="A20" s="33" t="inlineStr">
        <is>
          <t>D-11</t>
        </is>
      </c>
      <c r="B20" s="33" t="inlineStr">
        <is>
          <t>F-DT-01</t>
        </is>
      </c>
      <c r="C20" s="33" t="inlineStr">
        <is>
          <t>D-04: la sección 3 responde «No» a afloramientos rocosos mientras la narrativa afirma que «presenta afloramiento rocoso»</t>
        </is>
      </c>
      <c r="D20" s="34" t="inlineStr">
        <is>
          <t>SUSTANTIVA</t>
        </is>
      </c>
      <c r="E20" s="33" t="inlineStr">
        <is>
          <t>Inconsistencia interna a corregir</t>
        </is>
      </c>
    </row>
    <row r="21" ht="48" customHeight="1">
      <c r="A21" s="35" t="inlineStr">
        <is>
          <t>D-12</t>
        </is>
      </c>
      <c r="B21" s="35" t="inlineStr">
        <is>
          <t>F-DT-01</t>
        </is>
      </c>
      <c r="C21" s="35" t="inlineStr">
        <is>
          <t>El punto de muestreo dista ≈1.2 km al SO del centroide y es contiguo al usado en las fichas de M4B3 y M4B4</t>
        </is>
      </c>
      <c r="D21" s="34" t="inlineStr">
        <is>
          <t>SUSTANTIVA</t>
        </is>
      </c>
      <c r="E21" s="35" t="inlineStr">
        <is>
          <t>Una sola jornada y estaciones muy próximas sirvieron a tres bloques</t>
        </is>
      </c>
    </row>
    <row r="22" ht="48" customHeight="1">
      <c r="A22" s="33" t="inlineStr">
        <is>
          <t>D-13</t>
        </is>
      </c>
      <c r="B22" s="33" t="inlineStr">
        <is>
          <t>F-DT-01</t>
        </is>
      </c>
      <c r="C22" s="33" t="inlineStr">
        <is>
          <t>Altitud: GPS 340 msnm frente a ≈380 msnm de la narrativa</t>
        </is>
      </c>
      <c r="D22" s="15" t="inlineStr">
        <is>
          <t>NO SUSTANTIVA</t>
        </is>
      </c>
      <c r="E22" s="33" t="inlineStr">
        <is>
          <t>Conciliar</t>
        </is>
      </c>
    </row>
    <row r="23" ht="48" customHeight="1">
      <c r="A23" s="35" t="inlineStr">
        <is>
          <t>D-14</t>
        </is>
      </c>
      <c r="B23" s="35" t="inlineStr">
        <is>
          <t>F-DT-02</t>
        </is>
      </c>
      <c r="C23" s="35" t="inlineStr">
        <is>
          <t>Sin ficha F-DT-02 firmada en el ANEXO 01; inventario de cárcavas pendiente</t>
        </is>
      </c>
      <c r="D23" s="34" t="inlineStr">
        <is>
          <t>SUSTANTIVA</t>
        </is>
      </c>
      <c r="E23" s="35" t="inlineStr">
        <is>
          <t>Levantamiento pendiente</t>
        </is>
      </c>
    </row>
    <row r="24" ht="48" customHeight="1">
      <c r="A24" s="33" t="inlineStr">
        <is>
          <t>D-15</t>
        </is>
      </c>
      <c r="B24" s="33" t="inlineStr">
        <is>
          <t>F-DT-03</t>
        </is>
      </c>
      <c r="C24" s="33" t="inlineStr">
        <is>
          <t>D-05: altura del estrato dominante (9 m) y DAP (30 cm) de la sección 3 no coinciden con las observaciones (&lt;8 m y &lt;20 cm)</t>
        </is>
      </c>
      <c r="D24" s="34" t="inlineStr">
        <is>
          <t>SUSTANTIVA</t>
        </is>
      </c>
      <c r="E24" s="33" t="inlineStr">
        <is>
          <t>Inconsistencia interna a resolver</t>
        </is>
      </c>
    </row>
    <row r="25" ht="48" customHeight="1">
      <c r="A25" s="35" t="inlineStr">
        <is>
          <t>D-16</t>
        </is>
      </c>
      <c r="B25" s="35" t="inlineStr">
        <is>
          <t>F-DT-03</t>
        </is>
      </c>
      <c r="C25" s="35" t="inlineStr">
        <is>
          <t>D-02: valores estructurales muy próximos a los de M4B3 y M4B4, registrados a la misma hora</t>
        </is>
      </c>
      <c r="D25" s="34" t="inlineStr">
        <is>
          <t>SUSTANTIVA</t>
        </is>
      </c>
      <c r="E25" s="35" t="inlineStr">
        <is>
          <t>Estimación visual global no diferenciada por bloque</t>
        </is>
      </c>
    </row>
    <row r="26" ht="48" customHeight="1">
      <c r="A26" s="33" t="inlineStr">
        <is>
          <t>D-17</t>
        </is>
      </c>
      <c r="B26" s="33" t="inlineStr">
        <is>
          <t>F-DT-03 / F-DT-04</t>
        </is>
      </c>
      <c r="C26" s="33" t="inlineStr">
        <is>
          <t>Suelo desnudo: 10% en F-DT-03 frente a 5% en el indicador N.° 2</t>
        </is>
      </c>
      <c r="D26" s="34" t="inlineStr">
        <is>
          <t>SUSTANTIVA</t>
        </is>
      </c>
      <c r="E26" s="33" t="inlineStr">
        <is>
          <t>Inconsistencia interna a resolver</t>
        </is>
      </c>
    </row>
    <row r="27" ht="48" customHeight="1">
      <c r="A27" s="35" t="inlineStr">
        <is>
          <t>D-18</t>
        </is>
      </c>
      <c r="B27" s="35" t="inlineStr">
        <is>
          <t>F-DT-04</t>
        </is>
      </c>
      <c r="C27" s="35" t="inlineStr">
        <is>
          <t>Densidad de cárcavas 1 N.°/ha frente a inventario de 0 cárcavas; % pendiente &gt;50% = 35% calificado «Bajo»</t>
        </is>
      </c>
      <c r="D27" s="34" t="inlineStr">
        <is>
          <t>SUSTANTIVA</t>
        </is>
      </c>
      <c r="E27" s="35" t="inlineStr">
        <is>
          <t>Inconsistencias internas a resolver</t>
        </is>
      </c>
    </row>
    <row r="28" ht="48" customHeight="1">
      <c r="A28" s="33" t="inlineStr">
        <is>
          <t>D-19</t>
        </is>
      </c>
      <c r="B28" s="33" t="inlineStr">
        <is>
          <t>F-DT-05</t>
        </is>
      </c>
      <c r="C28" s="33" t="inlineStr">
        <is>
          <t>Sin ficha F-DT-05 en el ANEXO 01</t>
        </is>
      </c>
      <c r="D28" s="34" t="inlineStr">
        <is>
          <t>SUSTANTIVA</t>
        </is>
      </c>
      <c r="E28" s="33" t="inlineStr">
        <is>
          <t>Inventario hídrico y accesibilidad por completar</t>
        </is>
      </c>
    </row>
    <row r="29">
      <c r="A29" s="33" t="inlineStr">
        <is>
          <t>D-20</t>
        </is>
      </c>
      <c r="B29" s="33" t="inlineStr">
        <is>
          <t>Distribución areal de clases MSAVI 2024</t>
        </is>
      </c>
      <c r="C29" s="33" t="inlineStr">
        <is>
          <t>La hoja «Cobertura MSAVI-NDVI» consignaba «Por determinar» en la distribución areal de clases MSAVI 2024; se incorpora el metrado por clase medido sobre la cartografía temática MSAVI 2024 del bloque: 96.65 % del bloque (259.399 ha) bajo el umbral 0.4976 y 3.35 % sobre el umbral; clase areal dominante «Vigor muy bajo».</t>
        </is>
      </c>
      <c r="D29" s="34" t="inlineStr">
        <is>
          <t>CORREGIDO</t>
        </is>
      </c>
      <c r="E29" s="33"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30"/>
    <row r="31">
      <c r="A31" s="16" t="inlineStr">
        <is>
          <t>RESUMEN</t>
        </is>
      </c>
      <c r="B31" s="17" t="inlineStr">
        <is>
          <t>20 verificaciones</t>
        </is>
      </c>
      <c r="C31" s="17" t="inlineStr">
        <is>
          <t>CONFORME: 2 · NO SUSTANTIVA: 3 · SUSTANTIVA: 14 · CORREGIDO: 1</t>
        </is>
      </c>
      <c r="D31" s="17" t="inlineStr"/>
      <c r="E31" s="17" t="inlineStr"/>
    </row>
    <row r="32" ht="60" customHeight="1"/>
    <row r="33">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37" t="n"/>
      <c r="C33" s="37" t="n"/>
      <c r="D33" s="37" t="n"/>
      <c r="E33" s="38"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M12B1 — IN Piura</dc:title>
  <dc:subject>Diagnóstico Territorial por bloque de intervención</dc:subject>
  <dcterms:created xsi:type="dcterms:W3CDTF">2026-09-08T03:39:57Z</dcterms:created>
  <dcterms:modified xsi:type="dcterms:W3CDTF">2026-09-09T14:49:45Z</dcterms:modified>
</cp:coreProperties>
</file>