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M12B1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M12B1</t>
        </is>
      </c>
      <c r="C9" s="6" t="inlineStr">
        <is>
          <t>Microcuenca (catálogo)</t>
        </is>
      </c>
      <c r="D9" s="7" t="inlineStr">
        <is>
          <t>C1076-Q9588</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C1076-Q9588)</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Nueva Esperanza de Los Molinos y Faicalito</t>
        </is>
      </c>
      <c r="C13" s="6" t="inlineStr">
        <is>
          <t>Comunidad campesina</t>
        </is>
      </c>
      <c r="D13" s="7" t="inlineStr">
        <is>
          <t>No consignada</t>
        </is>
      </c>
      <c r="E13" s="8" t="n"/>
      <c r="F13" s="8" t="n"/>
    </row>
    <row r="14">
      <c r="A14" s="6" t="inlineStr">
        <is>
          <t>Superficie de catálogo (V5/V6), ha</t>
        </is>
      </c>
      <c r="B14" s="7" t="n">
        <v>268.39</v>
      </c>
      <c r="C14" s="6" t="inlineStr">
        <is>
          <t>Fuente de superficie</t>
        </is>
      </c>
      <c r="D14" s="7" t="inlineStr">
        <is>
          <t>Catálogo maestro Bloques V5/V6</t>
        </is>
      </c>
      <c r="E14" s="8" t="n"/>
      <c r="F14" s="8" t="n"/>
    </row>
    <row r="15">
      <c r="A15" s="6" t="inlineStr">
        <is>
          <t>Centroide UTM ESTE (m)</t>
        </is>
      </c>
      <c r="B15" s="7" t="n">
        <v>644546</v>
      </c>
      <c r="C15" s="6" t="inlineStr">
        <is>
          <t>Centroide UTM NORTE (m)</t>
        </is>
      </c>
      <c r="D15" s="7" t="n">
        <v>9389106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333</v>
      </c>
      <c r="C19" s="6" t="inlineStr">
        <is>
          <t>Altitud máxima (msnm)</t>
        </is>
      </c>
      <c r="D19" s="7" t="n">
        <v>821</v>
      </c>
      <c r="E19" s="8" t="n"/>
      <c r="F19" s="8" t="n"/>
    </row>
    <row r="20">
      <c r="A20" s="6" t="inlineStr">
        <is>
          <t>Amplitud altitudinal (m)</t>
        </is>
      </c>
      <c r="B20" s="7" t="n">
        <v>488</v>
      </c>
      <c r="C20" s="6" t="inlineStr">
        <is>
          <t>Piso altitudinal dominante</t>
        </is>
      </c>
      <c r="D20" s="7" t="inlineStr">
        <is>
          <t>&lt;1000 m (Yunga)</t>
        </is>
      </c>
      <c r="E20" s="8" t="n"/>
      <c r="F20" s="8" t="n"/>
    </row>
    <row r="21">
      <c r="A21" s="6" t="inlineStr">
        <is>
          <t>Pendiente promedio (%)</t>
        </is>
      </c>
      <c r="B21" s="7" t="n">
        <v>18.18</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0.3475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(53.38 %)</t>
        </is>
      </c>
      <c r="E29" s="8" t="n"/>
      <c r="F29" s="8" t="n"/>
    </row>
    <row r="30">
      <c r="A30" s="6" t="inlineStr">
        <is>
          <t>Superficie clasificada NDVI 2025 (ha)</t>
        </is>
      </c>
      <c r="B30" s="7" t="n">
        <v>268.469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120 ha (de 268.39 ha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70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t>
        </is>
      </c>
      <c r="C41" s="6" t="inlineStr">
        <is>
          <t>Fecha de evaluación</t>
        </is>
      </c>
      <c r="D41" s="7" t="inlineStr">
        <is>
          <t>2026-08-10</t>
        </is>
      </c>
      <c r="E41" s="8" t="n"/>
      <c r="F41" s="8" t="n"/>
    </row>
    <row r="42">
      <c r="A42" s="6" t="inlineStr">
        <is>
          <t>Hora de registro</t>
        </is>
      </c>
      <c r="B42" s="7" t="inlineStr">
        <is>
          <t>11:46 h</t>
        </is>
      </c>
      <c r="C42" s="6" t="inlineStr">
        <is>
          <t>Correlativo de ficha</t>
        </is>
      </c>
      <c r="D42" s="7" t="inlineStr">
        <is>
          <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M12B1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0.34753</v>
      </c>
      <c r="C15" s="17" t="inlineStr">
        <is>
          <t>—</t>
        </is>
      </c>
      <c r="D15" s="17" t="inlineStr">
        <is>
          <t>Vigor muy bajo · clase 0.2650 - 0.3813</t>
        </is>
      </c>
      <c r="E15" s="17" t="inlineStr">
        <is>
          <t>BAJO umbral 0.4976</t>
        </is>
      </c>
    </row>
    <row r="17" ht="72" customHeight="1">
      <c r="A17" s="9" t="inlineStr">
        <is>
          <t>NOTA METODOLÓGICA. La media del MSAVI 2024 del bloque (0.347530)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6.6849</v>
      </c>
      <c r="C21" s="19" t="n">
        <v>2.49</v>
      </c>
      <c r="D21" s="11" t="inlineStr">
        <is>
          <t>Dosel continuo, matorral denso o mosaico agroforestal</t>
        </is>
      </c>
      <c r="E21" s="11" t="inlineStr"/>
    </row>
    <row r="22">
      <c r="A22" s="12" t="inlineStr">
        <is>
          <t>Vegetación mediana</t>
        </is>
      </c>
      <c r="B22" s="20" t="n">
        <v>143.3102</v>
      </c>
      <c r="C22" s="21" t="n">
        <v>53.38</v>
      </c>
      <c r="D22" s="13" t="inlineStr">
        <is>
          <t>Pastizal cultivado, matorral ralo, parcelas agrícolas</t>
        </is>
      </c>
      <c r="E22" s="13" t="inlineStr"/>
    </row>
    <row r="23">
      <c r="A23" s="7" t="inlineStr">
        <is>
          <t>Vegetación ligera</t>
        </is>
      </c>
      <c r="B23" s="18" t="n">
        <v>116.8474</v>
      </c>
      <c r="C23" s="19" t="n">
        <v>43.52</v>
      </c>
      <c r="D23" s="11" t="inlineStr">
        <is>
          <t>Cobertura discontinua, suelo parcialmente expuesto</t>
        </is>
      </c>
      <c r="E23" s="11" t="inlineStr"/>
    </row>
    <row r="24">
      <c r="A24" s="12" t="inlineStr">
        <is>
          <t>Tierra desnuda</t>
        </is>
      </c>
      <c r="B24" s="20" t="n">
        <v>1.6265</v>
      </c>
      <c r="C24" s="21" t="n">
        <v>0.61</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268.39</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2.49 % del polígono clasificado como «Vegetación alta» por el NDVI 2025; la observación de campo corresponde a una parcela o recorrido puntual y no es estadísticamente representativa de las 268.390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M12B1</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643508</v>
      </c>
      <c r="D10" s="26" t="n">
        <v>9389713</v>
      </c>
      <c r="E10" s="11" t="n">
        <v>1202.5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644546</v>
      </c>
      <c r="C13" s="6" t="inlineStr">
        <is>
          <t>Centroide del bloque — UTM NORTE (m)</t>
        </is>
      </c>
      <c r="D13" s="7" t="n">
        <v>9389106</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6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ubica en una ladera de colina alta, con pendiente menor a 60%; el terreno se inclina más conforme se asciende. Altitud ≈380 msnm. Presenta AFLORAMIENTO ROCOSO, rocas semienterradas y piedras medianas a grandes dispersas. Zonas con cobertura vegetal remanente. LA LADERA ES EMPLEADA PARA PASTOREO EXTENSIVO DE GANADO CAPRINO del centro poblado próximo. LEÑA APILADA en viviendas próximas. El suelo presenta erosión eólica; estrías y surcos por tránsito de ganado; caminos de herradura dentro del bloque y áreas de suelo desprovistas de vegetación. INCONSISTENCIA INTERNA (D-04): la sección 3 de la ficha responde «No» a la presencia de afloramientos rocosos, mientras estas mismas observaciones afirman que «presenta afloramiento rocoso». NOTA: el punto de muestreo (643 508 · 9 389 713) dista ≈1.2 km al SO del centroide catastral (644 546 · 9 389 110) y es contiguo al empleado en las fichas de M4B3 y M4B4.</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C1076-Q9588 — BLOQUE M12B1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M12B1</t>
        </is>
      </c>
      <c r="B10" s="27" t="n">
        <v>268.39</v>
      </c>
      <c r="C10" s="28" t="n">
        <v>50.86</v>
      </c>
      <c r="D10" s="15" t="inlineStr">
        <is>
          <t>333 – 821</t>
        </is>
      </c>
      <c r="E10" s="15" t="n">
        <v>488</v>
      </c>
      <c r="F10" s="15" t="n">
        <v>18.18</v>
      </c>
      <c r="G10" s="29" t="n">
        <v>0.3475</v>
      </c>
      <c r="H10" s="28" t="n">
        <v>2.49</v>
      </c>
    </row>
    <row r="11">
      <c r="A11" s="12" t="inlineStr">
        <is>
          <t>4</t>
        </is>
      </c>
      <c r="B11" s="30" t="n">
        <v>230.1</v>
      </c>
      <c r="C11" s="21" t="n">
        <v>43.6</v>
      </c>
      <c r="D11" s="13" t="inlineStr">
        <is>
          <t>1378 – 2318</t>
        </is>
      </c>
      <c r="E11" s="13" t="n">
        <v>940</v>
      </c>
      <c r="F11" s="13" t="n">
        <v>35.01</v>
      </c>
      <c r="G11" s="20" t="n">
        <v>0.6601</v>
      </c>
      <c r="H11" s="21" t="n">
        <v>88.09999999999999</v>
      </c>
    </row>
    <row r="12">
      <c r="A12" s="7" t="inlineStr">
        <is>
          <t>74</t>
        </is>
      </c>
      <c r="B12" s="31" t="n">
        <v>29.23</v>
      </c>
      <c r="C12" s="19" t="n">
        <v>5.54</v>
      </c>
      <c r="D12" s="11" t="inlineStr">
        <is>
          <t>663 – 975</t>
        </is>
      </c>
      <c r="E12" s="11" t="n">
        <v>312</v>
      </c>
      <c r="F12" s="11" t="n">
        <v>29.51</v>
      </c>
      <c r="G12" s="18" t="n">
        <v>0.3565</v>
      </c>
      <c r="H12" s="19" t="n">
        <v>3.75</v>
      </c>
    </row>
    <row r="13">
      <c r="A13" s="16" t="inlineStr">
        <is>
          <t>TOTAL / PROMEDIO</t>
        </is>
      </c>
      <c r="B13" s="32">
        <f>SUM(B10:B12)</f>
        <v/>
      </c>
      <c r="C13" s="23">
        <f>SUM(C10:C12)</f>
        <v/>
      </c>
      <c r="D13" s="17" t="inlineStr">
        <is>
          <t>333 – 2318</t>
        </is>
      </c>
      <c r="E13" s="17" t="inlineStr"/>
      <c r="F13" s="17">
        <f>ROUND(AVERAGE(F10:F12),2)</f>
        <v/>
      </c>
      <c r="G13" s="22">
        <f>ROUND(AVERAGE(G10:G12),4)</f>
        <v/>
      </c>
      <c r="H13" s="23">
        <f>ROUND(AVERAGE(H10:H12),2)</f>
        <v/>
      </c>
    </row>
    <row r="15" ht="84" customHeight="1">
      <c r="A15" s="9" t="inlineStr">
        <is>
          <t>LECTURA INTRAMICROCUENCA. El bloque M12B1 ocupa el puesto 1 de 3 por superficie dentro de la microcuenca C1076-Q9588 (50.86 % de las 527.72 ha preliminares de la microcuenca). Su pendiente promedio (18.18 %, clase «15-25% (Fuert. inclinado)») es la 1.ª más baja de 3 y se sitúa por debajo del promedio de la microcuenca (27.57 %). Su MSAVI 2024 (0.3475) es el 3.º de 3 y queda por debajo del promedio local (0.4547). Amplitud altitudinal del bloque: 488 m (333–821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M12B1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C1076-Q9588)»; el catálogo maestro V5/V6 asigna el bloque a «C1076-Q9588»</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(643508 E / 9389713 N) dista 1,202 m del centroide de catálogo (644546 E / 9389106 N), distancia incompatible con la superficie del bloque (268.39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(268.469 ha) coincide con la de catálogo (268.39 ha) dentro del ±2 % (+0.03 %)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18.18 %,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70 % de cobertura vegetal en campo; el NDVI mediana 2025 clasifica 99.39 %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Elenco florístico</t>
        </is>
      </c>
      <c r="C15" s="35" t="inlineStr">
        <is>
          <t>La ficha registra 7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«Nueva Esperanza de Los Molinos y Faicalito»; el cruce INEI-Bloques V5 identifica 2 centro(s) poblado(s) en el bloque: FAICALITO, NUEVA ESPERANZA</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M12B1 la microcuenca C1076-Q9588</t>
        </is>
      </c>
      <c r="D19" s="34" t="inlineStr">
        <is>
          <t>SUSTANTIVA</t>
        </is>
      </c>
      <c r="E19" s="35" t="inlineStr">
        <is>
          <t>Valor por defecto de la plantilla; se conserva el del catálogo</t>
        </is>
      </c>
    </row>
    <row r="20" ht="48" customHeight="1">
      <c r="A20" s="33" t="inlineStr">
        <is>
          <t>D-11</t>
        </is>
      </c>
      <c r="B20" s="33" t="inlineStr">
        <is>
          <t>F-DT-01</t>
        </is>
      </c>
      <c r="C20" s="33" t="inlineStr">
        <is>
          <t>D-04: la sección 3 responde «No» a afloramientos rocosos mientras la narrativa afirma que «presenta afloramiento rocoso»</t>
        </is>
      </c>
      <c r="D20" s="34" t="inlineStr">
        <is>
          <t>SUSTANTIVA</t>
        </is>
      </c>
      <c r="E20" s="33" t="inlineStr">
        <is>
          <t>Inconsistencia interna a corregir</t>
        </is>
      </c>
    </row>
    <row r="21" ht="48" customHeight="1">
      <c r="A21" s="35" t="inlineStr">
        <is>
          <t>D-12</t>
        </is>
      </c>
      <c r="B21" s="35" t="inlineStr">
        <is>
          <t>F-DT-01</t>
        </is>
      </c>
      <c r="C21" s="35" t="inlineStr">
        <is>
          <t>El punto de muestreo dista ≈1.2 km al SO del centroide y es contiguo al usado en las fichas de M4B3 y M4B4</t>
        </is>
      </c>
      <c r="D21" s="34" t="inlineStr">
        <is>
          <t>SUSTANTIVA</t>
        </is>
      </c>
      <c r="E21" s="35" t="inlineStr">
        <is>
          <t>Una sola jornada y estaciones muy próximas sirvieron a tres bloques</t>
        </is>
      </c>
    </row>
    <row r="22" ht="48" customHeight="1">
      <c r="A22" s="33" t="inlineStr">
        <is>
          <t>D-13</t>
        </is>
      </c>
      <c r="B22" s="33" t="inlineStr">
        <is>
          <t>F-DT-01</t>
        </is>
      </c>
      <c r="C22" s="33" t="inlineStr">
        <is>
          <t>Altitud: GPS 340 msnm frente a ≈380 msnm de la narrativa</t>
        </is>
      </c>
      <c r="D22" s="15" t="inlineStr">
        <is>
          <t>NO SUSTANTIVA</t>
        </is>
      </c>
      <c r="E22" s="33" t="inlineStr">
        <is>
          <t>Conciliar</t>
        </is>
      </c>
    </row>
    <row r="23" ht="48" customHeight="1">
      <c r="A23" s="35" t="inlineStr">
        <is>
          <t>D-14</t>
        </is>
      </c>
      <c r="B23" s="35" t="inlineStr">
        <is>
          <t>F-DT-02</t>
        </is>
      </c>
      <c r="C23" s="35" t="inlineStr">
        <is>
          <t>Sin ficha F-DT-02 firmada en el ANEXO 01; inventario de cárcavas pendiente</t>
        </is>
      </c>
      <c r="D23" s="34" t="inlineStr">
        <is>
          <t>SUSTANTIVA</t>
        </is>
      </c>
      <c r="E23" s="35" t="inlineStr">
        <is>
          <t>Levantamiento pendiente</t>
        </is>
      </c>
    </row>
    <row r="24" ht="48" customHeight="1">
      <c r="A24" s="33" t="inlineStr">
        <is>
          <t>D-15</t>
        </is>
      </c>
      <c r="B24" s="33" t="inlineStr">
        <is>
          <t>F-DT-03</t>
        </is>
      </c>
      <c r="C24" s="33" t="inlineStr">
        <is>
          <t>D-05: altura del estrato dominante (9 m) y DAP (30 cm) de la sección 3 no coinciden con las observaciones (&lt;8 m y &lt;20 cm)</t>
        </is>
      </c>
      <c r="D24" s="34" t="inlineStr">
        <is>
          <t>SUSTANTIVA</t>
        </is>
      </c>
      <c r="E24" s="33" t="inlineStr">
        <is>
          <t>Inconsistencia interna a resolver</t>
        </is>
      </c>
    </row>
    <row r="25" ht="48" customHeight="1">
      <c r="A25" s="35" t="inlineStr">
        <is>
          <t>D-16</t>
        </is>
      </c>
      <c r="B25" s="35" t="inlineStr">
        <is>
          <t>F-DT-03</t>
        </is>
      </c>
      <c r="C25" s="35" t="inlineStr">
        <is>
          <t>D-02: valores estructurales muy próximos a los de M4B3 y M4B4, registrados a la misma hora</t>
        </is>
      </c>
      <c r="D25" s="34" t="inlineStr">
        <is>
          <t>SUSTANTIVA</t>
        </is>
      </c>
      <c r="E25" s="35" t="inlineStr">
        <is>
          <t>Estimación visual global no diferenciada por bloque</t>
        </is>
      </c>
    </row>
    <row r="26" ht="48" customHeight="1">
      <c r="A26" s="33" t="inlineStr">
        <is>
          <t>D-17</t>
        </is>
      </c>
      <c r="B26" s="33" t="inlineStr">
        <is>
          <t>F-DT-03 / F-DT-04</t>
        </is>
      </c>
      <c r="C26" s="33" t="inlineStr">
        <is>
          <t>Suelo desnudo: 10% en F-DT-03 frente a 5% en el indicador N.° 2</t>
        </is>
      </c>
      <c r="D26" s="34" t="inlineStr">
        <is>
          <t>SUSTANTIVA</t>
        </is>
      </c>
      <c r="E26" s="33" t="inlineStr">
        <is>
          <t>Inconsistencia interna a resolver</t>
        </is>
      </c>
    </row>
    <row r="27" ht="48" customHeight="1">
      <c r="A27" s="35" t="inlineStr">
        <is>
          <t>D-18</t>
        </is>
      </c>
      <c r="B27" s="35" t="inlineStr">
        <is>
          <t>F-DT-04</t>
        </is>
      </c>
      <c r="C27" s="35" t="inlineStr">
        <is>
          <t>Densidad de cárcavas 1 N.°/ha frente a inventario de 0 cárcavas; % pendiente &gt;50% = 35% calificado «Bajo»</t>
        </is>
      </c>
      <c r="D27" s="34" t="inlineStr">
        <is>
          <t>SUSTANTIVA</t>
        </is>
      </c>
      <c r="E27" s="35" t="inlineStr">
        <is>
          <t>Inconsistencias internas a resolver</t>
        </is>
      </c>
    </row>
    <row r="28" ht="48" customHeight="1">
      <c r="A28" s="33" t="inlineStr">
        <is>
          <t>D-19</t>
        </is>
      </c>
      <c r="B28" s="33" t="inlineStr">
        <is>
          <t>F-DT-05</t>
        </is>
      </c>
      <c r="C28" s="33" t="inlineStr">
        <is>
          <t>Sin ficha F-DT-05 en el ANEXO 01</t>
        </is>
      </c>
      <c r="D28" s="34" t="inlineStr">
        <is>
          <t>SUSTANTIVA</t>
        </is>
      </c>
      <c r="E28" s="33" t="inlineStr">
        <is>
          <t>Inventario hídrico y accesibilidad por completar</t>
        </is>
      </c>
    </row>
    <row r="30">
      <c r="A30" s="16" t="inlineStr">
        <is>
          <t>RESUMEN</t>
        </is>
      </c>
      <c r="B30" s="17" t="inlineStr">
        <is>
          <t>19 verificaciones</t>
        </is>
      </c>
      <c r="C30" s="17" t="inlineStr">
        <is>
          <t>CONFORME: 2 · NO SUSTANTIVA: 3 · SUSTANTIVA: 14</t>
        </is>
      </c>
      <c r="D30" s="17" t="inlineStr"/>
      <c r="E30" s="17" t="inlineStr"/>
    </row>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M12B1 — IN Piura</dc:title>
  <dc:subject>Diagnóstico Territorial por bloque de intervención</dc:subject>
  <dcterms:created xsi:type="dcterms:W3CDTF">2026-09-08T02:45:05Z</dcterms:created>
  <dcterms:modified xsi:type="dcterms:W3CDTF">2026-09-08T02:45:05Z</dcterms:modified>
</cp:coreProperties>
</file>