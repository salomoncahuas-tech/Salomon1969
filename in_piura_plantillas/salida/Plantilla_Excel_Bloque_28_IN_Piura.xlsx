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28</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28</t>
        </is>
      </c>
      <c r="C9" s="6" t="inlineStr">
        <is>
          <t>Microcuenca (catálogo)</t>
        </is>
      </c>
      <c r="D9" s="7" t="inlineStr">
        <is>
          <t>C1081-Q9591</t>
        </is>
      </c>
      <c r="E9" s="8" t="n"/>
      <c r="F9" s="8" t="n"/>
    </row>
    <row r="10">
      <c r="A10" s="6" t="inlineStr">
        <is>
          <t>Zona de planificación</t>
        </is>
      </c>
      <c r="B10" s="7" t="inlineStr">
        <is>
          <t>Z11</t>
        </is>
      </c>
      <c r="C10" s="6" t="inlineStr">
        <is>
          <t>Microcuenca declarada en ficha DT</t>
        </is>
      </c>
      <c r="D10" s="7" t="inlineStr">
        <is>
          <t>C1081-Q9591</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Canchaque</t>
        </is>
      </c>
      <c r="C12" s="6" t="inlineStr">
        <is>
          <t>Capital distrital</t>
        </is>
      </c>
      <c r="D12" s="7" t="inlineStr">
        <is>
          <t>Canchaque</t>
        </is>
      </c>
      <c r="E12" s="8" t="n"/>
      <c r="F12" s="8" t="n"/>
    </row>
    <row r="13">
      <c r="A13" s="6" t="inlineStr">
        <is>
          <t>Centro poblado asociado</t>
        </is>
      </c>
      <c r="B13" s="7" t="inlineStr">
        <is>
          <t>Abalque</t>
        </is>
      </c>
      <c r="C13" s="6" t="inlineStr">
        <is>
          <t>Comunidad campesina</t>
        </is>
      </c>
      <c r="D13" s="7" t="inlineStr">
        <is>
          <t>Por verificar</t>
        </is>
      </c>
      <c r="E13" s="8" t="n"/>
      <c r="F13" s="8" t="n"/>
    </row>
    <row r="14">
      <c r="A14" s="6" t="inlineStr">
        <is>
          <t>Superficie de catálogo (V5/V6), ha</t>
        </is>
      </c>
      <c r="B14" s="7" t="n">
        <v>52.97</v>
      </c>
      <c r="C14" s="6" t="inlineStr">
        <is>
          <t>Fuente de superficie</t>
        </is>
      </c>
      <c r="D14" s="7" t="inlineStr">
        <is>
          <t>Catálogo maestro Bloques V5/V6</t>
        </is>
      </c>
      <c r="E14" s="8" t="n"/>
      <c r="F14" s="8" t="n"/>
    </row>
    <row r="15">
      <c r="A15" s="6" t="inlineStr">
        <is>
          <t>Centroide UTM ESTE (m)</t>
        </is>
      </c>
      <c r="B15" s="7" t="n">
        <v>654188</v>
      </c>
      <c r="C15" s="6" t="inlineStr">
        <is>
          <t>Centroide UTM NORTE (m)</t>
        </is>
      </c>
      <c r="D15" s="7" t="n">
        <v>9422849</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1462</v>
      </c>
      <c r="C19" s="6" t="inlineStr">
        <is>
          <t>Altitud máxima (msnm)</t>
        </is>
      </c>
      <c r="D19" s="7" t="n">
        <v>1856</v>
      </c>
      <c r="E19" s="8" t="n"/>
      <c r="F19" s="8" t="n"/>
    </row>
    <row r="20">
      <c r="A20" s="6" t="inlineStr">
        <is>
          <t>Amplitud altitudinal (m)</t>
        </is>
      </c>
      <c r="B20" s="7" t="n">
        <v>394</v>
      </c>
      <c r="C20" s="6" t="inlineStr">
        <is>
          <t>Piso altitudinal dominante</t>
        </is>
      </c>
      <c r="D20" s="7" t="inlineStr">
        <is>
          <t>1500-2000 m (Quechua media)</t>
        </is>
      </c>
      <c r="E20" s="8" t="n"/>
      <c r="F20" s="8" t="n"/>
    </row>
    <row r="21">
      <c r="A21" s="6" t="inlineStr">
        <is>
          <t>Pendiente promedio (%)</t>
        </is>
      </c>
      <c r="B21" s="7" t="n">
        <v>30.36</v>
      </c>
      <c r="C21" s="6" t="inlineStr">
        <is>
          <t>Pendiente promedio (grados)</t>
        </is>
      </c>
      <c r="D21" s="7" t="n">
        <v>16.9</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0.6394</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(96.64 %)</t>
        </is>
      </c>
      <c r="E29" s="8" t="n"/>
      <c r="F29" s="8" t="n"/>
    </row>
    <row r="30">
      <c r="A30" s="6" t="inlineStr">
        <is>
          <t>Superficie clasificada NDVI 2025 (ha)</t>
        </is>
      </c>
      <c r="B30" s="7" t="n">
        <v>52.977</v>
      </c>
      <c r="C30" s="6" t="inlineStr">
        <is>
          <t>Desviación frente al catálogo (%)</t>
        </is>
      </c>
      <c r="D30" s="7" t="n">
        <v>0.01</v>
      </c>
      <c r="E30" s="8" t="n"/>
      <c r="F30" s="8" t="n"/>
    </row>
    <row r="32" ht="18" customHeight="1">
      <c r="A32" s="5" t="inlineStr">
        <is>
          <t>4. ECOSISTEMA Y ESTADO DE CONSERVACIÓN</t>
        </is>
      </c>
    </row>
    <row r="33">
      <c r="A33" s="6" t="inlineStr">
        <is>
          <t>Tipo de ecosistema (UP)</t>
        </is>
      </c>
      <c r="B33" s="7" t="inlineStr">
        <is>
          <t>Agroecosistema / Mosaico</t>
        </is>
      </c>
      <c r="C33" s="6" t="inlineStr">
        <is>
          <t>Superficie de ecosistema (ha)</t>
        </is>
      </c>
      <c r="D33" s="7" t="inlineStr">
        <is>
          <t>Por determinar</t>
        </is>
      </c>
      <c r="E33" s="8" t="n"/>
      <c r="F33" s="8" t="n"/>
    </row>
    <row r="34">
      <c r="A34" s="6" t="inlineStr">
        <is>
          <t>Estado de conservación</t>
        </is>
      </c>
      <c r="B34" s="7" t="inlineStr">
        <is>
          <t>Medianamente alterado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inlineStr">
        <is>
          <t>Por determinar</t>
        </is>
      </c>
      <c r="E35" s="8" t="n"/>
      <c r="F35" s="8" t="n"/>
    </row>
    <row r="36">
      <c r="A36" s="6" t="inlineStr">
        <is>
          <t>Suelo desnudo — campo (%)</t>
        </is>
      </c>
      <c r="B36" s="7" t="inlineStr">
        <is>
          <t>Por determinar</t>
        </is>
      </c>
      <c r="C36" s="6" t="inlineStr">
        <is>
          <t>Regeneración natural</t>
        </is>
      </c>
      <c r="D36" s="7" t="inlineStr">
        <is>
          <t>Escasa (&lt;10 pl./100m²)</t>
        </is>
      </c>
      <c r="E36" s="8" t="n"/>
      <c r="F36" s="8" t="n"/>
    </row>
    <row r="37">
      <c r="A37" s="6" t="inlineStr">
        <is>
          <t>Nivel general de erosión</t>
        </is>
      </c>
      <c r="B37" s="7" t="inlineStr">
        <is>
          <t>Moderada (surcos)</t>
        </is>
      </c>
      <c r="C37" s="6" t="inlineStr">
        <is>
          <t>N.° de cárcavas registradas</t>
        </is>
      </c>
      <c r="D37" s="7" t="n">
        <v>0</v>
      </c>
      <c r="E37" s="8" t="n"/>
      <c r="F37" s="8" t="n"/>
    </row>
    <row r="38">
      <c r="A38" s="6" t="inlineStr">
        <is>
          <t>Elenco florístico (n.° de taxones)</t>
        </is>
      </c>
      <c r="B38" s="7" t="n">
        <v>10</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Ing. Juan Domínguez e Ing. Pedro Talledo</t>
        </is>
      </c>
      <c r="C41" s="6" t="inlineStr">
        <is>
          <t>Fecha de evaluación</t>
        </is>
      </c>
      <c r="D41" s="7" t="inlineStr">
        <is>
          <t>2026-08-03</t>
        </is>
      </c>
      <c r="E41" s="8" t="n"/>
      <c r="F41" s="8" t="n"/>
    </row>
    <row r="42">
      <c r="A42" s="6" t="inlineStr">
        <is>
          <t>Hora de registro</t>
        </is>
      </c>
      <c r="B42" s="7" t="inlineStr">
        <is>
          <t>Por registrar</t>
        </is>
      </c>
      <c r="C42" s="6" t="inlineStr">
        <is>
          <t>Correlativo de ficha</t>
        </is>
      </c>
      <c r="D42" s="7" t="inlineStr">
        <is>
          <t>F-DT-01-28</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Por determinar</t>
        </is>
      </c>
      <c r="E44" s="8" t="n"/>
      <c r="F44" s="8" t="n"/>
    </row>
    <row r="45">
      <c r="A45" s="6" t="inlineStr">
        <is>
          <t>Estaciones fotográficas georreferenciadas</t>
        </is>
      </c>
      <c r="B45" s="7" t="inlineStr">
        <is>
          <t>Sin registro en la ficha DT</t>
        </is>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Ocupación productiva de laderas de fuerte pendiente sin prácticas de conservación de suelos, favorecida por la accesibilidad vial</t>
        </is>
      </c>
      <c r="C48" s="6" t="inlineStr">
        <is>
          <t>Velocidad de degradación</t>
        </is>
      </c>
      <c r="D48" s="7" t="inlineStr">
        <is>
          <t>Moderada</t>
        </is>
      </c>
      <c r="E48" s="8" t="n"/>
      <c r="F48" s="8" t="n"/>
    </row>
    <row r="49">
      <c r="A49" s="6" t="inlineStr">
        <is>
          <t>Reversibilidad técnica</t>
        </is>
      </c>
      <c r="B49" s="7" t="inlineStr">
        <is>
          <t>Parcialmente reversible</t>
        </is>
      </c>
      <c r="C49" s="6" t="inlineStr">
        <is>
          <t>Urgencia de intervención</t>
        </is>
      </c>
      <c r="D49" s="7" t="inlineStr">
        <is>
          <t>Media</t>
        </is>
      </c>
      <c r="E49" s="8" t="n"/>
      <c r="F49" s="8" t="n"/>
    </row>
    <row r="50">
      <c r="A50" s="6" t="inlineStr">
        <is>
          <t>Urgencia de control de erosión</t>
        </is>
      </c>
      <c r="B50" s="7" t="inlineStr">
        <is>
          <t>Media</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28</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0.639425</v>
      </c>
      <c r="C15" s="17" t="inlineStr">
        <is>
          <t>—</t>
        </is>
      </c>
      <c r="D15" s="17" t="inlineStr">
        <is>
          <t>Vigor alto · clase &gt; 0.6139</t>
        </is>
      </c>
      <c r="E15" s="17" t="inlineStr">
        <is>
          <t>Sobre umbral</t>
        </is>
      </c>
    </row>
    <row r="17" ht="72" customHeight="1">
      <c r="A17" s="9" t="inlineStr">
        <is>
          <t>NOTA METODOLÓGICA. La media del MSAVI 2024 del bloque (0.639425)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51.1954</v>
      </c>
      <c r="C21" s="19" t="n">
        <v>96.64</v>
      </c>
      <c r="D21" s="15" t="inlineStr">
        <is>
          <t>Dosel continuo, matorral denso o mosaico agroforestal</t>
        </is>
      </c>
      <c r="E21" s="15" t="inlineStr"/>
    </row>
    <row r="22">
      <c r="A22" s="13" t="inlineStr">
        <is>
          <t>Vegetación mediana</t>
        </is>
      </c>
      <c r="B22" s="20" t="n">
        <v>1.7815</v>
      </c>
      <c r="C22" s="21" t="n">
        <v>3.36</v>
      </c>
      <c r="D22" s="14" t="inlineStr">
        <is>
          <t>Pastizal cultivado, matorral ralo, parcelas agrícolas</t>
        </is>
      </c>
      <c r="E22" s="14" t="inlineStr"/>
    </row>
    <row r="23">
      <c r="A23" s="16" t="inlineStr">
        <is>
          <t>TOTAL CLASIFICADO</t>
        </is>
      </c>
      <c r="B23" s="22">
        <f>SUM(B21:B22)</f>
        <v/>
      </c>
      <c r="C23" s="23">
        <f>SUM(C21:C22)</f>
        <v/>
      </c>
      <c r="D23" s="17" t="inlineStr"/>
      <c r="E23" s="17" t="inlineStr"/>
    </row>
    <row r="24">
      <c r="A24" s="24" t="inlineStr">
        <is>
          <t>Superficie de catálogo (V5/V6)</t>
        </is>
      </c>
      <c r="B24" s="25" t="n">
        <v>52.97</v>
      </c>
      <c r="C24" s="25" t="inlineStr">
        <is>
          <t>—</t>
        </is>
      </c>
      <c r="D24" s="25" t="inlineStr">
        <is>
          <t>Desviación planimétrica frente al catálogo</t>
        </is>
      </c>
      <c r="E24" s="25" t="inlineStr">
        <is>
          <t>+0.01 %</t>
        </is>
      </c>
    </row>
    <row r="26" ht="72" customHeight="1">
      <c r="A26"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6:E26"/>
    <mergeCell ref="A2:E2"/>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28</t>
        </is>
      </c>
    </row>
    <row r="6" ht="24" customHeight="1">
      <c r="A6" s="4" t="inlineStr">
        <is>
          <t>Levantamiento del 2026-08-03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654188</v>
      </c>
      <c r="D10" s="26" t="n">
        <v>9422849</v>
      </c>
      <c r="E10" s="15" t="n">
        <v>0</v>
      </c>
      <c r="F10" s="15" t="inlineStr"/>
      <c r="G10" s="15" t="inlineStr">
        <is>
          <t>Coordenada consignada en F-DT-01</t>
        </is>
      </c>
    </row>
    <row r="11">
      <c r="A11" s="13" t="inlineStr">
        <is>
          <t>H-01</t>
        </is>
      </c>
      <c r="B11" s="14" t="inlineStr">
        <is>
          <t>Fuente de agua — Quebrada estacional</t>
        </is>
      </c>
      <c r="C11" s="27" t="inlineStr">
        <is>
          <t>Por determinar</t>
        </is>
      </c>
      <c r="D11" s="27" t="inlineStr">
        <is>
          <t>Por determinar</t>
        </is>
      </c>
      <c r="E11" s="14" t="inlineStr"/>
      <c r="F11" s="14" t="inlineStr">
        <is>
          <t>Estacional</t>
        </is>
      </c>
      <c r="G11" s="14" t="inlineStr">
        <is>
          <t>Quebrada s/n colindante</t>
        </is>
      </c>
    </row>
    <row r="12">
      <c r="A12" s="16" t="inlineStr">
        <is>
          <t>TOTAL: 2 puntos</t>
        </is>
      </c>
      <c r="B12" s="17" t="inlineStr"/>
      <c r="C12" s="17" t="inlineStr"/>
      <c r="D12" s="17" t="inlineStr"/>
      <c r="E12" s="17" t="inlineStr"/>
      <c r="F12" s="17" t="inlineStr"/>
      <c r="G12" s="17" t="inlineStr"/>
    </row>
    <row r="14">
      <c r="A14" s="6" t="inlineStr">
        <is>
          <t>Centroide del bloque — UTM ESTE (m)</t>
        </is>
      </c>
      <c r="B14" s="7" t="n">
        <v>654188</v>
      </c>
      <c r="C14" s="6" t="inlineStr">
        <is>
          <t>Centroide del bloque — UTM NORTE (m)</t>
        </is>
      </c>
      <c r="D14" s="7" t="n">
        <v>9422849</v>
      </c>
      <c r="E14" s="8" t="n"/>
      <c r="F14" s="8" t="n"/>
      <c r="G14" s="8" t="n"/>
      <c r="H14" s="8" t="n"/>
    </row>
    <row r="15">
      <c r="A15" s="6" t="inlineStr">
        <is>
          <t>N.° de estaciones fotográficas declaradas</t>
        </is>
      </c>
      <c r="B15" s="7" t="inlineStr">
        <is>
          <t>Sin registro en la ficha DT</t>
        </is>
      </c>
      <c r="C15" s="6" t="inlineStr">
        <is>
          <t>Estaciones dentro del polígono</t>
        </is>
      </c>
      <c r="D15" s="7" t="inlineStr">
        <is>
          <t>Por determinar</t>
        </is>
      </c>
      <c r="E15" s="8" t="n"/>
      <c r="F15" s="8" t="n"/>
      <c r="G15" s="8" t="n"/>
      <c r="H15" s="8" t="n"/>
    </row>
    <row r="17" ht="108" customHeight="1">
      <c r="A17"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Coordenadas correspondientes al CENTROIDE del polígono (Bloques V4/V5), no a un punto de muestreo GPS. Altitud GPS de campo 1550 msnm. Rango altitudinal según MDE: 1462-1856 msnm (amplitud 394 m); pendiente promedio 30.36%. Acceso: vía afirmada Los Ranchos – Abalque, margen izquierda de una quebrada s/n.</t>
        </is>
      </c>
    </row>
  </sheetData>
  <mergeCells count="8">
    <mergeCell ref="A1:G1"/>
    <mergeCell ref="A17:G17"/>
    <mergeCell ref="A8:G8"/>
    <mergeCell ref="A3:G3"/>
    <mergeCell ref="A6:G6"/>
    <mergeCell ref="A4:G4"/>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4"/>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C1081-Q9591 — BLOQUE 28</t>
        </is>
      </c>
    </row>
    <row r="6" ht="24" customHeight="1">
      <c r="A6" s="4" t="inlineStr">
        <is>
          <t>Distrito de Canchaque · Provincia de Huancabamba · Comparación de los bloques preliminares de intervención de la misma microcuenca</t>
        </is>
      </c>
    </row>
    <row r="8" ht="18" customHeight="1">
      <c r="A8" s="5" t="inlineStr">
        <is>
          <t>BLOQUES DE LA MICROCUENCA C1081-Q9591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66</t>
        </is>
      </c>
      <c r="B10" s="28" t="n">
        <v>102.34</v>
      </c>
      <c r="C10" s="19" t="n">
        <v>18.53</v>
      </c>
      <c r="D10" s="15" t="inlineStr">
        <is>
          <t>1171 – 1769</t>
        </is>
      </c>
      <c r="E10" s="15" t="n">
        <v>598</v>
      </c>
      <c r="F10" s="15" t="n">
        <v>31.55</v>
      </c>
      <c r="G10" s="18" t="n">
        <v>0.6403</v>
      </c>
      <c r="H10" s="19" t="n">
        <v>94.08</v>
      </c>
    </row>
    <row r="11">
      <c r="A11" s="13" t="inlineStr">
        <is>
          <t>M30B5</t>
        </is>
      </c>
      <c r="B11" s="29" t="n">
        <v>90.90000000000001</v>
      </c>
      <c r="C11" s="21" t="n">
        <v>16.46</v>
      </c>
      <c r="D11" s="14" t="inlineStr">
        <is>
          <t>1782 – 2307</t>
        </is>
      </c>
      <c r="E11" s="14" t="n">
        <v>525</v>
      </c>
      <c r="F11" s="14" t="n">
        <v>21.23</v>
      </c>
      <c r="G11" s="20" t="n">
        <v>0.5564</v>
      </c>
      <c r="H11" s="21" t="n">
        <v>79.45999999999999</v>
      </c>
    </row>
    <row r="12">
      <c r="A12" s="7" t="inlineStr">
        <is>
          <t>21</t>
        </is>
      </c>
      <c r="B12" s="28" t="n">
        <v>84.23</v>
      </c>
      <c r="C12" s="19" t="n">
        <v>15.25</v>
      </c>
      <c r="D12" s="15" t="inlineStr">
        <is>
          <t>1353 – 2004</t>
        </is>
      </c>
      <c r="E12" s="15" t="n">
        <v>651</v>
      </c>
      <c r="F12" s="15" t="n">
        <v>31.71</v>
      </c>
      <c r="G12" s="18" t="n">
        <v>0.6201</v>
      </c>
      <c r="H12" s="19" t="n">
        <v>89.39</v>
      </c>
    </row>
    <row r="13">
      <c r="A13" s="11" t="inlineStr">
        <is>
          <t>► 28</t>
        </is>
      </c>
      <c r="B13" s="30" t="n">
        <v>52.97</v>
      </c>
      <c r="C13" s="31" t="n">
        <v>9.59</v>
      </c>
      <c r="D13" s="12" t="inlineStr">
        <is>
          <t>1462 – 1856</t>
        </is>
      </c>
      <c r="E13" s="12" t="n">
        <v>394</v>
      </c>
      <c r="F13" s="12" t="n">
        <v>30.36</v>
      </c>
      <c r="G13" s="32" t="n">
        <v>0.6394</v>
      </c>
      <c r="H13" s="31" t="n">
        <v>96.64</v>
      </c>
    </row>
    <row r="14">
      <c r="A14" s="7" t="inlineStr">
        <is>
          <t>26</t>
        </is>
      </c>
      <c r="B14" s="28" t="n">
        <v>46.96</v>
      </c>
      <c r="C14" s="19" t="n">
        <v>8.5</v>
      </c>
      <c r="D14" s="15" t="inlineStr">
        <is>
          <t>1260 – 1855</t>
        </is>
      </c>
      <c r="E14" s="15" t="n">
        <v>595</v>
      </c>
      <c r="F14" s="15" t="n">
        <v>32.26</v>
      </c>
      <c r="G14" s="18" t="n">
        <v>0.6733</v>
      </c>
      <c r="H14" s="19" t="n">
        <v>97.29000000000001</v>
      </c>
    </row>
    <row r="15">
      <c r="A15" s="13" t="inlineStr">
        <is>
          <t>60</t>
        </is>
      </c>
      <c r="B15" s="29" t="n">
        <v>40.13</v>
      </c>
      <c r="C15" s="21" t="n">
        <v>7.27</v>
      </c>
      <c r="D15" s="14" t="inlineStr">
        <is>
          <t>1638 – 2073</t>
        </is>
      </c>
      <c r="E15" s="14" t="n">
        <v>435</v>
      </c>
      <c r="F15" s="14" t="n">
        <v>32.67</v>
      </c>
      <c r="G15" s="20" t="n">
        <v>0.6745</v>
      </c>
      <c r="H15" s="21" t="n">
        <v>99.90000000000001</v>
      </c>
    </row>
    <row r="16">
      <c r="A16" s="7" t="inlineStr">
        <is>
          <t>64</t>
        </is>
      </c>
      <c r="B16" s="28" t="n">
        <v>35.77</v>
      </c>
      <c r="C16" s="19" t="n">
        <v>6.48</v>
      </c>
      <c r="D16" s="15" t="inlineStr">
        <is>
          <t>2412 – 2651</t>
        </is>
      </c>
      <c r="E16" s="15" t="n">
        <v>239</v>
      </c>
      <c r="F16" s="15" t="n">
        <v>28.18</v>
      </c>
      <c r="G16" s="18" t="n">
        <v>0.5254</v>
      </c>
      <c r="H16" s="19" t="n">
        <v>78.22</v>
      </c>
    </row>
    <row r="17">
      <c r="A17" s="13" t="inlineStr">
        <is>
          <t>37</t>
        </is>
      </c>
      <c r="B17" s="29" t="n">
        <v>35.49</v>
      </c>
      <c r="C17" s="21" t="n">
        <v>6.43</v>
      </c>
      <c r="D17" s="14" t="inlineStr">
        <is>
          <t>1184 – 1455</t>
        </is>
      </c>
      <c r="E17" s="14" t="n">
        <v>271</v>
      </c>
      <c r="F17" s="14" t="n">
        <v>23.59</v>
      </c>
      <c r="G17" s="20" t="n">
        <v>0.6588000000000001</v>
      </c>
      <c r="H17" s="21" t="n">
        <v>98.02</v>
      </c>
    </row>
    <row r="18">
      <c r="A18" s="7" t="inlineStr">
        <is>
          <t>30</t>
        </is>
      </c>
      <c r="B18" s="28" t="n">
        <v>34.87</v>
      </c>
      <c r="C18" s="19" t="n">
        <v>6.31</v>
      </c>
      <c r="D18" s="15" t="inlineStr">
        <is>
          <t>1216 – 1541</t>
        </is>
      </c>
      <c r="E18" s="15" t="n">
        <v>325</v>
      </c>
      <c r="F18" s="15" t="n">
        <v>27.91</v>
      </c>
      <c r="G18" s="18" t="n">
        <v>0.6637999999999999</v>
      </c>
      <c r="H18" s="19" t="n">
        <v>99.38</v>
      </c>
    </row>
    <row r="19">
      <c r="A19" s="13" t="inlineStr">
        <is>
          <t>40</t>
        </is>
      </c>
      <c r="B19" s="29" t="n">
        <v>28.52</v>
      </c>
      <c r="C19" s="21" t="n">
        <v>5.16</v>
      </c>
      <c r="D19" s="14" t="inlineStr">
        <is>
          <t>1407 – 1656</t>
        </is>
      </c>
      <c r="E19" s="14" t="n">
        <v>249</v>
      </c>
      <c r="F19" s="14" t="n">
        <v>31.4</v>
      </c>
      <c r="G19" s="20" t="n">
        <v>0.6401</v>
      </c>
      <c r="H19" s="21" t="n">
        <v>99.55</v>
      </c>
    </row>
    <row r="20">
      <c r="A20" s="16" t="inlineStr">
        <is>
          <t>TOTAL / PROMEDIO</t>
        </is>
      </c>
      <c r="B20" s="33">
        <f>SUM(B10:B19)</f>
        <v/>
      </c>
      <c r="C20" s="23">
        <f>SUM(C10:C19)</f>
        <v/>
      </c>
      <c r="D20" s="17" t="inlineStr">
        <is>
          <t>1171 – 2651</t>
        </is>
      </c>
      <c r="E20" s="17" t="inlineStr"/>
      <c r="F20" s="17">
        <f>ROUND(AVERAGE(F10:F19),2)</f>
        <v/>
      </c>
      <c r="G20" s="22">
        <f>ROUND(AVERAGE(G10:G19),4)</f>
        <v/>
      </c>
      <c r="H20" s="23">
        <f>ROUND(AVERAGE(H10:H19),2)</f>
        <v/>
      </c>
    </row>
    <row r="22" ht="84" customHeight="1">
      <c r="A22" s="9" t="inlineStr">
        <is>
          <t>LECTURA INTRAMICROCUENCA. El bloque 28 ocupa el puesto 4 de 10 por superficie dentro de la microcuenca C1081-Q9591 (9.59 % de las 552.18 ha preliminares de la microcuenca). Su pendiente promedio (30.36 %, clase «25-50% (Mod. escarpado)») es la 5.ª más baja de 10 y se sitúa por encima del promedio de la microcuenca (29.09 %). Su MSAVI 2024 (0.6394) es el 7.º de 10 y queda por encima del promedio local (0.6292). Amplitud altitudinal del bloque: 394 m (1462–1856 msnm). El cuadro conserva todos los bloques catalogados en la microcuenca, incluidos los descartados en el tamizaje, para referencia del conjunto. Los bloques sin ficha DT figuran con sus parámetros de gabinete.</t>
        </is>
      </c>
    </row>
    <row r="24" ht="60" customHeight="1">
      <c r="A24"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24:H24"/>
    <mergeCell ref="A2:H2"/>
    <mergeCell ref="A5:H5"/>
    <mergeCell ref="A8:H8"/>
    <mergeCell ref="A6:H6"/>
    <mergeCell ref="A22:H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28</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Ficha DT y catálogo maestro coinciden en «C1081-Q9591»</t>
        </is>
      </c>
      <c r="D10" s="35" t="inlineStr">
        <is>
          <t>CONFORME</t>
        </is>
      </c>
      <c r="E10" s="34" t="inlineStr">
        <is>
          <t>Sin acción.</t>
        </is>
      </c>
    </row>
    <row r="11" ht="48" customHeight="1">
      <c r="A11" s="36" t="inlineStr">
        <is>
          <t>D-02</t>
        </is>
      </c>
      <c r="B11" s="36" t="inlineStr">
        <is>
          <t>UTM del punto de muestreo</t>
        </is>
      </c>
      <c r="C11" s="36" t="inlineStr">
        <is>
          <t>El punto de muestreo declarado dista 0 m del centroide de catálogo, compatible con la extensión del bloque</t>
        </is>
      </c>
      <c r="D11" s="35" t="inlineStr">
        <is>
          <t>CONFORME</t>
        </is>
      </c>
      <c r="E11" s="36" t="inlineStr">
        <is>
          <t>Sin acción.</t>
        </is>
      </c>
    </row>
    <row r="12" ht="48" customHeight="1">
      <c r="A12" s="34" t="inlineStr">
        <is>
          <t>D-03</t>
        </is>
      </c>
      <c r="B12" s="34" t="inlineStr">
        <is>
          <t>Superficie del polígono</t>
        </is>
      </c>
      <c r="C12" s="34" t="inlineStr">
        <is>
          <t>La superficie clasificada por el NDVI 2025 (52.977 ha) coincide con la de catálogo (52.97 ha) dentro del ±2 % (+0.01 %)</t>
        </is>
      </c>
      <c r="D12" s="35" t="inlineStr">
        <is>
          <t>CONFORME</t>
        </is>
      </c>
      <c r="E12" s="34" t="inlineStr">
        <is>
          <t>Sin acción: la segmentación valida la geometría del bloque.</t>
        </is>
      </c>
    </row>
    <row r="13" ht="48" customHeight="1">
      <c r="A13" s="36" t="inlineStr">
        <is>
          <t>D-04</t>
        </is>
      </c>
      <c r="B13" s="36" t="inlineStr">
        <is>
          <t>Elenco florístico</t>
        </is>
      </c>
      <c r="C13" s="36" t="inlineStr">
        <is>
          <t>La ficha registra 10 taxones, por debajo del mínimo de 15 que exige el formato V5</t>
        </is>
      </c>
      <c r="D13" s="37" t="inlineStr">
        <is>
          <t>SUSTANTIVA</t>
        </is>
      </c>
      <c r="E13" s="36" t="inlineStr">
        <is>
          <t>Registro florístico preliminar, sin colecta ni determinación botánica formal. Debe cerrarse con colecta botánica en la siguiente campaña.</t>
        </is>
      </c>
    </row>
    <row r="14" ht="48" customHeight="1">
      <c r="A14" s="34" t="inlineStr">
        <is>
          <t>D-05</t>
        </is>
      </c>
      <c r="B14" s="34" t="inlineStr">
        <is>
          <t>Centro poblado asociado</t>
        </is>
      </c>
      <c r="C14" s="34" t="inlineStr">
        <is>
          <t>La ficha DT declara «Abalque»; el cruce INEI-Bloques V5 identifica 1 centro(s) poblado(s) en el bloque: ABALQUE</t>
        </is>
      </c>
      <c r="D14" s="35" t="inlineStr">
        <is>
          <t>CONFORME</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7" t="inlineStr">
        <is>
          <t>SUSTANTIVA</t>
        </is>
      </c>
      <c r="E15" s="36" t="inlineStr">
        <is>
          <t>Debe tomarse del modelamiento de mesolocalización (PMM + EPH + PGI ponderados por AHP) antes de fijar la prioridad definitiva de intervención del bloque.</t>
        </is>
      </c>
    </row>
    <row r="17">
      <c r="A17" s="16" t="inlineStr">
        <is>
          <t>RESUMEN</t>
        </is>
      </c>
      <c r="B17" s="17" t="inlineStr">
        <is>
          <t>6 verificaciones</t>
        </is>
      </c>
      <c r="C17" s="17" t="inlineStr">
        <is>
          <t>CONFORME: 4 · SUSTANTIVA: 2</t>
        </is>
      </c>
      <c r="D17" s="17" t="inlineStr"/>
      <c r="E17" s="17" t="inlineStr"/>
    </row>
    <row r="19" ht="60" customHeight="1">
      <c r="A1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19:E19"/>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28 — IN Piura</dc:title>
  <dc:subject>Diagnóstico Territorial por bloque de intervención</dc:subject>
  <dcterms:created xsi:type="dcterms:W3CDTF">2026-09-08T03:39:55Z</dcterms:created>
  <dcterms:modified xsi:type="dcterms:W3CDTF">2026-09-08T03:39:55Z</dcterms:modified>
</cp:coreProperties>
</file>