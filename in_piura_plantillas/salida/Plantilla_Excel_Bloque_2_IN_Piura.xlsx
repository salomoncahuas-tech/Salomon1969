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t>
        </is>
      </c>
      <c r="C9" s="6" t="inlineStr">
        <is>
          <t>Microcuenca (catálogo)</t>
        </is>
      </c>
      <c r="D9" s="7" t="inlineStr">
        <is>
          <t>C1096-Q9558</t>
        </is>
      </c>
      <c r="E9" s="8" t="n"/>
      <c r="F9" s="8" t="n"/>
    </row>
    <row r="10">
      <c r="A10" s="6" t="inlineStr">
        <is>
          <t>Zona de planificación</t>
        </is>
      </c>
      <c r="B10" s="7" t="inlineStr">
        <is>
          <t>Z01</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Balcones de Talandracas (691 hab.; 602137 E / 9437858 N)</t>
        </is>
      </c>
      <c r="C13" s="6" t="inlineStr">
        <is>
          <t>Comunidad campesina</t>
        </is>
      </c>
      <c r="D13" s="7" t="inlineStr">
        <is>
          <t>Por verificar</t>
        </is>
      </c>
      <c r="E13" s="8" t="n"/>
      <c r="F13" s="8" t="n"/>
    </row>
    <row r="14">
      <c r="A14" s="6" t="inlineStr">
        <is>
          <t>Superficie de catálogo (V5/V6), ha</t>
        </is>
      </c>
      <c r="B14" s="7" t="n">
        <v>330.6</v>
      </c>
      <c r="C14" s="6" t="inlineStr">
        <is>
          <t>Fuente de superficie</t>
        </is>
      </c>
      <c r="D14" s="7" t="inlineStr">
        <is>
          <t>Catálogo maestro Bloques V5/V6</t>
        </is>
      </c>
      <c r="E14" s="8" t="n"/>
      <c r="F14" s="8" t="n"/>
    </row>
    <row r="15">
      <c r="A15" s="6" t="inlineStr">
        <is>
          <t>Centroide UTM ESTE (m)</t>
        </is>
      </c>
      <c r="B15" s="7" t="n">
        <v>603653</v>
      </c>
      <c r="C15" s="6" t="inlineStr">
        <is>
          <t>Centroide UTM NORTE (m)</t>
        </is>
      </c>
      <c r="D15" s="7" t="n">
        <v>9439351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142</v>
      </c>
      <c r="C19" s="6" t="inlineStr">
        <is>
          <t>Altitud máxima (msnm)</t>
        </is>
      </c>
      <c r="D19" s="7" t="n">
        <v>406</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13.27</v>
      </c>
      <c r="C21" s="6" t="inlineStr">
        <is>
          <t>Pendiente promedio (grados)</t>
        </is>
      </c>
      <c r="D21" s="7" t="n">
        <v>7.6</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0.3586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(69.48 %)</t>
        </is>
      </c>
      <c r="E29" s="8" t="n"/>
      <c r="F29" s="8" t="n"/>
    </row>
    <row r="30">
      <c r="A30" s="6" t="inlineStr">
        <is>
          <t>Superficie clasificada NDVI 2025 (ha)</t>
        </is>
      </c>
      <c r="B30" s="7" t="n">
        <v>330.776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330.599 ha (100%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70</v>
      </c>
      <c r="E35" s="8" t="n"/>
      <c r="F35" s="8" t="n"/>
    </row>
    <row r="36">
      <c r="A36" s="6" t="inlineStr">
        <is>
          <t>Suelo desnudo — campo (%)</t>
        </is>
      </c>
      <c r="B36" s="7" t="n">
        <v>25</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t>
        </is>
      </c>
      <c r="C41" s="6" t="inlineStr">
        <is>
          <t>Fecha de evaluación</t>
        </is>
      </c>
      <c r="D41" s="7" t="inlineStr">
        <is>
          <t>2026-07-02</t>
        </is>
      </c>
      <c r="E41" s="8" t="n"/>
      <c r="F41" s="8" t="n"/>
    </row>
    <row r="42">
      <c r="A42" s="6" t="inlineStr">
        <is>
          <t>Hora de registro</t>
        </is>
      </c>
      <c r="B42" s="7" t="inlineStr">
        <is>
          <t>15:13 - 15:40 h</t>
        </is>
      </c>
      <c r="C42" s="6" t="inlineStr">
        <is>
          <t>Correlativo de ficha</t>
        </is>
      </c>
      <c r="D42" s="7" t="inlineStr">
        <is>
          <t>F-DT-01-B2</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Sector sur (recorrido de reconocimiento, sin parcela permanente)</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socioeconómica de subsistencia y avance de la frontera predial/vial en el piedemonte inmediato a los CC.PP.</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0.358601</v>
      </c>
      <c r="C15" s="17" t="inlineStr">
        <is>
          <t>—</t>
        </is>
      </c>
      <c r="D15" s="17" t="inlineStr">
        <is>
          <t>Vigor muy bajo · clase 0.2650 - 0.3813</t>
        </is>
      </c>
      <c r="E15" s="17" t="inlineStr">
        <is>
          <t>BAJO umbral 0.4976</t>
        </is>
      </c>
    </row>
    <row r="17" ht="72" customHeight="1">
      <c r="A17" s="9" t="inlineStr">
        <is>
          <t>NOTA METODOLÓGICA. La media del MSAVI 2024 del bloque (0.358601)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1.0659</v>
      </c>
      <c r="C21" s="19" t="n">
        <v>0.32</v>
      </c>
      <c r="D21" s="11" t="inlineStr">
        <is>
          <t>Dosel continuo, matorral denso o mosaico agroforestal</t>
        </is>
      </c>
      <c r="E21" s="11" t="inlineStr"/>
    </row>
    <row r="22">
      <c r="A22" s="12" t="inlineStr">
        <is>
          <t>Vegetación mediana</t>
        </is>
      </c>
      <c r="B22" s="20" t="n">
        <v>95.17910000000001</v>
      </c>
      <c r="C22" s="21" t="n">
        <v>28.77</v>
      </c>
      <c r="D22" s="13" t="inlineStr">
        <is>
          <t>Pastizal cultivado, matorral ralo, parcelas agrícolas</t>
        </is>
      </c>
      <c r="E22" s="13" t="inlineStr"/>
    </row>
    <row r="23">
      <c r="A23" s="7" t="inlineStr">
        <is>
          <t>Vegetación ligera</t>
        </is>
      </c>
      <c r="B23" s="18" t="n">
        <v>229.8077</v>
      </c>
      <c r="C23" s="19" t="n">
        <v>69.48</v>
      </c>
      <c r="D23" s="11" t="inlineStr">
        <is>
          <t>Cobertura discontinua, suelo parcialmente expuesto</t>
        </is>
      </c>
      <c r="E23" s="11" t="inlineStr"/>
    </row>
    <row r="24">
      <c r="A24" s="12" t="inlineStr">
        <is>
          <t>Tierra desnuda</t>
        </is>
      </c>
      <c r="B24" s="20" t="n">
        <v>4.7229</v>
      </c>
      <c r="C24" s="21" t="n">
        <v>1.43</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330.6</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0.32 % del polígono clasificado como «Vegetación alta» por el NDVI 2025; la observación de campo corresponde a una parcela o recorrido puntual y no es estadísticamente representativa de las 330.600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602909</v>
      </c>
      <c r="D10" s="26" t="n">
        <v>9438249</v>
      </c>
      <c r="E10" s="11" t="n">
        <v>1329.6</v>
      </c>
      <c r="F10" s="11" t="inlineStr"/>
      <c r="G10" s="11" t="inlineStr">
        <is>
          <t>Coordenada consignada en F-DT-01</t>
        </is>
      </c>
    </row>
    <row r="11">
      <c r="A11" s="12" t="inlineStr">
        <is>
          <t>H-01</t>
        </is>
      </c>
      <c r="B11" s="13" t="inlineStr">
        <is>
          <t>Fuente de agua — Río</t>
        </is>
      </c>
      <c r="C11" s="27" t="n">
        <v>603900</v>
      </c>
      <c r="D11" s="27" t="n">
        <v>9439300</v>
      </c>
      <c r="E11" s="13" t="n">
        <v>252.2</v>
      </c>
      <c r="F11" s="13" t="inlineStr">
        <is>
          <t>No evaluable</t>
        </is>
      </c>
      <c r="G11" s="13" t="inlineStr">
        <is>
          <t>Curso principal de cauce</t>
        </is>
      </c>
    </row>
    <row r="12">
      <c r="A12" s="7" t="inlineStr">
        <is>
          <t>H-02</t>
        </is>
      </c>
      <c r="B12" s="11" t="inlineStr">
        <is>
          <t>Fuente de agua — Quebrada estacional</t>
        </is>
      </c>
      <c r="C12" s="26" t="n">
        <v>603300</v>
      </c>
      <c r="D12" s="26" t="n">
        <v>9439600</v>
      </c>
      <c r="E12" s="11" t="n">
        <v>432</v>
      </c>
      <c r="F12" s="11" t="inlineStr">
        <is>
          <t>Estacional</t>
        </is>
      </c>
      <c r="G12" s="11" t="inlineStr">
        <is>
          <t>Quebrada tributaria seca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603653</v>
      </c>
      <c r="C15" s="6" t="inlineStr">
        <is>
          <t>Centroide del bloque — UTM NORTE (m)</t>
        </is>
      </c>
      <c r="D15" s="7" t="n">
        <v>9439351</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02/07/2026, sector sur/acceso. Altitud GPS no registrada. Forma del terreno, pendiente, posición fisiográfica y exposición son JUICIO EXPERTO sobre el sector recorrido: requieren confirmación con MDE para el polígono completo.</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2</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2</t>
        </is>
      </c>
      <c r="B10" s="28" t="n">
        <v>330.6</v>
      </c>
      <c r="C10" s="29" t="n">
        <v>90.34</v>
      </c>
      <c r="D10" s="15" t="inlineStr">
        <is>
          <t>142 – 406</t>
        </is>
      </c>
      <c r="E10" s="15" t="n">
        <v>264</v>
      </c>
      <c r="F10" s="15" t="n">
        <v>13.27</v>
      </c>
      <c r="G10" s="30" t="n">
        <v>0.3586</v>
      </c>
      <c r="H10" s="29" t="n">
        <v>0.32</v>
      </c>
    </row>
    <row r="11">
      <c r="A11" s="12" t="inlineStr">
        <is>
          <t>M8B2</t>
        </is>
      </c>
      <c r="B11" s="31" t="n">
        <v>35.35</v>
      </c>
      <c r="C11" s="21" t="n">
        <v>9.66</v>
      </c>
      <c r="D11" s="13" t="inlineStr">
        <is>
          <t>882 – 1181</t>
        </is>
      </c>
      <c r="E11" s="13" t="n">
        <v>299</v>
      </c>
      <c r="F11" s="13" t="n">
        <v>24.49</v>
      </c>
      <c r="G11" s="20" t="n">
        <v>0.5305</v>
      </c>
      <c r="H11" s="21" t="n">
        <v>59.58</v>
      </c>
    </row>
    <row r="12">
      <c r="A12" s="16" t="inlineStr">
        <is>
          <t>TOTAL / PROMEDIO</t>
        </is>
      </c>
      <c r="B12" s="32">
        <f>SUM(B10:B11)</f>
        <v/>
      </c>
      <c r="C12" s="23">
        <f>SUM(C10:C11)</f>
        <v/>
      </c>
      <c r="D12" s="17" t="inlineStr">
        <is>
          <t>142 – 1181</t>
        </is>
      </c>
      <c r="E12" s="17" t="inlineStr"/>
      <c r="F12" s="17">
        <f>ROUND(AVERAGE(F10:F11),2)</f>
        <v/>
      </c>
      <c r="G12" s="22">
        <f>ROUND(AVERAGE(G10:G11),4)</f>
        <v/>
      </c>
      <c r="H12" s="23">
        <f>ROUND(AVERAGE(H10:H11),2)</f>
        <v/>
      </c>
    </row>
    <row r="14" ht="84" customHeight="1">
      <c r="A14" s="9" t="inlineStr">
        <is>
          <t>LECTURA INTRAMICROCUENCA. El bloque 2 ocupa el puesto 1 de 2 por superficie dentro de la microcuenca C1096-Q9558 (90.34 % de las 365.95 ha preliminares de la microcuenca). Su pendiente promedio (13.27 %, clase «8-15% (Mod. inclinado)») es la 1.ª más baja de 2 y se sitúa por debajo del promedio de la microcuenca (18.88 %). Su MSAVI 2024 (0.3586) es el 2.º de 2 y queda por debajo del promedio local (0.4445). Amplitud altitudinal del bloque: 264 m (142–406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«C1096-Q9558»</t>
        </is>
      </c>
      <c r="D10" s="34" t="inlineStr">
        <is>
          <t>CONFORME</t>
        </is>
      </c>
      <c r="E10" s="33" t="inlineStr">
        <is>
          <t>Sin acción.</t>
        </is>
      </c>
    </row>
    <row r="11" ht="48" customHeight="1">
      <c r="A11" s="35" t="inlineStr">
        <is>
          <t>D-02</t>
        </is>
      </c>
      <c r="B11" s="35" t="inlineStr">
        <is>
          <t>UTM del punto de muestreo</t>
        </is>
      </c>
      <c r="C11" s="35" t="inlineStr">
        <is>
          <t>El punto de muestreo declarado (602909 E / 9438249 N) dista 1,330 m del centroide de catálogo (603653 E / 9439351 N), distancia incompatible con la superficie del bloque (330.6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(330.776 ha) coincide con la de catálogo (330.6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«15-25% (Fuert. inclinado)»; la estadística zonal sobre el MDE arroja una pendiente promedio de 13.27 %,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70 % de cobertura vegetal en campo; el NDVI mediana 2025 clasifica 98.57 %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Altitud GPS del punto de muestreo</t>
        </is>
      </c>
      <c r="C15" s="35" t="inlineStr">
        <is>
          <t>La aplicación de captura no registró altitud GPS en campo</t>
        </is>
      </c>
      <c r="D15" s="15" t="inlineStr">
        <is>
          <t>NO SUSTANTIVA</t>
        </is>
      </c>
      <c r="E15" s="35" t="inlineStr">
        <is>
          <t>El rango altitudinal del bloque (142–406 msnm) y la pendiente promedio (13.27 %) se toman de la estadística zonal sobre el MDE, no de medición de campo. Se declara la fuente.</t>
        </is>
      </c>
    </row>
    <row r="16" ht="48" customHeight="1">
      <c r="A16" s="33" t="inlineStr">
        <is>
          <t>D-07</t>
        </is>
      </c>
      <c r="B16" s="33" t="inlineStr">
        <is>
          <t>Elenco florístico</t>
        </is>
      </c>
      <c r="C16" s="33" t="inlineStr">
        <is>
          <t>La ficha registra 10 taxones, por debajo del mínimo de 15 que exige el formato V5</t>
        </is>
      </c>
      <c r="D16" s="36"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Centro poblado asociado</t>
        </is>
      </c>
      <c r="C17" s="35" t="inlineStr">
        <is>
          <t>La ficha DT declara «Balcones de Talandracas (691 hab.; 602137 E / 9437858 N)»; el cruce INEI-Bloques V5 identifica 1 centro(s) poblado(s) en el bloque: BALCONES DE TALANDRACAS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3 · NO SUSTANTIVA: 3 · SUSTANTIVA: 3</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 — IN Piura</dc:title>
  <dc:subject>Diagnóstico Territorial por bloque de intervención</dc:subject>
  <dcterms:created xsi:type="dcterms:W3CDTF">2026-09-08T03:39:53Z</dcterms:created>
  <dcterms:modified xsi:type="dcterms:W3CDTF">2026-09-08T03:39:53Z</dcterms:modified>
</cp:coreProperties>
</file>