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2</t>
        </is>
      </c>
      <c r="C9" s="6" t="inlineStr">
        <is>
          <t>Microcuenca (catálogo)</t>
        </is>
      </c>
      <c r="D9" s="7" t="inlineStr">
        <is>
          <t>C1096-Q9558</t>
        </is>
      </c>
      <c r="E9" s="8" t="n"/>
      <c r="F9" s="8" t="n"/>
    </row>
    <row r="10">
      <c r="A10" s="6" t="inlineStr">
        <is>
          <t>Zona de planificación</t>
        </is>
      </c>
      <c r="B10" s="7" t="inlineStr">
        <is>
          <t>Z01</t>
        </is>
      </c>
      <c r="C10" s="6" t="inlineStr">
        <is>
          <t>Microcuenca declarada en ficha DT</t>
        </is>
      </c>
      <c r="D10" s="7" t="inlineStr">
        <is>
          <t>C1096-Q9558</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Balcones de Talandracas (691 hab.; 602137 E / 9437858 N)</t>
        </is>
      </c>
      <c r="C13" s="6" t="inlineStr">
        <is>
          <t>Comunidad campesina</t>
        </is>
      </c>
      <c r="D13" s="7" t="inlineStr">
        <is>
          <t>Por verificar</t>
        </is>
      </c>
      <c r="E13" s="8" t="n"/>
      <c r="F13" s="8" t="n"/>
    </row>
    <row r="14">
      <c r="A14" s="6" t="inlineStr">
        <is>
          <t>Superficie de catálogo (V5/V6), ha</t>
        </is>
      </c>
      <c r="B14" s="7" t="n">
        <v>330.6</v>
      </c>
      <c r="C14" s="6" t="inlineStr">
        <is>
          <t>Fuente de superficie</t>
        </is>
      </c>
      <c r="D14" s="7" t="inlineStr">
        <is>
          <t>Catálogo maestro Bloques V5/V6</t>
        </is>
      </c>
      <c r="E14" s="8" t="n"/>
      <c r="F14" s="8" t="n"/>
    </row>
    <row r="15">
      <c r="A15" s="6" t="inlineStr">
        <is>
          <t>Centroide UTM ESTE (m)</t>
        </is>
      </c>
      <c r="B15" s="7" t="n">
        <v>603653</v>
      </c>
      <c r="C15" s="6" t="inlineStr">
        <is>
          <t>Centroide UTM NORTE (m)</t>
        </is>
      </c>
      <c r="D15" s="7" t="n">
        <v>9439351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142</v>
      </c>
      <c r="C19" s="6" t="inlineStr">
        <is>
          <t>Altitud máxima (msnm)</t>
        </is>
      </c>
      <c r="D19" s="7" t="n">
        <v>406</v>
      </c>
      <c r="E19" s="8" t="n"/>
      <c r="F19" s="8" t="n"/>
    </row>
    <row r="20">
      <c r="A20" s="6" t="inlineStr">
        <is>
          <t>Amplitud altitudinal (m)</t>
        </is>
      </c>
      <c r="B20" s="7" t="n">
        <v>264</v>
      </c>
      <c r="C20" s="6" t="inlineStr">
        <is>
          <t>Piso altitudinal dominante</t>
        </is>
      </c>
      <c r="D20" s="7" t="inlineStr">
        <is>
          <t>&lt;1000 m (Yunga)</t>
        </is>
      </c>
      <c r="E20" s="8" t="n"/>
      <c r="F20" s="8" t="n"/>
    </row>
    <row r="21">
      <c r="A21" s="6" t="inlineStr">
        <is>
          <t>Pendiente promedio (%)</t>
        </is>
      </c>
      <c r="B21" s="7" t="n">
        <v>13.27</v>
      </c>
      <c r="C21" s="6" t="inlineStr">
        <is>
          <t>Pendiente promedio (grados)</t>
        </is>
      </c>
      <c r="D21" s="7" t="n">
        <v>7.6</v>
      </c>
      <c r="E21" s="8" t="n"/>
      <c r="F21" s="8" t="n"/>
    </row>
    <row r="22">
      <c r="A22" s="6" t="inlineStr">
        <is>
          <t>Clase de pendiente equivalente</t>
        </is>
      </c>
      <c r="B22" s="7" t="inlineStr">
        <is>
          <t>8-15% (Mod.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baja</t>
        </is>
      </c>
      <c r="E23" s="8" t="n"/>
      <c r="F23" s="8" t="n"/>
    </row>
    <row r="24">
      <c r="A24" s="6" t="inlineStr">
        <is>
          <t>Exposición / orientación</t>
        </is>
      </c>
      <c r="B24" s="7" t="inlineStr">
        <is>
          <t>Suroeste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0.3586</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99.19 % del bloque BAJO el umbral (327.922 ha de 330.600 ha)</t>
        </is>
      </c>
      <c r="C29" s="6" t="inlineStr">
        <is>
          <t>NDVI mediana 2025 — clase modal</t>
        </is>
      </c>
      <c r="D29" s="7" t="inlineStr">
        <is>
          <t>Vegetación ligera (69.48 %)</t>
        </is>
      </c>
      <c r="E29" s="8" t="n"/>
      <c r="F29" s="8" t="n"/>
    </row>
    <row r="30">
      <c r="A30" s="6" t="inlineStr">
        <is>
          <t>MSAVI 2024 — superficie BAJO el umbral 0.4976 (ha)</t>
        </is>
      </c>
      <c r="B30" s="7" t="n">
        <v>327.922</v>
      </c>
      <c r="C30" s="6" t="inlineStr">
        <is>
          <t>MSAVI 2024 — % del bloque BAJO el umbral</t>
        </is>
      </c>
      <c r="D30" s="7" t="n">
        <v>99.19</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Bloque 2.png)</t>
        </is>
      </c>
      <c r="E31" s="8" t="n"/>
      <c r="F31" s="8" t="n"/>
    </row>
    <row r="32" ht="18" customHeight="1">
      <c r="A32" s="6" t="inlineStr">
        <is>
          <t>Superficie clasificada NDVI 2025 (ha)</t>
        </is>
      </c>
      <c r="B32" s="7" t="n">
        <v>330.776</v>
      </c>
      <c r="C32" s="6" t="inlineStr">
        <is>
          <t>Desviación frente al catálogo (%)</t>
        </is>
      </c>
      <c r="D32" s="7" t="n">
        <v>0.05</v>
      </c>
      <c r="E32" s="8" t="n"/>
      <c r="F32" s="8" t="n"/>
    </row>
    <row r="33"/>
    <row r="34">
      <c r="A34" s="5" t="inlineStr">
        <is>
          <t>4. ECOSISTEMA Y ESTADO DE CONSERVACIÓN</t>
        </is>
      </c>
    </row>
    <row r="35">
      <c r="A35" s="6" t="inlineStr">
        <is>
          <t>Tipo de ecosistema (UP)</t>
        </is>
      </c>
      <c r="B35" s="7" t="inlineStr">
        <is>
          <t>Bosque Estacionalmente Seco Colina/Montaña (Bes-cm)</t>
        </is>
      </c>
      <c r="C35" s="6" t="inlineStr">
        <is>
          <t>Superficie de ecosistema (ha)</t>
        </is>
      </c>
      <c r="D35" s="7" t="inlineStr">
        <is>
          <t>330.599 ha (100% del bloque)</t>
        </is>
      </c>
      <c r="E35" s="8" t="n"/>
      <c r="F35" s="8" t="n"/>
    </row>
    <row r="36">
      <c r="A36" s="6" t="inlineStr">
        <is>
          <t>Estado de conservación</t>
        </is>
      </c>
      <c r="B36" s="7" t="inlineStr">
        <is>
          <t>Medianamente alterado</t>
        </is>
      </c>
      <c r="C36" s="6" t="inlineStr">
        <is>
          <t>Uso actual dominante del suelo</t>
        </is>
      </c>
      <c r="D36" s="7" t="inlineStr">
        <is>
          <t>Pastoreo extensivo</t>
        </is>
      </c>
      <c r="E36" s="8" t="n"/>
      <c r="F36" s="8" t="n"/>
    </row>
    <row r="37">
      <c r="A37" s="6" t="inlineStr">
        <is>
          <t>Tipo de cobertura dominante</t>
        </is>
      </c>
      <c r="B37" s="7" t="inlineStr">
        <is>
          <t>Bosque ralo (30-70%)</t>
        </is>
      </c>
      <c r="C37" s="6" t="inlineStr">
        <is>
          <t>Cobertura vegetal total — campo (%)</t>
        </is>
      </c>
      <c r="D37" s="7" t="n">
        <v>70</v>
      </c>
      <c r="E37" s="8" t="n"/>
      <c r="F37" s="8" t="n"/>
    </row>
    <row r="38">
      <c r="A38" s="6" t="inlineStr">
        <is>
          <t>Suelo desnudo — campo (%)</t>
        </is>
      </c>
      <c r="B38" s="7" t="n">
        <v>25</v>
      </c>
      <c r="C38" s="6" t="inlineStr">
        <is>
          <t>Regeneración natural</t>
        </is>
      </c>
      <c r="D38" s="7" t="inlineStr">
        <is>
          <t>Regular (10-50 pl./100m²)</t>
        </is>
      </c>
      <c r="E38" s="8" t="n"/>
      <c r="F38" s="8" t="n"/>
    </row>
    <row r="39">
      <c r="A39" s="6" t="inlineStr">
        <is>
          <t>Nivel general de erosión</t>
        </is>
      </c>
      <c r="B39" s="7" t="inlineStr">
        <is>
          <t>Ligera (laminar)</t>
        </is>
      </c>
      <c r="C39" s="6" t="inlineStr">
        <is>
          <t>N.° de cárcavas registradas</t>
        </is>
      </c>
      <c r="D39" s="7" t="n">
        <v>0</v>
      </c>
      <c r="E39" s="8" t="n"/>
      <c r="F39" s="8" t="n"/>
    </row>
    <row r="40" ht="18" customHeight="1">
      <c r="A40" s="6" t="inlineStr">
        <is>
          <t>Elenco florístico (n.° de taxones)</t>
        </is>
      </c>
      <c r="B40" s="7" t="n">
        <v>10</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 (ANIN/DIME-SESDI)</t>
        </is>
      </c>
      <c r="C43" s="6" t="inlineStr">
        <is>
          <t>Fecha de evaluación</t>
        </is>
      </c>
      <c r="D43" s="7" t="inlineStr">
        <is>
          <t>2026-07-02</t>
        </is>
      </c>
      <c r="E43" s="8" t="n"/>
      <c r="F43" s="8" t="n"/>
    </row>
    <row r="44">
      <c r="A44" s="6" t="inlineStr">
        <is>
          <t>Hora de registro</t>
        </is>
      </c>
      <c r="B44" s="7" t="inlineStr">
        <is>
          <t>15:13 - 15:40 h</t>
        </is>
      </c>
      <c r="C44" s="6" t="inlineStr">
        <is>
          <t>Correlativo de ficha</t>
        </is>
      </c>
      <c r="D44" s="7" t="inlineStr">
        <is>
          <t>F-DT-01-B2</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Sector sur (recorrido de reconocimiento, sin parcela permanente)</t>
        </is>
      </c>
      <c r="E46" s="8" t="n"/>
      <c r="F46" s="8" t="n"/>
    </row>
    <row r="47" ht="18" customHeight="1">
      <c r="A47" s="6" t="inlineStr">
        <is>
          <t>Estaciones fotográficas georreferenciadas</t>
        </is>
      </c>
      <c r="B47" s="7" t="inlineStr">
        <is>
          <t>Sin registro en la ficha DT</t>
        </is>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Presión socioeconómica de subsistencia y avance de la frontera predial/vial en el piedemonte inmediato a los CC.PP.</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7" t="n"/>
      <c r="C56" s="37" t="n"/>
      <c r="D56" s="37" t="n"/>
      <c r="E56" s="37" t="n"/>
      <c r="F56" s="38"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0.06610000000000001</v>
      </c>
      <c r="C10" s="19" t="n">
        <v>0.02</v>
      </c>
      <c r="D10" s="11" t="inlineStr">
        <is>
          <t>Vigor alto</t>
        </is>
      </c>
      <c r="E10" s="11" t="inlineStr">
        <is>
          <t>Sobre umbral</t>
        </is>
      </c>
    </row>
    <row r="11">
      <c r="A11" s="12" t="inlineStr">
        <is>
          <t>0.4976 - 0.6139</t>
        </is>
      </c>
      <c r="B11" s="20" t="n">
        <v>2.6117</v>
      </c>
      <c r="C11" s="21" t="n">
        <v>0.79</v>
      </c>
      <c r="D11" s="13" t="inlineStr">
        <is>
          <t>Vigor moderado</t>
        </is>
      </c>
      <c r="E11" s="13" t="inlineStr">
        <is>
          <t>Sobre umbral</t>
        </is>
      </c>
    </row>
    <row r="12">
      <c r="A12" s="7" t="inlineStr">
        <is>
          <t>0.3813 - 0.4976</t>
        </is>
      </c>
      <c r="B12" s="18" t="n">
        <v>101.9901</v>
      </c>
      <c r="C12" s="19" t="n">
        <v>30.85</v>
      </c>
      <c r="D12" s="11" t="inlineStr">
        <is>
          <t>Vigor bajo</t>
        </is>
      </c>
      <c r="E12" s="11" t="inlineStr">
        <is>
          <t>BAJO umbral 0.4976</t>
        </is>
      </c>
    </row>
    <row r="13">
      <c r="A13" s="14" t="inlineStr">
        <is>
          <t>0.2650 - 0.3813</t>
        </is>
      </c>
      <c r="B13" s="30" t="n">
        <v>215.9149</v>
      </c>
      <c r="C13" s="29" t="n">
        <v>65.31</v>
      </c>
      <c r="D13" s="15" t="inlineStr">
        <is>
          <t>Vigor muy bajo</t>
        </is>
      </c>
      <c r="E13" s="15" t="inlineStr">
        <is>
          <t>BAJO umbral 0.4976</t>
        </is>
      </c>
    </row>
    <row r="14">
      <c r="A14" s="7" t="inlineStr">
        <is>
          <t>&lt;= 0.2650</t>
        </is>
      </c>
      <c r="B14" s="18" t="n">
        <v>10.0172</v>
      </c>
      <c r="C14" s="19" t="n">
        <v>3.03</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0.358601</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7" t="n"/>
      <c r="C18" s="37" t="n"/>
      <c r="D18" s="37" t="n"/>
      <c r="E18" s="38"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1.0659</v>
      </c>
      <c r="C22" s="19" t="n">
        <v>0.32</v>
      </c>
      <c r="D22" s="11" t="inlineStr">
        <is>
          <t>Dosel continuo, matorral denso o mosaico agroforestal</t>
        </is>
      </c>
      <c r="E22" s="11" t="inlineStr"/>
    </row>
    <row r="23">
      <c r="A23" s="12" t="inlineStr">
        <is>
          <t>Vegetación mediana</t>
        </is>
      </c>
      <c r="B23" s="20" t="n">
        <v>95.17910000000001</v>
      </c>
      <c r="C23" s="21" t="n">
        <v>28.77</v>
      </c>
      <c r="D23" s="13" t="inlineStr">
        <is>
          <t>Pastizal cultivado, matorral ralo, parcelas agrícolas</t>
        </is>
      </c>
      <c r="E23" s="13" t="inlineStr"/>
    </row>
    <row r="24">
      <c r="A24" s="7" t="inlineStr">
        <is>
          <t>Vegetación ligera</t>
        </is>
      </c>
      <c r="B24" s="18" t="n">
        <v>229.8077</v>
      </c>
      <c r="C24" s="19" t="n">
        <v>69.48</v>
      </c>
      <c r="D24" s="11" t="inlineStr">
        <is>
          <t>Cobertura discontinua, suelo parcialmente expuesto</t>
        </is>
      </c>
      <c r="E24" s="11" t="inlineStr"/>
    </row>
    <row r="25">
      <c r="A25" s="12" t="inlineStr">
        <is>
          <t>Tierra desnuda</t>
        </is>
      </c>
      <c r="B25" s="20" t="n">
        <v>4.7229</v>
      </c>
      <c r="C25" s="21" t="n">
        <v>1.43</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330.6</v>
      </c>
      <c r="C27" s="25" t="inlineStr">
        <is>
          <t>—</t>
        </is>
      </c>
      <c r="D27" s="25" t="inlineStr">
        <is>
          <t>Desviación planimétrica frente al catálogo</t>
        </is>
      </c>
      <c r="E27" s="25" t="inlineStr">
        <is>
          <t>+0.05 %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0.32 % del polígono clasificado como «Vegetación alta» por el NDVI 2025; la observación de campo corresponde a una parcela o recorrido puntual y no es estadísticamente representativa de las 330.600 ha del bloque.</t>
        </is>
      </c>
      <c r="B29" s="37" t="n"/>
      <c r="C29" s="37" t="n"/>
      <c r="D29" s="37" t="n"/>
      <c r="E29" s="38"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t>
        </is>
      </c>
    </row>
    <row r="6" ht="24" customHeight="1">
      <c r="A6" s="4" t="inlineStr">
        <is>
          <t>Levantamiento del 2026-07-02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602909</v>
      </c>
      <c r="D10" s="26" t="n">
        <v>9438249</v>
      </c>
      <c r="E10" s="11" t="n">
        <v>1329.6</v>
      </c>
      <c r="F10" s="11" t="inlineStr"/>
      <c r="G10" s="11" t="inlineStr">
        <is>
          <t>Coordenada consignada en F-DT-01</t>
        </is>
      </c>
    </row>
    <row r="11">
      <c r="A11" s="12" t="inlineStr">
        <is>
          <t>H-01</t>
        </is>
      </c>
      <c r="B11" s="13" t="inlineStr">
        <is>
          <t>Fuente de agua — Río</t>
        </is>
      </c>
      <c r="C11" s="27" t="n">
        <v>603900</v>
      </c>
      <c r="D11" s="27" t="n">
        <v>9439300</v>
      </c>
      <c r="E11" s="13" t="n">
        <v>252.2</v>
      </c>
      <c r="F11" s="13" t="inlineStr">
        <is>
          <t>No evaluable</t>
        </is>
      </c>
      <c r="G11" s="13" t="inlineStr">
        <is>
          <t>Curso principal de cauce</t>
        </is>
      </c>
    </row>
    <row r="12">
      <c r="A12" s="7" t="inlineStr">
        <is>
          <t>H-02</t>
        </is>
      </c>
      <c r="B12" s="11" t="inlineStr">
        <is>
          <t>Fuente de agua — Quebrada estacional</t>
        </is>
      </c>
      <c r="C12" s="26" t="n">
        <v>603300</v>
      </c>
      <c r="D12" s="26" t="n">
        <v>9439600</v>
      </c>
      <c r="E12" s="11" t="n">
        <v>432</v>
      </c>
      <c r="F12" s="11" t="inlineStr">
        <is>
          <t>Estacional</t>
        </is>
      </c>
      <c r="G12" s="11" t="inlineStr">
        <is>
          <t>Quebrada tributaria seca</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603653</v>
      </c>
      <c r="C15" s="6" t="inlineStr">
        <is>
          <t>Centroide del bloque — UTM NORTE (m)</t>
        </is>
      </c>
      <c r="D15" s="7" t="n">
        <v>9439351</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8" ht="9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02/07/2026, sector sur/acceso. Altitud GPS no registrada. Forma del terreno, pendiente, posición fisiográfica y exposición son JUICIO EXPERTO sobre el sector recorrido: requieren confirmación con MDE para el polígono completo.</t>
        </is>
      </c>
      <c r="B18" s="37" t="n"/>
      <c r="C18" s="37" t="n"/>
      <c r="D18" s="37" t="n"/>
      <c r="E18" s="37" t="n"/>
      <c r="F18" s="37" t="n"/>
      <c r="G18" s="38"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C1096-Q9558 — BLOQUE 2</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C1096-Q9558</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2</t>
        </is>
      </c>
      <c r="B10" s="28" t="n">
        <v>330.6</v>
      </c>
      <c r="C10" s="29" t="n">
        <v>90.34</v>
      </c>
      <c r="D10" s="15" t="inlineStr">
        <is>
          <t>142 – 406</t>
        </is>
      </c>
      <c r="E10" s="15" t="n">
        <v>264</v>
      </c>
      <c r="F10" s="15" t="n">
        <v>13.27</v>
      </c>
      <c r="G10" s="30" t="n">
        <v>0.3586</v>
      </c>
      <c r="H10" s="29" t="n">
        <v>0.32</v>
      </c>
    </row>
    <row r="11">
      <c r="A11" s="12" t="inlineStr">
        <is>
          <t>M8B2</t>
        </is>
      </c>
      <c r="B11" s="31" t="n">
        <v>35.35</v>
      </c>
      <c r="C11" s="21" t="n">
        <v>9.66</v>
      </c>
      <c r="D11" s="13" t="inlineStr">
        <is>
          <t>882 – 1181</t>
        </is>
      </c>
      <c r="E11" s="13" t="n">
        <v>299</v>
      </c>
      <c r="F11" s="13" t="n">
        <v>24.49</v>
      </c>
      <c r="G11" s="20" t="n">
        <v>0.5305</v>
      </c>
      <c r="H11" s="21" t="n">
        <v>59.58</v>
      </c>
    </row>
    <row r="12">
      <c r="A12" s="16" t="inlineStr">
        <is>
          <t>TOTAL / PROMEDIO</t>
        </is>
      </c>
      <c r="B12" s="32">
        <f>SUM(B10:B11)</f>
        <v/>
      </c>
      <c r="C12" s="23">
        <f>SUM(C10:C11)</f>
        <v/>
      </c>
      <c r="D12" s="17" t="inlineStr">
        <is>
          <t>142 – 1181</t>
        </is>
      </c>
      <c r="E12" s="17" t="inlineStr"/>
      <c r="F12" s="17">
        <f>ROUND(AVERAGE(F10:F11),2)</f>
        <v/>
      </c>
      <c r="G12" s="22">
        <f>ROUND(AVERAGE(G10:G11),4)</f>
        <v/>
      </c>
      <c r="H12" s="23">
        <f>ROUND(AVERAGE(H10:H11),2)</f>
        <v/>
      </c>
    </row>
    <row r="14" ht="84" customHeight="1">
      <c r="A14" s="9" t="inlineStr">
        <is>
          <t>LECTURA INTRAMICROCUENCA. El bloque 2 ocupa el puesto 1 de 2 por superficie dentro de la microcuenca C1096-Q9558 (90.34 % de las 365.95 ha preliminares de la microcuenca). Su pendiente promedio (13.27 %, clase «8-15% (Mod. inclinado)») es la 1.ª más baja de 2 y se sitúa por debajo del promedio de la microcuenca (18.88 %). Su MSAVI 2024 (0.3586) es el 2.º de 2 y queda por debajo del promedio local (0.4445). Amplitud altitudinal del bloque: 264 m (142–406 msnm). El cuadro conserva todos los bloques catalogados en la microcuenca, incluidos los descartados en el tamizaje, para referencia del conjunto. Los bloques sin ficha DT figuran con sus parámetros de gabinete.</t>
        </is>
      </c>
      <c r="B14" s="37" t="n"/>
      <c r="C14" s="37" t="n"/>
      <c r="D14" s="37" t="n"/>
      <c r="E14" s="37" t="n"/>
      <c r="F14" s="37" t="n"/>
      <c r="G14" s="37" t="n"/>
      <c r="H14" s="38"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6" s="37" t="n"/>
      <c r="C16" s="37" t="n"/>
      <c r="D16" s="37" t="n"/>
      <c r="E16" s="37" t="n"/>
      <c r="F16" s="37" t="n"/>
      <c r="G16" s="37" t="n"/>
      <c r="H16" s="38" t="n"/>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«C1096-Q9558»</t>
        </is>
      </c>
      <c r="D10" s="34" t="inlineStr">
        <is>
          <t>CONFORME</t>
        </is>
      </c>
      <c r="E10" s="33" t="inlineStr">
        <is>
          <t>Sin acción.</t>
        </is>
      </c>
    </row>
    <row r="11" ht="48" customHeight="1">
      <c r="A11" s="35" t="inlineStr">
        <is>
          <t>D-02</t>
        </is>
      </c>
      <c r="B11" s="35" t="inlineStr">
        <is>
          <t>UTM del punto de muestreo</t>
        </is>
      </c>
      <c r="C11" s="35" t="inlineStr">
        <is>
          <t>El punto de muestreo declarado (602909 E / 9438249 N) dista 1,330 m del centroide de catálogo (603653 E / 9439351 N), distancia incompatible con la superficie del bloque (330.6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(330.776 ha) coincide con la de catálogo (330.6 ha) dentro del ±2 % (+0.05 %)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«15-25% (Fuert. inclinado)»; la estadística zonal sobre el MDE arroja una pendiente promedio de 13.27 %, que corresponde a la clase «8-15% (Mod.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Cobertura vegetal total</t>
        </is>
      </c>
      <c r="C14" s="33" t="inlineStr">
        <is>
          <t>La ficha DT estima 70 % de cobertura vegetal en campo; el NDVI mediana 2025 clasifica 98.57 % del polígono en clases de vegetación</t>
        </is>
      </c>
      <c r="D14" s="15" t="inlineStr">
        <is>
          <t>NO SUSTANTIVA</t>
        </is>
      </c>
      <c r="E14" s="33"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5" t="inlineStr">
        <is>
          <t>D-06</t>
        </is>
      </c>
      <c r="B15" s="35" t="inlineStr">
        <is>
          <t>Altitud GPS del punto de muestreo</t>
        </is>
      </c>
      <c r="C15" s="35" t="inlineStr">
        <is>
          <t>La aplicación de captura no registró altitud GPS en campo</t>
        </is>
      </c>
      <c r="D15" s="15" t="inlineStr">
        <is>
          <t>NO SUSTANTIVA</t>
        </is>
      </c>
      <c r="E15" s="35" t="inlineStr">
        <is>
          <t>El rango altitudinal del bloque (142–406 msnm) y la pendiente promedio (13.27 %) se toman de la estadística zonal sobre el MDE, no de medición de campo. Se declara la fuente.</t>
        </is>
      </c>
    </row>
    <row r="16" ht="48" customHeight="1">
      <c r="A16" s="33" t="inlineStr">
        <is>
          <t>D-07</t>
        </is>
      </c>
      <c r="B16" s="33" t="inlineStr">
        <is>
          <t>Elenco florístico</t>
        </is>
      </c>
      <c r="C16" s="33" t="inlineStr">
        <is>
          <t>La ficha registra 10 taxones, por debajo del mínimo de 15 que exige el formato V5</t>
        </is>
      </c>
      <c r="D16" s="36" t="inlineStr">
        <is>
          <t>SUSTANTIVA</t>
        </is>
      </c>
      <c r="E16" s="33" t="inlineStr">
        <is>
          <t>Registro florístico preliminar, sin colecta ni determinación botánica formal. Debe cerrarse con colecta botánica en la siguiente campaña.</t>
        </is>
      </c>
    </row>
    <row r="17" ht="48" customHeight="1">
      <c r="A17" s="35" t="inlineStr">
        <is>
          <t>D-08</t>
        </is>
      </c>
      <c r="B17" s="35" t="inlineStr">
        <is>
          <t>Centro poblado asociado</t>
        </is>
      </c>
      <c r="C17" s="35" t="inlineStr">
        <is>
          <t>La ficha DT declara «Balcones de Talandracas (691 hab.; 602137 E / 9437858 N)»; el cruce INEI-Bloques V5 identifica 1 centro(s) poblado(s) en el bloque: BALCONES DE TALANDRACAS</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c r="A19" s="33" t="inlineStr">
        <is>
          <t>D-10</t>
        </is>
      </c>
      <c r="B19" s="33" t="inlineStr">
        <is>
          <t>Distribución areal de clases MSAVI 2024</t>
        </is>
      </c>
      <c r="C19" s="33" t="inlineStr">
        <is>
          <t>La hoja «Cobertura MSAVI-NDVI» consignaba «Por determinar» en la distribución areal de clases MSAVI 2024; se incorpora el metrado por clase medido sobre la cartografía temática MSAVI 2024 del bloque: 99.19 % del bloque (327.922 ha) bajo el umbral 0.4976 y 0.81 % sobre el umbral; clase areal dominante «Vigor muy bajo».</t>
        </is>
      </c>
      <c r="D19" s="36" t="inlineStr">
        <is>
          <t>CORREGIDO</t>
        </is>
      </c>
      <c r="E19" s="33"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0"/>
    <row r="21">
      <c r="A21" s="16" t="inlineStr">
        <is>
          <t>RESUMEN</t>
        </is>
      </c>
      <c r="B21" s="17" t="inlineStr">
        <is>
          <t>10 verificaciones</t>
        </is>
      </c>
      <c r="C21" s="17" t="inlineStr">
        <is>
          <t>CONFORME: 3 · NO SUSTANTIVA: 3 · SUSTANTIVA: 3 · CORREGIDO: 1</t>
        </is>
      </c>
      <c r="D21" s="17" t="inlineStr"/>
      <c r="E21" s="17" t="inlineStr"/>
    </row>
    <row r="22" ht="60" customHeight="1"/>
    <row r="23">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3" s="37" t="n"/>
      <c r="C23" s="37" t="n"/>
      <c r="D23" s="37" t="n"/>
      <c r="E23" s="38" t="n"/>
    </row>
  </sheetData>
  <mergeCells count="8">
    <mergeCell ref="A4:E4"/>
    <mergeCell ref="A2:E2"/>
    <mergeCell ref="A5:E5"/>
    <mergeCell ref="A1:E1"/>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 — IN Piura</dc:title>
  <dc:subject>Diagnóstico Territorial por bloque de intervención</dc:subject>
  <dcterms:created xsi:type="dcterms:W3CDTF">2026-09-08T03:39:53Z</dcterms:created>
  <dcterms:modified xsi:type="dcterms:W3CDTF">2026-09-09T14:49:41Z</dcterms:modified>
</cp:coreProperties>
</file>