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sumen" sheetId="1" state="visible" r:id="rId1"/>
    <sheet name="Cobertura MSAVI-NDVI" sheetId="2" state="visible" r:id="rId2"/>
    <sheet name="Estaciones fotográficas" sheetId="3" state="visible" r:id="rId3"/>
    <sheet name="Microcuenca" sheetId="4" state="visible" r:id="rId4"/>
    <sheet name="Control de consistencia" sheetId="5" state="visible" r:id="rId5"/>
  </sheets>
  <definedNames/>
  <calcPr calcId="124519" fullCalcOnLoad="1"/>
</workbook>
</file>

<file path=xl/styles.xml><?xml version="1.0" encoding="utf-8"?>
<styleSheet xmlns="http://schemas.openxmlformats.org/spreadsheetml/2006/main">
  <numFmts count="2">
    <numFmt numFmtId="164" formatCode="0.0000"/>
    <numFmt numFmtId="165" formatCode="0.000"/>
  </numFmts>
  <fonts count="9">
    <font>
      <name val="Calibri"/>
      <family val="2"/>
      <color theme="1"/>
      <sz val="11"/>
      <scheme val="minor"/>
    </font>
    <font>
      <name val="Arial"/>
      <b val="1"/>
      <color rgb="00FFFFFF"/>
      <sz val="10"/>
    </font>
    <font>
      <name val="Arial"/>
      <color rgb="00FFFFFF"/>
      <sz val="8"/>
    </font>
    <font>
      <name val="Arial"/>
      <b val="1"/>
      <color rgb="001B4D2E"/>
      <sz val="12"/>
    </font>
    <font>
      <name val="Arial"/>
      <i val="1"/>
      <color rgb="00555555"/>
      <sz val="8"/>
    </font>
    <font>
      <name val="Arial"/>
      <b val="1"/>
      <sz val="9"/>
    </font>
    <font>
      <name val="Arial"/>
      <sz val="9"/>
    </font>
    <font>
      <name val="Arial"/>
      <i val="1"/>
      <color rgb="00333333"/>
      <sz val="8"/>
    </font>
    <font>
      <name val="Arial"/>
      <b val="1"/>
      <color rgb="00FFFFFF"/>
      <sz val="9"/>
    </font>
  </fonts>
  <fills count="9">
    <fill>
      <patternFill/>
    </fill>
    <fill>
      <patternFill patternType="gray125"/>
    </fill>
    <fill>
      <patternFill patternType="solid">
        <fgColor rgb="001B4D2E"/>
      </patternFill>
    </fill>
    <fill>
      <patternFill patternType="solid">
        <fgColor rgb="001B4F72"/>
      </patternFill>
    </fill>
    <fill>
      <patternFill patternType="solid">
        <fgColor rgb="00E8F0EA"/>
      </patternFill>
    </fill>
    <fill>
      <patternFill patternType="solid">
        <fgColor rgb="00F2F2F2"/>
      </patternFill>
    </fill>
    <fill>
      <patternFill patternType="solid">
        <fgColor rgb="00FFF2CC"/>
      </patternFill>
    </fill>
    <fill>
      <patternFill patternType="solid">
        <fgColor rgb="00D9E1F2"/>
      </patternFill>
    </fill>
    <fill>
      <patternFill patternType="solid">
        <fgColor rgb="00F8CBAD"/>
      </patternFill>
    </fill>
  </fills>
  <borders count="2">
    <border>
      <left/>
      <right/>
      <top/>
      <bottom/>
      <diagonal/>
    </border>
    <border>
      <left style="thin">
        <color rgb="009C9C9C"/>
      </left>
      <right style="thin">
        <color rgb="009C9C9C"/>
      </right>
      <top style="thin">
        <color rgb="009C9C9C"/>
      </top>
      <bottom style="thin">
        <color rgb="009C9C9C"/>
      </bottom>
    </border>
  </borders>
  <cellStyleXfs count="1">
    <xf numFmtId="0" fontId="0" fillId="0" borderId="0"/>
  </cellStyleXfs>
  <cellXfs count="37">
    <xf numFmtId="0" fontId="0" fillId="0" borderId="0" pivotButton="0" quotePrefix="0" xfId="0"/>
    <xf numFmtId="0" fontId="1" fillId="2" borderId="0" applyAlignment="1" pivotButton="0" quotePrefix="0" xfId="0">
      <alignment horizontal="center" vertical="center" wrapText="1"/>
    </xf>
    <xf numFmtId="0" fontId="2" fillId="3" borderId="0" applyAlignment="1" pivotButton="0" quotePrefix="0" xfId="0">
      <alignment horizontal="center" vertical="center" wrapText="1"/>
    </xf>
    <xf numFmtId="0" fontId="3" fillId="4" borderId="0" applyAlignment="1" pivotButton="0" quotePrefix="0" xfId="0">
      <alignment horizontal="center" vertical="center"/>
    </xf>
    <xf numFmtId="0" fontId="4" fillId="0" borderId="0" applyAlignment="1" pivotButton="0" quotePrefix="0" xfId="0">
      <alignment horizontal="center" vertical="center" wrapText="1"/>
    </xf>
    <xf numFmtId="0" fontId="1" fillId="2" borderId="0" applyAlignment="1" pivotButton="0" quotePrefix="0" xfId="0">
      <alignment horizontal="left" vertical="center" indent="1"/>
    </xf>
    <xf numFmtId="0" fontId="5" fillId="5" borderId="1" applyAlignment="1" pivotButton="0" quotePrefix="0" xfId="0">
      <alignment horizontal="left" vertical="center" wrapText="1" indent="1"/>
    </xf>
    <xf numFmtId="0" fontId="6" fillId="0" borderId="1" applyAlignment="1" pivotButton="0" quotePrefix="0" xfId="0">
      <alignment horizontal="left" vertical="center" wrapText="1" indent="1"/>
    </xf>
    <xf numFmtId="0" fontId="0" fillId="0" borderId="1" pivotButton="0" quotePrefix="0" xfId="0"/>
    <xf numFmtId="0" fontId="7" fillId="0" borderId="1" applyAlignment="1" pivotButton="0" quotePrefix="0" xfId="0">
      <alignment horizontal="justify" vertical="top" wrapText="1"/>
    </xf>
    <xf numFmtId="0" fontId="8" fillId="2" borderId="1" applyAlignment="1" pivotButton="0" quotePrefix="0" xfId="0">
      <alignment horizontal="center" vertical="center" wrapText="1"/>
    </xf>
    <xf numFmtId="0" fontId="6" fillId="0" borderId="1" applyAlignment="1" pivotButton="0" quotePrefix="0" xfId="0">
      <alignment horizontal="center" vertical="center" wrapText="1"/>
    </xf>
    <xf numFmtId="0" fontId="6" fillId="4" borderId="1" applyAlignment="1" pivotButton="0" quotePrefix="0" xfId="0">
      <alignment horizontal="left" vertical="center" wrapText="1" indent="1"/>
    </xf>
    <xf numFmtId="0" fontId="6" fillId="4" borderId="1" applyAlignment="1" pivotButton="0" quotePrefix="0" xfId="0">
      <alignment horizontal="center" vertical="center" wrapText="1"/>
    </xf>
    <xf numFmtId="0" fontId="5" fillId="6" borderId="1" applyAlignment="1" pivotButton="0" quotePrefix="0" xfId="0">
      <alignment horizontal="left" vertical="center" wrapText="1" indent="1"/>
    </xf>
    <xf numFmtId="0" fontId="5" fillId="6" borderId="1" applyAlignment="1" pivotButton="0" quotePrefix="0" xfId="0">
      <alignment horizontal="center" vertical="center" wrapText="1"/>
    </xf>
    <xf numFmtId="0" fontId="5" fillId="4" borderId="1" applyAlignment="1" pivotButton="0" quotePrefix="0" xfId="0">
      <alignment horizontal="left" vertical="center" wrapText="1" indent="1"/>
    </xf>
    <xf numFmtId="0" fontId="5" fillId="4" borderId="1" applyAlignment="1" pivotButton="0" quotePrefix="0" xfId="0">
      <alignment horizontal="center" vertical="center" wrapText="1"/>
    </xf>
    <xf numFmtId="164" fontId="6" fillId="0" borderId="1" applyAlignment="1" pivotButton="0" quotePrefix="0" xfId="0">
      <alignment horizontal="center" vertical="center" wrapText="1"/>
    </xf>
    <xf numFmtId="2" fontId="6" fillId="0" borderId="1" applyAlignment="1" pivotButton="0" quotePrefix="0" xfId="0">
      <alignment horizontal="center" vertical="center" wrapText="1"/>
    </xf>
    <xf numFmtId="164" fontId="6" fillId="4" borderId="1" applyAlignment="1" pivotButton="0" quotePrefix="0" xfId="0">
      <alignment horizontal="center" vertical="center" wrapText="1"/>
    </xf>
    <xf numFmtId="2" fontId="6" fillId="4" borderId="1" applyAlignment="1" pivotButton="0" quotePrefix="0" xfId="0">
      <alignment horizontal="center" vertical="center" wrapText="1"/>
    </xf>
    <xf numFmtId="164" fontId="5" fillId="4" borderId="1" applyAlignment="1" pivotButton="0" quotePrefix="0" xfId="0">
      <alignment horizontal="center" vertical="center" wrapText="1"/>
    </xf>
    <xf numFmtId="2" fontId="5" fillId="4" borderId="1" applyAlignment="1" pivotButton="0" quotePrefix="0" xfId="0">
      <alignment horizontal="center" vertical="center" wrapText="1"/>
    </xf>
    <xf numFmtId="0" fontId="5" fillId="0" borderId="1" applyAlignment="1" pivotButton="0" quotePrefix="0" xfId="0">
      <alignment horizontal="left" vertical="center" wrapText="1" indent="1"/>
    </xf>
    <xf numFmtId="0" fontId="5" fillId="0" borderId="1" applyAlignment="1" pivotButton="0" quotePrefix="0" xfId="0">
      <alignment horizontal="center" vertical="center" wrapText="1"/>
    </xf>
    <xf numFmtId="3" fontId="6" fillId="0" borderId="1" applyAlignment="1" pivotButton="0" quotePrefix="0" xfId="0">
      <alignment horizontal="center" vertical="center" wrapText="1"/>
    </xf>
    <xf numFmtId="3" fontId="6" fillId="4" borderId="1" applyAlignment="1" pivotButton="0" quotePrefix="0" xfId="0">
      <alignment horizontal="center" vertical="center" wrapText="1"/>
    </xf>
    <xf numFmtId="165" fontId="5" fillId="6" borderId="1" applyAlignment="1" pivotButton="0" quotePrefix="0" xfId="0">
      <alignment horizontal="center" vertical="center" wrapText="1"/>
    </xf>
    <xf numFmtId="2" fontId="5" fillId="6" borderId="1" applyAlignment="1" pivotButton="0" quotePrefix="0" xfId="0">
      <alignment horizontal="center" vertical="center" wrapText="1"/>
    </xf>
    <xf numFmtId="164" fontId="5" fillId="6" borderId="1" applyAlignment="1" pivotButton="0" quotePrefix="0" xfId="0">
      <alignment horizontal="center" vertical="center" wrapText="1"/>
    </xf>
    <xf numFmtId="165" fontId="6" fillId="4" borderId="1" applyAlignment="1" pivotButton="0" quotePrefix="0" xfId="0">
      <alignment horizontal="center" vertical="center" wrapText="1"/>
    </xf>
    <xf numFmtId="165" fontId="5" fillId="4" borderId="1" applyAlignment="1" pivotButton="0" quotePrefix="0" xfId="0">
      <alignment horizontal="center" vertical="center" wrapText="1"/>
    </xf>
    <xf numFmtId="0" fontId="6" fillId="0" borderId="1" applyAlignment="1" pivotButton="0" quotePrefix="0" xfId="0">
      <alignment horizontal="left" vertical="top" wrapText="1" indent="1"/>
    </xf>
    <xf numFmtId="0" fontId="5" fillId="7" borderId="1" applyAlignment="1" pivotButton="0" quotePrefix="0" xfId="0">
      <alignment horizontal="center" vertical="center" wrapText="1"/>
    </xf>
    <xf numFmtId="0" fontId="6" fillId="4" borderId="1" applyAlignment="1" pivotButton="0" quotePrefix="0" xfId="0">
      <alignment horizontal="left" vertical="top" wrapText="1" indent="1"/>
    </xf>
    <xf numFmtId="0" fontId="5" fillId="8" borderId="1" applyAlignment="1" pivotButton="0" quotePrefix="0" xfId="0">
      <alignment horizontal="center"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54"/>
  <sheetViews>
    <sheetView showGridLines="0" workbookViewId="0">
      <pane ySplit="6" topLeftCell="A7" activePane="bottomLeft" state="frozen"/>
      <selection pane="bottomLeft" activeCell="A1" sqref="A1"/>
    </sheetView>
  </sheetViews>
  <sheetFormatPr baseColWidth="8" defaultRowHeight="15"/>
  <cols>
    <col width="26" customWidth="1" min="1" max="1"/>
    <col width="30" customWidth="1" min="2" max="2"/>
    <col width="26" customWidth="1" min="3" max="3"/>
    <col width="30" customWidth="1" min="4" max="4"/>
    <col width="14" customWidth="1" min="5" max="5"/>
    <col width="14" customWidth="1" min="6" max="6"/>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FICHA RESUMEN — BLOQUE PRELIMINAR DE INTERVENCIÓN 2</t>
        </is>
      </c>
    </row>
    <row r="6" ht="24" customHeight="1">
      <c r="A6" s="4" t="inlineStr">
        <is>
          <t>Diagnóstico Territorial — Plantilla DT Campo Check Validada V5 | Sistema de referencia: UTM WGS 84 Zona 17S (EPSG:32717)</t>
        </is>
      </c>
    </row>
    <row r="8" ht="18" customHeight="1">
      <c r="A8" s="5" t="inlineStr">
        <is>
          <t>1. IDENTIFICACIÓN Y LOCALIZACIÓN</t>
        </is>
      </c>
    </row>
    <row r="9">
      <c r="A9" s="6" t="inlineStr">
        <is>
          <t>Código del bloque</t>
        </is>
      </c>
      <c r="B9" s="7" t="inlineStr">
        <is>
          <t>2</t>
        </is>
      </c>
      <c r="C9" s="6" t="inlineStr">
        <is>
          <t>Microcuenca (catálogo)</t>
        </is>
      </c>
      <c r="D9" s="7" t="inlineStr">
        <is>
          <t>C1096-Q9558</t>
        </is>
      </c>
      <c r="E9" s="8" t="n"/>
      <c r="F9" s="8" t="n"/>
    </row>
    <row r="10">
      <c r="A10" s="6" t="inlineStr">
        <is>
          <t>Zona de planificación</t>
        </is>
      </c>
      <c r="B10" s="7" t="inlineStr">
        <is>
          <t>Z01</t>
        </is>
      </c>
      <c r="C10" s="6" t="inlineStr">
        <is>
          <t>Microcuenca declarada en ficha DT</t>
        </is>
      </c>
      <c r="D10" s="7" t="inlineStr">
        <is>
          <t>C1096-Q9558</t>
        </is>
      </c>
      <c r="E10" s="8" t="n"/>
      <c r="F10" s="8" t="n"/>
    </row>
    <row r="11">
      <c r="A11" s="6" t="inlineStr">
        <is>
          <t>Departamento</t>
        </is>
      </c>
      <c r="B11" s="7" t="inlineStr">
        <is>
          <t>Piura</t>
        </is>
      </c>
      <c r="C11" s="6" t="inlineStr">
        <is>
          <t>Provincia</t>
        </is>
      </c>
      <c r="D11" s="7" t="inlineStr">
        <is>
          <t>Morropon</t>
        </is>
      </c>
      <c r="E11" s="8" t="n"/>
      <c r="F11" s="8" t="n"/>
    </row>
    <row r="12">
      <c r="A12" s="6" t="inlineStr">
        <is>
          <t>Distrito</t>
        </is>
      </c>
      <c r="B12" s="7" t="inlineStr">
        <is>
          <t>Chulucanas</t>
        </is>
      </c>
      <c r="C12" s="6" t="inlineStr">
        <is>
          <t>Capital distrital</t>
        </is>
      </c>
      <c r="D12" s="7" t="inlineStr">
        <is>
          <t>Chulucanas</t>
        </is>
      </c>
      <c r="E12" s="8" t="n"/>
      <c r="F12" s="8" t="n"/>
    </row>
    <row r="13">
      <c r="A13" s="6" t="inlineStr">
        <is>
          <t>Centro poblado asociado</t>
        </is>
      </c>
      <c r="B13" s="7" t="inlineStr">
        <is>
          <t>Balcones de Talandracas (691 hab.; 602137 E / 9437858 N)</t>
        </is>
      </c>
      <c r="C13" s="6" t="inlineStr">
        <is>
          <t>Comunidad campesina</t>
        </is>
      </c>
      <c r="D13" s="7" t="inlineStr">
        <is>
          <t>Por verificar</t>
        </is>
      </c>
      <c r="E13" s="8" t="n"/>
      <c r="F13" s="8" t="n"/>
    </row>
    <row r="14">
      <c r="A14" s="6" t="inlineStr">
        <is>
          <t>Superficie de catálogo (V5/V6), ha</t>
        </is>
      </c>
      <c r="B14" s="7" t="n">
        <v>330.6</v>
      </c>
      <c r="C14" s="6" t="inlineStr">
        <is>
          <t>Fuente de superficie</t>
        </is>
      </c>
      <c r="D14" s="7" t="inlineStr">
        <is>
          <t>Catálogo maestro Bloques V5/V6</t>
        </is>
      </c>
      <c r="E14" s="8" t="n"/>
      <c r="F14" s="8" t="n"/>
    </row>
    <row r="15">
      <c r="A15" s="6" t="inlineStr">
        <is>
          <t>Centroide UTM ESTE (m)</t>
        </is>
      </c>
      <c r="B15" s="7" t="n">
        <v>603653</v>
      </c>
      <c r="C15" s="6" t="inlineStr">
        <is>
          <t>Centroide UTM NORTE (m)</t>
        </is>
      </c>
      <c r="D15" s="7" t="n">
        <v>9439351</v>
      </c>
      <c r="E15" s="8" t="n"/>
      <c r="F15" s="8" t="n"/>
    </row>
    <row r="16">
      <c r="A16" s="6" t="inlineStr">
        <is>
          <t>Sistema de coordenadas</t>
        </is>
      </c>
      <c r="B16" s="7" t="inlineStr">
        <is>
          <t>UTM WGS 84 Zona 17S (EPSG:32717)</t>
        </is>
      </c>
      <c r="C16" s="6" t="inlineStr">
        <is>
          <t>Tipo de intervención</t>
        </is>
      </c>
      <c r="D16" s="7" t="inlineStr">
        <is>
          <t>Restauración</t>
        </is>
      </c>
      <c r="E16" s="8" t="n"/>
      <c r="F16" s="8" t="n"/>
    </row>
    <row r="18" ht="18" customHeight="1">
      <c r="A18" s="5" t="inlineStr">
        <is>
          <t>2. PARÁMETROS FÍSICOS (ESTADÍSTICA ZONAL SOBRE MDE)</t>
        </is>
      </c>
    </row>
    <row r="19">
      <c r="A19" s="6" t="inlineStr">
        <is>
          <t>Altitud mínima (msnm)</t>
        </is>
      </c>
      <c r="B19" s="7" t="n">
        <v>142</v>
      </c>
      <c r="C19" s="6" t="inlineStr">
        <is>
          <t>Altitud máxima (msnm)</t>
        </is>
      </c>
      <c r="D19" s="7" t="n">
        <v>406</v>
      </c>
      <c r="E19" s="8" t="n"/>
      <c r="F19" s="8" t="n"/>
    </row>
    <row r="20">
      <c r="A20" s="6" t="inlineStr">
        <is>
          <t>Amplitud altitudinal (m)</t>
        </is>
      </c>
      <c r="B20" s="7" t="n">
        <v>264</v>
      </c>
      <c r="C20" s="6" t="inlineStr">
        <is>
          <t>Piso altitudinal dominante</t>
        </is>
      </c>
      <c r="D20" s="7" t="inlineStr">
        <is>
          <t>&lt;1000 m (Yunga)</t>
        </is>
      </c>
      <c r="E20" s="8" t="n"/>
      <c r="F20" s="8" t="n"/>
    </row>
    <row r="21">
      <c r="A21" s="6" t="inlineStr">
        <is>
          <t>Pendiente promedio (%)</t>
        </is>
      </c>
      <c r="B21" s="7" t="n">
        <v>13.27</v>
      </c>
      <c r="C21" s="6" t="inlineStr">
        <is>
          <t>Pendiente promedio (grados)</t>
        </is>
      </c>
      <c r="D21" s="7" t="n">
        <v>7.6</v>
      </c>
      <c r="E21" s="8" t="n"/>
      <c r="F21" s="8" t="n"/>
    </row>
    <row r="22">
      <c r="A22" s="6" t="inlineStr">
        <is>
          <t>Clase de pendiente equivalente</t>
        </is>
      </c>
      <c r="B22" s="7" t="inlineStr">
        <is>
          <t>8-15% (Mod. inclinado)</t>
        </is>
      </c>
      <c r="C22" s="6" t="inlineStr">
        <is>
          <t>Rango de pendiente declarado en campo</t>
        </is>
      </c>
      <c r="D22" s="7" t="inlineStr">
        <is>
          <t>15-25% (Fuert. inclinado)</t>
        </is>
      </c>
      <c r="E22" s="8" t="n"/>
      <c r="F22" s="8" t="n"/>
    </row>
    <row r="23">
      <c r="A23" s="6" t="inlineStr">
        <is>
          <t>Forma predominante del terreno</t>
        </is>
      </c>
      <c r="B23" s="7" t="inlineStr">
        <is>
          <t>Montañoso</t>
        </is>
      </c>
      <c r="C23" s="6" t="inlineStr">
        <is>
          <t>Posición fisiográfica</t>
        </is>
      </c>
      <c r="D23" s="7" t="inlineStr">
        <is>
          <t>Ladera baja</t>
        </is>
      </c>
      <c r="E23" s="8" t="n"/>
      <c r="F23" s="8" t="n"/>
    </row>
    <row r="24">
      <c r="A24" s="6" t="inlineStr">
        <is>
          <t>Exposición / orientación</t>
        </is>
      </c>
      <c r="B24" s="7" t="inlineStr">
        <is>
          <t>Suroeste</t>
        </is>
      </c>
      <c r="C24" s="6" t="inlineStr">
        <is>
          <t>Afloramientos rocosos</t>
        </is>
      </c>
      <c r="D24" s="7" t="inlineStr">
        <is>
          <t>No</t>
        </is>
      </c>
      <c r="E24" s="8" t="n"/>
      <c r="F24" s="8" t="n"/>
    </row>
    <row r="25">
      <c r="A25" s="6" t="inlineStr">
        <is>
          <t>Escarpes activos</t>
        </is>
      </c>
      <c r="B25" s="7" t="inlineStr">
        <is>
          <t>No</t>
        </is>
      </c>
      <c r="C25" s="6" t="inlineStr">
        <is>
          <t>Remociones en masa activas</t>
        </is>
      </c>
      <c r="D25" s="7" t="inlineStr">
        <is>
          <t>No</t>
        </is>
      </c>
      <c r="E25" s="8" t="n"/>
      <c r="F25" s="8" t="n"/>
    </row>
    <row r="27" ht="18" customHeight="1">
      <c r="A27" s="5" t="inlineStr">
        <is>
          <t>3. ÍNDICES DE VEGETACIÓN (SENTINEL-2)</t>
        </is>
      </c>
    </row>
    <row r="28">
      <c r="A28" s="6" t="inlineStr">
        <is>
          <t>MSAVI 2024 — media del bloque</t>
        </is>
      </c>
      <c r="B28" s="7" t="n">
        <v>0.3586</v>
      </c>
      <c r="C28" s="6" t="inlineStr">
        <is>
          <t>MSAVI 2024 — clase de la media</t>
        </is>
      </c>
      <c r="D28" s="7" t="inlineStr">
        <is>
          <t>0.2650 - 0.3813 (Vigor muy bajo)</t>
        </is>
      </c>
      <c r="E28" s="8" t="n"/>
      <c r="F28" s="8" t="n"/>
    </row>
    <row r="29">
      <c r="A29" s="6" t="inlineStr">
        <is>
          <t>Condición frente al umbral 0.4976</t>
        </is>
      </c>
      <c r="B29" s="7" t="inlineStr">
        <is>
          <t>BAJO umbral 0.4976</t>
        </is>
      </c>
      <c r="C29" s="6" t="inlineStr">
        <is>
          <t>NDVI mediana 2025 — clase modal</t>
        </is>
      </c>
      <c r="D29" s="7" t="inlineStr">
        <is>
          <t>Vegetación ligera (69.48 %)</t>
        </is>
      </c>
      <c r="E29" s="8" t="n"/>
      <c r="F29" s="8" t="n"/>
    </row>
    <row r="30">
      <c r="A30" s="6" t="inlineStr">
        <is>
          <t>Superficie clasificada NDVI 2025 (ha)</t>
        </is>
      </c>
      <c r="B30" s="7" t="n">
        <v>330.776</v>
      </c>
      <c r="C30" s="6" t="inlineStr">
        <is>
          <t>Desviación frente al catálogo (%)</t>
        </is>
      </c>
      <c r="D30" s="7" t="n">
        <v>0.05</v>
      </c>
      <c r="E30" s="8" t="n"/>
      <c r="F30" s="8" t="n"/>
    </row>
    <row r="32" ht="18" customHeight="1">
      <c r="A32" s="5" t="inlineStr">
        <is>
          <t>4. ECOSISTEMA Y ESTADO DE CONSERVACIÓN</t>
        </is>
      </c>
    </row>
    <row r="33">
      <c r="A33" s="6" t="inlineStr">
        <is>
          <t>Tipo de ecosistema (UP)</t>
        </is>
      </c>
      <c r="B33" s="7" t="inlineStr">
        <is>
          <t>Bosque Estacionalmente Seco Colina/Montaña (Bes-cm)</t>
        </is>
      </c>
      <c r="C33" s="6" t="inlineStr">
        <is>
          <t>Superficie de ecosistema (ha)</t>
        </is>
      </c>
      <c r="D33" s="7" t="inlineStr">
        <is>
          <t>330.599 ha (100% del bloque)</t>
        </is>
      </c>
      <c r="E33" s="8" t="n"/>
      <c r="F33" s="8" t="n"/>
    </row>
    <row r="34">
      <c r="A34" s="6" t="inlineStr">
        <is>
          <t>Estado de conservación</t>
        </is>
      </c>
      <c r="B34" s="7" t="inlineStr">
        <is>
          <t>Medianamente alterado</t>
        </is>
      </c>
      <c r="C34" s="6" t="inlineStr">
        <is>
          <t>Uso actual dominante del suelo</t>
        </is>
      </c>
      <c r="D34" s="7" t="inlineStr">
        <is>
          <t>Pastoreo extensivo</t>
        </is>
      </c>
      <c r="E34" s="8" t="n"/>
      <c r="F34" s="8" t="n"/>
    </row>
    <row r="35">
      <c r="A35" s="6" t="inlineStr">
        <is>
          <t>Tipo de cobertura dominante</t>
        </is>
      </c>
      <c r="B35" s="7" t="inlineStr">
        <is>
          <t>Bosque ralo (30-70%)</t>
        </is>
      </c>
      <c r="C35" s="6" t="inlineStr">
        <is>
          <t>Cobertura vegetal total — campo (%)</t>
        </is>
      </c>
      <c r="D35" s="7" t="n">
        <v>70</v>
      </c>
      <c r="E35" s="8" t="n"/>
      <c r="F35" s="8" t="n"/>
    </row>
    <row r="36">
      <c r="A36" s="6" t="inlineStr">
        <is>
          <t>Suelo desnudo — campo (%)</t>
        </is>
      </c>
      <c r="B36" s="7" t="n">
        <v>25</v>
      </c>
      <c r="C36" s="6" t="inlineStr">
        <is>
          <t>Regeneración natural</t>
        </is>
      </c>
      <c r="D36" s="7" t="inlineStr">
        <is>
          <t>Regular (10-50 pl./100m²)</t>
        </is>
      </c>
      <c r="E36" s="8" t="n"/>
      <c r="F36" s="8" t="n"/>
    </row>
    <row r="37">
      <c r="A37" s="6" t="inlineStr">
        <is>
          <t>Nivel general de erosión</t>
        </is>
      </c>
      <c r="B37" s="7" t="inlineStr">
        <is>
          <t>Ligera (laminar)</t>
        </is>
      </c>
      <c r="C37" s="6" t="inlineStr">
        <is>
          <t>N.° de cárcavas registradas</t>
        </is>
      </c>
      <c r="D37" s="7" t="n">
        <v>0</v>
      </c>
      <c r="E37" s="8" t="n"/>
      <c r="F37" s="8" t="n"/>
    </row>
    <row r="38">
      <c r="A38" s="6" t="inlineStr">
        <is>
          <t>Elenco florístico (n.° de taxones)</t>
        </is>
      </c>
      <c r="B38" s="7" t="n">
        <v>10</v>
      </c>
      <c r="C38" s="6" t="inlineStr">
        <is>
          <t>Estado sanitario</t>
        </is>
      </c>
      <c r="D38" s="7" t="inlineStr">
        <is>
          <t>Sano</t>
        </is>
      </c>
      <c r="E38" s="8" t="n"/>
      <c r="F38" s="8" t="n"/>
    </row>
    <row r="40" ht="18" customHeight="1">
      <c r="A40" s="5" t="inlineStr">
        <is>
          <t>5. RESPONSABLE Y MODALIDAD DE LA EVALUACIÓN</t>
        </is>
      </c>
    </row>
    <row r="41">
      <c r="A41" s="6" t="inlineStr">
        <is>
          <t>Responsable de la evaluación</t>
        </is>
      </c>
      <c r="B41" s="7" t="inlineStr">
        <is>
          <t>Ing. Héctor S. Cahuas Miller (ANIN/DIME-SESDI)</t>
        </is>
      </c>
      <c r="C41" s="6" t="inlineStr">
        <is>
          <t>Fecha de evaluación</t>
        </is>
      </c>
      <c r="D41" s="7" t="inlineStr">
        <is>
          <t>2026-07-02</t>
        </is>
      </c>
      <c r="E41" s="8" t="n"/>
      <c r="F41" s="8" t="n"/>
    </row>
    <row r="42">
      <c r="A42" s="6" t="inlineStr">
        <is>
          <t>Hora de registro</t>
        </is>
      </c>
      <c r="B42" s="7" t="inlineStr">
        <is>
          <t>15:13 - 15:40 h</t>
        </is>
      </c>
      <c r="C42" s="6" t="inlineStr">
        <is>
          <t>Correlativo de ficha</t>
        </is>
      </c>
      <c r="D42" s="7" t="inlineStr">
        <is>
          <t>F-DT-01-B2</t>
        </is>
      </c>
      <c r="E42" s="8" t="n"/>
      <c r="F42" s="8" t="n"/>
    </row>
    <row r="43">
      <c r="A43" s="6" t="inlineStr">
        <is>
          <t>Entidad</t>
        </is>
      </c>
      <c r="B43" s="7" t="inlineStr">
        <is>
          <t>ANIN - DIME - SESDI</t>
        </is>
      </c>
      <c r="C43" s="6" t="inlineStr">
        <is>
          <t>Fase del estudio</t>
        </is>
      </c>
      <c r="D43" s="7" t="inlineStr">
        <is>
          <t>Preinversión (Perfil) · Invierte.pe</t>
        </is>
      </c>
      <c r="E43" s="8" t="n"/>
      <c r="F43" s="8" t="n"/>
    </row>
    <row r="44">
      <c r="A44" s="6" t="inlineStr">
        <is>
          <t>Instrumento aplicado</t>
        </is>
      </c>
      <c r="B44" s="7" t="inlineStr">
        <is>
          <t>Fichas F-DT-01 a F-DT-05 (Plantilla V5)</t>
        </is>
      </c>
      <c r="C44" s="6" t="inlineStr">
        <is>
          <t>Parcela de muestreo</t>
        </is>
      </c>
      <c r="D44" s="7" t="inlineStr">
        <is>
          <t>Sector sur (recorrido de reconocimiento, sin parcela permanente)</t>
        </is>
      </c>
      <c r="E44" s="8" t="n"/>
      <c r="F44" s="8" t="n"/>
    </row>
    <row r="45">
      <c r="A45" s="6" t="inlineStr">
        <is>
          <t>Estaciones fotográficas georreferenciadas</t>
        </is>
      </c>
      <c r="B45" s="7" t="inlineStr">
        <is>
          <t>Sin registro en la ficha DT</t>
        </is>
      </c>
      <c r="C45" s="6" t="inlineStr">
        <is>
          <t>Modalidad de acceso</t>
        </is>
      </c>
      <c r="D45" s="7" t="inlineStr">
        <is>
          <t>Vehicular + caminata &lt;30 min</t>
        </is>
      </c>
      <c r="E45" s="8" t="n"/>
      <c r="F45" s="8" t="n"/>
    </row>
    <row r="47" ht="18" customHeight="1">
      <c r="A47" s="5" t="inlineStr">
        <is>
          <t>6. SÍNTESIS PARA LA GESTIÓN DEL RIESGO EN CONTEXTO DE CAMBIO CLIMÁTICO</t>
        </is>
      </c>
    </row>
    <row r="48">
      <c r="A48" s="6" t="inlineStr">
        <is>
          <t>Causa subyacente principal</t>
        </is>
      </c>
      <c r="B48" s="7" t="inlineStr">
        <is>
          <t>Presión socioeconómica de subsistencia y avance de la frontera predial/vial en el piedemonte inmediato a los CC.PP.</t>
        </is>
      </c>
      <c r="C48" s="6" t="inlineStr">
        <is>
          <t>Velocidad de degradación</t>
        </is>
      </c>
      <c r="D48" s="7" t="inlineStr">
        <is>
          <t>Moderada</t>
        </is>
      </c>
      <c r="E48" s="8" t="n"/>
      <c r="F48" s="8" t="n"/>
    </row>
    <row r="49">
      <c r="A49" s="6" t="inlineStr">
        <is>
          <t>Reversibilidad técnica</t>
        </is>
      </c>
      <c r="B49" s="7" t="inlineStr">
        <is>
          <t>Parcialmente reversible</t>
        </is>
      </c>
      <c r="C49" s="6" t="inlineStr">
        <is>
          <t>Urgencia de intervención</t>
        </is>
      </c>
      <c r="D49" s="7" t="inlineStr">
        <is>
          <t>Media</t>
        </is>
      </c>
      <c r="E49" s="8" t="n"/>
      <c r="F49" s="8" t="n"/>
    </row>
    <row r="50">
      <c r="A50" s="6" t="inlineStr">
        <is>
          <t>Urgencia de control de erosión</t>
        </is>
      </c>
      <c r="B50" s="7" t="inlineStr">
        <is>
          <t>Media</t>
        </is>
      </c>
      <c r="C50" s="6" t="inlineStr">
        <is>
          <t>Zona de recarga hídrica</t>
        </is>
      </c>
      <c r="D50" s="7" t="inlineStr">
        <is>
          <t>Sí</t>
        </is>
      </c>
      <c r="E50" s="8" t="n"/>
      <c r="F50" s="8" t="n"/>
    </row>
    <row r="51">
      <c r="A51" s="6" t="inlineStr">
        <is>
          <t>Peligro integrado preliminar (MCA-AHP)</t>
        </is>
      </c>
      <c r="B51" s="7" t="inlineStr">
        <is>
          <t>No disponible en los insumos; debe tomarse del modelamiento de mesolocalización</t>
        </is>
      </c>
      <c r="C51" s="6" t="inlineStr">
        <is>
          <t>Prioridad de intervención</t>
        </is>
      </c>
      <c r="D51" s="7" t="inlineStr">
        <is>
          <t>Por definir en mesolocalización</t>
        </is>
      </c>
      <c r="E51" s="8" t="n"/>
      <c r="F51" s="8" t="n"/>
    </row>
    <row r="52">
      <c r="A52" s="6" t="inlineStr">
        <is>
          <t>Estado de verificación de campo</t>
        </is>
      </c>
      <c r="B52" s="7" t="inlineStr">
        <is>
          <t>VERIFICADO</t>
        </is>
      </c>
      <c r="C52" s="6" t="inlineStr">
        <is>
          <t>Marco del indicador de brecha</t>
        </is>
      </c>
      <c r="D52" s="7" t="inlineStr">
        <is>
          <t>R.M. N.° 00213-2024-MINAM</t>
        </is>
      </c>
      <c r="E52" s="8" t="n"/>
      <c r="F52" s="8" t="n"/>
    </row>
    <row r="54" ht="72" customHeight="1">
      <c r="A54" s="9" t="inlineStr">
        <is>
          <t>DECLARACIÓN DE INTEGRIDAD DE DATOS. Ningún valor ausente ha sido estimado o inferido sin declararlo. Los campos que no pudieron sustentarse en observación de campo, estadística zonal o catálogo oficial se consignan como «Por determinar» o «Por verificar». La altitud y la pendiente proceden de estadística zonal sobre el modelo digital de elevación; el MSAVI 2024 y el NDVI mediana 2025 proceden de compuestos Sentinel-2. Las discrepancias detectadas entre campo, gabinete y catálogo se listan en la hoja «Control de consistencia».</t>
        </is>
      </c>
    </row>
  </sheetData>
  <mergeCells count="13">
    <mergeCell ref="A2:F2"/>
    <mergeCell ref="A54:F54"/>
    <mergeCell ref="A47:F47"/>
    <mergeCell ref="A1:F1"/>
    <mergeCell ref="A5:F5"/>
    <mergeCell ref="A32:F32"/>
    <mergeCell ref="A27:F27"/>
    <mergeCell ref="A8:F8"/>
    <mergeCell ref="A6:F6"/>
    <mergeCell ref="A40:F40"/>
    <mergeCell ref="A18:F18"/>
    <mergeCell ref="A4:F4"/>
    <mergeCell ref="A3:F3"/>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E28"/>
  <sheetViews>
    <sheetView showGridLines="0" workbookViewId="0">
      <pane ySplit="6" topLeftCell="A7" activePane="bottomLeft" state="frozen"/>
      <selection pane="bottomLeft" activeCell="A1" sqref="A1"/>
    </sheetView>
  </sheetViews>
  <sheetFormatPr baseColWidth="8" defaultRowHeight="15"/>
  <cols>
    <col width="24" customWidth="1" min="1" max="1"/>
    <col width="16" customWidth="1" min="2" max="2"/>
    <col width="20" customWidth="1" min="3" max="3"/>
    <col width="30" customWidth="1" min="4" max="4"/>
    <col width="28" customWidth="1" min="5" max="5"/>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DISTRIBUCIÓN AREAL DE CLASES ESPECTRALES — BLOQUE 2</t>
        </is>
      </c>
    </row>
    <row r="6" ht="24" customHeight="1">
      <c r="A6" s="4" t="inlineStr">
        <is>
          <t>MSAVI 2024 y NDVI mediana 2025 (Sentinel-2, mosaico Piura) · Umbral de brecha del proyecto: MSAVI = 0.4976</t>
        </is>
      </c>
    </row>
    <row r="8" ht="18" customHeight="1">
      <c r="A8" s="5" t="inlineStr">
        <is>
          <t>A. MSAVI 2024 — CLASIFICACIÓN POR UMBRALES DEL PROYECTO</t>
        </is>
      </c>
    </row>
    <row r="9" ht="28" customHeight="1">
      <c r="A9" s="10" t="inlineStr">
        <is>
          <t>Clase MSAVI</t>
        </is>
      </c>
      <c r="B9" s="10" t="inlineStr">
        <is>
          <t>Superficie (ha)</t>
        </is>
      </c>
      <c r="C9" s="10" t="inlineStr">
        <is>
          <t>% del área clasificada</t>
        </is>
      </c>
      <c r="D9" s="10" t="inlineStr">
        <is>
          <t>Interpretación</t>
        </is>
      </c>
      <c r="E9" s="10" t="inlineStr">
        <is>
          <t>Condición frente al umbral 0.4976</t>
        </is>
      </c>
    </row>
    <row r="10">
      <c r="A10" s="7" t="inlineStr">
        <is>
          <t>&gt; 0.6139</t>
        </is>
      </c>
      <c r="B10" s="11" t="inlineStr">
        <is>
          <t>Por determinar</t>
        </is>
      </c>
      <c r="C10" s="11" t="inlineStr">
        <is>
          <t>Por determinar</t>
        </is>
      </c>
      <c r="D10" s="11" t="inlineStr">
        <is>
          <t>Vigor alto</t>
        </is>
      </c>
      <c r="E10" s="11" t="inlineStr">
        <is>
          <t>Sobre umbral</t>
        </is>
      </c>
    </row>
    <row r="11">
      <c r="A11" s="12" t="inlineStr">
        <is>
          <t>0.4976 - 0.6139</t>
        </is>
      </c>
      <c r="B11" s="13" t="inlineStr">
        <is>
          <t>Por determinar</t>
        </is>
      </c>
      <c r="C11" s="13" t="inlineStr">
        <is>
          <t>Por determinar</t>
        </is>
      </c>
      <c r="D11" s="13" t="inlineStr">
        <is>
          <t>Vigor moderado</t>
        </is>
      </c>
      <c r="E11" s="13" t="inlineStr">
        <is>
          <t>Sobre umbral</t>
        </is>
      </c>
    </row>
    <row r="12">
      <c r="A12" s="7" t="inlineStr">
        <is>
          <t>0.3813 - 0.4976</t>
        </is>
      </c>
      <c r="B12" s="11" t="inlineStr">
        <is>
          <t>Por determinar</t>
        </is>
      </c>
      <c r="C12" s="11" t="inlineStr">
        <is>
          <t>Por determinar</t>
        </is>
      </c>
      <c r="D12" s="11" t="inlineStr">
        <is>
          <t>Vigor bajo</t>
        </is>
      </c>
      <c r="E12" s="11" t="inlineStr">
        <is>
          <t>BAJO umbral 0.4976</t>
        </is>
      </c>
    </row>
    <row r="13">
      <c r="A13" s="14" t="inlineStr">
        <is>
          <t>0.2650 - 0.3813</t>
        </is>
      </c>
      <c r="B13" s="15" t="inlineStr">
        <is>
          <t>Por determinar</t>
        </is>
      </c>
      <c r="C13" s="15" t="inlineStr">
        <is>
          <t>Por determinar</t>
        </is>
      </c>
      <c r="D13" s="15" t="inlineStr">
        <is>
          <t>Vigor muy bajo</t>
        </is>
      </c>
      <c r="E13" s="15" t="inlineStr">
        <is>
          <t>BAJO umbral 0.4976</t>
        </is>
      </c>
    </row>
    <row r="14">
      <c r="A14" s="7" t="inlineStr">
        <is>
          <t>&lt;= 0.2650</t>
        </is>
      </c>
      <c r="B14" s="11" t="inlineStr">
        <is>
          <t>Por determinar</t>
        </is>
      </c>
      <c r="C14" s="11" t="inlineStr">
        <is>
          <t>Por determinar</t>
        </is>
      </c>
      <c r="D14" s="11" t="inlineStr">
        <is>
          <t>Suelo desnudo / no vegetal</t>
        </is>
      </c>
      <c r="E14" s="11" t="inlineStr">
        <is>
          <t>BAJO umbral 0.4976</t>
        </is>
      </c>
    </row>
    <row r="15">
      <c r="A15" s="16" t="inlineStr">
        <is>
          <t>MSAVI 2024 — MEDIA DEL BLOQUE</t>
        </is>
      </c>
      <c r="B15" s="17" t="n">
        <v>0.358601</v>
      </c>
      <c r="C15" s="17" t="inlineStr">
        <is>
          <t>—</t>
        </is>
      </c>
      <c r="D15" s="17" t="inlineStr">
        <is>
          <t>Vigor muy bajo · clase 0.2650 - 0.3813</t>
        </is>
      </c>
      <c r="E15" s="17" t="inlineStr">
        <is>
          <t>BAJO umbral 0.4976</t>
        </is>
      </c>
    </row>
    <row r="17" ht="72" customHeight="1">
      <c r="A17" s="9" t="inlineStr">
        <is>
          <t>NOTA METODOLÓGICA. La media del MSAVI 2024 del bloque (0.358601) procede del catálogo maestro de bloques V5/V6 y es dato oficial. La DISTRIBUCIÓN AREAL por clase de MSAVI no está disponible como estadística zonal en los insumos de este entregable: se consigna «Por determinar» y NO se estima, conforme a la declaración de integridad de datos del proyecto. La fila resaltada indica la clase en la que cae la media del bloque. Para el dimensionamiento de metas físicas debe ejecutarse estadística zonal directa sobre el ráster MSAVI 2024 recortado al polígono.</t>
        </is>
      </c>
    </row>
    <row r="19" ht="18" customHeight="1">
      <c r="A19" s="5" t="inlineStr">
        <is>
          <t>B. NDVI MEDIANA 2025 — DISTRIBUCIÓN AREAL (ESTADÍSTICA ZONAL)</t>
        </is>
      </c>
    </row>
    <row r="20" ht="28" customHeight="1">
      <c r="A20" s="10" t="inlineStr">
        <is>
          <t>Clase NDVI</t>
        </is>
      </c>
      <c r="B20" s="10" t="inlineStr">
        <is>
          <t>Superficie (ha)</t>
        </is>
      </c>
      <c r="C20" s="10" t="inlineStr">
        <is>
          <t>% del área clasificada</t>
        </is>
      </c>
      <c r="D20" s="10" t="inlineStr">
        <is>
          <t>Interpretación</t>
        </is>
      </c>
      <c r="E20" s="10" t="inlineStr">
        <is>
          <t>Observación</t>
        </is>
      </c>
    </row>
    <row r="21">
      <c r="A21" s="7" t="inlineStr">
        <is>
          <t>Vegetación alta</t>
        </is>
      </c>
      <c r="B21" s="18" t="n">
        <v>1.0659</v>
      </c>
      <c r="C21" s="19" t="n">
        <v>0.32</v>
      </c>
      <c r="D21" s="11" t="inlineStr">
        <is>
          <t>Dosel continuo, matorral denso o mosaico agroforestal</t>
        </is>
      </c>
      <c r="E21" s="11" t="inlineStr"/>
    </row>
    <row r="22">
      <c r="A22" s="12" t="inlineStr">
        <is>
          <t>Vegetación mediana</t>
        </is>
      </c>
      <c r="B22" s="20" t="n">
        <v>95.17910000000001</v>
      </c>
      <c r="C22" s="21" t="n">
        <v>28.77</v>
      </c>
      <c r="D22" s="13" t="inlineStr">
        <is>
          <t>Pastizal cultivado, matorral ralo, parcelas agrícolas</t>
        </is>
      </c>
      <c r="E22" s="13" t="inlineStr"/>
    </row>
    <row r="23">
      <c r="A23" s="7" t="inlineStr">
        <is>
          <t>Vegetación ligera</t>
        </is>
      </c>
      <c r="B23" s="18" t="n">
        <v>229.8077</v>
      </c>
      <c r="C23" s="19" t="n">
        <v>69.48</v>
      </c>
      <c r="D23" s="11" t="inlineStr">
        <is>
          <t>Cobertura discontinua, suelo parcialmente expuesto</t>
        </is>
      </c>
      <c r="E23" s="11" t="inlineStr"/>
    </row>
    <row r="24">
      <c r="A24" s="12" t="inlineStr">
        <is>
          <t>Tierra desnuda</t>
        </is>
      </c>
      <c r="B24" s="20" t="n">
        <v>4.7229</v>
      </c>
      <c r="C24" s="21" t="n">
        <v>1.43</v>
      </c>
      <c r="D24" s="13" t="inlineStr">
        <is>
          <t>Suelo desnudo, afloramientos, plataformas y taludes</t>
        </is>
      </c>
      <c r="E24" s="13" t="inlineStr"/>
    </row>
    <row r="25">
      <c r="A25" s="16" t="inlineStr">
        <is>
          <t>TOTAL CLASIFICADO</t>
        </is>
      </c>
      <c r="B25" s="22">
        <f>SUM(B21:B24)</f>
        <v/>
      </c>
      <c r="C25" s="23">
        <f>SUM(C21:C24)</f>
        <v/>
      </c>
      <c r="D25" s="17" t="inlineStr"/>
      <c r="E25" s="17" t="inlineStr"/>
    </row>
    <row r="26">
      <c r="A26" s="24" t="inlineStr">
        <is>
          <t>Superficie de catálogo (V5/V6)</t>
        </is>
      </c>
      <c r="B26" s="25" t="n">
        <v>330.6</v>
      </c>
      <c r="C26" s="25" t="inlineStr">
        <is>
          <t>—</t>
        </is>
      </c>
      <c r="D26" s="25" t="inlineStr">
        <is>
          <t>Desviación planimétrica frente al catálogo</t>
        </is>
      </c>
      <c r="E26" s="25" t="inlineStr">
        <is>
          <t>+0.05 %</t>
        </is>
      </c>
    </row>
    <row r="28" ht="108" customHeight="1">
      <c r="A28" s="9" t="inlineStr">
        <is>
          <t>LECTURA CRÍTICA. Los índices MSAVI y NDVI miden vigor y densidad de biomasa, no composición ni integridad ecosistémica. Un valor alto NO equivale a ausencia de degradación: en bloques con mosaico agrícola, pastizal cultivado o plantaciones, la respuesta espectral puede ser alta sobre una unidad productora sustituida en su composición. La diferencia entre ambos productos no debe leerse como mejora entre 2024 y 2025: son índices distintos (el NDVI satura ante biomasa densa, el MSAVI conserva sensibilidad al suelo de fondo) aplicados sobre compuestos temporales distintos. Contraste registrado en este bloque: la cobertura vegetal estimada en campo es 70 % frente a un 0.32 % del polígono clasificado como «Vegetación alta» por el NDVI 2025; la observación de campo corresponde a una parcela o recorrido puntual y no es estadísticamente representativa de las 330.600 ha del bloque.</t>
        </is>
      </c>
    </row>
  </sheetData>
  <mergeCells count="10">
    <mergeCell ref="A4:E4"/>
    <mergeCell ref="A2:E2"/>
    <mergeCell ref="A28:E28"/>
    <mergeCell ref="A19:E19"/>
    <mergeCell ref="A1:E1"/>
    <mergeCell ref="A5:E5"/>
    <mergeCell ref="A8:E8"/>
    <mergeCell ref="A6:E6"/>
    <mergeCell ref="A17:E17"/>
    <mergeCell ref="A3:E3"/>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18"/>
  <sheetViews>
    <sheetView showGridLines="0" workbookViewId="0">
      <pane ySplit="6" topLeftCell="A7" activePane="bottomLeft" state="frozen"/>
      <selection pane="bottomLeft" activeCell="A1" sqref="A1"/>
    </sheetView>
  </sheetViews>
  <sheetFormatPr baseColWidth="8" defaultRowHeight="15"/>
  <cols>
    <col width="12" customWidth="1" min="1" max="1"/>
    <col width="34" customWidth="1" min="2" max="2"/>
    <col width="15" customWidth="1" min="3" max="3"/>
    <col width="15" customWidth="1" min="4" max="4"/>
    <col width="18" customWidth="1" min="5" max="5"/>
    <col width="22" customWidth="1" min="6" max="6"/>
    <col width="44" customWidth="1" min="7" max="7"/>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PUNTOS GEORREFERENCIADOS DE VERIFICACIÓN — BLOQUE 2</t>
        </is>
      </c>
    </row>
    <row r="6" ht="24" customHeight="1">
      <c r="A6" s="4" t="inlineStr">
        <is>
          <t>Levantamiento del 2026-07-02 · Sistema de referencia UTM WGS 84 Zona 17S (EPSG:32717)</t>
        </is>
      </c>
    </row>
    <row r="8" ht="18" customHeight="1">
      <c r="A8" s="5" t="inlineStr">
        <is>
          <t>INVENTARIO DE PUNTOS GEORREFERENCIADOS DE LA FICHA DT</t>
        </is>
      </c>
    </row>
    <row r="9" ht="28" customHeight="1">
      <c r="A9" s="10" t="inlineStr">
        <is>
          <t>Código</t>
        </is>
      </c>
      <c r="B9" s="10" t="inlineStr">
        <is>
          <t>Naturaleza del punto</t>
        </is>
      </c>
      <c r="C9" s="10" t="inlineStr">
        <is>
          <t>UTM ESTE (m)</t>
        </is>
      </c>
      <c r="D9" s="10" t="inlineStr">
        <is>
          <t>UTM NORTE (m)</t>
        </is>
      </c>
      <c r="E9" s="10" t="inlineStr">
        <is>
          <t>Dist. al centroide (m)</t>
        </is>
      </c>
      <c r="F9" s="10" t="inlineStr">
        <is>
          <t>Estado / régimen</t>
        </is>
      </c>
      <c r="G9" s="10" t="inlineStr">
        <is>
          <t>Contenido registrado</t>
        </is>
      </c>
    </row>
    <row r="10">
      <c r="A10" s="7" t="inlineStr">
        <is>
          <t>P-00</t>
        </is>
      </c>
      <c r="B10" s="11" t="inlineStr">
        <is>
          <t>Punto de muestreo declarado en ficha DT</t>
        </is>
      </c>
      <c r="C10" s="26" t="n">
        <v>602909</v>
      </c>
      <c r="D10" s="26" t="n">
        <v>9438249</v>
      </c>
      <c r="E10" s="11" t="n">
        <v>1329.6</v>
      </c>
      <c r="F10" s="11" t="inlineStr"/>
      <c r="G10" s="11" t="inlineStr">
        <is>
          <t>Coordenada consignada en F-DT-01</t>
        </is>
      </c>
    </row>
    <row r="11">
      <c r="A11" s="12" t="inlineStr">
        <is>
          <t>H-01</t>
        </is>
      </c>
      <c r="B11" s="13" t="inlineStr">
        <is>
          <t>Fuente de agua — Río</t>
        </is>
      </c>
      <c r="C11" s="27" t="n">
        <v>603900</v>
      </c>
      <c r="D11" s="27" t="n">
        <v>9439300</v>
      </c>
      <c r="E11" s="13" t="n">
        <v>252.2</v>
      </c>
      <c r="F11" s="13" t="inlineStr">
        <is>
          <t>No evaluable</t>
        </is>
      </c>
      <c r="G11" s="13" t="inlineStr">
        <is>
          <t>Curso principal de cauce</t>
        </is>
      </c>
    </row>
    <row r="12">
      <c r="A12" s="7" t="inlineStr">
        <is>
          <t>H-02</t>
        </is>
      </c>
      <c r="B12" s="11" t="inlineStr">
        <is>
          <t>Fuente de agua — Quebrada estacional</t>
        </is>
      </c>
      <c r="C12" s="26" t="n">
        <v>603300</v>
      </c>
      <c r="D12" s="26" t="n">
        <v>9439600</v>
      </c>
      <c r="E12" s="11" t="n">
        <v>432</v>
      </c>
      <c r="F12" s="11" t="inlineStr">
        <is>
          <t>Estacional</t>
        </is>
      </c>
      <c r="G12" s="11" t="inlineStr">
        <is>
          <t>Quebrada tributaria seca</t>
        </is>
      </c>
    </row>
    <row r="13">
      <c r="A13" s="16" t="inlineStr">
        <is>
          <t>TOTAL: 3 puntos</t>
        </is>
      </c>
      <c r="B13" s="17" t="inlineStr"/>
      <c r="C13" s="17" t="inlineStr"/>
      <c r="D13" s="17" t="inlineStr"/>
      <c r="E13" s="17" t="inlineStr"/>
      <c r="F13" s="17" t="inlineStr"/>
      <c r="G13" s="17" t="inlineStr"/>
    </row>
    <row r="15">
      <c r="A15" s="6" t="inlineStr">
        <is>
          <t>Centroide del bloque — UTM ESTE (m)</t>
        </is>
      </c>
      <c r="B15" s="7" t="n">
        <v>603653</v>
      </c>
      <c r="C15" s="6" t="inlineStr">
        <is>
          <t>Centroide del bloque — UTM NORTE (m)</t>
        </is>
      </c>
      <c r="D15" s="7" t="n">
        <v>9439351</v>
      </c>
      <c r="E15" s="8" t="n"/>
      <c r="F15" s="8" t="n"/>
      <c r="G15" s="8" t="n"/>
      <c r="H15" s="8" t="n"/>
    </row>
    <row r="16">
      <c r="A16" s="6" t="inlineStr">
        <is>
          <t>N.° de estaciones fotográficas declaradas</t>
        </is>
      </c>
      <c r="B16" s="7" t="inlineStr">
        <is>
          <t>Sin registro en la ficha DT</t>
        </is>
      </c>
      <c r="C16" s="6" t="inlineStr">
        <is>
          <t>Estaciones dentro del polígono</t>
        </is>
      </c>
      <c r="D16" s="7" t="inlineStr">
        <is>
          <t>Por determinar</t>
        </is>
      </c>
      <c r="E16" s="8" t="n"/>
      <c r="F16" s="8" t="n"/>
      <c r="G16" s="8" t="n"/>
      <c r="H16" s="8" t="n"/>
    </row>
    <row r="18" ht="96" customHeight="1">
      <c r="A18" s="9" t="inlineStr">
        <is>
          <t>CONTROL GEOMÉTRICO. Las coordenadas de esta hoja proceden de la ficha DT del bloque (F-DT-01 a F-DT-05) y corresponden a rasgos erosivos, fuentes de agua, especies clave y al punto de muestreo declarado. La distancia al centroide se calcula sobre coordenadas UTM 17S y es referencial: no acredita inclusión ni exclusión respecto del polígono, que exige prueba de inclusión sobre la geometría del bloque. Las estaciones situadas a menos de ~30 m del límite deben considerarse SOBRE EL LÍMITE, dentro del margen de error de la georreferenciación (± 10-15 m). Verificación de campo 02/07/2026, sector sur/acceso. Altitud GPS no registrada. Forma del terreno, pendiente, posición fisiográfica y exposición son JUICIO EXPERTO sobre el sector recorrido: requieren confirmación con MDE para el polígono completo.</t>
        </is>
      </c>
    </row>
  </sheetData>
  <mergeCells count="8">
    <mergeCell ref="A1:G1"/>
    <mergeCell ref="A18:G18"/>
    <mergeCell ref="A8:G8"/>
    <mergeCell ref="A3:G3"/>
    <mergeCell ref="A6:G6"/>
    <mergeCell ref="A4:G4"/>
    <mergeCell ref="A2:G2"/>
    <mergeCell ref="A5:G5"/>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16"/>
  <sheetViews>
    <sheetView showGridLines="0" workbookViewId="0">
      <pane ySplit="6" topLeftCell="A7" activePane="bottomLeft" state="frozen"/>
      <selection pane="bottomLeft" activeCell="A1" sqref="A1"/>
    </sheetView>
  </sheetViews>
  <sheetFormatPr baseColWidth="8" defaultRowHeight="15"/>
  <cols>
    <col width="14" customWidth="1" min="1" max="1"/>
    <col width="13" customWidth="1" min="2" max="2"/>
    <col width="14" customWidth="1" min="3" max="3"/>
    <col width="24" customWidth="1" min="4" max="4"/>
    <col width="13" customWidth="1" min="5" max="5"/>
    <col width="18" customWidth="1" min="6" max="6"/>
    <col width="13" customWidth="1" min="7" max="7"/>
    <col width="20" customWidth="1" min="8" max="8"/>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CONTEXTO INTRAMICROCUENCA C1096-Q9558 — BLOQUE 2</t>
        </is>
      </c>
    </row>
    <row r="6" ht="24" customHeight="1">
      <c r="A6" s="4" t="inlineStr">
        <is>
          <t>Distrito de Chulucanas · Provincia de Morropon · Comparación de los bloques preliminares de intervención de la misma microcuenca</t>
        </is>
      </c>
    </row>
    <row r="8" ht="18" customHeight="1">
      <c r="A8" s="5" t="inlineStr">
        <is>
          <t>BLOQUES DE LA MICROCUENCA C1096-Q9558</t>
        </is>
      </c>
    </row>
    <row r="9" ht="28" customHeight="1">
      <c r="A9" s="10" t="inlineStr">
        <is>
          <t>Bloque</t>
        </is>
      </c>
      <c r="B9" s="10" t="inlineStr">
        <is>
          <t>Área (ha)</t>
        </is>
      </c>
      <c r="C9" s="10" t="inlineStr">
        <is>
          <t>% microcuenca</t>
        </is>
      </c>
      <c r="D9" s="10" t="inlineStr">
        <is>
          <t>Rango altitudinal (msnm)</t>
        </is>
      </c>
      <c r="E9" s="10" t="inlineStr">
        <is>
          <t>Amplitud (m)</t>
        </is>
      </c>
      <c r="F9" s="10" t="inlineStr">
        <is>
          <t>Pendiente prom. (%)</t>
        </is>
      </c>
      <c r="G9" s="10" t="inlineStr">
        <is>
          <t>MSAVI 2024</t>
        </is>
      </c>
      <c r="H9" s="10" t="inlineStr">
        <is>
          <t>NDVI 2025 — Veg. alta (%)</t>
        </is>
      </c>
    </row>
    <row r="10">
      <c r="A10" s="14" t="inlineStr">
        <is>
          <t>► 2</t>
        </is>
      </c>
      <c r="B10" s="28" t="n">
        <v>330.6</v>
      </c>
      <c r="C10" s="29" t="n">
        <v>90.34</v>
      </c>
      <c r="D10" s="15" t="inlineStr">
        <is>
          <t>142 – 406</t>
        </is>
      </c>
      <c r="E10" s="15" t="n">
        <v>264</v>
      </c>
      <c r="F10" s="15" t="n">
        <v>13.27</v>
      </c>
      <c r="G10" s="30" t="n">
        <v>0.3586</v>
      </c>
      <c r="H10" s="29" t="n">
        <v>0.32</v>
      </c>
    </row>
    <row r="11">
      <c r="A11" s="12" t="inlineStr">
        <is>
          <t>M8B2</t>
        </is>
      </c>
      <c r="B11" s="31" t="n">
        <v>35.35</v>
      </c>
      <c r="C11" s="21" t="n">
        <v>9.66</v>
      </c>
      <c r="D11" s="13" t="inlineStr">
        <is>
          <t>882 – 1181</t>
        </is>
      </c>
      <c r="E11" s="13" t="n">
        <v>299</v>
      </c>
      <c r="F11" s="13" t="n">
        <v>24.49</v>
      </c>
      <c r="G11" s="20" t="n">
        <v>0.5305</v>
      </c>
      <c r="H11" s="21" t="n">
        <v>59.58</v>
      </c>
    </row>
    <row r="12">
      <c r="A12" s="16" t="inlineStr">
        <is>
          <t>TOTAL / PROMEDIO</t>
        </is>
      </c>
      <c r="B12" s="32">
        <f>SUM(B10:B11)</f>
        <v/>
      </c>
      <c r="C12" s="23">
        <f>SUM(C10:C11)</f>
        <v/>
      </c>
      <c r="D12" s="17" t="inlineStr">
        <is>
          <t>142 – 1181</t>
        </is>
      </c>
      <c r="E12" s="17" t="inlineStr"/>
      <c r="F12" s="17">
        <f>ROUND(AVERAGE(F10:F11),2)</f>
        <v/>
      </c>
      <c r="G12" s="22">
        <f>ROUND(AVERAGE(G10:G11),4)</f>
        <v/>
      </c>
      <c r="H12" s="23">
        <f>ROUND(AVERAGE(H10:H11),2)</f>
        <v/>
      </c>
    </row>
    <row r="14" ht="84" customHeight="1">
      <c r="A14" s="9" t="inlineStr">
        <is>
          <t>LECTURA INTRAMICROCUENCA. El bloque 2 ocupa el puesto 1 de 2 por superficie dentro de la microcuenca C1096-Q9558 (90.34 % de las 365.95 ha preliminares de la microcuenca). Su pendiente promedio (13.27 %, clase «8-15% (Mod. inclinado)») es la 1.ª más baja de 2 y se sitúa por debajo del promedio de la microcuenca (18.88 %). Su MSAVI 2024 (0.3586) es el 2.º de 2 y queda por debajo del promedio local (0.4445). Amplitud altitudinal del bloque: 264 m (142–406 msnm). El cuadro conserva todos los bloques catalogados en la microcuenca, incluidos los descartados en el tamizaje, para referencia del conjunto. Los bloques sin ficha DT figuran con sus parámetros de gabinete.</t>
        </is>
      </c>
    </row>
    <row r="16" ht="60" customHeight="1">
      <c r="A16" s="9" t="inlineStr">
        <is>
          <t>NOTA METODOLÓGICA. Área y MSAVI 2024 proceden del catálogo maestro de bloques V5/V6. El rango altitudinal y la pendiente promedio proceden del reporte de estadística zonal sobre el MDE («Rango de altitud y Pendiente Promedio por Bloques V6»). El porcentaje de «Vegetación alta» procede de la estadística zonal del NDVI mediana 2025 (Sentinel-2). Los totales y promedios se calculan con fórmulas sobre las filas del cuadro.</t>
        </is>
      </c>
    </row>
  </sheetData>
  <mergeCells count="9">
    <mergeCell ref="A1:H1"/>
    <mergeCell ref="A4:H4"/>
    <mergeCell ref="A3:H3"/>
    <mergeCell ref="A2:H2"/>
    <mergeCell ref="A16:H16"/>
    <mergeCell ref="A14:H14"/>
    <mergeCell ref="A5:H5"/>
    <mergeCell ref="A8:H8"/>
    <mergeCell ref="A6:H6"/>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22"/>
  <sheetViews>
    <sheetView showGridLines="0" workbookViewId="0">
      <pane ySplit="6" topLeftCell="A7" activePane="bottomLeft" state="frozen"/>
      <selection pane="bottomLeft" activeCell="A1" sqref="A1"/>
    </sheetView>
  </sheetViews>
  <sheetFormatPr baseColWidth="8" defaultRowHeight="15"/>
  <cols>
    <col width="9" customWidth="1" min="1" max="1"/>
    <col width="32" customWidth="1" min="2" max="2"/>
    <col width="60" customWidth="1" min="3" max="3"/>
    <col width="18" customWidth="1" min="4" max="4"/>
    <col width="62" customWidth="1" min="5" max="5"/>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CONTROL DE CONSISTENCIA DE LA INFORMACIÓN — BLOQUE 2</t>
        </is>
      </c>
    </row>
    <row r="6" ht="24" customHeight="1">
      <c r="A6" s="4" t="inlineStr">
        <is>
          <t>Discrepancias detectadas entre el registro de campo, los productos de gabinete y el catálogo maestro. Calificación: SUSTANTIVA / NO SUSTANTIVA / CORREGIDO / CONFORME.</t>
        </is>
      </c>
    </row>
    <row r="8" ht="18" customHeight="1">
      <c r="A8" s="5" t="inlineStr">
        <is>
          <t>DISCREPANCIAS Y VERIFICACIONES</t>
        </is>
      </c>
    </row>
    <row r="9" ht="28" customHeight="1">
      <c r="A9" s="10" t="inlineStr">
        <is>
          <t>Cód.</t>
        </is>
      </c>
      <c r="B9" s="10" t="inlineStr">
        <is>
          <t>Campo afectado</t>
        </is>
      </c>
      <c r="C9" s="10" t="inlineStr">
        <is>
          <t>Discrepancia observada</t>
        </is>
      </c>
      <c r="D9" s="10" t="inlineStr">
        <is>
          <t>Calificación</t>
        </is>
      </c>
      <c r="E9" s="10" t="inlineStr">
        <is>
          <t>Tratamiento adoptado</t>
        </is>
      </c>
    </row>
    <row r="10" ht="48" customHeight="1">
      <c r="A10" s="33" t="inlineStr">
        <is>
          <t>D-01</t>
        </is>
      </c>
      <c r="B10" s="33" t="inlineStr">
        <is>
          <t>Código de microcuenca</t>
        </is>
      </c>
      <c r="C10" s="33" t="inlineStr">
        <is>
          <t>Ficha DT y catálogo maestro coinciden en «C1096-Q9558»</t>
        </is>
      </c>
      <c r="D10" s="34" t="inlineStr">
        <is>
          <t>CONFORME</t>
        </is>
      </c>
      <c r="E10" s="33" t="inlineStr">
        <is>
          <t>Sin acción.</t>
        </is>
      </c>
    </row>
    <row r="11" ht="48" customHeight="1">
      <c r="A11" s="35" t="inlineStr">
        <is>
          <t>D-02</t>
        </is>
      </c>
      <c r="B11" s="35" t="inlineStr">
        <is>
          <t>UTM del punto de muestreo</t>
        </is>
      </c>
      <c r="C11" s="35" t="inlineStr">
        <is>
          <t>El punto de muestreo declarado (602909 E / 9438249 N) dista 1,330 m del centroide de catálogo (603653 E / 9439351 N), distancia incompatible con la superficie del bloque (330.6 ha)</t>
        </is>
      </c>
      <c r="D11" s="36" t="inlineStr">
        <is>
          <t>SUSTANTIVA</t>
        </is>
      </c>
      <c r="E11" s="35" t="inlineStr">
        <is>
          <t>Se declara la coordenada como POR VERIFICAR: puede corresponder a otro bloque o a un error de digitación. No se corrige de oficio.</t>
        </is>
      </c>
    </row>
    <row r="12" ht="48" customHeight="1">
      <c r="A12" s="33" t="inlineStr">
        <is>
          <t>D-03</t>
        </is>
      </c>
      <c r="B12" s="33" t="inlineStr">
        <is>
          <t>Superficie del polígono</t>
        </is>
      </c>
      <c r="C12" s="33" t="inlineStr">
        <is>
          <t>La superficie clasificada por el NDVI 2025 (330.776 ha) coincide con la de catálogo (330.6 ha) dentro del ±2 % (+0.05 %)</t>
        </is>
      </c>
      <c r="D12" s="34" t="inlineStr">
        <is>
          <t>CONFORME</t>
        </is>
      </c>
      <c r="E12" s="33" t="inlineStr">
        <is>
          <t>Sin acción: la segmentación valida la geometría del bloque.</t>
        </is>
      </c>
    </row>
    <row r="13" ht="48" customHeight="1">
      <c r="A13" s="35" t="inlineStr">
        <is>
          <t>D-04</t>
        </is>
      </c>
      <c r="B13" s="35" t="inlineStr">
        <is>
          <t>Rango de pendiente dominante</t>
        </is>
      </c>
      <c r="C13" s="35" t="inlineStr">
        <is>
          <t>La ficha DT declara «15-25% (Fuert. inclinado)»; la estadística zonal sobre el MDE arroja una pendiente promedio de 13.27 %, que corresponde a la clase «8-15% (Mod. inclinado)»</t>
        </is>
      </c>
      <c r="D13" s="15" t="inlineStr">
        <is>
          <t>NO SUSTANTIVA</t>
        </is>
      </c>
      <c r="E13" s="35" t="inlineStr">
        <is>
          <t>Se conserva el registro de campo como observación de sector y se adopta el valor del MDE para el cálculo intramicrocuenca. La divergencia es esperable: el dato de campo es puntual y el del MDE es promedio del polígono.</t>
        </is>
      </c>
    </row>
    <row r="14" ht="48" customHeight="1">
      <c r="A14" s="33" t="inlineStr">
        <is>
          <t>D-05</t>
        </is>
      </c>
      <c r="B14" s="33" t="inlineStr">
        <is>
          <t>Cobertura vegetal total</t>
        </is>
      </c>
      <c r="C14" s="33" t="inlineStr">
        <is>
          <t>La ficha DT estima 70 % de cobertura vegetal en campo; el NDVI mediana 2025 clasifica 98.57 % del polígono en clases de vegetación</t>
        </is>
      </c>
      <c r="D14" s="15" t="inlineStr">
        <is>
          <t>NO SUSTANTIVA</t>
        </is>
      </c>
      <c r="E14" s="33" t="inlineStr">
        <is>
          <t>Se declaran ambos valores. La observación de campo corresponde a una parcela o recorrido puntual y no es representativa de la totalidad del bloque; el índice espectral no discrimina composición ni integridad ecosistémica.</t>
        </is>
      </c>
    </row>
    <row r="15" ht="48" customHeight="1">
      <c r="A15" s="35" t="inlineStr">
        <is>
          <t>D-06</t>
        </is>
      </c>
      <c r="B15" s="35" t="inlineStr">
        <is>
          <t>Altitud GPS del punto de muestreo</t>
        </is>
      </c>
      <c r="C15" s="35" t="inlineStr">
        <is>
          <t>La aplicación de captura no registró altitud GPS en campo</t>
        </is>
      </c>
      <c r="D15" s="15" t="inlineStr">
        <is>
          <t>NO SUSTANTIVA</t>
        </is>
      </c>
      <c r="E15" s="35" t="inlineStr">
        <is>
          <t>El rango altitudinal del bloque (142–406 msnm) y la pendiente promedio (13.27 %) se toman de la estadística zonal sobre el MDE, no de medición de campo. Se declara la fuente.</t>
        </is>
      </c>
    </row>
    <row r="16" ht="48" customHeight="1">
      <c r="A16" s="33" t="inlineStr">
        <is>
          <t>D-07</t>
        </is>
      </c>
      <c r="B16" s="33" t="inlineStr">
        <is>
          <t>Elenco florístico</t>
        </is>
      </c>
      <c r="C16" s="33" t="inlineStr">
        <is>
          <t>La ficha registra 10 taxones, por debajo del mínimo de 15 que exige el formato V5</t>
        </is>
      </c>
      <c r="D16" s="36" t="inlineStr">
        <is>
          <t>SUSTANTIVA</t>
        </is>
      </c>
      <c r="E16" s="33" t="inlineStr">
        <is>
          <t>Registro florístico preliminar, sin colecta ni determinación botánica formal. Debe cerrarse con colecta botánica en la siguiente campaña.</t>
        </is>
      </c>
    </row>
    <row r="17" ht="48" customHeight="1">
      <c r="A17" s="35" t="inlineStr">
        <is>
          <t>D-08</t>
        </is>
      </c>
      <c r="B17" s="35" t="inlineStr">
        <is>
          <t>Centro poblado asociado</t>
        </is>
      </c>
      <c r="C17" s="35" t="inlineStr">
        <is>
          <t>La ficha DT declara «Balcones de Talandracas (691 hab.; 602137 E / 9437858 N)»; el cruce INEI-Bloques V5 identifica 1 centro(s) poblado(s) en el bloque: BALCONES DE TALANDRACAS</t>
        </is>
      </c>
      <c r="D17" s="34" t="inlineStr">
        <is>
          <t>CONFORME</t>
        </is>
      </c>
      <c r="E17" s="35" t="inlineStr">
        <is>
          <t>Se conserva el registro de campo como referencia y se adopta el listado INEI para el diagnóstico social y el cálculo de población beneficiaria.</t>
        </is>
      </c>
    </row>
    <row r="18" ht="48" customHeight="1">
      <c r="A18" s="33" t="inlineStr">
        <is>
          <t>D-09</t>
        </is>
      </c>
      <c r="B18" s="33" t="inlineStr">
        <is>
          <t>Peligro integrado (MCA-AHP)</t>
        </is>
      </c>
      <c r="C18" s="33" t="inlineStr">
        <is>
          <t>El nivel de peligro integrado no está disponible en los insumos de este entregable</t>
        </is>
      </c>
      <c r="D18" s="36" t="inlineStr">
        <is>
          <t>SUSTANTIVA</t>
        </is>
      </c>
      <c r="E18" s="33" t="inlineStr">
        <is>
          <t>Debe tomarse del modelamiento de mesolocalización (PMM + EPH + PGI ponderados por AHP) antes de fijar la prioridad definitiva de intervención del bloque.</t>
        </is>
      </c>
    </row>
    <row r="20">
      <c r="A20" s="16" t="inlineStr">
        <is>
          <t>RESUMEN</t>
        </is>
      </c>
      <c r="B20" s="17" t="inlineStr">
        <is>
          <t>9 verificaciones</t>
        </is>
      </c>
      <c r="C20" s="17" t="inlineStr">
        <is>
          <t>CONFORME: 3 · NO SUSTANTIVA: 3 · SUSTANTIVA: 3</t>
        </is>
      </c>
      <c r="D20" s="17" t="inlineStr"/>
      <c r="E20" s="17" t="inlineStr"/>
    </row>
    <row r="22" ht="60" customHeight="1">
      <c r="A22" s="9" t="inlineStr">
        <is>
          <t>NOTA METODOLÓGICA. Este control se genera de forma reproducible cruzando la ficha DT del bloque (F-DT-01 a F-DT-05) con el catálogo maestro de bloques V5/V6, la estadística zonal de altitud y pendiente sobre el MDE, la estadística zonal del NDVI mediana 2025 y el cruce INEI-Bloques de centros poblados. Una calificación CONFORME acredita que la verificación se ejecutó y no arrojó discrepancia; no equivale a validación de campo del dato.</t>
        </is>
      </c>
    </row>
  </sheetData>
  <mergeCells count="8">
    <mergeCell ref="A4:E4"/>
    <mergeCell ref="A2:E2"/>
    <mergeCell ref="A1:E1"/>
    <mergeCell ref="A5:E5"/>
    <mergeCell ref="A8:E8"/>
    <mergeCell ref="A6:E6"/>
    <mergeCell ref="A22:E22"/>
    <mergeCell ref="A3:E3"/>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ANIN - DIME - SESDI | Proyecto IN Piura (CUI 2669244)</dc:creator>
  <dc:title>Plantilla Excel — Bloque 2 — IN Piura</dc:title>
  <dc:subject>Diagnóstico Territorial por bloque de intervención</dc:subject>
  <dcterms:created xsi:type="dcterms:W3CDTF">2026-09-08T02:45:01Z</dcterms:created>
  <dcterms:modified xsi:type="dcterms:W3CDTF">2026-09-08T02:45:01Z</dcterms:modified>
</cp:coreProperties>
</file>