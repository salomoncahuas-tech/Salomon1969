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9">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s>
  <borders count="6">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s>
  <cellStyleXfs count="1">
    <xf numFmtId="0" fontId="0" fillId="0" borderId="0"/>
  </cellStyleXfs>
  <cellXfs count="39">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6" fillId="0"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0" fontId="0" fillId="0" borderId="4" pivotButton="0" quotePrefix="0" xfId="0"/>
    <xf numFmtId="0" fontId="0" fillId="0" borderId="5"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6"/>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56</t>
        </is>
      </c>
    </row>
    <row r="6" ht="24" customHeight="1">
      <c r="A6" s="4" t="inlineStr">
        <is>
          <t>Diagnóstico Territorial — Plantilla DT Campo Check Validada V5 | Sistema de referencia: UTM WGS 84 Zona 17S (EPSG:32717)</t>
        </is>
      </c>
    </row>
    <row r="7"/>
    <row r="8" ht="18" customHeight="1">
      <c r="A8" s="5" t="inlineStr">
        <is>
          <t>1. IDENTIFICACIÓN Y LOCALIZACIÓN</t>
        </is>
      </c>
    </row>
    <row r="9">
      <c r="A9" s="6" t="inlineStr">
        <is>
          <t>Código del bloque</t>
        </is>
      </c>
      <c r="B9" s="7" t="inlineStr">
        <is>
          <t>56</t>
        </is>
      </c>
      <c r="C9" s="6" t="inlineStr">
        <is>
          <t>Microcuenca (catálogo)</t>
        </is>
      </c>
      <c r="D9" s="7" t="inlineStr">
        <is>
          <t>C1096-Q9564</t>
        </is>
      </c>
      <c r="E9" s="8" t="n"/>
      <c r="F9" s="8" t="n"/>
    </row>
    <row r="10">
      <c r="A10" s="6" t="inlineStr">
        <is>
          <t>Zona de planificación</t>
        </is>
      </c>
      <c r="B10" s="7" t="inlineStr">
        <is>
          <t>Z02</t>
        </is>
      </c>
      <c r="C10" s="6" t="inlineStr">
        <is>
          <t>Microcuenca declarada en ficha DT</t>
        </is>
      </c>
      <c r="D10" s="7" t="inlineStr">
        <is>
          <t>C1096-Q9564</t>
        </is>
      </c>
      <c r="E10" s="8" t="n"/>
      <c r="F10" s="8" t="n"/>
    </row>
    <row r="11">
      <c r="A11" s="6" t="inlineStr">
        <is>
          <t>Departamento</t>
        </is>
      </c>
      <c r="B11" s="7" t="inlineStr">
        <is>
          <t>Piura</t>
        </is>
      </c>
      <c r="C11" s="6" t="inlineStr">
        <is>
          <t>Provincia</t>
        </is>
      </c>
      <c r="D11" s="7" t="inlineStr">
        <is>
          <t>Ayabaca</t>
        </is>
      </c>
      <c r="E11" s="8" t="n"/>
      <c r="F11" s="8" t="n"/>
    </row>
    <row r="12">
      <c r="A12" s="6" t="inlineStr">
        <is>
          <t>Distrito</t>
        </is>
      </c>
      <c r="B12" s="7" t="inlineStr">
        <is>
          <t>Frias</t>
        </is>
      </c>
      <c r="C12" s="6" t="inlineStr">
        <is>
          <t>Capital distrital</t>
        </is>
      </c>
      <c r="D12" s="7" t="inlineStr">
        <is>
          <t>Frias</t>
        </is>
      </c>
      <c r="E12" s="8" t="n"/>
      <c r="F12" s="8" t="n"/>
    </row>
    <row r="13">
      <c r="A13" s="6" t="inlineStr">
        <is>
          <t>Centro poblado asociado</t>
        </is>
      </c>
      <c r="B13" s="7" t="inlineStr">
        <is>
          <t>Putagas (620 357 E · 9 451 508 N; 300 hab.) — referida en ficha; también Banda de la Cruz (75 hab.)</t>
        </is>
      </c>
      <c r="C13" s="6" t="inlineStr">
        <is>
          <t>Comunidad campesina</t>
        </is>
      </c>
      <c r="D13" s="7" t="inlineStr">
        <is>
          <t>Por verificar</t>
        </is>
      </c>
      <c r="E13" s="8" t="n"/>
      <c r="F13" s="8" t="n"/>
    </row>
    <row r="14">
      <c r="A14" s="6" t="inlineStr">
        <is>
          <t>Superficie de catálogo (V5/V6), ha</t>
        </is>
      </c>
      <c r="B14" s="7" t="n">
        <v>77.67</v>
      </c>
      <c r="C14" s="6" t="inlineStr">
        <is>
          <t>Fuente de superficie</t>
        </is>
      </c>
      <c r="D14" s="7" t="inlineStr">
        <is>
          <t>Catálogo maestro Bloques V5/V6</t>
        </is>
      </c>
      <c r="E14" s="8" t="n"/>
      <c r="F14" s="8" t="n"/>
    </row>
    <row r="15">
      <c r="A15" s="6" t="inlineStr">
        <is>
          <t>Centroide UTM ESTE (m)</t>
        </is>
      </c>
      <c r="B15" s="7" t="n">
        <v>631723</v>
      </c>
      <c r="C15" s="6" t="inlineStr">
        <is>
          <t>Centroide UTM NORTE (m)</t>
        </is>
      </c>
      <c r="D15" s="7" t="n">
        <v>9439702</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2342</v>
      </c>
      <c r="C19" s="6" t="inlineStr">
        <is>
          <t>Altitud máxima (msnm)</t>
        </is>
      </c>
      <c r="D19" s="7" t="n">
        <v>2770</v>
      </c>
      <c r="E19" s="8" t="n"/>
      <c r="F19" s="8" t="n"/>
    </row>
    <row r="20">
      <c r="A20" s="6" t="inlineStr">
        <is>
          <t>Amplitud altitudinal (m)</t>
        </is>
      </c>
      <c r="B20" s="7" t="n">
        <v>428</v>
      </c>
      <c r="C20" s="6" t="inlineStr">
        <is>
          <t>Piso altitudinal dominante</t>
        </is>
      </c>
      <c r="D20" s="7" t="inlineStr">
        <is>
          <t>2500-3000 m (Suni)</t>
        </is>
      </c>
      <c r="E20" s="8" t="n"/>
      <c r="F20" s="8" t="n"/>
    </row>
    <row r="21">
      <c r="A21" s="6" t="inlineStr">
        <is>
          <t>Pendiente promedio (%)</t>
        </is>
      </c>
      <c r="B21" s="7" t="n">
        <v>27.27</v>
      </c>
      <c r="C21" s="6" t="inlineStr">
        <is>
          <t>Pendiente promedio (grados)</t>
        </is>
      </c>
      <c r="D21" s="7" t="n">
        <v>15.3</v>
      </c>
      <c r="E21" s="8" t="n"/>
      <c r="F21" s="8" t="n"/>
    </row>
    <row r="22">
      <c r="A22" s="6" t="inlineStr">
        <is>
          <t>Clase de pendiente equivalente</t>
        </is>
      </c>
      <c r="B22" s="7" t="inlineStr">
        <is>
          <t>25-50% (Mod. escarpado)</t>
        </is>
      </c>
      <c r="C22" s="6" t="inlineStr">
        <is>
          <t>Rango de pendiente declarado en campo</t>
        </is>
      </c>
      <c r="D22" s="7" t="inlineStr">
        <is>
          <t>25-50% (Mod. escarpado)</t>
        </is>
      </c>
      <c r="E22" s="8" t="n"/>
      <c r="F22" s="8" t="n"/>
    </row>
    <row r="23">
      <c r="A23" s="6" t="inlineStr">
        <is>
          <t>Forma predominante del terreno</t>
        </is>
      </c>
      <c r="B23" s="7" t="inlineStr">
        <is>
          <t>Montañoso</t>
        </is>
      </c>
      <c r="C23" s="6" t="inlineStr">
        <is>
          <t>Posición fisiográfica</t>
        </is>
      </c>
      <c r="D23" s="7" t="inlineStr">
        <is>
          <t>Ladera media</t>
        </is>
      </c>
      <c r="E23" s="8" t="n"/>
      <c r="F23" s="8" t="n"/>
    </row>
    <row r="24">
      <c r="A24" s="6" t="inlineStr">
        <is>
          <t>Exposición / orientación</t>
        </is>
      </c>
      <c r="B24" s="7" t="inlineStr">
        <is>
          <t>Noreste</t>
        </is>
      </c>
      <c r="C24" s="6" t="inlineStr">
        <is>
          <t>Afloramientos rocosos</t>
        </is>
      </c>
      <c r="D24" s="7" t="inlineStr">
        <is>
          <t>No evaluado (sin acceso interno)</t>
        </is>
      </c>
      <c r="E24" s="8" t="n"/>
      <c r="F24" s="8" t="n"/>
    </row>
    <row r="25">
      <c r="A25" s="6" t="inlineStr">
        <is>
          <t>Escarpes activos</t>
        </is>
      </c>
      <c r="B25" s="7" t="inlineStr">
        <is>
          <t>Sí</t>
        </is>
      </c>
      <c r="C25" s="6" t="inlineStr">
        <is>
          <t>Remociones en masa activas</t>
        </is>
      </c>
      <c r="D25" s="7" t="inlineStr">
        <is>
          <t>No observadas desde el exterior; por verificar en el interior</t>
        </is>
      </c>
      <c r="E25" s="8" t="n"/>
      <c r="F25" s="8" t="n"/>
    </row>
    <row r="26"/>
    <row r="27" ht="18" customHeight="1">
      <c r="A27" s="5" t="inlineStr">
        <is>
          <t>3. ÍNDICES DE VEGETACIÓN (SENTINEL-2)</t>
        </is>
      </c>
    </row>
    <row r="28">
      <c r="A28" s="6" t="inlineStr">
        <is>
          <t>MSAVI 2024 — media del bloque</t>
        </is>
      </c>
      <c r="B28" s="7" t="n">
        <v>0.6777</v>
      </c>
      <c r="C28" s="6" t="inlineStr">
        <is>
          <t>MSAVI 2024 — clase de la media</t>
        </is>
      </c>
      <c r="D28" s="7" t="inlineStr">
        <is>
          <t>&gt; 0.6139 (Vigor alto)</t>
        </is>
      </c>
      <c r="E28" s="8" t="n"/>
      <c r="F28" s="8" t="n"/>
    </row>
    <row r="29">
      <c r="A29" s="6" t="inlineStr">
        <is>
          <t>Condición frente al umbral 0.4976</t>
        </is>
      </c>
      <c r="B29" s="7" t="inlineStr">
        <is>
          <t>Sobre umbral · distribución areal: 2.81 % del bloque BAJO el umbral (2.182 ha de 77.670 ha)</t>
        </is>
      </c>
      <c r="C29" s="6" t="inlineStr">
        <is>
          <t>NDVI mediana 2025 — clase modal</t>
        </is>
      </c>
      <c r="D29" s="7" t="inlineStr">
        <is>
          <t>Vegetación alta (94.90 %)</t>
        </is>
      </c>
      <c r="E29" s="8" t="n"/>
      <c r="F29" s="8" t="n"/>
    </row>
    <row r="30">
      <c r="A30" s="6" t="inlineStr">
        <is>
          <t>MSAVI 2024 — superficie BAJO el umbral 0.4976 (ha)</t>
        </is>
      </c>
      <c r="B30" s="7" t="n">
        <v>2.182</v>
      </c>
      <c r="C30" s="6" t="inlineStr">
        <is>
          <t>MSAVI 2024 — % del bloque BAJO el umbral</t>
        </is>
      </c>
      <c r="D30" s="7" t="n">
        <v>2.81</v>
      </c>
      <c r="E30" s="8" t="n"/>
      <c r="F30" s="8" t="n"/>
    </row>
    <row r="31">
      <c r="A31" s="6" t="inlineStr">
        <is>
          <t>MSAVI 2024 — clase areal dominante</t>
        </is>
      </c>
      <c r="B31" s="7" t="inlineStr">
        <is>
          <t>Vigor alto</t>
        </is>
      </c>
      <c r="C31" s="6" t="inlineStr">
        <is>
          <t>MSAVI 2024 — fuente de la distribución areal</t>
        </is>
      </c>
      <c r="D31" s="7" t="inlineStr">
        <is>
          <t>Conteo de celdas sobre la cartografía MSAVI 2024 del bloque (56.png)</t>
        </is>
      </c>
      <c r="E31" s="8" t="n"/>
      <c r="F31" s="8" t="n"/>
    </row>
    <row r="32" ht="18" customHeight="1">
      <c r="A32" s="6" t="inlineStr">
        <is>
          <t>Superficie clasificada NDVI 2025 (ha)</t>
        </is>
      </c>
      <c r="B32" s="7" t="n">
        <v>77.699</v>
      </c>
      <c r="C32" s="6" t="inlineStr">
        <is>
          <t>Desviación frente al catálogo (%)</t>
        </is>
      </c>
      <c r="D32" s="7" t="n">
        <v>0.04</v>
      </c>
      <c r="E32" s="8" t="n"/>
      <c r="F32" s="8" t="n"/>
    </row>
    <row r="33"/>
    <row r="34">
      <c r="A34" s="5" t="inlineStr">
        <is>
          <t>4. ECOSISTEMA Y ESTADO DE CONSERVACIÓN</t>
        </is>
      </c>
    </row>
    <row r="35">
      <c r="A35" s="6" t="inlineStr">
        <is>
          <t>Tipo de ecosistema (UP)</t>
        </is>
      </c>
      <c r="B35" s="7" t="inlineStr">
        <is>
          <t>Bosque Relicto Montano de Vertiente Occidental (BMVO)</t>
        </is>
      </c>
      <c r="C35" s="6" t="inlineStr">
        <is>
          <t>Superficie de ecosistema (ha)</t>
        </is>
      </c>
      <c r="D35" s="7" t="inlineStr">
        <is>
          <t>77.67 ha totales — Br-mvoc 41.85 ha (53.9%); Zona agrícola 35.82 ha (46.1%)</t>
        </is>
      </c>
      <c r="E35" s="8" t="n"/>
      <c r="F35" s="8" t="n"/>
    </row>
    <row r="36">
      <c r="A36" s="6" t="inlineStr">
        <is>
          <t>Estado de conservación</t>
        </is>
      </c>
      <c r="B36" s="7" t="inlineStr">
        <is>
          <t>Levemente alterado</t>
        </is>
      </c>
      <c r="C36" s="6" t="inlineStr">
        <is>
          <t>Uso actual dominante del suelo</t>
        </is>
      </c>
      <c r="D36" s="7" t="inlineStr">
        <is>
          <t>Uso mixto</t>
        </is>
      </c>
      <c r="E36" s="8" t="n"/>
      <c r="F36" s="8" t="n"/>
    </row>
    <row r="37">
      <c r="A37" s="6" t="inlineStr">
        <is>
          <t>Tipo de cobertura dominante</t>
        </is>
      </c>
      <c r="B37" s="7" t="inlineStr">
        <is>
          <t>Mixto / Mosaico</t>
        </is>
      </c>
      <c r="C37" s="6" t="inlineStr">
        <is>
          <t>Cobertura vegetal total — campo (%)</t>
        </is>
      </c>
      <c r="D37" s="7" t="inlineStr">
        <is>
          <t>Por determinar</t>
        </is>
      </c>
      <c r="E37" s="8" t="n"/>
      <c r="F37" s="8" t="n"/>
    </row>
    <row r="38">
      <c r="A38" s="6" t="inlineStr">
        <is>
          <t>Suelo desnudo — campo (%)</t>
        </is>
      </c>
      <c r="B38" s="7" t="inlineStr">
        <is>
          <t>Por determinar</t>
        </is>
      </c>
      <c r="C38" s="6" t="inlineStr">
        <is>
          <t>Regeneración natural</t>
        </is>
      </c>
      <c r="D38" s="7" t="inlineStr">
        <is>
          <t>Por determinar</t>
        </is>
      </c>
      <c r="E38" s="8" t="n"/>
      <c r="F38" s="8" t="n"/>
    </row>
    <row r="39">
      <c r="A39" s="6" t="inlineStr">
        <is>
          <t>Nivel general de erosión</t>
        </is>
      </c>
      <c r="B39" s="7" t="inlineStr">
        <is>
          <t>Severa (cárcavas activas) — franja de aproximación</t>
        </is>
      </c>
      <c r="C39" s="6" t="inlineStr">
        <is>
          <t>N.° de cárcavas registradas</t>
        </is>
      </c>
      <c r="D39" s="7" t="n">
        <v>4</v>
      </c>
      <c r="E39" s="8" t="n"/>
      <c r="F39" s="8" t="n"/>
    </row>
    <row r="40" ht="18" customHeight="1">
      <c r="A40" s="6" t="inlineStr">
        <is>
          <t>Elenco florístico (n.° de taxones)</t>
        </is>
      </c>
      <c r="B40" s="7" t="n">
        <v>5</v>
      </c>
      <c r="C40" s="6" t="inlineStr">
        <is>
          <t>Estado sanitario</t>
        </is>
      </c>
      <c r="D40" s="7" t="inlineStr">
        <is>
          <t>Sano</t>
        </is>
      </c>
      <c r="E40" s="8" t="n"/>
      <c r="F40" s="8" t="n"/>
    </row>
    <row r="41"/>
    <row r="42">
      <c r="A42" s="5" t="inlineStr">
        <is>
          <t>5. RESPONSABLE Y MODALIDAD DE LA EVALUACIÓN</t>
        </is>
      </c>
    </row>
    <row r="43">
      <c r="A43" s="6" t="inlineStr">
        <is>
          <t>Responsable de la evaluación</t>
        </is>
      </c>
      <c r="B43" s="7" t="inlineStr">
        <is>
          <t>Héctor Cahuas y Juan Domínguez — SESDI/DIME/ANIN</t>
        </is>
      </c>
      <c r="C43" s="6" t="inlineStr">
        <is>
          <t>Fecha de evaluación</t>
        </is>
      </c>
      <c r="D43" s="7" t="inlineStr">
        <is>
          <t>2026-06-24</t>
        </is>
      </c>
      <c r="E43" s="8" t="n"/>
      <c r="F43" s="8" t="n"/>
    </row>
    <row r="44">
      <c r="A44" s="6" t="inlineStr">
        <is>
          <t>Hora de registro</t>
        </is>
      </c>
      <c r="B44" s="7" t="inlineStr">
        <is>
          <t>09:41 - 10:05 h</t>
        </is>
      </c>
      <c r="C44" s="6" t="inlineStr">
        <is>
          <t>Correlativo de ficha</t>
        </is>
      </c>
      <c r="D44" s="7" t="inlineStr">
        <is>
          <t>F-DT-01..05/B56/2026</t>
        </is>
      </c>
      <c r="E44" s="8" t="n"/>
      <c r="F44" s="8" t="n"/>
    </row>
    <row r="45">
      <c r="A45" s="6" t="inlineStr">
        <is>
          <t>Entidad</t>
        </is>
      </c>
      <c r="B45" s="7" t="inlineStr">
        <is>
          <t>ANIN - DIME - SESDI</t>
        </is>
      </c>
      <c r="C45" s="6" t="inlineStr">
        <is>
          <t>Fase del estudio</t>
        </is>
      </c>
      <c r="D45" s="7" t="inlineStr">
        <is>
          <t>Preinversión (Perfil) · Invierte.pe</t>
        </is>
      </c>
      <c r="E45" s="8" t="n"/>
      <c r="F45" s="8" t="n"/>
    </row>
    <row r="46">
      <c r="A46" s="6" t="inlineStr">
        <is>
          <t>Instrumento aplicado</t>
        </is>
      </c>
      <c r="B46" s="7" t="inlineStr">
        <is>
          <t>Fichas F-DT-01 a F-DT-05 (Plantilla V5)</t>
        </is>
      </c>
      <c r="C46" s="6" t="inlineStr">
        <is>
          <t>Parcela de muestreo</t>
        </is>
      </c>
      <c r="D46" s="7" t="inlineStr">
        <is>
          <t>No instalada — caracterización referencial de gabinete (sin acceso al interior)</t>
        </is>
      </c>
      <c r="E46" s="8" t="n"/>
      <c r="F46" s="8" t="n"/>
    </row>
    <row r="47" ht="18" customHeight="1">
      <c r="A47" s="6" t="inlineStr">
        <is>
          <t>Estaciones fotográficas georreferenciadas</t>
        </is>
      </c>
      <c r="B47" s="7" t="n">
        <v>0</v>
      </c>
      <c r="C47" s="6" t="inlineStr">
        <is>
          <t>Modalidad de acceso</t>
        </is>
      </c>
      <c r="D47" s="7" t="inlineStr">
        <is>
          <t>Vehicular + caminata 30-90 min</t>
        </is>
      </c>
      <c r="E47" s="8" t="n"/>
      <c r="F47" s="8" t="n"/>
    </row>
    <row r="48"/>
    <row r="49">
      <c r="A49" s="5" t="inlineStr">
        <is>
          <t>6. SÍNTESIS PARA LA GESTIÓN DEL RIESGO EN CONTEXTO DE CAMBIO CLIMÁTICO</t>
        </is>
      </c>
    </row>
    <row r="50">
      <c r="A50" s="6" t="inlineStr">
        <is>
          <t>Causa subyacente principal</t>
        </is>
      </c>
      <c r="B50" s="7" t="inlineStr">
        <is>
          <t>Presión agropecuaria sobre laderas de fuerte pendiente y desestabilización asociada a la trocha de acceso</t>
        </is>
      </c>
      <c r="C50" s="6" t="inlineStr">
        <is>
          <t>Velocidad de degradación</t>
        </is>
      </c>
      <c r="D50" s="7" t="inlineStr">
        <is>
          <t>Moderada</t>
        </is>
      </c>
      <c r="E50" s="8" t="n"/>
      <c r="F50" s="8" t="n"/>
    </row>
    <row r="51">
      <c r="A51" s="6" t="inlineStr">
        <is>
          <t>Reversibilidad técnica</t>
        </is>
      </c>
      <c r="B51" s="7" t="inlineStr">
        <is>
          <t>Por determinar</t>
        </is>
      </c>
      <c r="C51" s="6" t="inlineStr">
        <is>
          <t>Urgencia de intervención</t>
        </is>
      </c>
      <c r="D51" s="7" t="inlineStr">
        <is>
          <t>Por determinar</t>
        </is>
      </c>
      <c r="E51" s="8" t="n"/>
      <c r="F51" s="8" t="n"/>
    </row>
    <row r="52">
      <c r="A52" s="6" t="inlineStr">
        <is>
          <t>Urgencia de control de erosión</t>
        </is>
      </c>
      <c r="B52" s="7" t="inlineStr">
        <is>
          <t>Por determinar</t>
        </is>
      </c>
      <c r="C52" s="6" t="inlineStr">
        <is>
          <t>Zona de recarga hídrica</t>
        </is>
      </c>
      <c r="D52" s="7" t="inlineStr">
        <is>
          <t>Sí</t>
        </is>
      </c>
      <c r="E52" s="8" t="n"/>
      <c r="F52" s="8" t="n"/>
    </row>
    <row r="53">
      <c r="A53" s="6" t="inlineStr">
        <is>
          <t>Peligro integrado preliminar (MCA-AHP)</t>
        </is>
      </c>
      <c r="B53" s="7" t="inlineStr">
        <is>
          <t>No disponible en los insumos; debe tomarse del modelamiento de mesolocalización</t>
        </is>
      </c>
      <c r="C53" s="6" t="inlineStr">
        <is>
          <t>Prioridad de intervención</t>
        </is>
      </c>
      <c r="D53" s="7" t="inlineStr">
        <is>
          <t>Por definir en mesolocalización</t>
        </is>
      </c>
      <c r="E53" s="8" t="n"/>
      <c r="F53" s="8" t="n"/>
    </row>
    <row r="54" ht="72" customHeight="1">
      <c r="A54" s="6" t="inlineStr">
        <is>
          <t>Estado de verificación de campo</t>
        </is>
      </c>
      <c r="B54" s="7" t="inlineStr">
        <is>
          <t>VERIFICADO</t>
        </is>
      </c>
      <c r="C54" s="6" t="inlineStr">
        <is>
          <t>Marco del indicador de brecha</t>
        </is>
      </c>
      <c r="D54" s="7" t="inlineStr">
        <is>
          <t>R.M. N.° 00213-2024-MINAM</t>
        </is>
      </c>
      <c r="E54" s="8" t="n"/>
      <c r="F54" s="8" t="n"/>
    </row>
    <row r="55"/>
    <row r="56">
      <c r="A56"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t>
        </is>
      </c>
      <c r="B56" s="37" t="n"/>
      <c r="C56" s="37" t="n"/>
      <c r="D56" s="37" t="n"/>
      <c r="E56" s="37" t="n"/>
      <c r="F56" s="38" t="n"/>
    </row>
  </sheetData>
  <mergeCells count="13">
    <mergeCell ref="A27:F27"/>
    <mergeCell ref="A34:F34"/>
    <mergeCell ref="A18:F18"/>
    <mergeCell ref="A56:F56"/>
    <mergeCell ref="A3:F3"/>
    <mergeCell ref="A2:F2"/>
    <mergeCell ref="A49:F49"/>
    <mergeCell ref="A42:F42"/>
    <mergeCell ref="A1:F1"/>
    <mergeCell ref="A5:F5"/>
    <mergeCell ref="A8:F8"/>
    <mergeCell ref="A6:F6"/>
    <mergeCell ref="A4:F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8"/>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56</t>
        </is>
      </c>
    </row>
    <row r="6" ht="24" customHeight="1">
      <c r="A6" s="4" t="inlineStr">
        <is>
          <t>MSAVI 2024 y NDVI mediana 2025 (Sentinel-2, mosaico Piura) · Umbral de brecha del proyecto: MSAVI = 0.4976</t>
        </is>
      </c>
    </row>
    <row r="7"/>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11" t="inlineStr">
        <is>
          <t>&gt; 0.6139</t>
        </is>
      </c>
      <c r="B10" s="31" t="n">
        <v>61.2894</v>
      </c>
      <c r="C10" s="30" t="n">
        <v>78.91</v>
      </c>
      <c r="D10" s="12" t="inlineStr">
        <is>
          <t>Vigor alto</t>
        </is>
      </c>
      <c r="E10" s="12" t="inlineStr">
        <is>
          <t>Sobre umbral</t>
        </is>
      </c>
    </row>
    <row r="11">
      <c r="A11" s="13" t="inlineStr">
        <is>
          <t>0.4976 - 0.6139</t>
        </is>
      </c>
      <c r="B11" s="20" t="n">
        <v>14.1981</v>
      </c>
      <c r="C11" s="21" t="n">
        <v>18.28</v>
      </c>
      <c r="D11" s="14" t="inlineStr">
        <is>
          <t>Vigor moderado</t>
        </is>
      </c>
      <c r="E11" s="14" t="inlineStr">
        <is>
          <t>Sobre umbral</t>
        </is>
      </c>
    </row>
    <row r="12">
      <c r="A12" s="7" t="inlineStr">
        <is>
          <t>0.3813 - 0.4976</t>
        </is>
      </c>
      <c r="B12" s="18" t="n">
        <v>2.1592</v>
      </c>
      <c r="C12" s="19" t="n">
        <v>2.78</v>
      </c>
      <c r="D12" s="15" t="inlineStr">
        <is>
          <t>Vigor bajo</t>
        </is>
      </c>
      <c r="E12" s="15" t="inlineStr">
        <is>
          <t>BAJO umbral 0.4976</t>
        </is>
      </c>
    </row>
    <row r="13">
      <c r="A13" s="13" t="inlineStr">
        <is>
          <t>0.2650 - 0.3813</t>
        </is>
      </c>
      <c r="B13" s="20" t="n">
        <v>0.0233</v>
      </c>
      <c r="C13" s="21" t="n">
        <v>0.03</v>
      </c>
      <c r="D13" s="14" t="inlineStr">
        <is>
          <t>Vigor muy bajo</t>
        </is>
      </c>
      <c r="E13" s="14" t="inlineStr">
        <is>
          <t>BAJO umbral 0.4976</t>
        </is>
      </c>
    </row>
    <row r="14">
      <c r="A14" s="7" t="inlineStr">
        <is>
          <t>&lt;= 0.2650</t>
        </is>
      </c>
      <c r="B14" s="18" t="n">
        <v>0</v>
      </c>
      <c r="C14" s="19" t="n">
        <v>0</v>
      </c>
      <c r="D14" s="15" t="inlineStr">
        <is>
          <t>Suelo desnudo / no vegetal</t>
        </is>
      </c>
      <c r="E14" s="15" t="inlineStr">
        <is>
          <t>BAJO umbral 0.4976</t>
        </is>
      </c>
    </row>
    <row r="15">
      <c r="A15" s="7" t="inlineStr">
        <is>
          <t>TOTAL CLASIFICADO</t>
        </is>
      </c>
      <c r="B15" s="18">
        <f>SUM(B10:B14)</f>
        <v/>
      </c>
      <c r="C15" s="19">
        <f>SUM(C10:C14)</f>
        <v/>
      </c>
      <c r="D15" s="15" t="inlineStr">
        <is>
          <t>Suma de las cinco clases MSAVI 2024</t>
        </is>
      </c>
      <c r="E15" s="15" t="inlineStr">
        <is>
          <t>Iguala la superficie de catálogo (V5/V6)</t>
        </is>
      </c>
    </row>
    <row r="16">
      <c r="A16" s="16" t="inlineStr">
        <is>
          <t>MSAVI 2024 — MEDIA DEL BLOQUE</t>
        </is>
      </c>
      <c r="B16" s="17" t="n">
        <v>0.677658</v>
      </c>
      <c r="C16" s="17" t="inlineStr">
        <is>
          <t>—</t>
        </is>
      </c>
      <c r="D16" s="17" t="inlineStr">
        <is>
          <t>Vigor alto · clase &gt; 0.6139</t>
        </is>
      </c>
      <c r="E16" s="17" t="inlineStr">
        <is>
          <t>Sobre umbral</t>
        </is>
      </c>
    </row>
    <row r="17" ht="72" customHeight="1"/>
    <row r="18">
      <c r="A18" s="9" t="inlineStr">
        <is>
          <t>NOTA METODOLÓGICA. La media del MSAVI 2024 del bloque procede del catálogo maestro de bloques V5/V6 y es dato oficial. La DISTRIBUCIÓN AREAL por clase se obtuvo por conteo de celdas sobre la cartografía temática MSAVI 2024 del bloque (carpeta Drive «MSAVI BLOQUES V6»), clasificada con la paleta RdYlGn de cinco clases y los mismos umbrales del proyecto. El reparto porcentual es el medido sobre el polígono del bloque; las hectáreas se obtienen aplicando ese reparto a la superficie de catálogo (V5/V6) declarada en la hoja «Resumen», de modo que el total por clase cuadra con la superficie oficial. Umbral de brecha 0.4976 conforme a la R.M. N.° 00213-2024-MINAM. CONTRASTE INDEPENDIENTE: la tabla de intersección vectorial «BLOQUES_V6_INTERSECC_MSAVI» reproduce el mismo ordenamiento de bloques (correlación de Pearson 0.949 sobre el porcentaje bajo umbral en los 117 bloques); no se usa para el metrado porque su campo AREA_M2 conserva el área del polígono padre y no la de cada pieza de intersección. El refrendo por estadística zonal directa sobre el ráster MSAVI 2024 recortado al polígono queda pendiente.</t>
        </is>
      </c>
      <c r="B18" s="37" t="n"/>
      <c r="C18" s="37" t="n"/>
      <c r="D18" s="37" t="n"/>
      <c r="E18" s="38" t="n"/>
    </row>
    <row r="19" ht="18" customHeight="1"/>
    <row r="20" ht="28" customHeight="1">
      <c r="A20" s="5" t="inlineStr">
        <is>
          <t>B. NDVI MEDIANA 2025 — DISTRIBUCIÓN AREAL (ESTADÍSTICA ZONAL)</t>
        </is>
      </c>
    </row>
    <row r="21">
      <c r="A21" s="10" t="inlineStr">
        <is>
          <t>Clase NDVI</t>
        </is>
      </c>
      <c r="B21" s="10" t="inlineStr">
        <is>
          <t>Superficie (ha)</t>
        </is>
      </c>
      <c r="C21" s="10" t="inlineStr">
        <is>
          <t>% del área clasificada</t>
        </is>
      </c>
      <c r="D21" s="10" t="inlineStr">
        <is>
          <t>Interpretación</t>
        </is>
      </c>
      <c r="E21" s="10" t="inlineStr">
        <is>
          <t>Observación</t>
        </is>
      </c>
    </row>
    <row r="22">
      <c r="A22" s="7" t="inlineStr">
        <is>
          <t>Vegetación alta</t>
        </is>
      </c>
      <c r="B22" s="18" t="n">
        <v>73.7362</v>
      </c>
      <c r="C22" s="19" t="n">
        <v>94.90000000000001</v>
      </c>
      <c r="D22" s="15" t="inlineStr">
        <is>
          <t>Dosel continuo, matorral denso o mosaico agroforestal</t>
        </is>
      </c>
      <c r="E22" s="15" t="inlineStr"/>
    </row>
    <row r="23">
      <c r="A23" s="13" t="inlineStr">
        <is>
          <t>Vegetación mediana</t>
        </is>
      </c>
      <c r="B23" s="20" t="n">
        <v>3.9235</v>
      </c>
      <c r="C23" s="21" t="n">
        <v>5.05</v>
      </c>
      <c r="D23" s="14" t="inlineStr">
        <is>
          <t>Pastizal cultivado, matorral ralo, parcelas agrícolas</t>
        </is>
      </c>
      <c r="E23" s="14" t="inlineStr"/>
    </row>
    <row r="24">
      <c r="A24" s="7" t="inlineStr">
        <is>
          <t>Vegetación ligera</t>
        </is>
      </c>
      <c r="B24" s="18" t="n">
        <v>0.0396</v>
      </c>
      <c r="C24" s="19" t="n">
        <v>0.05</v>
      </c>
      <c r="D24" s="15" t="inlineStr">
        <is>
          <t>Cobertura discontinua, suelo parcialmente expuesto</t>
        </is>
      </c>
      <c r="E24" s="15" t="inlineStr"/>
    </row>
    <row r="25">
      <c r="A25" s="16" t="inlineStr">
        <is>
          <t>TOTAL CLASIFICADO</t>
        </is>
      </c>
      <c r="B25" s="22">
        <f>SUM(B21:B23)</f>
        <v/>
      </c>
      <c r="C25" s="23">
        <f>SUM(C21:C23)</f>
        <v/>
      </c>
      <c r="D25" s="17" t="inlineStr"/>
      <c r="E25" s="17" t="inlineStr"/>
    </row>
    <row r="26">
      <c r="A26" s="24" t="inlineStr">
        <is>
          <t>Superficie de catálogo (V5/V6)</t>
        </is>
      </c>
      <c r="B26" s="25" t="n">
        <v>77.67</v>
      </c>
      <c r="C26" s="25" t="inlineStr">
        <is>
          <t>—</t>
        </is>
      </c>
      <c r="D26" s="25" t="inlineStr">
        <is>
          <t>Desviación planimétrica frente al catálogo</t>
        </is>
      </c>
      <c r="E26" s="25" t="inlineStr">
        <is>
          <t>+0.04 %</t>
        </is>
      </c>
    </row>
    <row r="27" ht="72" customHeight="1"/>
    <row r="28">
      <c r="A28"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t>
        </is>
      </c>
      <c r="B28" s="37" t="n"/>
      <c r="C28" s="37" t="n"/>
      <c r="D28" s="37" t="n"/>
      <c r="E28" s="38" t="n"/>
    </row>
  </sheetData>
  <mergeCells count="10">
    <mergeCell ref="A4:E4"/>
    <mergeCell ref="A20:E20"/>
    <mergeCell ref="A2:E2"/>
    <mergeCell ref="A28:E28"/>
    <mergeCell ref="A5:E5"/>
    <mergeCell ref="A1:E1"/>
    <mergeCell ref="A8:E8"/>
    <mergeCell ref="A6:E6"/>
    <mergeCell ref="A18:E18"/>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0"/>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56</t>
        </is>
      </c>
    </row>
    <row r="6" ht="24" customHeight="1">
      <c r="A6" s="4" t="inlineStr">
        <is>
          <t>Levantamiento del 2026-06-24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5" t="inlineStr">
        <is>
          <t>Punto de muestreo declarado en ficha DT</t>
        </is>
      </c>
      <c r="C10" s="26" t="n">
        <v>645575</v>
      </c>
      <c r="D10" s="26" t="n">
        <v>9393500</v>
      </c>
      <c r="E10" s="15" t="n">
        <v>48233.8</v>
      </c>
      <c r="F10" s="15" t="inlineStr"/>
      <c r="G10" s="15" t="inlineStr">
        <is>
          <t>Coordenada consignada en F-DT-01</t>
        </is>
      </c>
    </row>
    <row r="11">
      <c r="A11" s="13" t="inlineStr">
        <is>
          <t>E-01</t>
        </is>
      </c>
      <c r="B11" s="14" t="inlineStr">
        <is>
          <t>Rasgo erosivo — Por determinar</t>
        </is>
      </c>
      <c r="C11" s="27" t="n">
        <v>620598</v>
      </c>
      <c r="D11" s="27" t="n">
        <v>9451513</v>
      </c>
      <c r="E11" s="14" t="n">
        <v>16225.5</v>
      </c>
      <c r="F11" s="14" t="inlineStr">
        <is>
          <t>Activa</t>
        </is>
      </c>
      <c r="G11" s="14" t="inlineStr">
        <is>
          <t>Concentración natural de escorrentía</t>
        </is>
      </c>
    </row>
    <row r="12">
      <c r="A12" s="7" t="inlineStr">
        <is>
          <t>E-02</t>
        </is>
      </c>
      <c r="B12" s="15" t="inlineStr">
        <is>
          <t>Rasgo erosivo — Surco (&lt;30 cm)</t>
        </is>
      </c>
      <c r="C12" s="26" t="n">
        <v>620593</v>
      </c>
      <c r="D12" s="26" t="n">
        <v>9451503</v>
      </c>
      <c r="E12" s="15" t="n">
        <v>16221.6</v>
      </c>
      <c r="F12" s="15" t="inlineStr">
        <is>
          <t>Activa</t>
        </is>
      </c>
      <c r="G12" s="15" t="inlineStr">
        <is>
          <t>Concentración natural de escorrentía</t>
        </is>
      </c>
    </row>
    <row r="13">
      <c r="A13" s="13" t="inlineStr">
        <is>
          <t>E-03</t>
        </is>
      </c>
      <c r="B13" s="14" t="inlineStr">
        <is>
          <t>Rasgo erosivo — Por determinar</t>
        </is>
      </c>
      <c r="C13" s="27" t="n">
        <v>620600</v>
      </c>
      <c r="D13" s="27" t="n">
        <v>9451512</v>
      </c>
      <c r="E13" s="14" t="n">
        <v>16223.4</v>
      </c>
      <c r="F13" s="14" t="inlineStr">
        <is>
          <t>Activa</t>
        </is>
      </c>
      <c r="G13" s="14" t="inlineStr">
        <is>
          <t>Otro (talud de corte de vía)</t>
        </is>
      </c>
    </row>
    <row r="14">
      <c r="A14" s="7" t="inlineStr">
        <is>
          <t>E-04</t>
        </is>
      </c>
      <c r="B14" s="15" t="inlineStr">
        <is>
          <t>Rasgo erosivo — Surco (&lt;30 cm)</t>
        </is>
      </c>
      <c r="C14" s="26" t="n">
        <v>620588</v>
      </c>
      <c r="D14" s="26" t="n">
        <v>9451502</v>
      </c>
      <c r="E14" s="15" t="n">
        <v>16224.3</v>
      </c>
      <c r="F14" s="15" t="inlineStr">
        <is>
          <t>Activa</t>
        </is>
      </c>
      <c r="G14" s="15" t="inlineStr">
        <is>
          <t>Concentración natural de escorrentía</t>
        </is>
      </c>
    </row>
    <row r="15">
      <c r="A15" s="16" t="inlineStr">
        <is>
          <t>TOTAL: 5 puntos</t>
        </is>
      </c>
      <c r="B15" s="17" t="inlineStr"/>
      <c r="C15" s="17" t="inlineStr"/>
      <c r="D15" s="17" t="inlineStr"/>
      <c r="E15" s="17" t="inlineStr"/>
      <c r="F15" s="17" t="inlineStr"/>
      <c r="G15" s="17" t="inlineStr"/>
    </row>
    <row r="17">
      <c r="A17" s="6" t="inlineStr">
        <is>
          <t>Centroide del bloque — UTM ESTE (m)</t>
        </is>
      </c>
      <c r="B17" s="7" t="n">
        <v>631723</v>
      </c>
      <c r="C17" s="6" t="inlineStr">
        <is>
          <t>Centroide del bloque — UTM NORTE (m)</t>
        </is>
      </c>
      <c r="D17" s="7" t="n">
        <v>9439702</v>
      </c>
      <c r="E17" s="8" t="n"/>
      <c r="F17" s="8" t="n"/>
      <c r="G17" s="8" t="n"/>
      <c r="H17" s="8" t="n"/>
    </row>
    <row r="18">
      <c r="A18" s="6" t="inlineStr">
        <is>
          <t>N.° de estaciones fotográficas declaradas</t>
        </is>
      </c>
      <c r="B18" s="7" t="n">
        <v>0</v>
      </c>
      <c r="C18" s="6" t="inlineStr">
        <is>
          <t>Estaciones dentro del polígono</t>
        </is>
      </c>
      <c r="D18" s="7" t="n">
        <v>0</v>
      </c>
      <c r="E18" s="8" t="n"/>
      <c r="F18" s="8" t="n"/>
      <c r="G18" s="8" t="n"/>
      <c r="H18" s="8" t="n"/>
    </row>
    <row r="20" ht="156" customHeight="1">
      <c r="A20"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CARACTERIZACIÓN EXTERNA/PERIMETRAL desde el entorno del C.P. Putagas; NO se accedió al interior del bloque el 24/06/2026 (mal estado de la trocha y fuerte pendiente). Escarpes activos en taludes de corte de la trocha de aproximación. Antecedente referido: reubicación de un centro poblado por deslizamientos en temporada de lluvias (CP y fecha por precisar). ATENCIÓN: la ficha consigna UTM del punto de muestreo 645 575 E · 9 393 500 N, valor por defecto de la plantilla, incompatible con el centroide de catálogo (631 723 E · 9 439 702 N). El texto de la ficha declara además un centroide 621 613 E · 9 452 884 N (Centroides_V5), que tampoco coincide con el catálogo maestro: TRES georreferencias divergentes por conciliar. Pendiente media del acceso 32.5% (máx. 61.7%); rango altitudinal del acceso 2374-2746 msnm. MSAVI 2024 = 0.678 (vigor alto).</t>
        </is>
      </c>
      <c r="B20" s="37" t="n"/>
      <c r="C20" s="37" t="n"/>
      <c r="D20" s="37" t="n"/>
      <c r="E20" s="37" t="n"/>
      <c r="F20" s="37" t="n"/>
      <c r="G20" s="38" t="n"/>
    </row>
  </sheetData>
  <mergeCells count="8">
    <mergeCell ref="A1:G1"/>
    <mergeCell ref="A8:G8"/>
    <mergeCell ref="A3:G3"/>
    <mergeCell ref="A6:G6"/>
    <mergeCell ref="A4:G4"/>
    <mergeCell ref="A20:G20"/>
    <mergeCell ref="A2:G2"/>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7"/>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C1096-Q9564 — BLOQUE 56</t>
        </is>
      </c>
    </row>
    <row r="6" ht="24" customHeight="1">
      <c r="A6" s="4" t="inlineStr">
        <is>
          <t>Distrito de Frias · Provincia de Ayabaca · Comparación de los bloques preliminares de intervención de la misma microcuenca</t>
        </is>
      </c>
    </row>
    <row r="8" ht="18" customHeight="1">
      <c r="A8" s="5" t="inlineStr">
        <is>
          <t>BLOQUES DE LA MICROCUENCA C1096-Q9564</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row>
    <row r="10">
      <c r="A10" s="7" t="inlineStr">
        <is>
          <t>13</t>
        </is>
      </c>
      <c r="B10" s="28" t="n">
        <v>100.51</v>
      </c>
      <c r="C10" s="19" t="n">
        <v>40.73</v>
      </c>
      <c r="D10" s="15" t="inlineStr">
        <is>
          <t>1649 – 2267</t>
        </is>
      </c>
      <c r="E10" s="15" t="n">
        <v>618</v>
      </c>
      <c r="F10" s="15" t="n">
        <v>28.99</v>
      </c>
      <c r="G10" s="18" t="n">
        <v>0.6711</v>
      </c>
      <c r="H10" s="19" t="n">
        <v>89.59</v>
      </c>
    </row>
    <row r="11">
      <c r="A11" s="11" t="inlineStr">
        <is>
          <t>► 56</t>
        </is>
      </c>
      <c r="B11" s="29" t="n">
        <v>77.67</v>
      </c>
      <c r="C11" s="30" t="n">
        <v>31.48</v>
      </c>
      <c r="D11" s="12" t="inlineStr">
        <is>
          <t>2342 – 2770</t>
        </is>
      </c>
      <c r="E11" s="12" t="n">
        <v>428</v>
      </c>
      <c r="F11" s="12" t="n">
        <v>27.27</v>
      </c>
      <c r="G11" s="31" t="n">
        <v>0.6777</v>
      </c>
      <c r="H11" s="30" t="n">
        <v>94.90000000000001</v>
      </c>
    </row>
    <row r="12">
      <c r="A12" s="7" t="inlineStr">
        <is>
          <t>39</t>
        </is>
      </c>
      <c r="B12" s="28" t="n">
        <v>68.56999999999999</v>
      </c>
      <c r="C12" s="19" t="n">
        <v>27.79</v>
      </c>
      <c r="D12" s="15" t="inlineStr">
        <is>
          <t>1729 – 2088</t>
        </is>
      </c>
      <c r="E12" s="15" t="n">
        <v>359</v>
      </c>
      <c r="F12" s="15" t="n">
        <v>22.51</v>
      </c>
      <c r="G12" s="18" t="n">
        <v>0.7016</v>
      </c>
      <c r="H12" s="19" t="n">
        <v>94.05</v>
      </c>
    </row>
    <row r="13">
      <c r="A13" s="16" t="inlineStr">
        <is>
          <t>TOTAL / PROMEDIO</t>
        </is>
      </c>
      <c r="B13" s="32">
        <f>SUM(B10:B12)</f>
        <v/>
      </c>
      <c r="C13" s="23">
        <f>SUM(C10:C12)</f>
        <v/>
      </c>
      <c r="D13" s="17" t="inlineStr">
        <is>
          <t>1649 – 2770</t>
        </is>
      </c>
      <c r="E13" s="17" t="inlineStr"/>
      <c r="F13" s="17">
        <f>ROUND(AVERAGE(F10:F12),2)</f>
        <v/>
      </c>
      <c r="G13" s="22">
        <f>ROUND(AVERAGE(G10:G12),4)</f>
        <v/>
      </c>
      <c r="H13" s="23">
        <f>ROUND(AVERAGE(H10:H12),2)</f>
        <v/>
      </c>
    </row>
    <row r="15" ht="84" customHeight="1">
      <c r="A15" s="9" t="inlineStr">
        <is>
          <t>LECTURA INTRAMICROCUENCA. El bloque 56 ocupa el puesto 2 de 3 por superficie dentro de la microcuenca C1096-Q9564 (31.48 % de las 246.75 ha preliminares de la microcuenca). Su pendiente promedio (27.27 %, clase «25-50% (Mod. escarpado)») es la 2.ª más baja de 3 y se sitúa por encima del promedio de la microcuenca (26.26 %). Su MSAVI 2024 (0.6777) es el 2.º de 3 y queda por debajo del promedio local (0.6835). Amplitud altitudinal del bloque: 428 m (2342–2770 msnm). El cuadro conserva todos los bloques catalogados en la microcuenca, incluidos los descartados en el tamizaje, para referencia del conjunto. Los bloques sin ficha DT figuran con sus parámetros de gabinete.</t>
        </is>
      </c>
      <c r="B15" s="37" t="n"/>
      <c r="C15" s="37" t="n"/>
      <c r="D15" s="37" t="n"/>
      <c r="E15" s="37" t="n"/>
      <c r="F15" s="37" t="n"/>
      <c r="G15" s="37" t="n"/>
      <c r="H15" s="38" t="n"/>
    </row>
    <row r="17" ht="60" customHeight="1">
      <c r="A17"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t>
        </is>
      </c>
      <c r="B17" s="37" t="n"/>
      <c r="C17" s="37" t="n"/>
      <c r="D17" s="37" t="n"/>
      <c r="E17" s="37" t="n"/>
      <c r="F17" s="37" t="n"/>
      <c r="G17" s="37" t="n"/>
      <c r="H17" s="38" t="n"/>
    </row>
  </sheetData>
  <mergeCells count="9">
    <mergeCell ref="A1:H1"/>
    <mergeCell ref="A4:H4"/>
    <mergeCell ref="A3:H3"/>
    <mergeCell ref="A15:H15"/>
    <mergeCell ref="A2:H2"/>
    <mergeCell ref="A5:H5"/>
    <mergeCell ref="A8:H8"/>
    <mergeCell ref="A6:H6"/>
    <mergeCell ref="A17:H17"/>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6"/>
  <sheetViews>
    <sheetView showGridLines="0" workbookViewId="0">
      <pane ySplit="6" topLeftCell="A7" activePane="bottomLeft" state="frozen"/>
      <selection pane="bottomLeft" activeCell="A1" sqref="A1"/>
    </sheetView>
  </sheetViews>
  <sheetFormatPr baseColWidth="8" defaultRowHeight="15"/>
  <cols>
    <col width="9" customWidth="1" min="1" max="1"/>
    <col width="32" customWidth="1" min="2" max="2"/>
    <col width="60" customWidth="1" min="3" max="3"/>
    <col width="18" customWidth="1" min="4" max="4"/>
    <col width="62"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CONTROL DE CONSISTENCIA DE LA INFORMACIÓN — BLOQUE 56</t>
        </is>
      </c>
    </row>
    <row r="6" ht="24" customHeight="1">
      <c r="A6" s="4" t="inlineStr">
        <is>
          <t>Discrepancias detectadas entre el registro de campo, los productos de gabinete y el catálogo maestro. Calificación: SUSTANTIVA / NO SUSTANTIVA / CORREGIDO / CONFORME.</t>
        </is>
      </c>
    </row>
    <row r="7"/>
    <row r="8" ht="18" customHeight="1">
      <c r="A8" s="5" t="inlineStr">
        <is>
          <t>DISCREPANCIAS Y VERIFICACIONES</t>
        </is>
      </c>
    </row>
    <row r="9" ht="28" customHeight="1">
      <c r="A9" s="10" t="inlineStr">
        <is>
          <t>Cód.</t>
        </is>
      </c>
      <c r="B9" s="10" t="inlineStr">
        <is>
          <t>Campo afectado</t>
        </is>
      </c>
      <c r="C9" s="10" t="inlineStr">
        <is>
          <t>Discrepancia observada</t>
        </is>
      </c>
      <c r="D9" s="10" t="inlineStr">
        <is>
          <t>Calificación</t>
        </is>
      </c>
      <c r="E9" s="10" t="inlineStr">
        <is>
          <t>Tratamiento adoptado</t>
        </is>
      </c>
    </row>
    <row r="10" ht="48" customHeight="1">
      <c r="A10" s="33" t="inlineStr">
        <is>
          <t>D-01</t>
        </is>
      </c>
      <c r="B10" s="33" t="inlineStr">
        <is>
          <t>Código de microcuenca</t>
        </is>
      </c>
      <c r="C10" s="33" t="inlineStr">
        <is>
          <t>Ficha DT y catálogo maestro coinciden en «C1096-Q9564»</t>
        </is>
      </c>
      <c r="D10" s="34" t="inlineStr">
        <is>
          <t>CONFORME</t>
        </is>
      </c>
      <c r="E10" s="33" t="inlineStr">
        <is>
          <t>Sin acción.</t>
        </is>
      </c>
    </row>
    <row r="11" ht="48" customHeight="1">
      <c r="A11" s="35" t="inlineStr">
        <is>
          <t>D-02</t>
        </is>
      </c>
      <c r="B11" s="35" t="inlineStr">
        <is>
          <t>UTM del punto de muestreo</t>
        </is>
      </c>
      <c r="C11" s="35" t="inlineStr">
        <is>
          <t>El punto de muestreo declarado (645575 E / 9393500 N) dista 48,234 m del centroide de catálogo (631723 E / 9439702 N), distancia incompatible con la superficie del bloque (77.67 ha)</t>
        </is>
      </c>
      <c r="D11" s="36" t="inlineStr">
        <is>
          <t>SUSTANTIVA</t>
        </is>
      </c>
      <c r="E11" s="35" t="inlineStr">
        <is>
          <t>Se declara la coordenada como POR VERIFICAR: puede corresponder a otro bloque o a un error de digitación. No se corrige de oficio.</t>
        </is>
      </c>
    </row>
    <row r="12" ht="48" customHeight="1">
      <c r="A12" s="33" t="inlineStr">
        <is>
          <t>D-03</t>
        </is>
      </c>
      <c r="B12" s="33" t="inlineStr">
        <is>
          <t>Superficie del polígono</t>
        </is>
      </c>
      <c r="C12" s="33" t="inlineStr">
        <is>
          <t>La superficie clasificada por el NDVI 2025 (77.699 ha) coincide con la de catálogo (77.67 ha) dentro del ±2 % (+0.04 %)</t>
        </is>
      </c>
      <c r="D12" s="34" t="inlineStr">
        <is>
          <t>CONFORME</t>
        </is>
      </c>
      <c r="E12" s="33" t="inlineStr">
        <is>
          <t>Sin acción: la segmentación valida la geometría del bloque.</t>
        </is>
      </c>
    </row>
    <row r="13" ht="48" customHeight="1">
      <c r="A13" s="35" t="inlineStr">
        <is>
          <t>D-04</t>
        </is>
      </c>
      <c r="B13" s="35" t="inlineStr">
        <is>
          <t>Dimensiones del inventario de cárcavas</t>
        </is>
      </c>
      <c r="C13" s="35" t="inlineStr">
        <is>
          <t>Se registran 4 rasgos erosivos, pero longitud, profundidad y ancho no fueron medidos instrumentalmente</t>
        </is>
      </c>
      <c r="D13" s="12" t="inlineStr">
        <is>
          <t>NO SUSTANTIVA</t>
        </is>
      </c>
      <c r="E13" s="35" t="inlineStr">
        <is>
          <t>El conteo registrado no debe usarse para calcular densidad de cárcavas por hectárea. Pendiente de levantamiento con GPS submétrico.</t>
        </is>
      </c>
    </row>
    <row r="14" ht="48" customHeight="1">
      <c r="A14" s="33" t="inlineStr">
        <is>
          <t>D-05</t>
        </is>
      </c>
      <c r="B14" s="33" t="inlineStr">
        <is>
          <t>Elenco florístico</t>
        </is>
      </c>
      <c r="C14" s="33" t="inlineStr">
        <is>
          <t>La ficha registra 5 taxones, por debajo del mínimo de 15 que exige el formato V5</t>
        </is>
      </c>
      <c r="D14" s="36" t="inlineStr">
        <is>
          <t>SUSTANTIVA</t>
        </is>
      </c>
      <c r="E14" s="33" t="inlineStr">
        <is>
          <t>Registro florístico preliminar, sin colecta ni determinación botánica formal. Debe cerrarse con colecta botánica en la siguiente campaña.</t>
        </is>
      </c>
    </row>
    <row r="15" ht="48" customHeight="1">
      <c r="A15" s="35" t="inlineStr">
        <is>
          <t>D-06</t>
        </is>
      </c>
      <c r="B15" s="35" t="inlineStr">
        <is>
          <t>Representatividad del levantamiento</t>
        </is>
      </c>
      <c r="C15" s="35" t="inlineStr">
        <is>
          <t>Ninguna de las estaciones fotográficas georreferenciadas se localiza dentro del polígono del bloque</t>
        </is>
      </c>
      <c r="D15" s="36" t="inlineStr">
        <is>
          <t>SUSTANTIVA</t>
        </is>
      </c>
      <c r="E15" s="35" t="inlineStr">
        <is>
          <t>La verificación documenta el perímetro y la vista panorámica del bloque, no su interior. Los parámetros que exigen recorrido interno se consignan «Por determinar».</t>
        </is>
      </c>
    </row>
    <row r="16" ht="48" customHeight="1">
      <c r="A16" s="33" t="inlineStr">
        <is>
          <t>D-07</t>
        </is>
      </c>
      <c r="B16" s="33" t="inlineStr">
        <is>
          <t>Centro poblado asociado</t>
        </is>
      </c>
      <c r="C16" s="33" t="inlineStr">
        <is>
          <t>La ficha DT declara «Putagas (620 357 E · 9 451 508 N; 300 hab.) — referida en ficha; también Banda de la Cruz (75 hab.)»; el cruce INEI-Bloques V5 identifica 2 centro(s) poblado(s) en el bloque: BANDA DE LA CRUZ, PUTAGAS</t>
        </is>
      </c>
      <c r="D16" s="34" t="inlineStr">
        <is>
          <t>CONFORME</t>
        </is>
      </c>
      <c r="E16" s="33" t="inlineStr">
        <is>
          <t>Se conserva el registro de campo como referencia y se adopta el listado INEI para el diagnóstico social y el cálculo de población beneficiaria.</t>
        </is>
      </c>
    </row>
    <row r="17" ht="48" customHeight="1">
      <c r="A17" s="35" t="inlineStr">
        <is>
          <t>D-08</t>
        </is>
      </c>
      <c r="B17" s="35" t="inlineStr">
        <is>
          <t>Peligro integrado (MCA-AHP)</t>
        </is>
      </c>
      <c r="C17" s="35" t="inlineStr">
        <is>
          <t>El nivel de peligro integrado no está disponible en los insumos de este entregable</t>
        </is>
      </c>
      <c r="D17" s="36" t="inlineStr">
        <is>
          <t>SUSTANTIVA</t>
        </is>
      </c>
      <c r="E17" s="35" t="inlineStr">
        <is>
          <t>Debe tomarse del modelamiento de mesolocalización (PMM + EPH + PGI ponderados por AHP) antes de fijar la prioridad definitiva de intervención del bloque.</t>
        </is>
      </c>
    </row>
    <row r="18" ht="48" customHeight="1">
      <c r="A18" s="33" t="inlineStr">
        <is>
          <t>D-09</t>
        </is>
      </c>
      <c r="B18" s="33" t="inlineStr">
        <is>
          <t>F-DT-01</t>
        </is>
      </c>
      <c r="C18" s="33" t="inlineStr">
        <is>
          <t>UTM del punto de muestreo 645 575 E · 9 393 500 N corresponde al valor por defecto de la plantilla; incompatible con el centroide de catálogo (631 723 E · 9 439 702 N)</t>
        </is>
      </c>
      <c r="D18" s="36" t="inlineStr">
        <is>
          <t>SUSTANTIVA</t>
        </is>
      </c>
      <c r="E18" s="33" t="inlineStr">
        <is>
          <t>Se conserva el registro de la ficha y se declara la inconsistencia; georreferencia por reponer en campo</t>
        </is>
      </c>
    </row>
    <row r="19" ht="48" customHeight="1">
      <c r="A19" s="35" t="inlineStr">
        <is>
          <t>D-10</t>
        </is>
      </c>
      <c r="B19" s="35" t="inlineStr">
        <is>
          <t>F-DT-01</t>
        </is>
      </c>
      <c r="C19" s="35" t="inlineStr">
        <is>
          <t>La ficha declara centroide 621 613 E · 9 452 884 N (Centroides_V5), distinto del catálogo maestro Bloques_V5 (631 723 E · 9 439 702 N)</t>
        </is>
      </c>
      <c r="D19" s="36" t="inlineStr">
        <is>
          <t>SUSTANTIVA</t>
        </is>
      </c>
      <c r="E19" s="35" t="inlineStr">
        <is>
          <t>Conciliar catálogo de centroides antes del expediente</t>
        </is>
      </c>
    </row>
    <row r="20" ht="48" customHeight="1">
      <c r="A20" s="33" t="inlineStr">
        <is>
          <t>D-11</t>
        </is>
      </c>
      <c r="B20" s="33" t="inlineStr">
        <is>
          <t>F-DT-02</t>
        </is>
      </c>
      <c r="C20" s="33" t="inlineStr">
        <is>
          <t>Los 4 rasgos erosivos se ubican en la franja de aproximación (≈620 590 E · 9 451 505 N), fuera del polígono del bloque</t>
        </is>
      </c>
      <c r="D20" s="36" t="inlineStr">
        <is>
          <t>SUSTANTIVA</t>
        </is>
      </c>
      <c r="E20" s="33" t="inlineStr">
        <is>
          <t>Se reportan como inventario perimetral, no interno</t>
        </is>
      </c>
    </row>
    <row r="21" ht="48" customHeight="1">
      <c r="A21" s="35" t="inlineStr">
        <is>
          <t>D-12</t>
        </is>
      </c>
      <c r="B21" s="35" t="inlineStr">
        <is>
          <t>Plan de Ingreso</t>
        </is>
      </c>
      <c r="C21" s="35" t="inlineStr">
        <is>
          <t>Altitud = 0 msnm (captura por defecto del aplicativo)</t>
        </is>
      </c>
      <c r="D21" s="12" t="inlineStr">
        <is>
          <t>NO SUSTANTIVA</t>
        </is>
      </c>
      <c r="E21" s="35" t="inlineStr">
        <is>
          <t>Se sustituye por el rango del MDE 2342-2770 msnm</t>
        </is>
      </c>
    </row>
    <row r="22">
      <c r="A22" s="35" t="inlineStr">
        <is>
          <t>D-13</t>
        </is>
      </c>
      <c r="B22" s="35" t="inlineStr">
        <is>
          <t>Distribución areal de clases MSAVI 2024</t>
        </is>
      </c>
      <c r="C22" s="35" t="inlineStr">
        <is>
          <t>La hoja «Cobertura MSAVI-NDVI» consignaba «Por determinar» en la distribución areal de clases MSAVI 2024; se incorpora el metrado por clase medido sobre la cartografía temática MSAVI 2024 del bloque: 2.81 % del bloque (2.182 ha) bajo el umbral 0.4976 y 97.19 % sobre el umbral; clase areal dominante «Vigor alto».</t>
        </is>
      </c>
      <c r="D22" s="12" t="inlineStr">
        <is>
          <t>CORREGIDO</t>
        </is>
      </c>
      <c r="E22" s="35" t="inlineStr">
        <is>
          <t>Se sustituye «Por determinar» por el metrado por clase. Las hectáreas se derivan del reparto porcentual medido aplicado a la superficie de catálogo (V5/V6) del bloque, por lo que la suma de las cinco clases iguala dicha superficie. Pendiente de refrendo con estadística zonal directa sobre el ráster MSAVI 2024 cuando se disponga del insumo.</t>
        </is>
      </c>
    </row>
    <row r="23"/>
    <row r="24">
      <c r="A24" s="16" t="inlineStr">
        <is>
          <t>RESUMEN</t>
        </is>
      </c>
      <c r="B24" s="17" t="inlineStr">
        <is>
          <t>13 verificaciones</t>
        </is>
      </c>
      <c r="C24" s="17" t="inlineStr">
        <is>
          <t>CONFORME: 3 · NO SUSTANTIVA: 2 · SUSTANTIVA: 7 · CORREGIDO: 1</t>
        </is>
      </c>
      <c r="D24" s="17" t="inlineStr"/>
      <c r="E24" s="17" t="inlineStr"/>
    </row>
    <row r="25" ht="60" customHeight="1"/>
    <row r="26">
      <c r="A26" s="9" t="inlineStr">
        <is>
          <t>NOTA METODOLÓGICA. Este control se genera de forma reproducible cruzando la ficha DT del bloque (F-DT-01 a F-DT-05) con el catálogo maestro de bloques V5/V6, la estadística zonal de altitud y pendiente sobre el MDE, la estadística zonal del NDVI mediana 2025 y el cruce INEI-Bloques de centros poblados. Una calificación CONFORME acredita que la verificación se ejecutó y no arrojó discrepancia; no equivale a validación de campo del dato.</t>
        </is>
      </c>
      <c r="B26" s="37" t="n"/>
      <c r="C26" s="37" t="n"/>
      <c r="D26" s="37" t="n"/>
      <c r="E26" s="38" t="n"/>
    </row>
  </sheetData>
  <mergeCells count="8">
    <mergeCell ref="A4:E4"/>
    <mergeCell ref="A26:E26"/>
    <mergeCell ref="A2:E2"/>
    <mergeCell ref="A1:E1"/>
    <mergeCell ref="A5:E5"/>
    <mergeCell ref="A8:E8"/>
    <mergeCell ref="A6:E6"/>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56 — IN Piura</dc:title>
  <dc:subject>Diagnóstico Territorial por bloque de intervención</dc:subject>
  <dcterms:created xsi:type="dcterms:W3CDTF">2026-09-08T03:39:56Z</dcterms:created>
  <dcterms:modified xsi:type="dcterms:W3CDTF">2026-09-09T14:49:43Z</dcterms:modified>
</cp:coreProperties>
</file>