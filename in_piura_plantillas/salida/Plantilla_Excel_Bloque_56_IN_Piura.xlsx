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Resumen" sheetId="1" state="visible" r:id="rId1"/>
    <sheet name="Cobertura MSAVI-NDVI" sheetId="2" state="visible" r:id="rId2"/>
    <sheet name="Estaciones fotográficas" sheetId="3" state="visible" r:id="rId3"/>
    <sheet name="Microcuenca" sheetId="4" state="visible" r:id="rId4"/>
    <sheet name="Control de consistencia" sheetId="5" state="visible" r:id="rId5"/>
  </sheets>
  <definedNames/>
  <calcPr calcId="124519" fullCalcOnLoad="1"/>
</workbook>
</file>

<file path=xl/styles.xml><?xml version="1.0" encoding="utf-8"?>
<styleSheet xmlns="http://schemas.openxmlformats.org/spreadsheetml/2006/main">
  <numFmts count="2">
    <numFmt numFmtId="164" formatCode="0.0000"/>
    <numFmt numFmtId="165" formatCode="0.000"/>
  </numFmts>
  <fonts count="9">
    <font>
      <name val="Calibri"/>
      <family val="2"/>
      <color theme="1"/>
      <sz val="11"/>
      <scheme val="minor"/>
    </font>
    <font>
      <name val="Arial"/>
      <b val="1"/>
      <color rgb="00FFFFFF"/>
      <sz val="10"/>
    </font>
    <font>
      <name val="Arial"/>
      <color rgb="00FFFFFF"/>
      <sz val="8"/>
    </font>
    <font>
      <name val="Arial"/>
      <b val="1"/>
      <color rgb="001B4D2E"/>
      <sz val="12"/>
    </font>
    <font>
      <name val="Arial"/>
      <i val="1"/>
      <color rgb="00555555"/>
      <sz val="8"/>
    </font>
    <font>
      <name val="Arial"/>
      <b val="1"/>
      <sz val="9"/>
    </font>
    <font>
      <name val="Arial"/>
      <sz val="9"/>
    </font>
    <font>
      <name val="Arial"/>
      <i val="1"/>
      <color rgb="00333333"/>
      <sz val="8"/>
    </font>
    <font>
      <name val="Arial"/>
      <b val="1"/>
      <color rgb="00FFFFFF"/>
      <sz val="9"/>
    </font>
  </fonts>
  <fills count="9">
    <fill>
      <patternFill/>
    </fill>
    <fill>
      <patternFill patternType="gray125"/>
    </fill>
    <fill>
      <patternFill patternType="solid">
        <fgColor rgb="001B4D2E"/>
      </patternFill>
    </fill>
    <fill>
      <patternFill patternType="solid">
        <fgColor rgb="001B4F72"/>
      </patternFill>
    </fill>
    <fill>
      <patternFill patternType="solid">
        <fgColor rgb="00E8F0EA"/>
      </patternFill>
    </fill>
    <fill>
      <patternFill patternType="solid">
        <fgColor rgb="00F2F2F2"/>
      </patternFill>
    </fill>
    <fill>
      <patternFill patternType="solid">
        <fgColor rgb="00FFF2CC"/>
      </patternFill>
    </fill>
    <fill>
      <patternFill patternType="solid">
        <fgColor rgb="00D9E1F2"/>
      </patternFill>
    </fill>
    <fill>
      <patternFill patternType="solid">
        <fgColor rgb="00F8CBAD"/>
      </patternFill>
    </fill>
  </fills>
  <borders count="2">
    <border>
      <left/>
      <right/>
      <top/>
      <bottom/>
      <diagonal/>
    </border>
    <border>
      <left style="thin">
        <color rgb="009C9C9C"/>
      </left>
      <right style="thin">
        <color rgb="009C9C9C"/>
      </right>
      <top style="thin">
        <color rgb="009C9C9C"/>
      </top>
      <bottom style="thin">
        <color rgb="009C9C9C"/>
      </bottom>
    </border>
  </borders>
  <cellStyleXfs count="1">
    <xf numFmtId="0" fontId="0" fillId="0" borderId="0"/>
  </cellStyleXfs>
  <cellXfs count="37">
    <xf numFmtId="0" fontId="0" fillId="0" borderId="0" pivotButton="0" quotePrefix="0" xfId="0"/>
    <xf numFmtId="0" fontId="1" fillId="2" borderId="0" applyAlignment="1" pivotButton="0" quotePrefix="0" xfId="0">
      <alignment horizontal="center" vertical="center" wrapText="1"/>
    </xf>
    <xf numFmtId="0" fontId="2" fillId="3" borderId="0" applyAlignment="1" pivotButton="0" quotePrefix="0" xfId="0">
      <alignment horizontal="center" vertical="center" wrapText="1"/>
    </xf>
    <xf numFmtId="0" fontId="3" fillId="4" borderId="0" applyAlignment="1" pivotButton="0" quotePrefix="0" xfId="0">
      <alignment horizontal="center" vertical="center"/>
    </xf>
    <xf numFmtId="0" fontId="4" fillId="0" borderId="0" applyAlignment="1" pivotButton="0" quotePrefix="0" xfId="0">
      <alignment horizontal="center" vertical="center" wrapText="1"/>
    </xf>
    <xf numFmtId="0" fontId="1" fillId="2" borderId="0" applyAlignment="1" pivotButton="0" quotePrefix="0" xfId="0">
      <alignment horizontal="left" vertical="center" indent="1"/>
    </xf>
    <xf numFmtId="0" fontId="5" fillId="5" borderId="1" applyAlignment="1" pivotButton="0" quotePrefix="0" xfId="0">
      <alignment horizontal="left" vertical="center" wrapText="1" indent="1"/>
    </xf>
    <xf numFmtId="0" fontId="6" fillId="0" borderId="1" applyAlignment="1" pivotButton="0" quotePrefix="0" xfId="0">
      <alignment horizontal="left" vertical="center" wrapText="1" indent="1"/>
    </xf>
    <xf numFmtId="0" fontId="0" fillId="0" borderId="1" pivotButton="0" quotePrefix="0" xfId="0"/>
    <xf numFmtId="0" fontId="7" fillId="0" borderId="1" applyAlignment="1" pivotButton="0" quotePrefix="0" xfId="0">
      <alignment horizontal="justify" vertical="top" wrapText="1"/>
    </xf>
    <xf numFmtId="0" fontId="8" fillId="2" borderId="1" applyAlignment="1" pivotButton="0" quotePrefix="0" xfId="0">
      <alignment horizontal="center" vertical="center" wrapText="1"/>
    </xf>
    <xf numFmtId="0" fontId="5" fillId="6" borderId="1" applyAlignment="1" pivotButton="0" quotePrefix="0" xfId="0">
      <alignment horizontal="left" vertical="center" wrapText="1" indent="1"/>
    </xf>
    <xf numFmtId="0" fontId="5" fillId="6" borderId="1" applyAlignment="1" pivotButton="0" quotePrefix="0" xfId="0">
      <alignment horizontal="center" vertical="center" wrapText="1"/>
    </xf>
    <xf numFmtId="0" fontId="6" fillId="4" borderId="1" applyAlignment="1" pivotButton="0" quotePrefix="0" xfId="0">
      <alignment horizontal="left" vertical="center" wrapText="1" indent="1"/>
    </xf>
    <xf numFmtId="0" fontId="6" fillId="4" borderId="1" applyAlignment="1" pivotButton="0" quotePrefix="0" xfId="0">
      <alignment horizontal="center" vertical="center" wrapText="1"/>
    </xf>
    <xf numFmtId="0" fontId="6" fillId="0" borderId="1" applyAlignment="1" pivotButton="0" quotePrefix="0" xfId="0">
      <alignment horizontal="center" vertical="center" wrapText="1"/>
    </xf>
    <xf numFmtId="0" fontId="5" fillId="4" borderId="1" applyAlignment="1" pivotButton="0" quotePrefix="0" xfId="0">
      <alignment horizontal="left" vertical="center" wrapText="1" indent="1"/>
    </xf>
    <xf numFmtId="0" fontId="5" fillId="4" borderId="1" applyAlignment="1" pivotButton="0" quotePrefix="0" xfId="0">
      <alignment horizontal="center" vertical="center" wrapText="1"/>
    </xf>
    <xf numFmtId="164" fontId="6" fillId="0" borderId="1" applyAlignment="1" pivotButton="0" quotePrefix="0" xfId="0">
      <alignment horizontal="center" vertical="center" wrapText="1"/>
    </xf>
    <xf numFmtId="2" fontId="6" fillId="0" borderId="1" applyAlignment="1" pivotButton="0" quotePrefix="0" xfId="0">
      <alignment horizontal="center" vertical="center" wrapText="1"/>
    </xf>
    <xf numFmtId="164" fontId="6" fillId="4" borderId="1" applyAlignment="1" pivotButton="0" quotePrefix="0" xfId="0">
      <alignment horizontal="center" vertical="center" wrapText="1"/>
    </xf>
    <xf numFmtId="2" fontId="6" fillId="4" borderId="1" applyAlignment="1" pivotButton="0" quotePrefix="0" xfId="0">
      <alignment horizontal="center" vertical="center" wrapText="1"/>
    </xf>
    <xf numFmtId="164" fontId="5" fillId="4" borderId="1" applyAlignment="1" pivotButton="0" quotePrefix="0" xfId="0">
      <alignment horizontal="center" vertical="center" wrapText="1"/>
    </xf>
    <xf numFmtId="2" fontId="5" fillId="4" borderId="1" applyAlignment="1" pivotButton="0" quotePrefix="0" xfId="0">
      <alignment horizontal="center" vertical="center" wrapText="1"/>
    </xf>
    <xf numFmtId="0" fontId="5" fillId="0" borderId="1" applyAlignment="1" pivotButton="0" quotePrefix="0" xfId="0">
      <alignment horizontal="left" vertical="center" wrapText="1" indent="1"/>
    </xf>
    <xf numFmtId="0" fontId="5" fillId="0" borderId="1" applyAlignment="1" pivotButton="0" quotePrefix="0" xfId="0">
      <alignment horizontal="center" vertical="center" wrapText="1"/>
    </xf>
    <xf numFmtId="3" fontId="6" fillId="0" borderId="1" applyAlignment="1" pivotButton="0" quotePrefix="0" xfId="0">
      <alignment horizontal="center" vertical="center" wrapText="1"/>
    </xf>
    <xf numFmtId="3" fontId="6" fillId="4" borderId="1" applyAlignment="1" pivotButton="0" quotePrefix="0" xfId="0">
      <alignment horizontal="center" vertical="center" wrapText="1"/>
    </xf>
    <xf numFmtId="165" fontId="6" fillId="0" borderId="1" applyAlignment="1" pivotButton="0" quotePrefix="0" xfId="0">
      <alignment horizontal="center" vertical="center" wrapText="1"/>
    </xf>
    <xf numFmtId="165" fontId="5" fillId="6" borderId="1" applyAlignment="1" pivotButton="0" quotePrefix="0" xfId="0">
      <alignment horizontal="center" vertical="center" wrapText="1"/>
    </xf>
    <xf numFmtId="2" fontId="5" fillId="6" borderId="1" applyAlignment="1" pivotButton="0" quotePrefix="0" xfId="0">
      <alignment horizontal="center" vertical="center" wrapText="1"/>
    </xf>
    <xf numFmtId="164" fontId="5" fillId="6" borderId="1" applyAlignment="1" pivotButton="0" quotePrefix="0" xfId="0">
      <alignment horizontal="center" vertical="center" wrapText="1"/>
    </xf>
    <xf numFmtId="165" fontId="5" fillId="4" borderId="1" applyAlignment="1" pivotButton="0" quotePrefix="0" xfId="0">
      <alignment horizontal="center" vertical="center" wrapText="1"/>
    </xf>
    <xf numFmtId="0" fontId="6" fillId="0" borderId="1" applyAlignment="1" pivotButton="0" quotePrefix="0" xfId="0">
      <alignment horizontal="left" vertical="top" wrapText="1" indent="1"/>
    </xf>
    <xf numFmtId="0" fontId="5" fillId="7" borderId="1" applyAlignment="1" pivotButton="0" quotePrefix="0" xfId="0">
      <alignment horizontal="center" vertical="center" wrapText="1"/>
    </xf>
    <xf numFmtId="0" fontId="6" fillId="4" borderId="1" applyAlignment="1" pivotButton="0" quotePrefix="0" xfId="0">
      <alignment horizontal="left" vertical="top" wrapText="1" indent="1"/>
    </xf>
    <xf numFmtId="0" fontId="5" fillId="8" borderId="1" applyAlignment="1" pivotButton="0" quotePrefix="0" xfId="0">
      <alignment horizontal="center" vertical="center"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F54"/>
  <sheetViews>
    <sheetView showGridLines="0" workbookViewId="0">
      <pane ySplit="6" topLeftCell="A7" activePane="bottomLeft" state="frozen"/>
      <selection pane="bottomLeft" activeCell="A1" sqref="A1"/>
    </sheetView>
  </sheetViews>
  <sheetFormatPr baseColWidth="8" defaultRowHeight="15"/>
  <cols>
    <col width="26" customWidth="1" min="1" max="1"/>
    <col width="30" customWidth="1" min="2" max="2"/>
    <col width="26" customWidth="1" min="3" max="3"/>
    <col width="30" customWidth="1" min="4" max="4"/>
    <col width="14" customWidth="1" min="5" max="5"/>
    <col width="14" customWidth="1" min="6" max="6"/>
  </cols>
  <sheetData>
    <row r="1" ht="15" customHeight="1">
      <c r="A1" s="1" t="inlineStr">
        <is>
          <t>AUTORIDAD NACIONAL DE INFRAESTRUCTURA - ANIN</t>
        </is>
      </c>
    </row>
    <row r="2" ht="15" customHeight="1">
      <c r="A2" s="1" t="inlineStr">
        <is>
          <t>DIRECCIÓN DE INTERVENCIONES MULTISECTORIALES Y DE EMERGENCIA - DIME</t>
        </is>
      </c>
    </row>
    <row r="3" ht="15" customHeight="1">
      <c r="A3" s="1" t="inlineStr">
        <is>
          <t>SUBDIRECCIÓN DE ESTUDIOS DE INVERSIÓN - SESDI</t>
        </is>
      </c>
    </row>
    <row r="4" ht="24" customHeight="1">
      <c r="A4" s="2" t="inlineStr">
        <is>
          <t>PROYECTO IN PIURA | CUI 2669244 | Recuperación del servicio de regulación de riesgos naturales y de ecosistemas degradados - Cuenca Alta del Río Piura</t>
        </is>
      </c>
    </row>
    <row r="5" ht="22" customHeight="1">
      <c r="A5" s="3" t="inlineStr">
        <is>
          <t>FICHA RESUMEN — BLOQUE PRELIMINAR DE INTERVENCIÓN 56</t>
        </is>
      </c>
    </row>
    <row r="6" ht="24" customHeight="1">
      <c r="A6" s="4" t="inlineStr">
        <is>
          <t>Diagnóstico Territorial — Plantilla DT Campo Check Validada V5 | Sistema de referencia: UTM WGS 84 Zona 17S (EPSG:32717)</t>
        </is>
      </c>
    </row>
    <row r="8" ht="18" customHeight="1">
      <c r="A8" s="5" t="inlineStr">
        <is>
          <t>1. IDENTIFICACIÓN Y LOCALIZACIÓN</t>
        </is>
      </c>
    </row>
    <row r="9">
      <c r="A9" s="6" t="inlineStr">
        <is>
          <t>Código del bloque</t>
        </is>
      </c>
      <c r="B9" s="7" t="inlineStr">
        <is>
          <t>56</t>
        </is>
      </c>
      <c r="C9" s="6" t="inlineStr">
        <is>
          <t>Microcuenca (catálogo)</t>
        </is>
      </c>
      <c r="D9" s="7" t="inlineStr">
        <is>
          <t>C1096-Q9564</t>
        </is>
      </c>
      <c r="E9" s="8" t="n"/>
      <c r="F9" s="8" t="n"/>
    </row>
    <row r="10">
      <c r="A10" s="6" t="inlineStr">
        <is>
          <t>Zona de planificación</t>
        </is>
      </c>
      <c r="B10" s="7" t="inlineStr">
        <is>
          <t>Z02</t>
        </is>
      </c>
      <c r="C10" s="6" t="inlineStr">
        <is>
          <t>Microcuenca declarada en ficha DT</t>
        </is>
      </c>
      <c r="D10" s="7" t="inlineStr">
        <is>
          <t>C1096-Q9564</t>
        </is>
      </c>
      <c r="E10" s="8" t="n"/>
      <c r="F10" s="8" t="n"/>
    </row>
    <row r="11">
      <c r="A11" s="6" t="inlineStr">
        <is>
          <t>Departamento</t>
        </is>
      </c>
      <c r="B11" s="7" t="inlineStr">
        <is>
          <t>Piura</t>
        </is>
      </c>
      <c r="C11" s="6" t="inlineStr">
        <is>
          <t>Provincia</t>
        </is>
      </c>
      <c r="D11" s="7" t="inlineStr">
        <is>
          <t>Ayabaca</t>
        </is>
      </c>
      <c r="E11" s="8" t="n"/>
      <c r="F11" s="8" t="n"/>
    </row>
    <row r="12">
      <c r="A12" s="6" t="inlineStr">
        <is>
          <t>Distrito</t>
        </is>
      </c>
      <c r="B12" s="7" t="inlineStr">
        <is>
          <t>Frias</t>
        </is>
      </c>
      <c r="C12" s="6" t="inlineStr">
        <is>
          <t>Capital distrital</t>
        </is>
      </c>
      <c r="D12" s="7" t="inlineStr">
        <is>
          <t>Frias</t>
        </is>
      </c>
      <c r="E12" s="8" t="n"/>
      <c r="F12" s="8" t="n"/>
    </row>
    <row r="13">
      <c r="A13" s="6" t="inlineStr">
        <is>
          <t>Centro poblado asociado</t>
        </is>
      </c>
      <c r="B13" s="7" t="inlineStr">
        <is>
          <t>Putagas (620 357 E · 9 451 508 N; 300 hab.) — referida en ficha; también Banda de la Cruz (75 hab.)</t>
        </is>
      </c>
      <c r="C13" s="6" t="inlineStr">
        <is>
          <t>Comunidad campesina</t>
        </is>
      </c>
      <c r="D13" s="7" t="inlineStr">
        <is>
          <t>Por verificar</t>
        </is>
      </c>
      <c r="E13" s="8" t="n"/>
      <c r="F13" s="8" t="n"/>
    </row>
    <row r="14">
      <c r="A14" s="6" t="inlineStr">
        <is>
          <t>Superficie de catálogo (V5/V6), ha</t>
        </is>
      </c>
      <c r="B14" s="7" t="n">
        <v>77.67</v>
      </c>
      <c r="C14" s="6" t="inlineStr">
        <is>
          <t>Fuente de superficie</t>
        </is>
      </c>
      <c r="D14" s="7" t="inlineStr">
        <is>
          <t>Catálogo maestro Bloques V5/V6</t>
        </is>
      </c>
      <c r="E14" s="8" t="n"/>
      <c r="F14" s="8" t="n"/>
    </row>
    <row r="15">
      <c r="A15" s="6" t="inlineStr">
        <is>
          <t>Centroide UTM ESTE (m)</t>
        </is>
      </c>
      <c r="B15" s="7" t="n">
        <v>631723</v>
      </c>
      <c r="C15" s="6" t="inlineStr">
        <is>
          <t>Centroide UTM NORTE (m)</t>
        </is>
      </c>
      <c r="D15" s="7" t="n">
        <v>9439702</v>
      </c>
      <c r="E15" s="8" t="n"/>
      <c r="F15" s="8" t="n"/>
    </row>
    <row r="16">
      <c r="A16" s="6" t="inlineStr">
        <is>
          <t>Sistema de coordenadas</t>
        </is>
      </c>
      <c r="B16" s="7" t="inlineStr">
        <is>
          <t>UTM WGS 84 Zona 17S (EPSG:32717)</t>
        </is>
      </c>
      <c r="C16" s="6" t="inlineStr">
        <is>
          <t>Tipo de intervención</t>
        </is>
      </c>
      <c r="D16" s="7" t="inlineStr">
        <is>
          <t>Restauración</t>
        </is>
      </c>
      <c r="E16" s="8" t="n"/>
      <c r="F16" s="8" t="n"/>
    </row>
    <row r="18" ht="18" customHeight="1">
      <c r="A18" s="5" t="inlineStr">
        <is>
          <t>2. PARÁMETROS FÍSICOS (ESTADÍSTICA ZONAL SOBRE MDE)</t>
        </is>
      </c>
    </row>
    <row r="19">
      <c r="A19" s="6" t="inlineStr">
        <is>
          <t>Altitud mínima (msnm)</t>
        </is>
      </c>
      <c r="B19" s="7" t="n">
        <v>2342</v>
      </c>
      <c r="C19" s="6" t="inlineStr">
        <is>
          <t>Altitud máxima (msnm)</t>
        </is>
      </c>
      <c r="D19" s="7" t="n">
        <v>2770</v>
      </c>
      <c r="E19" s="8" t="n"/>
      <c r="F19" s="8" t="n"/>
    </row>
    <row r="20">
      <c r="A20" s="6" t="inlineStr">
        <is>
          <t>Amplitud altitudinal (m)</t>
        </is>
      </c>
      <c r="B20" s="7" t="n">
        <v>428</v>
      </c>
      <c r="C20" s="6" t="inlineStr">
        <is>
          <t>Piso altitudinal dominante</t>
        </is>
      </c>
      <c r="D20" s="7" t="inlineStr">
        <is>
          <t>2500-3000 m (Suni)</t>
        </is>
      </c>
      <c r="E20" s="8" t="n"/>
      <c r="F20" s="8" t="n"/>
    </row>
    <row r="21">
      <c r="A21" s="6" t="inlineStr">
        <is>
          <t>Pendiente promedio (%)</t>
        </is>
      </c>
      <c r="B21" s="7" t="n">
        <v>27.27</v>
      </c>
      <c r="C21" s="6" t="inlineStr">
        <is>
          <t>Pendiente promedio (grados)</t>
        </is>
      </c>
      <c r="D21" s="7" t="n">
        <v>15.3</v>
      </c>
      <c r="E21" s="8" t="n"/>
      <c r="F21" s="8" t="n"/>
    </row>
    <row r="22">
      <c r="A22" s="6" t="inlineStr">
        <is>
          <t>Clase de pendiente equivalente</t>
        </is>
      </c>
      <c r="B22" s="7" t="inlineStr">
        <is>
          <t>25-50% (Mod. escarpado)</t>
        </is>
      </c>
      <c r="C22" s="6" t="inlineStr">
        <is>
          <t>Rango de pendiente declarado en campo</t>
        </is>
      </c>
      <c r="D22" s="7" t="inlineStr">
        <is>
          <t>25-50% (Mod. escarpado)</t>
        </is>
      </c>
      <c r="E22" s="8" t="n"/>
      <c r="F22" s="8" t="n"/>
    </row>
    <row r="23">
      <c r="A23" s="6" t="inlineStr">
        <is>
          <t>Forma predominante del terreno</t>
        </is>
      </c>
      <c r="B23" s="7" t="inlineStr">
        <is>
          <t>Montañoso</t>
        </is>
      </c>
      <c r="C23" s="6" t="inlineStr">
        <is>
          <t>Posición fisiográfica</t>
        </is>
      </c>
      <c r="D23" s="7" t="inlineStr">
        <is>
          <t>Ladera media</t>
        </is>
      </c>
      <c r="E23" s="8" t="n"/>
      <c r="F23" s="8" t="n"/>
    </row>
    <row r="24">
      <c r="A24" s="6" t="inlineStr">
        <is>
          <t>Exposición / orientación</t>
        </is>
      </c>
      <c r="B24" s="7" t="inlineStr">
        <is>
          <t>Noreste</t>
        </is>
      </c>
      <c r="C24" s="6" t="inlineStr">
        <is>
          <t>Afloramientos rocosos</t>
        </is>
      </c>
      <c r="D24" s="7" t="inlineStr">
        <is>
          <t>No evaluado (sin acceso interno)</t>
        </is>
      </c>
      <c r="E24" s="8" t="n"/>
      <c r="F24" s="8" t="n"/>
    </row>
    <row r="25">
      <c r="A25" s="6" t="inlineStr">
        <is>
          <t>Escarpes activos</t>
        </is>
      </c>
      <c r="B25" s="7" t="inlineStr">
        <is>
          <t>Sí</t>
        </is>
      </c>
      <c r="C25" s="6" t="inlineStr">
        <is>
          <t>Remociones en masa activas</t>
        </is>
      </c>
      <c r="D25" s="7" t="inlineStr">
        <is>
          <t>No observadas desde el exterior; por verificar en el interior</t>
        </is>
      </c>
      <c r="E25" s="8" t="n"/>
      <c r="F25" s="8" t="n"/>
    </row>
    <row r="27" ht="18" customHeight="1">
      <c r="A27" s="5" t="inlineStr">
        <is>
          <t>3. ÍNDICES DE VEGETACIÓN (SENTINEL-2)</t>
        </is>
      </c>
    </row>
    <row r="28">
      <c r="A28" s="6" t="inlineStr">
        <is>
          <t>MSAVI 2024 — media del bloque</t>
        </is>
      </c>
      <c r="B28" s="7" t="n">
        <v>0.6777</v>
      </c>
      <c r="C28" s="6" t="inlineStr">
        <is>
          <t>MSAVI 2024 — clase de la media</t>
        </is>
      </c>
      <c r="D28" s="7" t="inlineStr">
        <is>
          <t>&gt; 0.6139 (Vigor alto)</t>
        </is>
      </c>
      <c r="E28" s="8" t="n"/>
      <c r="F28" s="8" t="n"/>
    </row>
    <row r="29">
      <c r="A29" s="6" t="inlineStr">
        <is>
          <t>Condición frente al umbral 0.4976</t>
        </is>
      </c>
      <c r="B29" s="7" t="inlineStr">
        <is>
          <t>Sobre umbral</t>
        </is>
      </c>
      <c r="C29" s="6" t="inlineStr">
        <is>
          <t>NDVI mediana 2025 — clase modal</t>
        </is>
      </c>
      <c r="D29" s="7" t="inlineStr">
        <is>
          <t>Vegetación alta (94.90 %)</t>
        </is>
      </c>
      <c r="E29" s="8" t="n"/>
      <c r="F29" s="8" t="n"/>
    </row>
    <row r="30">
      <c r="A30" s="6" t="inlineStr">
        <is>
          <t>Superficie clasificada NDVI 2025 (ha)</t>
        </is>
      </c>
      <c r="B30" s="7" t="n">
        <v>77.699</v>
      </c>
      <c r="C30" s="6" t="inlineStr">
        <is>
          <t>Desviación frente al catálogo (%)</t>
        </is>
      </c>
      <c r="D30" s="7" t="n">
        <v>0.04</v>
      </c>
      <c r="E30" s="8" t="n"/>
      <c r="F30" s="8" t="n"/>
    </row>
    <row r="32" ht="18" customHeight="1">
      <c r="A32" s="5" t="inlineStr">
        <is>
          <t>4. ECOSISTEMA Y ESTADO DE CONSERVACIÓN</t>
        </is>
      </c>
    </row>
    <row r="33">
      <c r="A33" s="6" t="inlineStr">
        <is>
          <t>Tipo de ecosistema (UP)</t>
        </is>
      </c>
      <c r="B33" s="7" t="inlineStr">
        <is>
          <t>Bosque Relicto Montano de Vertiente Occidental (BMVO)</t>
        </is>
      </c>
      <c r="C33" s="6" t="inlineStr">
        <is>
          <t>Superficie de ecosistema (ha)</t>
        </is>
      </c>
      <c r="D33" s="7" t="inlineStr">
        <is>
          <t>77.67 ha totales — Br-mvoc 41.85 ha (53.9%); Zona agrícola 35.82 ha (46.1%)</t>
        </is>
      </c>
      <c r="E33" s="8" t="n"/>
      <c r="F33" s="8" t="n"/>
    </row>
    <row r="34">
      <c r="A34" s="6" t="inlineStr">
        <is>
          <t>Estado de conservación</t>
        </is>
      </c>
      <c r="B34" s="7" t="inlineStr">
        <is>
          <t>Levemente alterado</t>
        </is>
      </c>
      <c r="C34" s="6" t="inlineStr">
        <is>
          <t>Uso actual dominante del suelo</t>
        </is>
      </c>
      <c r="D34" s="7" t="inlineStr">
        <is>
          <t>Uso mixto</t>
        </is>
      </c>
      <c r="E34" s="8" t="n"/>
      <c r="F34" s="8" t="n"/>
    </row>
    <row r="35">
      <c r="A35" s="6" t="inlineStr">
        <is>
          <t>Tipo de cobertura dominante</t>
        </is>
      </c>
      <c r="B35" s="7" t="inlineStr">
        <is>
          <t>Mixto / Mosaico</t>
        </is>
      </c>
      <c r="C35" s="6" t="inlineStr">
        <is>
          <t>Cobertura vegetal total — campo (%)</t>
        </is>
      </c>
      <c r="D35" s="7" t="inlineStr">
        <is>
          <t>Por determinar</t>
        </is>
      </c>
      <c r="E35" s="8" t="n"/>
      <c r="F35" s="8" t="n"/>
    </row>
    <row r="36">
      <c r="A36" s="6" t="inlineStr">
        <is>
          <t>Suelo desnudo — campo (%)</t>
        </is>
      </c>
      <c r="B36" s="7" t="inlineStr">
        <is>
          <t>Por determinar</t>
        </is>
      </c>
      <c r="C36" s="6" t="inlineStr">
        <is>
          <t>Regeneración natural</t>
        </is>
      </c>
      <c r="D36" s="7" t="inlineStr">
        <is>
          <t>Por determinar</t>
        </is>
      </c>
      <c r="E36" s="8" t="n"/>
      <c r="F36" s="8" t="n"/>
    </row>
    <row r="37">
      <c r="A37" s="6" t="inlineStr">
        <is>
          <t>Nivel general de erosión</t>
        </is>
      </c>
      <c r="B37" s="7" t="inlineStr">
        <is>
          <t>Severa (cárcavas activas) — franja de aproximación</t>
        </is>
      </c>
      <c r="C37" s="6" t="inlineStr">
        <is>
          <t>N.° de cárcavas registradas</t>
        </is>
      </c>
      <c r="D37" s="7" t="n">
        <v>4</v>
      </c>
      <c r="E37" s="8" t="n"/>
      <c r="F37" s="8" t="n"/>
    </row>
    <row r="38">
      <c r="A38" s="6" t="inlineStr">
        <is>
          <t>Elenco florístico (n.° de taxones)</t>
        </is>
      </c>
      <c r="B38" s="7" t="n">
        <v>5</v>
      </c>
      <c r="C38" s="6" t="inlineStr">
        <is>
          <t>Estado sanitario</t>
        </is>
      </c>
      <c r="D38" s="7" t="inlineStr">
        <is>
          <t>Sano</t>
        </is>
      </c>
      <c r="E38" s="8" t="n"/>
      <c r="F38" s="8" t="n"/>
    </row>
    <row r="40" ht="18" customHeight="1">
      <c r="A40" s="5" t="inlineStr">
        <is>
          <t>5. RESPONSABLE Y MODALIDAD DE LA EVALUACIÓN</t>
        </is>
      </c>
    </row>
    <row r="41">
      <c r="A41" s="6" t="inlineStr">
        <is>
          <t>Responsable de la evaluación</t>
        </is>
      </c>
      <c r="B41" s="7" t="inlineStr">
        <is>
          <t>Héctor Cahuas y Juan Domínguez — SESDI/DIME/ANIN</t>
        </is>
      </c>
      <c r="C41" s="6" t="inlineStr">
        <is>
          <t>Fecha de evaluación</t>
        </is>
      </c>
      <c r="D41" s="7" t="inlineStr">
        <is>
          <t>2026-06-24</t>
        </is>
      </c>
      <c r="E41" s="8" t="n"/>
      <c r="F41" s="8" t="n"/>
    </row>
    <row r="42">
      <c r="A42" s="6" t="inlineStr">
        <is>
          <t>Hora de registro</t>
        </is>
      </c>
      <c r="B42" s="7" t="inlineStr">
        <is>
          <t>09:41 - 10:05 h</t>
        </is>
      </c>
      <c r="C42" s="6" t="inlineStr">
        <is>
          <t>Correlativo de ficha</t>
        </is>
      </c>
      <c r="D42" s="7" t="inlineStr">
        <is>
          <t>F-DT-01..05/B56/2026</t>
        </is>
      </c>
      <c r="E42" s="8" t="n"/>
      <c r="F42" s="8" t="n"/>
    </row>
    <row r="43">
      <c r="A43" s="6" t="inlineStr">
        <is>
          <t>Entidad</t>
        </is>
      </c>
      <c r="B43" s="7" t="inlineStr">
        <is>
          <t>ANIN - DIME - SESDI</t>
        </is>
      </c>
      <c r="C43" s="6" t="inlineStr">
        <is>
          <t>Fase del estudio</t>
        </is>
      </c>
      <c r="D43" s="7" t="inlineStr">
        <is>
          <t>Preinversión (Perfil) · Invierte.pe</t>
        </is>
      </c>
      <c r="E43" s="8" t="n"/>
      <c r="F43" s="8" t="n"/>
    </row>
    <row r="44">
      <c r="A44" s="6" t="inlineStr">
        <is>
          <t>Instrumento aplicado</t>
        </is>
      </c>
      <c r="B44" s="7" t="inlineStr">
        <is>
          <t>Fichas F-DT-01 a F-DT-05 (Plantilla V5)</t>
        </is>
      </c>
      <c r="C44" s="6" t="inlineStr">
        <is>
          <t>Parcela de muestreo</t>
        </is>
      </c>
      <c r="D44" s="7" t="inlineStr">
        <is>
          <t>No instalada — caracterización referencial de gabinete (sin acceso al interior)</t>
        </is>
      </c>
      <c r="E44" s="8" t="n"/>
      <c r="F44" s="8" t="n"/>
    </row>
    <row r="45">
      <c r="A45" s="6" t="inlineStr">
        <is>
          <t>Estaciones fotográficas georreferenciadas</t>
        </is>
      </c>
      <c r="B45" s="7" t="n">
        <v>0</v>
      </c>
      <c r="C45" s="6" t="inlineStr">
        <is>
          <t>Modalidad de acceso</t>
        </is>
      </c>
      <c r="D45" s="7" t="inlineStr">
        <is>
          <t>Vehicular + caminata 30-90 min</t>
        </is>
      </c>
      <c r="E45" s="8" t="n"/>
      <c r="F45" s="8" t="n"/>
    </row>
    <row r="47" ht="18" customHeight="1">
      <c r="A47" s="5" t="inlineStr">
        <is>
          <t>6. SÍNTESIS PARA LA GESTIÓN DEL RIESGO EN CONTEXTO DE CAMBIO CLIMÁTICO</t>
        </is>
      </c>
    </row>
    <row r="48">
      <c r="A48" s="6" t="inlineStr">
        <is>
          <t>Causa subyacente principal</t>
        </is>
      </c>
      <c r="B48" s="7" t="inlineStr">
        <is>
          <t>Presión agropecuaria sobre laderas de fuerte pendiente y desestabilización asociada a la trocha de acceso</t>
        </is>
      </c>
      <c r="C48" s="6" t="inlineStr">
        <is>
          <t>Velocidad de degradación</t>
        </is>
      </c>
      <c r="D48" s="7" t="inlineStr">
        <is>
          <t>Moderada</t>
        </is>
      </c>
      <c r="E48" s="8" t="n"/>
      <c r="F48" s="8" t="n"/>
    </row>
    <row r="49">
      <c r="A49" s="6" t="inlineStr">
        <is>
          <t>Reversibilidad técnica</t>
        </is>
      </c>
      <c r="B49" s="7" t="inlineStr">
        <is>
          <t>Por determinar</t>
        </is>
      </c>
      <c r="C49" s="6" t="inlineStr">
        <is>
          <t>Urgencia de intervención</t>
        </is>
      </c>
      <c r="D49" s="7" t="inlineStr">
        <is>
          <t>Por determinar</t>
        </is>
      </c>
      <c r="E49" s="8" t="n"/>
      <c r="F49" s="8" t="n"/>
    </row>
    <row r="50">
      <c r="A50" s="6" t="inlineStr">
        <is>
          <t>Urgencia de control de erosión</t>
        </is>
      </c>
      <c r="B50" s="7" t="inlineStr">
        <is>
          <t>Por determinar</t>
        </is>
      </c>
      <c r="C50" s="6" t="inlineStr">
        <is>
          <t>Zona de recarga hídrica</t>
        </is>
      </c>
      <c r="D50" s="7" t="inlineStr">
        <is>
          <t>Sí</t>
        </is>
      </c>
      <c r="E50" s="8" t="n"/>
      <c r="F50" s="8" t="n"/>
    </row>
    <row r="51">
      <c r="A51" s="6" t="inlineStr">
        <is>
          <t>Peligro integrado preliminar (MCA-AHP)</t>
        </is>
      </c>
      <c r="B51" s="7" t="inlineStr">
        <is>
          <t>No disponible en los insumos; debe tomarse del modelamiento de mesolocalización</t>
        </is>
      </c>
      <c r="C51" s="6" t="inlineStr">
        <is>
          <t>Prioridad de intervención</t>
        </is>
      </c>
      <c r="D51" s="7" t="inlineStr">
        <is>
          <t>Por definir en mesolocalización</t>
        </is>
      </c>
      <c r="E51" s="8" t="n"/>
      <c r="F51" s="8" t="n"/>
    </row>
    <row r="52">
      <c r="A52" s="6" t="inlineStr">
        <is>
          <t>Estado de verificación de campo</t>
        </is>
      </c>
      <c r="B52" s="7" t="inlineStr">
        <is>
          <t>VERIFICADO</t>
        </is>
      </c>
      <c r="C52" s="6" t="inlineStr">
        <is>
          <t>Marco del indicador de brecha</t>
        </is>
      </c>
      <c r="D52" s="7" t="inlineStr">
        <is>
          <t>R.M. N.° 00213-2024-MINAM</t>
        </is>
      </c>
      <c r="E52" s="8" t="n"/>
      <c r="F52" s="8" t="n"/>
    </row>
    <row r="54" ht="72" customHeight="1">
      <c r="A54" s="9" t="inlineStr">
        <is>
          <t>DECLARACIÓN DE INTEGRIDAD DE DATOS. Ningún valor ausente ha sido estimado o inferido sin declararlo. Los campos que no pudieron sustentarse en observación de campo, estadística zonal o catálogo oficial se consignan como «Por determinar» o «Por verificar». La altitud y la pendiente proceden de estadística zonal sobre el modelo digital de elevación; el MSAVI 2024 y el NDVI mediana 2025 proceden de compuestos Sentinel-2. Las discrepancias detectadas entre campo, gabinete y catálogo se listan en la hoja «Control de consistencia».</t>
        </is>
      </c>
    </row>
  </sheetData>
  <mergeCells count="13">
    <mergeCell ref="A2:F2"/>
    <mergeCell ref="A54:F54"/>
    <mergeCell ref="A47:F47"/>
    <mergeCell ref="A1:F1"/>
    <mergeCell ref="A5:F5"/>
    <mergeCell ref="A32:F32"/>
    <mergeCell ref="A27:F27"/>
    <mergeCell ref="A8:F8"/>
    <mergeCell ref="A6:F6"/>
    <mergeCell ref="A40:F40"/>
    <mergeCell ref="A18:F18"/>
    <mergeCell ref="A4:F4"/>
    <mergeCell ref="A3:F3"/>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E27"/>
  <sheetViews>
    <sheetView showGridLines="0" workbookViewId="0">
      <pane ySplit="6" topLeftCell="A7" activePane="bottomLeft" state="frozen"/>
      <selection pane="bottomLeft" activeCell="A1" sqref="A1"/>
    </sheetView>
  </sheetViews>
  <sheetFormatPr baseColWidth="8" defaultRowHeight="15"/>
  <cols>
    <col width="24" customWidth="1" min="1" max="1"/>
    <col width="16" customWidth="1" min="2" max="2"/>
    <col width="20" customWidth="1" min="3" max="3"/>
    <col width="30" customWidth="1" min="4" max="4"/>
    <col width="28" customWidth="1" min="5" max="5"/>
  </cols>
  <sheetData>
    <row r="1" ht="15" customHeight="1">
      <c r="A1" s="1" t="inlineStr">
        <is>
          <t>AUTORIDAD NACIONAL DE INFRAESTRUCTURA - ANIN</t>
        </is>
      </c>
    </row>
    <row r="2" ht="15" customHeight="1">
      <c r="A2" s="1" t="inlineStr">
        <is>
          <t>DIRECCIÓN DE INTERVENCIONES MULTISECTORIALES Y DE EMERGENCIA - DIME</t>
        </is>
      </c>
    </row>
    <row r="3" ht="15" customHeight="1">
      <c r="A3" s="1" t="inlineStr">
        <is>
          <t>SUBDIRECCIÓN DE ESTUDIOS DE INVERSIÓN - SESDI</t>
        </is>
      </c>
    </row>
    <row r="4" ht="24" customHeight="1">
      <c r="A4" s="2" t="inlineStr">
        <is>
          <t>PROYECTO IN PIURA | CUI 2669244 | Recuperación del servicio de regulación de riesgos naturales y de ecosistemas degradados - Cuenca Alta del Río Piura</t>
        </is>
      </c>
    </row>
    <row r="5" ht="22" customHeight="1">
      <c r="A5" s="3" t="inlineStr">
        <is>
          <t>DISTRIBUCIÓN AREAL DE CLASES ESPECTRALES — BLOQUE 56</t>
        </is>
      </c>
    </row>
    <row r="6" ht="24" customHeight="1">
      <c r="A6" s="4" t="inlineStr">
        <is>
          <t>MSAVI 2024 y NDVI mediana 2025 (Sentinel-2, mosaico Piura) · Umbral de brecha del proyecto: MSAVI = 0.4976</t>
        </is>
      </c>
    </row>
    <row r="8" ht="18" customHeight="1">
      <c r="A8" s="5" t="inlineStr">
        <is>
          <t>A. MSAVI 2024 — CLASIFICACIÓN POR UMBRALES DEL PROYECTO</t>
        </is>
      </c>
    </row>
    <row r="9" ht="28" customHeight="1">
      <c r="A9" s="10" t="inlineStr">
        <is>
          <t>Clase MSAVI</t>
        </is>
      </c>
      <c r="B9" s="10" t="inlineStr">
        <is>
          <t>Superficie (ha)</t>
        </is>
      </c>
      <c r="C9" s="10" t="inlineStr">
        <is>
          <t>% del área clasificada</t>
        </is>
      </c>
      <c r="D9" s="10" t="inlineStr">
        <is>
          <t>Interpretación</t>
        </is>
      </c>
      <c r="E9" s="10" t="inlineStr">
        <is>
          <t>Condición frente al umbral 0.4976</t>
        </is>
      </c>
    </row>
    <row r="10">
      <c r="A10" s="11" t="inlineStr">
        <is>
          <t>&gt; 0.6139</t>
        </is>
      </c>
      <c r="B10" s="12" t="inlineStr">
        <is>
          <t>Por determinar</t>
        </is>
      </c>
      <c r="C10" s="12" t="inlineStr">
        <is>
          <t>Por determinar</t>
        </is>
      </c>
      <c r="D10" s="12" t="inlineStr">
        <is>
          <t>Vigor alto</t>
        </is>
      </c>
      <c r="E10" s="12" t="inlineStr">
        <is>
          <t>Sobre umbral</t>
        </is>
      </c>
    </row>
    <row r="11">
      <c r="A11" s="13" t="inlineStr">
        <is>
          <t>0.4976 - 0.6139</t>
        </is>
      </c>
      <c r="B11" s="14" t="inlineStr">
        <is>
          <t>Por determinar</t>
        </is>
      </c>
      <c r="C11" s="14" t="inlineStr">
        <is>
          <t>Por determinar</t>
        </is>
      </c>
      <c r="D11" s="14" t="inlineStr">
        <is>
          <t>Vigor moderado</t>
        </is>
      </c>
      <c r="E11" s="14" t="inlineStr">
        <is>
          <t>Sobre umbral</t>
        </is>
      </c>
    </row>
    <row r="12">
      <c r="A12" s="7" t="inlineStr">
        <is>
          <t>0.3813 - 0.4976</t>
        </is>
      </c>
      <c r="B12" s="15" t="inlineStr">
        <is>
          <t>Por determinar</t>
        </is>
      </c>
      <c r="C12" s="15" t="inlineStr">
        <is>
          <t>Por determinar</t>
        </is>
      </c>
      <c r="D12" s="15" t="inlineStr">
        <is>
          <t>Vigor bajo</t>
        </is>
      </c>
      <c r="E12" s="15" t="inlineStr">
        <is>
          <t>BAJO umbral 0.4976</t>
        </is>
      </c>
    </row>
    <row r="13">
      <c r="A13" s="13" t="inlineStr">
        <is>
          <t>0.2650 - 0.3813</t>
        </is>
      </c>
      <c r="B13" s="14" t="inlineStr">
        <is>
          <t>Por determinar</t>
        </is>
      </c>
      <c r="C13" s="14" t="inlineStr">
        <is>
          <t>Por determinar</t>
        </is>
      </c>
      <c r="D13" s="14" t="inlineStr">
        <is>
          <t>Vigor muy bajo</t>
        </is>
      </c>
      <c r="E13" s="14" t="inlineStr">
        <is>
          <t>BAJO umbral 0.4976</t>
        </is>
      </c>
    </row>
    <row r="14">
      <c r="A14" s="7" t="inlineStr">
        <is>
          <t>&lt;= 0.2650</t>
        </is>
      </c>
      <c r="B14" s="15" t="inlineStr">
        <is>
          <t>Por determinar</t>
        </is>
      </c>
      <c r="C14" s="15" t="inlineStr">
        <is>
          <t>Por determinar</t>
        </is>
      </c>
      <c r="D14" s="15" t="inlineStr">
        <is>
          <t>Suelo desnudo / no vegetal</t>
        </is>
      </c>
      <c r="E14" s="15" t="inlineStr">
        <is>
          <t>BAJO umbral 0.4976</t>
        </is>
      </c>
    </row>
    <row r="15">
      <c r="A15" s="16" t="inlineStr">
        <is>
          <t>MSAVI 2024 — MEDIA DEL BLOQUE</t>
        </is>
      </c>
      <c r="B15" s="17" t="n">
        <v>0.677658</v>
      </c>
      <c r="C15" s="17" t="inlineStr">
        <is>
          <t>—</t>
        </is>
      </c>
      <c r="D15" s="17" t="inlineStr">
        <is>
          <t>Vigor alto · clase &gt; 0.6139</t>
        </is>
      </c>
      <c r="E15" s="17" t="inlineStr">
        <is>
          <t>Sobre umbral</t>
        </is>
      </c>
    </row>
    <row r="17" ht="72" customHeight="1">
      <c r="A17" s="9" t="inlineStr">
        <is>
          <t>NOTA METODOLÓGICA. La media del MSAVI 2024 del bloque (0.677658) procede del catálogo maestro de bloques V5/V6 y es dato oficial. La DISTRIBUCIÓN AREAL por clase de MSAVI no está disponible como estadística zonal en los insumos de este entregable: se consigna «Por determinar» y NO se estima, conforme a la declaración de integridad de datos del proyecto. La fila resaltada indica la clase en la que cae la media del bloque. Para el dimensionamiento de metas físicas debe ejecutarse estadística zonal directa sobre el ráster MSAVI 2024 recortado al polígono.</t>
        </is>
      </c>
    </row>
    <row r="19" ht="18" customHeight="1">
      <c r="A19" s="5" t="inlineStr">
        <is>
          <t>B. NDVI MEDIANA 2025 — DISTRIBUCIÓN AREAL (ESTADÍSTICA ZONAL)</t>
        </is>
      </c>
    </row>
    <row r="20" ht="28" customHeight="1">
      <c r="A20" s="10" t="inlineStr">
        <is>
          <t>Clase NDVI</t>
        </is>
      </c>
      <c r="B20" s="10" t="inlineStr">
        <is>
          <t>Superficie (ha)</t>
        </is>
      </c>
      <c r="C20" s="10" t="inlineStr">
        <is>
          <t>% del área clasificada</t>
        </is>
      </c>
      <c r="D20" s="10" t="inlineStr">
        <is>
          <t>Interpretación</t>
        </is>
      </c>
      <c r="E20" s="10" t="inlineStr">
        <is>
          <t>Observación</t>
        </is>
      </c>
    </row>
    <row r="21">
      <c r="A21" s="7" t="inlineStr">
        <is>
          <t>Vegetación alta</t>
        </is>
      </c>
      <c r="B21" s="18" t="n">
        <v>73.7362</v>
      </c>
      <c r="C21" s="19" t="n">
        <v>94.90000000000001</v>
      </c>
      <c r="D21" s="15" t="inlineStr">
        <is>
          <t>Dosel continuo, matorral denso o mosaico agroforestal</t>
        </is>
      </c>
      <c r="E21" s="15" t="inlineStr"/>
    </row>
    <row r="22">
      <c r="A22" s="13" t="inlineStr">
        <is>
          <t>Vegetación mediana</t>
        </is>
      </c>
      <c r="B22" s="20" t="n">
        <v>3.9235</v>
      </c>
      <c r="C22" s="21" t="n">
        <v>5.05</v>
      </c>
      <c r="D22" s="14" t="inlineStr">
        <is>
          <t>Pastizal cultivado, matorral ralo, parcelas agrícolas</t>
        </is>
      </c>
      <c r="E22" s="14" t="inlineStr"/>
    </row>
    <row r="23">
      <c r="A23" s="7" t="inlineStr">
        <is>
          <t>Vegetación ligera</t>
        </is>
      </c>
      <c r="B23" s="18" t="n">
        <v>0.0396</v>
      </c>
      <c r="C23" s="19" t="n">
        <v>0.05</v>
      </c>
      <c r="D23" s="15" t="inlineStr">
        <is>
          <t>Cobertura discontinua, suelo parcialmente expuesto</t>
        </is>
      </c>
      <c r="E23" s="15" t="inlineStr"/>
    </row>
    <row r="24">
      <c r="A24" s="16" t="inlineStr">
        <is>
          <t>TOTAL CLASIFICADO</t>
        </is>
      </c>
      <c r="B24" s="22">
        <f>SUM(B21:B23)</f>
        <v/>
      </c>
      <c r="C24" s="23">
        <f>SUM(C21:C23)</f>
        <v/>
      </c>
      <c r="D24" s="17" t="inlineStr"/>
      <c r="E24" s="17" t="inlineStr"/>
    </row>
    <row r="25">
      <c r="A25" s="24" t="inlineStr">
        <is>
          <t>Superficie de catálogo (V5/V6)</t>
        </is>
      </c>
      <c r="B25" s="25" t="n">
        <v>77.67</v>
      </c>
      <c r="C25" s="25" t="inlineStr">
        <is>
          <t>—</t>
        </is>
      </c>
      <c r="D25" s="25" t="inlineStr">
        <is>
          <t>Desviación planimétrica frente al catálogo</t>
        </is>
      </c>
      <c r="E25" s="25" t="inlineStr">
        <is>
          <t>+0.04 %</t>
        </is>
      </c>
    </row>
    <row r="27" ht="72" customHeight="1">
      <c r="A27" s="9" t="inlineStr">
        <is>
          <t>LECTURA CRÍTICA. Los índices MSAVI y NDVI miden vigor y densidad de biomasa, no composición ni integridad ecosistémica. Un valor alto NO equivale a ausencia de degradación: en bloques con mosaico agrícola, pastizal cultivado o plantaciones, la respuesta espectral puede ser alta sobre una unidad productora sustituida en su composición. La diferencia entre ambos productos no debe leerse como mejora entre 2024 y 2025: son índices distintos (el NDVI satura ante biomasa densa, el MSAVI conserva sensibilidad al suelo de fondo) aplicados sobre compuestos temporales distintos.</t>
        </is>
      </c>
    </row>
  </sheetData>
  <mergeCells count="10">
    <mergeCell ref="A4:E4"/>
    <mergeCell ref="A2:E2"/>
    <mergeCell ref="A19:E19"/>
    <mergeCell ref="A1:E1"/>
    <mergeCell ref="A5:E5"/>
    <mergeCell ref="A8:E8"/>
    <mergeCell ref="A6:E6"/>
    <mergeCell ref="A17:E17"/>
    <mergeCell ref="A27:E27"/>
    <mergeCell ref="A3:E3"/>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20"/>
  <sheetViews>
    <sheetView showGridLines="0" workbookViewId="0">
      <pane ySplit="6" topLeftCell="A7" activePane="bottomLeft" state="frozen"/>
      <selection pane="bottomLeft" activeCell="A1" sqref="A1"/>
    </sheetView>
  </sheetViews>
  <sheetFormatPr baseColWidth="8" defaultRowHeight="15"/>
  <cols>
    <col width="12" customWidth="1" min="1" max="1"/>
    <col width="34" customWidth="1" min="2" max="2"/>
    <col width="15" customWidth="1" min="3" max="3"/>
    <col width="15" customWidth="1" min="4" max="4"/>
    <col width="18" customWidth="1" min="5" max="5"/>
    <col width="22" customWidth="1" min="6" max="6"/>
    <col width="44" customWidth="1" min="7" max="7"/>
  </cols>
  <sheetData>
    <row r="1" ht="15" customHeight="1">
      <c r="A1" s="1" t="inlineStr">
        <is>
          <t>AUTORIDAD NACIONAL DE INFRAESTRUCTURA - ANIN</t>
        </is>
      </c>
    </row>
    <row r="2" ht="15" customHeight="1">
      <c r="A2" s="1" t="inlineStr">
        <is>
          <t>DIRECCIÓN DE INTERVENCIONES MULTISECTORIALES Y DE EMERGENCIA - DIME</t>
        </is>
      </c>
    </row>
    <row r="3" ht="15" customHeight="1">
      <c r="A3" s="1" t="inlineStr">
        <is>
          <t>SUBDIRECCIÓN DE ESTUDIOS DE INVERSIÓN - SESDI</t>
        </is>
      </c>
    </row>
    <row r="4" ht="24" customHeight="1">
      <c r="A4" s="2" t="inlineStr">
        <is>
          <t>PROYECTO IN PIURA | CUI 2669244 | Recuperación del servicio de regulación de riesgos naturales y de ecosistemas degradados - Cuenca Alta del Río Piura</t>
        </is>
      </c>
    </row>
    <row r="5" ht="22" customHeight="1">
      <c r="A5" s="3" t="inlineStr">
        <is>
          <t>PUNTOS GEORREFERENCIADOS DE VERIFICACIÓN — BLOQUE 56</t>
        </is>
      </c>
    </row>
    <row r="6" ht="24" customHeight="1">
      <c r="A6" s="4" t="inlineStr">
        <is>
          <t>Levantamiento del 2026-06-24 · Sistema de referencia UTM WGS 84 Zona 17S (EPSG:32717)</t>
        </is>
      </c>
    </row>
    <row r="8" ht="18" customHeight="1">
      <c r="A8" s="5" t="inlineStr">
        <is>
          <t>INVENTARIO DE PUNTOS GEORREFERENCIADOS DE LA FICHA DT</t>
        </is>
      </c>
    </row>
    <row r="9" ht="28" customHeight="1">
      <c r="A9" s="10" t="inlineStr">
        <is>
          <t>Código</t>
        </is>
      </c>
      <c r="B9" s="10" t="inlineStr">
        <is>
          <t>Naturaleza del punto</t>
        </is>
      </c>
      <c r="C9" s="10" t="inlineStr">
        <is>
          <t>UTM ESTE (m)</t>
        </is>
      </c>
      <c r="D9" s="10" t="inlineStr">
        <is>
          <t>UTM NORTE (m)</t>
        </is>
      </c>
      <c r="E9" s="10" t="inlineStr">
        <is>
          <t>Dist. al centroide (m)</t>
        </is>
      </c>
      <c r="F9" s="10" t="inlineStr">
        <is>
          <t>Estado / régimen</t>
        </is>
      </c>
      <c r="G9" s="10" t="inlineStr">
        <is>
          <t>Contenido registrado</t>
        </is>
      </c>
    </row>
    <row r="10">
      <c r="A10" s="7" t="inlineStr">
        <is>
          <t>P-00</t>
        </is>
      </c>
      <c r="B10" s="15" t="inlineStr">
        <is>
          <t>Punto de muestreo declarado en ficha DT</t>
        </is>
      </c>
      <c r="C10" s="26" t="n">
        <v>645575</v>
      </c>
      <c r="D10" s="26" t="n">
        <v>9393500</v>
      </c>
      <c r="E10" s="15" t="n">
        <v>48233.8</v>
      </c>
      <c r="F10" s="15" t="inlineStr"/>
      <c r="G10" s="15" t="inlineStr">
        <is>
          <t>Coordenada consignada en F-DT-01</t>
        </is>
      </c>
    </row>
    <row r="11">
      <c r="A11" s="13" t="inlineStr">
        <is>
          <t>E-01</t>
        </is>
      </c>
      <c r="B11" s="14" t="inlineStr">
        <is>
          <t>Rasgo erosivo — Por determinar</t>
        </is>
      </c>
      <c r="C11" s="27" t="n">
        <v>620598</v>
      </c>
      <c r="D11" s="27" t="n">
        <v>9451513</v>
      </c>
      <c r="E11" s="14" t="n">
        <v>16225.5</v>
      </c>
      <c r="F11" s="14" t="inlineStr">
        <is>
          <t>Activa</t>
        </is>
      </c>
      <c r="G11" s="14" t="inlineStr">
        <is>
          <t>Concentración natural de escorrentía</t>
        </is>
      </c>
    </row>
    <row r="12">
      <c r="A12" s="7" t="inlineStr">
        <is>
          <t>E-02</t>
        </is>
      </c>
      <c r="B12" s="15" t="inlineStr">
        <is>
          <t>Rasgo erosivo — Surco (&lt;30 cm)</t>
        </is>
      </c>
      <c r="C12" s="26" t="n">
        <v>620593</v>
      </c>
      <c r="D12" s="26" t="n">
        <v>9451503</v>
      </c>
      <c r="E12" s="15" t="n">
        <v>16221.6</v>
      </c>
      <c r="F12" s="15" t="inlineStr">
        <is>
          <t>Activa</t>
        </is>
      </c>
      <c r="G12" s="15" t="inlineStr">
        <is>
          <t>Concentración natural de escorrentía</t>
        </is>
      </c>
    </row>
    <row r="13">
      <c r="A13" s="13" t="inlineStr">
        <is>
          <t>E-03</t>
        </is>
      </c>
      <c r="B13" s="14" t="inlineStr">
        <is>
          <t>Rasgo erosivo — Por determinar</t>
        </is>
      </c>
      <c r="C13" s="27" t="n">
        <v>620600</v>
      </c>
      <c r="D13" s="27" t="n">
        <v>9451512</v>
      </c>
      <c r="E13" s="14" t="n">
        <v>16223.4</v>
      </c>
      <c r="F13" s="14" t="inlineStr">
        <is>
          <t>Activa</t>
        </is>
      </c>
      <c r="G13" s="14" t="inlineStr">
        <is>
          <t>Otro (talud de corte de vía)</t>
        </is>
      </c>
    </row>
    <row r="14">
      <c r="A14" s="7" t="inlineStr">
        <is>
          <t>E-04</t>
        </is>
      </c>
      <c r="B14" s="15" t="inlineStr">
        <is>
          <t>Rasgo erosivo — Surco (&lt;30 cm)</t>
        </is>
      </c>
      <c r="C14" s="26" t="n">
        <v>620588</v>
      </c>
      <c r="D14" s="26" t="n">
        <v>9451502</v>
      </c>
      <c r="E14" s="15" t="n">
        <v>16224.3</v>
      </c>
      <c r="F14" s="15" t="inlineStr">
        <is>
          <t>Activa</t>
        </is>
      </c>
      <c r="G14" s="15" t="inlineStr">
        <is>
          <t>Concentración natural de escorrentía</t>
        </is>
      </c>
    </row>
    <row r="15">
      <c r="A15" s="16" t="inlineStr">
        <is>
          <t>TOTAL: 5 puntos</t>
        </is>
      </c>
      <c r="B15" s="17" t="inlineStr"/>
      <c r="C15" s="17" t="inlineStr"/>
      <c r="D15" s="17" t="inlineStr"/>
      <c r="E15" s="17" t="inlineStr"/>
      <c r="F15" s="17" t="inlineStr"/>
      <c r="G15" s="17" t="inlineStr"/>
    </row>
    <row r="17">
      <c r="A17" s="6" t="inlineStr">
        <is>
          <t>Centroide del bloque — UTM ESTE (m)</t>
        </is>
      </c>
      <c r="B17" s="7" t="n">
        <v>631723</v>
      </c>
      <c r="C17" s="6" t="inlineStr">
        <is>
          <t>Centroide del bloque — UTM NORTE (m)</t>
        </is>
      </c>
      <c r="D17" s="7" t="n">
        <v>9439702</v>
      </c>
      <c r="E17" s="8" t="n"/>
      <c r="F17" s="8" t="n"/>
      <c r="G17" s="8" t="n"/>
      <c r="H17" s="8" t="n"/>
    </row>
    <row r="18">
      <c r="A18" s="6" t="inlineStr">
        <is>
          <t>N.° de estaciones fotográficas declaradas</t>
        </is>
      </c>
      <c r="B18" s="7" t="n">
        <v>0</v>
      </c>
      <c r="C18" s="6" t="inlineStr">
        <is>
          <t>Estaciones dentro del polígono</t>
        </is>
      </c>
      <c r="D18" s="7" t="n">
        <v>0</v>
      </c>
      <c r="E18" s="8" t="n"/>
      <c r="F18" s="8" t="n"/>
      <c r="G18" s="8" t="n"/>
      <c r="H18" s="8" t="n"/>
    </row>
    <row r="20" ht="156" customHeight="1">
      <c r="A20" s="9" t="inlineStr">
        <is>
          <t>CONTROL GEOMÉTRICO. Las coordenadas de esta hoja proceden de la ficha DT del bloque (F-DT-01 a F-DT-05) y corresponden a rasgos erosivos, fuentes de agua, especies clave y al punto de muestreo declarado. La distancia al centroide se calcula sobre coordenadas UTM 17S y es referencial: no acredita inclusión ni exclusión respecto del polígono, que exige prueba de inclusión sobre la geometría del bloque. Las estaciones situadas a menos de ~30 m del límite deben considerarse SOBRE EL LÍMITE, dentro del margen de error de la georreferenciación (± 10-15 m). CARACTERIZACIÓN EXTERNA/PERIMETRAL desde el entorno del C.P. Putagas; NO se accedió al interior del bloque el 24/06/2026 (mal estado de la trocha y fuerte pendiente). Escarpes activos en taludes de corte de la trocha de aproximación. Antecedente referido: reubicación de un centro poblado por deslizamientos en temporada de lluvias (CP y fecha por precisar). ATENCIÓN: la ficha consigna UTM del punto de muestreo 645 575 E · 9 393 500 N, valor por defecto de la plantilla, incompatible con el centroide de catálogo (631 723 E · 9 439 702 N). El texto de la ficha declara además un centroide 621 613 E · 9 452 884 N (Centroides_V5), que tampoco coincide con el catálogo maestro: TRES georreferencias divergentes por conciliar. Pendiente media del acceso 32.5% (máx. 61.7%); rango altitudinal del acceso 2374-2746 msnm. MSAVI 2024 = 0.678 (vigor alto).</t>
        </is>
      </c>
    </row>
  </sheetData>
  <mergeCells count="8">
    <mergeCell ref="A1:G1"/>
    <mergeCell ref="A8:G8"/>
    <mergeCell ref="A3:G3"/>
    <mergeCell ref="A6:G6"/>
    <mergeCell ref="A4:G4"/>
    <mergeCell ref="A20:G20"/>
    <mergeCell ref="A2:G2"/>
    <mergeCell ref="A5:G5"/>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H17"/>
  <sheetViews>
    <sheetView showGridLines="0" workbookViewId="0">
      <pane ySplit="6" topLeftCell="A7" activePane="bottomLeft" state="frozen"/>
      <selection pane="bottomLeft" activeCell="A1" sqref="A1"/>
    </sheetView>
  </sheetViews>
  <sheetFormatPr baseColWidth="8" defaultRowHeight="15"/>
  <cols>
    <col width="14" customWidth="1" min="1" max="1"/>
    <col width="13" customWidth="1" min="2" max="2"/>
    <col width="14" customWidth="1" min="3" max="3"/>
    <col width="24" customWidth="1" min="4" max="4"/>
    <col width="13" customWidth="1" min="5" max="5"/>
    <col width="18" customWidth="1" min="6" max="6"/>
    <col width="13" customWidth="1" min="7" max="7"/>
    <col width="20" customWidth="1" min="8" max="8"/>
  </cols>
  <sheetData>
    <row r="1" ht="15" customHeight="1">
      <c r="A1" s="1" t="inlineStr">
        <is>
          <t>AUTORIDAD NACIONAL DE INFRAESTRUCTURA - ANIN</t>
        </is>
      </c>
    </row>
    <row r="2" ht="15" customHeight="1">
      <c r="A2" s="1" t="inlineStr">
        <is>
          <t>DIRECCIÓN DE INTERVENCIONES MULTISECTORIALES Y DE EMERGENCIA - DIME</t>
        </is>
      </c>
    </row>
    <row r="3" ht="15" customHeight="1">
      <c r="A3" s="1" t="inlineStr">
        <is>
          <t>SUBDIRECCIÓN DE ESTUDIOS DE INVERSIÓN - SESDI</t>
        </is>
      </c>
    </row>
    <row r="4" ht="24" customHeight="1">
      <c r="A4" s="2" t="inlineStr">
        <is>
          <t>PROYECTO IN PIURA | CUI 2669244 | Recuperación del servicio de regulación de riesgos naturales y de ecosistemas degradados - Cuenca Alta del Río Piura</t>
        </is>
      </c>
    </row>
    <row r="5" ht="22" customHeight="1">
      <c r="A5" s="3" t="inlineStr">
        <is>
          <t>CONTEXTO INTRAMICROCUENCA C1096-Q9564 — BLOQUE 56</t>
        </is>
      </c>
    </row>
    <row r="6" ht="24" customHeight="1">
      <c r="A6" s="4" t="inlineStr">
        <is>
          <t>Distrito de Frias · Provincia de Ayabaca · Comparación de los bloques preliminares de intervención de la misma microcuenca</t>
        </is>
      </c>
    </row>
    <row r="8" ht="18" customHeight="1">
      <c r="A8" s="5" t="inlineStr">
        <is>
          <t>BLOQUES DE LA MICROCUENCA C1096-Q9564</t>
        </is>
      </c>
    </row>
    <row r="9" ht="28" customHeight="1">
      <c r="A9" s="10" t="inlineStr">
        <is>
          <t>Bloque</t>
        </is>
      </c>
      <c r="B9" s="10" t="inlineStr">
        <is>
          <t>Área (ha)</t>
        </is>
      </c>
      <c r="C9" s="10" t="inlineStr">
        <is>
          <t>% microcuenca</t>
        </is>
      </c>
      <c r="D9" s="10" t="inlineStr">
        <is>
          <t>Rango altitudinal (msnm)</t>
        </is>
      </c>
      <c r="E9" s="10" t="inlineStr">
        <is>
          <t>Amplitud (m)</t>
        </is>
      </c>
      <c r="F9" s="10" t="inlineStr">
        <is>
          <t>Pendiente prom. (%)</t>
        </is>
      </c>
      <c r="G9" s="10" t="inlineStr">
        <is>
          <t>MSAVI 2024</t>
        </is>
      </c>
      <c r="H9" s="10" t="inlineStr">
        <is>
          <t>NDVI 2025 — Veg. alta (%)</t>
        </is>
      </c>
    </row>
    <row r="10">
      <c r="A10" s="7" t="inlineStr">
        <is>
          <t>13</t>
        </is>
      </c>
      <c r="B10" s="28" t="n">
        <v>100.51</v>
      </c>
      <c r="C10" s="19" t="n">
        <v>40.73</v>
      </c>
      <c r="D10" s="15" t="inlineStr">
        <is>
          <t>1649 – 2267</t>
        </is>
      </c>
      <c r="E10" s="15" t="n">
        <v>618</v>
      </c>
      <c r="F10" s="15" t="n">
        <v>28.99</v>
      </c>
      <c r="G10" s="18" t="n">
        <v>0.6711</v>
      </c>
      <c r="H10" s="19" t="n">
        <v>89.59</v>
      </c>
    </row>
    <row r="11">
      <c r="A11" s="11" t="inlineStr">
        <is>
          <t>► 56</t>
        </is>
      </c>
      <c r="B11" s="29" t="n">
        <v>77.67</v>
      </c>
      <c r="C11" s="30" t="n">
        <v>31.48</v>
      </c>
      <c r="D11" s="12" t="inlineStr">
        <is>
          <t>2342 – 2770</t>
        </is>
      </c>
      <c r="E11" s="12" t="n">
        <v>428</v>
      </c>
      <c r="F11" s="12" t="n">
        <v>27.27</v>
      </c>
      <c r="G11" s="31" t="n">
        <v>0.6777</v>
      </c>
      <c r="H11" s="30" t="n">
        <v>94.90000000000001</v>
      </c>
    </row>
    <row r="12">
      <c r="A12" s="7" t="inlineStr">
        <is>
          <t>39</t>
        </is>
      </c>
      <c r="B12" s="28" t="n">
        <v>68.56999999999999</v>
      </c>
      <c r="C12" s="19" t="n">
        <v>27.79</v>
      </c>
      <c r="D12" s="15" t="inlineStr">
        <is>
          <t>1729 – 2088</t>
        </is>
      </c>
      <c r="E12" s="15" t="n">
        <v>359</v>
      </c>
      <c r="F12" s="15" t="n">
        <v>22.51</v>
      </c>
      <c r="G12" s="18" t="n">
        <v>0.7016</v>
      </c>
      <c r="H12" s="19" t="n">
        <v>94.05</v>
      </c>
    </row>
    <row r="13">
      <c r="A13" s="16" t="inlineStr">
        <is>
          <t>TOTAL / PROMEDIO</t>
        </is>
      </c>
      <c r="B13" s="32">
        <f>SUM(B10:B12)</f>
        <v/>
      </c>
      <c r="C13" s="23">
        <f>SUM(C10:C12)</f>
        <v/>
      </c>
      <c r="D13" s="17" t="inlineStr">
        <is>
          <t>1649 – 2770</t>
        </is>
      </c>
      <c r="E13" s="17" t="inlineStr"/>
      <c r="F13" s="17">
        <f>ROUND(AVERAGE(F10:F12),2)</f>
        <v/>
      </c>
      <c r="G13" s="22">
        <f>ROUND(AVERAGE(G10:G12),4)</f>
        <v/>
      </c>
      <c r="H13" s="23">
        <f>ROUND(AVERAGE(H10:H12),2)</f>
        <v/>
      </c>
    </row>
    <row r="15" ht="84" customHeight="1">
      <c r="A15" s="9" t="inlineStr">
        <is>
          <t>LECTURA INTRAMICROCUENCA. El bloque 56 ocupa el puesto 2 de 3 por superficie dentro de la microcuenca C1096-Q9564 (31.48 % de las 246.75 ha preliminares de la microcuenca). Su pendiente promedio (27.27 %, clase «25-50% (Mod. escarpado)») es la 2.ª más baja de 3 y se sitúa por encima del promedio de la microcuenca (26.26 %). Su MSAVI 2024 (0.6777) es el 2.º de 3 y queda por debajo del promedio local (0.6835). Amplitud altitudinal del bloque: 428 m (2342–2770 msnm). El cuadro conserva todos los bloques catalogados en la microcuenca, incluidos los descartados en el tamizaje, para referencia del conjunto. Los bloques sin ficha DT figuran con sus parámetros de gabinete.</t>
        </is>
      </c>
    </row>
    <row r="17" ht="60" customHeight="1">
      <c r="A17" s="9" t="inlineStr">
        <is>
          <t>NOTA METODOLÓGICA. Área y MSAVI 2024 proceden del catálogo maestro de bloques V5/V6. El rango altitudinal y la pendiente promedio proceden del reporte de estadística zonal sobre el MDE («Rango de altitud y Pendiente Promedio por Bloques V6»). El porcentaje de «Vegetación alta» procede de la estadística zonal del NDVI mediana 2025 (Sentinel-2). Los totales y promedios se calculan con fórmulas sobre las filas del cuadro.</t>
        </is>
      </c>
    </row>
  </sheetData>
  <mergeCells count="9">
    <mergeCell ref="A1:H1"/>
    <mergeCell ref="A4:H4"/>
    <mergeCell ref="A3:H3"/>
    <mergeCell ref="A15:H15"/>
    <mergeCell ref="A2:H2"/>
    <mergeCell ref="A5:H5"/>
    <mergeCell ref="A8:H8"/>
    <mergeCell ref="A6:H6"/>
    <mergeCell ref="A17:H17"/>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E25"/>
  <sheetViews>
    <sheetView showGridLines="0" workbookViewId="0">
      <pane ySplit="6" topLeftCell="A7" activePane="bottomLeft" state="frozen"/>
      <selection pane="bottomLeft" activeCell="A1" sqref="A1"/>
    </sheetView>
  </sheetViews>
  <sheetFormatPr baseColWidth="8" defaultRowHeight="15"/>
  <cols>
    <col width="9" customWidth="1" min="1" max="1"/>
    <col width="32" customWidth="1" min="2" max="2"/>
    <col width="60" customWidth="1" min="3" max="3"/>
    <col width="18" customWidth="1" min="4" max="4"/>
    <col width="62" customWidth="1" min="5" max="5"/>
  </cols>
  <sheetData>
    <row r="1" ht="15" customHeight="1">
      <c r="A1" s="1" t="inlineStr">
        <is>
          <t>AUTORIDAD NACIONAL DE INFRAESTRUCTURA - ANIN</t>
        </is>
      </c>
    </row>
    <row r="2" ht="15" customHeight="1">
      <c r="A2" s="1" t="inlineStr">
        <is>
          <t>DIRECCIÓN DE INTERVENCIONES MULTISECTORIALES Y DE EMERGENCIA - DIME</t>
        </is>
      </c>
    </row>
    <row r="3" ht="15" customHeight="1">
      <c r="A3" s="1" t="inlineStr">
        <is>
          <t>SUBDIRECCIÓN DE ESTUDIOS DE INVERSIÓN - SESDI</t>
        </is>
      </c>
    </row>
    <row r="4" ht="24" customHeight="1">
      <c r="A4" s="2" t="inlineStr">
        <is>
          <t>PROYECTO IN PIURA | CUI 2669244 | Recuperación del servicio de regulación de riesgos naturales y de ecosistemas degradados - Cuenca Alta del Río Piura</t>
        </is>
      </c>
    </row>
    <row r="5" ht="22" customHeight="1">
      <c r="A5" s="3" t="inlineStr">
        <is>
          <t>CONTROL DE CONSISTENCIA DE LA INFORMACIÓN — BLOQUE 56</t>
        </is>
      </c>
    </row>
    <row r="6" ht="24" customHeight="1">
      <c r="A6" s="4" t="inlineStr">
        <is>
          <t>Discrepancias detectadas entre el registro de campo, los productos de gabinete y el catálogo maestro. Calificación: SUSTANTIVA / NO SUSTANTIVA / CORREGIDO / CONFORME.</t>
        </is>
      </c>
    </row>
    <row r="8" ht="18" customHeight="1">
      <c r="A8" s="5" t="inlineStr">
        <is>
          <t>DISCREPANCIAS Y VERIFICACIONES</t>
        </is>
      </c>
    </row>
    <row r="9" ht="28" customHeight="1">
      <c r="A9" s="10" t="inlineStr">
        <is>
          <t>Cód.</t>
        </is>
      </c>
      <c r="B9" s="10" t="inlineStr">
        <is>
          <t>Campo afectado</t>
        </is>
      </c>
      <c r="C9" s="10" t="inlineStr">
        <is>
          <t>Discrepancia observada</t>
        </is>
      </c>
      <c r="D9" s="10" t="inlineStr">
        <is>
          <t>Calificación</t>
        </is>
      </c>
      <c r="E9" s="10" t="inlineStr">
        <is>
          <t>Tratamiento adoptado</t>
        </is>
      </c>
    </row>
    <row r="10" ht="48" customHeight="1">
      <c r="A10" s="33" t="inlineStr">
        <is>
          <t>D-01</t>
        </is>
      </c>
      <c r="B10" s="33" t="inlineStr">
        <is>
          <t>Código de microcuenca</t>
        </is>
      </c>
      <c r="C10" s="33" t="inlineStr">
        <is>
          <t>Ficha DT y catálogo maestro coinciden en «C1096-Q9564»</t>
        </is>
      </c>
      <c r="D10" s="34" t="inlineStr">
        <is>
          <t>CONFORME</t>
        </is>
      </c>
      <c r="E10" s="33" t="inlineStr">
        <is>
          <t>Sin acción.</t>
        </is>
      </c>
    </row>
    <row r="11" ht="48" customHeight="1">
      <c r="A11" s="35" t="inlineStr">
        <is>
          <t>D-02</t>
        </is>
      </c>
      <c r="B11" s="35" t="inlineStr">
        <is>
          <t>UTM del punto de muestreo</t>
        </is>
      </c>
      <c r="C11" s="35" t="inlineStr">
        <is>
          <t>El punto de muestreo declarado (645575 E / 9393500 N) dista 48,234 m del centroide de catálogo (631723 E / 9439702 N), distancia incompatible con la superficie del bloque (77.67 ha)</t>
        </is>
      </c>
      <c r="D11" s="36" t="inlineStr">
        <is>
          <t>SUSTANTIVA</t>
        </is>
      </c>
      <c r="E11" s="35" t="inlineStr">
        <is>
          <t>Se declara la coordenada como POR VERIFICAR: puede corresponder a otro bloque o a un error de digitación. No se corrige de oficio.</t>
        </is>
      </c>
    </row>
    <row r="12" ht="48" customHeight="1">
      <c r="A12" s="33" t="inlineStr">
        <is>
          <t>D-03</t>
        </is>
      </c>
      <c r="B12" s="33" t="inlineStr">
        <is>
          <t>Superficie del polígono</t>
        </is>
      </c>
      <c r="C12" s="33" t="inlineStr">
        <is>
          <t>La superficie clasificada por el NDVI 2025 (77.699 ha) coincide con la de catálogo (77.67 ha) dentro del ±2 % (+0.04 %)</t>
        </is>
      </c>
      <c r="D12" s="34" t="inlineStr">
        <is>
          <t>CONFORME</t>
        </is>
      </c>
      <c r="E12" s="33" t="inlineStr">
        <is>
          <t>Sin acción: la segmentación valida la geometría del bloque.</t>
        </is>
      </c>
    </row>
    <row r="13" ht="48" customHeight="1">
      <c r="A13" s="35" t="inlineStr">
        <is>
          <t>D-04</t>
        </is>
      </c>
      <c r="B13" s="35" t="inlineStr">
        <is>
          <t>Dimensiones del inventario de cárcavas</t>
        </is>
      </c>
      <c r="C13" s="35" t="inlineStr">
        <is>
          <t>Se registran 4 rasgos erosivos, pero longitud, profundidad y ancho no fueron medidos instrumentalmente</t>
        </is>
      </c>
      <c r="D13" s="12" t="inlineStr">
        <is>
          <t>NO SUSTANTIVA</t>
        </is>
      </c>
      <c r="E13" s="35" t="inlineStr">
        <is>
          <t>El conteo registrado no debe usarse para calcular densidad de cárcavas por hectárea. Pendiente de levantamiento con GPS submétrico.</t>
        </is>
      </c>
    </row>
    <row r="14" ht="48" customHeight="1">
      <c r="A14" s="33" t="inlineStr">
        <is>
          <t>D-05</t>
        </is>
      </c>
      <c r="B14" s="33" t="inlineStr">
        <is>
          <t>Elenco florístico</t>
        </is>
      </c>
      <c r="C14" s="33" t="inlineStr">
        <is>
          <t>La ficha registra 5 taxones, por debajo del mínimo de 15 que exige el formato V5</t>
        </is>
      </c>
      <c r="D14" s="36" t="inlineStr">
        <is>
          <t>SUSTANTIVA</t>
        </is>
      </c>
      <c r="E14" s="33" t="inlineStr">
        <is>
          <t>Registro florístico preliminar, sin colecta ni determinación botánica formal. Debe cerrarse con colecta botánica en la siguiente campaña.</t>
        </is>
      </c>
    </row>
    <row r="15" ht="48" customHeight="1">
      <c r="A15" s="35" t="inlineStr">
        <is>
          <t>D-06</t>
        </is>
      </c>
      <c r="B15" s="35" t="inlineStr">
        <is>
          <t>Representatividad del levantamiento</t>
        </is>
      </c>
      <c r="C15" s="35" t="inlineStr">
        <is>
          <t>Ninguna de las estaciones fotográficas georreferenciadas se localiza dentro del polígono del bloque</t>
        </is>
      </c>
      <c r="D15" s="36" t="inlineStr">
        <is>
          <t>SUSTANTIVA</t>
        </is>
      </c>
      <c r="E15" s="35" t="inlineStr">
        <is>
          <t>La verificación documenta el perímetro y la vista panorámica del bloque, no su interior. Los parámetros que exigen recorrido interno se consignan «Por determinar».</t>
        </is>
      </c>
    </row>
    <row r="16" ht="48" customHeight="1">
      <c r="A16" s="33" t="inlineStr">
        <is>
          <t>D-07</t>
        </is>
      </c>
      <c r="B16" s="33" t="inlineStr">
        <is>
          <t>Centro poblado asociado</t>
        </is>
      </c>
      <c r="C16" s="33" t="inlineStr">
        <is>
          <t>La ficha DT declara «Putagas (620 357 E · 9 451 508 N; 300 hab.) — referida en ficha; también Banda de la Cruz (75 hab.)»; el cruce INEI-Bloques V5 identifica 2 centro(s) poblado(s) en el bloque: BANDA DE LA CRUZ, PUTAGAS</t>
        </is>
      </c>
      <c r="D16" s="34" t="inlineStr">
        <is>
          <t>CONFORME</t>
        </is>
      </c>
      <c r="E16" s="33" t="inlineStr">
        <is>
          <t>Se conserva el registro de campo como referencia y se adopta el listado INEI para el diagnóstico social y el cálculo de población beneficiaria.</t>
        </is>
      </c>
    </row>
    <row r="17" ht="48" customHeight="1">
      <c r="A17" s="35" t="inlineStr">
        <is>
          <t>D-08</t>
        </is>
      </c>
      <c r="B17" s="35" t="inlineStr">
        <is>
          <t>Peligro integrado (MCA-AHP)</t>
        </is>
      </c>
      <c r="C17" s="35" t="inlineStr">
        <is>
          <t>El nivel de peligro integrado no está disponible en los insumos de este entregable</t>
        </is>
      </c>
      <c r="D17" s="36" t="inlineStr">
        <is>
          <t>SUSTANTIVA</t>
        </is>
      </c>
      <c r="E17" s="35" t="inlineStr">
        <is>
          <t>Debe tomarse del modelamiento de mesolocalización (PMM + EPH + PGI ponderados por AHP) antes de fijar la prioridad definitiva de intervención del bloque.</t>
        </is>
      </c>
    </row>
    <row r="18" ht="48" customHeight="1">
      <c r="A18" s="33" t="inlineStr">
        <is>
          <t>D-09</t>
        </is>
      </c>
      <c r="B18" s="33" t="inlineStr">
        <is>
          <t>F-DT-01</t>
        </is>
      </c>
      <c r="C18" s="33" t="inlineStr">
        <is>
          <t>UTM del punto de muestreo 645 575 E · 9 393 500 N corresponde al valor por defecto de la plantilla; incompatible con el centroide de catálogo (631 723 E · 9 439 702 N)</t>
        </is>
      </c>
      <c r="D18" s="36" t="inlineStr">
        <is>
          <t>SUSTANTIVA</t>
        </is>
      </c>
      <c r="E18" s="33" t="inlineStr">
        <is>
          <t>Se conserva el registro de la ficha y se declara la inconsistencia; georreferencia por reponer en campo</t>
        </is>
      </c>
    </row>
    <row r="19" ht="48" customHeight="1">
      <c r="A19" s="35" t="inlineStr">
        <is>
          <t>D-10</t>
        </is>
      </c>
      <c r="B19" s="35" t="inlineStr">
        <is>
          <t>F-DT-01</t>
        </is>
      </c>
      <c r="C19" s="35" t="inlineStr">
        <is>
          <t>La ficha declara centroide 621 613 E · 9 452 884 N (Centroides_V5), distinto del catálogo maestro Bloques_V5 (631 723 E · 9 439 702 N)</t>
        </is>
      </c>
      <c r="D19" s="36" t="inlineStr">
        <is>
          <t>SUSTANTIVA</t>
        </is>
      </c>
      <c r="E19" s="35" t="inlineStr">
        <is>
          <t>Conciliar catálogo de centroides antes del expediente</t>
        </is>
      </c>
    </row>
    <row r="20" ht="48" customHeight="1">
      <c r="A20" s="33" t="inlineStr">
        <is>
          <t>D-11</t>
        </is>
      </c>
      <c r="B20" s="33" t="inlineStr">
        <is>
          <t>F-DT-02</t>
        </is>
      </c>
      <c r="C20" s="33" t="inlineStr">
        <is>
          <t>Los 4 rasgos erosivos se ubican en la franja de aproximación (≈620 590 E · 9 451 505 N), fuera del polígono del bloque</t>
        </is>
      </c>
      <c r="D20" s="36" t="inlineStr">
        <is>
          <t>SUSTANTIVA</t>
        </is>
      </c>
      <c r="E20" s="33" t="inlineStr">
        <is>
          <t>Se reportan como inventario perimetral, no interno</t>
        </is>
      </c>
    </row>
    <row r="21" ht="48" customHeight="1">
      <c r="A21" s="35" t="inlineStr">
        <is>
          <t>D-12</t>
        </is>
      </c>
      <c r="B21" s="35" t="inlineStr">
        <is>
          <t>Plan de Ingreso</t>
        </is>
      </c>
      <c r="C21" s="35" t="inlineStr">
        <is>
          <t>Altitud = 0 msnm (captura por defecto del aplicativo)</t>
        </is>
      </c>
      <c r="D21" s="12" t="inlineStr">
        <is>
          <t>NO SUSTANTIVA</t>
        </is>
      </c>
      <c r="E21" s="35" t="inlineStr">
        <is>
          <t>Se sustituye por el rango del MDE 2342-2770 msnm</t>
        </is>
      </c>
    </row>
    <row r="23">
      <c r="A23" s="16" t="inlineStr">
        <is>
          <t>RESUMEN</t>
        </is>
      </c>
      <c r="B23" s="17" t="inlineStr">
        <is>
          <t>12 verificaciones</t>
        </is>
      </c>
      <c r="C23" s="17" t="inlineStr">
        <is>
          <t>CONFORME: 3 · NO SUSTANTIVA: 2 · SUSTANTIVA: 7</t>
        </is>
      </c>
      <c r="D23" s="17" t="inlineStr"/>
      <c r="E23" s="17" t="inlineStr"/>
    </row>
    <row r="25" ht="60" customHeight="1">
      <c r="A25" s="9" t="inlineStr">
        <is>
          <t>NOTA METODOLÓGICA. Este control se genera de forma reproducible cruzando la ficha DT del bloque (F-DT-01 a F-DT-05) con el catálogo maestro de bloques V5/V6, la estadística zonal de altitud y pendiente sobre el MDE, la estadística zonal del NDVI mediana 2025 y el cruce INEI-Bloques de centros poblados. Una calificación CONFORME acredita que la verificación se ejecutó y no arrojó discrepancia; no equivale a validación de campo del dato.</t>
        </is>
      </c>
    </row>
  </sheetData>
  <mergeCells count="8">
    <mergeCell ref="A4:E4"/>
    <mergeCell ref="A2:E2"/>
    <mergeCell ref="A25:E25"/>
    <mergeCell ref="A1:E1"/>
    <mergeCell ref="A5:E5"/>
    <mergeCell ref="A8:E8"/>
    <mergeCell ref="A6:E6"/>
    <mergeCell ref="A3:E3"/>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ANIN - DIME - SESDI | Proyecto IN Piura (CUI 2669244)</dc:creator>
  <dc:title>Plantilla Excel — Bloque 56 — IN Piura</dc:title>
  <dc:subject>Diagnóstico Territorial por bloque de intervención</dc:subject>
  <dcterms:created xsi:type="dcterms:W3CDTF">2026-09-08T03:39:56Z</dcterms:created>
  <dcterms:modified xsi:type="dcterms:W3CDTF">2026-09-08T03:39:56Z</dcterms:modified>
</cp:coreProperties>
</file>