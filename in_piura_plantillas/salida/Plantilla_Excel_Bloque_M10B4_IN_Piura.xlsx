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10">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F8CBAD"/>
      </patternFill>
    </fill>
    <fill>
      <patternFill patternType="solid">
        <fgColor rgb="00D9E1F2"/>
      </patternFill>
    </fill>
    <fill>
      <patternFill patternType="solid">
        <fgColor rgb="00C6E0B4"/>
      </patternFill>
    </fill>
  </fills>
  <borders count="2">
    <border>
      <left/>
      <right/>
      <top/>
      <bottom/>
      <diagonal/>
    </border>
    <border>
      <left style="thin">
        <color rgb="009C9C9C"/>
      </left>
      <right style="thin">
        <color rgb="009C9C9C"/>
      </right>
      <top style="thin">
        <color rgb="009C9C9C"/>
      </top>
      <bottom style="thin">
        <color rgb="009C9C9C"/>
      </bottom>
    </border>
  </borders>
  <cellStyleXfs count="1">
    <xf numFmtId="0" fontId="0" fillId="0" borderId="0"/>
  </cellStyleXfs>
  <cellXfs count="38">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165" fontId="6" fillId="0"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4"/>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M10B4</t>
        </is>
      </c>
    </row>
    <row r="6" ht="24" customHeight="1">
      <c r="A6" s="4" t="inlineStr">
        <is>
          <t>Diagnóstico Territorial — Plantilla DT Campo Check Validada V5 | Sistema de referencia: UTM WGS 84 Zona 17S (EPSG:32717)</t>
        </is>
      </c>
    </row>
    <row r="8" ht="18" customHeight="1">
      <c r="A8" s="5" t="inlineStr">
        <is>
          <t>1. IDENTIFICACIÓN Y LOCALIZACIÓN</t>
        </is>
      </c>
    </row>
    <row r="9">
      <c r="A9" s="6" t="inlineStr">
        <is>
          <t>Código del bloque</t>
        </is>
      </c>
      <c r="B9" s="7" t="inlineStr">
        <is>
          <t>M10B4</t>
        </is>
      </c>
      <c r="C9" s="6" t="inlineStr">
        <is>
          <t>Microcuenca (catálogo)</t>
        </is>
      </c>
      <c r="D9" s="7" t="inlineStr">
        <is>
          <t>C1096-Q9547</t>
        </is>
      </c>
      <c r="E9" s="8" t="n"/>
      <c r="F9" s="8" t="n"/>
    </row>
    <row r="10">
      <c r="A10" s="6" t="inlineStr">
        <is>
          <t>Zona de planificación</t>
        </is>
      </c>
      <c r="B10" s="7" t="inlineStr">
        <is>
          <t>Z01</t>
        </is>
      </c>
      <c r="C10" s="6" t="inlineStr">
        <is>
          <t>Microcuenca declarada en ficha DT</t>
        </is>
      </c>
      <c r="D10" s="7" t="inlineStr">
        <is>
          <t>C1076-Q9584 (según ficha — valor por defecto de plantilla; catálogo: C1096-Q9547)</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Chulucanas</t>
        </is>
      </c>
      <c r="C12" s="6" t="inlineStr">
        <is>
          <t>Capital distrital</t>
        </is>
      </c>
      <c r="D12" s="7" t="inlineStr">
        <is>
          <t>Chulucanas</t>
        </is>
      </c>
      <c r="E12" s="8" t="n"/>
      <c r="F12" s="8" t="n"/>
    </row>
    <row r="13">
      <c r="A13" s="6" t="inlineStr">
        <is>
          <t>Centro poblado asociado</t>
        </is>
      </c>
      <c r="B13" s="7" t="inlineStr">
        <is>
          <t>Río Seco Alto</t>
        </is>
      </c>
      <c r="C13" s="6" t="inlineStr">
        <is>
          <t>Comunidad campesina</t>
        </is>
      </c>
      <c r="D13" s="7" t="inlineStr">
        <is>
          <t>Comunidad Campesina reconocida con título (F-DS-01); registro contradictorio con «Caserío / Anexo» en la segunda F-DS-01</t>
        </is>
      </c>
      <c r="E13" s="8" t="n"/>
      <c r="F13" s="8" t="n"/>
    </row>
    <row r="14">
      <c r="A14" s="6" t="inlineStr">
        <is>
          <t>Superficie de catálogo (V5/V6), ha</t>
        </is>
      </c>
      <c r="B14" s="7" t="n">
        <v>68.89</v>
      </c>
      <c r="C14" s="6" t="inlineStr">
        <is>
          <t>Fuente de superficie</t>
        </is>
      </c>
      <c r="D14" s="7" t="inlineStr">
        <is>
          <t>Catálogo maestro Bloques V5/V6</t>
        </is>
      </c>
      <c r="E14" s="8" t="n"/>
      <c r="F14" s="8" t="n"/>
    </row>
    <row r="15">
      <c r="A15" s="6" t="inlineStr">
        <is>
          <t>Centroide UTM ESTE (m)</t>
        </is>
      </c>
      <c r="B15" s="7" t="n">
        <v>596773</v>
      </c>
      <c r="C15" s="6" t="inlineStr">
        <is>
          <t>Centroide UTM NORTE (m)</t>
        </is>
      </c>
      <c r="D15" s="7" t="n">
        <v>9448273</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8" ht="18" customHeight="1">
      <c r="A18" s="5" t="inlineStr">
        <is>
          <t>2. PARÁMETROS FÍSICOS (ESTADÍSTICA ZONAL SOBRE MDE)</t>
        </is>
      </c>
    </row>
    <row r="19">
      <c r="A19" s="6" t="inlineStr">
        <is>
          <t>Altitud mínima (msnm)</t>
        </is>
      </c>
      <c r="B19" s="7" t="n">
        <v>170</v>
      </c>
      <c r="C19" s="6" t="inlineStr">
        <is>
          <t>Altitud máxima (msnm)</t>
        </is>
      </c>
      <c r="D19" s="7" t="n">
        <v>313</v>
      </c>
      <c r="E19" s="8" t="n"/>
      <c r="F19" s="8" t="n"/>
    </row>
    <row r="20">
      <c r="A20" s="6" t="inlineStr">
        <is>
          <t>Amplitud altitudinal (m)</t>
        </is>
      </c>
      <c r="B20" s="7" t="n">
        <v>143</v>
      </c>
      <c r="C20" s="6" t="inlineStr">
        <is>
          <t>Piso altitudinal dominante</t>
        </is>
      </c>
      <c r="D20" s="7" t="inlineStr">
        <is>
          <t>&lt;1000 m (Yunga)</t>
        </is>
      </c>
      <c r="E20" s="8" t="n"/>
      <c r="F20" s="8" t="n"/>
    </row>
    <row r="21">
      <c r="A21" s="6" t="inlineStr">
        <is>
          <t>Pendiente promedio (%)</t>
        </is>
      </c>
      <c r="B21" s="7" t="n">
        <v>13.83</v>
      </c>
      <c r="C21" s="6" t="inlineStr">
        <is>
          <t>Pendiente promedio (grados)</t>
        </is>
      </c>
      <c r="D21" s="7" t="n">
        <v>7.9</v>
      </c>
      <c r="E21" s="8" t="n"/>
      <c r="F21" s="8" t="n"/>
    </row>
    <row r="22">
      <c r="A22" s="6" t="inlineStr">
        <is>
          <t>Clase de pendiente equivalente</t>
        </is>
      </c>
      <c r="B22" s="7" t="inlineStr">
        <is>
          <t>8-15% (Mod. inclinado)</t>
        </is>
      </c>
      <c r="C22" s="6" t="inlineStr">
        <is>
          <t>Rango de pendiente declarado en campo</t>
        </is>
      </c>
      <c r="D22" s="7" t="inlineStr">
        <is>
          <t>No consignado en el campo de lista (narrativa: &lt;60%)</t>
        </is>
      </c>
      <c r="E22" s="8" t="n"/>
      <c r="F22" s="8" t="n"/>
    </row>
    <row r="23">
      <c r="A23" s="6" t="inlineStr">
        <is>
          <t>Forma predominante del terreno</t>
        </is>
      </c>
      <c r="B23" s="7" t="inlineStr">
        <is>
          <t>Colinoso</t>
        </is>
      </c>
      <c r="C23" s="6" t="inlineStr">
        <is>
          <t>Posición fisiográfica</t>
        </is>
      </c>
      <c r="D23" s="7" t="inlineStr">
        <is>
          <t>Ladera media</t>
        </is>
      </c>
      <c r="E23" s="8" t="n"/>
      <c r="F23" s="8" t="n"/>
    </row>
    <row r="24">
      <c r="A24" s="6" t="inlineStr">
        <is>
          <t>Exposición / orientación</t>
        </is>
      </c>
      <c r="B24" s="7" t="inlineStr">
        <is>
          <t>Sureste</t>
        </is>
      </c>
      <c r="C24" s="6" t="inlineStr">
        <is>
          <t>Afloramientos rocosos</t>
        </is>
      </c>
      <c r="D24" s="7" t="inlineStr">
        <is>
          <t>Sí</t>
        </is>
      </c>
      <c r="E24" s="8" t="n"/>
      <c r="F24" s="8" t="n"/>
    </row>
    <row r="25">
      <c r="A25" s="6" t="inlineStr">
        <is>
          <t>Escarpes activos</t>
        </is>
      </c>
      <c r="B25" s="7" t="inlineStr">
        <is>
          <t>No</t>
        </is>
      </c>
      <c r="C25" s="6" t="inlineStr">
        <is>
          <t>Remociones en masa activas</t>
        </is>
      </c>
      <c r="D25" s="7" t="inlineStr">
        <is>
          <t>No</t>
        </is>
      </c>
      <c r="E25" s="8" t="n"/>
      <c r="F25" s="8" t="n"/>
    </row>
    <row r="27" ht="18" customHeight="1">
      <c r="A27" s="5" t="inlineStr">
        <is>
          <t>3. ÍNDICES DE VEGETACIÓN (SENTINEL-2)</t>
        </is>
      </c>
    </row>
    <row r="28">
      <c r="A28" s="6" t="inlineStr">
        <is>
          <t>MSAVI 2024 — media del bloque</t>
        </is>
      </c>
      <c r="B28" s="7" t="n">
        <v>0.3133</v>
      </c>
      <c r="C28" s="6" t="inlineStr">
        <is>
          <t>MSAVI 2024 — clase de la media</t>
        </is>
      </c>
      <c r="D28" s="7" t="inlineStr">
        <is>
          <t>0.2650 - 0.3813 (Vigor muy bajo)</t>
        </is>
      </c>
      <c r="E28" s="8" t="n"/>
      <c r="F28" s="8" t="n"/>
    </row>
    <row r="29">
      <c r="A29" s="6" t="inlineStr">
        <is>
          <t>Condición frente al umbral 0.4976</t>
        </is>
      </c>
      <c r="B29" s="7" t="inlineStr">
        <is>
          <t>BAJO umbral 0.4976</t>
        </is>
      </c>
      <c r="C29" s="6" t="inlineStr">
        <is>
          <t>NDVI mediana 2025 — clase modal</t>
        </is>
      </c>
      <c r="D29" s="7" t="inlineStr">
        <is>
          <t>Vegetación ligera (73.83 %)</t>
        </is>
      </c>
      <c r="E29" s="8" t="n"/>
      <c r="F29" s="8" t="n"/>
    </row>
    <row r="30">
      <c r="A30" s="6" t="inlineStr">
        <is>
          <t>Superficie clasificada NDVI 2025 (ha)</t>
        </is>
      </c>
      <c r="B30" s="7" t="n">
        <v>68.926</v>
      </c>
      <c r="C30" s="6" t="inlineStr">
        <is>
          <t>Desviación frente al catálogo (%)</t>
        </is>
      </c>
      <c r="D30" s="7" t="n">
        <v>0.05</v>
      </c>
      <c r="E30" s="8" t="n"/>
      <c r="F30" s="8" t="n"/>
    </row>
    <row r="32" ht="18" customHeight="1">
      <c r="A32" s="5" t="inlineStr">
        <is>
          <t>4. ECOSISTEMA Y ESTADO DE CONSERVACIÓN</t>
        </is>
      </c>
    </row>
    <row r="33">
      <c r="A33" s="6" t="inlineStr">
        <is>
          <t>Tipo de ecosistema (UP)</t>
        </is>
      </c>
      <c r="B33" s="7" t="inlineStr">
        <is>
          <t>Bosque Estacionalmente Seco de Colina y Montaña (Bes-cm)</t>
        </is>
      </c>
      <c r="C33" s="6" t="inlineStr">
        <is>
          <t>Superficie de ecosistema (ha)</t>
        </is>
      </c>
      <c r="D33" s="7" t="inlineStr">
        <is>
          <t>62 ha (de 68.89 ha del bloque)</t>
        </is>
      </c>
      <c r="E33" s="8" t="n"/>
      <c r="F33" s="8" t="n"/>
    </row>
    <row r="34">
      <c r="A34" s="6" t="inlineStr">
        <is>
          <t>Estado de conservación</t>
        </is>
      </c>
      <c r="B34" s="7" t="inlineStr">
        <is>
          <t>Levemente alterado</t>
        </is>
      </c>
      <c r="C34" s="6" t="inlineStr">
        <is>
          <t>Uso actual dominante del suelo</t>
        </is>
      </c>
      <c r="D34" s="7" t="inlineStr">
        <is>
          <t>Pastoreo extensivo</t>
        </is>
      </c>
      <c r="E34" s="8" t="n"/>
      <c r="F34" s="8" t="n"/>
    </row>
    <row r="35">
      <c r="A35" s="6" t="inlineStr">
        <is>
          <t>Tipo de cobertura dominante</t>
        </is>
      </c>
      <c r="B35" s="7" t="inlineStr">
        <is>
          <t>Bosque denso (&gt;70%)</t>
        </is>
      </c>
      <c r="C35" s="6" t="inlineStr">
        <is>
          <t>Cobertura vegetal total — campo (%)</t>
        </is>
      </c>
      <c r="D35" s="7" t="n">
        <v>90</v>
      </c>
      <c r="E35" s="8" t="n"/>
      <c r="F35" s="8" t="n"/>
    </row>
    <row r="36">
      <c r="A36" s="6" t="inlineStr">
        <is>
          <t>Suelo desnudo — campo (%)</t>
        </is>
      </c>
      <c r="B36" s="7" t="n">
        <v>5</v>
      </c>
      <c r="C36" s="6" t="inlineStr">
        <is>
          <t>Regeneración natural</t>
        </is>
      </c>
      <c r="D36" s="7" t="inlineStr">
        <is>
          <t>Regular (10-50 pl./100m²)</t>
        </is>
      </c>
      <c r="E36" s="8" t="n"/>
      <c r="F36" s="8" t="n"/>
    </row>
    <row r="37">
      <c r="A37" s="6" t="inlineStr">
        <is>
          <t>Nivel general de erosión</t>
        </is>
      </c>
      <c r="B37" s="7" t="inlineStr">
        <is>
          <t>FICHA F-DT-02 SIN CONTENIDO. Narrativa de F-DT-01: sin evidencia de surcos ni cárcavas</t>
        </is>
      </c>
      <c r="C37" s="6" t="inlineStr">
        <is>
          <t>N.° de cárcavas registradas</t>
        </is>
      </c>
      <c r="D37" s="7" t="inlineStr">
        <is>
          <t>No inventariadas (F-DT-02 sin contenido)</t>
        </is>
      </c>
      <c r="E37" s="8" t="n"/>
      <c r="F37" s="8" t="n"/>
    </row>
    <row r="38">
      <c r="A38" s="6" t="inlineStr">
        <is>
          <t>Elenco florístico (n.° de taxones)</t>
        </is>
      </c>
      <c r="B38" s="7" t="n">
        <v>5</v>
      </c>
      <c r="C38" s="6" t="inlineStr">
        <is>
          <t>Estado sanitario</t>
        </is>
      </c>
      <c r="D38" s="7" t="inlineStr">
        <is>
          <t>Sano</t>
        </is>
      </c>
      <c r="E38" s="8" t="n"/>
      <c r="F38" s="8" t="n"/>
    </row>
    <row r="40" ht="18" customHeight="1">
      <c r="A40" s="5" t="inlineStr">
        <is>
          <t>5. RESPONSABLE Y MODALIDAD DE LA EVALUACIÓN</t>
        </is>
      </c>
    </row>
    <row r="41">
      <c r="A41" s="6" t="inlineStr">
        <is>
          <t>Responsable de la evaluación</t>
        </is>
      </c>
      <c r="B41" s="7" t="inlineStr">
        <is>
          <t>Juan Domínguez</t>
        </is>
      </c>
      <c r="C41" s="6" t="inlineStr">
        <is>
          <t>Fecha de evaluación</t>
        </is>
      </c>
      <c r="D41" s="7" t="inlineStr">
        <is>
          <t>2026-07-03</t>
        </is>
      </c>
      <c r="E41" s="8" t="n"/>
      <c r="F41" s="8" t="n"/>
    </row>
    <row r="42">
      <c r="A42" s="6" t="inlineStr">
        <is>
          <t>Hora de registro</t>
        </is>
      </c>
      <c r="B42" s="7" t="inlineStr">
        <is>
          <t>12:15 h</t>
        </is>
      </c>
      <c r="C42" s="6" t="inlineStr">
        <is>
          <t>Correlativo de ficha</t>
        </is>
      </c>
      <c r="D42" s="7" t="inlineStr">
        <is>
          <t>Sin registro en ficha</t>
        </is>
      </c>
      <c r="E42" s="8" t="n"/>
      <c r="F42" s="8" t="n"/>
    </row>
    <row r="43">
      <c r="A43" s="6" t="inlineStr">
        <is>
          <t>Entidad</t>
        </is>
      </c>
      <c r="B43" s="7" t="inlineStr">
        <is>
          <t>ANIN - DIME - SESDI</t>
        </is>
      </c>
      <c r="C43" s="6" t="inlineStr">
        <is>
          <t>Fase del estudio</t>
        </is>
      </c>
      <c r="D43" s="7" t="inlineStr">
        <is>
          <t>Preinversión (Perfil) · Invierte.pe</t>
        </is>
      </c>
      <c r="E43" s="8" t="n"/>
      <c r="F43" s="8" t="n"/>
    </row>
    <row r="44">
      <c r="A44" s="6" t="inlineStr">
        <is>
          <t>Instrumento aplicado</t>
        </is>
      </c>
      <c r="B44" s="7" t="inlineStr">
        <is>
          <t>Fichas F-DT-01 a F-DT-05 (Plantilla V5)</t>
        </is>
      </c>
      <c r="C44" s="6" t="inlineStr">
        <is>
          <t>Parcela de muestreo</t>
        </is>
      </c>
      <c r="D44" s="7" t="inlineStr">
        <is>
          <t>Sin registro en ficha</t>
        </is>
      </c>
      <c r="E44" s="8" t="n"/>
      <c r="F44" s="8" t="n"/>
    </row>
    <row r="45">
      <c r="A45" s="6" t="inlineStr">
        <is>
          <t>Estaciones fotográficas georreferenciadas</t>
        </is>
      </c>
      <c r="B45" s="7" t="n">
        <v>0</v>
      </c>
      <c r="C45" s="6" t="inlineStr">
        <is>
          <t>Modalidad de acceso</t>
        </is>
      </c>
      <c r="D45" s="7" t="inlineStr">
        <is>
          <t>Sin registro en ficha</t>
        </is>
      </c>
      <c r="E45" s="8" t="n"/>
      <c r="F45" s="8" t="n"/>
    </row>
    <row r="47" ht="18" customHeight="1">
      <c r="A47" s="5" t="inlineStr">
        <is>
          <t>6. SÍNTESIS PARA LA GESTIÓN DEL RIESGO EN CONTEXTO DE CAMBIO CLIMÁTICO</t>
        </is>
      </c>
    </row>
    <row r="48">
      <c r="A48" s="6" t="inlineStr">
        <is>
          <t>Causa subyacente principal</t>
        </is>
      </c>
      <c r="B48" s="7" t="inlineStr">
        <is>
          <t>No consignada en la ficha</t>
        </is>
      </c>
      <c r="C48" s="6" t="inlineStr">
        <is>
          <t>Velocidad de degradación</t>
        </is>
      </c>
      <c r="D48" s="7" t="inlineStr">
        <is>
          <t>Lenta</t>
        </is>
      </c>
      <c r="E48" s="8" t="n"/>
      <c r="F48" s="8" t="n"/>
    </row>
    <row r="49">
      <c r="A49" s="6" t="inlineStr">
        <is>
          <t>Reversibilidad técnica</t>
        </is>
      </c>
      <c r="B49" s="7" t="inlineStr">
        <is>
          <t>Totalmente reversible</t>
        </is>
      </c>
      <c r="C49" s="6" t="inlineStr">
        <is>
          <t>Urgencia de intervención</t>
        </is>
      </c>
      <c r="D49" s="7" t="inlineStr">
        <is>
          <t>Baja</t>
        </is>
      </c>
      <c r="E49" s="8" t="n"/>
      <c r="F49" s="8" t="n"/>
    </row>
    <row r="50">
      <c r="A50" s="6" t="inlineStr">
        <is>
          <t>Urgencia de control de erosión</t>
        </is>
      </c>
      <c r="B50" s="7" t="inlineStr">
        <is>
          <t>Por determinar</t>
        </is>
      </c>
      <c r="C50" s="6" t="inlineStr">
        <is>
          <t>Zona de recarga hídrica</t>
        </is>
      </c>
      <c r="D50" s="7" t="inlineStr">
        <is>
          <t>Sin registro en ficha</t>
        </is>
      </c>
      <c r="E50" s="8" t="n"/>
      <c r="F50" s="8" t="n"/>
    </row>
    <row r="51">
      <c r="A51" s="6" t="inlineStr">
        <is>
          <t>Peligro integrado preliminar (MCA-AHP)</t>
        </is>
      </c>
      <c r="B51" s="7" t="inlineStr">
        <is>
          <t>No disponible en los insumos; debe tomarse del modelamiento de mesolocalización</t>
        </is>
      </c>
      <c r="C51" s="6" t="inlineStr">
        <is>
          <t>Prioridad de intervención</t>
        </is>
      </c>
      <c r="D51" s="7" t="inlineStr">
        <is>
          <t>Por definir en mesolocalización</t>
        </is>
      </c>
      <c r="E51" s="8" t="n"/>
      <c r="F51" s="8" t="n"/>
    </row>
    <row r="52">
      <c r="A52" s="6" t="inlineStr">
        <is>
          <t>Estado de verificación de campo</t>
        </is>
      </c>
      <c r="B52" s="7" t="inlineStr">
        <is>
          <t>VERIFICADO</t>
        </is>
      </c>
      <c r="C52" s="6" t="inlineStr">
        <is>
          <t>Marco del indicador de brecha</t>
        </is>
      </c>
      <c r="D52" s="7" t="inlineStr">
        <is>
          <t>R.M. N.° 00213-2024-MINAM</t>
        </is>
      </c>
      <c r="E52" s="8" t="n"/>
      <c r="F52" s="8" t="n"/>
    </row>
    <row r="54" ht="72" customHeight="1">
      <c r="A54"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t>
        </is>
      </c>
    </row>
  </sheetData>
  <mergeCells count="13">
    <mergeCell ref="A2:F2"/>
    <mergeCell ref="A54:F54"/>
    <mergeCell ref="A47:F47"/>
    <mergeCell ref="A1:F1"/>
    <mergeCell ref="A5:F5"/>
    <mergeCell ref="A32:F32"/>
    <mergeCell ref="A27:F27"/>
    <mergeCell ref="A8:F8"/>
    <mergeCell ref="A6:F6"/>
    <mergeCell ref="A40:F40"/>
    <mergeCell ref="A18:F18"/>
    <mergeCell ref="A4:F4"/>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7"/>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M10B4</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t>
        </is>
      </c>
      <c r="B10" s="11" t="inlineStr">
        <is>
          <t>Por determinar</t>
        </is>
      </c>
      <c r="C10" s="11" t="inlineStr">
        <is>
          <t>Por determinar</t>
        </is>
      </c>
      <c r="D10" s="11" t="inlineStr">
        <is>
          <t>Vigor alto</t>
        </is>
      </c>
      <c r="E10" s="11" t="inlineStr">
        <is>
          <t>Sobre umbral</t>
        </is>
      </c>
    </row>
    <row r="11">
      <c r="A11" s="12" t="inlineStr">
        <is>
          <t>0.4976 - 0.6139</t>
        </is>
      </c>
      <c r="B11" s="13" t="inlineStr">
        <is>
          <t>Por determinar</t>
        </is>
      </c>
      <c r="C11" s="13" t="inlineStr">
        <is>
          <t>Por determinar</t>
        </is>
      </c>
      <c r="D11" s="13" t="inlineStr">
        <is>
          <t>Vigor moderado</t>
        </is>
      </c>
      <c r="E11" s="13" t="inlineStr">
        <is>
          <t>Sobre umbral</t>
        </is>
      </c>
    </row>
    <row r="12">
      <c r="A12" s="7" t="inlineStr">
        <is>
          <t>0.3813 - 0.4976</t>
        </is>
      </c>
      <c r="B12" s="11" t="inlineStr">
        <is>
          <t>Por determinar</t>
        </is>
      </c>
      <c r="C12" s="11" t="inlineStr">
        <is>
          <t>Por determinar</t>
        </is>
      </c>
      <c r="D12" s="11" t="inlineStr">
        <is>
          <t>Vigor bajo</t>
        </is>
      </c>
      <c r="E12" s="11" t="inlineStr">
        <is>
          <t>BAJO umbral 0.4976</t>
        </is>
      </c>
    </row>
    <row r="13">
      <c r="A13" s="14" t="inlineStr">
        <is>
          <t>0.2650 - 0.3813</t>
        </is>
      </c>
      <c r="B13" s="15" t="inlineStr">
        <is>
          <t>Por determinar</t>
        </is>
      </c>
      <c r="C13" s="15" t="inlineStr">
        <is>
          <t>Por determinar</t>
        </is>
      </c>
      <c r="D13" s="15" t="inlineStr">
        <is>
          <t>Vigor muy bajo</t>
        </is>
      </c>
      <c r="E13" s="15" t="inlineStr">
        <is>
          <t>BAJO umbral 0.4976</t>
        </is>
      </c>
    </row>
    <row r="14">
      <c r="A14" s="7" t="inlineStr">
        <is>
          <t>&lt;= 0.2650</t>
        </is>
      </c>
      <c r="B14" s="11" t="inlineStr">
        <is>
          <t>Por determinar</t>
        </is>
      </c>
      <c r="C14" s="11" t="inlineStr">
        <is>
          <t>Por determinar</t>
        </is>
      </c>
      <c r="D14" s="11" t="inlineStr">
        <is>
          <t>Suelo desnudo / no vegetal</t>
        </is>
      </c>
      <c r="E14" s="11" t="inlineStr">
        <is>
          <t>BAJO umbral 0.4976</t>
        </is>
      </c>
    </row>
    <row r="15">
      <c r="A15" s="16" t="inlineStr">
        <is>
          <t>MSAVI 2024 — MEDIA DEL BLOQUE</t>
        </is>
      </c>
      <c r="B15" s="17" t="n">
        <v>0.313301</v>
      </c>
      <c r="C15" s="17" t="inlineStr">
        <is>
          <t>—</t>
        </is>
      </c>
      <c r="D15" s="17" t="inlineStr">
        <is>
          <t>Vigor muy bajo · clase 0.2650 - 0.3813</t>
        </is>
      </c>
      <c r="E15" s="17" t="inlineStr">
        <is>
          <t>BAJO umbral 0.4976</t>
        </is>
      </c>
    </row>
    <row r="17" ht="72" customHeight="1">
      <c r="A17" s="9" t="inlineStr">
        <is>
          <t>NOTA METODOLÓGICA. La media del MSAVI 2024 del bloque (0.313301) procede del catálogo maestro de bloques V5/V6 y es dato oficial. La DISTRIBUCIÓN AREAL por clase de MSAVI no está disponible como estadística zonal en los insumos de este entregable: se consigna «Por determinar» y NO se estima, conforme a la declaración de integridad de datos del proyecto. La fila resaltada indica la clase en la que cae la media del bloque. Para el dimensionamiento de metas físicas debe ejecutarse estadística zonal directa sobre el ráster MSAVI 2024 recortado al polígono.</t>
        </is>
      </c>
    </row>
    <row r="19" ht="18" customHeight="1">
      <c r="A19" s="5" t="inlineStr">
        <is>
          <t>B. NDVI MEDIANA 2025 — DISTRIBUCIÓN AREAL (ESTADÍSTICA ZONAL)</t>
        </is>
      </c>
    </row>
    <row r="20" ht="28" customHeight="1">
      <c r="A20" s="10" t="inlineStr">
        <is>
          <t>Clase NDVI</t>
        </is>
      </c>
      <c r="B20" s="10" t="inlineStr">
        <is>
          <t>Superficie (ha)</t>
        </is>
      </c>
      <c r="C20" s="10" t="inlineStr">
        <is>
          <t>% del área clasificada</t>
        </is>
      </c>
      <c r="D20" s="10" t="inlineStr">
        <is>
          <t>Interpretación</t>
        </is>
      </c>
      <c r="E20" s="10" t="inlineStr">
        <is>
          <t>Observación</t>
        </is>
      </c>
    </row>
    <row r="21">
      <c r="A21" s="7" t="inlineStr">
        <is>
          <t>Vegetación mediana</t>
        </is>
      </c>
      <c r="B21" s="18" t="n">
        <v>1.8372</v>
      </c>
      <c r="C21" s="19" t="n">
        <v>2.67</v>
      </c>
      <c r="D21" s="11" t="inlineStr">
        <is>
          <t>Pastizal cultivado, matorral ralo, parcelas agrícolas</t>
        </is>
      </c>
      <c r="E21" s="11" t="inlineStr"/>
    </row>
    <row r="22">
      <c r="A22" s="12" t="inlineStr">
        <is>
          <t>Vegetación ligera</t>
        </is>
      </c>
      <c r="B22" s="20" t="n">
        <v>50.8887</v>
      </c>
      <c r="C22" s="21" t="n">
        <v>73.83</v>
      </c>
      <c r="D22" s="13" t="inlineStr">
        <is>
          <t>Cobertura discontinua, suelo parcialmente expuesto</t>
        </is>
      </c>
      <c r="E22" s="13" t="inlineStr"/>
    </row>
    <row r="23">
      <c r="A23" s="7" t="inlineStr">
        <is>
          <t>Tierra desnuda</t>
        </is>
      </c>
      <c r="B23" s="18" t="n">
        <v>16.1998</v>
      </c>
      <c r="C23" s="19" t="n">
        <v>23.5</v>
      </c>
      <c r="D23" s="11" t="inlineStr">
        <is>
          <t>Suelo desnudo, afloramientos, plataformas y taludes</t>
        </is>
      </c>
      <c r="E23" s="11" t="inlineStr"/>
    </row>
    <row r="24">
      <c r="A24" s="16" t="inlineStr">
        <is>
          <t>TOTAL CLASIFICADO</t>
        </is>
      </c>
      <c r="B24" s="22">
        <f>SUM(B21:B23)</f>
        <v/>
      </c>
      <c r="C24" s="23">
        <f>SUM(C21:C23)</f>
        <v/>
      </c>
      <c r="D24" s="17" t="inlineStr"/>
      <c r="E24" s="17" t="inlineStr"/>
    </row>
    <row r="25">
      <c r="A25" s="24" t="inlineStr">
        <is>
          <t>Superficie de catálogo (V5/V6)</t>
        </is>
      </c>
      <c r="B25" s="25" t="n">
        <v>68.89</v>
      </c>
      <c r="C25" s="25" t="inlineStr">
        <is>
          <t>—</t>
        </is>
      </c>
      <c r="D25" s="25" t="inlineStr">
        <is>
          <t>Desviación planimétrica frente al catálogo</t>
        </is>
      </c>
      <c r="E25" s="25" t="inlineStr">
        <is>
          <t>+0.05 %</t>
        </is>
      </c>
    </row>
    <row r="27" ht="108" customHeight="1">
      <c r="A27"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90 % frente a un 0.00 % del polígono clasificado como «Vegetación alta» por el NDVI 2025; la observación de campo corresponde a una parcela o recorrido puntual y no es estadísticamente representativa de las 68.890 ha del bloque.</t>
        </is>
      </c>
    </row>
  </sheetData>
  <mergeCells count="10">
    <mergeCell ref="A4:E4"/>
    <mergeCell ref="A2:E2"/>
    <mergeCell ref="A19:E19"/>
    <mergeCell ref="A1:E1"/>
    <mergeCell ref="A5:E5"/>
    <mergeCell ref="A8:E8"/>
    <mergeCell ref="A6:E6"/>
    <mergeCell ref="A17:E17"/>
    <mergeCell ref="A27:E27"/>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6"/>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M10B4</t>
        </is>
      </c>
    </row>
    <row r="6" ht="24" customHeight="1">
      <c r="A6" s="4" t="inlineStr">
        <is>
          <t>Levantamiento del 2026-07-03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645575</v>
      </c>
      <c r="D10" s="26" t="n">
        <v>9393500</v>
      </c>
      <c r="E10" s="11" t="n">
        <v>73360.2</v>
      </c>
      <c r="F10" s="11" t="inlineStr"/>
      <c r="G10" s="11" t="inlineStr">
        <is>
          <t>Coordenada consignada en F-DT-01</t>
        </is>
      </c>
    </row>
    <row r="11">
      <c r="A11" s="16" t="inlineStr">
        <is>
          <t>TOTAL: 1 puntos</t>
        </is>
      </c>
      <c r="B11" s="17" t="inlineStr"/>
      <c r="C11" s="17" t="inlineStr"/>
      <c r="D11" s="17" t="inlineStr"/>
      <c r="E11" s="17" t="inlineStr"/>
      <c r="F11" s="17" t="inlineStr"/>
      <c r="G11" s="17" t="inlineStr"/>
    </row>
    <row r="13">
      <c r="A13" s="6" t="inlineStr">
        <is>
          <t>Centroide del bloque — UTM ESTE (m)</t>
        </is>
      </c>
      <c r="B13" s="7" t="n">
        <v>596773</v>
      </c>
      <c r="C13" s="6" t="inlineStr">
        <is>
          <t>Centroide del bloque — UTM NORTE (m)</t>
        </is>
      </c>
      <c r="D13" s="7" t="n">
        <v>9448273</v>
      </c>
      <c r="E13" s="8" t="n"/>
      <c r="F13" s="8" t="n"/>
      <c r="G13" s="8" t="n"/>
      <c r="H13" s="8" t="n"/>
    </row>
    <row r="14">
      <c r="A14" s="6" t="inlineStr">
        <is>
          <t>N.° de estaciones fotográficas declaradas</t>
        </is>
      </c>
      <c r="B14" s="7" t="n">
        <v>0</v>
      </c>
      <c r="C14" s="6" t="inlineStr">
        <is>
          <t>Estaciones dentro del polígono</t>
        </is>
      </c>
      <c r="D14" s="7" t="n">
        <v>0</v>
      </c>
      <c r="E14" s="8" t="n"/>
      <c r="F14" s="8" t="n"/>
      <c r="G14" s="8" t="n"/>
      <c r="H14" s="8" t="n"/>
    </row>
    <row r="16" ht="144" customHeight="1">
      <c r="A16"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El bloque se caracteriza por LADERAS DE COLINAS BAJAS, con pendientes inferiores al 60% que se vuelven progresivamente más pronunciadas al ganar altitud. La cota media ronda los 230 msnm; en su sector inferior se localizan el CCPP y una vía afirmada. Afloramientos rocosos en pendientes empinadas. Piedras de tamaño pequeño a mediano, SIN EVIDENCIA DE SURCOS NI CÁRCAVAS en proceso de formación. Se registró PASTOREO DE GANADO CAPRINO DE BAJA INTENSIDAD y EXTRACCIÓN DE LEÑA DE IMPACTO REDUCIDO. En la zona adyacente al CCPP se detectó AFECCIÓN LEVE, asociada principalmente a la reducción de la cobertura vegetal arbórea. ATENCIÓN: el UTM del punto de registro (645 575 · 9 393 500) es el valor por defecto de la plantilla; el centroide de catálogo es 596 773 · 9 448 270.</t>
        </is>
      </c>
    </row>
  </sheetData>
  <mergeCells count="8">
    <mergeCell ref="A1:G1"/>
    <mergeCell ref="A8:G8"/>
    <mergeCell ref="A3:G3"/>
    <mergeCell ref="A6:G6"/>
    <mergeCell ref="A4:G4"/>
    <mergeCell ref="A2:G2"/>
    <mergeCell ref="A16:G16"/>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9"/>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C1096-Q9547 — BLOQUE M10B4</t>
        </is>
      </c>
    </row>
    <row r="6" ht="24" customHeight="1">
      <c r="A6" s="4" t="inlineStr">
        <is>
          <t>Distrito de Chulucanas · Provincia de Morropon · Comparación de los bloques preliminares de intervención de la misma microcuenca</t>
        </is>
      </c>
    </row>
    <row r="8" ht="18" customHeight="1">
      <c r="A8" s="5" t="inlineStr">
        <is>
          <t>BLOQUES DE LA MICROCUENCA C1096-Q9547</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row>
    <row r="10">
      <c r="A10" s="7" t="inlineStr">
        <is>
          <t>6</t>
        </is>
      </c>
      <c r="B10" s="27" t="n">
        <v>168.41</v>
      </c>
      <c r="C10" s="19" t="n">
        <v>53.36</v>
      </c>
      <c r="D10" s="11" t="inlineStr">
        <is>
          <t>1398 – 2016</t>
        </is>
      </c>
      <c r="E10" s="11" t="n">
        <v>618</v>
      </c>
      <c r="F10" s="11" t="n">
        <v>33.74</v>
      </c>
      <c r="G10" s="18" t="n">
        <v>0.5381</v>
      </c>
      <c r="H10" s="19" t="n">
        <v>40.11</v>
      </c>
    </row>
    <row r="11">
      <c r="A11" s="14" t="inlineStr">
        <is>
          <t>► M10B4</t>
        </is>
      </c>
      <c r="B11" s="28" t="n">
        <v>68.89</v>
      </c>
      <c r="C11" s="29" t="n">
        <v>21.83</v>
      </c>
      <c r="D11" s="15" t="inlineStr">
        <is>
          <t>170 – 313</t>
        </is>
      </c>
      <c r="E11" s="15" t="n">
        <v>143</v>
      </c>
      <c r="F11" s="15" t="n">
        <v>13.83</v>
      </c>
      <c r="G11" s="30" t="n">
        <v>0.3133</v>
      </c>
      <c r="H11" s="29" t="n">
        <v>0</v>
      </c>
    </row>
    <row r="12">
      <c r="A12" s="7" t="inlineStr">
        <is>
          <t>25</t>
        </is>
      </c>
      <c r="B12" s="27" t="n">
        <v>53.48</v>
      </c>
      <c r="C12" s="19" t="n">
        <v>16.94</v>
      </c>
      <c r="D12" s="11" t="inlineStr">
        <is>
          <t>143 – 210</t>
        </is>
      </c>
      <c r="E12" s="11" t="n">
        <v>67</v>
      </c>
      <c r="F12" s="11" t="n">
        <v>11.68</v>
      </c>
      <c r="G12" s="18" t="n">
        <v>0.2565</v>
      </c>
      <c r="H12" s="19" t="inlineStr">
        <is>
          <t>Por determinar</t>
        </is>
      </c>
    </row>
    <row r="13">
      <c r="A13" s="12" t="inlineStr">
        <is>
          <t>36</t>
        </is>
      </c>
      <c r="B13" s="31" t="n">
        <v>24.84</v>
      </c>
      <c r="C13" s="21" t="n">
        <v>7.87</v>
      </c>
      <c r="D13" s="13" t="inlineStr">
        <is>
          <t>1239 – 1476</t>
        </is>
      </c>
      <c r="E13" s="13" t="n">
        <v>237</v>
      </c>
      <c r="F13" s="13" t="n">
        <v>30.65</v>
      </c>
      <c r="G13" s="20" t="n">
        <v>0.5395</v>
      </c>
      <c r="H13" s="21" t="n">
        <v>49.11</v>
      </c>
    </row>
    <row r="14">
      <c r="A14" s="16" t="inlineStr">
        <is>
          <t>TOTAL / PROMEDIO</t>
        </is>
      </c>
      <c r="B14" s="32">
        <f>SUM(B10:B13)</f>
        <v/>
      </c>
      <c r="C14" s="23">
        <f>SUM(C10:C13)</f>
        <v/>
      </c>
      <c r="D14" s="17" t="inlineStr">
        <is>
          <t>143 – 2016</t>
        </is>
      </c>
      <c r="E14" s="17" t="inlineStr"/>
      <c r="F14" s="17">
        <f>ROUND(AVERAGE(F10:F13),2)</f>
        <v/>
      </c>
      <c r="G14" s="22">
        <f>ROUND(AVERAGE(G10:G13),4)</f>
        <v/>
      </c>
      <c r="H14" s="23">
        <f>ROUND(AVERAGE(H10:H13),2)</f>
        <v/>
      </c>
    </row>
    <row r="15" ht="48" customHeight="1">
      <c r="A15" s="9" t="inlineStr">
        <is>
          <t>ALCANCE DE LOS PROMEDIOS. La fila TOTAL / PROMEDIO omite las celdas «Por determinar»: el promedio de VEGETACIÓN ALTA (NDVI 2025) se calcula sobre 3 de los 4 bloques; el bloque restante carece de estadística zonal de NDVI. Los totales de ÁREA y % de microcuenca sí comprenden la totalidad de los 4 bloques. No se estima ningún valor ausente.</t>
        </is>
      </c>
    </row>
    <row r="17" ht="84" customHeight="1">
      <c r="A17" s="9" t="inlineStr">
        <is>
          <t>LECTURA INTRAMICROCUENCA. El bloque M10B4 ocupa el puesto 2 de 4 por superficie dentro de la microcuenca C1096-Q9547 (21.83 % de las 315.62 ha preliminares de la microcuenca). Su pendiente promedio (13.83 %, clase «8-15% (Mod. inclinado)») es la 2.ª más baja de 4 y se sitúa por debajo del promedio de la microcuenca (22.48 %). Su MSAVI 2024 (0.3133) es el 3.º de 4 y queda por debajo del promedio local (0.4119). Amplitud altitudinal del bloque: 143 m (170–313 msnm). El cuadro conserva todos los bloques catalogados en la microcuenca, incluidos los descartados en el tamizaje, para referencia del conjunto. Los bloques sin ficha DT figuran con sus parámetros de gabinete.</t>
        </is>
      </c>
    </row>
    <row r="19" ht="60" customHeight="1">
      <c r="A19"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t>
        </is>
      </c>
    </row>
  </sheetData>
  <mergeCells count="10">
    <mergeCell ref="A1:H1"/>
    <mergeCell ref="A4:H4"/>
    <mergeCell ref="A3:H3"/>
    <mergeCell ref="A15:H15"/>
    <mergeCell ref="A2:H2"/>
    <mergeCell ref="A19:H19"/>
    <mergeCell ref="A5:H5"/>
    <mergeCell ref="A8:H8"/>
    <mergeCell ref="A6:H6"/>
    <mergeCell ref="A17:H1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M10B4</t>
        </is>
      </c>
    </row>
    <row r="6" ht="24" customHeight="1">
      <c r="A6" s="4" t="inlineStr">
        <is>
          <t>Discrepancias detectadas entre el registro de campo, los productos de gabinete y el catálogo maestro. Calificación: SUSTANTIVA / NO SUSTANTIVA / CORREGIDO / CONFORME.</t>
        </is>
      </c>
    </row>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3" t="inlineStr">
        <is>
          <t>D-01</t>
        </is>
      </c>
      <c r="B10" s="33" t="inlineStr">
        <is>
          <t>Código de microcuenca</t>
        </is>
      </c>
      <c r="C10" s="33" t="inlineStr">
        <is>
          <t>La ficha DT declara «C1076-Q9584 (según ficha — valor por defecto de plantilla; catálogo: C1096-Q9547)»; el catálogo maestro V5/V6 asigna el bloque a «C1096-Q9547»</t>
        </is>
      </c>
      <c r="D10" s="34" t="inlineStr">
        <is>
          <t>SUSTANTIVA</t>
        </is>
      </c>
      <c r="E10" s="33" t="inlineStr">
        <is>
          <t>Se conserva el código del catálogo maestro para todo cálculo intramicrocuenca. La declaración de la ficha debe corregirse en la siguiente versión del formato V5.</t>
        </is>
      </c>
    </row>
    <row r="11" ht="48" customHeight="1">
      <c r="A11" s="35" t="inlineStr">
        <is>
          <t>D-02</t>
        </is>
      </c>
      <c r="B11" s="35" t="inlineStr">
        <is>
          <t>UTM del punto de muestreo</t>
        </is>
      </c>
      <c r="C11" s="35" t="inlineStr">
        <is>
          <t>El punto de muestreo declarado (645575 E / 9393500 N) dista 73,360 m del centroide de catálogo (596773 E / 9448273 N), distancia incompatible con la superficie del bloque (68.89 ha)</t>
        </is>
      </c>
      <c r="D11" s="34" t="inlineStr">
        <is>
          <t>SUSTANTIVA</t>
        </is>
      </c>
      <c r="E11" s="35" t="inlineStr">
        <is>
          <t>Se declara la coordenada como POR VERIFICAR: puede corresponder a otro bloque o a un error de digitación. No se corrige de oficio.</t>
        </is>
      </c>
    </row>
    <row r="12" ht="48" customHeight="1">
      <c r="A12" s="33" t="inlineStr">
        <is>
          <t>D-03</t>
        </is>
      </c>
      <c r="B12" s="33" t="inlineStr">
        <is>
          <t>Superficie del polígono</t>
        </is>
      </c>
      <c r="C12" s="33" t="inlineStr">
        <is>
          <t>La superficie clasificada por el NDVI 2025 (68.926 ha) coincide con la de catálogo (68.89 ha) dentro del ±2 % (+0.05 %)</t>
        </is>
      </c>
      <c r="D12" s="36" t="inlineStr">
        <is>
          <t>CONFORME</t>
        </is>
      </c>
      <c r="E12" s="33" t="inlineStr">
        <is>
          <t>Sin acción: la segmentación valida la geometría del bloque.</t>
        </is>
      </c>
    </row>
    <row r="13" ht="48" customHeight="1">
      <c r="A13" s="35" t="inlineStr">
        <is>
          <t>D-04</t>
        </is>
      </c>
      <c r="B13" s="35" t="inlineStr">
        <is>
          <t>Rango de pendiente dominante</t>
        </is>
      </c>
      <c r="C13" s="35" t="inlineStr">
        <is>
          <t>La ficha DT declara «No consignado en el campo de lista (narrativa: &lt;60%)»; la estadística zonal sobre el MDE arroja una pendiente promedio de 13.83 %, que corresponde a la clase «8-15% (Mod. inclinado)»</t>
        </is>
      </c>
      <c r="D13" s="15" t="inlineStr">
        <is>
          <t>NO SUSTANTIVA</t>
        </is>
      </c>
      <c r="E13" s="35" t="inlineStr">
        <is>
          <t>Se conserva el registro de campo como observación de sector y se adopta el valor del MDE para el cálculo intramicrocuenca. La divergencia es esperable: el dato de campo es puntual y el del MDE es promedio del polígono.</t>
        </is>
      </c>
    </row>
    <row r="14" ht="48" customHeight="1">
      <c r="A14" s="33" t="inlineStr">
        <is>
          <t>D-05</t>
        </is>
      </c>
      <c r="B14" s="33" t="inlineStr">
        <is>
          <t>Dimensiones del inventario de cárcavas</t>
        </is>
      </c>
      <c r="C14" s="33" t="inlineStr">
        <is>
          <t>Se registran No inventariadas (F-DT-02 sin contenido) rasgos erosivos, pero longitud, profundidad y ancho no fueron medidos instrumentalmente</t>
        </is>
      </c>
      <c r="D14" s="15" t="inlineStr">
        <is>
          <t>NO SUSTANTIVA</t>
        </is>
      </c>
      <c r="E14" s="33" t="inlineStr">
        <is>
          <t>El conteo registrado no debe usarse para calcular densidad de cárcavas por hectárea. Pendiente de levantamiento con GPS submétrico.</t>
        </is>
      </c>
    </row>
    <row r="15" ht="48" customHeight="1">
      <c r="A15" s="35" t="inlineStr">
        <is>
          <t>D-06</t>
        </is>
      </c>
      <c r="B15" s="35" t="inlineStr">
        <is>
          <t>Elenco florístico</t>
        </is>
      </c>
      <c r="C15" s="35" t="inlineStr">
        <is>
          <t>La ficha registra 5 taxones, por debajo del mínimo de 15 que exige el formato V5</t>
        </is>
      </c>
      <c r="D15" s="34" t="inlineStr">
        <is>
          <t>SUSTANTIVA</t>
        </is>
      </c>
      <c r="E15" s="35" t="inlineStr">
        <is>
          <t>Registro florístico preliminar, sin colecta ni determinación botánica formal. Debe cerrarse con colecta botánica en la siguiente campaña.</t>
        </is>
      </c>
    </row>
    <row r="16" ht="48" customHeight="1">
      <c r="A16" s="33" t="inlineStr">
        <is>
          <t>D-07</t>
        </is>
      </c>
      <c r="B16" s="33" t="inlineStr">
        <is>
          <t>Representatividad del levantamiento</t>
        </is>
      </c>
      <c r="C16" s="33" t="inlineStr">
        <is>
          <t>Ninguna de las estaciones fotográficas georreferenciadas se localiza dentro del polígono del bloque</t>
        </is>
      </c>
      <c r="D16" s="34" t="inlineStr">
        <is>
          <t>SUSTANTIVA</t>
        </is>
      </c>
      <c r="E16" s="33" t="inlineStr">
        <is>
          <t>La verificación documenta el perímetro y la vista panorámica del bloque, no su interior. Los parámetros que exigen recorrido interno se consignan «Por determinar».</t>
        </is>
      </c>
    </row>
    <row r="17" ht="48" customHeight="1">
      <c r="A17" s="35" t="inlineStr">
        <is>
          <t>D-08</t>
        </is>
      </c>
      <c r="B17" s="35" t="inlineStr">
        <is>
          <t>Centro poblado asociado</t>
        </is>
      </c>
      <c r="C17" s="35" t="inlineStr">
        <is>
          <t>La ficha DT declara «Río Seco Alto»; el cruce INEI-Bloques V5 identifica 1 centro(s) poblado(s) en el bloque: RIO SECO ALTO</t>
        </is>
      </c>
      <c r="D17" s="15" t="inlineStr">
        <is>
          <t>NO SUSTANTIVA</t>
        </is>
      </c>
      <c r="E17" s="35" t="inlineStr">
        <is>
          <t>Se conserva el registro de campo como referencia y se adopta el listado INEI para el diagnóstico social y el cálculo de población beneficiaria.</t>
        </is>
      </c>
    </row>
    <row r="18" ht="48" customHeight="1">
      <c r="A18" s="33" t="inlineStr">
        <is>
          <t>D-09</t>
        </is>
      </c>
      <c r="B18" s="33" t="inlineStr">
        <is>
          <t>Peligro integrado (MCA-AHP)</t>
        </is>
      </c>
      <c r="C18" s="33" t="inlineStr">
        <is>
          <t>El nivel de peligro integrado no está disponible en los insumos de este entregable</t>
        </is>
      </c>
      <c r="D18" s="34" t="inlineStr">
        <is>
          <t>SUSTANTIVA</t>
        </is>
      </c>
      <c r="E18" s="33" t="inlineStr">
        <is>
          <t>Debe tomarse del modelamiento de mesolocalización (PMM + EPH + PGI ponderados por AHP) antes de fijar la prioridad definitiva de intervención del bloque.</t>
        </is>
      </c>
    </row>
    <row r="19" ht="48" customHeight="1">
      <c r="A19" s="35" t="inlineStr">
        <is>
          <t>D-10</t>
        </is>
      </c>
      <c r="B19" s="35" t="inlineStr">
        <is>
          <t>Ficha DT</t>
        </is>
      </c>
      <c r="C19" s="35" t="inlineStr">
        <is>
          <t>La ficha consigna microcuenca C1076-Q9584; el catálogo maestro asigna a M10B4 la microcuenca C1096-Q9547</t>
        </is>
      </c>
      <c r="D19" s="34" t="inlineStr">
        <is>
          <t>SUSTANTIVA</t>
        </is>
      </c>
      <c r="E19" s="35" t="inlineStr">
        <is>
          <t>Valor por defecto de la plantilla; se conserva el del catálogo</t>
        </is>
      </c>
    </row>
    <row r="20" ht="48" customHeight="1">
      <c r="A20" s="33" t="inlineStr">
        <is>
          <t>D-11</t>
        </is>
      </c>
      <c r="B20" s="33" t="inlineStr">
        <is>
          <t>Ficha DT</t>
        </is>
      </c>
      <c r="C20" s="33" t="inlineStr">
        <is>
          <t>UTM del punto de registro (645 575 · 9 393 500) = valor por defecto; el centroide de catálogo es 596 773 · 9 448 270</t>
        </is>
      </c>
      <c r="D20" s="34" t="inlineStr">
        <is>
          <t>SUSTANTIVA</t>
        </is>
      </c>
      <c r="E20" s="33" t="inlineStr">
        <is>
          <t>Georreferencia por reponer</t>
        </is>
      </c>
    </row>
    <row r="21" ht="48" customHeight="1">
      <c r="A21" s="35" t="inlineStr">
        <is>
          <t>D-12</t>
        </is>
      </c>
      <c r="B21" s="35" t="inlineStr">
        <is>
          <t>Plan de Ingreso</t>
        </is>
      </c>
      <c r="C21" s="35" t="inlineStr">
        <is>
          <t>Altitud = 0 msnm (captura por defecto del aplicativo)</t>
        </is>
      </c>
      <c r="D21" s="37" t="inlineStr">
        <is>
          <t>CORREGIDO</t>
        </is>
      </c>
      <c r="E21" s="35" t="inlineStr">
        <is>
          <t>Se reemplaza por la altitud GPS de campo (177 msnm)</t>
        </is>
      </c>
    </row>
    <row r="22" ht="48" customHeight="1">
      <c r="A22" s="33" t="inlineStr">
        <is>
          <t>D-13</t>
        </is>
      </c>
      <c r="B22" s="33" t="inlineStr">
        <is>
          <t>F-DT-01</t>
        </is>
      </c>
      <c r="C22" s="33" t="inlineStr">
        <is>
          <t>Rango de pendiente no consignado en el campo de lista</t>
        </is>
      </c>
      <c r="D22" s="15" t="inlineStr">
        <is>
          <t>NO SUSTANTIVA</t>
        </is>
      </c>
      <c r="E22" s="33" t="inlineStr">
        <is>
          <t>Completar</t>
        </is>
      </c>
    </row>
    <row r="23" ht="48" customHeight="1">
      <c r="A23" s="35" t="inlineStr">
        <is>
          <t>D-14</t>
        </is>
      </c>
      <c r="B23" s="35" t="inlineStr">
        <is>
          <t>F-DT-02</t>
        </is>
      </c>
      <c r="C23" s="35" t="inlineStr">
        <is>
          <t>Sección SIN CONTENIDO en el documento de origen</t>
        </is>
      </c>
      <c r="D23" s="34" t="inlineStr">
        <is>
          <t>SUSTANTIVA</t>
        </is>
      </c>
      <c r="E23" s="35" t="inlineStr">
        <is>
          <t>Levantamiento pendiente en su totalidad</t>
        </is>
      </c>
    </row>
    <row r="24" ht="48" customHeight="1">
      <c r="A24" s="33" t="inlineStr">
        <is>
          <t>D-15</t>
        </is>
      </c>
      <c r="B24" s="33" t="inlineStr">
        <is>
          <t>F-DT-03</t>
        </is>
      </c>
      <c r="C24" s="33" t="inlineStr">
        <is>
          <t>Solo 5 taxones registrados, sin nombre científico ni familia, frente al mínimo de 15</t>
        </is>
      </c>
      <c r="D24" s="34" t="inlineStr">
        <is>
          <t>SUSTANTIVA</t>
        </is>
      </c>
      <c r="E24" s="33" t="inlineStr">
        <is>
          <t>Inventario florístico incompleto</t>
        </is>
      </c>
    </row>
    <row r="25" ht="48" customHeight="1">
      <c r="A25" s="35" t="inlineStr">
        <is>
          <t>D-16</t>
        </is>
      </c>
      <c r="B25" s="35" t="inlineStr">
        <is>
          <t>F-DT-04</t>
        </is>
      </c>
      <c r="C25" s="35" t="inlineStr">
        <is>
          <t>Densidad de cárcavas 1 N.°/ha pese a declararse que no hay cárcavas y a no existir inventario</t>
        </is>
      </c>
      <c r="D25" s="34" t="inlineStr">
        <is>
          <t>SUSTANTIVA</t>
        </is>
      </c>
      <c r="E25" s="35" t="inlineStr">
        <is>
          <t>Inconsistencia interna a resolver</t>
        </is>
      </c>
    </row>
    <row r="26" ht="48" customHeight="1">
      <c r="A26" s="33" t="inlineStr">
        <is>
          <t>D-17</t>
        </is>
      </c>
      <c r="B26" s="33" t="inlineStr">
        <is>
          <t>F-DT-04</t>
        </is>
      </c>
      <c r="C26" s="33" t="inlineStr">
        <is>
          <t>RECOMENDACIÓN DE CAMPO: evaluar la pertinencia de la intervención — el área conserva su cobertura y el riesgo por movimiento en masa no es evidente</t>
        </is>
      </c>
      <c r="D26" s="34" t="inlineStr">
        <is>
          <t>SUSTANTIVA</t>
        </is>
      </c>
      <c r="E26" s="33" t="inlineStr">
        <is>
          <t>ELEVAR A LA SUBDIRECCIÓN: verificar si el bloque califica como ecosistema degradado bajo la R.M. 00213-2024-MINAM</t>
        </is>
      </c>
    </row>
    <row r="27" ht="48" customHeight="1">
      <c r="A27" s="35" t="inlineStr">
        <is>
          <t>D-18</t>
        </is>
      </c>
      <c r="B27" s="35" t="inlineStr">
        <is>
          <t>F-DT-05</t>
        </is>
      </c>
      <c r="C27" s="35" t="inlineStr">
        <is>
          <t>Ficha no diligenciada: inventario hídrico vacío y accesibilidad sin consignar</t>
        </is>
      </c>
      <c r="D27" s="34" t="inlineStr">
        <is>
          <t>SUSTANTIVA</t>
        </is>
      </c>
      <c r="E27" s="35" t="inlineStr">
        <is>
          <t>Levantamiento pendiente</t>
        </is>
      </c>
    </row>
    <row r="28" ht="48" customHeight="1">
      <c r="A28" s="33" t="inlineStr">
        <is>
          <t>D-19</t>
        </is>
      </c>
      <c r="B28" s="33" t="inlineStr">
        <is>
          <t>F-DS-01</t>
        </is>
      </c>
      <c r="C28" s="33" t="inlineStr">
        <is>
          <t>Contradicción entre las dos fichas sociales: «Comunidad Campesina reconocida con título» vs. «Caserío / Anexo»</t>
        </is>
      </c>
      <c r="D28" s="34" t="inlineStr">
        <is>
          <t>SUSTANTIVA</t>
        </is>
      </c>
      <c r="E28" s="33" t="inlineStr">
        <is>
          <t>Condiciona el tamizaje predial: resolver</t>
        </is>
      </c>
    </row>
    <row r="30">
      <c r="A30" s="16" t="inlineStr">
        <is>
          <t>RESUMEN</t>
        </is>
      </c>
      <c r="B30" s="17" t="inlineStr">
        <is>
          <t>19 verificaciones</t>
        </is>
      </c>
      <c r="C30" s="17" t="inlineStr">
        <is>
          <t>CONFORME: 1 · CORREGIDO: 1 · NO SUSTANTIVA: 4 · SUSTANTIVA: 13</t>
        </is>
      </c>
      <c r="D30" s="17" t="inlineStr"/>
      <c r="E30" s="17" t="inlineStr"/>
    </row>
    <row r="32" ht="60" customHeight="1">
      <c r="A32"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row>
  </sheetData>
  <mergeCells count="8">
    <mergeCell ref="A4:E4"/>
    <mergeCell ref="A2:E2"/>
    <mergeCell ref="A1:E1"/>
    <mergeCell ref="A5:E5"/>
    <mergeCell ref="A32:E32"/>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M10B4 — IN Piura</dc:title>
  <dc:subject>Diagnóstico Territorial por bloque de intervención</dc:subject>
  <dcterms:created xsi:type="dcterms:W3CDTF">2026-09-08T03:39:57Z</dcterms:created>
  <dcterms:modified xsi:type="dcterms:W3CDTF">2026-09-08T03:39:57Z</dcterms:modified>
</cp:coreProperties>
</file>