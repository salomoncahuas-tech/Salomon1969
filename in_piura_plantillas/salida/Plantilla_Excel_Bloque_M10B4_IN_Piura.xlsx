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M10B4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M10B4</t>
        </is>
      </c>
      <c r="C9" s="6" t="inlineStr">
        <is>
          <t>Microcuenca (catálogo)</t>
        </is>
      </c>
      <c r="D9" s="7" t="inlineStr">
        <is>
          <t>C1096-Q9547</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C1096-Q9547)</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Río Seco Alto</t>
        </is>
      </c>
      <c r="C13" s="6" t="inlineStr">
        <is>
          <t>Comunidad campesina</t>
        </is>
      </c>
      <c r="D13" s="7" t="inlineStr">
        <is>
          <t>Comunidad Campesina reconocida con título (F-DS-01); registro contradictorio con «Caserío / Anexo» en la segunda F-DS-01</t>
        </is>
      </c>
      <c r="E13" s="8" t="n"/>
      <c r="F13" s="8" t="n"/>
    </row>
    <row r="14">
      <c r="A14" s="6" t="inlineStr">
        <is>
          <t>Superficie de catálogo (V5/V6), ha</t>
        </is>
      </c>
      <c r="B14" s="7" t="n">
        <v>68.89</v>
      </c>
      <c r="C14" s="6" t="inlineStr">
        <is>
          <t>Fuente de superficie</t>
        </is>
      </c>
      <c r="D14" s="7" t="inlineStr">
        <is>
          <t>Catálogo maestro Bloques V5/V6</t>
        </is>
      </c>
      <c r="E14" s="8" t="n"/>
      <c r="F14" s="8" t="n"/>
    </row>
    <row r="15">
      <c r="A15" s="6" t="inlineStr">
        <is>
          <t>Centroide UTM ESTE (m)</t>
        </is>
      </c>
      <c r="B15" s="7" t="n">
        <v>596773</v>
      </c>
      <c r="C15" s="6" t="inlineStr">
        <is>
          <t>Centroide UTM NORTE (m)</t>
        </is>
      </c>
      <c r="D15" s="7" t="n">
        <v>9448273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170</v>
      </c>
      <c r="C19" s="6" t="inlineStr">
        <is>
          <t>Altitud máxima (msnm)</t>
        </is>
      </c>
      <c r="D19" s="7" t="n">
        <v>313</v>
      </c>
      <c r="E19" s="8" t="n"/>
      <c r="F19" s="8" t="n"/>
    </row>
    <row r="20">
      <c r="A20" s="6" t="inlineStr">
        <is>
          <t>Amplitud altitudinal (m)</t>
        </is>
      </c>
      <c r="B20" s="7" t="n">
        <v>143</v>
      </c>
      <c r="C20" s="6" t="inlineStr">
        <is>
          <t>Piso altitudinal dominante</t>
        </is>
      </c>
      <c r="D20" s="7" t="inlineStr">
        <is>
          <t>&lt;1000 m (Yunga)</t>
        </is>
      </c>
      <c r="E20" s="8" t="n"/>
      <c r="F20" s="8" t="n"/>
    </row>
    <row r="21">
      <c r="A21" s="6" t="inlineStr">
        <is>
          <t>Pendiente promedio (%)</t>
        </is>
      </c>
      <c r="B21" s="7" t="n">
        <v>13.83</v>
      </c>
      <c r="C21" s="6" t="inlineStr">
        <is>
          <t>Pendiente promedio (grados)</t>
        </is>
      </c>
      <c r="D21" s="7" t="n">
        <v>7.9</v>
      </c>
      <c r="E21" s="8" t="n"/>
      <c r="F21" s="8" t="n"/>
    </row>
    <row r="22">
      <c r="A22" s="6" t="inlineStr">
        <is>
          <t>Clase de pendiente equivalente</t>
        </is>
      </c>
      <c r="B22" s="7" t="inlineStr">
        <is>
          <t>8-15% (Mod. inclinado)</t>
        </is>
      </c>
      <c r="C22" s="6" t="inlineStr">
        <is>
          <t>Rango de pendiente declarado en campo</t>
        </is>
      </c>
      <c r="D22" s="7" t="inlineStr">
        <is>
          <t>No consignado en el campo de lista (narrativa: &lt;60%)</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0.3133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(73.83 %)</t>
        </is>
      </c>
      <c r="E29" s="8" t="n"/>
      <c r="F29" s="8" t="n"/>
    </row>
    <row r="30">
      <c r="A30" s="6" t="inlineStr">
        <is>
          <t>Superficie clasificada NDVI 2025 (ha)</t>
        </is>
      </c>
      <c r="B30" s="7" t="n">
        <v>68.926</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62 ha (de 68.89 ha del bloque)</t>
        </is>
      </c>
      <c r="E33" s="8" t="n"/>
      <c r="F33" s="8" t="n"/>
    </row>
    <row r="34">
      <c r="A34" s="6" t="inlineStr">
        <is>
          <t>Estado de conservación</t>
        </is>
      </c>
      <c r="B34" s="7" t="inlineStr">
        <is>
          <t>Levemente alterado</t>
        </is>
      </c>
      <c r="C34" s="6" t="inlineStr">
        <is>
          <t>Uso actual dominante del suelo</t>
        </is>
      </c>
      <c r="D34" s="7" t="inlineStr">
        <is>
          <t>Pastoreo extensivo</t>
        </is>
      </c>
      <c r="E34" s="8" t="n"/>
      <c r="F34" s="8" t="n"/>
    </row>
    <row r="35">
      <c r="A35" s="6" t="inlineStr">
        <is>
          <t>Tipo de cobertura dominante</t>
        </is>
      </c>
      <c r="B35" s="7" t="inlineStr">
        <is>
          <t>Bosque denso (&gt;70%)</t>
        </is>
      </c>
      <c r="C35" s="6" t="inlineStr">
        <is>
          <t>Cobertura vegetal total — campo (%)</t>
        </is>
      </c>
      <c r="D35" s="7" t="n">
        <v>90</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FICHA F-DT-02 SIN CONTENIDO. Narrativa de F-DT-01: sin evidencia de surcos ni cárcavas</t>
        </is>
      </c>
      <c r="C37" s="6" t="inlineStr">
        <is>
          <t>N.° de cárcavas registradas</t>
        </is>
      </c>
      <c r="D37" s="7" t="inlineStr">
        <is>
          <t>No inventariadas (F-DT-02 sin contenido)</t>
        </is>
      </c>
      <c r="E37" s="8" t="n"/>
      <c r="F37" s="8" t="n"/>
    </row>
    <row r="38">
      <c r="A38" s="6" t="inlineStr">
        <is>
          <t>Elenco florístico (n.° de taxones)</t>
        </is>
      </c>
      <c r="B38" s="7" t="n">
        <v>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Domínguez</t>
        </is>
      </c>
      <c r="C41" s="6" t="inlineStr">
        <is>
          <t>Fecha de evaluación</t>
        </is>
      </c>
      <c r="D41" s="7" t="inlineStr">
        <is>
          <t>2026-07-03</t>
        </is>
      </c>
      <c r="E41" s="8" t="n"/>
      <c r="F41" s="8" t="n"/>
    </row>
    <row r="42">
      <c r="A42" s="6" t="inlineStr">
        <is>
          <t>Hora de registro</t>
        </is>
      </c>
      <c r="B42" s="7" t="inlineStr">
        <is>
          <t>12:15 h</t>
        </is>
      </c>
      <c r="C42" s="6" t="inlineStr">
        <is>
          <t>Correlativo de ficha</t>
        </is>
      </c>
      <c r="D42" s="7" t="inlineStr">
        <is>
          <t>Sin registro en ficha</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Sin registro en ficha</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Por determinar</t>
        </is>
      </c>
      <c r="C50" s="6" t="inlineStr">
        <is>
          <t>Zona de recarga hídrica</t>
        </is>
      </c>
      <c r="D50" s="7" t="inlineStr">
        <is>
          <t>Sin registro en ficha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M10B4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0.313301</v>
      </c>
      <c r="C15" s="17" t="inlineStr">
        <is>
          <t>—</t>
        </is>
      </c>
      <c r="D15" s="17" t="inlineStr">
        <is>
          <t>Vigor muy bajo · clase 0.2650 - 0.3813</t>
        </is>
      </c>
      <c r="E15" s="17" t="inlineStr">
        <is>
          <t>BAJO umbral 0.4976</t>
        </is>
      </c>
    </row>
    <row r="17" ht="72" customHeight="1">
      <c r="A17" s="9" t="inlineStr">
        <is>
          <t>NOTA METODOLÓGICA. La media del MSAVI 2024 del bloque (0.313301)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mediana</t>
        </is>
      </c>
      <c r="B21" s="18" t="n">
        <v>1.8372</v>
      </c>
      <c r="C21" s="19" t="n">
        <v>2.67</v>
      </c>
      <c r="D21" s="11" t="inlineStr">
        <is>
          <t>Pastizal cultivado, matorral ralo, parcelas agrícolas</t>
        </is>
      </c>
      <c r="E21" s="11" t="inlineStr"/>
    </row>
    <row r="22">
      <c r="A22" s="12" t="inlineStr">
        <is>
          <t>Vegetación ligera</t>
        </is>
      </c>
      <c r="B22" s="20" t="n">
        <v>50.8887</v>
      </c>
      <c r="C22" s="21" t="n">
        <v>73.83</v>
      </c>
      <c r="D22" s="13" t="inlineStr">
        <is>
          <t>Cobertura discontinua, suelo parcialmente expuesto</t>
        </is>
      </c>
      <c r="E22" s="13" t="inlineStr"/>
    </row>
    <row r="23">
      <c r="A23" s="7" t="inlineStr">
        <is>
          <t>Tierra desnuda</t>
        </is>
      </c>
      <c r="B23" s="18" t="n">
        <v>16.1998</v>
      </c>
      <c r="C23" s="19" t="n">
        <v>23.5</v>
      </c>
      <c r="D23" s="11" t="inlineStr">
        <is>
          <t>Suelo desnudo, afloramientos, plataformas y taludes</t>
        </is>
      </c>
      <c r="E23" s="11" t="inlineStr"/>
    </row>
    <row r="24">
      <c r="A24" s="16" t="inlineStr">
        <is>
          <t>TOTAL CLASIFICADO</t>
        </is>
      </c>
      <c r="B24" s="22">
        <f>SUM(B21:B23)</f>
        <v/>
      </c>
      <c r="C24" s="23">
        <f>SUM(C21:C23)</f>
        <v/>
      </c>
      <c r="D24" s="17" t="inlineStr"/>
      <c r="E24" s="17" t="inlineStr"/>
    </row>
    <row r="25">
      <c r="A25" s="24" t="inlineStr">
        <is>
          <t>Superficie de catálogo (V5/V6)</t>
        </is>
      </c>
      <c r="B25" s="25" t="n">
        <v>68.89</v>
      </c>
      <c r="C25" s="25" t="inlineStr">
        <is>
          <t>—</t>
        </is>
      </c>
      <c r="D25" s="25" t="inlineStr">
        <is>
          <t>Desviación planimétrica frente al catálogo</t>
        </is>
      </c>
      <c r="E25" s="25" t="inlineStr">
        <is>
          <t>+0.05 %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0.00 % del polígono clasificado como «Vegetación alta» por el NDVI 2025; la observación de campo corresponde a una parcela o recorrido puntual y no es estadísticamente representativa de las 68.890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M10B4</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73360.2</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596773</v>
      </c>
      <c r="C13" s="6" t="inlineStr">
        <is>
          <t>Centroide del bloque — UTM NORTE (m)</t>
        </is>
      </c>
      <c r="D13" s="7" t="n">
        <v>9448273</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caracteriza por LADERAS DE COLINAS BAJAS, con pendientes inferiores al 60% que se vuelven progresivamente más pronunciadas al ganar altitud. La cota media ronda los 230 msnm; en su sector inferior se localizan el CCPP y una vía afirmada. Afloramientos rocosos en pendientes empinadas. Piedras de tamaño pequeño a mediano, SIN EVIDENCIA DE SURCOS NI CÁRCAVAS en proceso de formación. Se registró PASTOREO DE GANADO CAPRINO DE BAJA INTENSIDAD y EXTRACCIÓN DE LEÑA DE IMPACTO REDUCIDO. En la zona adyacente al CCPP se detectó AFECCIÓN LEVE, asociada principalmente a la reducción de la cobertura vegetal arbórea. ATENCIÓN: el UTM del punto de registro (645 575 · 9 393 500) es el valor por defecto de la plantilla; el centroide de catálogo es 596 773 · 9 448 270.</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M10B4</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t>
        </is>
      </c>
      <c r="B10" s="27" t="n">
        <v>168.41</v>
      </c>
      <c r="C10" s="19" t="n">
        <v>53.36</v>
      </c>
      <c r="D10" s="11" t="inlineStr">
        <is>
          <t>1398 – 2016</t>
        </is>
      </c>
      <c r="E10" s="11" t="n">
        <v>618</v>
      </c>
      <c r="F10" s="11" t="n">
        <v>33.74</v>
      </c>
      <c r="G10" s="18" t="n">
        <v>0.5381</v>
      </c>
      <c r="H10" s="19" t="n">
        <v>40.11</v>
      </c>
    </row>
    <row r="11">
      <c r="A11" s="14" t="inlineStr">
        <is>
          <t>► M10B4</t>
        </is>
      </c>
      <c r="B11" s="28" t="n">
        <v>68.89</v>
      </c>
      <c r="C11" s="29" t="n">
        <v>21.83</v>
      </c>
      <c r="D11" s="15" t="inlineStr">
        <is>
          <t>170 – 313</t>
        </is>
      </c>
      <c r="E11" s="15" t="n">
        <v>143</v>
      </c>
      <c r="F11" s="15" t="n">
        <v>13.83</v>
      </c>
      <c r="G11" s="30" t="n">
        <v>0.3133</v>
      </c>
      <c r="H11" s="29" t="n">
        <v>0</v>
      </c>
    </row>
    <row r="12">
      <c r="A12" s="7" t="inlineStr">
        <is>
          <t>25</t>
        </is>
      </c>
      <c r="B12" s="27" t="n">
        <v>53.48</v>
      </c>
      <c r="C12" s="19" t="n">
        <v>16.94</v>
      </c>
      <c r="D12" s="11" t="inlineStr">
        <is>
          <t>143 – 210</t>
        </is>
      </c>
      <c r="E12" s="11" t="n">
        <v>67</v>
      </c>
      <c r="F12" s="11" t="n">
        <v>11.68</v>
      </c>
      <c r="G12" s="18" t="n">
        <v>0.2565</v>
      </c>
      <c r="H12" s="19" t="inlineStr">
        <is>
          <t>Por determinar</t>
        </is>
      </c>
    </row>
    <row r="13">
      <c r="A13" s="12" t="inlineStr">
        <is>
          <t>36</t>
        </is>
      </c>
      <c r="B13" s="31" t="n">
        <v>24.84</v>
      </c>
      <c r="C13" s="21" t="n">
        <v>7.87</v>
      </c>
      <c r="D13" s="13" t="inlineStr">
        <is>
          <t>1239 – 1476</t>
        </is>
      </c>
      <c r="E13" s="13" t="n">
        <v>237</v>
      </c>
      <c r="F13" s="13" t="n">
        <v>30.65</v>
      </c>
      <c r="G13" s="20" t="n">
        <v>0.5395</v>
      </c>
      <c r="H13" s="21" t="n">
        <v>49.11</v>
      </c>
    </row>
    <row r="14">
      <c r="A14" s="16" t="inlineStr">
        <is>
          <t>TOTAL / PROMEDIO</t>
        </is>
      </c>
      <c r="B14" s="32">
        <f>SUM(B10:B13)</f>
        <v/>
      </c>
      <c r="C14" s="23">
        <f>SUM(C10:C13)</f>
        <v/>
      </c>
      <c r="D14" s="17" t="inlineStr">
        <is>
          <t>143 – 2016</t>
        </is>
      </c>
      <c r="E14" s="17" t="inlineStr"/>
      <c r="F14" s="17">
        <f>ROUND(AVERAGE(F10:F13),2)</f>
        <v/>
      </c>
      <c r="G14" s="22">
        <f>ROUND(AVERAGE(G10:G13),4)</f>
        <v/>
      </c>
      <c r="H14" s="23">
        <f>ROUND(AVERAGE(H10:H13),2)</f>
        <v/>
      </c>
    </row>
    <row r="16" ht="84" customHeight="1">
      <c r="A16" s="9" t="inlineStr">
        <is>
          <t>LECTURA INTRAMICROCUENCA. El bloque M10B4 ocupa el puesto 2 de 4 por superficie dentro de la microcuenca C1096-Q9547 (21.83 % de las 315.62 ha preliminares de la microcuenca). Su pendiente promedio (13.83 %, clase «8-15% (Mod. inclinado)») es la 2.ª más baja de 4 y se sitúa por debajo del promedio de la microcuenca (22.48 %). Su MSAVI 2024 (0.3133) es el 3.º de 4 y queda por debajo del promedio local (0.4119). Amplitud altitudinal del bloque: 143 m (170–313 msnm). El cuadro conserva todos los bloques catalogados en la microcuenca, incluidos los descartados en el tamizaje, para referencia del conjunto. Los bloques sin ficha DT figuran con sus parámetros de gabinete.</t>
        </is>
      </c>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18:H18"/>
    <mergeCell ref="A3:H3"/>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M10B4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C1096-Q9547)»; el catálogo maestro V5/V6 asigna el bloque a «C1096-Q9547»</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73,360 m del centroide de catálogo (596773 E / 9448273 N), distancia incompatible con la superficie del bloque (68.89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(68.926 ha) coincide con la de catálogo (68.89 ha) dentro del ±2 % (+0.05 %)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«No consignado en el campo de lista (narrativa: &lt;60%)»; la estadística zonal sobre el MDE arroja una pendiente promedio de 13.83 %, que corresponde a la clase «8-15% (Mod.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Dimensiones del inventario de cárcavas</t>
        </is>
      </c>
      <c r="C14" s="33" t="inlineStr">
        <is>
          <t>Se registran No inventariadas (F-DT-02 sin contenido) rasgos erosivos, pero longitud, profundidad y ancho no fueron medidos instrumentalmente</t>
        </is>
      </c>
      <c r="D14" s="15"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5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«Río Seco Alto»; el cruce INEI-Bloques V5 identifica 1 centro(s) poblado(s) en el bloque: RIO SECO ALTO</t>
        </is>
      </c>
      <c r="D17" s="15" t="inlineStr">
        <is>
          <t>NO SUSTANTIVA</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La ficha consigna microcuenca C1076-Q9584; el catálogo maestro asigna a M10B4 la microcuenca C1096-Q9547</t>
        </is>
      </c>
      <c r="D19" s="34" t="inlineStr">
        <is>
          <t>SUSTANTIVA</t>
        </is>
      </c>
      <c r="E19" s="35" t="inlineStr">
        <is>
          <t>Valor por defecto de la plantilla; se conserva el del catálogo</t>
        </is>
      </c>
    </row>
    <row r="20" ht="48" customHeight="1">
      <c r="A20" s="33" t="inlineStr">
        <is>
          <t>D-11</t>
        </is>
      </c>
      <c r="B20" s="33" t="inlineStr">
        <is>
          <t>Ficha DT</t>
        </is>
      </c>
      <c r="C20" s="33" t="inlineStr">
        <is>
          <t>UTM del punto de registro (645 575 · 9 393 500) = valor por defecto; el centroide de catálogo es 596 773 · 9 448 270</t>
        </is>
      </c>
      <c r="D20" s="34" t="inlineStr">
        <is>
          <t>SUSTANTIVA</t>
        </is>
      </c>
      <c r="E20" s="33" t="inlineStr">
        <is>
          <t>Georreferencia por reponer</t>
        </is>
      </c>
    </row>
    <row r="21" ht="48" customHeight="1">
      <c r="A21" s="35" t="inlineStr">
        <is>
          <t>D-12</t>
        </is>
      </c>
      <c r="B21" s="35" t="inlineStr">
        <is>
          <t>Plan de Ingreso</t>
        </is>
      </c>
      <c r="C21" s="35" t="inlineStr">
        <is>
          <t>Altitud = 0 msnm (captura por defecto del aplicativo)</t>
        </is>
      </c>
      <c r="D21" s="37" t="inlineStr">
        <is>
          <t>CORREGIDO</t>
        </is>
      </c>
      <c r="E21" s="35" t="inlineStr">
        <is>
          <t>Se reemplaza por la altitud GPS de campo (177 msnm)</t>
        </is>
      </c>
    </row>
    <row r="22" ht="48" customHeight="1">
      <c r="A22" s="33" t="inlineStr">
        <is>
          <t>D-13</t>
        </is>
      </c>
      <c r="B22" s="33" t="inlineStr">
        <is>
          <t>F-DT-01</t>
        </is>
      </c>
      <c r="C22" s="33" t="inlineStr">
        <is>
          <t>Rango de pendiente no consignado en el campo de lista</t>
        </is>
      </c>
      <c r="D22" s="15" t="inlineStr">
        <is>
          <t>NO SUSTANTIVA</t>
        </is>
      </c>
      <c r="E22" s="33" t="inlineStr">
        <is>
          <t>Completar</t>
        </is>
      </c>
    </row>
    <row r="23" ht="48" customHeight="1">
      <c r="A23" s="35" t="inlineStr">
        <is>
          <t>D-14</t>
        </is>
      </c>
      <c r="B23" s="35" t="inlineStr">
        <is>
          <t>F-DT-02</t>
        </is>
      </c>
      <c r="C23" s="35" t="inlineStr">
        <is>
          <t>Sección SIN CONTENIDO en el documento de origen</t>
        </is>
      </c>
      <c r="D23" s="34" t="inlineStr">
        <is>
          <t>SUSTANTIVA</t>
        </is>
      </c>
      <c r="E23" s="35" t="inlineStr">
        <is>
          <t>Levantamiento pendiente en su totalidad</t>
        </is>
      </c>
    </row>
    <row r="24" ht="48" customHeight="1">
      <c r="A24" s="33" t="inlineStr">
        <is>
          <t>D-15</t>
        </is>
      </c>
      <c r="B24" s="33" t="inlineStr">
        <is>
          <t>F-DT-03</t>
        </is>
      </c>
      <c r="C24" s="33" t="inlineStr">
        <is>
          <t>Solo 5 taxones registrados, sin nombre científico ni familia, frente al mínimo de 15</t>
        </is>
      </c>
      <c r="D24" s="34" t="inlineStr">
        <is>
          <t>SUSTANTIVA</t>
        </is>
      </c>
      <c r="E24" s="33" t="inlineStr">
        <is>
          <t>Inventario florístico incompleto</t>
        </is>
      </c>
    </row>
    <row r="25" ht="48" customHeight="1">
      <c r="A25" s="35" t="inlineStr">
        <is>
          <t>D-16</t>
        </is>
      </c>
      <c r="B25" s="35" t="inlineStr">
        <is>
          <t>F-DT-04</t>
        </is>
      </c>
      <c r="C25" s="35" t="inlineStr">
        <is>
          <t>Densidad de cárcavas 1 N.°/ha pese a declararse que no hay cárcavas y a no existir inventario</t>
        </is>
      </c>
      <c r="D25" s="34" t="inlineStr">
        <is>
          <t>SUSTANTIVA</t>
        </is>
      </c>
      <c r="E25" s="35" t="inlineStr">
        <is>
          <t>Inconsistencia interna a resolver</t>
        </is>
      </c>
    </row>
    <row r="26" ht="48" customHeight="1">
      <c r="A26" s="33" t="inlineStr">
        <is>
          <t>D-17</t>
        </is>
      </c>
      <c r="B26" s="33" t="inlineStr">
        <is>
          <t>F-DT-04</t>
        </is>
      </c>
      <c r="C26" s="33" t="inlineStr">
        <is>
          <t>RECOMENDACIÓN DE CAMPO: evaluar la pertinencia de la intervención — el área conserva su cobertura y el riesgo por movimiento en masa no es evidente</t>
        </is>
      </c>
      <c r="D26" s="34" t="inlineStr">
        <is>
          <t>SUSTANTIVA</t>
        </is>
      </c>
      <c r="E26" s="33" t="inlineStr">
        <is>
          <t>ELEVAR A LA SUBDIRECCIÓN: verificar si el bloque califica como ecosistema degradado bajo la R.M. 00213-2024-MINAM</t>
        </is>
      </c>
    </row>
    <row r="27" ht="48" customHeight="1">
      <c r="A27" s="35" t="inlineStr">
        <is>
          <t>D-18</t>
        </is>
      </c>
      <c r="B27" s="35" t="inlineStr">
        <is>
          <t>F-DT-05</t>
        </is>
      </c>
      <c r="C27" s="35" t="inlineStr">
        <is>
          <t>Ficha no diligenciada: inventario hídrico vacío y accesibilidad sin consignar</t>
        </is>
      </c>
      <c r="D27" s="34" t="inlineStr">
        <is>
          <t>SUSTANTIVA</t>
        </is>
      </c>
      <c r="E27" s="35" t="inlineStr">
        <is>
          <t>Levantamiento pendiente</t>
        </is>
      </c>
    </row>
    <row r="28" ht="48" customHeight="1">
      <c r="A28" s="33" t="inlineStr">
        <is>
          <t>D-19</t>
        </is>
      </c>
      <c r="B28" s="33" t="inlineStr">
        <is>
          <t>F-DS-01</t>
        </is>
      </c>
      <c r="C28" s="33" t="inlineStr">
        <is>
          <t>Contradicción entre las dos fichas sociales: «Comunidad Campesina reconocida con título» vs. «Caserío / Anexo»</t>
        </is>
      </c>
      <c r="D28" s="34" t="inlineStr">
        <is>
          <t>SUSTANTIVA</t>
        </is>
      </c>
      <c r="E28" s="33" t="inlineStr">
        <is>
          <t>Condiciona el tamizaje predial: resolver</t>
        </is>
      </c>
    </row>
    <row r="30">
      <c r="A30" s="16" t="inlineStr">
        <is>
          <t>RESUMEN</t>
        </is>
      </c>
      <c r="B30" s="17" t="inlineStr">
        <is>
          <t>19 verificaciones</t>
        </is>
      </c>
      <c r="C30" s="17" t="inlineStr">
        <is>
          <t>CONFORME: 1 · CORREGIDO: 1 · NO SUSTANTIVA: 4 · SUSTANTIVA: 13</t>
        </is>
      </c>
      <c r="D30" s="17" t="inlineStr"/>
      <c r="E30" s="17" t="inlineStr"/>
    </row>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M10B4 — IN Piura</dc:title>
  <dc:subject>Diagnóstico Territorial por bloque de intervención</dc:subject>
  <dcterms:created xsi:type="dcterms:W3CDTF">2026-09-08T02:45:05Z</dcterms:created>
  <dcterms:modified xsi:type="dcterms:W3CDTF">2026-09-08T02:45:05Z</dcterms:modified>
</cp:coreProperties>
</file>