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6">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s>
  <cellStyleXfs count="1">
    <xf numFmtId="0" fontId="0" fillId="0" borderId="0"/>
  </cellStyleXfs>
  <cellXfs count="4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6"/>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M10B4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M10B4</t>
        </is>
      </c>
      <c r="C9" s="6" t="inlineStr">
        <is>
          <t>Microcuenca (catálogo)</t>
        </is>
      </c>
      <c r="D9" s="7" t="inlineStr">
        <is>
          <t>C1096-Q9547</t>
        </is>
      </c>
      <c r="E9" s="8" t="n"/>
      <c r="F9" s="8" t="n"/>
    </row>
    <row r="10">
      <c r="A10" s="6" t="inlineStr">
        <is>
          <t>Zona de planificación</t>
        </is>
      </c>
      <c r="B10" s="7" t="inlineStr">
        <is>
          <t>Z01</t>
        </is>
      </c>
      <c r="C10" s="6" t="inlineStr">
        <is>
          <t>Microcuenca declarada en ficha DT</t>
        </is>
      </c>
      <c r="D10" s="7" t="inlineStr">
        <is>
          <t>C1076-Q9584 (según ficha — valor por defecto de plantilla; catálogo: C1096-Q9547)</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Río Seco Alto</t>
        </is>
      </c>
      <c r="C13" s="6" t="inlineStr">
        <is>
          <t>Comunidad campesina</t>
        </is>
      </c>
      <c r="D13" s="7" t="inlineStr">
        <is>
          <t>Comunidad Campesina reconocida con título (F-DS-01); registro contradictorio con «Caserío / Anexo» en la segunda F-DS-01</t>
        </is>
      </c>
      <c r="E13" s="8" t="n"/>
      <c r="F13" s="8" t="n"/>
    </row>
    <row r="14">
      <c r="A14" s="6" t="inlineStr">
        <is>
          <t>Superficie de catálogo (V5/V6), ha</t>
        </is>
      </c>
      <c r="B14" s="7" t="n">
        <v>68.89</v>
      </c>
      <c r="C14" s="6" t="inlineStr">
        <is>
          <t>Fuente de superficie</t>
        </is>
      </c>
      <c r="D14" s="7" t="inlineStr">
        <is>
          <t>Catálogo maestro Bloques V5/V6</t>
        </is>
      </c>
      <c r="E14" s="8" t="n"/>
      <c r="F14" s="8" t="n"/>
    </row>
    <row r="15">
      <c r="A15" s="6" t="inlineStr">
        <is>
          <t>Centroide UTM ESTE (m)</t>
        </is>
      </c>
      <c r="B15" s="7" t="n">
        <v>596773</v>
      </c>
      <c r="C15" s="6" t="inlineStr">
        <is>
          <t>Centroide UTM NORTE (m)</t>
        </is>
      </c>
      <c r="D15" s="7" t="n">
        <v>9448273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170</v>
      </c>
      <c r="C19" s="6" t="inlineStr">
        <is>
          <t>Altitud máxima (msnm)</t>
        </is>
      </c>
      <c r="D19" s="7" t="n">
        <v>313</v>
      </c>
      <c r="E19" s="8" t="n"/>
      <c r="F19" s="8" t="n"/>
    </row>
    <row r="20">
      <c r="A20" s="6" t="inlineStr">
        <is>
          <t>Amplitud altitudinal (m)</t>
        </is>
      </c>
      <c r="B20" s="7" t="n">
        <v>143</v>
      </c>
      <c r="C20" s="6" t="inlineStr">
        <is>
          <t>Piso altitudinal dominante</t>
        </is>
      </c>
      <c r="D20" s="7" t="inlineStr">
        <is>
          <t>&lt;1000 m (Yunga)</t>
        </is>
      </c>
      <c r="E20" s="8" t="n"/>
      <c r="F20" s="8" t="n"/>
    </row>
    <row r="21">
      <c r="A21" s="6" t="inlineStr">
        <is>
          <t>Pendiente promedio (%)</t>
        </is>
      </c>
      <c r="B21" s="7" t="n">
        <v>13.83</v>
      </c>
      <c r="C21" s="6" t="inlineStr">
        <is>
          <t>Pendiente promedio (grados)</t>
        </is>
      </c>
      <c r="D21" s="7" t="n">
        <v>7.9</v>
      </c>
      <c r="E21" s="8" t="n"/>
      <c r="F21" s="8" t="n"/>
    </row>
    <row r="22">
      <c r="A22" s="6" t="inlineStr">
        <is>
          <t>Clase de pendiente equivalente</t>
        </is>
      </c>
      <c r="B22" s="7" t="inlineStr">
        <is>
          <t>8-15% (Mod. inclinado)</t>
        </is>
      </c>
      <c r="C22" s="6" t="inlineStr">
        <is>
          <t>Rango de pendiente declarado en campo</t>
        </is>
      </c>
      <c r="D22" s="7" t="inlineStr">
        <is>
          <t>No consignado en el campo de lista (narrativa: &lt;60%)</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0.3133</v>
      </c>
      <c r="C28" s="6" t="inlineStr">
        <is>
          <t>MSAVI 2024 — clase de la media</t>
        </is>
      </c>
      <c r="D28" s="7" t="inlineStr">
        <is>
          <t>0.2650 - 0.3813 (Vigor muy bajo)</t>
        </is>
      </c>
      <c r="E28" s="8" t="n"/>
      <c r="F28" s="8" t="n"/>
    </row>
    <row r="29">
      <c r="A29" s="6" t="inlineStr">
        <is>
          <t>Condición frente al umbral 0.4976</t>
        </is>
      </c>
      <c r="B29" s="7" t="inlineStr">
        <is>
          <t>Bajo umbral · distribución areal: 99.82 % del bloque BAJO el umbral (68.766 ha de 68.890 ha)</t>
        </is>
      </c>
      <c r="C29" s="6" t="inlineStr">
        <is>
          <t>NDVI mediana 2025 — clase modal</t>
        </is>
      </c>
      <c r="D29" s="7" t="inlineStr">
        <is>
          <t>Vegetación ligera (73.83 %)</t>
        </is>
      </c>
      <c r="E29" s="8" t="n"/>
      <c r="F29" s="8" t="n"/>
    </row>
    <row r="30">
      <c r="A30" s="6" t="inlineStr">
        <is>
          <t>MSAVI 2024 — superficie BAJO el umbral 0.4976 (ha)</t>
        </is>
      </c>
      <c r="B30" s="7" t="n">
        <v>68.76600000000001</v>
      </c>
      <c r="C30" s="6" t="inlineStr">
        <is>
          <t>MSAVI 2024 — % del bloque BAJO el umbral</t>
        </is>
      </c>
      <c r="D30" s="7" t="n">
        <v>99.81999999999999</v>
      </c>
      <c r="E30" s="8" t="n"/>
      <c r="F30" s="8" t="n"/>
    </row>
    <row r="31">
      <c r="A31" s="6" t="inlineStr">
        <is>
          <t>MSAVI 2024 — clase areal dominante</t>
        </is>
      </c>
      <c r="B31" s="7" t="inlineStr">
        <is>
          <t>Vigor muy bajo</t>
        </is>
      </c>
      <c r="C31" s="6" t="inlineStr">
        <is>
          <t>MSAVI 2024 — fuente de la distribución areal</t>
        </is>
      </c>
      <c r="D31" s="7" t="inlineStr">
        <is>
          <t>Conteo de celdas sobre la cartografía MSAVI 2024 del bloque (MSAVI M10B4.png)</t>
        </is>
      </c>
      <c r="E31" s="8" t="n"/>
      <c r="F31" s="8" t="n"/>
    </row>
    <row r="32" ht="18" customHeight="1">
      <c r="A32" s="6" t="inlineStr">
        <is>
          <t>Superficie clasificada NDVI 2025 (ha)</t>
        </is>
      </c>
      <c r="B32" s="7" t="n">
        <v>68.926</v>
      </c>
      <c r="C32" s="6" t="inlineStr">
        <is>
          <t>Desviación frente al catálogo (%)</t>
        </is>
      </c>
      <c r="D32" s="7" t="n">
        <v>0.05</v>
      </c>
      <c r="E32" s="8" t="n"/>
      <c r="F32" s="8" t="n"/>
    </row>
    <row r="33"/>
    <row r="34">
      <c r="A34" s="5" t="inlineStr">
        <is>
          <t>4. ECOSISTEMA Y ESTADO DE CONSERVACIÓN</t>
        </is>
      </c>
    </row>
    <row r="35">
      <c r="A35" s="6" t="inlineStr">
        <is>
          <t>Tipo de ecosistema (UP)</t>
        </is>
      </c>
      <c r="B35" s="7" t="inlineStr">
        <is>
          <t>Bosque Estacionalmente Seco de Colina y Montaña (Bes-cm)</t>
        </is>
      </c>
      <c r="C35" s="6" t="inlineStr">
        <is>
          <t>Superficie de ecosistema (ha)</t>
        </is>
      </c>
      <c r="D35" s="7" t="inlineStr">
        <is>
          <t>62 ha (de 68.89 ha del bloque)</t>
        </is>
      </c>
      <c r="E35" s="8" t="n"/>
      <c r="F35" s="8" t="n"/>
    </row>
    <row r="36">
      <c r="A36" s="6" t="inlineStr">
        <is>
          <t>Estado de conservación</t>
        </is>
      </c>
      <c r="B36" s="7" t="inlineStr">
        <is>
          <t>Levemente alterado</t>
        </is>
      </c>
      <c r="C36" s="6" t="inlineStr">
        <is>
          <t>Uso actual dominante del suelo</t>
        </is>
      </c>
      <c r="D36" s="7" t="inlineStr">
        <is>
          <t>Pastoreo extensivo</t>
        </is>
      </c>
      <c r="E36" s="8" t="n"/>
      <c r="F36" s="8" t="n"/>
    </row>
    <row r="37">
      <c r="A37" s="6" t="inlineStr">
        <is>
          <t>Tipo de cobertura dominante</t>
        </is>
      </c>
      <c r="B37" s="7" t="inlineStr">
        <is>
          <t>Bosque denso (&gt;70%)</t>
        </is>
      </c>
      <c r="C37" s="6" t="inlineStr">
        <is>
          <t>Cobertura vegetal total — campo (%)</t>
        </is>
      </c>
      <c r="D37" s="7" t="n">
        <v>90</v>
      </c>
      <c r="E37" s="8" t="n"/>
      <c r="F37" s="8" t="n"/>
    </row>
    <row r="38">
      <c r="A38" s="6" t="inlineStr">
        <is>
          <t>Suelo desnudo — campo (%)</t>
        </is>
      </c>
      <c r="B38" s="7" t="n">
        <v>5</v>
      </c>
      <c r="C38" s="6" t="inlineStr">
        <is>
          <t>Regeneración natural</t>
        </is>
      </c>
      <c r="D38" s="7" t="inlineStr">
        <is>
          <t>Regular (10-50 pl./100m²)</t>
        </is>
      </c>
      <c r="E38" s="8" t="n"/>
      <c r="F38" s="8" t="n"/>
    </row>
    <row r="39">
      <c r="A39" s="6" t="inlineStr">
        <is>
          <t>Nivel general de erosión</t>
        </is>
      </c>
      <c r="B39" s="7" t="inlineStr">
        <is>
          <t>FICHA F-DT-02 SIN CONTENIDO. Narrativa de F-DT-01: sin evidencia de surcos ni cárcavas</t>
        </is>
      </c>
      <c r="C39" s="6" t="inlineStr">
        <is>
          <t>N.° de cárcavas registradas</t>
        </is>
      </c>
      <c r="D39" s="7" t="inlineStr">
        <is>
          <t>No inventariadas (F-DT-02 sin contenido)</t>
        </is>
      </c>
      <c r="E39" s="8" t="n"/>
      <c r="F39" s="8" t="n"/>
    </row>
    <row r="40" ht="18" customHeight="1">
      <c r="A40" s="6" t="inlineStr">
        <is>
          <t>Elenco florístico (n.° de taxones)</t>
        </is>
      </c>
      <c r="B40" s="7" t="n">
        <v>5</v>
      </c>
      <c r="C40" s="6" t="inlineStr">
        <is>
          <t>Estado sanitario</t>
        </is>
      </c>
      <c r="D40" s="7" t="inlineStr">
        <is>
          <t>Sano</t>
        </is>
      </c>
      <c r="E40" s="8" t="n"/>
      <c r="F40" s="8" t="n"/>
    </row>
    <row r="41"/>
    <row r="42">
      <c r="A42" s="5" t="inlineStr">
        <is>
          <t>5. RESPONSABLE Y MODALIDAD DE LA EVALUACIÓN</t>
        </is>
      </c>
    </row>
    <row r="43">
      <c r="A43" s="6" t="inlineStr">
        <is>
          <t>Responsable de la evaluación</t>
        </is>
      </c>
      <c r="B43" s="7" t="inlineStr">
        <is>
          <t>Juan Domínguez</t>
        </is>
      </c>
      <c r="C43" s="6" t="inlineStr">
        <is>
          <t>Fecha de evaluación</t>
        </is>
      </c>
      <c r="D43" s="7" t="inlineStr">
        <is>
          <t>2026-07-03</t>
        </is>
      </c>
      <c r="E43" s="8" t="n"/>
      <c r="F43" s="8" t="n"/>
    </row>
    <row r="44">
      <c r="A44" s="6" t="inlineStr">
        <is>
          <t>Hora de registro</t>
        </is>
      </c>
      <c r="B44" s="7" t="inlineStr">
        <is>
          <t>12:15 h</t>
        </is>
      </c>
      <c r="C44" s="6" t="inlineStr">
        <is>
          <t>Correlativo de ficha</t>
        </is>
      </c>
      <c r="D44" s="7" t="inlineStr">
        <is>
          <t>Sin registro en ficha</t>
        </is>
      </c>
      <c r="E44" s="8" t="n"/>
      <c r="F44" s="8" t="n"/>
    </row>
    <row r="45">
      <c r="A45" s="6" t="inlineStr">
        <is>
          <t>Entidad</t>
        </is>
      </c>
      <c r="B45" s="7" t="inlineStr">
        <is>
          <t>ANIN - DIME - SESDI</t>
        </is>
      </c>
      <c r="C45" s="6" t="inlineStr">
        <is>
          <t>Fase del estudio</t>
        </is>
      </c>
      <c r="D45" s="7" t="inlineStr">
        <is>
          <t>Preinversión (Perfil) · Invierte.pe</t>
        </is>
      </c>
      <c r="E45" s="8" t="n"/>
      <c r="F45" s="8" t="n"/>
    </row>
    <row r="46">
      <c r="A46" s="6" t="inlineStr">
        <is>
          <t>Instrumento aplicado</t>
        </is>
      </c>
      <c r="B46" s="7" t="inlineStr">
        <is>
          <t>Fichas F-DT-01 a F-DT-05 (Plantilla V5)</t>
        </is>
      </c>
      <c r="C46" s="6" t="inlineStr">
        <is>
          <t>Parcela de muestreo</t>
        </is>
      </c>
      <c r="D46" s="7" t="inlineStr">
        <is>
          <t>Sin registro en ficha</t>
        </is>
      </c>
      <c r="E46" s="8" t="n"/>
      <c r="F46" s="8" t="n"/>
    </row>
    <row r="47" ht="18" customHeight="1">
      <c r="A47" s="6" t="inlineStr">
        <is>
          <t>Estaciones fotográficas georreferenciadas</t>
        </is>
      </c>
      <c r="B47" s="7" t="n">
        <v>0</v>
      </c>
      <c r="C47" s="6" t="inlineStr">
        <is>
          <t>Modalidad de acceso</t>
        </is>
      </c>
      <c r="D47" s="7" t="inlineStr">
        <is>
          <t>Sin registro en ficha</t>
        </is>
      </c>
      <c r="E47" s="8" t="n"/>
      <c r="F47" s="8" t="n"/>
    </row>
    <row r="48"/>
    <row r="49">
      <c r="A49" s="5" t="inlineStr">
        <is>
          <t>6. SÍNTESIS PARA LA GESTIÓN DEL RIESGO EN CONTEXTO DE CAMBIO CLIMÁTICO</t>
        </is>
      </c>
    </row>
    <row r="50">
      <c r="A50" s="6" t="inlineStr">
        <is>
          <t>Causa subyacente principal</t>
        </is>
      </c>
      <c r="B50" s="7" t="inlineStr">
        <is>
          <t>No consignada en la ficha</t>
        </is>
      </c>
      <c r="C50" s="6" t="inlineStr">
        <is>
          <t>Velocidad de degradación</t>
        </is>
      </c>
      <c r="D50" s="7" t="inlineStr">
        <is>
          <t>Lenta</t>
        </is>
      </c>
      <c r="E50" s="8" t="n"/>
      <c r="F50" s="8" t="n"/>
    </row>
    <row r="51">
      <c r="A51" s="6" t="inlineStr">
        <is>
          <t>Reversibilidad técnica</t>
        </is>
      </c>
      <c r="B51" s="7" t="inlineStr">
        <is>
          <t>Totalmente reversible</t>
        </is>
      </c>
      <c r="C51" s="6" t="inlineStr">
        <is>
          <t>Urgencia de intervención</t>
        </is>
      </c>
      <c r="D51" s="7" t="inlineStr">
        <is>
          <t>Baja</t>
        </is>
      </c>
      <c r="E51" s="8" t="n"/>
      <c r="F51" s="8" t="n"/>
    </row>
    <row r="52">
      <c r="A52" s="6" t="inlineStr">
        <is>
          <t>Urgencia de control de erosión</t>
        </is>
      </c>
      <c r="B52" s="7" t="inlineStr">
        <is>
          <t>Por determinar</t>
        </is>
      </c>
      <c r="C52" s="6" t="inlineStr">
        <is>
          <t>Zona de recarga hídrica</t>
        </is>
      </c>
      <c r="D52" s="7" t="inlineStr">
        <is>
          <t>Sin registro en ficha</t>
        </is>
      </c>
      <c r="E52" s="8" t="n"/>
      <c r="F52" s="8" t="n"/>
    </row>
    <row r="53">
      <c r="A53" s="6" t="inlineStr">
        <is>
          <t>Peligro integrado preliminar (MCA-AHP)</t>
        </is>
      </c>
      <c r="B53" s="7" t="inlineStr">
        <is>
          <t>No disponible en los insumos; debe tomarse del modelamiento de mesolocalización</t>
        </is>
      </c>
      <c r="C53" s="6" t="inlineStr">
        <is>
          <t>Prioridad de intervención</t>
        </is>
      </c>
      <c r="D53" s="7" t="inlineStr">
        <is>
          <t>Por definir en mesolocalización</t>
        </is>
      </c>
      <c r="E53" s="8" t="n"/>
      <c r="F53" s="8" t="n"/>
    </row>
    <row r="54" ht="72" customHeight="1">
      <c r="A54" s="6" t="inlineStr">
        <is>
          <t>Estado de verificación de campo</t>
        </is>
      </c>
      <c r="B54" s="7" t="inlineStr">
        <is>
          <t>VERIFICADO</t>
        </is>
      </c>
      <c r="C54" s="6" t="inlineStr">
        <is>
          <t>Marco del indicador de brecha</t>
        </is>
      </c>
      <c r="D54" s="7" t="inlineStr">
        <is>
          <t>R.M. N.° 00213-2024-MINAM</t>
        </is>
      </c>
      <c r="E54" s="8" t="n"/>
      <c r="F54" s="8" t="n"/>
    </row>
    <row r="55"/>
    <row r="56">
      <c r="A56"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c r="B56" s="38" t="n"/>
      <c r="C56" s="38" t="n"/>
      <c r="D56" s="38" t="n"/>
      <c r="E56" s="38" t="n"/>
      <c r="F56" s="39" t="n"/>
    </row>
  </sheetData>
  <mergeCells count="13">
    <mergeCell ref="A27:F27"/>
    <mergeCell ref="A34:F34"/>
    <mergeCell ref="A18:F18"/>
    <mergeCell ref="A56:F56"/>
    <mergeCell ref="A3:F3"/>
    <mergeCell ref="A2:F2"/>
    <mergeCell ref="A49:F49"/>
    <mergeCell ref="A42:F42"/>
    <mergeCell ref="A1:F1"/>
    <mergeCell ref="A5:F5"/>
    <mergeCell ref="A8:F8"/>
    <mergeCell ref="A6:F6"/>
    <mergeCell ref="A4:F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M10B4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8" t="n">
        <v>0</v>
      </c>
      <c r="C10" s="19" t="n">
        <v>0</v>
      </c>
      <c r="D10" s="11" t="inlineStr">
        <is>
          <t>Vigor alto</t>
        </is>
      </c>
      <c r="E10" s="11" t="inlineStr">
        <is>
          <t>Sobre umbral</t>
        </is>
      </c>
    </row>
    <row r="11">
      <c r="A11" s="12" t="inlineStr">
        <is>
          <t>0.4976 - 0.6139</t>
        </is>
      </c>
      <c r="B11" s="20" t="n">
        <v>0.124</v>
      </c>
      <c r="C11" s="21" t="n">
        <v>0.18</v>
      </c>
      <c r="D11" s="13" t="inlineStr">
        <is>
          <t>Vigor moderado</t>
        </is>
      </c>
      <c r="E11" s="13" t="inlineStr">
        <is>
          <t>Sobre umbral</t>
        </is>
      </c>
    </row>
    <row r="12">
      <c r="A12" s="7" t="inlineStr">
        <is>
          <t>0.3813 - 0.4976</t>
        </is>
      </c>
      <c r="B12" s="18" t="n">
        <v>5.649</v>
      </c>
      <c r="C12" s="19" t="n">
        <v>8.199999999999999</v>
      </c>
      <c r="D12" s="11" t="inlineStr">
        <is>
          <t>Vigor bajo</t>
        </is>
      </c>
      <c r="E12" s="11" t="inlineStr">
        <is>
          <t>BAJO umbral 0.4976</t>
        </is>
      </c>
    </row>
    <row r="13">
      <c r="A13" s="14" t="inlineStr">
        <is>
          <t>0.2650 - 0.3813</t>
        </is>
      </c>
      <c r="B13" s="30" t="n">
        <v>51.571</v>
      </c>
      <c r="C13" s="29" t="n">
        <v>74.86</v>
      </c>
      <c r="D13" s="15" t="inlineStr">
        <is>
          <t>Vigor muy bajo</t>
        </is>
      </c>
      <c r="E13" s="15" t="inlineStr">
        <is>
          <t>BAJO umbral 0.4976</t>
        </is>
      </c>
    </row>
    <row r="14">
      <c r="A14" s="7" t="inlineStr">
        <is>
          <t>&lt;= 0.2650</t>
        </is>
      </c>
      <c r="B14" s="18" t="n">
        <v>11.546</v>
      </c>
      <c r="C14" s="19" t="n">
        <v>16.76</v>
      </c>
      <c r="D14" s="11" t="inlineStr">
        <is>
          <t>Suelo desnudo / no vegetal</t>
        </is>
      </c>
      <c r="E14" s="11" t="inlineStr">
        <is>
          <t>BAJO umbral 0.4976</t>
        </is>
      </c>
    </row>
    <row r="15">
      <c r="A15" s="7" t="inlineStr">
        <is>
          <t>TOTAL CLASIFICADO</t>
        </is>
      </c>
      <c r="B15" s="18">
        <f>SUM(B10:B14)</f>
        <v/>
      </c>
      <c r="C15" s="19">
        <f>SUM(C10:C14)</f>
        <v/>
      </c>
      <c r="D15" s="11" t="inlineStr">
        <is>
          <t>Suma de las cinco clases MSAVI 2024</t>
        </is>
      </c>
      <c r="E15" s="11" t="inlineStr">
        <is>
          <t>Iguala la superficie de catálogo (V5/V6)</t>
        </is>
      </c>
    </row>
    <row r="16">
      <c r="A16" s="16" t="inlineStr">
        <is>
          <t>MSAVI 2024 — MEDIA DEL BLOQUE</t>
        </is>
      </c>
      <c r="B16" s="17" t="n">
        <v>0.313301</v>
      </c>
      <c r="C16" s="17" t="inlineStr">
        <is>
          <t>—</t>
        </is>
      </c>
      <c r="D16" s="17" t="inlineStr">
        <is>
          <t>Vigor muy bajo · clase 0.2650 - 0.3813</t>
        </is>
      </c>
      <c r="E16" s="17" t="inlineStr">
        <is>
          <t>BAJO umbral 0.4976</t>
        </is>
      </c>
    </row>
    <row r="17" ht="72" customHeight="1"/>
    <row r="18">
      <c r="A18" s="9" t="inlineStr">
        <is>
          <t>NOTA METODOLÓGICA. La media del MSAVI 2024 del bloque procede del catálogo maestro de bloques V5/V6 y es dato oficial. La DISTRIBUCIÓN AREAL por clase se obtuvo por conteo de celdas sobre la cartografía temática MSAVI 2024 del bloque (carpeta Drive «MSAVI BLOQUES V6»), clasificada con la paleta RdYlGn de cinco clases y los mismos umbrales del proyecto. El reparto porcentual es el medido sobre el polígono del bloque; las hectáreas se obtienen aplicando ese reparto a la superficie de catálogo (V5/V6) declarada en la hoja «Resumen», de modo que el total por clase cuadra con la superficie oficial. Umbral de brecha 0.4976 conforme a la R.M. N.° 00213-2024-MINAM. CONTRASTE INDEPENDIENTE: la tabla de intersección vectorial «BLOQUES_V6_INTERSECC_MSAVI» reproduce el mismo ordenamiento de bloques (correlación de Pearson 0.949 sobre el porcentaje bajo umbral en los 117 bloques); no se usa para el metrado porque su campo AREA_M2 conserva el área del polígono padre y no la de cada pieza de intersección. El refrendo por estadística zonal directa sobre el ráster MSAVI 2024 recortado al polígono queda pendiente.</t>
        </is>
      </c>
      <c r="B18" s="38" t="n"/>
      <c r="C18" s="38" t="n"/>
      <c r="D18" s="38" t="n"/>
      <c r="E18" s="39" t="n"/>
    </row>
    <row r="19" ht="18" customHeight="1"/>
    <row r="20" ht="28" customHeight="1">
      <c r="A20" s="5" t="inlineStr">
        <is>
          <t>B. NDVI MEDIANA 2025 — DISTRIBUCIÓN AREAL (ESTADÍSTICA ZONAL)</t>
        </is>
      </c>
    </row>
    <row r="21">
      <c r="A21" s="10" t="inlineStr">
        <is>
          <t>Clase NDVI</t>
        </is>
      </c>
      <c r="B21" s="10" t="inlineStr">
        <is>
          <t>Superficie (ha)</t>
        </is>
      </c>
      <c r="C21" s="10" t="inlineStr">
        <is>
          <t>% del área clasificada</t>
        </is>
      </c>
      <c r="D21" s="10" t="inlineStr">
        <is>
          <t>Interpretación</t>
        </is>
      </c>
      <c r="E21" s="10" t="inlineStr">
        <is>
          <t>Observación</t>
        </is>
      </c>
    </row>
    <row r="22">
      <c r="A22" s="7" t="inlineStr">
        <is>
          <t>Vegetación mediana</t>
        </is>
      </c>
      <c r="B22" s="18" t="n">
        <v>1.8372</v>
      </c>
      <c r="C22" s="19" t="n">
        <v>2.67</v>
      </c>
      <c r="D22" s="11" t="inlineStr">
        <is>
          <t>Pastizal cultivado, matorral ralo, parcelas agrícolas</t>
        </is>
      </c>
      <c r="E22" s="11" t="inlineStr"/>
    </row>
    <row r="23">
      <c r="A23" s="12" t="inlineStr">
        <is>
          <t>Vegetación ligera</t>
        </is>
      </c>
      <c r="B23" s="20" t="n">
        <v>50.8887</v>
      </c>
      <c r="C23" s="21" t="n">
        <v>73.83</v>
      </c>
      <c r="D23" s="13" t="inlineStr">
        <is>
          <t>Cobertura discontinua, suelo parcialmente expuesto</t>
        </is>
      </c>
      <c r="E23" s="13" t="inlineStr"/>
    </row>
    <row r="24">
      <c r="A24" s="7" t="inlineStr">
        <is>
          <t>Tierra desnuda</t>
        </is>
      </c>
      <c r="B24" s="18" t="n">
        <v>16.1998</v>
      </c>
      <c r="C24" s="19" t="n">
        <v>23.5</v>
      </c>
      <c r="D24" s="11" t="inlineStr">
        <is>
          <t>Suelo desnudo, afloramientos, plataformas y taludes</t>
        </is>
      </c>
      <c r="E24" s="11" t="inlineStr"/>
    </row>
    <row r="25">
      <c r="A25" s="16" t="inlineStr">
        <is>
          <t>TOTAL CLASIFICADO</t>
        </is>
      </c>
      <c r="B25" s="22">
        <f>SUM(B21:B23)</f>
        <v/>
      </c>
      <c r="C25" s="23">
        <f>SUM(C21:C23)</f>
        <v/>
      </c>
      <c r="D25" s="17" t="inlineStr"/>
      <c r="E25" s="17" t="inlineStr"/>
    </row>
    <row r="26">
      <c r="A26" s="24" t="inlineStr">
        <is>
          <t>Superficie de catálogo (V5/V6)</t>
        </is>
      </c>
      <c r="B26" s="25" t="n">
        <v>68.89</v>
      </c>
      <c r="C26" s="25" t="inlineStr">
        <is>
          <t>—</t>
        </is>
      </c>
      <c r="D26" s="25" t="inlineStr">
        <is>
          <t>Desviación planimétrica frente al catálogo</t>
        </is>
      </c>
      <c r="E26" s="25" t="inlineStr">
        <is>
          <t>+0.05 %</t>
        </is>
      </c>
    </row>
    <row r="27" ht="108" customHeight="1"/>
    <row r="28">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0.00 % del polígono clasificado como «Vegetación alta» por el NDVI 2025; la observación de campo corresponde a una parcela o recorrido puntual y no es estadísticamente representativa de las 68.890 ha del bloque.</t>
        </is>
      </c>
      <c r="B28" s="38" t="n"/>
      <c r="C28" s="38" t="n"/>
      <c r="D28" s="38" t="n"/>
      <c r="E28" s="39" t="n"/>
    </row>
  </sheetData>
  <mergeCells count="10">
    <mergeCell ref="A4:E4"/>
    <mergeCell ref="A20:E20"/>
    <mergeCell ref="A2:E2"/>
    <mergeCell ref="A28:E28"/>
    <mergeCell ref="A5:E5"/>
    <mergeCell ref="A1:E1"/>
    <mergeCell ref="A8:E8"/>
    <mergeCell ref="A6:E6"/>
    <mergeCell ref="A18:E18"/>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M10B4</t>
        </is>
      </c>
    </row>
    <row r="6" ht="24" customHeight="1">
      <c r="A6" s="4" t="inlineStr">
        <is>
          <t>Levantamiento del 2026-07-03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73360.2</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596773</v>
      </c>
      <c r="C13" s="6" t="inlineStr">
        <is>
          <t>Centroide del bloque — UTM NORTE (m)</t>
        </is>
      </c>
      <c r="D13" s="7" t="n">
        <v>9448273</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caracteriza por LADERAS DE COLINAS BAJAS, con pendientes inferiores al 60% que se vuelven progresivamente más pronunciadas al ganar altitud. La cota media ronda los 230 msnm; en su sector inferior se localizan el CCPP y una vía afirmada. Afloramientos rocosos en pendientes empinadas. Piedras de tamaño pequeño a mediano, SIN EVIDENCIA DE SURCOS NI CÁRCAVAS en proceso de formación. Se registró PASTOREO DE GANADO CAPRINO DE BAJA INTENSIDAD y EXTRACCIÓN DE LEÑA DE IMPACTO REDUCIDO. En la zona adyacente al CCPP se detectó AFECCIÓN LEVE, asociada principalmente a la reducción de la cobertura vegetal arbórea. ATENCIÓN: el UTM del punto de registro (645 575 · 9 393 500) es el valor por defecto de la plantilla; el centroide de catálogo es 596 773 · 9 448 270.</t>
        </is>
      </c>
      <c r="B16" s="38" t="n"/>
      <c r="C16" s="38" t="n"/>
      <c r="D16" s="38" t="n"/>
      <c r="E16" s="38" t="n"/>
      <c r="F16" s="38" t="n"/>
      <c r="G16" s="39"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C1096-Q9547 — BLOQUE M10B4</t>
        </is>
      </c>
    </row>
    <row r="6" ht="24" customHeight="1">
      <c r="A6" s="4" t="inlineStr">
        <is>
          <t>Distrito de Chulucanas · Provincia de Morropon · Comparación de los bloques preliminares de intervención de la misma microcuenca</t>
        </is>
      </c>
    </row>
    <row r="8" ht="18" customHeight="1">
      <c r="A8" s="5" t="inlineStr">
        <is>
          <t>BLOQUES DE LA MICROCUENCA C1096-Q9547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t>
        </is>
      </c>
      <c r="B10" s="27" t="n">
        <v>168.41</v>
      </c>
      <c r="C10" s="19" t="n">
        <v>53.36</v>
      </c>
      <c r="D10" s="11" t="inlineStr">
        <is>
          <t>1398 – 2016</t>
        </is>
      </c>
      <c r="E10" s="11" t="n">
        <v>618</v>
      </c>
      <c r="F10" s="11" t="n">
        <v>33.74</v>
      </c>
      <c r="G10" s="18" t="n">
        <v>0.5381</v>
      </c>
      <c r="H10" s="19" t="n">
        <v>40.11</v>
      </c>
    </row>
    <row r="11">
      <c r="A11" s="14" t="inlineStr">
        <is>
          <t>► M10B4</t>
        </is>
      </c>
      <c r="B11" s="28" t="n">
        <v>68.89</v>
      </c>
      <c r="C11" s="29" t="n">
        <v>21.83</v>
      </c>
      <c r="D11" s="15" t="inlineStr">
        <is>
          <t>170 – 313</t>
        </is>
      </c>
      <c r="E11" s="15" t="n">
        <v>143</v>
      </c>
      <c r="F11" s="15" t="n">
        <v>13.83</v>
      </c>
      <c r="G11" s="30" t="n">
        <v>0.3133</v>
      </c>
      <c r="H11" s="29" t="n">
        <v>0</v>
      </c>
    </row>
    <row r="12">
      <c r="A12" s="7" t="inlineStr">
        <is>
          <t>25</t>
        </is>
      </c>
      <c r="B12" s="27" t="n">
        <v>53.48</v>
      </c>
      <c r="C12" s="19" t="n">
        <v>16.94</v>
      </c>
      <c r="D12" s="11" t="inlineStr">
        <is>
          <t>143 – 210</t>
        </is>
      </c>
      <c r="E12" s="11" t="n">
        <v>67</v>
      </c>
      <c r="F12" s="11" t="n">
        <v>11.68</v>
      </c>
      <c r="G12" s="18" t="n">
        <v>0.2565</v>
      </c>
      <c r="H12" s="19" t="inlineStr">
        <is>
          <t>Por determinar</t>
        </is>
      </c>
    </row>
    <row r="13">
      <c r="A13" s="12" t="inlineStr">
        <is>
          <t>36</t>
        </is>
      </c>
      <c r="B13" s="31" t="n">
        <v>24.84</v>
      </c>
      <c r="C13" s="21" t="n">
        <v>7.87</v>
      </c>
      <c r="D13" s="13" t="inlineStr">
        <is>
          <t>1239 – 1476</t>
        </is>
      </c>
      <c r="E13" s="13" t="n">
        <v>237</v>
      </c>
      <c r="F13" s="13" t="n">
        <v>30.65</v>
      </c>
      <c r="G13" s="20" t="n">
        <v>0.5395</v>
      </c>
      <c r="H13" s="21" t="n">
        <v>49.11</v>
      </c>
    </row>
    <row r="14">
      <c r="A14" s="16" t="inlineStr">
        <is>
          <t>TOTAL / PROMEDIO</t>
        </is>
      </c>
      <c r="B14" s="32">
        <f>SUM(B10:B13)</f>
        <v/>
      </c>
      <c r="C14" s="23">
        <f>SUM(C10:C13)</f>
        <v/>
      </c>
      <c r="D14" s="17" t="inlineStr">
        <is>
          <t>143 – 2016</t>
        </is>
      </c>
      <c r="E14" s="17" t="inlineStr"/>
      <c r="F14" s="17">
        <f>ROUND(AVERAGE(F10:F13),2)</f>
        <v/>
      </c>
      <c r="G14" s="22">
        <f>ROUND(AVERAGE(G10:G13),4)</f>
        <v/>
      </c>
      <c r="H14" s="23">
        <f>ROUND(AVERAGE(H10:H13),2)</f>
        <v/>
      </c>
    </row>
    <row r="15" ht="48" customHeight="1">
      <c r="A15" s="9" t="inlineStr">
        <is>
          <t>ALCANCE DE LOS PROMEDIOS. La fila TOTAL / PROMEDIO omite las celdas «Por determinar»: el promedio de VEGETACIÓN ALTA (NDVI 2025) se calcula sobre 3 de los 4 bloques; el bloque restante carece de estadística zonal de NDVI. Los totales de ÁREA y % de microcuenca sí comprenden la totalidad de los 4 bloques. No se estima ningún valor ausente.</t>
        </is>
      </c>
      <c r="B15" s="38" t="n"/>
      <c r="C15" s="38" t="n"/>
      <c r="D15" s="38" t="n"/>
      <c r="E15" s="38" t="n"/>
      <c r="F15" s="38" t="n"/>
      <c r="G15" s="38" t="n"/>
      <c r="H15" s="39" t="n"/>
    </row>
    <row r="17" ht="84" customHeight="1">
      <c r="A17" s="9" t="inlineStr">
        <is>
          <t>LECTURA INTRAMICROCUENCA. El bloque M10B4 ocupa el puesto 2 de 4 por superficie dentro de la microcuenca C1096-Q9547 (21.83 % de las 315.62 ha preliminares de la microcuenca). Su pendiente promedio (13.83 %, clase «8-15% (Mod. inclinado)») es la 2.ª más baja de 4 y se sitúa por debajo del promedio de la microcuenca (22.48 %). Su MSAVI 2024 (0.3133) es el 3.º de 4 y queda por debajo del promedio local (0.4119). Amplitud altitudinal del bloque: 143 m (170–313 msnm). El cuadro conserva todos los bloques catalogados en la microcuenca, incluidos los descartados en el tamizaje, para referencia del conjunto. Los bloques sin ficha DT figuran con sus parámetros de gabinete.</t>
        </is>
      </c>
      <c r="B17" s="38" t="n"/>
      <c r="C17" s="38" t="n"/>
      <c r="D17" s="38" t="n"/>
      <c r="E17" s="38" t="n"/>
      <c r="F17" s="38" t="n"/>
      <c r="G17" s="38" t="n"/>
      <c r="H17" s="39" t="n"/>
    </row>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c r="B19" s="38" t="n"/>
      <c r="C19" s="38" t="n"/>
      <c r="D19" s="38" t="n"/>
      <c r="E19" s="38" t="n"/>
      <c r="F19" s="38" t="n"/>
      <c r="G19" s="38" t="n"/>
      <c r="H19" s="39" t="n"/>
    </row>
  </sheetData>
  <mergeCells count="10">
    <mergeCell ref="A1:H1"/>
    <mergeCell ref="A4:H4"/>
    <mergeCell ref="A3:H3"/>
    <mergeCell ref="A15:H15"/>
    <mergeCell ref="A2:H2"/>
    <mergeCell ref="A19:H19"/>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M10B4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(según ficha — valor por defecto de plantilla; catálogo: C1096-Q9547)»; el catálogo maestro V5/V6 asigna el bloque a «C1096-Q9547»</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(645575 E / 9393500 N) dista 73,360 m del centroide de catálogo (596773 E / 9448273 N), distancia incompatible con la superficie del bloque (68.89 ha)</t>
        </is>
      </c>
      <c r="D11" s="34"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(68.926 ha) coincide con la de catálogo (68.89 ha) dentro del ±2 % (+0.05 %)</t>
        </is>
      </c>
      <c r="D12" s="36"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«No consignado en el campo de lista (narrativa: &lt;60%)»; la estadística zonal sobre el MDE arroja una pendiente promedio de 13.83 %, que corresponde a la clase «8-15% (Mod.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Dimensiones del inventario de cárcavas</t>
        </is>
      </c>
      <c r="C14" s="33" t="inlineStr">
        <is>
          <t>Se registran No inventariadas (F-DT-02 sin contenido) rasgos erosivos, pero longitud, profundidad y ancho no fueron medidos instrumentalmente</t>
        </is>
      </c>
      <c r="D14" s="15"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5 taxones, por debajo del mínimo de 15 que exige el formato V5</t>
        </is>
      </c>
      <c r="D15" s="34"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4"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«Río Seco Alto»; el cruce INEI-Bloques V5 identifica 1 centro(s) poblado(s) en el bloque: RIO SECO ALTO</t>
        </is>
      </c>
      <c r="D17" s="15" t="inlineStr">
        <is>
          <t>NO SUSTANTIVA</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4"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Ficha DT</t>
        </is>
      </c>
      <c r="C19" s="35" t="inlineStr">
        <is>
          <t>La ficha consigna microcuenca C1076-Q9584; el catálogo maestro asigna a M10B4 la microcuenca C1096-Q9547</t>
        </is>
      </c>
      <c r="D19" s="34" t="inlineStr">
        <is>
          <t>SUSTANTIVA</t>
        </is>
      </c>
      <c r="E19" s="35" t="inlineStr">
        <is>
          <t>Valor por defecto de la plantilla; se conserva el del catálogo</t>
        </is>
      </c>
    </row>
    <row r="20" ht="48" customHeight="1">
      <c r="A20" s="33" t="inlineStr">
        <is>
          <t>D-11</t>
        </is>
      </c>
      <c r="B20" s="33" t="inlineStr">
        <is>
          <t>Ficha DT</t>
        </is>
      </c>
      <c r="C20" s="33" t="inlineStr">
        <is>
          <t>UTM del punto de registro (645 575 · 9 393 500) = valor por defecto; el centroide de catálogo es 596 773 · 9 448 270</t>
        </is>
      </c>
      <c r="D20" s="34" t="inlineStr">
        <is>
          <t>SUSTANTIVA</t>
        </is>
      </c>
      <c r="E20" s="33" t="inlineStr">
        <is>
          <t>Georreferencia por reponer</t>
        </is>
      </c>
    </row>
    <row r="21" ht="48" customHeight="1">
      <c r="A21" s="35" t="inlineStr">
        <is>
          <t>D-12</t>
        </is>
      </c>
      <c r="B21" s="35" t="inlineStr">
        <is>
          <t>Plan de Ingreso</t>
        </is>
      </c>
      <c r="C21" s="35" t="inlineStr">
        <is>
          <t>Altitud = 0 msnm (captura por defecto del aplicativo)</t>
        </is>
      </c>
      <c r="D21" s="37" t="inlineStr">
        <is>
          <t>CORREGIDO</t>
        </is>
      </c>
      <c r="E21" s="35" t="inlineStr">
        <is>
          <t>Se reemplaza por la altitud GPS de campo (177 msnm)</t>
        </is>
      </c>
    </row>
    <row r="22" ht="48" customHeight="1">
      <c r="A22" s="33" t="inlineStr">
        <is>
          <t>D-13</t>
        </is>
      </c>
      <c r="B22" s="33" t="inlineStr">
        <is>
          <t>F-DT-01</t>
        </is>
      </c>
      <c r="C22" s="33" t="inlineStr">
        <is>
          <t>Rango de pendiente no consignado en el campo de lista</t>
        </is>
      </c>
      <c r="D22" s="15" t="inlineStr">
        <is>
          <t>NO SUSTANTIVA</t>
        </is>
      </c>
      <c r="E22" s="33" t="inlineStr">
        <is>
          <t>Completar</t>
        </is>
      </c>
    </row>
    <row r="23" ht="48" customHeight="1">
      <c r="A23" s="35" t="inlineStr">
        <is>
          <t>D-14</t>
        </is>
      </c>
      <c r="B23" s="35" t="inlineStr">
        <is>
          <t>F-DT-02</t>
        </is>
      </c>
      <c r="C23" s="35" t="inlineStr">
        <is>
          <t>Sección SIN CONTENIDO en el documento de origen</t>
        </is>
      </c>
      <c r="D23" s="34" t="inlineStr">
        <is>
          <t>SUSTANTIVA</t>
        </is>
      </c>
      <c r="E23" s="35" t="inlineStr">
        <is>
          <t>Levantamiento pendiente en su totalidad</t>
        </is>
      </c>
    </row>
    <row r="24" ht="48" customHeight="1">
      <c r="A24" s="33" t="inlineStr">
        <is>
          <t>D-15</t>
        </is>
      </c>
      <c r="B24" s="33" t="inlineStr">
        <is>
          <t>F-DT-03</t>
        </is>
      </c>
      <c r="C24" s="33" t="inlineStr">
        <is>
          <t>Solo 5 taxones registrados, sin nombre científico ni familia, frente al mínimo de 15</t>
        </is>
      </c>
      <c r="D24" s="34" t="inlineStr">
        <is>
          <t>SUSTANTIVA</t>
        </is>
      </c>
      <c r="E24" s="33" t="inlineStr">
        <is>
          <t>Inventario florístico incompleto</t>
        </is>
      </c>
    </row>
    <row r="25" ht="48" customHeight="1">
      <c r="A25" s="35" t="inlineStr">
        <is>
          <t>D-16</t>
        </is>
      </c>
      <c r="B25" s="35" t="inlineStr">
        <is>
          <t>F-DT-04</t>
        </is>
      </c>
      <c r="C25" s="35" t="inlineStr">
        <is>
          <t>Densidad de cárcavas 1 N.°/ha pese a declararse que no hay cárcavas y a no existir inventario</t>
        </is>
      </c>
      <c r="D25" s="34" t="inlineStr">
        <is>
          <t>SUSTANTIVA</t>
        </is>
      </c>
      <c r="E25" s="35" t="inlineStr">
        <is>
          <t>Inconsistencia interna a resolver</t>
        </is>
      </c>
    </row>
    <row r="26" ht="48" customHeight="1">
      <c r="A26" s="33" t="inlineStr">
        <is>
          <t>D-17</t>
        </is>
      </c>
      <c r="B26" s="33" t="inlineStr">
        <is>
          <t>F-DT-04</t>
        </is>
      </c>
      <c r="C26" s="33" t="inlineStr">
        <is>
          <t>RECOMENDACIÓN DE CAMPO: evaluar la pertinencia de la intervención — el área conserva su cobertura y el riesgo por movimiento en masa no es evidente</t>
        </is>
      </c>
      <c r="D26" s="34" t="inlineStr">
        <is>
          <t>SUSTANTIVA</t>
        </is>
      </c>
      <c r="E26" s="33" t="inlineStr">
        <is>
          <t>ELEVAR A LA SUBDIRECCIÓN: verificar si el bloque califica como ecosistema degradado bajo la R.M. 00213-2024-MINAM</t>
        </is>
      </c>
    </row>
    <row r="27" ht="48" customHeight="1">
      <c r="A27" s="35" t="inlineStr">
        <is>
          <t>D-18</t>
        </is>
      </c>
      <c r="B27" s="35" t="inlineStr">
        <is>
          <t>F-DT-05</t>
        </is>
      </c>
      <c r="C27" s="35" t="inlineStr">
        <is>
          <t>Ficha no diligenciada: inventario hídrico vacío y accesibilidad sin consignar</t>
        </is>
      </c>
      <c r="D27" s="34" t="inlineStr">
        <is>
          <t>SUSTANTIVA</t>
        </is>
      </c>
      <c r="E27" s="35" t="inlineStr">
        <is>
          <t>Levantamiento pendiente</t>
        </is>
      </c>
    </row>
    <row r="28" ht="48" customHeight="1">
      <c r="A28" s="33" t="inlineStr">
        <is>
          <t>D-19</t>
        </is>
      </c>
      <c r="B28" s="33" t="inlineStr">
        <is>
          <t>F-DS-01</t>
        </is>
      </c>
      <c r="C28" s="33" t="inlineStr">
        <is>
          <t>Contradicción entre las dos fichas sociales: «Comunidad Campesina reconocida con título» vs. «Caserío / Anexo»</t>
        </is>
      </c>
      <c r="D28" s="34" t="inlineStr">
        <is>
          <t>SUSTANTIVA</t>
        </is>
      </c>
      <c r="E28" s="33" t="inlineStr">
        <is>
          <t>Condiciona el tamizaje predial: resolver</t>
        </is>
      </c>
    </row>
    <row r="29">
      <c r="A29" s="33" t="inlineStr">
        <is>
          <t>D-20</t>
        </is>
      </c>
      <c r="B29" s="33" t="inlineStr">
        <is>
          <t>Distribución areal de clases MSAVI 2024</t>
        </is>
      </c>
      <c r="C29" s="33" t="inlineStr">
        <is>
          <t>La hoja «Cobertura MSAVI-NDVI» consignaba «Por determinar» en la distribución areal de clases MSAVI 2024; se incorpora el metrado por clase medido sobre la cartografía temática MSAVI 2024 del bloque: 99.82 % del bloque (68.766 ha) bajo el umbral 0.4976 y 0.18 % sobre el umbral; clase areal dominante «Vigor muy bajo».</t>
        </is>
      </c>
      <c r="D29" s="34" t="inlineStr">
        <is>
          <t>CORREGIDO</t>
        </is>
      </c>
      <c r="E29" s="33" t="inlineStr">
        <is>
          <t>Se sustituye «Por determinar» por el metrado por clase. Las hectáreas se derivan del reparto porcentual medido aplicado a la superficie de catálogo (V5/V6) del bloque, por lo que la suma de las cinco clases iguala dicha superficie. Pendiente de refrendo con estadística zonal directa sobre el ráster MSAVI 2024 cuando se disponga del insumo.</t>
        </is>
      </c>
    </row>
    <row r="30"/>
    <row r="31">
      <c r="A31" s="16" t="inlineStr">
        <is>
          <t>RESUMEN</t>
        </is>
      </c>
      <c r="B31" s="17" t="inlineStr">
        <is>
          <t>20 verificaciones</t>
        </is>
      </c>
      <c r="C31" s="17" t="inlineStr">
        <is>
          <t>CONFORME: 1 · NO SUSTANTIVA: 4 · SUSTANTIVA: 13 · CORREGIDO: 2</t>
        </is>
      </c>
      <c r="D31" s="17" t="inlineStr"/>
      <c r="E31" s="17" t="inlineStr"/>
    </row>
    <row r="32" ht="60" customHeight="1"/>
    <row r="33">
      <c r="A33"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3" s="38" t="n"/>
      <c r="C33" s="38" t="n"/>
      <c r="D33" s="38" t="n"/>
      <c r="E33" s="39" t="n"/>
    </row>
  </sheetData>
  <mergeCells count="8">
    <mergeCell ref="A4:E4"/>
    <mergeCell ref="A2:E2"/>
    <mergeCell ref="A33:E33"/>
    <mergeCell ref="A5:E5"/>
    <mergeCell ref="A1:E1"/>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M10B4 — IN Piura</dc:title>
  <dc:subject>Diagnóstico Territorial por bloque de intervención</dc:subject>
  <dcterms:created xsi:type="dcterms:W3CDTF">2026-09-08T03:39:57Z</dcterms:created>
  <dcterms:modified xsi:type="dcterms:W3CDTF">2026-09-09T14:49:44Z</dcterms:modified>
</cp:coreProperties>
</file>