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F8CBAD"/>
      </patternFill>
    </fill>
    <fill>
      <patternFill patternType="solid">
        <fgColor rgb="00D9E1F2"/>
      </patternFill>
    </fill>
  </fills>
  <borders count="2">
    <border>
      <left/>
      <right/>
      <top/>
      <bottom/>
      <diagonal/>
    </border>
    <border>
      <left style="thin">
        <color rgb="009C9C9C"/>
      </left>
      <right style="thin">
        <color rgb="009C9C9C"/>
      </right>
      <top style="thin">
        <color rgb="009C9C9C"/>
      </top>
      <bottom style="thin">
        <color rgb="009C9C9C"/>
      </bottom>
    </border>
  </borders>
  <cellStyleXfs count="1">
    <xf numFmtId="0" fontId="0" fillId="0" borderId="0"/>
  </cellStyleXfs>
  <cellXfs count="38">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4"/>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47</t>
        </is>
      </c>
    </row>
    <row r="6" ht="24" customHeight="1">
      <c r="A6" s="4" t="inlineStr">
        <is>
          <t>Diagnóstico Territorial — Plantilla DT Campo Check Validada V5 | Sistema de referencia: UTM WGS 84 Zona 17S (EPSG:32717)</t>
        </is>
      </c>
    </row>
    <row r="8" ht="18" customHeight="1">
      <c r="A8" s="5" t="inlineStr">
        <is>
          <t>1. IDENTIFICACIÓN Y LOCALIZACIÓN</t>
        </is>
      </c>
    </row>
    <row r="9">
      <c r="A9" s="6" t="inlineStr">
        <is>
          <t>Código del bloque</t>
        </is>
      </c>
      <c r="B9" s="7" t="inlineStr">
        <is>
          <t>47</t>
        </is>
      </c>
      <c r="C9" s="6" t="inlineStr">
        <is>
          <t>Microcuenca (catálogo)</t>
        </is>
      </c>
      <c r="D9" s="7" t="inlineStr">
        <is>
          <t>C1076-Q9586</t>
        </is>
      </c>
      <c r="E9" s="8" t="n"/>
      <c r="F9" s="8" t="n"/>
    </row>
    <row r="10">
      <c r="A10" s="6" t="inlineStr">
        <is>
          <t>Zona de planificación</t>
        </is>
      </c>
      <c r="B10" s="7" t="inlineStr">
        <is>
          <t>Z12</t>
        </is>
      </c>
      <c r="C10" s="6" t="inlineStr">
        <is>
          <t>Microcuenca declarada en ficha DT</t>
        </is>
      </c>
      <c r="D10" s="7" t="inlineStr">
        <is>
          <t>C1076-Q9584</t>
        </is>
      </c>
      <c r="E10" s="8" t="n"/>
      <c r="F10" s="8" t="n"/>
    </row>
    <row r="11">
      <c r="A11" s="6" t="inlineStr">
        <is>
          <t>Departamento</t>
        </is>
      </c>
      <c r="B11" s="7" t="inlineStr">
        <is>
          <t>Piura</t>
        </is>
      </c>
      <c r="C11" s="6" t="inlineStr">
        <is>
          <t>Provincia</t>
        </is>
      </c>
      <c r="D11" s="7" t="inlineStr">
        <is>
          <t>Huancabamba</t>
        </is>
      </c>
      <c r="E11" s="8" t="n"/>
      <c r="F11" s="8" t="n"/>
    </row>
    <row r="12">
      <c r="A12" s="6" t="inlineStr">
        <is>
          <t>Distrito</t>
        </is>
      </c>
      <c r="B12" s="7" t="inlineStr">
        <is>
          <t>San Miguel de El Faique</t>
        </is>
      </c>
      <c r="C12" s="6" t="inlineStr">
        <is>
          <t>Capital distrital</t>
        </is>
      </c>
      <c r="D12" s="7" t="inlineStr">
        <is>
          <t>San Miguel de El Faique</t>
        </is>
      </c>
      <c r="E12" s="8" t="n"/>
      <c r="F12" s="8" t="n"/>
    </row>
    <row r="13">
      <c r="A13" s="6" t="inlineStr">
        <is>
          <t>Centro poblado asociado</t>
        </is>
      </c>
      <c r="B13" s="7" t="inlineStr">
        <is>
          <t>Gáspar</t>
        </is>
      </c>
      <c r="C13" s="6" t="inlineStr">
        <is>
          <t>Comunidad campesina</t>
        </is>
      </c>
      <c r="D13" s="7" t="inlineStr">
        <is>
          <t>Por verificar</t>
        </is>
      </c>
      <c r="E13" s="8" t="n"/>
      <c r="F13" s="8" t="n"/>
    </row>
    <row r="14">
      <c r="A14" s="6" t="inlineStr">
        <is>
          <t>Superficie de catálogo (V5/V6), ha</t>
        </is>
      </c>
      <c r="B14" s="7" t="n">
        <v>13.55</v>
      </c>
      <c r="C14" s="6" t="inlineStr">
        <is>
          <t>Fuente de superficie</t>
        </is>
      </c>
      <c r="D14" s="7" t="inlineStr">
        <is>
          <t>Catálogo maestro Bloques V5/V6</t>
        </is>
      </c>
      <c r="E14" s="8" t="n"/>
      <c r="F14" s="8" t="n"/>
    </row>
    <row r="15">
      <c r="A15" s="6" t="inlineStr">
        <is>
          <t>Centroide UTM ESTE (m)</t>
        </is>
      </c>
      <c r="B15" s="7" t="n">
        <v>659649</v>
      </c>
      <c r="C15" s="6" t="inlineStr">
        <is>
          <t>Centroide UTM NORTE (m)</t>
        </is>
      </c>
      <c r="D15" s="7" t="n">
        <v>9401436</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8" ht="18" customHeight="1">
      <c r="A18" s="5" t="inlineStr">
        <is>
          <t>2. PARÁMETROS FÍSICOS (ESTADÍSTICA ZONAL SOBRE MDE)</t>
        </is>
      </c>
    </row>
    <row r="19">
      <c r="A19" s="6" t="inlineStr">
        <is>
          <t>Altitud mínima (msnm)</t>
        </is>
      </c>
      <c r="B19" s="7" t="n">
        <v>2105</v>
      </c>
      <c r="C19" s="6" t="inlineStr">
        <is>
          <t>Altitud máxima (msnm)</t>
        </is>
      </c>
      <c r="D19" s="7" t="n">
        <v>2333</v>
      </c>
      <c r="E19" s="8" t="n"/>
      <c r="F19" s="8" t="n"/>
    </row>
    <row r="20">
      <c r="A20" s="6" t="inlineStr">
        <is>
          <t>Amplitud altitudinal (m)</t>
        </is>
      </c>
      <c r="B20" s="7" t="n">
        <v>228</v>
      </c>
      <c r="C20" s="6" t="inlineStr">
        <is>
          <t>Piso altitudinal dominante</t>
        </is>
      </c>
      <c r="D20" s="7" t="inlineStr">
        <is>
          <t>2000-2500 m (Quechua alta)</t>
        </is>
      </c>
      <c r="E20" s="8" t="n"/>
      <c r="F20" s="8" t="n"/>
    </row>
    <row r="21">
      <c r="A21" s="6" t="inlineStr">
        <is>
          <t>Pendiente promedio (%)</t>
        </is>
      </c>
      <c r="B21" s="7" t="n">
        <v>32.43</v>
      </c>
      <c r="C21" s="6" t="inlineStr">
        <is>
          <t>Pendiente promedio (grados)</t>
        </is>
      </c>
      <c r="D21" s="7" t="n">
        <v>18</v>
      </c>
      <c r="E21" s="8" t="n"/>
      <c r="F21" s="8" t="n"/>
    </row>
    <row r="22">
      <c r="A22" s="6" t="inlineStr">
        <is>
          <t>Clase de pendiente equivalente</t>
        </is>
      </c>
      <c r="B22" s="7" t="inlineStr">
        <is>
          <t>25-50% (Mod. escarpado)</t>
        </is>
      </c>
      <c r="C22" s="6" t="inlineStr">
        <is>
          <t>Rango de pendiente declarado en campo</t>
        </is>
      </c>
      <c r="D22" s="7" t="inlineStr">
        <is>
          <t>25-50% (Mod. escarpado)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Este</t>
        </is>
      </c>
      <c r="C24" s="6" t="inlineStr">
        <is>
          <t>Afloramientos rocosos</t>
        </is>
      </c>
      <c r="D24" s="7" t="inlineStr">
        <is>
          <t>Sí</t>
        </is>
      </c>
      <c r="E24" s="8" t="n"/>
      <c r="F24" s="8" t="n"/>
    </row>
    <row r="25">
      <c r="A25" s="6" t="inlineStr">
        <is>
          <t>Escarpes activos</t>
        </is>
      </c>
      <c r="B25" s="7" t="inlineStr">
        <is>
          <t>Sí</t>
        </is>
      </c>
      <c r="C25" s="6" t="inlineStr">
        <is>
          <t>Remociones en masa activas</t>
        </is>
      </c>
      <c r="D25" s="7" t="inlineStr">
        <is>
          <t>No</t>
        </is>
      </c>
      <c r="E25" s="8" t="n"/>
      <c r="F25" s="8" t="n"/>
    </row>
    <row r="27" ht="18" customHeight="1">
      <c r="A27" s="5" t="inlineStr">
        <is>
          <t>3. ÍNDICES DE VEGETACIÓN (SENTINEL-2)</t>
        </is>
      </c>
    </row>
    <row r="28">
      <c r="A28" s="6" t="inlineStr">
        <is>
          <t>MSAVI 2024 — media del bloque</t>
        </is>
      </c>
      <c r="B28" s="7" t="n">
        <v>0.5936</v>
      </c>
      <c r="C28" s="6" t="inlineStr">
        <is>
          <t>MSAVI 2024 — clase de la media</t>
        </is>
      </c>
      <c r="D28" s="7" t="inlineStr">
        <is>
          <t>0.4976 - 0.6139 (Vigor moderado)</t>
        </is>
      </c>
      <c r="E28" s="8" t="n"/>
      <c r="F28" s="8" t="n"/>
    </row>
    <row r="29">
      <c r="A29" s="6" t="inlineStr">
        <is>
          <t>Condición frente al umbral 0.4976</t>
        </is>
      </c>
      <c r="B29" s="7" t="inlineStr">
        <is>
          <t>Sobre umbral</t>
        </is>
      </c>
      <c r="C29" s="6" t="inlineStr">
        <is>
          <t>NDVI mediana 2025 — clase modal</t>
        </is>
      </c>
      <c r="D29" s="7" t="inlineStr">
        <is>
          <t>Vegetación alta (91.26 %)</t>
        </is>
      </c>
      <c r="E29" s="8" t="n"/>
      <c r="F29" s="8" t="n"/>
    </row>
    <row r="30">
      <c r="A30" s="6" t="inlineStr">
        <is>
          <t>Superficie clasificada NDVI 2025 (ha)</t>
        </is>
      </c>
      <c r="B30" s="7" t="n">
        <v>13.554</v>
      </c>
      <c r="C30" s="6" t="inlineStr">
        <is>
          <t>Desviación frente al catálogo (%)</t>
        </is>
      </c>
      <c r="D30" s="7" t="n">
        <v>0.03</v>
      </c>
      <c r="E30" s="8" t="n"/>
      <c r="F30" s="8" t="n"/>
    </row>
    <row r="32" ht="18" customHeight="1">
      <c r="A32" s="5" t="inlineStr">
        <is>
          <t>4. ECOSISTEMA Y ESTADO DE CONSERVACIÓN</t>
        </is>
      </c>
    </row>
    <row r="33">
      <c r="A33" s="6" t="inlineStr">
        <is>
          <t>Tipo de ecosistema (UP)</t>
        </is>
      </c>
      <c r="B33" s="7" t="inlineStr">
        <is>
          <t>Matorral Andino subhúmedo</t>
        </is>
      </c>
      <c r="C33" s="6" t="inlineStr">
        <is>
          <t>Superficie de ecosistema (ha)</t>
        </is>
      </c>
      <c r="D33" s="7" t="inlineStr">
        <is>
          <t>5 ha</t>
        </is>
      </c>
      <c r="E33" s="8" t="n"/>
      <c r="F33" s="8" t="n"/>
    </row>
    <row r="34">
      <c r="A34" s="6" t="inlineStr">
        <is>
          <t>Estado de conservación</t>
        </is>
      </c>
      <c r="B34" s="7" t="inlineStr">
        <is>
          <t>Medianamente alterado</t>
        </is>
      </c>
      <c r="C34" s="6" t="inlineStr">
        <is>
          <t>Uso actual dominante del suelo</t>
        </is>
      </c>
      <c r="D34" s="7" t="inlineStr">
        <is>
          <t>Agricultura secano</t>
        </is>
      </c>
      <c r="E34" s="8" t="n"/>
      <c r="F34" s="8" t="n"/>
    </row>
    <row r="35">
      <c r="A35" s="6" t="inlineStr">
        <is>
          <t>Tipo de cobertura dominante</t>
        </is>
      </c>
      <c r="B35" s="7" t="inlineStr">
        <is>
          <t>Cultivo anual</t>
        </is>
      </c>
      <c r="C35" s="6" t="inlineStr">
        <is>
          <t>Cobertura vegetal total — campo (%)</t>
        </is>
      </c>
      <c r="D35" s="7" t="n">
        <v>20</v>
      </c>
      <c r="E35" s="8" t="n"/>
      <c r="F35" s="8" t="n"/>
    </row>
    <row r="36">
      <c r="A36" s="6" t="inlineStr">
        <is>
          <t>Suelo desnudo — campo (%)</t>
        </is>
      </c>
      <c r="B36" s="7" t="n">
        <v>2</v>
      </c>
      <c r="C36" s="6" t="inlineStr">
        <is>
          <t>Regeneración natural</t>
        </is>
      </c>
      <c r="D36" s="7" t="inlineStr">
        <is>
          <t>Escasa (&lt;10 pl./100m²)</t>
        </is>
      </c>
      <c r="E36" s="8" t="n"/>
      <c r="F36" s="8" t="n"/>
    </row>
    <row r="37">
      <c r="A37" s="6" t="inlineStr">
        <is>
          <t>Nivel general de erosión</t>
        </is>
      </c>
      <c r="B37" s="7" t="inlineStr">
        <is>
          <t>Moderada (surcos)</t>
        </is>
      </c>
      <c r="C37" s="6" t="inlineStr">
        <is>
          <t>N.° de cárcavas registradas</t>
        </is>
      </c>
      <c r="D37" s="7" t="n">
        <v>0</v>
      </c>
      <c r="E37" s="8" t="n"/>
      <c r="F37" s="8" t="n"/>
    </row>
    <row r="38">
      <c r="A38" s="6" t="inlineStr">
        <is>
          <t>Elenco florístico (n.° de taxones)</t>
        </is>
      </c>
      <c r="B38" s="7" t="n">
        <v>5</v>
      </c>
      <c r="C38" s="6" t="inlineStr">
        <is>
          <t>Estado sanitario</t>
        </is>
      </c>
      <c r="D38" s="7" t="inlineStr">
        <is>
          <t>Sano</t>
        </is>
      </c>
      <c r="E38" s="8" t="n"/>
      <c r="F38" s="8" t="n"/>
    </row>
    <row r="40" ht="18" customHeight="1">
      <c r="A40" s="5" t="inlineStr">
        <is>
          <t>5. RESPONSABLE Y MODALIDAD DE LA EVALUACIÓN</t>
        </is>
      </c>
    </row>
    <row r="41">
      <c r="A41" s="6" t="inlineStr">
        <is>
          <t>Responsable de la evaluación</t>
        </is>
      </c>
      <c r="B41" s="7" t="inlineStr">
        <is>
          <t>Ing. Juan Domínguez</t>
        </is>
      </c>
      <c r="C41" s="6" t="inlineStr">
        <is>
          <t>Fecha de evaluación</t>
        </is>
      </c>
      <c r="D41" s="7" t="inlineStr">
        <is>
          <t>2026-08-04</t>
        </is>
      </c>
      <c r="E41" s="8" t="n"/>
      <c r="F41" s="8" t="n"/>
    </row>
    <row r="42">
      <c r="A42" s="6" t="inlineStr">
        <is>
          <t>Hora de registro</t>
        </is>
      </c>
      <c r="B42" s="7" t="inlineStr">
        <is>
          <t>10:22</t>
        </is>
      </c>
      <c r="C42" s="6" t="inlineStr">
        <is>
          <t>Correlativo de ficha</t>
        </is>
      </c>
      <c r="D42" s="7" t="inlineStr">
        <is>
          <t>F-DT-01/B47</t>
        </is>
      </c>
      <c r="E42" s="8" t="n"/>
      <c r="F42" s="8" t="n"/>
    </row>
    <row r="43">
      <c r="A43" s="6" t="inlineStr">
        <is>
          <t>Entidad</t>
        </is>
      </c>
      <c r="B43" s="7" t="inlineStr">
        <is>
          <t>ANIN - DIME - SESDI</t>
        </is>
      </c>
      <c r="C43" s="6" t="inlineStr">
        <is>
          <t>Fase del estudio</t>
        </is>
      </c>
      <c r="D43" s="7" t="inlineStr">
        <is>
          <t>Preinversión (Perfil) · Invierte.pe</t>
        </is>
      </c>
      <c r="E43" s="8" t="n"/>
      <c r="F43" s="8" t="n"/>
    </row>
    <row r="44">
      <c r="A44" s="6" t="inlineStr">
        <is>
          <t>Instrumento aplicado</t>
        </is>
      </c>
      <c r="B44" s="7" t="inlineStr">
        <is>
          <t>Fichas F-DT-01 a F-DT-05 (Plantilla V5)</t>
        </is>
      </c>
      <c r="C44" s="6" t="inlineStr">
        <is>
          <t>Parcela de muestreo</t>
        </is>
      </c>
      <c r="D44" s="7" t="inlineStr">
        <is>
          <t>No consignada</t>
        </is>
      </c>
      <c r="E44" s="8" t="n"/>
      <c r="F44" s="8" t="n"/>
    </row>
    <row r="45">
      <c r="A45" s="6" t="inlineStr">
        <is>
          <t>Estaciones fotográficas georreferenciadas</t>
        </is>
      </c>
      <c r="B45" s="7" t="inlineStr">
        <is>
          <t>Sin registro en la ficha DT</t>
        </is>
      </c>
      <c r="C45" s="6" t="inlineStr">
        <is>
          <t>Modalidad de acceso</t>
        </is>
      </c>
      <c r="D45" s="7" t="inlineStr">
        <is>
          <t>Vehicular + caminata &lt;30 min</t>
        </is>
      </c>
      <c r="E45" s="8" t="n"/>
      <c r="F45" s="8" t="n"/>
    </row>
    <row r="47" ht="18" customHeight="1">
      <c r="A47" s="5" t="inlineStr">
        <is>
          <t>6. SÍNTESIS PARA LA GESTIÓN DEL RIESGO EN CONTEXTO DE CAMBIO CLIMÁTICO</t>
        </is>
      </c>
    </row>
    <row r="48">
      <c r="A48" s="6" t="inlineStr">
        <is>
          <t>Causa subyacente principal</t>
        </is>
      </c>
      <c r="B48" s="7" t="inlineStr">
        <is>
          <t>Por determinar (no consignado en campo)</t>
        </is>
      </c>
      <c r="C48" s="6" t="inlineStr">
        <is>
          <t>Velocidad de degradación</t>
        </is>
      </c>
      <c r="D48" s="7" t="inlineStr">
        <is>
          <t>Moderada</t>
        </is>
      </c>
      <c r="E48" s="8" t="n"/>
      <c r="F48" s="8" t="n"/>
    </row>
    <row r="49">
      <c r="A49" s="6" t="inlineStr">
        <is>
          <t>Reversibilidad técnica</t>
        </is>
      </c>
      <c r="B49" s="7" t="inlineStr">
        <is>
          <t>Parcialmente reversible</t>
        </is>
      </c>
      <c r="C49" s="6" t="inlineStr">
        <is>
          <t>Urgencia de intervención</t>
        </is>
      </c>
      <c r="D49" s="7" t="inlineStr">
        <is>
          <t>Alta</t>
        </is>
      </c>
      <c r="E49" s="8" t="n"/>
      <c r="F49" s="8" t="n"/>
    </row>
    <row r="50">
      <c r="A50" s="6" t="inlineStr">
        <is>
          <t>Urgencia de control de erosión</t>
        </is>
      </c>
      <c r="B50" s="7" t="inlineStr">
        <is>
          <t>Alta</t>
        </is>
      </c>
      <c r="C50" s="6" t="inlineStr">
        <is>
          <t>Zona de recarga hídrica</t>
        </is>
      </c>
      <c r="D50" s="7" t="inlineStr">
        <is>
          <t>Sí</t>
        </is>
      </c>
      <c r="E50" s="8" t="n"/>
      <c r="F50" s="8" t="n"/>
    </row>
    <row r="51">
      <c r="A51" s="6" t="inlineStr">
        <is>
          <t>Peligro integrado preliminar (MCA-AHP)</t>
        </is>
      </c>
      <c r="B51" s="7" t="inlineStr">
        <is>
          <t>No disponible en los insumos; debe tomarse del modelamiento de mesolocalización</t>
        </is>
      </c>
      <c r="C51" s="6" t="inlineStr">
        <is>
          <t>Prioridad de intervención</t>
        </is>
      </c>
      <c r="D51" s="7" t="inlineStr">
        <is>
          <t>Por definir en mesolocalización</t>
        </is>
      </c>
      <c r="E51" s="8" t="n"/>
      <c r="F51" s="8" t="n"/>
    </row>
    <row r="52">
      <c r="A52" s="6" t="inlineStr">
        <is>
          <t>Estado de verificación de campo</t>
        </is>
      </c>
      <c r="B52" s="7" t="inlineStr">
        <is>
          <t>VERIFICADO</t>
        </is>
      </c>
      <c r="C52" s="6" t="inlineStr">
        <is>
          <t>Marco del indicador de brecha</t>
        </is>
      </c>
      <c r="D52" s="7" t="inlineStr">
        <is>
          <t>R.M. N.° 00213-2024-MINAM</t>
        </is>
      </c>
      <c r="E52" s="8" t="n"/>
      <c r="F52" s="8" t="n"/>
    </row>
    <row r="54" ht="72" customHeight="1">
      <c r="A54"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t>
        </is>
      </c>
    </row>
  </sheetData>
  <mergeCells count="13">
    <mergeCell ref="A2:F2"/>
    <mergeCell ref="A54:F54"/>
    <mergeCell ref="A47:F47"/>
    <mergeCell ref="A1:F1"/>
    <mergeCell ref="A5:F5"/>
    <mergeCell ref="A32:F32"/>
    <mergeCell ref="A27:F27"/>
    <mergeCell ref="A8:F8"/>
    <mergeCell ref="A6:F6"/>
    <mergeCell ref="A40:F40"/>
    <mergeCell ref="A18:F18"/>
    <mergeCell ref="A4:F4"/>
    <mergeCell ref="A3:F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6"/>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47</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t>
        </is>
      </c>
      <c r="B10" s="11" t="inlineStr">
        <is>
          <t>Por determinar</t>
        </is>
      </c>
      <c r="C10" s="11" t="inlineStr">
        <is>
          <t>Por determinar</t>
        </is>
      </c>
      <c r="D10" s="11" t="inlineStr">
        <is>
          <t>Vigor alto</t>
        </is>
      </c>
      <c r="E10" s="11" t="inlineStr">
        <is>
          <t>Sobre umbral</t>
        </is>
      </c>
    </row>
    <row r="11">
      <c r="A11" s="12" t="inlineStr">
        <is>
          <t>0.4976 - 0.6139</t>
        </is>
      </c>
      <c r="B11" s="13" t="inlineStr">
        <is>
          <t>Por determinar</t>
        </is>
      </c>
      <c r="C11" s="13" t="inlineStr">
        <is>
          <t>Por determinar</t>
        </is>
      </c>
      <c r="D11" s="13" t="inlineStr">
        <is>
          <t>Vigor moderado</t>
        </is>
      </c>
      <c r="E11" s="13" t="inlineStr">
        <is>
          <t>Sobre umbral</t>
        </is>
      </c>
    </row>
    <row r="12">
      <c r="A12" s="7" t="inlineStr">
        <is>
          <t>0.3813 - 0.4976</t>
        </is>
      </c>
      <c r="B12" s="11" t="inlineStr">
        <is>
          <t>Por determinar</t>
        </is>
      </c>
      <c r="C12" s="11" t="inlineStr">
        <is>
          <t>Por determinar</t>
        </is>
      </c>
      <c r="D12" s="11" t="inlineStr">
        <is>
          <t>Vigor bajo</t>
        </is>
      </c>
      <c r="E12" s="11" t="inlineStr">
        <is>
          <t>BAJO umbral 0.4976</t>
        </is>
      </c>
    </row>
    <row r="13">
      <c r="A13" s="14" t="inlineStr">
        <is>
          <t>0.2650 - 0.3813</t>
        </is>
      </c>
      <c r="B13" s="15" t="inlineStr">
        <is>
          <t>Por determinar</t>
        </is>
      </c>
      <c r="C13" s="15" t="inlineStr">
        <is>
          <t>Por determinar</t>
        </is>
      </c>
      <c r="D13" s="15" t="inlineStr">
        <is>
          <t>Vigor muy bajo</t>
        </is>
      </c>
      <c r="E13" s="15" t="inlineStr">
        <is>
          <t>BAJO umbral 0.4976</t>
        </is>
      </c>
    </row>
    <row r="14">
      <c r="A14" s="7" t="inlineStr">
        <is>
          <t>&lt;= 0.2650</t>
        </is>
      </c>
      <c r="B14" s="11" t="inlineStr">
        <is>
          <t>Por determinar</t>
        </is>
      </c>
      <c r="C14" s="11" t="inlineStr">
        <is>
          <t>Por determinar</t>
        </is>
      </c>
      <c r="D14" s="11" t="inlineStr">
        <is>
          <t>Suelo desnudo / no vegetal</t>
        </is>
      </c>
      <c r="E14" s="11" t="inlineStr">
        <is>
          <t>BAJO umbral 0.4976</t>
        </is>
      </c>
    </row>
    <row r="15">
      <c r="A15" s="16" t="inlineStr">
        <is>
          <t>MSAVI 2024 — MEDIA DEL BLOQUE</t>
        </is>
      </c>
      <c r="B15" s="17" t="n">
        <v>0.593628</v>
      </c>
      <c r="C15" s="17" t="inlineStr">
        <is>
          <t>—</t>
        </is>
      </c>
      <c r="D15" s="17" t="inlineStr">
        <is>
          <t>Vigor moderado · clase 0.4976 - 0.6139</t>
        </is>
      </c>
      <c r="E15" s="17" t="inlineStr">
        <is>
          <t>Sobre umbral</t>
        </is>
      </c>
    </row>
    <row r="17" ht="72" customHeight="1">
      <c r="A17" s="9" t="inlineStr">
        <is>
          <t>NOTA METODOLÓGICA. La media del MSAVI 2024 del bloque (0.593628) procede del catálogo maestro de bloques V5/V6 y es dato oficial. La DISTRIBUCIÓN AREAL por clase de MSAVI no está disponible como estadística zonal en los insumos de este entregable: se consigna «Por determinar» y NO se estima, conforme a la declaración de integridad de datos del proyecto. La fila resaltada indica la clase en la que cae la media del bloque. Para el dimensionamiento de metas físicas debe ejecutarse estadística zonal directa sobre el ráster MSAVI 2024 recortado al polígono.</t>
        </is>
      </c>
    </row>
    <row r="19" ht="18" customHeight="1">
      <c r="A19" s="5" t="inlineStr">
        <is>
          <t>B. NDVI MEDIANA 2025 — DISTRIBUCIÓN AREAL (ESTADÍSTICA ZONAL)</t>
        </is>
      </c>
    </row>
    <row r="20" ht="28" customHeight="1">
      <c r="A20" s="10" t="inlineStr">
        <is>
          <t>Clase NDVI</t>
        </is>
      </c>
      <c r="B20" s="10" t="inlineStr">
        <is>
          <t>Superficie (ha)</t>
        </is>
      </c>
      <c r="C20" s="10" t="inlineStr">
        <is>
          <t>% del área clasificada</t>
        </is>
      </c>
      <c r="D20" s="10" t="inlineStr">
        <is>
          <t>Interpretación</t>
        </is>
      </c>
      <c r="E20" s="10" t="inlineStr">
        <is>
          <t>Observación</t>
        </is>
      </c>
    </row>
    <row r="21">
      <c r="A21" s="7" t="inlineStr">
        <is>
          <t>Vegetación alta</t>
        </is>
      </c>
      <c r="B21" s="18" t="n">
        <v>12.3684</v>
      </c>
      <c r="C21" s="19" t="n">
        <v>91.26000000000001</v>
      </c>
      <c r="D21" s="11" t="inlineStr">
        <is>
          <t>Dosel continuo, matorral denso o mosaico agroforestal</t>
        </is>
      </c>
      <c r="E21" s="11" t="inlineStr"/>
    </row>
    <row r="22">
      <c r="A22" s="14" t="inlineStr">
        <is>
          <t>Vegetación mediana</t>
        </is>
      </c>
      <c r="B22" s="20" t="n">
        <v>1.1852</v>
      </c>
      <c r="C22" s="21" t="n">
        <v>8.74</v>
      </c>
      <c r="D22" s="15" t="inlineStr">
        <is>
          <t>Pastizal cultivado, matorral ralo, parcelas agrícolas</t>
        </is>
      </c>
      <c r="E22" s="15" t="inlineStr"/>
    </row>
    <row r="23">
      <c r="A23" s="16" t="inlineStr">
        <is>
          <t>TOTAL CLASIFICADO</t>
        </is>
      </c>
      <c r="B23" s="22">
        <f>SUM(B21:B22)</f>
        <v/>
      </c>
      <c r="C23" s="23">
        <f>SUM(C21:C22)</f>
        <v/>
      </c>
      <c r="D23" s="17" t="inlineStr"/>
      <c r="E23" s="17" t="inlineStr"/>
    </row>
    <row r="24">
      <c r="A24" s="24" t="inlineStr">
        <is>
          <t>Superficie de catálogo (V5/V6)</t>
        </is>
      </c>
      <c r="B24" s="25" t="n">
        <v>13.55</v>
      </c>
      <c r="C24" s="25" t="inlineStr">
        <is>
          <t>—</t>
        </is>
      </c>
      <c r="D24" s="25" t="inlineStr">
        <is>
          <t>Desviación planimétrica frente al catálogo</t>
        </is>
      </c>
      <c r="E24" s="25" t="inlineStr">
        <is>
          <t>+0.03 %</t>
        </is>
      </c>
    </row>
    <row r="26" ht="108" customHeight="1">
      <c r="A26"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20 % frente a un 91.26 % del polígono clasificado como «Vegetación alta» por el NDVI 2025; la observación de campo corresponde a una parcela o recorrido puntual y no es estadísticamente representativa de las 13.550 ha del bloque.</t>
        </is>
      </c>
    </row>
  </sheetData>
  <mergeCells count="10">
    <mergeCell ref="A4:E4"/>
    <mergeCell ref="A26:E26"/>
    <mergeCell ref="A2:E2"/>
    <mergeCell ref="A19:E19"/>
    <mergeCell ref="A1:E1"/>
    <mergeCell ref="A5:E5"/>
    <mergeCell ref="A8:E8"/>
    <mergeCell ref="A6:E6"/>
    <mergeCell ref="A17:E17"/>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7"/>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47</t>
        </is>
      </c>
    </row>
    <row r="6" ht="24" customHeight="1">
      <c r="A6" s="4" t="inlineStr">
        <is>
          <t>Levantamiento del 2026-08-04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659813</v>
      </c>
      <c r="D10" s="26" t="n">
        <v>9401357</v>
      </c>
      <c r="E10" s="11" t="n">
        <v>182</v>
      </c>
      <c r="F10" s="11" t="inlineStr"/>
      <c r="G10" s="11" t="inlineStr">
        <is>
          <t>Coordenada consignada en F-DT-01</t>
        </is>
      </c>
    </row>
    <row r="11">
      <c r="A11" s="14" t="inlineStr">
        <is>
          <t>H-01</t>
        </is>
      </c>
      <c r="B11" s="15" t="inlineStr">
        <is>
          <t>Fuente de agua — Quebrada estacional</t>
        </is>
      </c>
      <c r="C11" s="27" t="inlineStr">
        <is>
          <t>Por determinar</t>
        </is>
      </c>
      <c r="D11" s="27" t="inlineStr">
        <is>
          <t>Por determinar</t>
        </is>
      </c>
      <c r="E11" s="15" t="inlineStr"/>
      <c r="F11" s="15" t="inlineStr">
        <is>
          <t>Efímero</t>
        </is>
      </c>
      <c r="G11" s="15" t="inlineStr">
        <is>
          <t>Quebrada s/n colindante</t>
        </is>
      </c>
    </row>
    <row r="12">
      <c r="A12" s="16" t="inlineStr">
        <is>
          <t>TOTAL: 2 puntos</t>
        </is>
      </c>
      <c r="B12" s="17" t="inlineStr"/>
      <c r="C12" s="17" t="inlineStr"/>
      <c r="D12" s="17" t="inlineStr"/>
      <c r="E12" s="17" t="inlineStr"/>
      <c r="F12" s="17" t="inlineStr"/>
      <c r="G12" s="17" t="inlineStr"/>
    </row>
    <row r="14">
      <c r="A14" s="6" t="inlineStr">
        <is>
          <t>Centroide del bloque — UTM ESTE (m)</t>
        </is>
      </c>
      <c r="B14" s="7" t="n">
        <v>659649</v>
      </c>
      <c r="C14" s="6" t="inlineStr">
        <is>
          <t>Centroide del bloque — UTM NORTE (m)</t>
        </is>
      </c>
      <c r="D14" s="7" t="n">
        <v>9401436</v>
      </c>
      <c r="E14" s="8" t="n"/>
      <c r="F14" s="8" t="n"/>
      <c r="G14" s="8" t="n"/>
      <c r="H14" s="8" t="n"/>
    </row>
    <row r="15">
      <c r="A15" s="6" t="inlineStr">
        <is>
          <t>N.° de estaciones fotográficas declaradas</t>
        </is>
      </c>
      <c r="B15" s="7" t="inlineStr">
        <is>
          <t>Sin registro en la ficha DT</t>
        </is>
      </c>
      <c r="C15" s="6" t="inlineStr">
        <is>
          <t>Estaciones dentro del polígono</t>
        </is>
      </c>
      <c r="D15" s="7" t="inlineStr">
        <is>
          <t>Por determinar</t>
        </is>
      </c>
      <c r="E15" s="8" t="n"/>
      <c r="F15" s="8" t="n"/>
      <c r="G15" s="8" t="n"/>
      <c r="H15" s="8" t="n"/>
    </row>
    <row r="17" ht="120" customHeight="1">
      <c r="A17"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Ladera de montaña alta con pendiente general menor al 60%, que se incrementa al ascender. El acceso se realiza a pie por laderas que han sufrido DESLIZAMIENTOS a causa de la construcción de un camino. La ladera se emplea para pastoreo extensivo de ganado vacuno del centro poblado próximo. NOTA DE GABINETE (SESDI): el campo «¿Reptación de suelo observada?» se registró como «No» en la ficha, EN CONTRADICCIÓN con la observación textual que reporta reptación. Se mantiene el valor de la ficha y se deja constancia de la inconsistencia.</t>
        </is>
      </c>
    </row>
  </sheetData>
  <mergeCells count="8">
    <mergeCell ref="A1:G1"/>
    <mergeCell ref="A17:G17"/>
    <mergeCell ref="A8:G8"/>
    <mergeCell ref="A3:G3"/>
    <mergeCell ref="A6:G6"/>
    <mergeCell ref="A4:G4"/>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1"/>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C1076-Q9586 — BLOQUE 47</t>
        </is>
      </c>
    </row>
    <row r="6" ht="24" customHeight="1">
      <c r="A6" s="4" t="inlineStr">
        <is>
          <t>Distrito de San Miguel de El Faique · Provincia de Huancabamba · Comparación de los bloques preliminares de intervención de la misma microcuenca</t>
        </is>
      </c>
    </row>
    <row r="8" ht="18" customHeight="1">
      <c r="A8" s="5" t="inlineStr">
        <is>
          <t>BLOQUES DE LA MICROCUENCA C1076-Q9586</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row>
    <row r="10">
      <c r="A10" s="7" t="inlineStr">
        <is>
          <t>9</t>
        </is>
      </c>
      <c r="B10" s="28" t="n">
        <v>109.86</v>
      </c>
      <c r="C10" s="19" t="n">
        <v>40.1</v>
      </c>
      <c r="D10" s="11" t="inlineStr">
        <is>
          <t>1529 – 2264</t>
        </is>
      </c>
      <c r="E10" s="11" t="n">
        <v>735</v>
      </c>
      <c r="F10" s="11" t="n">
        <v>34.82</v>
      </c>
      <c r="G10" s="18" t="n">
        <v>0.5745</v>
      </c>
      <c r="H10" s="19" t="n">
        <v>90.23999999999999</v>
      </c>
    </row>
    <row r="11">
      <c r="A11" s="14" t="inlineStr">
        <is>
          <t>M22B1</t>
        </is>
      </c>
      <c r="B11" s="29" t="n">
        <v>55.17</v>
      </c>
      <c r="C11" s="21" t="n">
        <v>20.14</v>
      </c>
      <c r="D11" s="15" t="inlineStr">
        <is>
          <t>3216 – 3436</t>
        </is>
      </c>
      <c r="E11" s="15" t="n">
        <v>220</v>
      </c>
      <c r="F11" s="15" t="n">
        <v>19.98</v>
      </c>
      <c r="G11" s="20" t="n">
        <v>0.594</v>
      </c>
      <c r="H11" s="21" t="n">
        <v>91.05</v>
      </c>
    </row>
    <row r="12">
      <c r="A12" s="7" t="inlineStr">
        <is>
          <t>35</t>
        </is>
      </c>
      <c r="B12" s="28" t="n">
        <v>30.8</v>
      </c>
      <c r="C12" s="19" t="n">
        <v>11.24</v>
      </c>
      <c r="D12" s="11" t="inlineStr">
        <is>
          <t>1376 – 1621</t>
        </is>
      </c>
      <c r="E12" s="11" t="n">
        <v>245</v>
      </c>
      <c r="F12" s="11" t="n">
        <v>33.66</v>
      </c>
      <c r="G12" s="18" t="n">
        <v>0.6245000000000001</v>
      </c>
      <c r="H12" s="19" t="n">
        <v>98.17</v>
      </c>
    </row>
    <row r="13">
      <c r="A13" s="14" t="inlineStr">
        <is>
          <t>44</t>
        </is>
      </c>
      <c r="B13" s="29" t="n">
        <v>28.23</v>
      </c>
      <c r="C13" s="21" t="n">
        <v>10.3</v>
      </c>
      <c r="D13" s="15" t="inlineStr">
        <is>
          <t>3091 – 3277</t>
        </is>
      </c>
      <c r="E13" s="15" t="n">
        <v>186</v>
      </c>
      <c r="F13" s="15" t="n">
        <v>22.21</v>
      </c>
      <c r="G13" s="20" t="n">
        <v>0.5113</v>
      </c>
      <c r="H13" s="21" t="n">
        <v>83.84999999999999</v>
      </c>
    </row>
    <row r="14">
      <c r="A14" s="7" t="inlineStr">
        <is>
          <t>43</t>
        </is>
      </c>
      <c r="B14" s="28" t="n">
        <v>23.17</v>
      </c>
      <c r="C14" s="19" t="n">
        <v>8.460000000000001</v>
      </c>
      <c r="D14" s="11" t="inlineStr">
        <is>
          <t>251 – 811</t>
        </is>
      </c>
      <c r="E14" s="11" t="n">
        <v>560</v>
      </c>
      <c r="F14" s="11" t="n">
        <v>31.39</v>
      </c>
      <c r="G14" s="18" t="n">
        <v>0.5515</v>
      </c>
      <c r="H14" s="19" t="n">
        <v>78.91</v>
      </c>
    </row>
    <row r="15">
      <c r="A15" s="12" t="inlineStr">
        <is>
          <t>► 47</t>
        </is>
      </c>
      <c r="B15" s="30" t="n">
        <v>13.55</v>
      </c>
      <c r="C15" s="31" t="n">
        <v>4.95</v>
      </c>
      <c r="D15" s="13" t="inlineStr">
        <is>
          <t>2105 – 2333</t>
        </is>
      </c>
      <c r="E15" s="13" t="n">
        <v>228</v>
      </c>
      <c r="F15" s="13" t="n">
        <v>32.43</v>
      </c>
      <c r="G15" s="32" t="n">
        <v>0.5936</v>
      </c>
      <c r="H15" s="31" t="n">
        <v>91.26000000000001</v>
      </c>
    </row>
    <row r="16">
      <c r="A16" s="7" t="inlineStr">
        <is>
          <t>67</t>
        </is>
      </c>
      <c r="B16" s="28" t="n">
        <v>13.18</v>
      </c>
      <c r="C16" s="19" t="n">
        <v>4.81</v>
      </c>
      <c r="D16" s="11" t="inlineStr">
        <is>
          <t>1575 – 1770</t>
        </is>
      </c>
      <c r="E16" s="11" t="n">
        <v>195</v>
      </c>
      <c r="F16" s="11" t="n">
        <v>30.33</v>
      </c>
      <c r="G16" s="18" t="n">
        <v>0.6052999999999999</v>
      </c>
      <c r="H16" s="19" t="n">
        <v>97.5</v>
      </c>
    </row>
    <row r="17">
      <c r="A17" s="16" t="inlineStr">
        <is>
          <t>TOTAL / PROMEDIO</t>
        </is>
      </c>
      <c r="B17" s="33">
        <f>SUM(B10:B16)</f>
        <v/>
      </c>
      <c r="C17" s="23">
        <f>SUM(C10:C16)</f>
        <v/>
      </c>
      <c r="D17" s="17" t="inlineStr">
        <is>
          <t>251 – 3436</t>
        </is>
      </c>
      <c r="E17" s="17" t="inlineStr"/>
      <c r="F17" s="17">
        <f>ROUND(AVERAGE(F10:F16),2)</f>
        <v/>
      </c>
      <c r="G17" s="22">
        <f>ROUND(AVERAGE(G10:G16),4)</f>
        <v/>
      </c>
      <c r="H17" s="23">
        <f>ROUND(AVERAGE(H10:H16),2)</f>
        <v/>
      </c>
    </row>
    <row r="19" ht="84" customHeight="1">
      <c r="A19" s="9" t="inlineStr">
        <is>
          <t>LECTURA INTRAMICROCUENCA. El bloque 47 ocupa el puesto 6 de 7 por superficie dentro de la microcuenca C1076-Q9586 (4.95 % de las 273.96 ha preliminares de la microcuenca). Su pendiente promedio (32.43 %, clase «25-50% (Mod. escarpado)») es la 5.ª más baja de 7 y se sitúa por encima del promedio de la microcuenca (29.26 %). Su MSAVI 2024 (0.5936) es el 4.º de 7 y queda por encima del promedio local (0.5793). Amplitud altitudinal del bloque: 228 m (2105–2333 msnm). El cuadro conserva todos los bloques catalogados en la microcuenca, incluidos los descartados en el tamizaje, para referencia del conjunto. Los bloques sin ficha DT figuran con sus parámetros de gabinete.</t>
        </is>
      </c>
    </row>
    <row r="21" ht="60" customHeight="1">
      <c r="A21"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t>
        </is>
      </c>
    </row>
  </sheetData>
  <mergeCells count="9">
    <mergeCell ref="A1:H1"/>
    <mergeCell ref="A4:H4"/>
    <mergeCell ref="A3:H3"/>
    <mergeCell ref="A21:H21"/>
    <mergeCell ref="A2:H2"/>
    <mergeCell ref="A19:H19"/>
    <mergeCell ref="A5:H5"/>
    <mergeCell ref="A8:H8"/>
    <mergeCell ref="A6:H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0"/>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47</t>
        </is>
      </c>
    </row>
    <row r="6" ht="24" customHeight="1">
      <c r="A6" s="4" t="inlineStr">
        <is>
          <t>Discrepancias detectadas entre el registro de campo, los productos de gabinete y el catálogo maestro. Calificación: SUSTANTIVA / NO SUSTANTIVA / CORREGIDO / CONFORME.</t>
        </is>
      </c>
    </row>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4" t="inlineStr">
        <is>
          <t>D-01</t>
        </is>
      </c>
      <c r="B10" s="34" t="inlineStr">
        <is>
          <t>Código de microcuenca</t>
        </is>
      </c>
      <c r="C10" s="34" t="inlineStr">
        <is>
          <t>La ficha DT declara «C1076-Q9584»; el catálogo maestro V5/V6 asigna el bloque a «C1076-Q9586»</t>
        </is>
      </c>
      <c r="D10" s="35" t="inlineStr">
        <is>
          <t>SUSTANTIVA</t>
        </is>
      </c>
      <c r="E10" s="34" t="inlineStr">
        <is>
          <t>Se conserva el código del catálogo maestro para todo cálculo intramicrocuenca. La declaración de la ficha debe corregirse en la siguiente versión del formato V5.</t>
        </is>
      </c>
    </row>
    <row r="11" ht="48" customHeight="1">
      <c r="A11" s="36" t="inlineStr">
        <is>
          <t>D-02</t>
        </is>
      </c>
      <c r="B11" s="36" t="inlineStr">
        <is>
          <t>UTM del punto de muestreo</t>
        </is>
      </c>
      <c r="C11" s="36" t="inlineStr">
        <is>
          <t>El punto de muestreo declarado dista 182 m del centroide de catálogo, compatible con la extensión del bloque</t>
        </is>
      </c>
      <c r="D11" s="37" t="inlineStr">
        <is>
          <t>CONFORME</t>
        </is>
      </c>
      <c r="E11" s="36" t="inlineStr">
        <is>
          <t>Sin acción.</t>
        </is>
      </c>
    </row>
    <row r="12" ht="48" customHeight="1">
      <c r="A12" s="34" t="inlineStr">
        <is>
          <t>D-03</t>
        </is>
      </c>
      <c r="B12" s="34" t="inlineStr">
        <is>
          <t>Superficie del polígono</t>
        </is>
      </c>
      <c r="C12" s="34" t="inlineStr">
        <is>
          <t>La superficie clasificada por el NDVI 2025 (13.554 ha) coincide con la de catálogo (13.55 ha) dentro del ±2 % (+0.03 %)</t>
        </is>
      </c>
      <c r="D12" s="37" t="inlineStr">
        <is>
          <t>CONFORME</t>
        </is>
      </c>
      <c r="E12" s="34" t="inlineStr">
        <is>
          <t>Sin acción: la segmentación valida la geometría del bloque.</t>
        </is>
      </c>
    </row>
    <row r="13" ht="48" customHeight="1">
      <c r="A13" s="36" t="inlineStr">
        <is>
          <t>D-04</t>
        </is>
      </c>
      <c r="B13" s="36" t="inlineStr">
        <is>
          <t>Cobertura vegetal total</t>
        </is>
      </c>
      <c r="C13" s="36" t="inlineStr">
        <is>
          <t>La ficha DT estima 20 % de cobertura vegetal en campo; el NDVI mediana 2025 clasifica 100.00 % del polígono en clases de vegetación</t>
        </is>
      </c>
      <c r="D13" s="13" t="inlineStr">
        <is>
          <t>NO SUSTANTIVA</t>
        </is>
      </c>
      <c r="E13" s="36" t="inlineStr">
        <is>
          <t>Se declaran ambos valores. La observación de campo corresponde a una parcela o recorrido puntual y no es representativa de la totalidad del bloque; el índice espectral no discrimina composición ni integridad ecosistémica.</t>
        </is>
      </c>
    </row>
    <row r="14" ht="48" customHeight="1">
      <c r="A14" s="34" t="inlineStr">
        <is>
          <t>D-05</t>
        </is>
      </c>
      <c r="B14" s="34" t="inlineStr">
        <is>
          <t>Elenco florístico</t>
        </is>
      </c>
      <c r="C14" s="34" t="inlineStr">
        <is>
          <t>La ficha registra 5 taxones, por debajo del mínimo de 15 que exige el formato V5</t>
        </is>
      </c>
      <c r="D14" s="35" t="inlineStr">
        <is>
          <t>SUSTANTIVA</t>
        </is>
      </c>
      <c r="E14" s="34" t="inlineStr">
        <is>
          <t>Registro florístico preliminar, sin colecta ni determinación botánica formal. Debe cerrarse con colecta botánica en la siguiente campaña.</t>
        </is>
      </c>
    </row>
    <row r="15" ht="48" customHeight="1">
      <c r="A15" s="36" t="inlineStr">
        <is>
          <t>D-06</t>
        </is>
      </c>
      <c r="B15" s="36" t="inlineStr">
        <is>
          <t>Centro poblado asociado</t>
        </is>
      </c>
      <c r="C15" s="36" t="inlineStr">
        <is>
          <t>La ficha DT declara «Gáspar»; el cruce INEI-Bloques V5 identifica 1 centro(s) poblado(s) en el bloque: GASPAR</t>
        </is>
      </c>
      <c r="D15" s="13" t="inlineStr">
        <is>
          <t>NO SUSTANTIVA</t>
        </is>
      </c>
      <c r="E15" s="36" t="inlineStr">
        <is>
          <t>Se conserva el registro de campo como referencia y se adopta el listado INEI para el diagnóstico social y el cálculo de población beneficiaria.</t>
        </is>
      </c>
    </row>
    <row r="16" ht="48" customHeight="1">
      <c r="A16" s="34" t="inlineStr">
        <is>
          <t>D-07</t>
        </is>
      </c>
      <c r="B16" s="34" t="inlineStr">
        <is>
          <t>Peligro integrado (MCA-AHP)</t>
        </is>
      </c>
      <c r="C16" s="34" t="inlineStr">
        <is>
          <t>El nivel de peligro integrado no está disponible en los insumos de este entregable</t>
        </is>
      </c>
      <c r="D16" s="35" t="inlineStr">
        <is>
          <t>SUSTANTIVA</t>
        </is>
      </c>
      <c r="E16" s="34" t="inlineStr">
        <is>
          <t>Debe tomarse del modelamiento de mesolocalización (PMM + EPH + PGI ponderados por AHP) antes de fijar la prioridad definitiva de intervención del bloque.</t>
        </is>
      </c>
    </row>
    <row r="18">
      <c r="A18" s="16" t="inlineStr">
        <is>
          <t>RESUMEN</t>
        </is>
      </c>
      <c r="B18" s="17" t="inlineStr">
        <is>
          <t>7 verificaciones</t>
        </is>
      </c>
      <c r="C18" s="17" t="inlineStr">
        <is>
          <t>CONFORME: 2 · NO SUSTANTIVA: 2 · SUSTANTIVA: 3</t>
        </is>
      </c>
      <c r="D18" s="17" t="inlineStr"/>
      <c r="E18" s="17" t="inlineStr"/>
    </row>
    <row r="20" ht="60" customHeight="1">
      <c r="A20"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row>
  </sheetData>
  <mergeCells count="8">
    <mergeCell ref="A4:E4"/>
    <mergeCell ref="A20:E20"/>
    <mergeCell ref="A2:E2"/>
    <mergeCell ref="A1:E1"/>
    <mergeCell ref="A5:E5"/>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47 — IN Piura</dc:title>
  <dc:subject>Diagnóstico Territorial por bloque de intervención</dc:subject>
  <dcterms:created xsi:type="dcterms:W3CDTF">2026-09-08T03:39:56Z</dcterms:created>
  <dcterms:modified xsi:type="dcterms:W3CDTF">2026-09-08T03:39:56Z</dcterms:modified>
</cp:coreProperties>
</file>