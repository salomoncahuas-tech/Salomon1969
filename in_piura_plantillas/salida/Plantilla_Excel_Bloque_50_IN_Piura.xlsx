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6">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50</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50</t>
        </is>
      </c>
      <c r="C9" s="6" t="inlineStr">
        <is>
          <t>Microcuenca (catálogo)</t>
        </is>
      </c>
      <c r="D9" s="7" t="inlineStr">
        <is>
          <t>C1081-Q9590</t>
        </is>
      </c>
      <c r="E9" s="8" t="n"/>
      <c r="F9" s="8" t="n"/>
    </row>
    <row r="10">
      <c r="A10" s="6" t="inlineStr">
        <is>
          <t>Zona de planificación</t>
        </is>
      </c>
      <c r="B10" s="7" t="inlineStr">
        <is>
          <t>Z10</t>
        </is>
      </c>
      <c r="C10" s="6" t="inlineStr">
        <is>
          <t>Microcuenca declarada en ficha DT</t>
        </is>
      </c>
      <c r="D10" s="7" t="inlineStr">
        <is>
          <t>C1081-Q9590</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Lalaquiz</t>
        </is>
      </c>
      <c r="C12" s="6" t="inlineStr">
        <is>
          <t>Capital distrital</t>
        </is>
      </c>
      <c r="D12" s="7" t="inlineStr">
        <is>
          <t>Lalaquiz</t>
        </is>
      </c>
      <c r="E12" s="8" t="n"/>
      <c r="F12" s="8" t="n"/>
    </row>
    <row r="13">
      <c r="A13" s="6" t="inlineStr">
        <is>
          <t>Centro poblado asociado</t>
        </is>
      </c>
      <c r="B13" s="7" t="inlineStr">
        <is>
          <t>Ullma (no intercepta CP; ~1.3 km al N)</t>
        </is>
      </c>
      <c r="C13" s="6" t="inlineStr">
        <is>
          <t>Comunidad campesina</t>
        </is>
      </c>
      <c r="D13" s="7" t="inlineStr">
        <is>
          <t>Por determinar</t>
        </is>
      </c>
      <c r="E13" s="8" t="n"/>
      <c r="F13" s="8" t="n"/>
    </row>
    <row r="14">
      <c r="A14" s="6" t="inlineStr">
        <is>
          <t>Superficie de catálogo (V5/V6), ha</t>
        </is>
      </c>
      <c r="B14" s="7" t="n">
        <v>19.27</v>
      </c>
      <c r="C14" s="6" t="inlineStr">
        <is>
          <t>Fuente de superficie</t>
        </is>
      </c>
      <c r="D14" s="7" t="inlineStr">
        <is>
          <t>Catálogo maestro Bloques V5/V6</t>
        </is>
      </c>
      <c r="E14" s="8" t="n"/>
      <c r="F14" s="8" t="n"/>
    </row>
    <row r="15">
      <c r="A15" s="6" t="inlineStr">
        <is>
          <t>Centroide UTM ESTE (m)</t>
        </is>
      </c>
      <c r="B15" s="7" t="n">
        <v>647350</v>
      </c>
      <c r="C15" s="6" t="inlineStr">
        <is>
          <t>Centroide UTM NORTE (m)</t>
        </is>
      </c>
      <c r="D15" s="7" t="n">
        <v>9427252</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1468</v>
      </c>
      <c r="C19" s="6" t="inlineStr">
        <is>
          <t>Altitud máxima (msnm)</t>
        </is>
      </c>
      <c r="D19" s="7" t="n">
        <v>1725</v>
      </c>
      <c r="E19" s="8" t="n"/>
      <c r="F19" s="8" t="n"/>
    </row>
    <row r="20">
      <c r="A20" s="6" t="inlineStr">
        <is>
          <t>Amplitud altitudinal (m)</t>
        </is>
      </c>
      <c r="B20" s="7" t="n">
        <v>257</v>
      </c>
      <c r="C20" s="6" t="inlineStr">
        <is>
          <t>Piso altitudinal dominante</t>
        </is>
      </c>
      <c r="D20" s="7" t="inlineStr">
        <is>
          <t>1500-2000 m (Quechua media)</t>
        </is>
      </c>
      <c r="E20" s="8" t="n"/>
      <c r="F20" s="8" t="n"/>
    </row>
    <row r="21">
      <c r="A21" s="6" t="inlineStr">
        <is>
          <t>Pendiente promedio (%)</t>
        </is>
      </c>
      <c r="B21" s="7" t="n">
        <v>30.47</v>
      </c>
      <c r="C21" s="6" t="inlineStr">
        <is>
          <t>Pendiente promedio (grados)</t>
        </is>
      </c>
      <c r="D21" s="7" t="n">
        <v>16.9</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Noroeste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0.6831</v>
      </c>
      <c r="C28" s="6" t="inlineStr">
        <is>
          <t>MSAVI 2024 — clase de la media</t>
        </is>
      </c>
      <c r="D28" s="7" t="inlineStr">
        <is>
          <t>&gt; 0.6139 (Vigor alto)</t>
        </is>
      </c>
      <c r="E28" s="8" t="n"/>
      <c r="F28" s="8" t="n"/>
    </row>
    <row r="29">
      <c r="A29" s="6" t="inlineStr">
        <is>
          <t>Condición frente al umbral 0.4976</t>
        </is>
      </c>
      <c r="B29" s="7" t="inlineStr">
        <is>
          <t>Sobre umbral · distribución areal: 0.36 % del bloque BAJO el umbral (0.069 ha de 19.270 ha)</t>
        </is>
      </c>
      <c r="C29" s="6" t="inlineStr">
        <is>
          <t>NDVI mediana 2025 — clase modal</t>
        </is>
      </c>
      <c r="D29" s="7" t="inlineStr">
        <is>
          <t>Vegetación alta (99.57 %)</t>
        </is>
      </c>
      <c r="E29" s="8" t="n"/>
      <c r="F29" s="8" t="n"/>
    </row>
    <row r="30">
      <c r="A30" s="6" t="inlineStr">
        <is>
          <t>MSAVI 2024 — superficie BAJO el umbral 0.4976 (ha)</t>
        </is>
      </c>
      <c r="B30" s="7" t="n">
        <v>0.06900000000000001</v>
      </c>
      <c r="C30" s="6" t="inlineStr">
        <is>
          <t>MSAVI 2024 — % del bloque BAJO el umbral</t>
        </is>
      </c>
      <c r="D30" s="7" t="n">
        <v>0.36</v>
      </c>
      <c r="E30" s="8" t="n"/>
      <c r="F30" s="8" t="n"/>
    </row>
    <row r="31">
      <c r="A31" s="6" t="inlineStr">
        <is>
          <t>MSAVI 2024 — clase areal dominante</t>
        </is>
      </c>
      <c r="B31" s="7" t="inlineStr">
        <is>
          <t>Vigor alto</t>
        </is>
      </c>
      <c r="C31" s="6" t="inlineStr">
        <is>
          <t>MSAVI 2024 — fuente de la distribución areal</t>
        </is>
      </c>
      <c r="D31" s="7" t="inlineStr">
        <is>
          <t>Conteo de celdas sobre la cartografía MSAVI 2024 del bloque (50.png)</t>
        </is>
      </c>
      <c r="E31" s="8" t="n"/>
      <c r="F31" s="8" t="n"/>
    </row>
    <row r="32" ht="18" customHeight="1">
      <c r="A32" s="6" t="inlineStr">
        <is>
          <t>Superficie clasificada NDVI 2025 (ha)</t>
        </is>
      </c>
      <c r="B32" s="7" t="n">
        <v>19.271</v>
      </c>
      <c r="C32" s="6" t="inlineStr">
        <is>
          <t>Desviación frente al catálogo (%)</t>
        </is>
      </c>
      <c r="D32" s="7" t="n">
        <v>0.01</v>
      </c>
      <c r="E32" s="8" t="n"/>
      <c r="F32" s="8" t="n"/>
    </row>
    <row r="33"/>
    <row r="34">
      <c r="A34" s="5" t="inlineStr">
        <is>
          <t>4. ECOSISTEMA Y ESTADO DE CONSERVACIÓN</t>
        </is>
      </c>
    </row>
    <row r="35">
      <c r="A35" s="6" t="inlineStr">
        <is>
          <t>Tipo de ecosistema (UP)</t>
        </is>
      </c>
      <c r="B35" s="7" t="inlineStr">
        <is>
          <t>Matorral Andino húmedo</t>
        </is>
      </c>
      <c r="C35" s="6" t="inlineStr">
        <is>
          <t>Superficie de ecosistema (ha)</t>
        </is>
      </c>
      <c r="D35" s="7" t="inlineStr">
        <is>
          <t>Matorral andino 18.4495 ha (95.8%) + Zona agrícola 0.8169 ha (4.2%); total 19.2665 ha</t>
        </is>
      </c>
      <c r="E35" s="8" t="n"/>
      <c r="F35" s="8" t="n"/>
    </row>
    <row r="36">
      <c r="A36" s="6" t="inlineStr">
        <is>
          <t>Estado de conservación</t>
        </is>
      </c>
      <c r="B36" s="7" t="inlineStr">
        <is>
          <t>Medianamente alterado</t>
        </is>
      </c>
      <c r="C36" s="6" t="inlineStr">
        <is>
          <t>Uso actual dominante del suelo</t>
        </is>
      </c>
      <c r="D36" s="7" t="inlineStr">
        <is>
          <t>Uso mixto</t>
        </is>
      </c>
      <c r="E36" s="8" t="n"/>
      <c r="F36" s="8" t="n"/>
    </row>
    <row r="37">
      <c r="A37" s="6" t="inlineStr">
        <is>
          <t>Tipo de cobertura dominante</t>
        </is>
      </c>
      <c r="B37" s="7" t="inlineStr">
        <is>
          <t>Matorral denso</t>
        </is>
      </c>
      <c r="C37" s="6" t="inlineStr">
        <is>
          <t>Cobertura vegetal total — campo (%)</t>
        </is>
      </c>
      <c r="D37" s="7" t="n">
        <v>85</v>
      </c>
      <c r="E37" s="8" t="n"/>
      <c r="F37" s="8" t="n"/>
    </row>
    <row r="38">
      <c r="A38" s="6" t="inlineStr">
        <is>
          <t>Suelo desnudo — campo (%)</t>
        </is>
      </c>
      <c r="B38" s="7" t="n">
        <v>5</v>
      </c>
      <c r="C38" s="6" t="inlineStr">
        <is>
          <t>Regeneración natural</t>
        </is>
      </c>
      <c r="D38" s="7" t="inlineStr">
        <is>
          <t>Regular (10-50 pl./100m²)</t>
        </is>
      </c>
      <c r="E38" s="8" t="n"/>
      <c r="F38" s="8" t="n"/>
    </row>
    <row r="39">
      <c r="A39" s="6" t="inlineStr">
        <is>
          <t>Nivel general de erosión</t>
        </is>
      </c>
      <c r="B39" s="7" t="inlineStr">
        <is>
          <t>Moderada (surcos)</t>
        </is>
      </c>
      <c r="C39" s="6" t="inlineStr">
        <is>
          <t>N.° de cárcavas registradas</t>
        </is>
      </c>
      <c r="D39" s="7" t="n">
        <v>3</v>
      </c>
      <c r="E39" s="8" t="n"/>
      <c r="F39" s="8" t="n"/>
    </row>
    <row r="40" ht="18" customHeight="1">
      <c r="A40" s="6" t="inlineStr">
        <is>
          <t>Elenco florístico (n.° de taxones)</t>
        </is>
      </c>
      <c r="B40" s="7" t="n">
        <v>15</v>
      </c>
      <c r="C40" s="6" t="inlineStr">
        <is>
          <t>Estado sanitario</t>
        </is>
      </c>
      <c r="D40" s="7" t="inlineStr">
        <is>
          <t>Sano</t>
        </is>
      </c>
      <c r="E40" s="8" t="n"/>
      <c r="F40" s="8" t="n"/>
    </row>
    <row r="41"/>
    <row r="42">
      <c r="A42" s="5" t="inlineStr">
        <is>
          <t>5. RESPONSABLE Y MODALIDAD DE LA EVALUACIÓN</t>
        </is>
      </c>
    </row>
    <row r="43">
      <c r="A43" s="6" t="inlineStr">
        <is>
          <t>Responsable de la evaluación</t>
        </is>
      </c>
      <c r="B43" s="7" t="inlineStr">
        <is>
          <t>Ing. Héctor S. Cahuas Miller (ANIN-DIME-SESDI)</t>
        </is>
      </c>
      <c r="C43" s="6" t="inlineStr">
        <is>
          <t>Fecha de evaluación</t>
        </is>
      </c>
      <c r="D43" s="7" t="inlineStr">
        <is>
          <t>2026-07-08</t>
        </is>
      </c>
      <c r="E43" s="8" t="n"/>
      <c r="F43" s="8" t="n"/>
    </row>
    <row r="44">
      <c r="A44" s="6" t="inlineStr">
        <is>
          <t>Hora de registro</t>
        </is>
      </c>
      <c r="B44" s="7" t="inlineStr">
        <is>
          <t>08:55 - 10:11 h</t>
        </is>
      </c>
      <c r="C44" s="6" t="inlineStr">
        <is>
          <t>Correlativo de ficha</t>
        </is>
      </c>
      <c r="D44" s="7" t="inlineStr">
        <is>
          <t>F-DT-B50</t>
        </is>
      </c>
      <c r="E44" s="8" t="n"/>
      <c r="F44" s="8" t="n"/>
    </row>
    <row r="45">
      <c r="A45" s="6" t="inlineStr">
        <is>
          <t>Entidad</t>
        </is>
      </c>
      <c r="B45" s="7" t="inlineStr">
        <is>
          <t>ANIN - DIME - SESDI</t>
        </is>
      </c>
      <c r="C45" s="6" t="inlineStr">
        <is>
          <t>Fase del estudio</t>
        </is>
      </c>
      <c r="D45" s="7" t="inlineStr">
        <is>
          <t>Preinversión (Perfil) · Invierte.pe</t>
        </is>
      </c>
      <c r="E45" s="8" t="n"/>
      <c r="F45" s="8" t="n"/>
    </row>
    <row r="46">
      <c r="A46" s="6" t="inlineStr">
        <is>
          <t>Instrumento aplicado</t>
        </is>
      </c>
      <c r="B46" s="7" t="inlineStr">
        <is>
          <t>Fichas F-DT-01 a F-DT-05 (Plantilla V5)</t>
        </is>
      </c>
      <c r="C46" s="6" t="inlineStr">
        <is>
          <t>Parcela de muestreo</t>
        </is>
      </c>
      <c r="D46" s="7" t="inlineStr">
        <is>
          <t>Recorrido de reconocimiento (sin parcela permanente)</t>
        </is>
      </c>
      <c r="E46" s="8" t="n"/>
      <c r="F46" s="8" t="n"/>
    </row>
    <row r="47" ht="18" customHeight="1">
      <c r="A47" s="6" t="inlineStr">
        <is>
          <t>Estaciones fotográficas georreferenciadas</t>
        </is>
      </c>
      <c r="B47" s="7" t="n">
        <v>10</v>
      </c>
      <c r="C47" s="6" t="inlineStr">
        <is>
          <t>Modalidad de acceso</t>
        </is>
      </c>
      <c r="D47" s="7" t="inlineStr">
        <is>
          <t>Vehicular + caminata &lt;30 min</t>
        </is>
      </c>
      <c r="E47" s="8" t="n"/>
      <c r="F47" s="8" t="n"/>
    </row>
    <row r="48"/>
    <row r="49">
      <c r="A49" s="5" t="inlineStr">
        <is>
          <t>6. SÍNTESIS PARA LA GESTIÓN DEL RIESGO EN CONTEXTO DE CAMBIO CLIMÁTICO</t>
        </is>
      </c>
    </row>
    <row r="50">
      <c r="A50" s="6" t="inlineStr">
        <is>
          <t>Causa subyacente principal</t>
        </is>
      </c>
      <c r="B50" s="7" t="inlineStr">
        <is>
          <t>Presión agropecuaria de subsistencia sobre laderas de fuerte pendiente sin prácticas de conservación de suelos</t>
        </is>
      </c>
      <c r="C50" s="6" t="inlineStr">
        <is>
          <t>Velocidad de degradación</t>
        </is>
      </c>
      <c r="D50" s="7" t="inlineStr">
        <is>
          <t>Lenta</t>
        </is>
      </c>
      <c r="E50" s="8" t="n"/>
      <c r="F50" s="8" t="n"/>
    </row>
    <row r="51">
      <c r="A51" s="6" t="inlineStr">
        <is>
          <t>Reversibilidad técnica</t>
        </is>
      </c>
      <c r="B51" s="7" t="inlineStr">
        <is>
          <t>Parcialmente reversible</t>
        </is>
      </c>
      <c r="C51" s="6" t="inlineStr">
        <is>
          <t>Urgencia de intervención</t>
        </is>
      </c>
      <c r="D51" s="7" t="inlineStr">
        <is>
          <t>Media</t>
        </is>
      </c>
      <c r="E51" s="8" t="n"/>
      <c r="F51" s="8" t="n"/>
    </row>
    <row r="52">
      <c r="A52" s="6" t="inlineStr">
        <is>
          <t>Urgencia de control de erosión</t>
        </is>
      </c>
      <c r="B52" s="7" t="inlineStr">
        <is>
          <t>Media</t>
        </is>
      </c>
      <c r="C52" s="6" t="inlineStr">
        <is>
          <t>Zona de recarga hídrica</t>
        </is>
      </c>
      <c r="D52" s="7" t="inlineStr">
        <is>
          <t>Sí</t>
        </is>
      </c>
      <c r="E52" s="8" t="n"/>
      <c r="F52" s="8" t="n"/>
    </row>
    <row r="53">
      <c r="A53" s="6" t="inlineStr">
        <is>
          <t>Peligro integrado preliminar (MCA-AHP)</t>
        </is>
      </c>
      <c r="B53" s="7" t="inlineStr">
        <is>
          <t>No disponible en los insumos; debe tomarse del modelamiento de mesolocalización</t>
        </is>
      </c>
      <c r="C53" s="6" t="inlineStr">
        <is>
          <t>Prioridad de intervención</t>
        </is>
      </c>
      <c r="D53" s="7" t="inlineStr">
        <is>
          <t>Por definir en mesolocalización</t>
        </is>
      </c>
      <c r="E53" s="8" t="n"/>
      <c r="F53" s="8" t="n"/>
    </row>
    <row r="54" ht="72" customHeight="1">
      <c r="A54" s="6" t="inlineStr">
        <is>
          <t>Estado de verificación de campo</t>
        </is>
      </c>
      <c r="B54" s="7" t="inlineStr">
        <is>
          <t>VERIFICADO</t>
        </is>
      </c>
      <c r="C54" s="6" t="inlineStr">
        <is>
          <t>Marco del indicador de brecha</t>
        </is>
      </c>
      <c r="D54" s="7" t="inlineStr">
        <is>
          <t>R.M. N.° 00213-2024-MINAM</t>
        </is>
      </c>
      <c r="E54" s="8" t="n"/>
      <c r="F54" s="8" t="n"/>
    </row>
    <row r="55"/>
    <row r="56">
      <c r="A56"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c r="B56" s="38" t="n"/>
      <c r="C56" s="38" t="n"/>
      <c r="D56" s="38" t="n"/>
      <c r="E56" s="38" t="n"/>
      <c r="F56" s="39" t="n"/>
    </row>
  </sheetData>
  <mergeCells count="13">
    <mergeCell ref="A27:F27"/>
    <mergeCell ref="A34:F34"/>
    <mergeCell ref="A18:F18"/>
    <mergeCell ref="A56:F56"/>
    <mergeCell ref="A3:F3"/>
    <mergeCell ref="A2:F2"/>
    <mergeCell ref="A49:F49"/>
    <mergeCell ref="A42:F42"/>
    <mergeCell ref="A1:F1"/>
    <mergeCell ref="A5:F5"/>
    <mergeCell ref="A8:F8"/>
    <mergeCell ref="A6:F6"/>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7"/>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50</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t>
        </is>
      </c>
      <c r="B10" s="32" t="n">
        <v>15.6703</v>
      </c>
      <c r="C10" s="31" t="n">
        <v>81.31999999999999</v>
      </c>
      <c r="D10" s="12" t="inlineStr">
        <is>
          <t>Vigor alto</t>
        </is>
      </c>
      <c r="E10" s="12" t="inlineStr">
        <is>
          <t>Sobre umbral</t>
        </is>
      </c>
    </row>
    <row r="11">
      <c r="A11" s="13" t="inlineStr">
        <is>
          <t>0.4976 - 0.6139</t>
        </is>
      </c>
      <c r="B11" s="20" t="n">
        <v>3.5303</v>
      </c>
      <c r="C11" s="21" t="n">
        <v>18.32</v>
      </c>
      <c r="D11" s="14" t="inlineStr">
        <is>
          <t>Vigor moderado</t>
        </is>
      </c>
      <c r="E11" s="14" t="inlineStr">
        <is>
          <t>Sobre umbral</t>
        </is>
      </c>
    </row>
    <row r="12">
      <c r="A12" s="7" t="inlineStr">
        <is>
          <t>0.3813 - 0.4976</t>
        </is>
      </c>
      <c r="B12" s="18" t="n">
        <v>0.0694</v>
      </c>
      <c r="C12" s="19" t="n">
        <v>0.36</v>
      </c>
      <c r="D12" s="15" t="inlineStr">
        <is>
          <t>Vigor bajo</t>
        </is>
      </c>
      <c r="E12" s="15" t="inlineStr">
        <is>
          <t>BAJO umbral 0.4976</t>
        </is>
      </c>
    </row>
    <row r="13">
      <c r="A13" s="13" t="inlineStr">
        <is>
          <t>0.2650 - 0.3813</t>
        </is>
      </c>
      <c r="B13" s="20" t="n">
        <v>0</v>
      </c>
      <c r="C13" s="21" t="n">
        <v>0</v>
      </c>
      <c r="D13" s="14" t="inlineStr">
        <is>
          <t>Vigor muy bajo</t>
        </is>
      </c>
      <c r="E13" s="14" t="inlineStr">
        <is>
          <t>BAJO umbral 0.4976</t>
        </is>
      </c>
    </row>
    <row r="14">
      <c r="A14" s="7" t="inlineStr">
        <is>
          <t>&lt;= 0.2650</t>
        </is>
      </c>
      <c r="B14" s="18" t="n">
        <v>0</v>
      </c>
      <c r="C14" s="19" t="n">
        <v>0</v>
      </c>
      <c r="D14" s="15" t="inlineStr">
        <is>
          <t>Suelo desnudo / no vegetal</t>
        </is>
      </c>
      <c r="E14" s="15" t="inlineStr">
        <is>
          <t>BAJO umbral 0.4976</t>
        </is>
      </c>
    </row>
    <row r="15">
      <c r="A15" s="7" t="inlineStr">
        <is>
          <t>TOTAL CLASIFICADO</t>
        </is>
      </c>
      <c r="B15" s="18">
        <f>SUM(B10:B14)</f>
        <v/>
      </c>
      <c r="C15" s="19">
        <f>SUM(C10:C14)</f>
        <v/>
      </c>
      <c r="D15" s="15" t="inlineStr">
        <is>
          <t>Suma de las cinco clases MSAVI 2024</t>
        </is>
      </c>
      <c r="E15" s="15" t="inlineStr">
        <is>
          <t>Iguala la superficie de catálogo (V5/V6)</t>
        </is>
      </c>
    </row>
    <row r="16">
      <c r="A16" s="16" t="inlineStr">
        <is>
          <t>MSAVI 2024 — MEDIA DEL BLOQUE</t>
        </is>
      </c>
      <c r="B16" s="17" t="n">
        <v>0.68307</v>
      </c>
      <c r="C16" s="17" t="inlineStr">
        <is>
          <t>—</t>
        </is>
      </c>
      <c r="D16" s="17" t="inlineStr">
        <is>
          <t>Vigor alto · clase &gt; 0.6139</t>
        </is>
      </c>
      <c r="E16" s="17" t="inlineStr">
        <is>
          <t>Sobre umbral</t>
        </is>
      </c>
    </row>
    <row r="17" ht="72" customHeight="1"/>
    <row r="18">
      <c r="A18" s="9" t="inlineStr">
        <is>
          <t>NOTA METODOLÓGICA. La media del MSAVI 2024 del bloque procede del catálogo maestro de bloques V5/V6 y es dato oficial. La DISTRIBUCIÓN AREAL por clase se obtuvo por conteo de celdas sobre la cartografía temática MSAVI 2024 del bloque (carpeta Drive «MSAVI BLOQUES V6»), clasificada con la paleta RdYlGn de cinco clases y los mismos umbrales del proyecto. El reparto porcentual es el medido sobre el polígono del bloque; las hectáreas se obtienen aplicando ese reparto a la superficie de catálogo (V5/V6) declarada en la hoja «Resumen», de modo que el total por clase cuadra con la superficie oficial. Umbral de brecha 0.4976 conforme a la R.M. N.° 00213-2024-MINAM. CONTRASTE INDEPENDIENTE: la tabla de intersección vectorial «BLOQUES_V6_INTERSECC_MSAVI» reproduce el mismo ordenamiento de bloques (correlación de Pearson 0.949 sobre el porcentaje bajo umbral en los 117 bloques); no se usa para el metrado porque su campo AREA_M2 conserva el área del polígono padre y no la de cada pieza de intersección. El refrendo por estadística zonal directa sobre el ráster MSAVI 2024 recortado al polígono queda pendiente.</t>
        </is>
      </c>
      <c r="B18" s="38" t="n"/>
      <c r="C18" s="38" t="n"/>
      <c r="D18" s="38" t="n"/>
      <c r="E18" s="39" t="n"/>
    </row>
    <row r="19" ht="18" customHeight="1"/>
    <row r="20" ht="28" customHeight="1">
      <c r="A20" s="5" t="inlineStr">
        <is>
          <t>B. NDVI MEDIANA 2025 — DISTRIBUCIÓN AREAL (ESTADÍSTICA ZONAL)</t>
        </is>
      </c>
    </row>
    <row r="21">
      <c r="A21" s="10" t="inlineStr">
        <is>
          <t>Clase NDVI</t>
        </is>
      </c>
      <c r="B21" s="10" t="inlineStr">
        <is>
          <t>Superficie (ha)</t>
        </is>
      </c>
      <c r="C21" s="10" t="inlineStr">
        <is>
          <t>% del área clasificada</t>
        </is>
      </c>
      <c r="D21" s="10" t="inlineStr">
        <is>
          <t>Interpretación</t>
        </is>
      </c>
      <c r="E21" s="10" t="inlineStr">
        <is>
          <t>Observación</t>
        </is>
      </c>
    </row>
    <row r="22">
      <c r="A22" s="7" t="inlineStr">
        <is>
          <t>Vegetación alta</t>
        </is>
      </c>
      <c r="B22" s="18" t="n">
        <v>19.1886</v>
      </c>
      <c r="C22" s="19" t="n">
        <v>99.56999999999999</v>
      </c>
      <c r="D22" s="15" t="inlineStr">
        <is>
          <t>Dosel continuo, matorral denso o mosaico agroforestal</t>
        </is>
      </c>
      <c r="E22" s="15" t="inlineStr"/>
    </row>
    <row r="23">
      <c r="A23" s="13" t="inlineStr">
        <is>
          <t>Vegetación mediana</t>
        </is>
      </c>
      <c r="B23" s="20" t="n">
        <v>0.0829</v>
      </c>
      <c r="C23" s="21" t="n">
        <v>0.43</v>
      </c>
      <c r="D23" s="14" t="inlineStr">
        <is>
          <t>Pastizal cultivado, matorral ralo, parcelas agrícolas</t>
        </is>
      </c>
      <c r="E23" s="14" t="inlineStr"/>
    </row>
    <row r="24">
      <c r="A24" s="16" t="inlineStr">
        <is>
          <t>TOTAL CLASIFICADO</t>
        </is>
      </c>
      <c r="B24" s="22">
        <f>SUM(B21:B22)</f>
        <v/>
      </c>
      <c r="C24" s="23">
        <f>SUM(C21:C22)</f>
        <v/>
      </c>
      <c r="D24" s="17" t="inlineStr"/>
      <c r="E24" s="17" t="inlineStr"/>
    </row>
    <row r="25">
      <c r="A25" s="24" t="inlineStr">
        <is>
          <t>Superficie de catálogo (V5/V6)</t>
        </is>
      </c>
      <c r="B25" s="25" t="n">
        <v>19.27</v>
      </c>
      <c r="C25" s="25" t="inlineStr">
        <is>
          <t>—</t>
        </is>
      </c>
      <c r="D25" s="25" t="inlineStr">
        <is>
          <t>Desviación planimétrica frente al catálogo</t>
        </is>
      </c>
      <c r="E25" s="25" t="inlineStr">
        <is>
          <t>+0.01 %</t>
        </is>
      </c>
    </row>
    <row r="26" ht="108" customHeight="1"/>
    <row r="27">
      <c r="A27"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85 % frente a un 99.57 % del polígono clasificado como «Vegetación alta» por el NDVI 2025; la observación de campo corresponde a una parcela o recorrido puntual y no es estadísticamente representativa de las 19.270 ha del bloque.</t>
        </is>
      </c>
      <c r="B27" s="38" t="n"/>
      <c r="C27" s="38" t="n"/>
      <c r="D27" s="38" t="n"/>
      <c r="E27" s="39" t="n"/>
    </row>
  </sheetData>
  <mergeCells count="10">
    <mergeCell ref="A4:E4"/>
    <mergeCell ref="A20:E20"/>
    <mergeCell ref="A2:E2"/>
    <mergeCell ref="A5:E5"/>
    <mergeCell ref="A1:E1"/>
    <mergeCell ref="A8:E8"/>
    <mergeCell ref="A6:E6"/>
    <mergeCell ref="A18:E18"/>
    <mergeCell ref="A27:E2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50</t>
        </is>
      </c>
    </row>
    <row r="6" ht="24" customHeight="1">
      <c r="A6" s="4" t="inlineStr">
        <is>
          <t>Levantamiento del 2026-07-08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647020</v>
      </c>
      <c r="D10" s="26" t="n">
        <v>9427149</v>
      </c>
      <c r="E10" s="15" t="n">
        <v>345.7</v>
      </c>
      <c r="F10" s="15" t="inlineStr"/>
      <c r="G10" s="15" t="inlineStr">
        <is>
          <t>Coordenada consignada en F-DT-01</t>
        </is>
      </c>
    </row>
    <row r="11">
      <c r="A11" s="13" t="inlineStr">
        <is>
          <t>C-01</t>
        </is>
      </c>
      <c r="B11" s="14" t="inlineStr">
        <is>
          <t>Rasgo erosivo — Cauce encajonado con socavamiento</t>
        </is>
      </c>
      <c r="C11" s="27" t="n">
        <v>647202</v>
      </c>
      <c r="D11" s="27" t="n">
        <v>9427237</v>
      </c>
      <c r="E11" s="14" t="n">
        <v>148.8</v>
      </c>
      <c r="F11" s="14" t="inlineStr">
        <is>
          <t>Activa</t>
        </is>
      </c>
      <c r="G11" s="14" t="inlineStr">
        <is>
          <t>Socavamiento de cauce</t>
        </is>
      </c>
    </row>
    <row r="12">
      <c r="A12" s="7" t="inlineStr">
        <is>
          <t>C-02</t>
        </is>
      </c>
      <c r="B12" s="15" t="inlineStr">
        <is>
          <t>Rasgo erosivo — Talud de corte de trocha</t>
        </is>
      </c>
      <c r="C12" s="26" t="n">
        <v>647310</v>
      </c>
      <c r="D12" s="26" t="n">
        <v>9427564</v>
      </c>
      <c r="E12" s="15" t="n">
        <v>314.6</v>
      </c>
      <c r="F12" s="15" t="inlineStr">
        <is>
          <t>Activa</t>
        </is>
      </c>
      <c r="G12" s="15" t="inlineStr">
        <is>
          <t>Caminos / huellas de ganado</t>
        </is>
      </c>
    </row>
    <row r="13">
      <c r="A13" s="13" t="inlineStr">
        <is>
          <t>C-03</t>
        </is>
      </c>
      <c r="B13" s="14" t="inlineStr">
        <is>
          <t>Rasgo erosivo — Surcos en huella de trocha</t>
        </is>
      </c>
      <c r="C13" s="27" t="n">
        <v>646833</v>
      </c>
      <c r="D13" s="27" t="n">
        <v>9426997</v>
      </c>
      <c r="E13" s="14" t="n">
        <v>576.5</v>
      </c>
      <c r="F13" s="14" t="inlineStr">
        <is>
          <t>Activa</t>
        </is>
      </c>
      <c r="G13" s="14" t="inlineStr">
        <is>
          <t>Caminos / huellas de ganado</t>
        </is>
      </c>
    </row>
    <row r="14">
      <c r="A14" s="7" t="inlineStr">
        <is>
          <t>H-01</t>
        </is>
      </c>
      <c r="B14" s="15" t="inlineStr">
        <is>
          <t>Fuente de agua — Quebrada permanente</t>
        </is>
      </c>
      <c r="C14" s="26" t="n">
        <v>647201</v>
      </c>
      <c r="D14" s="26" t="n">
        <v>9427237</v>
      </c>
      <c r="E14" s="15" t="n">
        <v>149.8</v>
      </c>
      <c r="F14" s="15" t="inlineStr">
        <is>
          <t>Permanente</t>
        </is>
      </c>
      <c r="G14" s="15" t="inlineStr">
        <is>
          <t>Quebrada que delimita el bloque por el NO</t>
        </is>
      </c>
    </row>
    <row r="15">
      <c r="A15" s="13" t="inlineStr">
        <is>
          <t>B-06</t>
        </is>
      </c>
      <c r="B15" s="14" t="inlineStr">
        <is>
          <t>Especie clave — Passiflora sp.</t>
        </is>
      </c>
      <c r="C15" s="27" t="n">
        <v>647119</v>
      </c>
      <c r="D15" s="27" t="n">
        <v>9427229</v>
      </c>
      <c r="E15" s="14" t="n">
        <v>232.1</v>
      </c>
      <c r="F15" s="14" t="inlineStr">
        <is>
          <t>Indicadora de buen estado</t>
        </is>
      </c>
      <c r="G15" s="14" t="inlineStr">
        <is>
          <t>NE</t>
        </is>
      </c>
    </row>
    <row r="16">
      <c r="A16" s="16" t="inlineStr">
        <is>
          <t>TOTAL: 6 puntos</t>
        </is>
      </c>
      <c r="B16" s="17" t="inlineStr"/>
      <c r="C16" s="17" t="inlineStr"/>
      <c r="D16" s="17" t="inlineStr"/>
      <c r="E16" s="17" t="inlineStr"/>
      <c r="F16" s="17" t="inlineStr"/>
      <c r="G16" s="17" t="inlineStr"/>
    </row>
    <row r="18">
      <c r="A18" s="6" t="inlineStr">
        <is>
          <t>Centroide del bloque — UTM ESTE (m)</t>
        </is>
      </c>
      <c r="B18" s="7" t="n">
        <v>647350</v>
      </c>
      <c r="C18" s="6" t="inlineStr">
        <is>
          <t>Centroide del bloque — UTM NORTE (m)</t>
        </is>
      </c>
      <c r="D18" s="7" t="n">
        <v>9427252</v>
      </c>
      <c r="E18" s="8" t="n"/>
      <c r="F18" s="8" t="n"/>
      <c r="G18" s="8" t="n"/>
      <c r="H18" s="8" t="n"/>
    </row>
    <row r="19">
      <c r="A19" s="6" t="inlineStr">
        <is>
          <t>N.° de estaciones fotográficas declaradas</t>
        </is>
      </c>
      <c r="B19" s="7" t="n">
        <v>10</v>
      </c>
      <c r="C19" s="6" t="inlineStr">
        <is>
          <t>Estaciones dentro del polígono</t>
        </is>
      </c>
      <c r="D19" s="7" t="inlineStr">
        <is>
          <t>Por determinar</t>
        </is>
      </c>
      <c r="E19" s="8" t="n"/>
      <c r="F19" s="8" t="n"/>
      <c r="G19" s="8" t="n"/>
      <c r="H19" s="8" t="n"/>
    </row>
    <row r="21" ht="108" customHeight="1">
      <c r="A21"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Punto de muestreo declarado = CENTROIDE del bloque. La altitud GPS no fue registrada: POR DETERMINAR. Referencia de gabinete: 1489-1686 msnm, media 1587; pendiente media 34.0% y máxima 59.6% sobre 566 m de recorrido. Escarpes activos y afloramientos observados en taludes de corte de la trocha y márgenes encajonadas de la quebrada; no se observaron remociones en masa activas en la superficie natural.</t>
        </is>
      </c>
      <c r="B21" s="38" t="n"/>
      <c r="C21" s="38" t="n"/>
      <c r="D21" s="38" t="n"/>
      <c r="E21" s="38" t="n"/>
      <c r="F21" s="38" t="n"/>
      <c r="G21" s="39" t="n"/>
    </row>
  </sheetData>
  <mergeCells count="8">
    <mergeCell ref="A1:G1"/>
    <mergeCell ref="A8:G8"/>
    <mergeCell ref="A3:G3"/>
    <mergeCell ref="A6:G6"/>
    <mergeCell ref="A21:G21"/>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0"/>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C1081-Q9590 — BLOQUE 50</t>
        </is>
      </c>
    </row>
    <row r="6" ht="24" customHeight="1">
      <c r="A6" s="4" t="inlineStr">
        <is>
          <t>Distrito de Lalaquiz · Provincia de Huancabamba · Comparación de los bloques preliminares de intervención de la misma microcuenca</t>
        </is>
      </c>
    </row>
    <row r="8" ht="18" customHeight="1">
      <c r="A8" s="5" t="inlineStr">
        <is>
          <t>BLOQUES DE LA MICROCUENCA C1081-Q9590</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38</t>
        </is>
      </c>
      <c r="B10" s="28" t="n">
        <v>44.2</v>
      </c>
      <c r="C10" s="19" t="n">
        <v>29.78</v>
      </c>
      <c r="D10" s="15" t="inlineStr">
        <is>
          <t>1302 – 1533</t>
        </is>
      </c>
      <c r="E10" s="15" t="n">
        <v>231</v>
      </c>
      <c r="F10" s="15" t="n">
        <v>24.25</v>
      </c>
      <c r="G10" s="18" t="n">
        <v>0.6725</v>
      </c>
      <c r="H10" s="19" t="n">
        <v>99.3</v>
      </c>
    </row>
    <row r="11">
      <c r="A11" s="13" t="inlineStr">
        <is>
          <t>33</t>
        </is>
      </c>
      <c r="B11" s="29" t="n">
        <v>29.68</v>
      </c>
      <c r="C11" s="21" t="n">
        <v>20</v>
      </c>
      <c r="D11" s="14" t="inlineStr">
        <is>
          <t>1841 – 2226</t>
        </is>
      </c>
      <c r="E11" s="14" t="n">
        <v>385</v>
      </c>
      <c r="F11" s="14" t="n">
        <v>36.6</v>
      </c>
      <c r="G11" s="20" t="n">
        <v>0.7192</v>
      </c>
      <c r="H11" s="21" t="inlineStr">
        <is>
          <t>Por determinar</t>
        </is>
      </c>
    </row>
    <row r="12">
      <c r="A12" s="7" t="inlineStr">
        <is>
          <t>34</t>
        </is>
      </c>
      <c r="B12" s="28" t="n">
        <v>28.45</v>
      </c>
      <c r="C12" s="19" t="n">
        <v>19.17</v>
      </c>
      <c r="D12" s="15" t="inlineStr">
        <is>
          <t>1286 – 1514</t>
        </is>
      </c>
      <c r="E12" s="15" t="n">
        <v>228</v>
      </c>
      <c r="F12" s="15" t="n">
        <v>26.78</v>
      </c>
      <c r="G12" s="18" t="n">
        <v>0.649</v>
      </c>
      <c r="H12" s="19" t="n">
        <v>99.42</v>
      </c>
    </row>
    <row r="13">
      <c r="A13" s="13" t="inlineStr">
        <is>
          <t>61</t>
        </is>
      </c>
      <c r="B13" s="29" t="n">
        <v>26.83</v>
      </c>
      <c r="C13" s="21" t="n">
        <v>18.08</v>
      </c>
      <c r="D13" s="14" t="inlineStr">
        <is>
          <t>1098 – 1336</t>
        </is>
      </c>
      <c r="E13" s="14" t="n">
        <v>238</v>
      </c>
      <c r="F13" s="14" t="n">
        <v>22.61</v>
      </c>
      <c r="G13" s="20" t="n">
        <v>0.6112</v>
      </c>
      <c r="H13" s="21" t="n">
        <v>80.15000000000001</v>
      </c>
    </row>
    <row r="14">
      <c r="A14" s="11" t="inlineStr">
        <is>
          <t>► 50</t>
        </is>
      </c>
      <c r="B14" s="30" t="n">
        <v>19.27</v>
      </c>
      <c r="C14" s="31" t="n">
        <v>12.98</v>
      </c>
      <c r="D14" s="12" t="inlineStr">
        <is>
          <t>1468 – 1725</t>
        </is>
      </c>
      <c r="E14" s="12" t="n">
        <v>257</v>
      </c>
      <c r="F14" s="12" t="n">
        <v>30.47</v>
      </c>
      <c r="G14" s="32" t="n">
        <v>0.6831</v>
      </c>
      <c r="H14" s="31" t="n">
        <v>99.56999999999999</v>
      </c>
    </row>
    <row r="15">
      <c r="A15" s="16" t="inlineStr">
        <is>
          <t>TOTAL / PROMEDIO</t>
        </is>
      </c>
      <c r="B15" s="33">
        <f>SUM(B10:B14)</f>
        <v/>
      </c>
      <c r="C15" s="23">
        <f>SUM(C10:C14)</f>
        <v/>
      </c>
      <c r="D15" s="17" t="inlineStr">
        <is>
          <t>1098 – 2226</t>
        </is>
      </c>
      <c r="E15" s="17" t="inlineStr"/>
      <c r="F15" s="17">
        <f>ROUND(AVERAGE(F10:F14),2)</f>
        <v/>
      </c>
      <c r="G15" s="22">
        <f>ROUND(AVERAGE(G10:G14),4)</f>
        <v/>
      </c>
      <c r="H15" s="23">
        <f>ROUND(AVERAGE(H10:H14),2)</f>
        <v/>
      </c>
    </row>
    <row r="16" ht="48" customHeight="1">
      <c r="A16" s="9" t="inlineStr">
        <is>
          <t>ALCANCE DE LOS PROMEDIOS. La fila TOTAL / PROMEDIO omite las celdas «Por determinar»: el promedio de VEGETACIÓN ALTA (NDVI 2025) se calcula sobre 4 de los 5 bloques; el bloque restante carece de estadística zonal de NDVI. Los totales de ÁREA y % de microcuenca sí comprenden la totalidad de los 5 bloques. No se estima ningún valor ausente.</t>
        </is>
      </c>
      <c r="B16" s="38" t="n"/>
      <c r="C16" s="38" t="n"/>
      <c r="D16" s="38" t="n"/>
      <c r="E16" s="38" t="n"/>
      <c r="F16" s="38" t="n"/>
      <c r="G16" s="38" t="n"/>
      <c r="H16" s="39" t="n"/>
    </row>
    <row r="18" ht="84" customHeight="1">
      <c r="A18" s="9" t="inlineStr">
        <is>
          <t>LECTURA INTRAMICROCUENCA. El bloque 50 ocupa el puesto 5 de 5 por superficie dentro de la microcuenca C1081-Q9590 (12.98 % de las 148.43 ha preliminares de la microcuenca). Su pendiente promedio (30.47 %, clase «25-50% (Mod. escarpado)») es la 4.ª más baja de 5 y se sitúa por encima del promedio de la microcuenca (28.14 %). Su MSAVI 2024 (0.6831) es el 2.º de 5 y queda por encima del promedio local (0.6670). Amplitud altitudinal del bloque: 257 m (1468–1725 msnm). El cuadro conserva todos los bloques catalogados en la microcuenca, incluidos los descartados en el tamizaje, para referencia del conjunto. Los bloques sin ficha DT figuran con sus parámetros de gabinete.</t>
        </is>
      </c>
      <c r="B18" s="38" t="n"/>
      <c r="C18" s="38" t="n"/>
      <c r="D18" s="38" t="n"/>
      <c r="E18" s="38" t="n"/>
      <c r="F18" s="38" t="n"/>
      <c r="G18" s="38" t="n"/>
      <c r="H18" s="39" t="n"/>
    </row>
    <row r="20" ht="60" customHeight="1">
      <c r="A20"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c r="B20" s="38" t="n"/>
      <c r="C20" s="38" t="n"/>
      <c r="D20" s="38" t="n"/>
      <c r="E20" s="38" t="n"/>
      <c r="F20" s="38" t="n"/>
      <c r="G20" s="38" t="n"/>
      <c r="H20" s="39" t="n"/>
    </row>
  </sheetData>
  <mergeCells count="10">
    <mergeCell ref="A18:H18"/>
    <mergeCell ref="A4:H4"/>
    <mergeCell ref="A1:H1"/>
    <mergeCell ref="A3:H3"/>
    <mergeCell ref="A20:H20"/>
    <mergeCell ref="A2:H2"/>
    <mergeCell ref="A16:H16"/>
    <mergeCell ref="A5:H5"/>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50</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«C1081-Q9590»</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346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(19.271 ha) coincide con la de catálogo (19.27 ha) dentro del ±2 % (+0.01 %)</t>
        </is>
      </c>
      <c r="D12" s="35" t="inlineStr">
        <is>
          <t>CONFORME</t>
        </is>
      </c>
      <c r="E12" s="34" t="inlineStr">
        <is>
          <t>Sin acción: la segmentación valida la geometría del bloque.</t>
        </is>
      </c>
    </row>
    <row r="13" ht="48" customHeight="1">
      <c r="A13" s="36" t="inlineStr">
        <is>
          <t>D-04</t>
        </is>
      </c>
      <c r="B13" s="36" t="inlineStr">
        <is>
          <t>Altitud GPS del punto de muestreo</t>
        </is>
      </c>
      <c r="C13" s="36" t="inlineStr">
        <is>
          <t>La aplicación de captura no registró altitud GPS en campo</t>
        </is>
      </c>
      <c r="D13" s="12" t="inlineStr">
        <is>
          <t>NO SUSTANTIVA</t>
        </is>
      </c>
      <c r="E13" s="36" t="inlineStr">
        <is>
          <t>El rango altitudinal del bloque (1468–1725 msnm) y la pendiente promedio (30.47 %) se toman de la estadística zonal sobre el MDE, no de medición de campo. Se declara la fuente.</t>
        </is>
      </c>
    </row>
    <row r="14" ht="48" customHeight="1">
      <c r="A14" s="34" t="inlineStr">
        <is>
          <t>D-05</t>
        </is>
      </c>
      <c r="B14" s="34" t="inlineStr">
        <is>
          <t>Dimensiones del inventario de cárcavas</t>
        </is>
      </c>
      <c r="C14" s="34" t="inlineStr">
        <is>
          <t>Se registran 3 rasgos erosivos, pero longitud, profundidad y ancho no fueron medidos instrumentalmente</t>
        </is>
      </c>
      <c r="D14" s="12" t="inlineStr">
        <is>
          <t>NO SUSTANTIVA</t>
        </is>
      </c>
      <c r="E14" s="34" t="inlineStr">
        <is>
          <t>El conteo registrado no debe usarse para calcular densidad de cárcavas por hectárea. Pendiente de levantamiento con GPS submétrico.</t>
        </is>
      </c>
    </row>
    <row r="15" ht="48" customHeight="1">
      <c r="A15" s="36" t="inlineStr">
        <is>
          <t>D-06</t>
        </is>
      </c>
      <c r="B15" s="36" t="inlineStr">
        <is>
          <t>Peligro integrado (MCA-AHP)</t>
        </is>
      </c>
      <c r="C15" s="36" t="inlineStr">
        <is>
          <t>El nivel de peligro integrado no está disponible en los insumos de este entregable</t>
        </is>
      </c>
      <c r="D15" s="37" t="inlineStr">
        <is>
          <t>SUSTANTIVA</t>
        </is>
      </c>
      <c r="E15" s="36" t="inlineStr">
        <is>
          <t>Debe tomarse del modelamiento de mesolocalización (PMM + EPH + PGI ponderados por AHP) antes de fijar la prioridad definitiva de intervención del bloque.</t>
        </is>
      </c>
    </row>
    <row r="16">
      <c r="A16" s="36" t="inlineStr">
        <is>
          <t>D-07</t>
        </is>
      </c>
      <c r="B16" s="36" t="inlineStr">
        <is>
          <t>Distribución areal de clases MSAVI 2024</t>
        </is>
      </c>
      <c r="C16" s="36" t="inlineStr">
        <is>
          <t>La hoja «Cobertura MSAVI-NDVI» consignaba «Por determinar» en la distribución areal de clases MSAVI 2024; se incorpora el metrado por clase medido sobre la cartografía temática MSAVI 2024 del bloque: 0.36 % del bloque (0.069 ha) bajo el umbral 0.4976 y 99.64 % sobre el umbral; clase areal dominante «Vigor alto».</t>
        </is>
      </c>
      <c r="D16" s="37" t="inlineStr">
        <is>
          <t>CORREGIDO</t>
        </is>
      </c>
      <c r="E16" s="36" t="inlineStr">
        <is>
          <t>Se sustituye «Por determinar» por el metrado por clase. Las hectáreas se derivan del reparto porcentual medido aplicado a la superficie de catálogo (V5/V6) del bloque, por lo que la suma de las cinco clases iguala dicha superficie. Pendiente de refrendo con estadística zonal directa sobre el ráster MSAVI 2024 cuando se disponga del insumo.</t>
        </is>
      </c>
    </row>
    <row r="17"/>
    <row r="18">
      <c r="A18" s="16" t="inlineStr">
        <is>
          <t>RESUMEN</t>
        </is>
      </c>
      <c r="B18" s="17" t="inlineStr">
        <is>
          <t>7 verificaciones</t>
        </is>
      </c>
      <c r="C18" s="17" t="inlineStr">
        <is>
          <t>CONFORME: 3 · NO SUSTANTIVA: 2 · SUSTANTIVA: 1 · CORREGIDO: 1</t>
        </is>
      </c>
      <c r="D18" s="17" t="inlineStr"/>
      <c r="E18" s="17" t="inlineStr"/>
    </row>
    <row r="19" ht="60" customHeight="1"/>
    <row r="20">
      <c r="A20"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0" s="38" t="n"/>
      <c r="C20" s="38" t="n"/>
      <c r="D20" s="38" t="n"/>
      <c r="E20" s="39" t="n"/>
    </row>
  </sheetData>
  <mergeCells count="8">
    <mergeCell ref="A4:E4"/>
    <mergeCell ref="A20:E20"/>
    <mergeCell ref="A2:E2"/>
    <mergeCell ref="A5:E5"/>
    <mergeCell ref="A1:E1"/>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50 — IN Piura</dc:title>
  <dc:subject>Diagnóstico Territorial por bloque de intervención</dc:subject>
  <dcterms:created xsi:type="dcterms:W3CDTF">2026-09-08T03:39:56Z</dcterms:created>
  <dcterms:modified xsi:type="dcterms:W3CDTF">2026-09-09T14:49:42Z</dcterms:modified>
</cp:coreProperties>
</file>