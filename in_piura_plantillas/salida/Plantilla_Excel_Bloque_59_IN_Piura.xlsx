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59</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Guabo (630 830 E · 9 441 637 N; 6 hab., INEI)</t>
        </is>
      </c>
      <c r="C13" s="6" t="inlineStr">
        <is>
          <t>Comunidad campesina</t>
        </is>
      </c>
      <c r="D13" s="7" t="inlineStr">
        <is>
          <t>Comunidad Campesina de Chalaco - Trigopampa (según F-DS-03)</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2045</v>
      </c>
      <c r="C19" s="6" t="inlineStr">
        <is>
          <t>Altitud máxima (msnm)</t>
        </is>
      </c>
      <c r="D19" s="7" t="n">
        <v>2218</v>
      </c>
      <c r="E19" s="8" t="n"/>
      <c r="F19" s="8" t="n"/>
    </row>
    <row r="20">
      <c r="A20" s="6" t="inlineStr">
        <is>
          <t>Amplitud altitudinal (m)</t>
        </is>
      </c>
      <c r="B20" s="7" t="n">
        <v>173</v>
      </c>
      <c r="C20" s="6" t="inlineStr">
        <is>
          <t>Piso altitudinal dominante</t>
        </is>
      </c>
      <c r="D20" s="7" t="inlineStr">
        <is>
          <t>2000-2500 m (Quechua alta)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0.6147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(86.57 %)</t>
        </is>
      </c>
      <c r="E29" s="8" t="n"/>
      <c r="F29" s="8" t="n"/>
    </row>
    <row r="30">
      <c r="A30" s="6" t="inlineStr">
        <is>
          <t>Superficie clasificada NDVI 2025 (ha)</t>
        </is>
      </c>
      <c r="B30" s="7" t="n">
        <v>13.559</v>
      </c>
      <c r="C30" s="6" t="inlineStr">
        <is>
          <t>Desviación frente al catálogo (%)</t>
        </is>
      </c>
      <c r="D30" s="7" t="n">
        <v>0.07000000000000001</v>
      </c>
      <c r="E30" s="8" t="n"/>
      <c r="F30" s="8" t="n"/>
    </row>
    <row r="32" ht="18" customHeight="1">
      <c r="A32" s="5" t="inlineStr">
        <is>
          <t>4. ECOSISTEMA Y ESTADO DE CONSERVACIÓN</t>
        </is>
      </c>
    </row>
    <row r="33">
      <c r="A33" s="6" t="inlineStr">
        <is>
          <t>Tipo de ecosistema (UP)</t>
        </is>
      </c>
      <c r="B33" s="7" t="inlineStr">
        <is>
          <t>Bosque Relicto Montano de Vertiente Occidental (BMVO)</t>
        </is>
      </c>
      <c r="C33" s="6" t="inlineStr">
        <is>
          <t>Superficie de ecosistema (ha)</t>
        </is>
      </c>
      <c r="D33" s="7" t="inlineStr">
        <is>
          <t>13.554 ha totales — Br-mvoc 8.127 ha (60.0%); Zona agrícola 5.427 ha (40.0%)</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20</v>
      </c>
      <c r="C36" s="6" t="inlineStr">
        <is>
          <t>Regeneración natural</t>
        </is>
      </c>
      <c r="D36" s="7" t="inlineStr">
        <is>
          <t>Por determinar</t>
        </is>
      </c>
      <c r="E36" s="8" t="n"/>
      <c r="F36" s="8" t="n"/>
    </row>
    <row r="37">
      <c r="A37" s="6" t="inlineStr">
        <is>
          <t>Nivel general de erosión</t>
        </is>
      </c>
      <c r="B37" s="7" t="inlineStr">
        <is>
          <t>Severa (cárcavas activas)</t>
        </is>
      </c>
      <c r="C37" s="6" t="inlineStr">
        <is>
          <t>N.° de cárcavas registradas</t>
        </is>
      </c>
      <c r="D37" s="7" t="n">
        <v>5</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ANIN/DIME-SESDI</t>
        </is>
      </c>
      <c r="C41" s="6" t="inlineStr">
        <is>
          <t>Fecha de evaluación</t>
        </is>
      </c>
      <c r="D41" s="7" t="inlineStr">
        <is>
          <t>2026-07-01</t>
        </is>
      </c>
      <c r="E41" s="8" t="n"/>
      <c r="F41" s="8" t="n"/>
    </row>
    <row r="42">
      <c r="A42" s="6" t="inlineStr">
        <is>
          <t>Hora de registro</t>
        </is>
      </c>
      <c r="B42" s="7" t="inlineStr">
        <is>
          <t>12:27 - 12:42 h</t>
        </is>
      </c>
      <c r="C42" s="6" t="inlineStr">
        <is>
          <t>Correlativo de ficha</t>
        </is>
      </c>
      <c r="D42" s="7" t="inlineStr">
        <is>
          <t>F-DT-01 / B59</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de infraestructura vial y extracción de material de préstamo sobre litología friable, sin obras de estabilización</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0.614739</v>
      </c>
      <c r="C15" s="17" t="inlineStr">
        <is>
          <t>—</t>
        </is>
      </c>
      <c r="D15" s="17" t="inlineStr">
        <is>
          <t>Vigor alto · clase &gt; 0.6139</t>
        </is>
      </c>
      <c r="E15" s="17" t="inlineStr">
        <is>
          <t>Sobre umbral</t>
        </is>
      </c>
    </row>
    <row r="17" ht="72" customHeight="1">
      <c r="A17" s="9" t="inlineStr">
        <is>
          <t>NOTA METODOLÓGICA. La media del MSAVI 2024 del bloque (0.614739)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11.7374</v>
      </c>
      <c r="C21" s="19" t="n">
        <v>86.56999999999999</v>
      </c>
      <c r="D21" s="15" t="inlineStr">
        <is>
          <t>Dosel continuo, matorral denso o mosaico agroforestal</t>
        </is>
      </c>
      <c r="E21" s="15" t="inlineStr"/>
    </row>
    <row r="22">
      <c r="A22" s="13" t="inlineStr">
        <is>
          <t>Vegetación mediana</t>
        </is>
      </c>
      <c r="B22" s="20" t="n">
        <v>1.0689</v>
      </c>
      <c r="C22" s="21" t="n">
        <v>7.88</v>
      </c>
      <c r="D22" s="14" t="inlineStr">
        <is>
          <t>Pastizal cultivado, matorral ralo, parcelas agrícolas</t>
        </is>
      </c>
      <c r="E22" s="14" t="inlineStr"/>
    </row>
    <row r="23">
      <c r="A23" s="7" t="inlineStr">
        <is>
          <t>Vegetación ligera</t>
        </is>
      </c>
      <c r="B23" s="18" t="n">
        <v>0.5152</v>
      </c>
      <c r="C23" s="19" t="n">
        <v>3.8</v>
      </c>
      <c r="D23" s="15" t="inlineStr">
        <is>
          <t>Cobertura discontinua, suelo parcialmente expuesto</t>
        </is>
      </c>
      <c r="E23" s="15" t="inlineStr"/>
    </row>
    <row r="24">
      <c r="A24" s="13" t="inlineStr">
        <is>
          <t>Tierra desnuda</t>
        </is>
      </c>
      <c r="B24" s="20" t="n">
        <v>0.2375</v>
      </c>
      <c r="C24" s="21" t="n">
        <v>1.75</v>
      </c>
      <c r="D24" s="14" t="inlineStr">
        <is>
          <t>Suelo desnudo, afloramientos, plataformas y taludes</t>
        </is>
      </c>
      <c r="E24" s="14" t="inlineStr"/>
    </row>
    <row r="25">
      <c r="A25" s="16" t="inlineStr">
        <is>
          <t>TOTAL CLASIFICADO</t>
        </is>
      </c>
      <c r="B25" s="22">
        <f>SUM(B21:B24)</f>
        <v/>
      </c>
      <c r="C25" s="23">
        <f>SUM(C21:C24)</f>
        <v/>
      </c>
      <c r="D25" s="17" t="inlineStr"/>
      <c r="E25" s="17" t="inlineStr"/>
    </row>
    <row r="26">
      <c r="A26" s="24" t="inlineStr">
        <is>
          <t>Superficie de catálogo (V5/V6)</t>
        </is>
      </c>
      <c r="B26" s="25" t="n">
        <v>13.55</v>
      </c>
      <c r="C26" s="25" t="inlineStr">
        <is>
          <t>—</t>
        </is>
      </c>
      <c r="D26" s="25" t="inlineStr">
        <is>
          <t>Desviación planimétrica frente al catálogo</t>
        </is>
      </c>
      <c r="E26" s="25" t="inlineStr">
        <is>
          <t>+0.07 %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86.57 % del polígono clasificado como «Vegetación alta» por el NDVI 2025; la observación de campo corresponde a una parcela o recorrido puntual y no es estadísticamente representativa de las 13.550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59</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631232</v>
      </c>
      <c r="D10" s="26" t="n">
        <v>9441709</v>
      </c>
      <c r="E10" s="15" t="n">
        <v>77.40000000000001</v>
      </c>
      <c r="F10" s="15" t="inlineStr"/>
      <c r="G10" s="15" t="inlineStr">
        <is>
          <t>Coordenada consignada en F-DT-01</t>
        </is>
      </c>
    </row>
    <row r="11">
      <c r="A11" s="13" t="inlineStr">
        <is>
          <t>C-01</t>
        </is>
      </c>
      <c r="B11" s="14" t="inlineStr">
        <is>
          <t>Rasgo erosivo — Cárcava profunda (&gt;2 m)</t>
        </is>
      </c>
      <c r="C11" s="27" t="n">
        <v>631253</v>
      </c>
      <c r="D11" s="27" t="n">
        <v>9441731</v>
      </c>
      <c r="E11" s="14" t="n">
        <v>74</v>
      </c>
      <c r="F11" s="14" t="inlineStr">
        <is>
          <t>Activa</t>
        </is>
      </c>
      <c r="G11" s="14" t="inlineStr">
        <is>
          <t>Concentración natural de escorrentía</t>
        </is>
      </c>
    </row>
    <row r="12">
      <c r="A12" s="7" t="inlineStr">
        <is>
          <t>C-02</t>
        </is>
      </c>
      <c r="B12" s="15" t="inlineStr">
        <is>
          <t>Rasgo erosivo — Surco (&lt;30 cm)</t>
        </is>
      </c>
      <c r="C12" s="26" t="n">
        <v>631235</v>
      </c>
      <c r="D12" s="26" t="n">
        <v>9441625</v>
      </c>
      <c r="E12" s="15" t="n">
        <v>157.2</v>
      </c>
      <c r="F12" s="15" t="inlineStr">
        <is>
          <t>Activa</t>
        </is>
      </c>
      <c r="G12" s="15" t="inlineStr">
        <is>
          <t>Concentración natural de escorrentía</t>
        </is>
      </c>
    </row>
    <row r="13">
      <c r="A13" s="13" t="inlineStr">
        <is>
          <t>C-03</t>
        </is>
      </c>
      <c r="B13" s="14" t="inlineStr">
        <is>
          <t>Rasgo erosivo — Cárcava somera (0.5-2 m)</t>
        </is>
      </c>
      <c r="C13" s="27" t="n">
        <v>631229</v>
      </c>
      <c r="D13" s="27" t="n">
        <v>9441787</v>
      </c>
      <c r="E13" s="14" t="n">
        <v>35.4</v>
      </c>
      <c r="F13" s="14" t="inlineStr">
        <is>
          <t>Activa</t>
        </is>
      </c>
      <c r="G13" s="14" t="inlineStr">
        <is>
          <t>Otro (talud de corte de vía)</t>
        </is>
      </c>
    </row>
    <row r="14">
      <c r="A14" s="7" t="inlineStr">
        <is>
          <t>C-04</t>
        </is>
      </c>
      <c r="B14" s="15" t="inlineStr">
        <is>
          <t>Rasgo erosivo — Cárcava muy profunda</t>
        </is>
      </c>
      <c r="C14" s="26" t="n">
        <v>631272</v>
      </c>
      <c r="D14" s="26" t="n">
        <v>9441758</v>
      </c>
      <c r="E14" s="15" t="n">
        <v>79.3</v>
      </c>
      <c r="F14" s="15" t="inlineStr">
        <is>
          <t>Activa</t>
        </is>
      </c>
      <c r="G14" s="15" t="inlineStr">
        <is>
          <t>Otro (escarpe de deslizamiento)</t>
        </is>
      </c>
    </row>
    <row r="15">
      <c r="A15" s="13" t="inlineStr">
        <is>
          <t>C-05</t>
        </is>
      </c>
      <c r="B15" s="14" t="inlineStr">
        <is>
          <t>Rasgo erosivo — Cárcava incipiente</t>
        </is>
      </c>
      <c r="C15" s="27" t="n">
        <v>631016</v>
      </c>
      <c r="D15" s="27" t="n">
        <v>9441897</v>
      </c>
      <c r="E15" s="14" t="n">
        <v>215.5</v>
      </c>
      <c r="F15" s="14" t="inlineStr">
        <is>
          <t>Activa</t>
        </is>
      </c>
      <c r="G15" s="14" t="inlineStr">
        <is>
          <t>Sobrepastoreo</t>
        </is>
      </c>
    </row>
    <row r="16">
      <c r="A16" s="7" t="inlineStr">
        <is>
          <t>H-01</t>
        </is>
      </c>
      <c r="B16" s="15" t="inlineStr">
        <is>
          <t>Fuente de agua — Quebrada estacional</t>
        </is>
      </c>
      <c r="C16" s="26" t="n">
        <v>631100</v>
      </c>
      <c r="D16" s="26" t="n">
        <v>9441500</v>
      </c>
      <c r="E16" s="15" t="n">
        <v>292.8</v>
      </c>
      <c r="F16" s="15" t="inlineStr">
        <is>
          <t>Estacional</t>
        </is>
      </c>
      <c r="G16" s="15" t="inlineStr">
        <is>
          <t>Quebrada tributaria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631195</v>
      </c>
      <c r="C19" s="6" t="inlineStr">
        <is>
          <t>Centroide del bloque — UTM NORTE (m)</t>
        </is>
      </c>
      <c r="D19" s="7" t="n">
        <v>9441777</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Centroide oficial del bloque: 631 195 E · 9 441 777 N (Bloques_V5). Superficie 13.554 ha. Rango altitudinal tomado del perfil de elevación Google Earth (2 045-2 173 msnm; media 2 104); la ALTITUD GPS instrumental NO fue registrada. Pendiente: perfil reporta media 30.6% y máxima 45.4%, consistente con el rango 25-50%. DISCREPANCIA DOCUMENTADA: la herramienta Regla reporta 359.30 m planimétricos mientras el perfil de elevación reporta 418 m (longitud 3D); ambos se conservan sin corregir. Exposición Suroeste: JUICIO EXPERTO derivado del perfil; requiere confirmación con DEM. Afloramientos: sustrato areno-limoso/arenisca poco consolidada expuesta en taludes y cantera. Remociones en masa activas: SÍ, deslizamiento sobre cerco perimétrico y escarpes frescos.</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59</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1" t="inlineStr">
        <is>
          <t>► 59</t>
        </is>
      </c>
      <c r="B21" s="30" t="n">
        <v>13.55</v>
      </c>
      <c r="C21" s="31" t="n">
        <v>1.59</v>
      </c>
      <c r="D21" s="12" t="inlineStr">
        <is>
          <t>2045 – 2218</t>
        </is>
      </c>
      <c r="E21" s="12" t="n">
        <v>173</v>
      </c>
      <c r="F21" s="12" t="n">
        <v>29.85</v>
      </c>
      <c r="G21" s="32" t="n">
        <v>0.6147</v>
      </c>
      <c r="H21" s="3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59 ocupa el puesto 12 de 12 por superficie dentro de la microcuenca C1086-Q9570 (1.59 % de las 853.87 ha preliminares de la microcuenca). Su pendiente promedio (29.85 %, clase «25-50% (Mod. escarpado)») es la 8.ª más baja de 12 y se sitúa por encima del promedio de la microcuenca (28.51 %). Su MSAVI 2024 (0.6147) es el 6.º de 12 y queda por encima del promedio local (0.5993). Amplitud altitudinal del bloque: 173 m (2045–2218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(13.559 ha) coincide con la de catálogo (13.55 ha) dentro del ±2 % (+0.07 %)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98.25 %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5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«Guabo (630 830 E · 9 441 637 N; 6 hab., INEI)»; el cruce INEI-Bloques V5 identifica 1 centro(s) poblado(s) en el bloque: GUABO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F-DT-03</t>
        </is>
      </c>
      <c r="C18" s="34" t="inlineStr">
        <is>
          <t>Inventario florístico TRANSFERIDO POR ANALOGÍA del Bloque 57; no es levantamiento propio del bloque 59</t>
        </is>
      </c>
      <c r="D18" s="37" t="inlineStr">
        <is>
          <t>SUSTANTIVA</t>
        </is>
      </c>
      <c r="E18" s="34" t="inlineStr">
        <is>
          <t>Requiere verificación de campo y determinación botánica formal</t>
        </is>
      </c>
    </row>
    <row r="19" ht="48" customHeight="1">
      <c r="A19" s="36" t="inlineStr">
        <is>
          <t>D-10</t>
        </is>
      </c>
      <c r="B19" s="36" t="inlineStr">
        <is>
          <t>F-DT-01</t>
        </is>
      </c>
      <c r="C19" s="36" t="inlineStr">
        <is>
          <t>Regla (Ruta) reporta 359.30 m planimétricos vs. 418 m del perfil de elevación (longitud 3D)</t>
        </is>
      </c>
      <c r="D19" s="12" t="inlineStr">
        <is>
          <t>NO SUSTANTIVA</t>
        </is>
      </c>
      <c r="E19" s="36" t="inlineStr">
        <is>
          <t>Ambos valores se conservan sin corregir</t>
        </is>
      </c>
    </row>
    <row r="20" ht="48" customHeight="1">
      <c r="A20" s="34" t="inlineStr">
        <is>
          <t>D-11</t>
        </is>
      </c>
      <c r="B20" s="34" t="inlineStr">
        <is>
          <t>F-DT-01</t>
        </is>
      </c>
      <c r="C20" s="34" t="inlineStr">
        <is>
          <t>Altitud GPS instrumental NO registrada; rango altitudinal derivado del perfil Google Earth</t>
        </is>
      </c>
      <c r="D20" s="12" t="inlineStr">
        <is>
          <t>NO SUSTANTIVA</t>
        </is>
      </c>
      <c r="E20" s="34" t="inlineStr">
        <is>
          <t>Se complementa con el rango del MDE 2045-2218 msnm</t>
        </is>
      </c>
    </row>
    <row r="21" ht="48" customHeight="1">
      <c r="A21" s="36" t="inlineStr">
        <is>
          <t>D-12</t>
        </is>
      </c>
      <c r="B21" s="36" t="inlineStr">
        <is>
          <t>Plan de Ingreso</t>
        </is>
      </c>
      <c r="C21" s="36" t="inlineStr">
        <is>
          <t>Altitud = 0 msnm (captura por defecto del aplicativo)</t>
        </is>
      </c>
      <c r="D21" s="12" t="inlineStr">
        <is>
          <t>NO SUSTANTIVA</t>
        </is>
      </c>
      <c r="E21" s="36" t="inlineStr">
        <is>
          <t>Se sustituye por el rango del MDE</t>
        </is>
      </c>
    </row>
    <row r="22" ht="48" customHeight="1">
      <c r="A22" s="34" t="inlineStr">
        <is>
          <t>D-13</t>
        </is>
      </c>
      <c r="B22" s="34" t="inlineStr">
        <is>
          <t>F-DT-02</t>
        </is>
      </c>
      <c r="C22" s="34" t="inlineStr">
        <is>
          <t>Cantera de arena activa en 631 205 E · 9 441 786 N no clasificable en el formato de cárcavas</t>
        </is>
      </c>
      <c r="D22" s="37" t="inlineStr">
        <is>
          <t>SUSTANTIVA</t>
        </is>
      </c>
      <c r="E22" s="34" t="inlineStr">
        <is>
          <t>Fuente directa de aporte de sedimentos; incorporar como pasivo ambiental en el diseño de MRR-CCC</t>
        </is>
      </c>
    </row>
    <row r="23" ht="48" customHeight="1">
      <c r="A23" s="36" t="inlineStr">
        <is>
          <t>D-14</t>
        </is>
      </c>
      <c r="B23" s="36" t="inlineStr">
        <is>
          <t>F-DS-03</t>
        </is>
      </c>
      <c r="C23" s="36" t="inlineStr">
        <is>
          <t>La ficha social del C.P. Guabo consigna microcuenca C1076-Q9584 y UTM 631 195 · 9 441 780 (valores heredados de plantilla)</t>
        </is>
      </c>
      <c r="D23" s="12" t="inlineStr">
        <is>
          <t>NO SUSTANTIVA</t>
        </is>
      </c>
      <c r="E23" s="36" t="inlineStr">
        <is>
          <t>Se conserva la microcuenca del catálogo C1086-Q9570</t>
        </is>
      </c>
    </row>
    <row r="25">
      <c r="A25" s="16" t="inlineStr">
        <is>
          <t>RESUMEN</t>
        </is>
      </c>
      <c r="B25" s="17" t="inlineStr">
        <is>
          <t>14 verificaciones</t>
        </is>
      </c>
      <c r="C25" s="17" t="inlineStr">
        <is>
          <t>CONFORME: 4 · NO SUSTANTIVA: 6 · SUSTANTIVA: 4</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59 — IN Piura</dc:title>
  <dc:subject>Diagnóstico Territorial por bloque de intervención</dc:subject>
  <dcterms:created xsi:type="dcterms:W3CDTF">2026-09-08T02:45:04Z</dcterms:created>
  <dcterms:modified xsi:type="dcterms:W3CDTF">2026-09-08T02:45:04Z</dcterms:modified>
</cp:coreProperties>
</file>