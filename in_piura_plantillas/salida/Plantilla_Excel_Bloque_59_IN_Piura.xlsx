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59</t>
        </is>
      </c>
      <c r="C9" s="6" t="inlineStr">
        <is>
          <t>Microcuenca (catálogo)</t>
        </is>
      </c>
      <c r="D9" s="7" t="inlineStr">
        <is>
          <t>C1086-Q9570</t>
        </is>
      </c>
      <c r="E9" s="8" t="n"/>
      <c r="F9" s="8" t="n"/>
    </row>
    <row r="10">
      <c r="A10" s="6" t="inlineStr">
        <is>
          <t>Zona de planificación</t>
        </is>
      </c>
      <c r="B10" s="7" t="inlineStr">
        <is>
          <t>Z04</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Chalaco</t>
        </is>
      </c>
      <c r="C12" s="6" t="inlineStr">
        <is>
          <t>Capital distrital</t>
        </is>
      </c>
      <c r="D12" s="7" t="inlineStr">
        <is>
          <t>Chalaco</t>
        </is>
      </c>
      <c r="E12" s="8" t="n"/>
      <c r="F12" s="8" t="n"/>
    </row>
    <row r="13">
      <c r="A13" s="6" t="inlineStr">
        <is>
          <t>Centro poblado asociado</t>
        </is>
      </c>
      <c r="B13" s="7" t="inlineStr">
        <is>
          <t>Guabo (630 830 E · 9 441 637 N; 6 hab., INEI)</t>
        </is>
      </c>
      <c r="C13" s="6" t="inlineStr">
        <is>
          <t>Comunidad campesina</t>
        </is>
      </c>
      <c r="D13" s="7" t="inlineStr">
        <is>
          <t>Comunidad Campesina de Chalaco - Trigopampa (según F-DS-03)</t>
        </is>
      </c>
      <c r="E13" s="8" t="n"/>
      <c r="F13" s="8" t="n"/>
    </row>
    <row r="14">
      <c r="A14" s="6" t="inlineStr">
        <is>
          <t>Superficie de catálogo (V5/V6), ha</t>
        </is>
      </c>
      <c r="B14" s="7" t="n">
        <v>13.55</v>
      </c>
      <c r="C14" s="6" t="inlineStr">
        <is>
          <t>Fuente de superficie</t>
        </is>
      </c>
      <c r="D14" s="7" t="inlineStr">
        <is>
          <t>Catálogo maestro Bloques V5/V6</t>
        </is>
      </c>
      <c r="E14" s="8" t="n"/>
      <c r="F14" s="8" t="n"/>
    </row>
    <row r="15">
      <c r="A15" s="6" t="inlineStr">
        <is>
          <t>Centroide UTM ESTE (m)</t>
        </is>
      </c>
      <c r="B15" s="7" t="n">
        <v>631195</v>
      </c>
      <c r="C15" s="6" t="inlineStr">
        <is>
          <t>Centroide UTM NORTE (m)</t>
        </is>
      </c>
      <c r="D15" s="7" t="n">
        <v>9441777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2045</v>
      </c>
      <c r="C19" s="6" t="inlineStr">
        <is>
          <t>Altitud máxima (msnm)</t>
        </is>
      </c>
      <c r="D19" s="7" t="n">
        <v>2218</v>
      </c>
      <c r="E19" s="8" t="n"/>
      <c r="F19" s="8" t="n"/>
    </row>
    <row r="20">
      <c r="A20" s="6" t="inlineStr">
        <is>
          <t>Amplitud altitudinal (m)</t>
        </is>
      </c>
      <c r="B20" s="7" t="n">
        <v>173</v>
      </c>
      <c r="C20" s="6" t="inlineStr">
        <is>
          <t>Piso altitudinal dominante</t>
        </is>
      </c>
      <c r="D20" s="7" t="inlineStr">
        <is>
          <t>2000-2500 m (Quechua alta)</t>
        </is>
      </c>
      <c r="E20" s="8" t="n"/>
      <c r="F20" s="8" t="n"/>
    </row>
    <row r="21">
      <c r="A21" s="6" t="inlineStr">
        <is>
          <t>Pendiente promedio (%)</t>
        </is>
      </c>
      <c r="B21" s="7" t="n">
        <v>29.85</v>
      </c>
      <c r="C21" s="6" t="inlineStr">
        <is>
          <t>Pendiente promedio (grados)</t>
        </is>
      </c>
      <c r="D21" s="7" t="n">
        <v>16.6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0.6147</v>
      </c>
      <c r="C28" s="6" t="inlineStr">
        <is>
          <t>MSAVI 2024 — clase de la media</t>
        </is>
      </c>
      <c r="D28" s="7" t="inlineStr">
        <is>
          <t>&gt; 0.6139 (Vigor alto)</t>
        </is>
      </c>
      <c r="E28" s="8" t="n"/>
      <c r="F28" s="8" t="n"/>
    </row>
    <row r="29">
      <c r="A29" s="6" t="inlineStr">
        <is>
          <t>Condición frente al umbral 0.4976</t>
        </is>
      </c>
      <c r="B29" s="7" t="inlineStr">
        <is>
          <t>Sobre umbral · distribución areal: 17.51 % del bloque BAJO el umbral (2.373 ha de 13.550 ha)</t>
        </is>
      </c>
      <c r="C29" s="6" t="inlineStr">
        <is>
          <t>NDVI mediana 2025 — clase modal</t>
        </is>
      </c>
      <c r="D29" s="7" t="inlineStr">
        <is>
          <t>Vegetación alta (86.57 %)</t>
        </is>
      </c>
      <c r="E29" s="8" t="n"/>
      <c r="F29" s="8" t="n"/>
    </row>
    <row r="30">
      <c r="A30" s="6" t="inlineStr">
        <is>
          <t>MSAVI 2024 — superficie BAJO el umbral 0.4976 (ha)</t>
        </is>
      </c>
      <c r="B30" s="7" t="n">
        <v>2.373</v>
      </c>
      <c r="C30" s="6" t="inlineStr">
        <is>
          <t>MSAVI 2024 — % del bloque BAJO el umbral</t>
        </is>
      </c>
      <c r="D30" s="7" t="n">
        <v>17.51</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(MSAVI Bloque 59.png)</t>
        </is>
      </c>
      <c r="E31" s="8" t="n"/>
      <c r="F31" s="8" t="n"/>
    </row>
    <row r="32" ht="18" customHeight="1">
      <c r="A32" s="6" t="inlineStr">
        <is>
          <t>Superficie clasificada NDVI 2025 (ha)</t>
        </is>
      </c>
      <c r="B32" s="7" t="n">
        <v>13.559</v>
      </c>
      <c r="C32" s="6" t="inlineStr">
        <is>
          <t>Desviación frente al catálogo (%)</t>
        </is>
      </c>
      <c r="D32" s="7" t="n">
        <v>0.07000000000000001</v>
      </c>
      <c r="E32" s="8" t="n"/>
      <c r="F32" s="8" t="n"/>
    </row>
    <row r="33"/>
    <row r="34">
      <c r="A34" s="5" t="inlineStr">
        <is>
          <t>4. ECOSISTEMA Y ESTADO DE CONSERVACIÓN</t>
        </is>
      </c>
    </row>
    <row r="35">
      <c r="A35" s="6" t="inlineStr">
        <is>
          <t>Tipo de ecosistema (UP)</t>
        </is>
      </c>
      <c r="B35" s="7" t="inlineStr">
        <is>
          <t>Bosque Relicto Montano de Vertiente Occidental (BMVO)</t>
        </is>
      </c>
      <c r="C35" s="6" t="inlineStr">
        <is>
          <t>Superficie de ecosistema (ha)</t>
        </is>
      </c>
      <c r="D35" s="7" t="inlineStr">
        <is>
          <t>13.554 ha totales — Br-mvoc 8.127 ha (60.0%); Zona agrícola 5.427 ha (40.0%)</t>
        </is>
      </c>
      <c r="E35" s="8" t="n"/>
      <c r="F35" s="8" t="n"/>
    </row>
    <row r="36">
      <c r="A36" s="6" t="inlineStr">
        <is>
          <t>Estado de conservación</t>
        </is>
      </c>
      <c r="B36" s="7" t="inlineStr">
        <is>
          <t>Alterado (intervención marcada)</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65</v>
      </c>
      <c r="E37" s="8" t="n"/>
      <c r="F37" s="8" t="n"/>
    </row>
    <row r="38">
      <c r="A38" s="6" t="inlineStr">
        <is>
          <t>Suelo desnudo — campo (%)</t>
        </is>
      </c>
      <c r="B38" s="7" t="n">
        <v>20</v>
      </c>
      <c r="C38" s="6" t="inlineStr">
        <is>
          <t>Regeneración natural</t>
        </is>
      </c>
      <c r="D38" s="7" t="inlineStr">
        <is>
          <t>Por determinar</t>
        </is>
      </c>
      <c r="E38" s="8" t="n"/>
      <c r="F38" s="8" t="n"/>
    </row>
    <row r="39">
      <c r="A39" s="6" t="inlineStr">
        <is>
          <t>Nivel general de erosión</t>
        </is>
      </c>
      <c r="B39" s="7" t="inlineStr">
        <is>
          <t>Severa (cárcavas activas)</t>
        </is>
      </c>
      <c r="C39" s="6" t="inlineStr">
        <is>
          <t>N.° de cárcavas registradas</t>
        </is>
      </c>
      <c r="D39" s="7" t="n">
        <v>5</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 Cahuas Miller — ANIN/DIME-SESDI</t>
        </is>
      </c>
      <c r="C43" s="6" t="inlineStr">
        <is>
          <t>Fecha de evaluación</t>
        </is>
      </c>
      <c r="D43" s="7" t="inlineStr">
        <is>
          <t>2026-07-01</t>
        </is>
      </c>
      <c r="E43" s="8" t="n"/>
      <c r="F43" s="8" t="n"/>
    </row>
    <row r="44">
      <c r="A44" s="6" t="inlineStr">
        <is>
          <t>Hora de registro</t>
        </is>
      </c>
      <c r="B44" s="7" t="inlineStr">
        <is>
          <t>12:27 - 12:42 h</t>
        </is>
      </c>
      <c r="C44" s="6" t="inlineStr">
        <is>
          <t>Correlativo de ficha</t>
        </is>
      </c>
      <c r="D44" s="7" t="inlineStr">
        <is>
          <t>F-DT-01 / B59</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de reconocimiento (sin parcela permanente)</t>
        </is>
      </c>
      <c r="E46" s="8" t="n"/>
      <c r="F46" s="8" t="n"/>
    </row>
    <row r="47" ht="18" customHeight="1">
      <c r="A47" s="6" t="inlineStr">
        <is>
          <t>Estaciones fotográficas georreferenciadas</t>
        </is>
      </c>
      <c r="B47" s="7" t="n">
        <v>0</v>
      </c>
      <c r="C47" s="6" t="inlineStr">
        <is>
          <t>Modalidad de acceso</t>
        </is>
      </c>
      <c r="D47" s="7" t="inlineStr">
        <is>
          <t>Vehicular 4x4 hasta el bloque</t>
        </is>
      </c>
      <c r="E47" s="8" t="n"/>
      <c r="F47" s="8" t="n"/>
    </row>
    <row r="48"/>
    <row r="49">
      <c r="A49" s="5" t="inlineStr">
        <is>
          <t>6. SÍNTESIS PARA LA GESTIÓN DEL RIESGO EN CONTEXTO DE CAMBIO CLIMÁTICO</t>
        </is>
      </c>
    </row>
    <row r="50">
      <c r="A50" s="6" t="inlineStr">
        <is>
          <t>Causa subyacente principal</t>
        </is>
      </c>
      <c r="B50" s="7" t="inlineStr">
        <is>
          <t>Presión de infraestructura vial y extracción de material de préstamo sobre litología friable, sin obras de estabilización</t>
        </is>
      </c>
      <c r="C50" s="6" t="inlineStr">
        <is>
          <t>Velocidad de degradación</t>
        </is>
      </c>
      <c r="D50" s="7" t="inlineStr">
        <is>
          <t>Rápida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Alta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6.5298</v>
      </c>
      <c r="C10" s="31" t="n">
        <v>48.19</v>
      </c>
      <c r="D10" s="12" t="inlineStr">
        <is>
          <t>Vigor alto</t>
        </is>
      </c>
      <c r="E10" s="12" t="inlineStr">
        <is>
          <t>Sobre umbral</t>
        </is>
      </c>
    </row>
    <row r="11">
      <c r="A11" s="13" t="inlineStr">
        <is>
          <t>0.4976 - 0.6139</t>
        </is>
      </c>
      <c r="B11" s="20" t="n">
        <v>4.6476</v>
      </c>
      <c r="C11" s="21" t="n">
        <v>34.3</v>
      </c>
      <c r="D11" s="14" t="inlineStr">
        <is>
          <t>Vigor moderado</t>
        </is>
      </c>
      <c r="E11" s="14" t="inlineStr">
        <is>
          <t>Sobre umbral</t>
        </is>
      </c>
    </row>
    <row r="12">
      <c r="A12" s="7" t="inlineStr">
        <is>
          <t>0.3813 - 0.4976</t>
        </is>
      </c>
      <c r="B12" s="18" t="n">
        <v>1.2019</v>
      </c>
      <c r="C12" s="19" t="n">
        <v>8.869999999999999</v>
      </c>
      <c r="D12" s="15" t="inlineStr">
        <is>
          <t>Vigor bajo</t>
        </is>
      </c>
      <c r="E12" s="15" t="inlineStr">
        <is>
          <t>BAJO umbral 0.4976</t>
        </is>
      </c>
    </row>
    <row r="13">
      <c r="A13" s="13" t="inlineStr">
        <is>
          <t>0.2650 - 0.3813</t>
        </is>
      </c>
      <c r="B13" s="20" t="n">
        <v>0.5623</v>
      </c>
      <c r="C13" s="21" t="n">
        <v>4.15</v>
      </c>
      <c r="D13" s="14" t="inlineStr">
        <is>
          <t>Vigor muy bajo</t>
        </is>
      </c>
      <c r="E13" s="14" t="inlineStr">
        <is>
          <t>BAJO umbral 0.4976</t>
        </is>
      </c>
    </row>
    <row r="14">
      <c r="A14" s="7" t="inlineStr">
        <is>
          <t>&lt;= 0.2650</t>
        </is>
      </c>
      <c r="B14" s="18" t="n">
        <v>0.6084000000000001</v>
      </c>
      <c r="C14" s="19" t="n">
        <v>4.49</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0.614739</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11.7374</v>
      </c>
      <c r="C22" s="19" t="n">
        <v>86.56999999999999</v>
      </c>
      <c r="D22" s="15" t="inlineStr">
        <is>
          <t>Dosel continuo, matorral denso o mosaico agroforestal</t>
        </is>
      </c>
      <c r="E22" s="15" t="inlineStr"/>
    </row>
    <row r="23">
      <c r="A23" s="13" t="inlineStr">
        <is>
          <t>Vegetación mediana</t>
        </is>
      </c>
      <c r="B23" s="20" t="n">
        <v>1.0689</v>
      </c>
      <c r="C23" s="21" t="n">
        <v>7.88</v>
      </c>
      <c r="D23" s="14" t="inlineStr">
        <is>
          <t>Pastizal cultivado, matorral ralo, parcelas agrícolas</t>
        </is>
      </c>
      <c r="E23" s="14" t="inlineStr"/>
    </row>
    <row r="24">
      <c r="A24" s="7" t="inlineStr">
        <is>
          <t>Vegetación ligera</t>
        </is>
      </c>
      <c r="B24" s="18" t="n">
        <v>0.5152</v>
      </c>
      <c r="C24" s="19" t="n">
        <v>3.8</v>
      </c>
      <c r="D24" s="15" t="inlineStr">
        <is>
          <t>Cobertura discontinua, suelo parcialmente expuesto</t>
        </is>
      </c>
      <c r="E24" s="15" t="inlineStr"/>
    </row>
    <row r="25">
      <c r="A25" s="13" t="inlineStr">
        <is>
          <t>Tierra desnuda</t>
        </is>
      </c>
      <c r="B25" s="20" t="n">
        <v>0.2375</v>
      </c>
      <c r="C25" s="21" t="n">
        <v>1.75</v>
      </c>
      <c r="D25" s="14" t="inlineStr">
        <is>
          <t>Suelo desnudo, afloramientos, plataformas y taludes</t>
        </is>
      </c>
      <c r="E25" s="14" t="inlineStr"/>
    </row>
    <row r="26">
      <c r="A26" s="16" t="inlineStr">
        <is>
          <t>TOTAL CLASIFICADO</t>
        </is>
      </c>
      <c r="B26" s="22">
        <f>SUM(B21:B24)</f>
        <v/>
      </c>
      <c r="C26" s="23">
        <f>SUM(C21:C24)</f>
        <v/>
      </c>
      <c r="D26" s="17" t="inlineStr"/>
      <c r="E26" s="17" t="inlineStr"/>
    </row>
    <row r="27">
      <c r="A27" s="24" t="inlineStr">
        <is>
          <t>Superficie de catálogo (V5/V6)</t>
        </is>
      </c>
      <c r="B27" s="25" t="n">
        <v>13.55</v>
      </c>
      <c r="C27" s="25" t="inlineStr">
        <is>
          <t>—</t>
        </is>
      </c>
      <c r="D27" s="25" t="inlineStr">
        <is>
          <t>Desviación planimétrica frente al catálogo</t>
        </is>
      </c>
      <c r="E27" s="25" t="inlineStr">
        <is>
          <t>+0.07 %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86.57 % del polígono clasificado como «Vegetación alta» por el NDVI 2025; la observación de campo corresponde a una parcela o recorrido puntual y no es estadísticamente representativa de las 13.550 ha del bloque.</t>
        </is>
      </c>
      <c r="B29" s="38" t="n"/>
      <c r="C29" s="38" t="n"/>
      <c r="D29" s="38" t="n"/>
      <c r="E29" s="39"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59</t>
        </is>
      </c>
    </row>
    <row r="6" ht="24" customHeight="1">
      <c r="A6" s="4" t="inlineStr">
        <is>
          <t>Levantamiento del 2026-07-01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631232</v>
      </c>
      <c r="D10" s="26" t="n">
        <v>9441709</v>
      </c>
      <c r="E10" s="15" t="n">
        <v>77.40000000000001</v>
      </c>
      <c r="F10" s="15" t="inlineStr"/>
      <c r="G10" s="15" t="inlineStr">
        <is>
          <t>Coordenada consignada en F-DT-01</t>
        </is>
      </c>
    </row>
    <row r="11">
      <c r="A11" s="13" t="inlineStr">
        <is>
          <t>C-01</t>
        </is>
      </c>
      <c r="B11" s="14" t="inlineStr">
        <is>
          <t>Rasgo erosivo — Cárcava profunda (&gt;2 m)</t>
        </is>
      </c>
      <c r="C11" s="27" t="n">
        <v>631253</v>
      </c>
      <c r="D11" s="27" t="n">
        <v>9441731</v>
      </c>
      <c r="E11" s="14" t="n">
        <v>74</v>
      </c>
      <c r="F11" s="14" t="inlineStr">
        <is>
          <t>Activa</t>
        </is>
      </c>
      <c r="G11" s="14" t="inlineStr">
        <is>
          <t>Concentración natural de escorrentía</t>
        </is>
      </c>
    </row>
    <row r="12">
      <c r="A12" s="7" t="inlineStr">
        <is>
          <t>C-02</t>
        </is>
      </c>
      <c r="B12" s="15" t="inlineStr">
        <is>
          <t>Rasgo erosivo — Surco (&lt;30 cm)</t>
        </is>
      </c>
      <c r="C12" s="26" t="n">
        <v>631235</v>
      </c>
      <c r="D12" s="26" t="n">
        <v>9441625</v>
      </c>
      <c r="E12" s="15" t="n">
        <v>157.2</v>
      </c>
      <c r="F12" s="15" t="inlineStr">
        <is>
          <t>Activa</t>
        </is>
      </c>
      <c r="G12" s="15" t="inlineStr">
        <is>
          <t>Concentración natural de escorrentía</t>
        </is>
      </c>
    </row>
    <row r="13">
      <c r="A13" s="13" t="inlineStr">
        <is>
          <t>C-03</t>
        </is>
      </c>
      <c r="B13" s="14" t="inlineStr">
        <is>
          <t>Rasgo erosivo — Cárcava somera (0.5-2 m)</t>
        </is>
      </c>
      <c r="C13" s="27" t="n">
        <v>631229</v>
      </c>
      <c r="D13" s="27" t="n">
        <v>9441787</v>
      </c>
      <c r="E13" s="14" t="n">
        <v>35.4</v>
      </c>
      <c r="F13" s="14" t="inlineStr">
        <is>
          <t>Activa</t>
        </is>
      </c>
      <c r="G13" s="14" t="inlineStr">
        <is>
          <t>Otro (talud de corte de vía)</t>
        </is>
      </c>
    </row>
    <row r="14">
      <c r="A14" s="7" t="inlineStr">
        <is>
          <t>C-04</t>
        </is>
      </c>
      <c r="B14" s="15" t="inlineStr">
        <is>
          <t>Rasgo erosivo — Cárcava muy profunda</t>
        </is>
      </c>
      <c r="C14" s="26" t="n">
        <v>631272</v>
      </c>
      <c r="D14" s="26" t="n">
        <v>9441758</v>
      </c>
      <c r="E14" s="15" t="n">
        <v>79.3</v>
      </c>
      <c r="F14" s="15" t="inlineStr">
        <is>
          <t>Activa</t>
        </is>
      </c>
      <c r="G14" s="15" t="inlineStr">
        <is>
          <t>Otro (escarpe de deslizamiento)</t>
        </is>
      </c>
    </row>
    <row r="15">
      <c r="A15" s="13" t="inlineStr">
        <is>
          <t>C-05</t>
        </is>
      </c>
      <c r="B15" s="14" t="inlineStr">
        <is>
          <t>Rasgo erosivo — Cárcava incipiente</t>
        </is>
      </c>
      <c r="C15" s="27" t="n">
        <v>631016</v>
      </c>
      <c r="D15" s="27" t="n">
        <v>9441897</v>
      </c>
      <c r="E15" s="14" t="n">
        <v>215.5</v>
      </c>
      <c r="F15" s="14" t="inlineStr">
        <is>
          <t>Activa</t>
        </is>
      </c>
      <c r="G15" s="14" t="inlineStr">
        <is>
          <t>Sobrepastoreo</t>
        </is>
      </c>
    </row>
    <row r="16">
      <c r="A16" s="7" t="inlineStr">
        <is>
          <t>H-01</t>
        </is>
      </c>
      <c r="B16" s="15" t="inlineStr">
        <is>
          <t>Fuente de agua — Quebrada estacional</t>
        </is>
      </c>
      <c r="C16" s="26" t="n">
        <v>631100</v>
      </c>
      <c r="D16" s="26" t="n">
        <v>9441500</v>
      </c>
      <c r="E16" s="15" t="n">
        <v>292.8</v>
      </c>
      <c r="F16" s="15" t="inlineStr">
        <is>
          <t>Estacional</t>
        </is>
      </c>
      <c r="G16" s="15" t="inlineStr">
        <is>
          <t>Quebrada tributaria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631195</v>
      </c>
      <c r="C19" s="6" t="inlineStr">
        <is>
          <t>Centroide del bloque — UTM NORTE (m)</t>
        </is>
      </c>
      <c r="D19" s="7" t="n">
        <v>9441777</v>
      </c>
      <c r="E19" s="8" t="n"/>
      <c r="F19" s="8" t="n"/>
      <c r="G19" s="8" t="n"/>
      <c r="H19" s="8" t="n"/>
    </row>
    <row r="20">
      <c r="A20" s="6" t="inlineStr">
        <is>
          <t>N.° de estaciones fotográficas declaradas</t>
        </is>
      </c>
      <c r="B20" s="7" t="n">
        <v>0</v>
      </c>
      <c r="C20" s="6" t="inlineStr">
        <is>
          <t>Estaciones dentro del polígono</t>
        </is>
      </c>
      <c r="D20" s="7" t="n">
        <v>0</v>
      </c>
      <c r="E20" s="8" t="n"/>
      <c r="F20" s="8" t="n"/>
      <c r="G20" s="8" t="n"/>
      <c r="H20" s="8" t="n"/>
    </row>
    <row r="22" ht="144"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Centroide oficial del bloque: 631 195 E · 9 441 777 N (Bloques_V5). Superficie 13.554 ha. Rango altitudinal tomado del perfil de elevación Google Earth (2 045-2 173 msnm; media 2 104); la ALTITUD GPS instrumental NO fue registrada. Pendiente: perfil reporta media 30.6% y máxima 45.4%, consistente con el rango 25-50%. DISCREPANCIA DOCUMENTADA: la herramienta Regla reporta 359.30 m planimétricos mientras el perfil de elevación reporta 418 m (longitud 3D); ambos se conservan sin corregir. Exposición Suroeste: JUICIO EXPERTO derivado del perfil; requiere confirmación con DEM. Afloramientos: sustrato areno-limoso/arenisca poco consolidada expuesta en taludes y cantera. Remociones en masa activas: SÍ, deslizamiento sobre cerco perimétrico y escarpes frescos.</t>
        </is>
      </c>
      <c r="B22" s="38" t="n"/>
      <c r="C22" s="38" t="n"/>
      <c r="D22" s="38" t="n"/>
      <c r="E22" s="38" t="n"/>
      <c r="F22" s="38" t="n"/>
      <c r="G22" s="39"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59</t>
        </is>
      </c>
    </row>
    <row r="6" ht="24" customHeight="1">
      <c r="A6" s="4" t="inlineStr">
        <is>
          <t>Distrito de Chalaco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8" t="n">
        <v>119.54</v>
      </c>
      <c r="C10" s="19" t="n">
        <v>14</v>
      </c>
      <c r="D10" s="15" t="inlineStr">
        <is>
          <t>672 – 2244</t>
        </is>
      </c>
      <c r="E10" s="15" t="n">
        <v>1572</v>
      </c>
      <c r="F10" s="15" t="n">
        <v>27.41</v>
      </c>
      <c r="G10" s="18" t="n">
        <v>0.7067</v>
      </c>
      <c r="H10" s="19" t="n">
        <v>99.93000000000001</v>
      </c>
    </row>
    <row r="11">
      <c r="A11" s="13" t="inlineStr">
        <is>
          <t>11</t>
        </is>
      </c>
      <c r="B11" s="29" t="n">
        <v>103.95</v>
      </c>
      <c r="C11" s="21" t="n">
        <v>12.17</v>
      </c>
      <c r="D11" s="14" t="inlineStr">
        <is>
          <t>1375 – 1928</t>
        </is>
      </c>
      <c r="E11" s="14" t="n">
        <v>553</v>
      </c>
      <c r="F11" s="14" t="n">
        <v>32.19</v>
      </c>
      <c r="G11" s="20" t="n">
        <v>0.6047</v>
      </c>
      <c r="H11" s="21" t="n">
        <v>75.28</v>
      </c>
    </row>
    <row r="12">
      <c r="A12" s="7" t="inlineStr">
        <is>
          <t>17</t>
        </is>
      </c>
      <c r="B12" s="28" t="n">
        <v>96.08</v>
      </c>
      <c r="C12" s="19" t="n">
        <v>11.25</v>
      </c>
      <c r="D12" s="15" t="inlineStr">
        <is>
          <t>1253 – 1880</t>
        </is>
      </c>
      <c r="E12" s="15" t="n">
        <v>627</v>
      </c>
      <c r="F12" s="15" t="n">
        <v>35.56</v>
      </c>
      <c r="G12" s="18" t="n">
        <v>0.6479</v>
      </c>
      <c r="H12" s="19" t="n">
        <v>88.68000000000001</v>
      </c>
    </row>
    <row r="13">
      <c r="A13" s="13" t="inlineStr">
        <is>
          <t>14</t>
        </is>
      </c>
      <c r="B13" s="29" t="n">
        <v>92.90000000000001</v>
      </c>
      <c r="C13" s="21" t="n">
        <v>10.88</v>
      </c>
      <c r="D13" s="14" t="inlineStr">
        <is>
          <t>87 – 1355</t>
        </is>
      </c>
      <c r="E13" s="14" t="n">
        <v>1268</v>
      </c>
      <c r="F13" s="14" t="n">
        <v>23.75</v>
      </c>
      <c r="G13" s="20" t="n">
        <v>0.5197000000000001</v>
      </c>
      <c r="H13" s="21" t="n">
        <v>58.89</v>
      </c>
    </row>
    <row r="14">
      <c r="A14" s="7" t="inlineStr">
        <is>
          <t>15</t>
        </is>
      </c>
      <c r="B14" s="28" t="n">
        <v>86.15000000000001</v>
      </c>
      <c r="C14" s="19" t="n">
        <v>10.09</v>
      </c>
      <c r="D14" s="15" t="inlineStr">
        <is>
          <t>1199 – 1655</t>
        </is>
      </c>
      <c r="E14" s="15" t="n">
        <v>456</v>
      </c>
      <c r="F14" s="15" t="n">
        <v>26.19</v>
      </c>
      <c r="G14" s="18" t="n">
        <v>0.5605</v>
      </c>
      <c r="H14" s="19" t="n">
        <v>56.47</v>
      </c>
    </row>
    <row r="15">
      <c r="A15" s="13" t="inlineStr">
        <is>
          <t>23</t>
        </is>
      </c>
      <c r="B15" s="29" t="n">
        <v>81.78</v>
      </c>
      <c r="C15" s="21" t="n">
        <v>9.58</v>
      </c>
      <c r="D15" s="14" t="inlineStr">
        <is>
          <t>521 – 973</t>
        </is>
      </c>
      <c r="E15" s="14" t="n">
        <v>452</v>
      </c>
      <c r="F15" s="14" t="n">
        <v>35.28</v>
      </c>
      <c r="G15" s="20" t="n">
        <v>0.5731000000000001</v>
      </c>
      <c r="H15" s="21" t="n">
        <v>47.99</v>
      </c>
    </row>
    <row r="16">
      <c r="A16" s="7" t="inlineStr">
        <is>
          <t>42</t>
        </is>
      </c>
      <c r="B16" s="28" t="n">
        <v>80.62</v>
      </c>
      <c r="C16" s="19" t="n">
        <v>9.44</v>
      </c>
      <c r="D16" s="15" t="inlineStr">
        <is>
          <t>1131 – 1548</t>
        </is>
      </c>
      <c r="E16" s="15" t="n">
        <v>417</v>
      </c>
      <c r="F16" s="15" t="n">
        <v>27.86</v>
      </c>
      <c r="G16" s="18" t="n">
        <v>0.6348</v>
      </c>
      <c r="H16" s="19" t="n">
        <v>88.83</v>
      </c>
    </row>
    <row r="17">
      <c r="A17" s="13" t="inlineStr">
        <is>
          <t>M19B2</t>
        </is>
      </c>
      <c r="B17" s="29" t="n">
        <v>74.37</v>
      </c>
      <c r="C17" s="21" t="n">
        <v>8.710000000000001</v>
      </c>
      <c r="D17" s="14" t="inlineStr">
        <is>
          <t>203 – 523</t>
        </is>
      </c>
      <c r="E17" s="14" t="n">
        <v>320</v>
      </c>
      <c r="F17" s="14" t="n">
        <v>21.71</v>
      </c>
      <c r="G17" s="20" t="n">
        <v>0.4012</v>
      </c>
      <c r="H17" s="21" t="n">
        <v>1.28</v>
      </c>
    </row>
    <row r="18">
      <c r="A18" s="7" t="inlineStr">
        <is>
          <t>82</t>
        </is>
      </c>
      <c r="B18" s="28" t="n">
        <v>35.66</v>
      </c>
      <c r="C18" s="19" t="n">
        <v>4.18</v>
      </c>
      <c r="D18" s="15" t="inlineStr">
        <is>
          <t>1796 – 2098</t>
        </is>
      </c>
      <c r="E18" s="15" t="n">
        <v>302</v>
      </c>
      <c r="F18" s="15" t="n">
        <v>23.55</v>
      </c>
      <c r="G18" s="18" t="n">
        <v>0.6283</v>
      </c>
      <c r="H18" s="19" t="n">
        <v>90.06999999999999</v>
      </c>
    </row>
    <row r="19">
      <c r="A19" s="13" t="inlineStr">
        <is>
          <t>78</t>
        </is>
      </c>
      <c r="B19" s="29" t="n">
        <v>35.1</v>
      </c>
      <c r="C19" s="21" t="n">
        <v>4.11</v>
      </c>
      <c r="D19" s="14" t="inlineStr">
        <is>
          <t>1908 – 2236</t>
        </is>
      </c>
      <c r="E19" s="14" t="n">
        <v>328</v>
      </c>
      <c r="F19" s="14" t="n">
        <v>30.64</v>
      </c>
      <c r="G19" s="20" t="n">
        <v>0.7074</v>
      </c>
      <c r="H19" s="21" t="n">
        <v>89.33</v>
      </c>
    </row>
    <row r="20">
      <c r="A20" s="7" t="inlineStr">
        <is>
          <t>M19B7</t>
        </is>
      </c>
      <c r="B20" s="28" t="n">
        <v>34.17</v>
      </c>
      <c r="C20" s="19" t="n">
        <v>4</v>
      </c>
      <c r="D20" s="15" t="inlineStr">
        <is>
          <t>1213 – 1578</t>
        </is>
      </c>
      <c r="E20" s="15" t="n">
        <v>365</v>
      </c>
      <c r="F20" s="15" t="n">
        <v>28.15</v>
      </c>
      <c r="G20" s="18" t="n">
        <v>0.5919</v>
      </c>
      <c r="H20" s="19" t="n">
        <v>78.52</v>
      </c>
    </row>
    <row r="21">
      <c r="A21" s="11" t="inlineStr">
        <is>
          <t>► 59</t>
        </is>
      </c>
      <c r="B21" s="30" t="n">
        <v>13.55</v>
      </c>
      <c r="C21" s="31" t="n">
        <v>1.59</v>
      </c>
      <c r="D21" s="12" t="inlineStr">
        <is>
          <t>2045 – 2218</t>
        </is>
      </c>
      <c r="E21" s="12" t="n">
        <v>173</v>
      </c>
      <c r="F21" s="12" t="n">
        <v>29.85</v>
      </c>
      <c r="G21" s="32" t="n">
        <v>0.6147</v>
      </c>
      <c r="H21" s="3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59 ocupa el puesto 12 de 12 por superficie dentro de la microcuenca C1086-Q9570 (1.59 % de las 853.87 ha preliminares de la microcuenca). Su pendiente promedio (29.85 %, clase «25-50% (Mod. escarpado)») es la 8.ª más baja de 12 y se sitúa por encima del promedio de la microcuenca (28.51 %). Su MSAVI 2024 (0.6147) es el 6.º de 12 y queda por encima del promedio local (0.5993). Amplitud altitudinal del bloque: 173 m (2045–2218 msnm). El cuadro conserva todos los bloques catalogados en la microcuenca, incluidos los descartados en el tamizaje, para referencia del conjunto. Los bloques sin ficha DT figuran con sus parámetros de gabinete.</t>
        </is>
      </c>
      <c r="B24" s="38" t="n"/>
      <c r="C24" s="38" t="n"/>
      <c r="D24" s="38" t="n"/>
      <c r="E24" s="38" t="n"/>
      <c r="F24" s="38" t="n"/>
      <c r="G24" s="38" t="n"/>
      <c r="H24" s="39"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6" s="38" t="n"/>
      <c r="C26" s="38" t="n"/>
      <c r="D26" s="38" t="n"/>
      <c r="E26" s="38" t="n"/>
      <c r="F26" s="38" t="n"/>
      <c r="G26" s="38" t="n"/>
      <c r="H26" s="39" t="n"/>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77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(13.559 ha) coincide con la de catálogo (13.55 ha) dentro del ±2 % (+0.07 %)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65 % de cobertura vegetal en campo; el NDVI mediana 2025 clasifica 98.25 % del polígono en clases de vegetación</t>
        </is>
      </c>
      <c r="D13" s="12"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5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«Guabo (630 830 E · 9 441 637 N; 6 hab., INEI)»; el cruce INEI-Bloques V5 identifica 1 centro(s) poblado(s) en el bloque: GUABO</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F-DT-03</t>
        </is>
      </c>
      <c r="C18" s="34" t="inlineStr">
        <is>
          <t>Inventario florístico TRANSFERIDO POR ANALOGÍA del Bloque 57; no es levantamiento propio del bloque 59</t>
        </is>
      </c>
      <c r="D18" s="37" t="inlineStr">
        <is>
          <t>SUSTANTIVA</t>
        </is>
      </c>
      <c r="E18" s="34" t="inlineStr">
        <is>
          <t>Requiere verificación de campo y determinación botánica formal</t>
        </is>
      </c>
    </row>
    <row r="19" ht="48" customHeight="1">
      <c r="A19" s="36" t="inlineStr">
        <is>
          <t>D-10</t>
        </is>
      </c>
      <c r="B19" s="36" t="inlineStr">
        <is>
          <t>F-DT-01</t>
        </is>
      </c>
      <c r="C19" s="36" t="inlineStr">
        <is>
          <t>Regla (Ruta) reporta 359.30 m planimétricos vs. 418 m del perfil de elevación (longitud 3D)</t>
        </is>
      </c>
      <c r="D19" s="12" t="inlineStr">
        <is>
          <t>NO SUSTANTIVA</t>
        </is>
      </c>
      <c r="E19" s="36" t="inlineStr">
        <is>
          <t>Ambos valores se conservan sin corregir</t>
        </is>
      </c>
    </row>
    <row r="20" ht="48" customHeight="1">
      <c r="A20" s="34" t="inlineStr">
        <is>
          <t>D-11</t>
        </is>
      </c>
      <c r="B20" s="34" t="inlineStr">
        <is>
          <t>F-DT-01</t>
        </is>
      </c>
      <c r="C20" s="34" t="inlineStr">
        <is>
          <t>Altitud GPS instrumental NO registrada; rango altitudinal derivado del perfil Google Earth</t>
        </is>
      </c>
      <c r="D20" s="12" t="inlineStr">
        <is>
          <t>NO SUSTANTIVA</t>
        </is>
      </c>
      <c r="E20" s="34" t="inlineStr">
        <is>
          <t>Se complementa con el rango del MDE 2045-2218 msnm</t>
        </is>
      </c>
    </row>
    <row r="21" ht="48" customHeight="1">
      <c r="A21" s="36" t="inlineStr">
        <is>
          <t>D-12</t>
        </is>
      </c>
      <c r="B21" s="36" t="inlineStr">
        <is>
          <t>Plan de Ingreso</t>
        </is>
      </c>
      <c r="C21" s="36" t="inlineStr">
        <is>
          <t>Altitud = 0 msnm (captura por defecto del aplicativo)</t>
        </is>
      </c>
      <c r="D21" s="12" t="inlineStr">
        <is>
          <t>NO SUSTANTIVA</t>
        </is>
      </c>
      <c r="E21" s="36" t="inlineStr">
        <is>
          <t>Se sustituye por el rango del MDE</t>
        </is>
      </c>
    </row>
    <row r="22" ht="48" customHeight="1">
      <c r="A22" s="34" t="inlineStr">
        <is>
          <t>D-13</t>
        </is>
      </c>
      <c r="B22" s="34" t="inlineStr">
        <is>
          <t>F-DT-02</t>
        </is>
      </c>
      <c r="C22" s="34" t="inlineStr">
        <is>
          <t>Cantera de arena activa en 631 205 E · 9 441 786 N no clasificable en el formato de cárcavas</t>
        </is>
      </c>
      <c r="D22" s="37" t="inlineStr">
        <is>
          <t>SUSTANTIVA</t>
        </is>
      </c>
      <c r="E22" s="34" t="inlineStr">
        <is>
          <t>Fuente directa de aporte de sedimentos; incorporar como pasivo ambiental en el diseño de MRR-CCC</t>
        </is>
      </c>
    </row>
    <row r="23" ht="48" customHeight="1">
      <c r="A23" s="36" t="inlineStr">
        <is>
          <t>D-14</t>
        </is>
      </c>
      <c r="B23" s="36" t="inlineStr">
        <is>
          <t>F-DS-03</t>
        </is>
      </c>
      <c r="C23" s="36" t="inlineStr">
        <is>
          <t>La ficha social del C.P. Guabo consigna microcuenca C1076-Q9584 y UTM 631 195 · 9 441 780 (valores heredados de plantilla)</t>
        </is>
      </c>
      <c r="D23" s="12" t="inlineStr">
        <is>
          <t>NO SUSTANTIVA</t>
        </is>
      </c>
      <c r="E23" s="36" t="inlineStr">
        <is>
          <t>Se conserva la microcuenca del catálogo C1086-Q9570</t>
        </is>
      </c>
    </row>
    <row r="24">
      <c r="A24" s="36" t="inlineStr">
        <is>
          <t>D-15</t>
        </is>
      </c>
      <c r="B24" s="36" t="inlineStr">
        <is>
          <t>Distribución areal de clases MSAVI 2024</t>
        </is>
      </c>
      <c r="C24" s="36" t="inlineStr">
        <is>
          <t>La hoja «Cobertura MSAVI-NDVI» consignaba «Por determinar» en la distribución areal de clases MSAVI 2024; se incorpora el metrado por clase medido sobre la cartografía temática MSAVI 2024 del bloque: 17.51 % del bloque (2.373 ha) bajo el umbral 0.4976 y 82.49 % sobre el umbral; clase areal dominante «Vigor alto».</t>
        </is>
      </c>
      <c r="D24" s="12" t="inlineStr">
        <is>
          <t>CORREGIDO</t>
        </is>
      </c>
      <c r="E24"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5"/>
    <row r="26">
      <c r="A26" s="16" t="inlineStr">
        <is>
          <t>RESUMEN</t>
        </is>
      </c>
      <c r="B26" s="17" t="inlineStr">
        <is>
          <t>15 verificaciones</t>
        </is>
      </c>
      <c r="C26" s="17" t="inlineStr">
        <is>
          <t>CONFORME: 4 · NO SUSTANTIVA: 6 · SUSTANTIVA: 4 · CORREGIDO: 1</t>
        </is>
      </c>
      <c r="D26" s="17" t="inlineStr"/>
      <c r="E26" s="17" t="inlineStr"/>
    </row>
    <row r="27" ht="60" customHeight="1"/>
    <row r="28">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8" s="38" t="n"/>
      <c r="C28" s="38" t="n"/>
      <c r="D28" s="38" t="n"/>
      <c r="E28" s="39" t="n"/>
    </row>
  </sheetData>
  <mergeCells count="8">
    <mergeCell ref="A4:E4"/>
    <mergeCell ref="A2:E2"/>
    <mergeCell ref="A28:E28"/>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59 — IN Piura</dc:title>
  <dc:subject>Diagnóstico Territorial por bloque de intervención</dc:subject>
  <dcterms:created xsi:type="dcterms:W3CDTF">2026-09-08T03:39:56Z</dcterms:created>
  <dcterms:modified xsi:type="dcterms:W3CDTF">2026-09-09T14:49:43Z</dcterms:modified>
</cp:coreProperties>
</file>