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M6B2-1</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Buenos Aires</t>
        </is>
      </c>
      <c r="C13" s="6" t="inlineStr">
        <is>
          <t>Comunidad campesina</t>
        </is>
      </c>
      <c r="D13" s="7" t="inlineStr">
        <is>
          <t>No consignada</t>
        </is>
      </c>
      <c r="E13" s="8" t="n"/>
      <c r="F13" s="8" t="n"/>
    </row>
    <row r="14">
      <c r="A14" s="6" t="inlineStr">
        <is>
          <t>Superficie de catálogo (V5/V6), ha</t>
        </is>
      </c>
      <c r="B14" s="7" t="n">
        <v>514.36</v>
      </c>
      <c r="C14" s="6" t="inlineStr">
        <is>
          <t>Fuente de superficie</t>
        </is>
      </c>
      <c r="D14" s="7" t="inlineStr">
        <is>
          <t>Catálogo maestro Bloques V5/V6</t>
        </is>
      </c>
      <c r="E14" s="8" t="n"/>
      <c r="F14" s="8" t="n"/>
    </row>
    <row r="15">
      <c r="A15" s="6" t="inlineStr">
        <is>
          <t>Centroide UTM ESTE (m)</t>
        </is>
      </c>
      <c r="B15" s="7" t="n">
        <v>612864</v>
      </c>
      <c r="C15" s="6" t="inlineStr">
        <is>
          <t>Centroide UTM NORTE (m)</t>
        </is>
      </c>
      <c r="D15" s="7" t="n">
        <v>9413345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181</v>
      </c>
      <c r="C19" s="6" t="inlineStr">
        <is>
          <t>Altitud máxima (msnm)</t>
        </is>
      </c>
      <c r="D19" s="7" t="n">
        <v>504</v>
      </c>
      <c r="E19" s="8" t="n"/>
      <c r="F19" s="8" t="n"/>
    </row>
    <row r="20">
      <c r="A20" s="6" t="inlineStr">
        <is>
          <t>Amplitud altitudinal (m)</t>
        </is>
      </c>
      <c r="B20" s="7" t="n">
        <v>323</v>
      </c>
      <c r="C20" s="6" t="inlineStr">
        <is>
          <t>Piso altitudinal dominante</t>
        </is>
      </c>
      <c r="D20" s="7" t="inlineStr">
        <is>
          <t>&lt;1000 m (Yunga)</t>
        </is>
      </c>
      <c r="E20" s="8" t="n"/>
      <c r="F20" s="8" t="n"/>
    </row>
    <row r="21">
      <c r="A21" s="6" t="inlineStr">
        <is>
          <t>Pendiente promedio (%)</t>
        </is>
      </c>
      <c r="B21" s="7" t="n">
        <v>16.84</v>
      </c>
      <c r="C21" s="6" t="inlineStr">
        <is>
          <t>Pendiente promedio (grados)</t>
        </is>
      </c>
      <c r="D21" s="7" t="n">
        <v>9.6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0.3381</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98.98 % del bloque BAJO el umbral (509.113 ha de 514.360 ha)</t>
        </is>
      </c>
      <c r="C29" s="6" t="inlineStr">
        <is>
          <t>NDVI mediana 2025 — clase modal</t>
        </is>
      </c>
      <c r="D29" s="7" t="inlineStr">
        <is>
          <t>Vegetación ligera (60.21 %)</t>
        </is>
      </c>
      <c r="E29" s="8" t="n"/>
      <c r="F29" s="8" t="n"/>
    </row>
    <row r="30">
      <c r="A30" s="6" t="inlineStr">
        <is>
          <t>MSAVI 2024 — superficie BAJO el umbral 0.4976 (ha)</t>
        </is>
      </c>
      <c r="B30" s="7" t="n">
        <v>509.113</v>
      </c>
      <c r="C30" s="6" t="inlineStr">
        <is>
          <t>MSAVI 2024 — % del bloque BAJO el umbral</t>
        </is>
      </c>
      <c r="D30" s="7" t="n">
        <v>98.98</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M6B2-1.png)</t>
        </is>
      </c>
      <c r="E31" s="8" t="n"/>
      <c r="F31" s="8" t="n"/>
    </row>
    <row r="32" ht="18" customHeight="1">
      <c r="A32" s="6" t="inlineStr">
        <is>
          <t>Superficie clasificada NDVI 2025 (ha)</t>
        </is>
      </c>
      <c r="B32" s="7" t="n">
        <v>514.6079999999999</v>
      </c>
      <c r="C32" s="6" t="inlineStr">
        <is>
          <t>Desviación frente al catálogo (%)</t>
        </is>
      </c>
      <c r="D32" s="7" t="n">
        <v>0.05</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514.36 ha (100% del bloque)</t>
        </is>
      </c>
      <c r="E35" s="8" t="n"/>
      <c r="F35" s="8" t="n"/>
    </row>
    <row r="36">
      <c r="A36" s="6" t="inlineStr">
        <is>
          <t>Estado de conservación</t>
        </is>
      </c>
      <c r="B36" s="7" t="inlineStr">
        <is>
          <t>Medianamente alterado</t>
        </is>
      </c>
      <c r="C36" s="6" t="inlineStr">
        <is>
          <t>Uso actual dominante del suelo</t>
        </is>
      </c>
      <c r="D36" s="7" t="inlineStr">
        <is>
          <t>Pastoreo extensivo</t>
        </is>
      </c>
      <c r="E36" s="8" t="n"/>
      <c r="F36" s="8" t="n"/>
    </row>
    <row r="37">
      <c r="A37" s="6" t="inlineStr">
        <is>
          <t>Tipo de cobertura dominante</t>
        </is>
      </c>
      <c r="B37" s="7" t="inlineStr">
        <is>
          <t>Bosque denso (&gt;70%)</t>
        </is>
      </c>
      <c r="C37" s="6" t="inlineStr">
        <is>
          <t>Cobertura vegetal total — campo (%)</t>
        </is>
      </c>
      <c r="D37" s="7" t="inlineStr">
        <is>
          <t>Por verificar</t>
        </is>
      </c>
      <c r="E37" s="8" t="n"/>
      <c r="F37" s="8" t="n"/>
    </row>
    <row r="38">
      <c r="A38" s="6" t="inlineStr">
        <is>
          <t>Suelo desnudo — campo (%)</t>
        </is>
      </c>
      <c r="B38" s="7" t="n">
        <v>15</v>
      </c>
      <c r="C38" s="6" t="inlineStr">
        <is>
          <t>Regeneración natural</t>
        </is>
      </c>
      <c r="D38" s="7" t="inlineStr">
        <is>
          <t>Regular (10-50 pl./100m²)</t>
        </is>
      </c>
      <c r="E38" s="8" t="n"/>
      <c r="F38" s="8" t="n"/>
    </row>
    <row r="39">
      <c r="A39" s="6" t="inlineStr">
        <is>
          <t>Nivel general de erosión</t>
        </is>
      </c>
      <c r="B39" s="7" t="inlineStr">
        <is>
          <t>Ligera (laminar)</t>
        </is>
      </c>
      <c r="C39" s="6" t="inlineStr">
        <is>
          <t>N.° de cárcavas registradas</t>
        </is>
      </c>
      <c r="D39" s="7" t="n">
        <v>0</v>
      </c>
      <c r="E39" s="8" t="n"/>
      <c r="F39" s="8" t="n"/>
    </row>
    <row r="40" ht="18" customHeight="1">
      <c r="A40" s="6" t="inlineStr">
        <is>
          <t>Elenco florístico (n.° de taxones)</t>
        </is>
      </c>
      <c r="B40" s="7" t="n">
        <v>11</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Juan Carlos Domínguez Varas</t>
        </is>
      </c>
      <c r="C43" s="6" t="inlineStr">
        <is>
          <t>Fecha de evaluación</t>
        </is>
      </c>
      <c r="D43" s="7" t="inlineStr">
        <is>
          <t>2026-05-18</t>
        </is>
      </c>
      <c r="E43" s="8" t="n"/>
      <c r="F43" s="8" t="n"/>
    </row>
    <row r="44">
      <c r="A44" s="6" t="inlineStr">
        <is>
          <t>Hora de registro</t>
        </is>
      </c>
      <c r="B44" s="7" t="inlineStr">
        <is>
          <t>14:00 h</t>
        </is>
      </c>
      <c r="C44" s="6" t="inlineStr">
        <is>
          <t>Correlativo de ficha</t>
        </is>
      </c>
      <c r="D44" s="7" t="inlineStr">
        <is>
          <t>Por determinar</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P-01 (transecto 50 × 4 m)</t>
        </is>
      </c>
      <c r="E46" s="8" t="n"/>
      <c r="F46" s="8" t="n"/>
    </row>
    <row r="47" ht="18" customHeight="1">
      <c r="A47" s="6" t="inlineStr">
        <is>
          <t>Estaciones fotográficas georreferenciadas</t>
        </is>
      </c>
      <c r="B47" s="7" t="n">
        <v>0</v>
      </c>
      <c r="C47" s="6" t="inlineStr">
        <is>
          <t>Modalidad de acceso</t>
        </is>
      </c>
      <c r="D47" s="7" t="inlineStr">
        <is>
          <t>Vehicular + caminata 30-90 min</t>
        </is>
      </c>
      <c r="E47" s="8" t="n"/>
      <c r="F47" s="8" t="n"/>
    </row>
    <row r="48"/>
    <row r="49">
      <c r="A49" s="5" t="inlineStr">
        <is>
          <t>6. SÍNTESIS PARA LA GESTIÓN DEL RIESGO EN CONTEXTO DE CAMBIO CLIMÁTICO</t>
        </is>
      </c>
    </row>
    <row r="50">
      <c r="A50" s="6" t="inlineStr">
        <is>
          <t>Causa subyacente principal</t>
        </is>
      </c>
      <c r="B50" s="7" t="inlineStr">
        <is>
          <t>Pastoreo de ganado caprino</t>
        </is>
      </c>
      <c r="C50" s="6" t="inlineStr">
        <is>
          <t>Velocidad de degradación</t>
        </is>
      </c>
      <c r="D50" s="7" t="inlineStr">
        <is>
          <t>Lenta</t>
        </is>
      </c>
      <c r="E50" s="8" t="n"/>
      <c r="F50" s="8" t="n"/>
    </row>
    <row r="51">
      <c r="A51" s="6" t="inlineStr">
        <is>
          <t>Reversibilidad técnica</t>
        </is>
      </c>
      <c r="B51" s="7" t="inlineStr">
        <is>
          <t>Totalmente reversible</t>
        </is>
      </c>
      <c r="C51" s="6" t="inlineStr">
        <is>
          <t>Urgencia de intervención</t>
        </is>
      </c>
      <c r="D51" s="7" t="inlineStr">
        <is>
          <t>Baja</t>
        </is>
      </c>
      <c r="E51" s="8" t="n"/>
      <c r="F51" s="8" t="n"/>
    </row>
    <row r="52">
      <c r="A52" s="6" t="inlineStr">
        <is>
          <t>Urgencia de control de erosión</t>
        </is>
      </c>
      <c r="B52" s="7" t="inlineStr">
        <is>
          <t>Baja</t>
        </is>
      </c>
      <c r="C52" s="6" t="inlineStr">
        <is>
          <t>Zona de recarga hídrica</t>
        </is>
      </c>
      <c r="D52" s="7" t="inlineStr">
        <is>
          <t>Sin registro en ficha</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0.1543</v>
      </c>
      <c r="C10" s="19" t="n">
        <v>0.03</v>
      </c>
      <c r="D10" s="11" t="inlineStr">
        <is>
          <t>Vigor alto</t>
        </is>
      </c>
      <c r="E10" s="11" t="inlineStr">
        <is>
          <t>Sobre umbral</t>
        </is>
      </c>
    </row>
    <row r="11">
      <c r="A11" s="12" t="inlineStr">
        <is>
          <t>0.4976 - 0.6139</t>
        </is>
      </c>
      <c r="B11" s="20" t="n">
        <v>5.0922</v>
      </c>
      <c r="C11" s="21" t="n">
        <v>0.99</v>
      </c>
      <c r="D11" s="13" t="inlineStr">
        <is>
          <t>Vigor moderado</t>
        </is>
      </c>
      <c r="E11" s="13" t="inlineStr">
        <is>
          <t>Sobre umbral</t>
        </is>
      </c>
    </row>
    <row r="12">
      <c r="A12" s="7" t="inlineStr">
        <is>
          <t>0.3813 - 0.4976</t>
        </is>
      </c>
      <c r="B12" s="18" t="n">
        <v>113.6736</v>
      </c>
      <c r="C12" s="19" t="n">
        <v>22.1</v>
      </c>
      <c r="D12" s="11" t="inlineStr">
        <is>
          <t>Vigor bajo</t>
        </is>
      </c>
      <c r="E12" s="11" t="inlineStr">
        <is>
          <t>BAJO umbral 0.4976</t>
        </is>
      </c>
    </row>
    <row r="13">
      <c r="A13" s="14" t="inlineStr">
        <is>
          <t>0.2650 - 0.3813</t>
        </is>
      </c>
      <c r="B13" s="29" t="n">
        <v>333.0995</v>
      </c>
      <c r="C13" s="28" t="n">
        <v>64.76000000000001</v>
      </c>
      <c r="D13" s="15" t="inlineStr">
        <is>
          <t>Vigor muy bajo</t>
        </is>
      </c>
      <c r="E13" s="15" t="inlineStr">
        <is>
          <t>BAJO umbral 0.4976</t>
        </is>
      </c>
    </row>
    <row r="14">
      <c r="A14" s="7" t="inlineStr">
        <is>
          <t>&lt;= 0.2650</t>
        </is>
      </c>
      <c r="B14" s="18" t="n">
        <v>62.3404</v>
      </c>
      <c r="C14" s="19" t="n">
        <v>12.12</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0.3381</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5.036</v>
      </c>
      <c r="C22" s="19" t="n">
        <v>0.98</v>
      </c>
      <c r="D22" s="11" t="inlineStr">
        <is>
          <t>Dosel continuo, matorral denso o mosaico agroforestal</t>
        </is>
      </c>
      <c r="E22" s="11" t="inlineStr"/>
    </row>
    <row r="23">
      <c r="A23" s="12" t="inlineStr">
        <is>
          <t>Vegetación mediana</t>
        </is>
      </c>
      <c r="B23" s="20" t="n">
        <v>195.4763</v>
      </c>
      <c r="C23" s="21" t="n">
        <v>37.99</v>
      </c>
      <c r="D23" s="13" t="inlineStr">
        <is>
          <t>Pastizal cultivado, matorral ralo, parcelas agrícolas</t>
        </is>
      </c>
      <c r="E23" s="13" t="inlineStr"/>
    </row>
    <row r="24">
      <c r="A24" s="7" t="inlineStr">
        <is>
          <t>Vegetación ligera</t>
        </is>
      </c>
      <c r="B24" s="18" t="n">
        <v>309.8212</v>
      </c>
      <c r="C24" s="19" t="n">
        <v>60.21</v>
      </c>
      <c r="D24" s="11" t="inlineStr">
        <is>
          <t>Cobertura discontinua, suelo parcialmente expuesto</t>
        </is>
      </c>
      <c r="E24" s="11" t="inlineStr"/>
    </row>
    <row r="25">
      <c r="A25" s="12" t="inlineStr">
        <is>
          <t>Tierra desnuda</t>
        </is>
      </c>
      <c r="B25" s="20" t="n">
        <v>4.2744</v>
      </c>
      <c r="C25" s="21" t="n">
        <v>0.83</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514.36</v>
      </c>
      <c r="C27" s="25" t="inlineStr">
        <is>
          <t>—</t>
        </is>
      </c>
      <c r="D27" s="25" t="inlineStr">
        <is>
          <t>Desviación planimétrica frente al catálogo</t>
        </is>
      </c>
      <c r="E27" s="25" t="inlineStr">
        <is>
          <t>+0.05 %</t>
        </is>
      </c>
    </row>
    <row r="28" ht="72"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9" s="38" t="n"/>
      <c r="C29" s="38" t="n"/>
      <c r="D29" s="38" t="n"/>
      <c r="E29" s="39"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M6B2-1</t>
        </is>
      </c>
    </row>
    <row r="6" ht="24" customHeight="1">
      <c r="A6" s="4" t="inlineStr">
        <is>
          <t>Levantamiento del 2026-05-18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615428</v>
      </c>
      <c r="D10" s="26" t="n">
        <v>9416185</v>
      </c>
      <c r="E10" s="11" t="n">
        <v>3826.2</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612864</v>
      </c>
      <c r="C13" s="6" t="inlineStr">
        <is>
          <t>Centroide del bloque — UTM NORTE (m)</t>
        </is>
      </c>
      <c r="D13" s="7" t="n">
        <v>9413345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 MOMENTO DE LA EVALUACIÓN LA ACCESIBILIDAD AL BLOQUE ERA LIMITADA POR LA PRESENCIA DE TERRENOS DE CULTIVOS Y POTREROS DE PROPIETARIOS PRIVADOS. NO SE PUDO ACCEDER AL INTERIOR DEL BLOQUE. [Normalización para validación: el rango altitudinal 200-400 msnm reportado en campo se clasifica como «&lt;1000 m (Yunga)» según lst_RangoAltitud — verificar con el Ing. Cahuas.] ATENCIÓN: el punto de registro (615 428 E · 9 416 185 N) dista ≈3.8 km al NE del centroide de catálogo (612 864 E · 9 413 340 N).</t>
        </is>
      </c>
      <c r="B16" s="38" t="n"/>
      <c r="C16" s="38" t="n"/>
      <c r="D16" s="38" t="n"/>
      <c r="E16" s="38" t="n"/>
      <c r="F16" s="38" t="n"/>
      <c r="G16" s="39"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M6B2-1</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M6B2-1</t>
        </is>
      </c>
      <c r="B10" s="27" t="n">
        <v>514.36</v>
      </c>
      <c r="C10" s="28" t="n">
        <v>33.1</v>
      </c>
      <c r="D10" s="15" t="inlineStr">
        <is>
          <t>181 – 504</t>
        </is>
      </c>
      <c r="E10" s="15" t="n">
        <v>323</v>
      </c>
      <c r="F10" s="15" t="n">
        <v>16.84</v>
      </c>
      <c r="G10" s="29" t="n">
        <v>0.3381</v>
      </c>
      <c r="H10" s="28" t="n">
        <v>0.98</v>
      </c>
    </row>
    <row r="11">
      <c r="A11" s="12" t="inlineStr">
        <is>
          <t>M6B2-2</t>
        </is>
      </c>
      <c r="B11" s="30" t="n">
        <v>333.01</v>
      </c>
      <c r="C11" s="21" t="n">
        <v>21.43</v>
      </c>
      <c r="D11" s="13" t="inlineStr">
        <is>
          <t>195 – 440</t>
        </is>
      </c>
      <c r="E11" s="13" t="n">
        <v>245</v>
      </c>
      <c r="F11" s="13" t="n">
        <v>14.33</v>
      </c>
      <c r="G11" s="20" t="n">
        <v>0.3026</v>
      </c>
      <c r="H11" s="21" t="n">
        <v>0.68</v>
      </c>
    </row>
    <row r="12">
      <c r="A12" s="7" t="inlineStr">
        <is>
          <t>5</t>
        </is>
      </c>
      <c r="B12" s="31" t="n">
        <v>295.73</v>
      </c>
      <c r="C12" s="19" t="n">
        <v>19.03</v>
      </c>
      <c r="D12" s="11" t="inlineStr">
        <is>
          <t>150 – 377</t>
        </is>
      </c>
      <c r="E12" s="11" t="n">
        <v>227</v>
      </c>
      <c r="F12" s="11" t="n">
        <v>18.57</v>
      </c>
      <c r="G12" s="18" t="n">
        <v>0.3394</v>
      </c>
      <c r="H12" s="19" t="n">
        <v>5.59</v>
      </c>
    </row>
    <row r="13">
      <c r="A13" s="12" t="inlineStr">
        <is>
          <t>M6B10</t>
        </is>
      </c>
      <c r="B13" s="30" t="n">
        <v>249.89</v>
      </c>
      <c r="C13" s="21" t="n">
        <v>16.08</v>
      </c>
      <c r="D13" s="13" t="inlineStr">
        <is>
          <t>158 – 537</t>
        </is>
      </c>
      <c r="E13" s="13" t="n">
        <v>379</v>
      </c>
      <c r="F13" s="13" t="n">
        <v>20.6</v>
      </c>
      <c r="G13" s="20" t="n">
        <v>0.3099</v>
      </c>
      <c r="H13" s="21" t="n">
        <v>0.08</v>
      </c>
    </row>
    <row r="14">
      <c r="A14" s="7" t="inlineStr">
        <is>
          <t>M6B2-3</t>
        </is>
      </c>
      <c r="B14" s="31" t="n">
        <v>160.98</v>
      </c>
      <c r="C14" s="19" t="n">
        <v>10.36</v>
      </c>
      <c r="D14" s="11" t="inlineStr">
        <is>
          <t>166 – 557</t>
        </is>
      </c>
      <c r="E14" s="11" t="n">
        <v>391</v>
      </c>
      <c r="F14" s="11" t="n">
        <v>19.78</v>
      </c>
      <c r="G14" s="18" t="n">
        <v>0.4063</v>
      </c>
      <c r="H14" s="19" t="n">
        <v>4.92</v>
      </c>
    </row>
    <row r="15">
      <c r="A15" s="16" t="inlineStr">
        <is>
          <t>TOTAL / PROMEDIO</t>
        </is>
      </c>
      <c r="B15" s="32">
        <f>SUM(B10:B14)</f>
        <v/>
      </c>
      <c r="C15" s="23">
        <f>SUM(C10:C14)</f>
        <v/>
      </c>
      <c r="D15" s="17" t="inlineStr">
        <is>
          <t>150 – 557</t>
        </is>
      </c>
      <c r="E15" s="17" t="inlineStr"/>
      <c r="F15" s="17">
        <f>ROUND(AVERAGE(F10:F14),2)</f>
        <v/>
      </c>
      <c r="G15" s="22">
        <f>ROUND(AVERAGE(G10:G14),4)</f>
        <v/>
      </c>
      <c r="H15" s="23">
        <f>ROUND(AVERAGE(H10:H14),2)</f>
        <v/>
      </c>
    </row>
    <row r="17" ht="84" customHeight="1">
      <c r="A17" s="9" t="inlineStr">
        <is>
          <t>LECTURA INTRAMICROCUENCA. El bloque M6B2-1 ocupa el puesto 1 de 5 por superficie dentro de la microcuenca C1077-Q9566 (33.10 % de las 1553.97 ha preliminares de la microcuenca). Su pendiente promedio (16.84 %, clase «15-25% (Fuert. inclinado)») es la 2.ª más baja de 5 y se sitúa por debajo del promedio de la microcuenca (18.02 %). Su MSAVI 2024 (0.3381) es el 3.º de 5 y queda por debajo del promedio local (0.3393). Amplitud altitudinal del bloque: 323 m (181–504 msnm). El cuadro conserva todos los bloques catalogados en la microcuenca, incluidos los descartados en el tamizaje, para referencia del conjunto. Los bloques sin ficha DT figuran con sus parámetros de gabinete.</t>
        </is>
      </c>
      <c r="B17" s="38" t="n"/>
      <c r="C17" s="38" t="n"/>
      <c r="D17" s="38" t="n"/>
      <c r="E17" s="38" t="n"/>
      <c r="F17" s="38" t="n"/>
      <c r="G17" s="38" t="n"/>
      <c r="H17" s="39"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9" s="38" t="n"/>
      <c r="C19" s="38" t="n"/>
      <c r="D19" s="38" t="n"/>
      <c r="E19" s="38" t="n"/>
      <c r="F19" s="38" t="n"/>
      <c r="G19" s="38" t="n"/>
      <c r="H19" s="39" t="n"/>
    </row>
  </sheetData>
  <mergeCells count="9">
    <mergeCell ref="A1:H1"/>
    <mergeCell ref="A4:H4"/>
    <mergeCell ref="A3:H3"/>
    <mergeCell ref="A2:H2"/>
    <mergeCell ref="A19:H19"/>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M6B2-1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«C1077-Q9566»</t>
        </is>
      </c>
      <c r="D10" s="34" t="inlineStr">
        <is>
          <t>CONFORME</t>
        </is>
      </c>
      <c r="E10" s="33" t="inlineStr">
        <is>
          <t>Sin acción.</t>
        </is>
      </c>
    </row>
    <row r="11" ht="48" customHeight="1">
      <c r="A11" s="35" t="inlineStr">
        <is>
          <t>D-02</t>
        </is>
      </c>
      <c r="B11" s="35" t="inlineStr">
        <is>
          <t>UTM del punto de muestreo</t>
        </is>
      </c>
      <c r="C11" s="35" t="inlineStr">
        <is>
          <t>El punto de muestreo declarado (615428 E / 9416185 N) dista 3,826 m del centroide de catálogo (612864 E / 9413345 N), distancia incompatible con la superficie del bloque (514.36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(514.608 ha) coincide con la de catálogo (514.36 ha) dentro del ±2 % (+0.05 %)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16.84 %,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Elenco florístico</t>
        </is>
      </c>
      <c r="C14" s="33" t="inlineStr">
        <is>
          <t>La ficha registra 11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Peligro integrado (MCA-AHP)</t>
        </is>
      </c>
      <c r="C16" s="33" t="inlineStr">
        <is>
          <t>El nivel de peligro integrado no está disponible en los insumos de este entregable</t>
        </is>
      </c>
      <c r="D16" s="36" t="inlineStr">
        <is>
          <t>SUSTANTIVA</t>
        </is>
      </c>
      <c r="E16" s="33" t="inlineStr">
        <is>
          <t>Debe tomarse del modelamiento de mesolocalización (PMM + EPH + PGI ponderados por AHP) antes de fijar la prioridad definitiva de intervención del bloque.</t>
        </is>
      </c>
    </row>
    <row r="17" ht="48" customHeight="1">
      <c r="A17" s="35" t="inlineStr">
        <is>
          <t>D-08</t>
        </is>
      </c>
      <c r="B17" s="35" t="inlineStr">
        <is>
          <t>Plan de Ingreso</t>
        </is>
      </c>
      <c r="C17" s="35" t="inlineStr">
        <is>
          <t>Altitud = 0 msnm (captura por defecto del aplicativo)</t>
        </is>
      </c>
      <c r="D17" s="37" t="inlineStr">
        <is>
          <t>CORREGIDO</t>
        </is>
      </c>
      <c r="E17" s="35" t="inlineStr">
        <is>
          <t>Se reemplaza por la altitud GPS de campo (200 msnm)</t>
        </is>
      </c>
    </row>
    <row r="18" ht="48" customHeight="1">
      <c r="A18" s="33" t="inlineStr">
        <is>
          <t>D-09</t>
        </is>
      </c>
      <c r="B18" s="33" t="inlineStr">
        <is>
          <t>F-DT-01</t>
        </is>
      </c>
      <c r="C18" s="33" t="inlineStr">
        <is>
          <t>NO SE PUDO ACCEDER AL INTERIOR DEL BLOQUE por terrenos de cultivos y potreros de propietarios privados</t>
        </is>
      </c>
      <c r="D18" s="36" t="inlineStr">
        <is>
          <t>SUSTANTIVA</t>
        </is>
      </c>
      <c r="E18" s="33" t="inlineStr">
        <is>
          <t>Las 514.36 ha no fueron recorridas; gestión predial previa indispensable</t>
        </is>
      </c>
    </row>
    <row r="19" ht="48" customHeight="1">
      <c r="A19" s="35" t="inlineStr">
        <is>
          <t>D-10</t>
        </is>
      </c>
      <c r="B19" s="35" t="inlineStr">
        <is>
          <t>F-DT-01</t>
        </is>
      </c>
      <c r="C19" s="35" t="inlineStr">
        <is>
          <t>El punto de registro dista ≈3.8 km al NE del centroide de catálogo</t>
        </is>
      </c>
      <c r="D19" s="36" t="inlineStr">
        <is>
          <t>SUSTANTIVA</t>
        </is>
      </c>
      <c r="E19" s="35" t="inlineStr">
        <is>
          <t>Georreferencia por reponer</t>
        </is>
      </c>
    </row>
    <row r="20" ht="48" customHeight="1">
      <c r="A20" s="33" t="inlineStr">
        <is>
          <t>D-11</t>
        </is>
      </c>
      <c r="B20" s="33" t="inlineStr">
        <is>
          <t>F-DT-01</t>
        </is>
      </c>
      <c r="C20" s="33" t="inlineStr">
        <is>
          <t>Rango altitudinal reportado en campo (200-400 msnm) normalizado a la clase «&lt;1000 m (Yunga)»</t>
        </is>
      </c>
      <c r="D20" s="15" t="inlineStr">
        <is>
          <t>NO SUSTANTIVA</t>
        </is>
      </c>
      <c r="E20" s="33" t="inlineStr">
        <is>
          <t>Verificación pendiente con el Ing. Cahuas</t>
        </is>
      </c>
    </row>
    <row r="21" ht="48" customHeight="1">
      <c r="A21" s="35" t="inlineStr">
        <is>
          <t>D-12</t>
        </is>
      </c>
      <c r="B21" s="35" t="inlineStr">
        <is>
          <t>F-DT-03</t>
        </is>
      </c>
      <c r="C21" s="35" t="inlineStr">
        <is>
          <t>Inventario florístico sin familia, origen, abundancia, DAP ni altura; especies clave por levantar</t>
        </is>
      </c>
      <c r="D21" s="36" t="inlineStr">
        <is>
          <t>SUSTANTIVA</t>
        </is>
      </c>
      <c r="E21" s="35" t="inlineStr">
        <is>
          <t>Levantamiento pendiente</t>
        </is>
      </c>
    </row>
    <row r="22" ht="48" customHeight="1">
      <c r="A22" s="33" t="inlineStr">
        <is>
          <t>D-13</t>
        </is>
      </c>
      <c r="B22" s="33" t="inlineStr">
        <is>
          <t>F-DT-03</t>
        </is>
      </c>
      <c r="C22" s="33" t="inlineStr">
        <is>
          <t>Cobertura de dosel 70% y «Bosque denso (&gt;70%)» frente a estado «Medianamente alterado» y cobertura total «Por verificar»</t>
        </is>
      </c>
      <c r="D22" s="36" t="inlineStr">
        <is>
          <t>SUSTANTIVA</t>
        </is>
      </c>
      <c r="E22" s="33" t="inlineStr">
        <is>
          <t>Inconsistencia interna a resolver</t>
        </is>
      </c>
    </row>
    <row r="23" ht="48" customHeight="1">
      <c r="A23" s="35" t="inlineStr">
        <is>
          <t>D-14</t>
        </is>
      </c>
      <c r="B23" s="35" t="inlineStr">
        <is>
          <t>F-DT-04</t>
        </is>
      </c>
      <c r="C23" s="35" t="inlineStr">
        <is>
          <t>Ninguno de los 8 indicadores cuantitativos fue diligenciado; extensiones y antigüedades sin cuantificar</t>
        </is>
      </c>
      <c r="D23" s="36" t="inlineStr">
        <is>
          <t>SUSTANTIVA</t>
        </is>
      </c>
      <c r="E23" s="35" t="inlineStr">
        <is>
          <t>Cuantificación pendiente</t>
        </is>
      </c>
    </row>
    <row r="24" ht="48" customHeight="1">
      <c r="A24" s="33" t="inlineStr">
        <is>
          <t>D-15</t>
        </is>
      </c>
      <c r="B24" s="33" t="inlineStr">
        <is>
          <t>F-DT-05</t>
        </is>
      </c>
      <c r="C24" s="33" t="inlineStr">
        <is>
          <t>La ficha F-DT-05 del archivo de origen correspondía a OTRO bloque (M7B2) y no fue transferida</t>
        </is>
      </c>
      <c r="D24" s="36" t="inlineStr">
        <is>
          <t>SUSTANTIVA</t>
        </is>
      </c>
      <c r="E24" s="33" t="inlineStr">
        <is>
          <t>Aplicación correcta de la regla de no fabricación; levantamiento pendiente</t>
        </is>
      </c>
    </row>
    <row r="25">
      <c r="A25" s="33" t="inlineStr">
        <is>
          <t>D-16</t>
        </is>
      </c>
      <c r="B25" s="33" t="inlineStr">
        <is>
          <t>Distribución areal de clases MSAVI 2024</t>
        </is>
      </c>
      <c r="C25" s="33" t="inlineStr">
        <is>
          <t>La hoja «Cobertura MSAVI-NDVI» consignaba «Por determinar» en la distribución areal de clases MSAVI 2024; se incorpora el metrado por clase medido sobre la cartografía temática MSAVI 2024 del bloque: 98.98 % del bloque (509.113 ha) bajo el umbral 0.4976 y 1.02 % sobre el umbral; clase areal dominante «Vigor muy bajo».</t>
        </is>
      </c>
      <c r="D25" s="36" t="inlineStr">
        <is>
          <t>CORREGIDO</t>
        </is>
      </c>
      <c r="E25" s="33"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6"/>
    <row r="27">
      <c r="A27" s="16" t="inlineStr">
        <is>
          <t>RESUMEN</t>
        </is>
      </c>
      <c r="B27" s="17" t="inlineStr">
        <is>
          <t>16 verificaciones</t>
        </is>
      </c>
      <c r="C27" s="17" t="inlineStr">
        <is>
          <t>CONFORME: 2 · NO SUSTANTIVA: 2 · SUSTANTIVA: 10 · CORREGIDO: 2</t>
        </is>
      </c>
      <c r="D27" s="17" t="inlineStr"/>
      <c r="E27" s="17" t="inlineStr"/>
    </row>
    <row r="28" ht="60" customHeight="1"/>
    <row r="29">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9" s="38" t="n"/>
      <c r="C29" s="38" t="n"/>
      <c r="D29" s="38" t="n"/>
      <c r="E29" s="39" t="n"/>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M6B2-1 — IN Piura</dc:title>
  <dc:subject>Diagnóstico Territorial por bloque de intervención</dc:subject>
  <dcterms:created xsi:type="dcterms:W3CDTF">2026-09-08T03:39:54Z</dcterms:created>
  <dcterms:modified xsi:type="dcterms:W3CDTF">2026-09-09T14:49:47Z</dcterms:modified>
</cp:coreProperties>
</file>