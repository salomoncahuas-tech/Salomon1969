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M32B3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M32B3</t>
        </is>
      </c>
      <c r="C9" s="6" t="inlineStr">
        <is>
          <t>Microcuenca (catálogo)</t>
        </is>
      </c>
      <c r="D9" s="7" t="inlineStr">
        <is>
          <t>C1086-Q9569</t>
        </is>
      </c>
      <c r="E9" s="8" t="n"/>
      <c r="F9" s="8" t="n"/>
    </row>
    <row r="10">
      <c r="A10" s="6" t="inlineStr">
        <is>
          <t>Zona de planificación</t>
        </is>
      </c>
      <c r="B10" s="7" t="inlineStr">
        <is>
          <t>Z05</t>
        </is>
      </c>
      <c r="C10" s="6" t="inlineStr">
        <is>
          <t>Microcuenca declarada en ficha DT</t>
        </is>
      </c>
      <c r="D10" s="7" t="inlineStr">
        <is>
          <t>C1086-Q9569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Morropon</t>
        </is>
      </c>
      <c r="C12" s="6" t="inlineStr">
        <is>
          <t>Capital distrital</t>
        </is>
      </c>
      <c r="D12" s="7" t="inlineStr">
        <is>
          <t>Morropon</t>
        </is>
      </c>
      <c r="E12" s="8" t="n"/>
      <c r="F12" s="8" t="n"/>
    </row>
    <row r="13">
      <c r="A13" s="6" t="inlineStr">
        <is>
          <t>Centro poblado asociado</t>
        </is>
      </c>
      <c r="B13" s="7" t="inlineStr">
        <is>
          <t>Maray</t>
        </is>
      </c>
      <c r="C13" s="6" t="inlineStr">
        <is>
          <t>Comunidad campesina</t>
        </is>
      </c>
      <c r="D13" s="7" t="inlineStr">
        <is>
          <t>No consignada</t>
        </is>
      </c>
      <c r="E13" s="8" t="n"/>
      <c r="F13" s="8" t="n"/>
    </row>
    <row r="14">
      <c r="A14" s="6" t="inlineStr">
        <is>
          <t>Superficie de catálogo (V5/V6), ha</t>
        </is>
      </c>
      <c r="B14" s="7" t="n">
        <v>50.97</v>
      </c>
      <c r="C14" s="6" t="inlineStr">
        <is>
          <t>Fuente de superficie</t>
        </is>
      </c>
      <c r="D14" s="7" t="inlineStr">
        <is>
          <t>Catálogo maestro Bloques V5/V6</t>
        </is>
      </c>
      <c r="E14" s="8" t="n"/>
      <c r="F14" s="8" t="n"/>
    </row>
    <row r="15">
      <c r="A15" s="6" t="inlineStr">
        <is>
          <t>Centroide UTM ESTE (m)</t>
        </is>
      </c>
      <c r="B15" s="7" t="n">
        <v>618248</v>
      </c>
      <c r="C15" s="6" t="inlineStr">
        <is>
          <t>Centroide UTM NORTE (m)</t>
        </is>
      </c>
      <c r="D15" s="7" t="n">
        <v>9426493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184</v>
      </c>
      <c r="C19" s="6" t="inlineStr">
        <is>
          <t>Altitud máxima (msnm)</t>
        </is>
      </c>
      <c r="D19" s="7" t="n">
        <v>438</v>
      </c>
      <c r="E19" s="8" t="n"/>
      <c r="F19" s="8" t="n"/>
    </row>
    <row r="20">
      <c r="A20" s="6" t="inlineStr">
        <is>
          <t>Amplitud altitudinal (m)</t>
        </is>
      </c>
      <c r="B20" s="7" t="n">
        <v>254</v>
      </c>
      <c r="C20" s="6" t="inlineStr">
        <is>
          <t>Piso altitudinal dominante</t>
        </is>
      </c>
      <c r="D20" s="7" t="inlineStr">
        <is>
          <t>&lt;1000 m (Yunga)</t>
        </is>
      </c>
      <c r="E20" s="8" t="n"/>
      <c r="F20" s="8" t="n"/>
    </row>
    <row r="21">
      <c r="A21" s="6" t="inlineStr">
        <is>
          <t>Pendiente promedio (%)</t>
        </is>
      </c>
      <c r="B21" s="7" t="n">
        <v>18.79</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promedio de gabinete 18.79% (clase 15-25%); el rango de campo corresponde a los sectores de ladera efectivamente recorridos, con pendiente predominante registrada de 45%</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0.3852</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ligera (58.77 %)</t>
        </is>
      </c>
      <c r="E29" s="8" t="n"/>
      <c r="F29" s="8" t="n"/>
    </row>
    <row r="30">
      <c r="A30" s="6" t="inlineStr">
        <is>
          <t>Superficie clasificada NDVI 2025 (ha)</t>
        </is>
      </c>
      <c r="B30" s="7" t="n">
        <v>50.995</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50.972 ha (100% del bloque)</t>
        </is>
      </c>
      <c r="E33" s="8" t="n"/>
      <c r="F33" s="8" t="n"/>
    </row>
    <row r="34">
      <c r="A34" s="6" t="inlineStr">
        <is>
          <t>Estado de conservación</t>
        </is>
      </c>
      <c r="B34" s="7" t="inlineStr">
        <is>
          <t>Levemente alterado</t>
        </is>
      </c>
      <c r="C34" s="6" t="inlineStr">
        <is>
          <t>Uso actual dominante del suelo</t>
        </is>
      </c>
      <c r="D34" s="7" t="inlineStr">
        <is>
          <t>Forestal de protección</t>
        </is>
      </c>
      <c r="E34" s="8" t="n"/>
      <c r="F34" s="8" t="n"/>
    </row>
    <row r="35">
      <c r="A35" s="6" t="inlineStr">
        <is>
          <t>Tipo de cobertura dominante</t>
        </is>
      </c>
      <c r="B35" s="7" t="inlineStr">
        <is>
          <t>Bosque denso (&gt;70%)</t>
        </is>
      </c>
      <c r="C35" s="6" t="inlineStr">
        <is>
          <t>Cobertura vegetal total — campo (%)</t>
        </is>
      </c>
      <c r="D35" s="7" t="n">
        <v>80</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Carlos Domínguez Varas; Ing. Héctor S. Cahuas Miller</t>
        </is>
      </c>
      <c r="C41" s="6" t="inlineStr">
        <is>
          <t>Fecha de evaluación</t>
        </is>
      </c>
      <c r="D41" s="7" t="inlineStr">
        <is>
          <t>2026-05-06</t>
        </is>
      </c>
      <c r="E41" s="8" t="n"/>
      <c r="F41" s="8" t="n"/>
    </row>
    <row r="42">
      <c r="A42" s="6" t="inlineStr">
        <is>
          <t>Hora de registro</t>
        </is>
      </c>
      <c r="B42" s="7" t="inlineStr">
        <is>
          <t>12:05 h</t>
        </is>
      </c>
      <c r="C42" s="6" t="inlineStr">
        <is>
          <t>Correlativo de ficha</t>
        </is>
      </c>
      <c r="D42" s="7" t="inlineStr">
        <is>
          <t>2</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el formato. El entregable [E1] la atribuye a la demanda de leña de la población de Maray</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Baja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M32B3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0.385213</v>
      </c>
      <c r="C15" s="17" t="inlineStr">
        <is>
          <t>—</t>
        </is>
      </c>
      <c r="D15" s="17" t="inlineStr">
        <is>
          <t>Vigor bajo · clase 0.3813 - 0.4976</t>
        </is>
      </c>
      <c r="E15" s="17" t="inlineStr">
        <is>
          <t>BAJO umbral 0.4976</t>
        </is>
      </c>
    </row>
    <row r="17" ht="72" customHeight="1">
      <c r="A17" s="9" t="inlineStr">
        <is>
          <t>NOTA METODOLÓGICA. La media del MSAVI 2024 del bloque (0.385213)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0.2483</v>
      </c>
      <c r="C21" s="19" t="n">
        <v>0.49</v>
      </c>
      <c r="D21" s="11" t="inlineStr">
        <is>
          <t>Dosel continuo, matorral denso o mosaico agroforestal</t>
        </is>
      </c>
      <c r="E21" s="11" t="inlineStr"/>
    </row>
    <row r="22">
      <c r="A22" s="12" t="inlineStr">
        <is>
          <t>Vegetación mediana</t>
        </is>
      </c>
      <c r="B22" s="20" t="n">
        <v>19.8476</v>
      </c>
      <c r="C22" s="21" t="n">
        <v>38.92</v>
      </c>
      <c r="D22" s="13" t="inlineStr">
        <is>
          <t>Pastizal cultivado, matorral ralo, parcelas agrícolas</t>
        </is>
      </c>
      <c r="E22" s="13" t="inlineStr"/>
    </row>
    <row r="23">
      <c r="A23" s="7" t="inlineStr">
        <is>
          <t>Vegetación ligera</t>
        </is>
      </c>
      <c r="B23" s="18" t="n">
        <v>29.9724</v>
      </c>
      <c r="C23" s="19" t="n">
        <v>58.77</v>
      </c>
      <c r="D23" s="11" t="inlineStr">
        <is>
          <t>Cobertura discontinua, suelo parcialmente expuesto</t>
        </is>
      </c>
      <c r="E23" s="11" t="inlineStr"/>
    </row>
    <row r="24">
      <c r="A24" s="12" t="inlineStr">
        <is>
          <t>Tierra desnuda</t>
        </is>
      </c>
      <c r="B24" s="20" t="n">
        <v>0.9273</v>
      </c>
      <c r="C24" s="21" t="n">
        <v>1.82</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50.97</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0.49 % del polígono clasificado como «Vegetación alta» por el NDVI 2025; la observación de campo corresponde a una parcela o recorrido puntual y no es estadísticamente representativa de las 50.970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M32B3</t>
        </is>
      </c>
    </row>
    <row r="6" ht="24" customHeight="1">
      <c r="A6" s="4" t="inlineStr">
        <is>
          <t>Levantamiento del 2026-05-06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618122</v>
      </c>
      <c r="D10" s="26" t="n">
        <v>9426329</v>
      </c>
      <c r="E10" s="11" t="n">
        <v>206.8</v>
      </c>
      <c r="F10" s="11" t="inlineStr"/>
      <c r="G10" s="11" t="inlineStr">
        <is>
          <t>Coordenada consignada en F-DT-01</t>
        </is>
      </c>
    </row>
    <row r="11">
      <c r="A11" s="12" t="inlineStr">
        <is>
          <t>H-01</t>
        </is>
      </c>
      <c r="B11" s="13" t="inlineStr">
        <is>
          <t>Fuente de agua — 1</t>
        </is>
      </c>
      <c r="C11" s="27" t="inlineStr">
        <is>
          <t>Quebrada estacional</t>
        </is>
      </c>
      <c r="D11" s="27" t="inlineStr">
        <is>
          <t>Sin coordenadas UTM consignadas</t>
        </is>
      </c>
      <c r="E11" s="13" t="inlineStr"/>
      <c r="F11" s="13" t="inlineStr"/>
      <c r="G11" s="13" t="inlineStr"/>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618248</v>
      </c>
      <c r="C14" s="6" t="inlineStr">
        <is>
          <t>Centroide del bloque — UTM NORTE (m)</t>
        </is>
      </c>
      <c r="D14" s="7" t="n">
        <v>9426493</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22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HALLAZGO DE RIESGO: el bloque registra REMOCIÓN EN MASA ACTIVA como proceso puntual en una porción reducida del polígono, con pendiente alta — es el único de los cinco bloques del paquete con un proceso de remoción en masa activo verificado en campo. La ficha F-EE-05 lo consigna como peligro observado. La pendiente del 45% en sectores específicos requiere especial atención en el diseño de medidas de control de erosión, priorizando soluciones basadas en vegetación con especies de raíz profunda y anclaje efectivo. Existe una reducida área de pendiente alta que ha sufrido un DESLIZAMIENTO dejando el suelo expuesto; en algunos tramos existen quebradas por donde desfoga el agua de las laderas formando surcos, pero en un área FUERA del bloque. FACTORES LIMITANTES [E1]: (a) FACTOR ANTRÓPICO — la tala para leña por la población de Maray sugiere delimitar subáreas según el nivel de presión (baja para conservación, media para restauración activa); en caso de mayor presión podrían excluirse. (b) FACTOR EXTERNO TOPOGRÁFICO — pendientes mayores al 45%, en particular las superiores al 70%; se recomienda EXCLUIR del bloque las zonas con pendiente &gt;70% para evitar riesgos operativos. La quebrada estacional inactiva registrada dentro del bloque no constituye limitante; no se reportaron conflictos de tenencia; el acceso vehicular más caminata &lt;30 min no limita. PARÁMETROS GEOESPACIALES: rango 184-438 msnm, pendiente promedio 18.79%, MSAVI medio 2024 = 0.3852, área 50.97 ha, zona Z05, centroide E 618 248 / N 9 426 493.</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C1086-Q9569 — BLOQUE M32B3</t>
        </is>
      </c>
    </row>
    <row r="6" ht="24" customHeight="1">
      <c r="A6" s="4" t="inlineStr">
        <is>
          <t>Distrito de Morropon · Provincia de Morropon · Comparación de los bloques preliminares de intervención de la misma microcuenca</t>
        </is>
      </c>
    </row>
    <row r="8" ht="18" customHeight="1">
      <c r="A8" s="5" t="inlineStr">
        <is>
          <t>BLOQUES DE LA MICROCUENCA C1086-Q9569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M32B3</t>
        </is>
      </c>
      <c r="B10" s="28" t="n">
        <v>50.97</v>
      </c>
      <c r="C10" s="29" t="n">
        <v>81.63</v>
      </c>
      <c r="D10" s="15" t="inlineStr">
        <is>
          <t>184 – 438</t>
        </is>
      </c>
      <c r="E10" s="15" t="n">
        <v>254</v>
      </c>
      <c r="F10" s="15" t="n">
        <v>18.79</v>
      </c>
      <c r="G10" s="30" t="n">
        <v>0.3852</v>
      </c>
      <c r="H10" s="29" t="n">
        <v>0.49</v>
      </c>
    </row>
    <row r="11">
      <c r="A11" s="12" t="inlineStr">
        <is>
          <t>58</t>
        </is>
      </c>
      <c r="B11" s="31" t="n">
        <v>11.47</v>
      </c>
      <c r="C11" s="21" t="n">
        <v>18.37</v>
      </c>
      <c r="D11" s="13" t="inlineStr">
        <is>
          <t>209 – 288</t>
        </is>
      </c>
      <c r="E11" s="13" t="n">
        <v>79</v>
      </c>
      <c r="F11" s="13" t="n">
        <v>16.09</v>
      </c>
      <c r="G11" s="20" t="n">
        <v>0.4203</v>
      </c>
      <c r="H11" s="21" t="n">
        <v>0.09</v>
      </c>
    </row>
    <row r="12">
      <c r="A12" s="16" t="inlineStr">
        <is>
          <t>TOTAL / PROMEDIO</t>
        </is>
      </c>
      <c r="B12" s="32">
        <f>SUM(B10:B11)</f>
        <v/>
      </c>
      <c r="C12" s="23">
        <f>SUM(C10:C11)</f>
        <v/>
      </c>
      <c r="D12" s="17" t="inlineStr">
        <is>
          <t>184 – 438</t>
        </is>
      </c>
      <c r="E12" s="17" t="inlineStr"/>
      <c r="F12" s="17">
        <f>ROUND(AVERAGE(F10:F11),2)</f>
        <v/>
      </c>
      <c r="G12" s="22">
        <f>ROUND(AVERAGE(G10:G11),4)</f>
        <v/>
      </c>
      <c r="H12" s="23">
        <f>ROUND(AVERAGE(H10:H11),2)</f>
        <v/>
      </c>
    </row>
    <row r="14" ht="84" customHeight="1">
      <c r="A14" s="9" t="inlineStr">
        <is>
          <t>LECTURA INTRAMICROCUENCA. El bloque M32B3 ocupa el puesto 1 de 2 por superficie dentro de la microcuenca C1086-Q9569 (81.63 % de las 62.44 ha preliminares de la microcuenca). Su pendiente promedio (18.79 %, clase «15-25% (Fuert. inclinado)») es la 2.ª más baja de 2 y se sitúa por encima del promedio de la microcuenca (17.44 %). Su MSAVI 2024 (0.3852) es el 2.º de 2 y queda por debajo del promedio local (0.4028). Amplitud altitudinal del bloque: 254 m (184–438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M32B3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«C1086-Q9569»</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207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(50.995 ha) coincide con la de catálogo (50.97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 pendiente promedio de gabinete 18.79% (clase 15-25%); el rango de campo corresponde a los sectores de ladera efectivamente recorridos, con pendiente predominante registrada de 45%»; la estadística zonal sobre el MDE arroja una pendiente promedio de 18.79 %,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80 % de cobertura vegetal en campo; el NDVI mediana 2025 clasifica 98.18 %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Elenco florístico</t>
        </is>
      </c>
      <c r="C15" s="35" t="inlineStr">
        <is>
          <t>La ficha registra 5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«Maray»; el cruce INEI-Bloques V5 identifica 1 centro(s) poblado(s) en el bloque: MARAY</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F-DT-01</t>
        </is>
      </c>
      <c r="C19" s="35" t="inlineStr">
        <is>
          <t>El campo "Altitud GPS" consignaba 50.9720, que corresponde al ÁREA del bloque en hectáreas y no a una altitud</t>
        </is>
      </c>
      <c r="D19" s="37" t="inlineStr">
        <is>
          <t>CORREGIDO</t>
        </is>
      </c>
      <c r="E19" s="35" t="inlineStr">
        <is>
          <t>Se consigna en su lugar la altitud de 215 msnm registrada en la ficha F-EE-05 del mismo punto y fecha</t>
        </is>
      </c>
    </row>
    <row r="20" ht="48" customHeight="1">
      <c r="A20" s="33" t="inlineStr">
        <is>
          <t>D-11</t>
        </is>
      </c>
      <c r="B20" s="33" t="inlineStr">
        <is>
          <t>F-DT-01</t>
        </is>
      </c>
      <c r="C20" s="33" t="inlineStr">
        <is>
          <t>El Segundo Entregable [E2] indica altitud GPS de 180 m frente a los 215 m de la F-EE-05</t>
        </is>
      </c>
      <c r="D20" s="36" t="inlineStr">
        <is>
          <t>SUSTANTIVA</t>
        </is>
      </c>
      <c r="E20" s="33" t="inlineStr">
        <is>
          <t>Diferencia de 35 m POR CONCILIAR; se conservan ambos registros sin promediar</t>
        </is>
      </c>
    </row>
    <row r="21" ht="48" customHeight="1">
      <c r="A21" s="35" t="inlineStr">
        <is>
          <t>D-12</t>
        </is>
      </c>
      <c r="B21" s="35" t="inlineStr">
        <is>
          <t>F-DT-01</t>
        </is>
      </c>
      <c r="C21" s="35" t="inlineStr">
        <is>
          <t>Pendiente de campo (25-50%, predominante 45%) frente a la pendiente promedio de gabinete (18.79%, clase 15-25%)</t>
        </is>
      </c>
      <c r="D21" s="15" t="inlineStr">
        <is>
          <t>NO SUSTANTIVA</t>
        </is>
      </c>
      <c r="E21" s="35" t="inlineStr">
        <is>
          <t>Se declara que el rango de campo corresponde a los sectores de ladera efectivamente recorridos</t>
        </is>
      </c>
    </row>
    <row r="22" ht="48" customHeight="1">
      <c r="A22" s="33" t="inlineStr">
        <is>
          <t>D-13</t>
        </is>
      </c>
      <c r="B22" s="33" t="inlineStr">
        <is>
          <t>F-DT-01</t>
        </is>
      </c>
      <c r="C22" s="33" t="inlineStr">
        <is>
          <t>REMOCIÓN EN MASA ACTIVA verificada en campo en una porción reducida del polígono</t>
        </is>
      </c>
      <c r="D22" s="36" t="inlineStr">
        <is>
          <t>SUSTANTIVA</t>
        </is>
      </c>
      <c r="E22" s="33" t="inlineStr">
        <is>
          <t>Se eleva como hallazgo de riesgo; POR VERIFICAR la caracterización y georreferenciación del área afectada</t>
        </is>
      </c>
    </row>
    <row r="23" ht="48" customHeight="1">
      <c r="A23" s="35" t="inlineStr">
        <is>
          <t>D-14</t>
        </is>
      </c>
      <c r="B23" s="35" t="inlineStr">
        <is>
          <t>F-DT-02 / F-EE-05</t>
        </is>
      </c>
      <c r="C23" s="35" t="inlineStr">
        <is>
          <t>La F-DT-02 declara 0 cárcavas mientras la F-EE-05 consigna "Presencia de cárcavas/surcos: Sí"</t>
        </is>
      </c>
      <c r="D23" s="37" t="inlineStr">
        <is>
          <t>CORREGIDO</t>
        </is>
      </c>
      <c r="E23" s="35" t="inlineStr">
        <is>
          <t>La contradicción se resuelve por la ubicación: los surcos están al pie de la ladera, FUERA del polígono del bloque</t>
        </is>
      </c>
    </row>
    <row r="24" ht="48" customHeight="1">
      <c r="A24" s="33" t="inlineStr">
        <is>
          <t>D-15</t>
        </is>
      </c>
      <c r="B24" s="33" t="inlineStr">
        <is>
          <t>F-DT-03</t>
        </is>
      </c>
      <c r="C24" s="33" t="inlineStr">
        <is>
          <t>DAP registrado como rango (25-30 cm) en un campo que espera valor único</t>
        </is>
      </c>
      <c r="D24" s="15" t="inlineStr">
        <is>
          <t>NO SUSTANTIVA</t>
        </is>
      </c>
      <c r="E24" s="33" t="inlineStr">
        <is>
          <t>Se consigna literalmente el rango; de requerirse un valor único debe definirse en campo</t>
        </is>
      </c>
    </row>
    <row r="25" ht="48" customHeight="1">
      <c r="A25" s="35" t="inlineStr">
        <is>
          <t>D-16</t>
        </is>
      </c>
      <c r="B25" s="35" t="inlineStr">
        <is>
          <t>F-DT-03</t>
        </is>
      </c>
      <c r="C25" s="35" t="inlineStr">
        <is>
          <t>Sólo 5 especies registradas por nombre común, sin estrato, abundancia, DAP ni altura por individuo</t>
        </is>
      </c>
      <c r="D25" s="36" t="inlineStr">
        <is>
          <t>SUSTANTIVA</t>
        </is>
      </c>
      <c r="E25" s="35" t="inlineStr">
        <is>
          <t>POR COMPLETAR con levantamiento de al menos 15 especies por estrato</t>
        </is>
      </c>
    </row>
    <row r="26" ht="48" customHeight="1">
      <c r="A26" s="33" t="inlineStr">
        <is>
          <t>D-17</t>
        </is>
      </c>
      <c r="B26" s="33" t="inlineStr">
        <is>
          <t>F-DT-03 / F-DT-04</t>
        </is>
      </c>
      <c r="C26" s="33" t="inlineStr">
        <is>
          <t>Cobertura vegetal total: 80% en F-DT-03 frente a 90% en el indicador 1 del F-DT-04</t>
        </is>
      </c>
      <c r="D26" s="36" t="inlineStr">
        <is>
          <t>SUSTANTIVA</t>
        </is>
      </c>
      <c r="E26" s="33" t="inlineStr">
        <is>
          <t>Se conservan ambos valores con indicación de su sección de origen; corresponde conciliar</t>
        </is>
      </c>
    </row>
    <row r="27" ht="48" customHeight="1">
      <c r="A27" s="35" t="inlineStr">
        <is>
          <t>D-18</t>
        </is>
      </c>
      <c r="B27" s="35" t="inlineStr">
        <is>
          <t>F-DT-04</t>
        </is>
      </c>
      <c r="C27" s="35" t="inlineStr">
        <is>
          <t>Para la única causa presente (tala para leña) no se consignaron intensidad, extensión ni antigüedad; indicadores 3-6 sin valorar e indicadores 1, 2, 7 y 8 sin calificación de nivel</t>
        </is>
      </c>
      <c r="D27" s="36" t="inlineStr">
        <is>
          <t>SUSTANTIVA</t>
        </is>
      </c>
      <c r="E27" s="35" t="inlineStr">
        <is>
          <t>POR COMPLETAR; la extensión de la tala para leña es el dato crítico para la delimitación de subáreas</t>
        </is>
      </c>
    </row>
    <row r="28" ht="48" customHeight="1">
      <c r="A28" s="33" t="inlineStr">
        <is>
          <t>D-19</t>
        </is>
      </c>
      <c r="B28" s="33" t="inlineStr">
        <is>
          <t>F-DT-05</t>
        </is>
      </c>
      <c r="C28" s="33" t="inlineStr">
        <is>
          <t>La única fuente inventariada carece de coordenadas UTM, calidad y distancia</t>
        </is>
      </c>
      <c r="D28" s="36" t="inlineStr">
        <is>
          <t>SUSTANTIVA</t>
        </is>
      </c>
      <c r="E28" s="33" t="inlineStr">
        <is>
          <t>POR COMPLETAR con levantamiento georreferenciado; condiciona el dimensionamiento de los diques propuestos</t>
        </is>
      </c>
    </row>
    <row r="29" ht="48" customHeight="1">
      <c r="A29" s="35" t="inlineStr">
        <is>
          <t>D-20</t>
        </is>
      </c>
      <c r="B29" s="35" t="inlineStr">
        <is>
          <t>F-DT-03</t>
        </is>
      </c>
      <c r="C29" s="35" t="inlineStr">
        <is>
          <t>Inspección efectuada posterior a temporada de lluvias, con herbáceas estacionales que pueden sobrestimar la cobertura</t>
        </is>
      </c>
      <c r="D29" s="36" t="inlineStr">
        <is>
          <t>SUSTANTIVA</t>
        </is>
      </c>
      <c r="E29" s="35" t="inlineStr">
        <is>
          <t>El propio entregable recomienda VERIFICACIÓN EN ÉPOCA SECA antes de decidir la exclusión del bloque</t>
        </is>
      </c>
    </row>
    <row r="31">
      <c r="A31" s="16" t="inlineStr">
        <is>
          <t>RESUMEN</t>
        </is>
      </c>
      <c r="B31" s="17" t="inlineStr">
        <is>
          <t>20 verificaciones</t>
        </is>
      </c>
      <c r="C31" s="17" t="inlineStr">
        <is>
          <t>CONFORME: 4 · CORREGIDO: 2 · NO SUSTANTIVA: 4 · SUSTANTIVA: 10</t>
        </is>
      </c>
      <c r="D31" s="17" t="inlineStr"/>
      <c r="E31" s="17" t="inlineStr"/>
    </row>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33:E33"/>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M32B3 — IN Piura</dc:title>
  <dc:subject>Diagnóstico Territorial por bloque de intervención</dc:subject>
  <dcterms:created xsi:type="dcterms:W3CDTF">2026-09-08T03:39:58Z</dcterms:created>
  <dcterms:modified xsi:type="dcterms:W3CDTF">2026-09-08T03:39:58Z</dcterms:modified>
</cp:coreProperties>
</file>