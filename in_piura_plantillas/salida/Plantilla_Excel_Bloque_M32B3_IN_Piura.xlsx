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M32B3</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M32B3</t>
        </is>
      </c>
      <c r="C9" s="6" t="inlineStr">
        <is>
          <t>Microcuenca (catálogo)</t>
        </is>
      </c>
      <c r="D9" s="7" t="inlineStr">
        <is>
          <t>C1086-Q9569</t>
        </is>
      </c>
      <c r="E9" s="8" t="n"/>
      <c r="F9" s="8" t="n"/>
    </row>
    <row r="10">
      <c r="A10" s="6" t="inlineStr">
        <is>
          <t>Zona de planificación</t>
        </is>
      </c>
      <c r="B10" s="7" t="inlineStr">
        <is>
          <t>Z05</t>
        </is>
      </c>
      <c r="C10" s="6" t="inlineStr">
        <is>
          <t>Microcuenca declarada en ficha DT</t>
        </is>
      </c>
      <c r="D10" s="7" t="inlineStr">
        <is>
          <t>C1086-Q9569</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Morropon</t>
        </is>
      </c>
      <c r="C12" s="6" t="inlineStr">
        <is>
          <t>Capital distrital</t>
        </is>
      </c>
      <c r="D12" s="7" t="inlineStr">
        <is>
          <t>Morropon</t>
        </is>
      </c>
      <c r="E12" s="8" t="n"/>
      <c r="F12" s="8" t="n"/>
    </row>
    <row r="13">
      <c r="A13" s="6" t="inlineStr">
        <is>
          <t>Centro poblado asociado</t>
        </is>
      </c>
      <c r="B13" s="7" t="inlineStr">
        <is>
          <t>Maray</t>
        </is>
      </c>
      <c r="C13" s="6" t="inlineStr">
        <is>
          <t>Comunidad campesina</t>
        </is>
      </c>
      <c r="D13" s="7" t="inlineStr">
        <is>
          <t>No consignada</t>
        </is>
      </c>
      <c r="E13" s="8" t="n"/>
      <c r="F13" s="8" t="n"/>
    </row>
    <row r="14">
      <c r="A14" s="6" t="inlineStr">
        <is>
          <t>Superficie de catálogo (V5/V6), ha</t>
        </is>
      </c>
      <c r="B14" s="7" t="n">
        <v>50.97</v>
      </c>
      <c r="C14" s="6" t="inlineStr">
        <is>
          <t>Fuente de superficie</t>
        </is>
      </c>
      <c r="D14" s="7" t="inlineStr">
        <is>
          <t>Catálogo maestro Bloques V5/V6</t>
        </is>
      </c>
      <c r="E14" s="8" t="n"/>
      <c r="F14" s="8" t="n"/>
    </row>
    <row r="15">
      <c r="A15" s="6" t="inlineStr">
        <is>
          <t>Centroide UTM ESTE (m)</t>
        </is>
      </c>
      <c r="B15" s="7" t="n">
        <v>618248</v>
      </c>
      <c r="C15" s="6" t="inlineStr">
        <is>
          <t>Centroide UTM NORTE (m)</t>
        </is>
      </c>
      <c r="D15" s="7" t="n">
        <v>9426493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184</v>
      </c>
      <c r="C19" s="6" t="inlineStr">
        <is>
          <t>Altitud máxima (msnm)</t>
        </is>
      </c>
      <c r="D19" s="7" t="n">
        <v>438</v>
      </c>
      <c r="E19" s="8" t="n"/>
      <c r="F19" s="8" t="n"/>
    </row>
    <row r="20">
      <c r="A20" s="6" t="inlineStr">
        <is>
          <t>Amplitud altitudinal (m)</t>
        </is>
      </c>
      <c r="B20" s="7" t="n">
        <v>254</v>
      </c>
      <c r="C20" s="6" t="inlineStr">
        <is>
          <t>Piso altitudinal dominante</t>
        </is>
      </c>
      <c r="D20" s="7" t="inlineStr">
        <is>
          <t>&lt;1000 m (Yunga)</t>
        </is>
      </c>
      <c r="E20" s="8" t="n"/>
      <c r="F20" s="8" t="n"/>
    </row>
    <row r="21">
      <c r="A21" s="6" t="inlineStr">
        <is>
          <t>Pendiente promedio (%)</t>
        </is>
      </c>
      <c r="B21" s="7" t="n">
        <v>18.79</v>
      </c>
      <c r="C21" s="6" t="inlineStr">
        <is>
          <t>Pendiente promedio (grados)</t>
        </is>
      </c>
      <c r="D21" s="7" t="n">
        <v>10.6</v>
      </c>
      <c r="E21" s="8" t="n"/>
      <c r="F21" s="8" t="n"/>
    </row>
    <row r="22">
      <c r="A22" s="6" t="inlineStr">
        <is>
          <t>Clase de pendiente equivalente</t>
        </is>
      </c>
      <c r="B22" s="7" t="inlineStr">
        <is>
          <t>15-25% (Fuert. inclinado)</t>
        </is>
      </c>
      <c r="C22" s="6" t="inlineStr">
        <is>
          <t>Rango de pendiente declarado en campo</t>
        </is>
      </c>
      <c r="D22" s="7" t="inlineStr">
        <is>
          <t>25-50% (Mod. escarpado) — pendiente promedio de gabinete 18.79% (clase 15-25%); el rango de campo corresponde a los sectores de ladera efectivamente recorridos, con pendiente predominante registrada de 45%</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Sí</t>
        </is>
      </c>
      <c r="E25" s="8" t="n"/>
      <c r="F25" s="8" t="n"/>
    </row>
    <row r="27" ht="18" customHeight="1">
      <c r="A27" s="5" t="inlineStr">
        <is>
          <t>3. ÍNDICES DE VEGETACIÓN (SENTINEL-2)</t>
        </is>
      </c>
    </row>
    <row r="28">
      <c r="A28" s="6" t="inlineStr">
        <is>
          <t>MSAVI 2024 — media del bloque</t>
        </is>
      </c>
      <c r="B28" s="7" t="n">
        <v>0.3852</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ligera (58.77 %)</t>
        </is>
      </c>
      <c r="E29" s="8" t="n"/>
      <c r="F29" s="8" t="n"/>
    </row>
    <row r="30">
      <c r="A30" s="6" t="inlineStr">
        <is>
          <t>Superficie clasificada NDVI 2025 (ha)</t>
        </is>
      </c>
      <c r="B30" s="7" t="n">
        <v>50.995</v>
      </c>
      <c r="C30" s="6" t="inlineStr">
        <is>
          <t>Desviación frente al catálogo (%)</t>
        </is>
      </c>
      <c r="D30" s="7" t="n">
        <v>0.05</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50.972 ha (100% del bloque)</t>
        </is>
      </c>
      <c r="E33" s="8" t="n"/>
      <c r="F33" s="8" t="n"/>
    </row>
    <row r="34">
      <c r="A34" s="6" t="inlineStr">
        <is>
          <t>Estado de conservación</t>
        </is>
      </c>
      <c r="B34" s="7" t="inlineStr">
        <is>
          <t>Levemente alterado</t>
        </is>
      </c>
      <c r="C34" s="6" t="inlineStr">
        <is>
          <t>Uso actual dominante del suelo</t>
        </is>
      </c>
      <c r="D34" s="7" t="inlineStr">
        <is>
          <t>Forestal de protección</t>
        </is>
      </c>
      <c r="E34" s="8" t="n"/>
      <c r="F34" s="8" t="n"/>
    </row>
    <row r="35">
      <c r="A35" s="6" t="inlineStr">
        <is>
          <t>Tipo de cobertura dominante</t>
        </is>
      </c>
      <c r="B35" s="7" t="inlineStr">
        <is>
          <t>Bosque denso (&gt;70%)</t>
        </is>
      </c>
      <c r="C35" s="6" t="inlineStr">
        <is>
          <t>Cobertura vegetal total — campo (%)</t>
        </is>
      </c>
      <c r="D35" s="7" t="n">
        <v>80</v>
      </c>
      <c r="E35" s="8" t="n"/>
      <c r="F35" s="8" t="n"/>
    </row>
    <row r="36">
      <c r="A36" s="6" t="inlineStr">
        <is>
          <t>Suelo desnudo — campo (%)</t>
        </is>
      </c>
      <c r="B36" s="7" t="n">
        <v>5</v>
      </c>
      <c r="C36" s="6" t="inlineStr">
        <is>
          <t>Regeneración natural</t>
        </is>
      </c>
      <c r="D36" s="7" t="inlineStr">
        <is>
          <t>Regular (10-50 pl./100m²)</t>
        </is>
      </c>
      <c r="E36" s="8" t="n"/>
      <c r="F36" s="8" t="n"/>
    </row>
    <row r="37">
      <c r="A37" s="6" t="inlineStr">
        <is>
          <t>Nivel general de erosión</t>
        </is>
      </c>
      <c r="B37" s="7" t="inlineStr">
        <is>
          <t>Ligera (laminar)</t>
        </is>
      </c>
      <c r="C37" s="6" t="inlineStr">
        <is>
          <t>N.° de cárcavas registradas</t>
        </is>
      </c>
      <c r="D37" s="7" t="n">
        <v>0</v>
      </c>
      <c r="E37" s="8" t="n"/>
      <c r="F37" s="8" t="n"/>
    </row>
    <row r="38">
      <c r="A38" s="6" t="inlineStr">
        <is>
          <t>Elenco florístico (n.° de taxones)</t>
        </is>
      </c>
      <c r="B38" s="7" t="n">
        <v>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Juan Carlos Domínguez Varas; Ing. Héctor S. Cahuas Miller</t>
        </is>
      </c>
      <c r="C41" s="6" t="inlineStr">
        <is>
          <t>Fecha de evaluación</t>
        </is>
      </c>
      <c r="D41" s="7" t="inlineStr">
        <is>
          <t>2026-05-06</t>
        </is>
      </c>
      <c r="E41" s="8" t="n"/>
      <c r="F41" s="8" t="n"/>
    </row>
    <row r="42">
      <c r="A42" s="6" t="inlineStr">
        <is>
          <t>Hora de registro</t>
        </is>
      </c>
      <c r="B42" s="7" t="inlineStr">
        <is>
          <t>12:05 h</t>
        </is>
      </c>
      <c r="C42" s="6" t="inlineStr">
        <is>
          <t>Correlativo de ficha</t>
        </is>
      </c>
      <c r="D42" s="7" t="inlineStr">
        <is>
          <t>2</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Sin registro en ficha</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No consignada en el formato. El entregable [E1] la atribuye a la demanda de leña de la población de Maray</t>
        </is>
      </c>
      <c r="C48" s="6" t="inlineStr">
        <is>
          <t>Velocidad de degradación</t>
        </is>
      </c>
      <c r="D48" s="7" t="inlineStr">
        <is>
          <t>Lenta</t>
        </is>
      </c>
      <c r="E48" s="8" t="n"/>
      <c r="F48" s="8" t="n"/>
    </row>
    <row r="49">
      <c r="A49" s="6" t="inlineStr">
        <is>
          <t>Reversibilidad técnica</t>
        </is>
      </c>
      <c r="B49" s="7" t="inlineStr">
        <is>
          <t>Totalmente reversible</t>
        </is>
      </c>
      <c r="C49" s="6" t="inlineStr">
        <is>
          <t>Urgencia de intervención</t>
        </is>
      </c>
      <c r="D49" s="7" t="inlineStr">
        <is>
          <t>Baja</t>
        </is>
      </c>
      <c r="E49" s="8" t="n"/>
      <c r="F49" s="8" t="n"/>
    </row>
    <row r="50">
      <c r="A50" s="6" t="inlineStr">
        <is>
          <t>Urgencia de control de erosión</t>
        </is>
      </c>
      <c r="B50" s="7" t="inlineStr">
        <is>
          <t>Baja</t>
        </is>
      </c>
      <c r="C50" s="6" t="inlineStr">
        <is>
          <t>Zona de recarga hídrica</t>
        </is>
      </c>
      <c r="D50" s="7" t="inlineStr">
        <is>
          <t>No</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M32B3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14" t="inlineStr">
        <is>
          <t>0.3813 - 0.4976</t>
        </is>
      </c>
      <c r="B12" s="15" t="inlineStr">
        <is>
          <t>Por determinar</t>
        </is>
      </c>
      <c r="C12" s="15" t="inlineStr">
        <is>
          <t>Por determinar</t>
        </is>
      </c>
      <c r="D12" s="15" t="inlineStr">
        <is>
          <t>Vigor bajo</t>
        </is>
      </c>
      <c r="E12" s="15" t="inlineStr">
        <is>
          <t>BAJO umbral 0.4976</t>
        </is>
      </c>
    </row>
    <row r="13">
      <c r="A13" s="12" t="inlineStr">
        <is>
          <t>0.2650 - 0.3813</t>
        </is>
      </c>
      <c r="B13" s="13" t="inlineStr">
        <is>
          <t>Por determinar</t>
        </is>
      </c>
      <c r="C13" s="13" t="inlineStr">
        <is>
          <t>Por determinar</t>
        </is>
      </c>
      <c r="D13" s="13" t="inlineStr">
        <is>
          <t>Vigor muy bajo</t>
        </is>
      </c>
      <c r="E13" s="13"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0.385213</v>
      </c>
      <c r="C15" s="17" t="inlineStr">
        <is>
          <t>—</t>
        </is>
      </c>
      <c r="D15" s="17" t="inlineStr">
        <is>
          <t>Vigor bajo · clase 0.3813 - 0.4976</t>
        </is>
      </c>
      <c r="E15" s="17" t="inlineStr">
        <is>
          <t>BAJO umbral 0.4976</t>
        </is>
      </c>
    </row>
    <row r="17" ht="72" customHeight="1">
      <c r="A17" s="9" t="inlineStr">
        <is>
          <t>NOTA METODOLÓGICA. La media del MSAVI 2024 del bloque (0.385213)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0.2483</v>
      </c>
      <c r="C21" s="19" t="n">
        <v>0.49</v>
      </c>
      <c r="D21" s="11" t="inlineStr">
        <is>
          <t>Dosel continuo, matorral denso o mosaico agroforestal</t>
        </is>
      </c>
      <c r="E21" s="11" t="inlineStr"/>
    </row>
    <row r="22">
      <c r="A22" s="12" t="inlineStr">
        <is>
          <t>Vegetación mediana</t>
        </is>
      </c>
      <c r="B22" s="20" t="n">
        <v>19.8476</v>
      </c>
      <c r="C22" s="21" t="n">
        <v>38.92</v>
      </c>
      <c r="D22" s="13" t="inlineStr">
        <is>
          <t>Pastizal cultivado, matorral ralo, parcelas agrícolas</t>
        </is>
      </c>
      <c r="E22" s="13" t="inlineStr"/>
    </row>
    <row r="23">
      <c r="A23" s="7" t="inlineStr">
        <is>
          <t>Vegetación ligera</t>
        </is>
      </c>
      <c r="B23" s="18" t="n">
        <v>29.9724</v>
      </c>
      <c r="C23" s="19" t="n">
        <v>58.77</v>
      </c>
      <c r="D23" s="11" t="inlineStr">
        <is>
          <t>Cobertura discontinua, suelo parcialmente expuesto</t>
        </is>
      </c>
      <c r="E23" s="11" t="inlineStr"/>
    </row>
    <row r="24">
      <c r="A24" s="12" t="inlineStr">
        <is>
          <t>Tierra desnuda</t>
        </is>
      </c>
      <c r="B24" s="20" t="n">
        <v>0.9273</v>
      </c>
      <c r="C24" s="21" t="n">
        <v>1.82</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50.97</v>
      </c>
      <c r="C26" s="25" t="inlineStr">
        <is>
          <t>—</t>
        </is>
      </c>
      <c r="D26" s="25" t="inlineStr">
        <is>
          <t>Desviación planimétrica frente al catálogo</t>
        </is>
      </c>
      <c r="E26" s="25" t="inlineStr">
        <is>
          <t>+0.05 %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0.49 % del polígono clasificado como «Vegetación alta» por el NDVI 2025; la observación de campo corresponde a una parcela o recorrido puntual y no es estadísticamente representativa de las 50.970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M32B3</t>
        </is>
      </c>
    </row>
    <row r="6" ht="24" customHeight="1">
      <c r="A6" s="4" t="inlineStr">
        <is>
          <t>Levantamiento del 2026-05-06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618122</v>
      </c>
      <c r="D10" s="26" t="n">
        <v>9426329</v>
      </c>
      <c r="E10" s="11" t="n">
        <v>206.8</v>
      </c>
      <c r="F10" s="11" t="inlineStr"/>
      <c r="G10" s="11" t="inlineStr">
        <is>
          <t>Coordenada consignada en F-DT-01</t>
        </is>
      </c>
    </row>
    <row r="11">
      <c r="A11" s="12" t="inlineStr">
        <is>
          <t>H-01</t>
        </is>
      </c>
      <c r="B11" s="13" t="inlineStr">
        <is>
          <t>Fuente de agua — 1</t>
        </is>
      </c>
      <c r="C11" s="27" t="inlineStr">
        <is>
          <t>Quebrada estacional</t>
        </is>
      </c>
      <c r="D11" s="27" t="inlineStr">
        <is>
          <t>Sin coordenadas UTM consignadas</t>
        </is>
      </c>
      <c r="E11" s="13" t="inlineStr"/>
      <c r="F11" s="13" t="inlineStr"/>
      <c r="G11" s="13" t="inlineStr"/>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618248</v>
      </c>
      <c r="C14" s="6" t="inlineStr">
        <is>
          <t>Centroide del bloque — UTM NORTE (m)</t>
        </is>
      </c>
      <c r="D14" s="7" t="n">
        <v>9426493</v>
      </c>
      <c r="E14" s="8" t="n"/>
      <c r="F14" s="8" t="n"/>
      <c r="G14" s="8" t="n"/>
      <c r="H14" s="8" t="n"/>
    </row>
    <row r="15">
      <c r="A15" s="6" t="inlineStr">
        <is>
          <t>N.° de estaciones fotográficas declaradas</t>
        </is>
      </c>
      <c r="B15" s="7" t="n">
        <v>0</v>
      </c>
      <c r="C15" s="6" t="inlineStr">
        <is>
          <t>Estaciones dentro del polígono</t>
        </is>
      </c>
      <c r="D15" s="7" t="n">
        <v>0</v>
      </c>
      <c r="E15" s="8" t="n"/>
      <c r="F15" s="8" t="n"/>
      <c r="G15" s="8" t="n"/>
      <c r="H15" s="8" t="n"/>
    </row>
    <row r="17" ht="228"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HALLAZGO DE RIESGO: el bloque registra REMOCIÓN EN MASA ACTIVA como proceso puntual en una porción reducida del polígono, con pendiente alta — es el único de los cinco bloques del paquete con un proceso de remoción en masa activo verificado en campo. La ficha F-EE-05 lo consigna como peligro observado. La pendiente del 45% en sectores específicos requiere especial atención en el diseño de medidas de control de erosión, priorizando soluciones basadas en vegetación con especies de raíz profunda y anclaje efectivo. Existe una reducida área de pendiente alta que ha sufrido un DESLIZAMIENTO dejando el suelo expuesto; en algunos tramos existen quebradas por donde desfoga el agua de las laderas formando surcos, pero en un área FUERA del bloque. FACTORES LIMITANTES [E1]: (a) FACTOR ANTRÓPICO — la tala para leña por la población de Maray sugiere delimitar subáreas según el nivel de presión (baja para conservación, media para restauración activa); en caso de mayor presión podrían excluirse. (b) FACTOR EXTERNO TOPOGRÁFICO — pendientes mayores al 45%, en particular las superiores al 70%; se recomienda EXCLUIR del bloque las zonas con pendiente &gt;70% para evitar riesgos operativos. La quebrada estacional inactiva registrada dentro del bloque no constituye limitante; no se reportaron conflictos de tenencia; el acceso vehicular más caminata &lt;30 min no limita. PARÁMETROS GEOESPACIALES: rango 184-438 msnm, pendiente promedio 18.79%, MSAVI medio 2024 = 0.3852, área 50.97 ha, zona Z05, centroide E 618 248 / N 9 426 493.</t>
        </is>
      </c>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C1086-Q9569 — BLOQUE M32B3</t>
        </is>
      </c>
    </row>
    <row r="6" ht="24" customHeight="1">
      <c r="A6" s="4" t="inlineStr">
        <is>
          <t>Distrito de Morropon · Provincia de Morropon · Comparación de los bloques preliminares de intervención de la misma microcuenca</t>
        </is>
      </c>
    </row>
    <row r="8" ht="18" customHeight="1">
      <c r="A8" s="5" t="inlineStr">
        <is>
          <t>BLOQUES DE LA MICROCUENCA C1086-Q9569</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4" t="inlineStr">
        <is>
          <t>► M32B3</t>
        </is>
      </c>
      <c r="B10" s="28" t="n">
        <v>50.97</v>
      </c>
      <c r="C10" s="29" t="n">
        <v>81.63</v>
      </c>
      <c r="D10" s="15" t="inlineStr">
        <is>
          <t>184 – 438</t>
        </is>
      </c>
      <c r="E10" s="15" t="n">
        <v>254</v>
      </c>
      <c r="F10" s="15" t="n">
        <v>18.79</v>
      </c>
      <c r="G10" s="30" t="n">
        <v>0.3852</v>
      </c>
      <c r="H10" s="29" t="n">
        <v>0.49</v>
      </c>
    </row>
    <row r="11">
      <c r="A11" s="12" t="inlineStr">
        <is>
          <t>58</t>
        </is>
      </c>
      <c r="B11" s="31" t="n">
        <v>11.47</v>
      </c>
      <c r="C11" s="21" t="n">
        <v>18.37</v>
      </c>
      <c r="D11" s="13" t="inlineStr">
        <is>
          <t>209 – 288</t>
        </is>
      </c>
      <c r="E11" s="13" t="n">
        <v>79</v>
      </c>
      <c r="F11" s="13" t="n">
        <v>16.09</v>
      </c>
      <c r="G11" s="20" t="n">
        <v>0.4203</v>
      </c>
      <c r="H11" s="21" t="n">
        <v>0.09</v>
      </c>
    </row>
    <row r="12">
      <c r="A12" s="16" t="inlineStr">
        <is>
          <t>TOTAL / PROMEDIO</t>
        </is>
      </c>
      <c r="B12" s="32">
        <f>SUM(B10:B11)</f>
        <v/>
      </c>
      <c r="C12" s="23">
        <f>SUM(C10:C11)</f>
        <v/>
      </c>
      <c r="D12" s="17" t="inlineStr">
        <is>
          <t>184 – 438</t>
        </is>
      </c>
      <c r="E12" s="17" t="inlineStr"/>
      <c r="F12" s="17">
        <f>ROUND(AVERAGE(F10:F11),2)</f>
        <v/>
      </c>
      <c r="G12" s="22">
        <f>ROUND(AVERAGE(G10:G11),4)</f>
        <v/>
      </c>
      <c r="H12" s="23">
        <f>ROUND(AVERAGE(H10:H11),2)</f>
        <v/>
      </c>
    </row>
    <row r="14" ht="84" customHeight="1">
      <c r="A14" s="9" t="inlineStr">
        <is>
          <t>LECTURA INTRAMICROCUENCA. El bloque M32B3 ocupa el puesto 1 de 2 por superficie dentro de la microcuenca C1086-Q9569 (81.63 % de las 62.44 ha preliminares de la microcuenca). Su pendiente promedio (18.79 %, clase «15-25% (Fuert. inclinado)») es la 2.ª más baja de 2 y se sitúa por encima del promedio de la microcuenca (17.44 %). Su MSAVI 2024 (0.3852) es el 2.º de 2 y queda por debajo del promedio local (0.4028). Amplitud altitudinal del bloque: 254 m (184–438 msnm). El cuadro conserva todos los bloques catalogados en la microcuenca, incluidos los descartados en el tamizaje, para referencia del conjunto. Los bloques sin ficha DT figuran con sus parámetros de gabinete.</t>
        </is>
      </c>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H2"/>
    <mergeCell ref="A16:H16"/>
    <mergeCell ref="A14:H14"/>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M32B3</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«C1086-Q9569»</t>
        </is>
      </c>
      <c r="D10" s="34" t="inlineStr">
        <is>
          <t>CONFORME</t>
        </is>
      </c>
      <c r="E10" s="33" t="inlineStr">
        <is>
          <t>Sin acción.</t>
        </is>
      </c>
    </row>
    <row r="11" ht="48" customHeight="1">
      <c r="A11" s="35" t="inlineStr">
        <is>
          <t>D-02</t>
        </is>
      </c>
      <c r="B11" s="35" t="inlineStr">
        <is>
          <t>UTM del punto de muestreo</t>
        </is>
      </c>
      <c r="C11" s="35" t="inlineStr">
        <is>
          <t>El punto de muestreo declarado dista 207 m del centroide de catálogo, compatible con la extensión del bloque</t>
        </is>
      </c>
      <c r="D11" s="34" t="inlineStr">
        <is>
          <t>CONFORME</t>
        </is>
      </c>
      <c r="E11" s="35" t="inlineStr">
        <is>
          <t>Sin acción.</t>
        </is>
      </c>
    </row>
    <row r="12" ht="48" customHeight="1">
      <c r="A12" s="33" t="inlineStr">
        <is>
          <t>D-03</t>
        </is>
      </c>
      <c r="B12" s="33" t="inlineStr">
        <is>
          <t>Superficie del polígono</t>
        </is>
      </c>
      <c r="C12" s="33" t="inlineStr">
        <is>
          <t>La superficie clasificada por el NDVI 2025 (50.995 ha) coincide con la de catálogo (50.97 ha) dentro del ±2 % (+0.05 %)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 pendiente promedio de gabinete 18.79% (clase 15-25%); el rango de campo corresponde a los sectores de ladera efectivamente recorridos, con pendiente predominante registrada de 45%»; la estadística zonal sobre el MDE arroja una pendiente promedio de 18.79 %, que corresponde a la clase «15-25% (Fuert.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Cobertura vegetal total</t>
        </is>
      </c>
      <c r="C14" s="33" t="inlineStr">
        <is>
          <t>La ficha DT estima 80 % de cobertura vegetal en campo; el NDVI mediana 2025 clasifica 98.18 % del polígono en clases de vegetación</t>
        </is>
      </c>
      <c r="D14" s="15" t="inlineStr">
        <is>
          <t>NO SUSTANTIVA</t>
        </is>
      </c>
      <c r="E14" s="33"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5" t="inlineStr">
        <is>
          <t>D-06</t>
        </is>
      </c>
      <c r="B15" s="35" t="inlineStr">
        <is>
          <t>Elenco florístico</t>
        </is>
      </c>
      <c r="C15" s="35" t="inlineStr">
        <is>
          <t>La ficha registra 5 taxones, por debajo del mínimo de 15 que exige el formato V5</t>
        </is>
      </c>
      <c r="D15" s="36"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6"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«Maray»; el cruce INEI-Bloques V5 identifica 1 centro(s) poblado(s) en el bloque: MARAY</t>
        </is>
      </c>
      <c r="D17" s="34"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6" t="inlineStr">
        <is>
          <t>SUSTANTIVA</t>
        </is>
      </c>
      <c r="E18" s="33" t="inlineStr">
        <is>
          <t>Debe tomarse del modelamiento de mesolocalización (PMM + EPH + PGI ponderados por AHP) antes de fijar la prioridad definitiva de intervención del bloque.</t>
        </is>
      </c>
    </row>
    <row r="19" ht="48" customHeight="1">
      <c r="A19" s="35" t="inlineStr">
        <is>
          <t>D-10</t>
        </is>
      </c>
      <c r="B19" s="35" t="inlineStr">
        <is>
          <t>F-DT-01</t>
        </is>
      </c>
      <c r="C19" s="35" t="inlineStr">
        <is>
          <t>El campo "Altitud GPS" consignaba 50.9720, que corresponde al ÁREA del bloque en hectáreas y no a una altitud</t>
        </is>
      </c>
      <c r="D19" s="37" t="inlineStr">
        <is>
          <t>CORREGIDO</t>
        </is>
      </c>
      <c r="E19" s="35" t="inlineStr">
        <is>
          <t>Se consigna en su lugar la altitud de 215 msnm registrada en la ficha F-EE-05 del mismo punto y fecha</t>
        </is>
      </c>
    </row>
    <row r="20" ht="48" customHeight="1">
      <c r="A20" s="33" t="inlineStr">
        <is>
          <t>D-11</t>
        </is>
      </c>
      <c r="B20" s="33" t="inlineStr">
        <is>
          <t>F-DT-01</t>
        </is>
      </c>
      <c r="C20" s="33" t="inlineStr">
        <is>
          <t>El Segundo Entregable [E2] indica altitud GPS de 180 m frente a los 215 m de la F-EE-05</t>
        </is>
      </c>
      <c r="D20" s="36" t="inlineStr">
        <is>
          <t>SUSTANTIVA</t>
        </is>
      </c>
      <c r="E20" s="33" t="inlineStr">
        <is>
          <t>Diferencia de 35 m POR CONCILIAR; se conservan ambos registros sin promediar</t>
        </is>
      </c>
    </row>
    <row r="21" ht="48" customHeight="1">
      <c r="A21" s="35" t="inlineStr">
        <is>
          <t>D-12</t>
        </is>
      </c>
      <c r="B21" s="35" t="inlineStr">
        <is>
          <t>F-DT-01</t>
        </is>
      </c>
      <c r="C21" s="35" t="inlineStr">
        <is>
          <t>Pendiente de campo (25-50%, predominante 45%) frente a la pendiente promedio de gabinete (18.79%, clase 15-25%)</t>
        </is>
      </c>
      <c r="D21" s="15" t="inlineStr">
        <is>
          <t>NO SUSTANTIVA</t>
        </is>
      </c>
      <c r="E21" s="35" t="inlineStr">
        <is>
          <t>Se declara que el rango de campo corresponde a los sectores de ladera efectivamente recorridos</t>
        </is>
      </c>
    </row>
    <row r="22" ht="48" customHeight="1">
      <c r="A22" s="33" t="inlineStr">
        <is>
          <t>D-13</t>
        </is>
      </c>
      <c r="B22" s="33" t="inlineStr">
        <is>
          <t>F-DT-01</t>
        </is>
      </c>
      <c r="C22" s="33" t="inlineStr">
        <is>
          <t>REMOCIÓN EN MASA ACTIVA verificada en campo en una porción reducida del polígono</t>
        </is>
      </c>
      <c r="D22" s="36" t="inlineStr">
        <is>
          <t>SUSTANTIVA</t>
        </is>
      </c>
      <c r="E22" s="33" t="inlineStr">
        <is>
          <t>Se eleva como hallazgo de riesgo; POR VERIFICAR la caracterización y georreferenciación del área afectada</t>
        </is>
      </c>
    </row>
    <row r="23" ht="48" customHeight="1">
      <c r="A23" s="35" t="inlineStr">
        <is>
          <t>D-14</t>
        </is>
      </c>
      <c r="B23" s="35" t="inlineStr">
        <is>
          <t>F-DT-02 / F-EE-05</t>
        </is>
      </c>
      <c r="C23" s="35" t="inlineStr">
        <is>
          <t>La F-DT-02 declara 0 cárcavas mientras la F-EE-05 consigna "Presencia de cárcavas/surcos: Sí"</t>
        </is>
      </c>
      <c r="D23" s="37" t="inlineStr">
        <is>
          <t>CORREGIDO</t>
        </is>
      </c>
      <c r="E23" s="35" t="inlineStr">
        <is>
          <t>La contradicción se resuelve por la ubicación: los surcos están al pie de la ladera, FUERA del polígono del bloque</t>
        </is>
      </c>
    </row>
    <row r="24" ht="48" customHeight="1">
      <c r="A24" s="33" t="inlineStr">
        <is>
          <t>D-15</t>
        </is>
      </c>
      <c r="B24" s="33" t="inlineStr">
        <is>
          <t>F-DT-03</t>
        </is>
      </c>
      <c r="C24" s="33" t="inlineStr">
        <is>
          <t>DAP registrado como rango (25-30 cm) en un campo que espera valor único</t>
        </is>
      </c>
      <c r="D24" s="15" t="inlineStr">
        <is>
          <t>NO SUSTANTIVA</t>
        </is>
      </c>
      <c r="E24" s="33" t="inlineStr">
        <is>
          <t>Se consigna literalmente el rango; de requerirse un valor único debe definirse en campo</t>
        </is>
      </c>
    </row>
    <row r="25" ht="48" customHeight="1">
      <c r="A25" s="35" t="inlineStr">
        <is>
          <t>D-16</t>
        </is>
      </c>
      <c r="B25" s="35" t="inlineStr">
        <is>
          <t>F-DT-03</t>
        </is>
      </c>
      <c r="C25" s="35" t="inlineStr">
        <is>
          <t>Sólo 5 especies registradas por nombre común, sin estrato, abundancia, DAP ni altura por individuo</t>
        </is>
      </c>
      <c r="D25" s="36" t="inlineStr">
        <is>
          <t>SUSTANTIVA</t>
        </is>
      </c>
      <c r="E25" s="35" t="inlineStr">
        <is>
          <t>POR COMPLETAR con levantamiento de al menos 15 especies por estrato</t>
        </is>
      </c>
    </row>
    <row r="26" ht="48" customHeight="1">
      <c r="A26" s="33" t="inlineStr">
        <is>
          <t>D-17</t>
        </is>
      </c>
      <c r="B26" s="33" t="inlineStr">
        <is>
          <t>F-DT-03 / F-DT-04</t>
        </is>
      </c>
      <c r="C26" s="33" t="inlineStr">
        <is>
          <t>Cobertura vegetal total: 80% en F-DT-03 frente a 90% en el indicador 1 del F-DT-04</t>
        </is>
      </c>
      <c r="D26" s="36" t="inlineStr">
        <is>
          <t>SUSTANTIVA</t>
        </is>
      </c>
      <c r="E26" s="33" t="inlineStr">
        <is>
          <t>Se conservan ambos valores con indicación de su sección de origen; corresponde conciliar</t>
        </is>
      </c>
    </row>
    <row r="27" ht="48" customHeight="1">
      <c r="A27" s="35" t="inlineStr">
        <is>
          <t>D-18</t>
        </is>
      </c>
      <c r="B27" s="35" t="inlineStr">
        <is>
          <t>F-DT-04</t>
        </is>
      </c>
      <c r="C27" s="35" t="inlineStr">
        <is>
          <t>Para la única causa presente (tala para leña) no se consignaron intensidad, extensión ni antigüedad; indicadores 3-6 sin valorar e indicadores 1, 2, 7 y 8 sin calificación de nivel</t>
        </is>
      </c>
      <c r="D27" s="36" t="inlineStr">
        <is>
          <t>SUSTANTIVA</t>
        </is>
      </c>
      <c r="E27" s="35" t="inlineStr">
        <is>
          <t>POR COMPLETAR; la extensión de la tala para leña es el dato crítico para la delimitación de subáreas</t>
        </is>
      </c>
    </row>
    <row r="28" ht="48" customHeight="1">
      <c r="A28" s="33" t="inlineStr">
        <is>
          <t>D-19</t>
        </is>
      </c>
      <c r="B28" s="33" t="inlineStr">
        <is>
          <t>F-DT-05</t>
        </is>
      </c>
      <c r="C28" s="33" t="inlineStr">
        <is>
          <t>La única fuente inventariada carece de coordenadas UTM, calidad y distancia</t>
        </is>
      </c>
      <c r="D28" s="36" t="inlineStr">
        <is>
          <t>SUSTANTIVA</t>
        </is>
      </c>
      <c r="E28" s="33" t="inlineStr">
        <is>
          <t>POR COMPLETAR con levantamiento georreferenciado; condiciona el dimensionamiento de los diques propuestos</t>
        </is>
      </c>
    </row>
    <row r="29" ht="48" customHeight="1">
      <c r="A29" s="35" t="inlineStr">
        <is>
          <t>D-20</t>
        </is>
      </c>
      <c r="B29" s="35" t="inlineStr">
        <is>
          <t>F-DT-03</t>
        </is>
      </c>
      <c r="C29" s="35" t="inlineStr">
        <is>
          <t>Inspección efectuada posterior a temporada de lluvias, con herbáceas estacionales que pueden sobrestimar la cobertura</t>
        </is>
      </c>
      <c r="D29" s="36" t="inlineStr">
        <is>
          <t>SUSTANTIVA</t>
        </is>
      </c>
      <c r="E29" s="35" t="inlineStr">
        <is>
          <t>El propio entregable recomienda VERIFICACIÓN EN ÉPOCA SECA antes de decidir la exclusión del bloque</t>
        </is>
      </c>
    </row>
    <row r="31">
      <c r="A31" s="16" t="inlineStr">
        <is>
          <t>RESUMEN</t>
        </is>
      </c>
      <c r="B31" s="17" t="inlineStr">
        <is>
          <t>20 verificaciones</t>
        </is>
      </c>
      <c r="C31" s="17" t="inlineStr">
        <is>
          <t>CONFORME: 4 · CORREGIDO: 2 · NO SUSTANTIVA: 4 · SUSTANTIVA: 10</t>
        </is>
      </c>
      <c r="D31" s="17" t="inlineStr"/>
      <c r="E31" s="17" t="inlineStr"/>
    </row>
    <row r="33" ht="60" customHeight="1">
      <c r="A3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33:E33"/>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M32B3 — IN Piura</dc:title>
  <dc:subject>Diagnóstico Territorial por bloque de intervención</dc:subject>
  <dcterms:created xsi:type="dcterms:W3CDTF">2026-09-08T02:45:06Z</dcterms:created>
  <dcterms:modified xsi:type="dcterms:W3CDTF">2026-09-08T02:45:06Z</dcterms:modified>
</cp:coreProperties>
</file>