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10">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
      <patternFill patternType="solid">
        <fgColor rgb="00C6E0B4"/>
      </patternFill>
    </fill>
  </fills>
  <borders count="2">
    <border>
      <left/>
      <right/>
      <top/>
      <bottom/>
      <diagonal/>
    </border>
    <border>
      <left style="thin">
        <color rgb="009C9C9C"/>
      </left>
      <right style="thin">
        <color rgb="009C9C9C"/>
      </right>
      <top style="thin">
        <color rgb="009C9C9C"/>
      </top>
      <bottom style="thin">
        <color rgb="009C9C9C"/>
      </bottom>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5" fillId="9"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4"/>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M3B1</t>
        </is>
      </c>
    </row>
    <row r="6" ht="24" customHeight="1">
      <c r="A6" s="4" t="inlineStr">
        <is>
          <t>Diagnóstico Territorial — Plantilla DT Campo Check Validada V5 | Sistema de referencia: UTM WGS 84 Zona 17S (EPSG:32717)</t>
        </is>
      </c>
    </row>
    <row r="8" ht="18" customHeight="1">
      <c r="A8" s="5" t="inlineStr">
        <is>
          <t>1. IDENTIFICACIÓN Y LOCALIZACIÓN</t>
        </is>
      </c>
    </row>
    <row r="9">
      <c r="A9" s="6" t="inlineStr">
        <is>
          <t>Código del bloque</t>
        </is>
      </c>
      <c r="B9" s="7" t="inlineStr">
        <is>
          <t>M3B1</t>
        </is>
      </c>
      <c r="C9" s="6" t="inlineStr">
        <is>
          <t>Microcuenca (catálogo)</t>
        </is>
      </c>
      <c r="D9" s="7" t="inlineStr">
        <is>
          <t>C1081-Q9582</t>
        </is>
      </c>
      <c r="E9" s="8" t="n"/>
      <c r="F9" s="8" t="n"/>
    </row>
    <row r="10">
      <c r="A10" s="6" t="inlineStr">
        <is>
          <t>Zona de planificación</t>
        </is>
      </c>
      <c r="B10" s="7" t="inlineStr">
        <is>
          <t>Z07</t>
        </is>
      </c>
      <c r="C10" s="6" t="inlineStr">
        <is>
          <t>Microcuenca declarada en ficha DT</t>
        </is>
      </c>
      <c r="D10" s="7" t="inlineStr">
        <is>
          <t>C1081-Q9582</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Salitral</t>
        </is>
      </c>
      <c r="C12" s="6" t="inlineStr">
        <is>
          <t>Capital distrital</t>
        </is>
      </c>
      <c r="D12" s="7" t="inlineStr">
        <is>
          <t>Salitral</t>
        </is>
      </c>
      <c r="E12" s="8" t="n"/>
      <c r="F12" s="8" t="n"/>
    </row>
    <row r="13">
      <c r="A13" s="6" t="inlineStr">
        <is>
          <t>Centro poblado asociado</t>
        </is>
      </c>
      <c r="B13" s="7" t="inlineStr">
        <is>
          <t>Piedra Blanca</t>
        </is>
      </c>
      <c r="C13" s="6" t="inlineStr">
        <is>
          <t>Comunidad campesina</t>
        </is>
      </c>
      <c r="D13" s="7" t="inlineStr">
        <is>
          <t>No aplica formalmente — predios rurales individuales y sectores comunales no titulados</t>
        </is>
      </c>
      <c r="E13" s="8" t="n"/>
      <c r="F13" s="8" t="n"/>
    </row>
    <row r="14">
      <c r="A14" s="6" t="inlineStr">
        <is>
          <t>Superficie de catálogo (V5/V6), ha</t>
        </is>
      </c>
      <c r="B14" s="7" t="n">
        <v>80.98</v>
      </c>
      <c r="C14" s="6" t="inlineStr">
        <is>
          <t>Fuente de superficie</t>
        </is>
      </c>
      <c r="D14" s="7" t="inlineStr">
        <is>
          <t>Catálogo maestro Bloques V5/V6</t>
        </is>
      </c>
      <c r="E14" s="8" t="n"/>
      <c r="F14" s="8" t="n"/>
    </row>
    <row r="15">
      <c r="A15" s="6" t="inlineStr">
        <is>
          <t>Centroide UTM ESTE (m)</t>
        </is>
      </c>
      <c r="B15" s="7" t="n">
        <v>630685</v>
      </c>
      <c r="C15" s="6" t="inlineStr">
        <is>
          <t>Centroide UTM NORTE (m)</t>
        </is>
      </c>
      <c r="D15" s="7" t="n">
        <v>9410800</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8" ht="18" customHeight="1">
      <c r="A18" s="5" t="inlineStr">
        <is>
          <t>2. PARÁMETROS FÍSICOS (ESTADÍSTICA ZONAL SOBRE MDE)</t>
        </is>
      </c>
    </row>
    <row r="19">
      <c r="A19" s="6" t="inlineStr">
        <is>
          <t>Altitud mínima (msnm)</t>
        </is>
      </c>
      <c r="B19" s="7" t="n">
        <v>184</v>
      </c>
      <c r="C19" s="6" t="inlineStr">
        <is>
          <t>Altitud máxima (msnm)</t>
        </is>
      </c>
      <c r="D19" s="7" t="n">
        <v>395</v>
      </c>
      <c r="E19" s="8" t="n"/>
      <c r="F19" s="8" t="n"/>
    </row>
    <row r="20">
      <c r="A20" s="6" t="inlineStr">
        <is>
          <t>Amplitud altitudinal (m)</t>
        </is>
      </c>
      <c r="B20" s="7" t="n">
        <v>211</v>
      </c>
      <c r="C20" s="6" t="inlineStr">
        <is>
          <t>Piso altitudinal dominante</t>
        </is>
      </c>
      <c r="D20" s="7" t="inlineStr">
        <is>
          <t>&lt;1000 m (Yunga)</t>
        </is>
      </c>
      <c r="E20" s="8" t="n"/>
      <c r="F20" s="8" t="n"/>
    </row>
    <row r="21">
      <c r="A21" s="6" t="inlineStr">
        <is>
          <t>Pendiente promedio (%)</t>
        </is>
      </c>
      <c r="B21" s="7" t="n">
        <v>19.4</v>
      </c>
      <c r="C21" s="6" t="inlineStr">
        <is>
          <t>Pendiente promedio (grados)</t>
        </is>
      </c>
      <c r="D21" s="7" t="n">
        <v>11</v>
      </c>
      <c r="E21" s="8" t="n"/>
      <c r="F21" s="8" t="n"/>
    </row>
    <row r="22">
      <c r="A22" s="6" t="inlineStr">
        <is>
          <t>Clase de pendiente equivalente</t>
        </is>
      </c>
      <c r="B22" s="7" t="inlineStr">
        <is>
          <t>15-25% (Fuert. inclinado)</t>
        </is>
      </c>
      <c r="C22" s="6" t="inlineStr">
        <is>
          <t>Rango de pendiente declarado en campo</t>
        </is>
      </c>
      <c r="D22" s="7" t="inlineStr">
        <is>
          <t>25-50% (Mod. escarpado)</t>
        </is>
      </c>
      <c r="E22" s="8" t="n"/>
      <c r="F22" s="8" t="n"/>
    </row>
    <row r="23">
      <c r="A23" s="6" t="inlineStr">
        <is>
          <t>Forma predominante del terreno</t>
        </is>
      </c>
      <c r="B23" s="7" t="inlineStr">
        <is>
          <t>Colinoso</t>
        </is>
      </c>
      <c r="C23" s="6" t="inlineStr">
        <is>
          <t>Posición fisiográfica</t>
        </is>
      </c>
      <c r="D23" s="7" t="inlineStr">
        <is>
          <t>Ladera media</t>
        </is>
      </c>
      <c r="E23" s="8" t="n"/>
      <c r="F23" s="8" t="n"/>
    </row>
    <row r="24">
      <c r="A24" s="6" t="inlineStr">
        <is>
          <t>Exposición / orientación</t>
        </is>
      </c>
      <c r="B24" s="7" t="inlineStr">
        <is>
          <t>Noroeste</t>
        </is>
      </c>
      <c r="C24" s="6" t="inlineStr">
        <is>
          <t>Afloramientos rocosos</t>
        </is>
      </c>
      <c r="D24" s="7" t="inlineStr">
        <is>
          <t>Sí</t>
        </is>
      </c>
      <c r="E24" s="8" t="n"/>
      <c r="F24" s="8" t="n"/>
    </row>
    <row r="25">
      <c r="A25" s="6" t="inlineStr">
        <is>
          <t>Escarpes activos</t>
        </is>
      </c>
      <c r="B25" s="7" t="inlineStr">
        <is>
          <t>Sí</t>
        </is>
      </c>
      <c r="C25" s="6" t="inlineStr">
        <is>
          <t>Remociones en masa activas</t>
        </is>
      </c>
      <c r="D25" s="7" t="inlineStr">
        <is>
          <t>No</t>
        </is>
      </c>
      <c r="E25" s="8" t="n"/>
      <c r="F25" s="8" t="n"/>
    </row>
    <row r="27" ht="18" customHeight="1">
      <c r="A27" s="5" t="inlineStr">
        <is>
          <t>3. ÍNDICES DE VEGETACIÓN (SENTINEL-2)</t>
        </is>
      </c>
    </row>
    <row r="28">
      <c r="A28" s="6" t="inlineStr">
        <is>
          <t>MSAVI 2024 — media del bloque</t>
        </is>
      </c>
      <c r="B28" s="7" t="n">
        <v>0.3239</v>
      </c>
      <c r="C28" s="6" t="inlineStr">
        <is>
          <t>MSAVI 2024 — clase de la media</t>
        </is>
      </c>
      <c r="D28" s="7" t="inlineStr">
        <is>
          <t>0.2650 - 0.3813 (Vigor muy bajo)</t>
        </is>
      </c>
      <c r="E28" s="8" t="n"/>
      <c r="F28" s="8" t="n"/>
    </row>
    <row r="29">
      <c r="A29" s="6" t="inlineStr">
        <is>
          <t>Condición frente al umbral 0.4976</t>
        </is>
      </c>
      <c r="B29" s="7" t="inlineStr">
        <is>
          <t>BAJO umbral 0.4976</t>
        </is>
      </c>
      <c r="C29" s="6" t="inlineStr">
        <is>
          <t>NDVI mediana 2025 — clase modal</t>
        </is>
      </c>
      <c r="D29" s="7" t="inlineStr">
        <is>
          <t>Vegetación mediana (65.98 %)</t>
        </is>
      </c>
      <c r="E29" s="8" t="n"/>
      <c r="F29" s="8" t="n"/>
    </row>
    <row r="30">
      <c r="A30" s="6" t="inlineStr">
        <is>
          <t>Superficie clasificada NDVI 2025 (ha)</t>
        </is>
      </c>
      <c r="B30" s="7" t="n">
        <v>81.01300000000001</v>
      </c>
      <c r="C30" s="6" t="inlineStr">
        <is>
          <t>Desviación frente al catálogo (%)</t>
        </is>
      </c>
      <c r="D30" s="7" t="n">
        <v>0.04</v>
      </c>
      <c r="E30" s="8" t="n"/>
      <c r="F30" s="8" t="n"/>
    </row>
    <row r="32" ht="18" customHeight="1">
      <c r="A32" s="5" t="inlineStr">
        <is>
          <t>4. ECOSISTEMA Y ESTADO DE CONSERVACIÓN</t>
        </is>
      </c>
    </row>
    <row r="33">
      <c r="A33" s="6" t="inlineStr">
        <is>
          <t>Tipo de ecosistema (UP)</t>
        </is>
      </c>
      <c r="B33" s="7" t="inlineStr">
        <is>
          <t>Bosque Estacionalmente Seco de Colina y Montaña (Bes-cm)</t>
        </is>
      </c>
      <c r="C33" s="6" t="inlineStr">
        <is>
          <t>Superficie de ecosistema (ha)</t>
        </is>
      </c>
      <c r="D33" s="7" t="inlineStr">
        <is>
          <t>≈80.98 ha (área total del bloque)</t>
        </is>
      </c>
      <c r="E33" s="8" t="n"/>
      <c r="F33" s="8" t="n"/>
    </row>
    <row r="34">
      <c r="A34" s="6" t="inlineStr">
        <is>
          <t>Estado de conservación</t>
        </is>
      </c>
      <c r="B34" s="7" t="inlineStr">
        <is>
          <t>Alterado (intervención marcada)</t>
        </is>
      </c>
      <c r="C34" s="6" t="inlineStr">
        <is>
          <t>Uso actual dominante del suelo</t>
        </is>
      </c>
      <c r="D34" s="7" t="inlineStr">
        <is>
          <t>Sin registro en ficha</t>
        </is>
      </c>
      <c r="E34" s="8" t="n"/>
      <c r="F34" s="8" t="n"/>
    </row>
    <row r="35">
      <c r="A35" s="6" t="inlineStr">
        <is>
          <t>Tipo de cobertura dominante</t>
        </is>
      </c>
      <c r="B35" s="7" t="inlineStr">
        <is>
          <t>Matorral ralo</t>
        </is>
      </c>
      <c r="C35" s="6" t="inlineStr">
        <is>
          <t>Cobertura vegetal total — campo (%)</t>
        </is>
      </c>
      <c r="D35" s="7" t="n">
        <v>35</v>
      </c>
      <c r="E35" s="8" t="n"/>
      <c r="F35" s="8" t="n"/>
    </row>
    <row r="36">
      <c r="A36" s="6" t="inlineStr">
        <is>
          <t>Suelo desnudo — campo (%)</t>
        </is>
      </c>
      <c r="B36" s="7" t="n">
        <v>52</v>
      </c>
      <c r="C36" s="6" t="inlineStr">
        <is>
          <t>Regeneración natural</t>
        </is>
      </c>
      <c r="D36" s="7" t="inlineStr">
        <is>
          <t>Escasa (&lt;10 pl./100m²)</t>
        </is>
      </c>
      <c r="E36" s="8" t="n"/>
      <c r="F36" s="8" t="n"/>
    </row>
    <row r="37">
      <c r="A37" s="6" t="inlineStr">
        <is>
          <t>Nivel general de erosión</t>
        </is>
      </c>
      <c r="B37" s="7" t="inlineStr">
        <is>
          <t>Moderada (surcos)</t>
        </is>
      </c>
      <c r="C37" s="6" t="inlineStr">
        <is>
          <t>N.° de cárcavas registradas</t>
        </is>
      </c>
      <c r="D37" s="7" t="n">
        <v>2</v>
      </c>
      <c r="E37" s="8" t="n"/>
      <c r="F37" s="8" t="n"/>
    </row>
    <row r="38">
      <c r="A38" s="6" t="inlineStr">
        <is>
          <t>Elenco florístico (n.° de taxones)</t>
        </is>
      </c>
      <c r="B38" s="7" t="n">
        <v>9</v>
      </c>
      <c r="C38" s="6" t="inlineStr">
        <is>
          <t>Estado sanitario</t>
        </is>
      </c>
      <c r="D38" s="7" t="inlineStr">
        <is>
          <t>Sin registro en ficha</t>
        </is>
      </c>
      <c r="E38" s="8" t="n"/>
      <c r="F38" s="8" t="n"/>
    </row>
    <row r="40" ht="18" customHeight="1">
      <c r="A40" s="5" t="inlineStr">
        <is>
          <t>5. RESPONSABLE Y MODALIDAD DE LA EVALUACIÓN</t>
        </is>
      </c>
    </row>
    <row r="41">
      <c r="A41" s="6" t="inlineStr">
        <is>
          <t>Responsable de la evaluación</t>
        </is>
      </c>
      <c r="B41" s="7" t="inlineStr">
        <is>
          <t>Ing. Héctor Salomón Cahuas Miller</t>
        </is>
      </c>
      <c r="C41" s="6" t="inlineStr">
        <is>
          <t>Fecha de evaluación</t>
        </is>
      </c>
      <c r="D41" s="7" t="inlineStr">
        <is>
          <t>2026-05-15</t>
        </is>
      </c>
      <c r="E41" s="8" t="n"/>
      <c r="F41" s="8" t="n"/>
    </row>
    <row r="42">
      <c r="A42" s="6" t="inlineStr">
        <is>
          <t>Hora de registro</t>
        </is>
      </c>
      <c r="B42" s="7" t="inlineStr">
        <is>
          <t>09:25 h</t>
        </is>
      </c>
      <c r="C42" s="6" t="inlineStr">
        <is>
          <t>Correlativo de ficha</t>
        </is>
      </c>
      <c r="D42" s="7" t="inlineStr">
        <is>
          <t>DT-M3B1-001</t>
        </is>
      </c>
      <c r="E42" s="8" t="n"/>
      <c r="F42" s="8" t="n"/>
    </row>
    <row r="43">
      <c r="A43" s="6" t="inlineStr">
        <is>
          <t>Entidad</t>
        </is>
      </c>
      <c r="B43" s="7" t="inlineStr">
        <is>
          <t>ANIN - DIME - SESDI</t>
        </is>
      </c>
      <c r="C43" s="6" t="inlineStr">
        <is>
          <t>Fase del estudio</t>
        </is>
      </c>
      <c r="D43" s="7" t="inlineStr">
        <is>
          <t>Preinversión (Perfil) · Invierte.pe</t>
        </is>
      </c>
      <c r="E43" s="8" t="n"/>
      <c r="F43" s="8" t="n"/>
    </row>
    <row r="44">
      <c r="A44" s="6" t="inlineStr">
        <is>
          <t>Instrumento aplicado</t>
        </is>
      </c>
      <c r="B44" s="7" t="inlineStr">
        <is>
          <t>Fichas F-DT-01 a F-DT-05 (Plantilla V5)</t>
        </is>
      </c>
      <c r="C44" s="6" t="inlineStr">
        <is>
          <t>Parcela de muestreo</t>
        </is>
      </c>
      <c r="D44" s="7" t="inlineStr">
        <is>
          <t>Sin registro en ficha</t>
        </is>
      </c>
      <c r="E44" s="8" t="n"/>
      <c r="F44" s="8" t="n"/>
    </row>
    <row r="45">
      <c r="A45" s="6" t="inlineStr">
        <is>
          <t>Estaciones fotográficas georreferenciadas</t>
        </is>
      </c>
      <c r="B45" s="7" t="n">
        <v>0</v>
      </c>
      <c r="C45" s="6" t="inlineStr">
        <is>
          <t>Modalidad de acceso</t>
        </is>
      </c>
      <c r="D45" s="7" t="inlineStr">
        <is>
          <t>Vehicular + caminata &lt;30 min</t>
        </is>
      </c>
      <c r="E45" s="8" t="n"/>
      <c r="F45" s="8" t="n"/>
    </row>
    <row r="47" ht="18" customHeight="1">
      <c r="A47" s="5" t="inlineStr">
        <is>
          <t>6. SÍNTESIS PARA LA GESTIÓN DEL RIESGO EN CONTEXTO DE CAMBIO CLIMÁTICO</t>
        </is>
      </c>
    </row>
    <row r="48">
      <c r="A48" s="6" t="inlineStr">
        <is>
          <t>Causa subyacente principal</t>
        </is>
      </c>
      <c r="B48" s="7" t="inlineStr">
        <is>
          <t>Dependencia económica de actividades ganaderas y extractivas de bajo retorno por parte de la población rural circundante</t>
        </is>
      </c>
      <c r="C48" s="6" t="inlineStr">
        <is>
          <t>Velocidad de degradación</t>
        </is>
      </c>
      <c r="D48" s="7" t="inlineStr">
        <is>
          <t>Moderada</t>
        </is>
      </c>
      <c r="E48" s="8" t="n"/>
      <c r="F48" s="8" t="n"/>
    </row>
    <row r="49">
      <c r="A49" s="6" t="inlineStr">
        <is>
          <t>Reversibilidad técnica</t>
        </is>
      </c>
      <c r="B49" s="7" t="inlineStr">
        <is>
          <t>Parcialmente reversible</t>
        </is>
      </c>
      <c r="C49" s="6" t="inlineStr">
        <is>
          <t>Urgencia de intervención</t>
        </is>
      </c>
      <c r="D49" s="7" t="inlineStr">
        <is>
          <t>Alta</t>
        </is>
      </c>
      <c r="E49" s="8" t="n"/>
      <c r="F49" s="8" t="n"/>
    </row>
    <row r="50">
      <c r="A50" s="6" t="inlineStr">
        <is>
          <t>Urgencia de control de erosión</t>
        </is>
      </c>
      <c r="B50" s="7" t="inlineStr">
        <is>
          <t>Alta</t>
        </is>
      </c>
      <c r="C50" s="6" t="inlineStr">
        <is>
          <t>Zona de recarga hídrica</t>
        </is>
      </c>
      <c r="D50" s="7" t="inlineStr">
        <is>
          <t>Sí</t>
        </is>
      </c>
      <c r="E50" s="8" t="n"/>
      <c r="F50" s="8" t="n"/>
    </row>
    <row r="51">
      <c r="A51" s="6" t="inlineStr">
        <is>
          <t>Peligro integrado preliminar (MCA-AHP)</t>
        </is>
      </c>
      <c r="B51" s="7" t="inlineStr">
        <is>
          <t>No disponible en los insumos; debe tomarse del modelamiento de mesolocalización</t>
        </is>
      </c>
      <c r="C51" s="6" t="inlineStr">
        <is>
          <t>Prioridad de intervención</t>
        </is>
      </c>
      <c r="D51" s="7" t="inlineStr">
        <is>
          <t>Por definir en mesolocalización</t>
        </is>
      </c>
      <c r="E51" s="8" t="n"/>
      <c r="F51" s="8" t="n"/>
    </row>
    <row r="52">
      <c r="A52" s="6" t="inlineStr">
        <is>
          <t>Estado de verificación de campo</t>
        </is>
      </c>
      <c r="B52" s="7" t="inlineStr">
        <is>
          <t>VERIFICADO</t>
        </is>
      </c>
      <c r="C52" s="6" t="inlineStr">
        <is>
          <t>Marco del indicador de brecha</t>
        </is>
      </c>
      <c r="D52" s="7" t="inlineStr">
        <is>
          <t>R.M. N.° 00213-2024-MINAM</t>
        </is>
      </c>
      <c r="E52" s="8" t="n"/>
      <c r="F52" s="8" t="n"/>
    </row>
    <row r="54" ht="72" customHeight="1">
      <c r="A54"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row>
  </sheetData>
  <mergeCells count="13">
    <mergeCell ref="A2:F2"/>
    <mergeCell ref="A54:F54"/>
    <mergeCell ref="A47:F47"/>
    <mergeCell ref="A1:F1"/>
    <mergeCell ref="A5:F5"/>
    <mergeCell ref="A32:F32"/>
    <mergeCell ref="A27:F27"/>
    <mergeCell ref="A8:F8"/>
    <mergeCell ref="A6:F6"/>
    <mergeCell ref="A40:F40"/>
    <mergeCell ref="A18:F18"/>
    <mergeCell ref="A4:F4"/>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8"/>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M3B1</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1" t="inlineStr">
        <is>
          <t>Por determinar</t>
        </is>
      </c>
      <c r="C10" s="11" t="inlineStr">
        <is>
          <t>Por determinar</t>
        </is>
      </c>
      <c r="D10" s="11" t="inlineStr">
        <is>
          <t>Vigor alto</t>
        </is>
      </c>
      <c r="E10" s="11" t="inlineStr">
        <is>
          <t>Sobre umbral</t>
        </is>
      </c>
    </row>
    <row r="11">
      <c r="A11" s="12" t="inlineStr">
        <is>
          <t>0.4976 - 0.6139</t>
        </is>
      </c>
      <c r="B11" s="13" t="inlineStr">
        <is>
          <t>Por determinar</t>
        </is>
      </c>
      <c r="C11" s="13" t="inlineStr">
        <is>
          <t>Por determinar</t>
        </is>
      </c>
      <c r="D11" s="13" t="inlineStr">
        <is>
          <t>Vigor moderado</t>
        </is>
      </c>
      <c r="E11" s="13" t="inlineStr">
        <is>
          <t>Sobre umbral</t>
        </is>
      </c>
    </row>
    <row r="12">
      <c r="A12" s="7" t="inlineStr">
        <is>
          <t>0.3813 - 0.4976</t>
        </is>
      </c>
      <c r="B12" s="11" t="inlineStr">
        <is>
          <t>Por determinar</t>
        </is>
      </c>
      <c r="C12" s="11" t="inlineStr">
        <is>
          <t>Por determinar</t>
        </is>
      </c>
      <c r="D12" s="11" t="inlineStr">
        <is>
          <t>Vigor bajo</t>
        </is>
      </c>
      <c r="E12" s="11" t="inlineStr">
        <is>
          <t>BAJO umbral 0.4976</t>
        </is>
      </c>
    </row>
    <row r="13">
      <c r="A13" s="14" t="inlineStr">
        <is>
          <t>0.2650 - 0.3813</t>
        </is>
      </c>
      <c r="B13" s="15" t="inlineStr">
        <is>
          <t>Por determinar</t>
        </is>
      </c>
      <c r="C13" s="15" t="inlineStr">
        <is>
          <t>Por determinar</t>
        </is>
      </c>
      <c r="D13" s="15" t="inlineStr">
        <is>
          <t>Vigor muy bajo</t>
        </is>
      </c>
      <c r="E13" s="15" t="inlineStr">
        <is>
          <t>BAJO umbral 0.4976</t>
        </is>
      </c>
    </row>
    <row r="14">
      <c r="A14" s="7" t="inlineStr">
        <is>
          <t>&lt;= 0.2650</t>
        </is>
      </c>
      <c r="B14" s="11" t="inlineStr">
        <is>
          <t>Por determinar</t>
        </is>
      </c>
      <c r="C14" s="11" t="inlineStr">
        <is>
          <t>Por determinar</t>
        </is>
      </c>
      <c r="D14" s="11" t="inlineStr">
        <is>
          <t>Suelo desnudo / no vegetal</t>
        </is>
      </c>
      <c r="E14" s="11" t="inlineStr">
        <is>
          <t>BAJO umbral 0.4976</t>
        </is>
      </c>
    </row>
    <row r="15">
      <c r="A15" s="16" t="inlineStr">
        <is>
          <t>MSAVI 2024 — MEDIA DEL BLOQUE</t>
        </is>
      </c>
      <c r="B15" s="17" t="n">
        <v>0.323882</v>
      </c>
      <c r="C15" s="17" t="inlineStr">
        <is>
          <t>—</t>
        </is>
      </c>
      <c r="D15" s="17" t="inlineStr">
        <is>
          <t>Vigor muy bajo · clase 0.2650 - 0.3813</t>
        </is>
      </c>
      <c r="E15" s="17" t="inlineStr">
        <is>
          <t>BAJO umbral 0.4976</t>
        </is>
      </c>
    </row>
    <row r="17" ht="72" customHeight="1">
      <c r="A17" s="9" t="inlineStr">
        <is>
          <t>NOTA METODOLÓGICA. La media del MSAVI 2024 del bloque (0.323882) procede del catálogo maestro de bloques V5/V6 y es dato oficial. La DISTRIBUCIÓN AREAL por clase de MSAVI no está disponible como estadística zonal en los insumos de este entregable: se consigna «Por determinar» y NO se estima, conforme a la declaración de integridad de datos del proyecto. La fila resaltada indica la clase en la que cae la media del bloque. Para el dimensionamiento de metas físicas debe ejecutarse estadística zonal directa sobre el ráster MSAVI 2024 recortado al polígono.</t>
        </is>
      </c>
    </row>
    <row r="19" ht="18" customHeight="1">
      <c r="A19" s="5" t="inlineStr">
        <is>
          <t>B. NDVI MEDIANA 2025 — DISTRIBUCIÓN AREAL (ESTADÍSTICA ZONAL)</t>
        </is>
      </c>
    </row>
    <row r="20" ht="28" customHeight="1">
      <c r="A20" s="10" t="inlineStr">
        <is>
          <t>Clase NDVI</t>
        </is>
      </c>
      <c r="B20" s="10" t="inlineStr">
        <is>
          <t>Superficie (ha)</t>
        </is>
      </c>
      <c r="C20" s="10" t="inlineStr">
        <is>
          <t>% del área clasificada</t>
        </is>
      </c>
      <c r="D20" s="10" t="inlineStr">
        <is>
          <t>Interpretación</t>
        </is>
      </c>
      <c r="E20" s="10" t="inlineStr">
        <is>
          <t>Observación</t>
        </is>
      </c>
    </row>
    <row r="21">
      <c r="A21" s="7" t="inlineStr">
        <is>
          <t>Vegetación alta</t>
        </is>
      </c>
      <c r="B21" s="18" t="n">
        <v>1.1085</v>
      </c>
      <c r="C21" s="19" t="n">
        <v>1.37</v>
      </c>
      <c r="D21" s="11" t="inlineStr">
        <is>
          <t>Dosel continuo, matorral denso o mosaico agroforestal</t>
        </is>
      </c>
      <c r="E21" s="11" t="inlineStr"/>
    </row>
    <row r="22">
      <c r="A22" s="12" t="inlineStr">
        <is>
          <t>Vegetación mediana</t>
        </is>
      </c>
      <c r="B22" s="20" t="n">
        <v>53.454</v>
      </c>
      <c r="C22" s="21" t="n">
        <v>65.98</v>
      </c>
      <c r="D22" s="13" t="inlineStr">
        <is>
          <t>Pastizal cultivado, matorral ralo, parcelas agrícolas</t>
        </is>
      </c>
      <c r="E22" s="13" t="inlineStr"/>
    </row>
    <row r="23">
      <c r="A23" s="7" t="inlineStr">
        <is>
          <t>Vegetación ligera</t>
        </is>
      </c>
      <c r="B23" s="18" t="n">
        <v>25.2933</v>
      </c>
      <c r="C23" s="19" t="n">
        <v>31.22</v>
      </c>
      <c r="D23" s="11" t="inlineStr">
        <is>
          <t>Cobertura discontinua, suelo parcialmente expuesto</t>
        </is>
      </c>
      <c r="E23" s="11" t="inlineStr"/>
    </row>
    <row r="24">
      <c r="A24" s="12" t="inlineStr">
        <is>
          <t>Tierra desnuda</t>
        </is>
      </c>
      <c r="B24" s="20" t="n">
        <v>1.1578</v>
      </c>
      <c r="C24" s="21" t="n">
        <v>1.43</v>
      </c>
      <c r="D24" s="13" t="inlineStr">
        <is>
          <t>Suelo desnudo, afloramientos, plataformas y taludes</t>
        </is>
      </c>
      <c r="E24" s="13" t="inlineStr"/>
    </row>
    <row r="25">
      <c r="A25" s="16" t="inlineStr">
        <is>
          <t>TOTAL CLASIFICADO</t>
        </is>
      </c>
      <c r="B25" s="22">
        <f>SUM(B21:B24)</f>
        <v/>
      </c>
      <c r="C25" s="23">
        <f>SUM(C21:C24)</f>
        <v/>
      </c>
      <c r="D25" s="17" t="inlineStr"/>
      <c r="E25" s="17" t="inlineStr"/>
    </row>
    <row r="26">
      <c r="A26" s="24" t="inlineStr">
        <is>
          <t>Superficie de catálogo (V5/V6)</t>
        </is>
      </c>
      <c r="B26" s="25" t="n">
        <v>80.98</v>
      </c>
      <c r="C26" s="25" t="inlineStr">
        <is>
          <t>—</t>
        </is>
      </c>
      <c r="D26" s="25" t="inlineStr">
        <is>
          <t>Desviación planimétrica frente al catálogo</t>
        </is>
      </c>
      <c r="E26" s="25" t="inlineStr">
        <is>
          <t>+0.04 %</t>
        </is>
      </c>
    </row>
    <row r="28" ht="108" customHeight="1">
      <c r="A28"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35 % frente a un 1.37 % del polígono clasificado como «Vegetación alta» por el NDVI 2025; la observación de campo corresponde a una parcela o recorrido puntual y no es estadísticamente representativa de las 80.980 ha del bloque.</t>
        </is>
      </c>
    </row>
  </sheetData>
  <mergeCells count="10">
    <mergeCell ref="A4:E4"/>
    <mergeCell ref="A2:E2"/>
    <mergeCell ref="A28:E28"/>
    <mergeCell ref="A19:E19"/>
    <mergeCell ref="A1:E1"/>
    <mergeCell ref="A5:E5"/>
    <mergeCell ref="A8:E8"/>
    <mergeCell ref="A6:E6"/>
    <mergeCell ref="A17:E17"/>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0"/>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M3B1</t>
        </is>
      </c>
    </row>
    <row r="6" ht="24" customHeight="1">
      <c r="A6" s="4" t="inlineStr">
        <is>
          <t>Levantamiento del 2026-05-15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630720</v>
      </c>
      <c r="D10" s="26" t="n">
        <v>9410650</v>
      </c>
      <c r="E10" s="11" t="n">
        <v>154</v>
      </c>
      <c r="F10" s="11" t="inlineStr"/>
      <c r="G10" s="11" t="inlineStr">
        <is>
          <t>Coordenada consignada en F-DT-01</t>
        </is>
      </c>
    </row>
    <row r="11">
      <c r="A11" s="12" t="inlineStr">
        <is>
          <t>CA-01</t>
        </is>
      </c>
      <c r="B11" s="13" t="inlineStr">
        <is>
          <t>Rasgo erosivo — Surco (&lt;30 cm) — 120 m, 0.3 m prof., 0.8 m ancho</t>
        </is>
      </c>
      <c r="C11" s="27" t="n">
        <v>630750</v>
      </c>
      <c r="D11" s="27" t="n">
        <v>9410600</v>
      </c>
      <c r="E11" s="13" t="n">
        <v>210.3</v>
      </c>
      <c r="F11" s="13" t="inlineStr">
        <is>
          <t>Activa</t>
        </is>
      </c>
      <c r="G11" s="13" t="inlineStr">
        <is>
          <t>Caminos / huellas de ganado</t>
        </is>
      </c>
    </row>
    <row r="12">
      <c r="A12" s="7" t="inlineStr">
        <is>
          <t>CA-02</t>
        </is>
      </c>
      <c r="B12" s="11" t="inlineStr">
        <is>
          <t>Rasgo erosivo — Cárcava somera (0.5-2 m) — 220 m, 1.5 m prof., 0.6 m ancho</t>
        </is>
      </c>
      <c r="C12" s="26" t="n">
        <v>631200</v>
      </c>
      <c r="D12" s="26" t="n">
        <v>9410900</v>
      </c>
      <c r="E12" s="11" t="n">
        <v>524.6</v>
      </c>
      <c r="F12" s="11" t="inlineStr">
        <is>
          <t>Inactiva</t>
        </is>
      </c>
      <c r="G12" s="11" t="inlineStr">
        <is>
          <t>Concentración natural de escorrentía</t>
        </is>
      </c>
    </row>
    <row r="13">
      <c r="A13" s="12" t="inlineStr">
        <is>
          <t>H-01</t>
        </is>
      </c>
      <c r="B13" s="13" t="inlineStr">
        <is>
          <t>Fuente de agua — Quebrada estacional</t>
        </is>
      </c>
      <c r="C13" s="27" t="n">
        <v>631200</v>
      </c>
      <c r="D13" s="27" t="n">
        <v>9410900</v>
      </c>
      <c r="E13" s="13" t="n">
        <v>524.6</v>
      </c>
      <c r="F13" s="13" t="inlineStr">
        <is>
          <t>Estacional</t>
        </is>
      </c>
      <c r="G13" s="13" t="inlineStr">
        <is>
          <t>Quebrada interna del bloque</t>
        </is>
      </c>
    </row>
    <row r="14">
      <c r="A14" s="7" t="inlineStr">
        <is>
          <t>H-02</t>
        </is>
      </c>
      <c r="B14" s="11" t="inlineStr">
        <is>
          <t>Fuente de agua — Río</t>
        </is>
      </c>
      <c r="C14" s="26" t="n">
        <v>630500</v>
      </c>
      <c r="D14" s="26" t="n">
        <v>9411400</v>
      </c>
      <c r="E14" s="11" t="n">
        <v>627.9</v>
      </c>
      <c r="F14" s="11" t="inlineStr">
        <is>
          <t>Permanente</t>
        </is>
      </c>
      <c r="G14" s="11" t="inlineStr">
        <is>
          <t>Cauce principal del río Piura</t>
        </is>
      </c>
    </row>
    <row r="15">
      <c r="A15" s="16" t="inlineStr">
        <is>
          <t>TOTAL: 5 puntos</t>
        </is>
      </c>
      <c r="B15" s="17" t="inlineStr"/>
      <c r="C15" s="17" t="inlineStr"/>
      <c r="D15" s="17" t="inlineStr"/>
      <c r="E15" s="17" t="inlineStr"/>
      <c r="F15" s="17" t="inlineStr"/>
      <c r="G15" s="17" t="inlineStr"/>
    </row>
    <row r="17">
      <c r="A17" s="6" t="inlineStr">
        <is>
          <t>Centroide del bloque — UTM ESTE (m)</t>
        </is>
      </c>
      <c r="B17" s="7" t="n">
        <v>630685</v>
      </c>
      <c r="C17" s="6" t="inlineStr">
        <is>
          <t>Centroide del bloque — UTM NORTE (m)</t>
        </is>
      </c>
      <c r="D17" s="7" t="n">
        <v>9410800</v>
      </c>
      <c r="E17" s="8" t="n"/>
      <c r="F17" s="8" t="n"/>
      <c r="G17" s="8" t="n"/>
      <c r="H17" s="8" t="n"/>
    </row>
    <row r="18">
      <c r="A18" s="6" t="inlineStr">
        <is>
          <t>N.° de estaciones fotográficas declaradas</t>
        </is>
      </c>
      <c r="B18" s="7" t="n">
        <v>0</v>
      </c>
      <c r="C18" s="6" t="inlineStr">
        <is>
          <t>Estaciones dentro del polígono</t>
        </is>
      </c>
      <c r="D18" s="7" t="n">
        <v>0</v>
      </c>
      <c r="E18" s="8" t="n"/>
      <c r="F18" s="8" t="n"/>
      <c r="G18" s="8" t="n"/>
      <c r="H18" s="8" t="n"/>
    </row>
    <row r="20" ht="132" customHeight="1">
      <c r="A20"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El acceso se realizó por la vía vecinal Buenos Aires-Salitral desde el centro poblado Piedra Blanca. El punto de ingreso se ubica al pie de la ladera norte del bloque (cota 183 msnm). Durante el recorrido se cubrió EL SECTOR BASAL Y MEDIO (cota 180 a ≈350 msnm); EL SECTOR ALTO DEL BLOQUE (cota &gt;400 msnm) NO FUE RECORRIDO por restricciones de tiempo y pendiente, Y CONSTITUYE REFUGIO RELICTUAL DE ESPECIES DEL ECOSISTEMA (Charán, Hualtaco, Pasallo en mayor talla). SE RECOMIENDA UNA SEGUNDA JORNADA DE CAMPO PARA CUBRIR LA MITAD ALTA DEL POLÍGONO.</t>
        </is>
      </c>
    </row>
  </sheetData>
  <mergeCells count="8">
    <mergeCell ref="A1:G1"/>
    <mergeCell ref="A8:G8"/>
    <mergeCell ref="A3:G3"/>
    <mergeCell ref="A6:G6"/>
    <mergeCell ref="A4:G4"/>
    <mergeCell ref="A20:G20"/>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1"/>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C1081-Q9582 — BLOQUE M3B1</t>
        </is>
      </c>
    </row>
    <row r="6" ht="24" customHeight="1">
      <c r="A6" s="4" t="inlineStr">
        <is>
          <t>Distrito de Salitral · Provincia de Morropon · Comparación de los bloques preliminares de intervención de la misma microcuenca</t>
        </is>
      </c>
    </row>
    <row r="8" ht="18" customHeight="1">
      <c r="A8" s="5" t="inlineStr">
        <is>
          <t>BLOQUES DE LA MICROCUENCA C1081-Q9582</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M3B8</t>
        </is>
      </c>
      <c r="B10" s="28" t="n">
        <v>565.58</v>
      </c>
      <c r="C10" s="19" t="n">
        <v>44.83</v>
      </c>
      <c r="D10" s="11" t="inlineStr">
        <is>
          <t>195 – 562</t>
        </is>
      </c>
      <c r="E10" s="11" t="n">
        <v>367</v>
      </c>
      <c r="F10" s="11" t="n">
        <v>13.65</v>
      </c>
      <c r="G10" s="18" t="n">
        <v>0.2934</v>
      </c>
      <c r="H10" s="19" t="n">
        <v>3.19</v>
      </c>
    </row>
    <row r="11">
      <c r="A11" s="12" t="inlineStr">
        <is>
          <t>M3B9</t>
        </is>
      </c>
      <c r="B11" s="29" t="n">
        <v>294.2</v>
      </c>
      <c r="C11" s="21" t="n">
        <v>23.32</v>
      </c>
      <c r="D11" s="13" t="inlineStr">
        <is>
          <t>189 – 497</t>
        </is>
      </c>
      <c r="E11" s="13" t="n">
        <v>308</v>
      </c>
      <c r="F11" s="13" t="n">
        <v>17.69</v>
      </c>
      <c r="G11" s="20" t="n">
        <v>0.3214</v>
      </c>
      <c r="H11" s="21" t="n">
        <v>3.14</v>
      </c>
    </row>
    <row r="12">
      <c r="A12" s="7" t="inlineStr">
        <is>
          <t>M3B7</t>
        </is>
      </c>
      <c r="B12" s="28" t="n">
        <v>122.95</v>
      </c>
      <c r="C12" s="19" t="n">
        <v>9.75</v>
      </c>
      <c r="D12" s="11" t="inlineStr">
        <is>
          <t>238 – 447</t>
        </is>
      </c>
      <c r="E12" s="11" t="n">
        <v>209</v>
      </c>
      <c r="F12" s="11" t="n">
        <v>18.21</v>
      </c>
      <c r="G12" s="18" t="n">
        <v>0.3707</v>
      </c>
      <c r="H12" s="19" t="n">
        <v>8</v>
      </c>
    </row>
    <row r="13">
      <c r="A13" s="12" t="inlineStr">
        <is>
          <t>M3B3</t>
        </is>
      </c>
      <c r="B13" s="29" t="n">
        <v>84.81999999999999</v>
      </c>
      <c r="C13" s="21" t="n">
        <v>6.72</v>
      </c>
      <c r="D13" s="13" t="inlineStr">
        <is>
          <t>194 – 375</t>
        </is>
      </c>
      <c r="E13" s="13" t="n">
        <v>181</v>
      </c>
      <c r="F13" s="13" t="n">
        <v>18.87</v>
      </c>
      <c r="G13" s="20" t="n">
        <v>0.2985</v>
      </c>
      <c r="H13" s="21" t="n">
        <v>0.59</v>
      </c>
    </row>
    <row r="14">
      <c r="A14" s="14" t="inlineStr">
        <is>
          <t>► M3B1</t>
        </is>
      </c>
      <c r="B14" s="30" t="n">
        <v>80.98</v>
      </c>
      <c r="C14" s="31" t="n">
        <v>6.42</v>
      </c>
      <c r="D14" s="15" t="inlineStr">
        <is>
          <t>184 – 395</t>
        </is>
      </c>
      <c r="E14" s="15" t="n">
        <v>211</v>
      </c>
      <c r="F14" s="15" t="n">
        <v>19.4</v>
      </c>
      <c r="G14" s="32" t="n">
        <v>0.3239</v>
      </c>
      <c r="H14" s="31" t="n">
        <v>1.37</v>
      </c>
    </row>
    <row r="15">
      <c r="A15" s="12" t="inlineStr">
        <is>
          <t>M3B6</t>
        </is>
      </c>
      <c r="B15" s="29" t="n">
        <v>60.35</v>
      </c>
      <c r="C15" s="21" t="n">
        <v>4.78</v>
      </c>
      <c r="D15" s="13" t="inlineStr">
        <is>
          <t>235 – 499</t>
        </is>
      </c>
      <c r="E15" s="13" t="n">
        <v>264</v>
      </c>
      <c r="F15" s="13" t="n">
        <v>23.39</v>
      </c>
      <c r="G15" s="20" t="n">
        <v>0.3425</v>
      </c>
      <c r="H15" s="21" t="n">
        <v>1.08</v>
      </c>
    </row>
    <row r="16">
      <c r="A16" s="7" t="inlineStr">
        <is>
          <t>M3B5</t>
        </is>
      </c>
      <c r="B16" s="28" t="n">
        <v>52.74</v>
      </c>
      <c r="C16" s="19" t="n">
        <v>4.18</v>
      </c>
      <c r="D16" s="11" t="inlineStr">
        <is>
          <t>221 – 401</t>
        </is>
      </c>
      <c r="E16" s="11" t="n">
        <v>180</v>
      </c>
      <c r="F16" s="11" t="n">
        <v>18.94</v>
      </c>
      <c r="G16" s="18" t="n">
        <v>0.283</v>
      </c>
      <c r="H16" s="19" t="n">
        <v>0.13</v>
      </c>
    </row>
    <row r="17">
      <c r="A17" s="16" t="inlineStr">
        <is>
          <t>TOTAL / PROMEDIO</t>
        </is>
      </c>
      <c r="B17" s="33">
        <f>SUM(B10:B16)</f>
        <v/>
      </c>
      <c r="C17" s="23">
        <f>SUM(C10:C16)</f>
        <v/>
      </c>
      <c r="D17" s="17" t="inlineStr">
        <is>
          <t>184 – 562</t>
        </is>
      </c>
      <c r="E17" s="17" t="inlineStr"/>
      <c r="F17" s="17">
        <f>ROUND(AVERAGE(F10:F16),2)</f>
        <v/>
      </c>
      <c r="G17" s="22">
        <f>ROUND(AVERAGE(G10:G16),4)</f>
        <v/>
      </c>
      <c r="H17" s="23">
        <f>ROUND(AVERAGE(H10:H16),2)</f>
        <v/>
      </c>
    </row>
    <row r="19" ht="84" customHeight="1">
      <c r="A19" s="9" t="inlineStr">
        <is>
          <t>LECTURA INTRAMICROCUENCA. El bloque M3B1 ocupa el puesto 5 de 7 por superficie dentro de la microcuenca C1081-Q9582 (6.42 % de las 1261.62 ha preliminares de la microcuenca). Su pendiente promedio (19.40 %, clase «15-25% (Fuert. inclinado)») es la 6.ª más baja de 7 y se sitúa por encima del promedio de la microcuenca (18.59 %). Su MSAVI 2024 (0.3239) es el 3.º de 7 y queda por encima del promedio local (0.3190). Amplitud altitudinal del bloque: 211 m (184–395 msnm). El cuadro conserva todos los bloques catalogados en la microcuenca, incluidos los descartados en el tamizaje, para referencia del conjunto. Los bloques sin ficha DT figuran con sus parámetros de gabinete.</t>
        </is>
      </c>
    </row>
    <row r="21" ht="60" customHeight="1">
      <c r="A21"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row>
  </sheetData>
  <mergeCells count="9">
    <mergeCell ref="A1:H1"/>
    <mergeCell ref="A4:H4"/>
    <mergeCell ref="A3:H3"/>
    <mergeCell ref="A21:H21"/>
    <mergeCell ref="A2:H2"/>
    <mergeCell ref="A19:H19"/>
    <mergeCell ref="A5:H5"/>
    <mergeCell ref="A8:H8"/>
    <mergeCell ref="A6:H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9"/>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M3B1</t>
        </is>
      </c>
    </row>
    <row r="6" ht="24" customHeight="1">
      <c r="A6" s="4" t="inlineStr">
        <is>
          <t>Discrepancias detectadas entre el registro de campo, los productos de gabinete y el catálogo maestro. Calificación: SUSTANTIVA / NO SUSTANTIVA / CORREGIDO / CONFORME.</t>
        </is>
      </c>
    </row>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«C1081-Q9582»</t>
        </is>
      </c>
      <c r="D10" s="35" t="inlineStr">
        <is>
          <t>CONFORME</t>
        </is>
      </c>
      <c r="E10" s="34" t="inlineStr">
        <is>
          <t>Sin acción.</t>
        </is>
      </c>
    </row>
    <row r="11" ht="48" customHeight="1">
      <c r="A11" s="36" t="inlineStr">
        <is>
          <t>D-02</t>
        </is>
      </c>
      <c r="B11" s="36" t="inlineStr">
        <is>
          <t>UTM del punto de muestreo</t>
        </is>
      </c>
      <c r="C11" s="36" t="inlineStr">
        <is>
          <t>El punto de muestreo declarado dista 154 m del centroide de catálogo, compatible con la extensión del bloque</t>
        </is>
      </c>
      <c r="D11" s="35" t="inlineStr">
        <is>
          <t>CONFORME</t>
        </is>
      </c>
      <c r="E11" s="36" t="inlineStr">
        <is>
          <t>Sin acción.</t>
        </is>
      </c>
    </row>
    <row r="12" ht="48" customHeight="1">
      <c r="A12" s="34" t="inlineStr">
        <is>
          <t>D-03</t>
        </is>
      </c>
      <c r="B12" s="34" t="inlineStr">
        <is>
          <t>Superficie del polígono</t>
        </is>
      </c>
      <c r="C12" s="34" t="inlineStr">
        <is>
          <t>La superficie clasificada por el NDVI 2025 (81.013 ha) coincide con la de catálogo (80.98 ha) dentro del ±2 % (+0.04 %)</t>
        </is>
      </c>
      <c r="D12" s="35" t="inlineStr">
        <is>
          <t>CONFORME</t>
        </is>
      </c>
      <c r="E12" s="34" t="inlineStr">
        <is>
          <t>Sin acción: la segmentación valida la geometría del bloque.</t>
        </is>
      </c>
    </row>
    <row r="13" ht="48" customHeight="1">
      <c r="A13" s="36" t="inlineStr">
        <is>
          <t>D-04</t>
        </is>
      </c>
      <c r="B13" s="36" t="inlineStr">
        <is>
          <t>Rango de pendiente dominante</t>
        </is>
      </c>
      <c r="C13" s="36" t="inlineStr">
        <is>
          <t>La ficha DT declara «25-50% (Mod. escarpado)»; la estadística zonal sobre el MDE arroja una pendiente promedio de 19.40 %, que corresponde a la clase «15-25% (Fuert. inclinado)»</t>
        </is>
      </c>
      <c r="D13" s="15" t="inlineStr">
        <is>
          <t>NO SUSTANTIVA</t>
        </is>
      </c>
      <c r="E13" s="36" t="inlineStr">
        <is>
          <t>Se conserva el registro de campo como observación de sector y se adopta el valor del MDE para el cálculo intramicrocuenca. La divergencia es esperable: el dato de campo es puntual y el del MDE es promedio del polígono.</t>
        </is>
      </c>
    </row>
    <row r="14" ht="48" customHeight="1">
      <c r="A14" s="34" t="inlineStr">
        <is>
          <t>D-05</t>
        </is>
      </c>
      <c r="B14" s="34" t="inlineStr">
        <is>
          <t>Cobertura vegetal total</t>
        </is>
      </c>
      <c r="C14" s="34" t="inlineStr">
        <is>
          <t>La ficha DT estima 35 % de cobertura vegetal en campo; el NDVI mediana 2025 clasifica 98.57 % del polígono en clases de vegetación</t>
        </is>
      </c>
      <c r="D14" s="15" t="inlineStr">
        <is>
          <t>NO SUSTANTIVA</t>
        </is>
      </c>
      <c r="E14" s="34" t="inlineStr">
        <is>
          <t>Se declaran ambos valores. La observación de campo corresponde a una parcela o recorrido puntual y no es representativa de la totalidad del bloque; el índice espectral no discrimina composición ni integridad ecosistémica.</t>
        </is>
      </c>
    </row>
    <row r="15" ht="48" customHeight="1">
      <c r="A15" s="36" t="inlineStr">
        <is>
          <t>D-06</t>
        </is>
      </c>
      <c r="B15" s="36" t="inlineStr">
        <is>
          <t>Elenco florístico</t>
        </is>
      </c>
      <c r="C15" s="36" t="inlineStr">
        <is>
          <t>La ficha registra 9 taxones, por debajo del mínimo de 15 que exige el formato V5</t>
        </is>
      </c>
      <c r="D15" s="37" t="inlineStr">
        <is>
          <t>SUSTANTIVA</t>
        </is>
      </c>
      <c r="E15" s="36" t="inlineStr">
        <is>
          <t>Registro florístico preliminar, sin colecta ni determinación botánica formal. Debe cerrarse con colecta botánica en la siguiente campaña.</t>
        </is>
      </c>
    </row>
    <row r="16" ht="48" customHeight="1">
      <c r="A16" s="34" t="inlineStr">
        <is>
          <t>D-07</t>
        </is>
      </c>
      <c r="B16" s="34" t="inlineStr">
        <is>
          <t>Representatividad del levantamiento</t>
        </is>
      </c>
      <c r="C16" s="34" t="inlineStr">
        <is>
          <t>Ninguna de las estaciones fotográficas georreferenciadas se localiza dentro del polígono del bloque</t>
        </is>
      </c>
      <c r="D16" s="37" t="inlineStr">
        <is>
          <t>SUSTANTIVA</t>
        </is>
      </c>
      <c r="E16" s="34" t="inlineStr">
        <is>
          <t>La verificación documenta el perímetro y la vista panorámica del bloque, no su interior. Los parámetros que exigen recorrido interno se consignan «Por determinar».</t>
        </is>
      </c>
    </row>
    <row r="17" ht="48" customHeight="1">
      <c r="A17" s="36" t="inlineStr">
        <is>
          <t>D-08</t>
        </is>
      </c>
      <c r="B17" s="36" t="inlineStr">
        <is>
          <t>Centro poblado asociado</t>
        </is>
      </c>
      <c r="C17" s="36" t="inlineStr">
        <is>
          <t>La ficha DT declara «Piedra Blanca»; el cruce INEI-Bloques V5 identifica 1 centro(s) poblado(s) en el bloque: PIEDRA BLANCA</t>
        </is>
      </c>
      <c r="D17" s="35" t="inlineStr">
        <is>
          <t>CONFORME</t>
        </is>
      </c>
      <c r="E17" s="36" t="inlineStr">
        <is>
          <t>Se conserva el registro de campo como referencia y se adopta el listado INEI para el diagnóstico social y el cálculo de población beneficiaria.</t>
        </is>
      </c>
    </row>
    <row r="18" ht="48" customHeight="1">
      <c r="A18" s="34" t="inlineStr">
        <is>
          <t>D-09</t>
        </is>
      </c>
      <c r="B18" s="34" t="inlineStr">
        <is>
          <t>Peligro integrado (MCA-AHP)</t>
        </is>
      </c>
      <c r="C18" s="34" t="inlineStr">
        <is>
          <t>El nivel de peligro integrado no está disponible en los insumos de este entregable</t>
        </is>
      </c>
      <c r="D18" s="37" t="inlineStr">
        <is>
          <t>SUSTANTIVA</t>
        </is>
      </c>
      <c r="E18" s="34" t="inlineStr">
        <is>
          <t>Debe tomarse del modelamiento de mesolocalización (PMM + EPH + PGI ponderados por AHP) antes de fijar la prioridad definitiva de intervención del bloque.</t>
        </is>
      </c>
    </row>
    <row r="19" ht="48" customHeight="1">
      <c r="A19" s="36" t="inlineStr">
        <is>
          <t>D-10</t>
        </is>
      </c>
      <c r="B19" s="36" t="inlineStr">
        <is>
          <t>Plan de Ingreso</t>
        </is>
      </c>
      <c r="C19" s="36" t="inlineStr">
        <is>
          <t>Altitud = 0 msnm (captura por defecto del aplicativo)</t>
        </is>
      </c>
      <c r="D19" s="38" t="inlineStr">
        <is>
          <t>CORREGIDO</t>
        </is>
      </c>
      <c r="E19" s="36" t="inlineStr">
        <is>
          <t>Se reemplaza por la altitud GPS de campo (200 msnm)</t>
        </is>
      </c>
    </row>
    <row r="20" ht="48" customHeight="1">
      <c r="A20" s="34" t="inlineStr">
        <is>
          <t>D-11</t>
        </is>
      </c>
      <c r="B20" s="34" t="inlineStr">
        <is>
          <t>F-DT-01</t>
        </is>
      </c>
      <c r="C20" s="34" t="inlineStr">
        <is>
          <t>El sector alto del bloque (&gt;400 msnm), refugio relictual de las especies del ecosistema, NO fue recorrido</t>
        </is>
      </c>
      <c r="D20" s="37" t="inlineStr">
        <is>
          <t>SUSTANTIVA</t>
        </is>
      </c>
      <c r="E20" s="34" t="inlineStr">
        <is>
          <t>Se recomienda una segunda jornada de campo para cubrir la mitad alta del polígono</t>
        </is>
      </c>
    </row>
    <row r="21" ht="48" customHeight="1">
      <c r="A21" s="36" t="inlineStr">
        <is>
          <t>D-12</t>
        </is>
      </c>
      <c r="B21" s="36" t="inlineStr">
        <is>
          <t>F-DT-02</t>
        </is>
      </c>
      <c r="C21" s="36" t="inlineStr">
        <is>
          <t>El campo «% bloque con cárcavas» contiene un texto descriptivo en lugar de un valor numérico</t>
        </is>
      </c>
      <c r="D21" s="15" t="inlineStr">
        <is>
          <t>NO SUSTANTIVA</t>
        </is>
      </c>
      <c r="E21" s="36" t="inlineStr">
        <is>
          <t>Normalizar el registro</t>
        </is>
      </c>
    </row>
    <row r="22" ht="48" customHeight="1">
      <c r="A22" s="34" t="inlineStr">
        <is>
          <t>D-13</t>
        </is>
      </c>
      <c r="B22" s="34" t="inlineStr">
        <is>
          <t>F-DT-03</t>
        </is>
      </c>
      <c r="C22" s="34" t="inlineStr">
        <is>
          <t>La tabla florística (9 taxones frente al mínimo de 15) no consigna familia ni origen; sin sección de especies clave georreferenciada</t>
        </is>
      </c>
      <c r="D22" s="37" t="inlineStr">
        <is>
          <t>SUSTANTIVA</t>
        </is>
      </c>
      <c r="E22" s="34" t="inlineStr">
        <is>
          <t>Inventario incompleto</t>
        </is>
      </c>
    </row>
    <row r="23" ht="48" customHeight="1">
      <c r="A23" s="36" t="inlineStr">
        <is>
          <t>D-14</t>
        </is>
      </c>
      <c r="B23" s="36" t="inlineStr">
        <is>
          <t>F-DT-04</t>
        </is>
      </c>
      <c r="C23" s="36" t="inlineStr">
        <is>
          <t>La columna «Nivel» no fue diligenciada para ninguno de los 8 indicadores cuantitativos</t>
        </is>
      </c>
      <c r="D23" s="15" t="inlineStr">
        <is>
          <t>NO SUSTANTIVA</t>
        </is>
      </c>
      <c r="E23" s="36" t="inlineStr">
        <is>
          <t>Completar calificación</t>
        </is>
      </c>
    </row>
    <row r="24" ht="48" customHeight="1">
      <c r="A24" s="34" t="inlineStr">
        <is>
          <t>D-15</t>
        </is>
      </c>
      <c r="B24" s="34" t="inlineStr">
        <is>
          <t>F-DT-04</t>
        </is>
      </c>
      <c r="C24" s="34" t="inlineStr">
        <is>
          <t>Distancia a vía vecinal sin valor</t>
        </is>
      </c>
      <c r="D24" s="15" t="inlineStr">
        <is>
          <t>NO SUSTANTIVA</t>
        </is>
      </c>
      <c r="E24" s="34" t="inlineStr">
        <is>
          <t>Medición pendiente</t>
        </is>
      </c>
    </row>
    <row r="25" ht="48" customHeight="1">
      <c r="A25" s="36" t="inlineStr">
        <is>
          <t>D-16</t>
        </is>
      </c>
      <c r="B25" s="36" t="inlineStr">
        <is>
          <t>F-DT-02 / F-DT-05</t>
        </is>
      </c>
      <c r="C25" s="36" t="inlineStr">
        <is>
          <t>Las secciones de observaciones de F-DT-02 y F-DT-05 no fueron consignadas en el documento</t>
        </is>
      </c>
      <c r="D25" s="15" t="inlineStr">
        <is>
          <t>NO SUSTANTIVA</t>
        </is>
      </c>
      <c r="E25" s="36" t="inlineStr">
        <is>
          <t>Completar en la carga definitiva</t>
        </is>
      </c>
    </row>
    <row r="27">
      <c r="A27" s="16" t="inlineStr">
        <is>
          <t>RESUMEN</t>
        </is>
      </c>
      <c r="B27" s="17" t="inlineStr">
        <is>
          <t>16 verificaciones</t>
        </is>
      </c>
      <c r="C27" s="17" t="inlineStr">
        <is>
          <t>CONFORME: 4 · CORREGIDO: 1 · NO SUSTANTIVA: 6 · SUSTANTIVA: 5</t>
        </is>
      </c>
      <c r="D27" s="17" t="inlineStr"/>
      <c r="E27" s="17" t="inlineStr"/>
    </row>
    <row r="29" ht="60" customHeight="1">
      <c r="A29"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row>
  </sheetData>
  <mergeCells count="8">
    <mergeCell ref="A29:E29"/>
    <mergeCell ref="A4:E4"/>
    <mergeCell ref="A2:E2"/>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M3B1 — IN Piura</dc:title>
  <dc:subject>Diagnóstico Territorial por bloque de intervención</dc:subject>
  <dcterms:created xsi:type="dcterms:W3CDTF">2026-09-08T03:39:54Z</dcterms:created>
  <dcterms:modified xsi:type="dcterms:W3CDTF">2026-09-08T03:39:54Z</dcterms:modified>
</cp:coreProperties>
</file>