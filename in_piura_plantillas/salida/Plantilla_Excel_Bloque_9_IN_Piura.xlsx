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F8CBAD"/>
      </patternFill>
    </fill>
    <fill>
      <patternFill patternType="solid">
        <fgColor rgb="00D9E1F2"/>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9</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9</t>
        </is>
      </c>
      <c r="C9" s="6" t="inlineStr">
        <is>
          <t>Microcuenca (catálogo)</t>
        </is>
      </c>
      <c r="D9" s="7" t="inlineStr">
        <is>
          <t>C1076-Q9586</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San Miguel de El Faique (sector La Unión)</t>
        </is>
      </c>
      <c r="C13" s="6" t="inlineStr">
        <is>
          <t>Comunidad campesina</t>
        </is>
      </c>
      <c r="D13" s="7" t="inlineStr">
        <is>
          <t>Por verificar</t>
        </is>
      </c>
      <c r="E13" s="8" t="n"/>
      <c r="F13" s="8" t="n"/>
    </row>
    <row r="14">
      <c r="A14" s="6" t="inlineStr">
        <is>
          <t>Superficie de catálogo (V5/V6), ha</t>
        </is>
      </c>
      <c r="B14" s="7" t="n">
        <v>109.86</v>
      </c>
      <c r="C14" s="6" t="inlineStr">
        <is>
          <t>Fuente de superficie</t>
        </is>
      </c>
      <c r="D14" s="7" t="inlineStr">
        <is>
          <t>Catálogo maestro Bloques V5/V6</t>
        </is>
      </c>
      <c r="E14" s="8" t="n"/>
      <c r="F14" s="8" t="n"/>
    </row>
    <row r="15">
      <c r="A15" s="6" t="inlineStr">
        <is>
          <t>Centroide UTM ESTE (m)</t>
        </is>
      </c>
      <c r="B15" s="7" t="n">
        <v>656578</v>
      </c>
      <c r="C15" s="6" t="inlineStr">
        <is>
          <t>Centroide UTM NORTE (m)</t>
        </is>
      </c>
      <c r="D15" s="7" t="n">
        <v>9397762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1529</v>
      </c>
      <c r="C19" s="6" t="inlineStr">
        <is>
          <t>Altitud máxima (msnm)</t>
        </is>
      </c>
      <c r="D19" s="7" t="n">
        <v>2264</v>
      </c>
      <c r="E19" s="8" t="n"/>
      <c r="F19" s="8" t="n"/>
    </row>
    <row r="20">
      <c r="A20" s="6" t="inlineStr">
        <is>
          <t>Amplitud altitudinal (m)</t>
        </is>
      </c>
      <c r="B20" s="7" t="n">
        <v>735</v>
      </c>
      <c r="C20" s="6" t="inlineStr">
        <is>
          <t>Piso altitudinal dominante</t>
        </is>
      </c>
      <c r="D20" s="7" t="inlineStr">
        <is>
          <t>1500-2000 m (Quechua media)</t>
        </is>
      </c>
      <c r="E20" s="8" t="n"/>
      <c r="F20" s="8" t="n"/>
    </row>
    <row r="21">
      <c r="A21" s="6" t="inlineStr">
        <is>
          <t>Pendiente promedio (%)</t>
        </is>
      </c>
      <c r="B21" s="7" t="n">
        <v>34.82</v>
      </c>
      <c r="C21" s="6" t="inlineStr">
        <is>
          <t>Pendiente promedio (grados)</t>
        </is>
      </c>
      <c r="D21" s="7" t="n">
        <v>19.2</v>
      </c>
      <c r="E21" s="8" t="n"/>
      <c r="F21" s="8" t="n"/>
    </row>
    <row r="22">
      <c r="A22" s="6" t="inlineStr">
        <is>
          <t>Clase de pendiente equivalente</t>
        </is>
      </c>
      <c r="B22" s="7" t="inlineStr">
        <is>
          <t>25-50% (Mod. escarpado)</t>
        </is>
      </c>
      <c r="C22" s="6" t="inlineStr">
        <is>
          <t>Rango de pendiente declarado en campo</t>
        </is>
      </c>
      <c r="D22" s="7" t="inlineStr">
        <is>
          <t>50-75%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Cima (sin dominancia)</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7" ht="18" customHeight="1">
      <c r="A27" s="5" t="inlineStr">
        <is>
          <t>3. ÍNDICES DE VEGETACIÓN (SENTINEL-2)</t>
        </is>
      </c>
    </row>
    <row r="28">
      <c r="A28" s="6" t="inlineStr">
        <is>
          <t>MSAVI 2024 — media del bloque</t>
        </is>
      </c>
      <c r="B28" s="7" t="n">
        <v>0.5745</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(90.24 %)</t>
        </is>
      </c>
      <c r="E29" s="8" t="n"/>
      <c r="F29" s="8" t="n"/>
    </row>
    <row r="30">
      <c r="A30" s="6" t="inlineStr">
        <is>
          <t>Superficie clasificada NDVI 2025 (ha)</t>
        </is>
      </c>
      <c r="B30" s="7" t="n">
        <v>109.882</v>
      </c>
      <c r="C30" s="6" t="inlineStr">
        <is>
          <t>Desviación frente al catálogo (%)</t>
        </is>
      </c>
      <c r="D30" s="7" t="n">
        <v>0.02</v>
      </c>
      <c r="E30" s="8" t="n"/>
      <c r="F30" s="8" t="n"/>
    </row>
    <row r="32" ht="18" customHeight="1">
      <c r="A32" s="5" t="inlineStr">
        <is>
          <t>4. ECOSISTEMA Y ESTADO DE CONSERVACIÓN</t>
        </is>
      </c>
    </row>
    <row r="33">
      <c r="A33" s="6" t="inlineStr">
        <is>
          <t>Tipo de ecosistema (UP)</t>
        </is>
      </c>
      <c r="B33" s="7" t="inlineStr">
        <is>
          <t>Matorral Andino subhúmedo</t>
        </is>
      </c>
      <c r="C33" s="6" t="inlineStr">
        <is>
          <t>Superficie de ecosistema (ha)</t>
        </is>
      </c>
      <c r="D33" s="7" t="inlineStr">
        <is>
          <t>109.861 ha</t>
        </is>
      </c>
      <c r="E33" s="8" t="n"/>
      <c r="F33" s="8" t="n"/>
    </row>
    <row r="34">
      <c r="A34" s="6" t="inlineStr">
        <is>
          <t>Estado de conservación</t>
        </is>
      </c>
      <c r="B34" s="7" t="inlineStr">
        <is>
          <t>Medianamente alterado</t>
        </is>
      </c>
      <c r="C34" s="6" t="inlineStr">
        <is>
          <t>Uso actual dominante del suelo</t>
        </is>
      </c>
      <c r="D34" s="7" t="inlineStr">
        <is>
          <t>Agricultura secano</t>
        </is>
      </c>
      <c r="E34" s="8" t="n"/>
      <c r="F34" s="8" t="n"/>
    </row>
    <row r="35">
      <c r="A35" s="6" t="inlineStr">
        <is>
          <t>Tipo de cobertura dominante</t>
        </is>
      </c>
      <c r="B35" s="7" t="inlineStr">
        <is>
          <t>Matorral ralo</t>
        </is>
      </c>
      <c r="C35" s="6" t="inlineStr">
        <is>
          <t>Cobertura vegetal total — campo (%)</t>
        </is>
      </c>
      <c r="D35" s="7" t="n">
        <v>40</v>
      </c>
      <c r="E35" s="8" t="n"/>
      <c r="F35" s="8" t="n"/>
    </row>
    <row r="36">
      <c r="A36" s="6" t="inlineStr">
        <is>
          <t>Suelo desnudo — campo (%)</t>
        </is>
      </c>
      <c r="B36" s="7" t="n">
        <v>25</v>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n">
        <v>0</v>
      </c>
      <c r="E37" s="8" t="n"/>
      <c r="F37" s="8" t="n"/>
    </row>
    <row r="38">
      <c r="A38" s="6" t="inlineStr">
        <is>
          <t>Elenco florístico (n.° de taxones)</t>
        </is>
      </c>
      <c r="B38" s="7" t="n">
        <v>11</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Ing. Pedro Talledo Hernández</t>
        </is>
      </c>
      <c r="C41" s="6" t="inlineStr">
        <is>
          <t>Fecha de evaluación</t>
        </is>
      </c>
      <c r="D41" s="7" t="inlineStr">
        <is>
          <t>2026-08-11</t>
        </is>
      </c>
      <c r="E41" s="8" t="n"/>
      <c r="F41" s="8" t="n"/>
    </row>
    <row r="42">
      <c r="A42" s="6" t="inlineStr">
        <is>
          <t>Hora de registro</t>
        </is>
      </c>
      <c r="B42" s="7" t="inlineStr">
        <is>
          <t>Por registrar</t>
        </is>
      </c>
      <c r="C42" s="6" t="inlineStr">
        <is>
          <t>Correlativo de ficha</t>
        </is>
      </c>
      <c r="D42" s="7" t="inlineStr">
        <is>
          <t>F-DT-09-01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P-01</t>
        </is>
      </c>
      <c r="E44" s="8" t="n"/>
      <c r="F44" s="8" t="n"/>
    </row>
    <row r="45">
      <c r="A45" s="6" t="inlineStr">
        <is>
          <t>Estaciones fotográficas georreferenciadas</t>
        </is>
      </c>
      <c r="B45" s="7" t="inlineStr">
        <is>
          <t>Sin registro en la ficha DT</t>
        </is>
      </c>
      <c r="C45" s="6" t="inlineStr">
        <is>
          <t>Modalidad de acceso</t>
        </is>
      </c>
      <c r="D45" s="7" t="inlineStr">
        <is>
          <t>Vehicular + caminata 30-90 min</t>
        </is>
      </c>
      <c r="E45" s="8" t="n"/>
      <c r="F45" s="8" t="n"/>
    </row>
    <row r="47" ht="18" customHeight="1">
      <c r="A47" s="5" t="inlineStr">
        <is>
          <t>6. SÍNTESIS PARA LA GESTIÓN DEL RIESGO EN CONTEXTO DE CAMBIO CLIMÁTICO</t>
        </is>
      </c>
    </row>
    <row r="48">
      <c r="A48" s="6" t="inlineStr">
        <is>
          <t>Causa subyacente principal</t>
        </is>
      </c>
      <c r="B48" s="7" t="inlineStr">
        <is>
          <t>Presión demográfica y necesidad de tierras para cultivo y pastoreo de subsistencia</t>
        </is>
      </c>
      <c r="C48" s="6" t="inlineStr">
        <is>
          <t>Velocidad de degradación</t>
        </is>
      </c>
      <c r="D48" s="7" t="inlineStr">
        <is>
          <t>Moderada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9</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7" t="inlineStr">
        <is>
          <t>0.3813 - 0.4976</t>
        </is>
      </c>
      <c r="B12" s="11" t="inlineStr">
        <is>
          <t>Por determinar</t>
        </is>
      </c>
      <c r="C12" s="11" t="inlineStr">
        <is>
          <t>Por determinar</t>
        </is>
      </c>
      <c r="D12" s="11" t="inlineStr">
        <is>
          <t>Vigor bajo</t>
        </is>
      </c>
      <c r="E12" s="11" t="inlineStr">
        <is>
          <t>BAJO umbral 0.4976</t>
        </is>
      </c>
    </row>
    <row r="13">
      <c r="A13" s="14" t="inlineStr">
        <is>
          <t>0.2650 - 0.3813</t>
        </is>
      </c>
      <c r="B13" s="15" t="inlineStr">
        <is>
          <t>Por determinar</t>
        </is>
      </c>
      <c r="C13" s="15" t="inlineStr">
        <is>
          <t>Por determinar</t>
        </is>
      </c>
      <c r="D13" s="15" t="inlineStr">
        <is>
          <t>Vigor muy bajo</t>
        </is>
      </c>
      <c r="E13" s="15"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0.574527</v>
      </c>
      <c r="C15" s="17" t="inlineStr">
        <is>
          <t>—</t>
        </is>
      </c>
      <c r="D15" s="17" t="inlineStr">
        <is>
          <t>Vigor moderado · clase 0.4976 - 0.6139</t>
        </is>
      </c>
      <c r="E15" s="17" t="inlineStr">
        <is>
          <t>Sobre umbral</t>
        </is>
      </c>
    </row>
    <row r="17" ht="72" customHeight="1">
      <c r="A17" s="9" t="inlineStr">
        <is>
          <t>NOTA METODOLÓGICA. La media del MSAVI 2024 del bloque (0.574527)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99.1632</v>
      </c>
      <c r="C21" s="19" t="n">
        <v>90.23999999999999</v>
      </c>
      <c r="D21" s="11" t="inlineStr">
        <is>
          <t>Dosel continuo, matorral denso o mosaico agroforestal</t>
        </is>
      </c>
      <c r="E21" s="11" t="inlineStr"/>
    </row>
    <row r="22">
      <c r="A22" s="14" t="inlineStr">
        <is>
          <t>Vegetación mediana</t>
        </is>
      </c>
      <c r="B22" s="20" t="n">
        <v>10.5789</v>
      </c>
      <c r="C22" s="21" t="n">
        <v>9.630000000000001</v>
      </c>
      <c r="D22" s="15" t="inlineStr">
        <is>
          <t>Pastizal cultivado, matorral ralo, parcelas agrícolas</t>
        </is>
      </c>
      <c r="E22" s="15" t="inlineStr"/>
    </row>
    <row r="23">
      <c r="A23" s="7" t="inlineStr">
        <is>
          <t>Vegetación ligera</t>
        </is>
      </c>
      <c r="B23" s="18" t="n">
        <v>0.1404</v>
      </c>
      <c r="C23" s="19" t="n">
        <v>0.13</v>
      </c>
      <c r="D23" s="11" t="inlineStr">
        <is>
          <t>Cobertura discontinua, suelo parcialmente expuesto</t>
        </is>
      </c>
      <c r="E23" s="11" t="inlineStr"/>
    </row>
    <row r="24">
      <c r="A24" s="16" t="inlineStr">
        <is>
          <t>TOTAL CLASIFICADO</t>
        </is>
      </c>
      <c r="B24" s="22">
        <f>SUM(B21:B23)</f>
        <v/>
      </c>
      <c r="C24" s="23">
        <f>SUM(C21:C23)</f>
        <v/>
      </c>
      <c r="D24" s="17" t="inlineStr"/>
      <c r="E24" s="17" t="inlineStr"/>
    </row>
    <row r="25">
      <c r="A25" s="24" t="inlineStr">
        <is>
          <t>Superficie de catálogo (V5/V6)</t>
        </is>
      </c>
      <c r="B25" s="25" t="n">
        <v>109.86</v>
      </c>
      <c r="C25" s="25" t="inlineStr">
        <is>
          <t>—</t>
        </is>
      </c>
      <c r="D25" s="25" t="inlineStr">
        <is>
          <t>Desviación planimétrica frente al catálogo</t>
        </is>
      </c>
      <c r="E25" s="25" t="inlineStr">
        <is>
          <t>+0.02 %</t>
        </is>
      </c>
    </row>
    <row r="27" ht="108" customHeight="1">
      <c r="A27"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40 % frente a un 90.24 % del polígono clasificado como «Vegetación alta» por el NDVI 2025; la observación de campo corresponde a una parcela o recorrido puntual y no es estadísticamente representativa de las 109.860 ha del bloque.</t>
        </is>
      </c>
    </row>
  </sheetData>
  <mergeCells count="10">
    <mergeCell ref="A4:E4"/>
    <mergeCell ref="A2:E2"/>
    <mergeCell ref="A19:E19"/>
    <mergeCell ref="A1:E1"/>
    <mergeCell ref="A5:E5"/>
    <mergeCell ref="A8:E8"/>
    <mergeCell ref="A6:E6"/>
    <mergeCell ref="A17:E17"/>
    <mergeCell ref="A27:E2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9</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t>
        </is>
      </c>
      <c r="B10" s="11" t="inlineStr">
        <is>
          <t>Sin puntos georreferenciados en la ficha DT</t>
        </is>
      </c>
      <c r="C10" s="11" t="inlineStr"/>
      <c r="D10" s="11" t="inlineStr"/>
      <c r="E10" s="11" t="inlineStr"/>
      <c r="F10" s="11" t="inlineStr"/>
      <c r="G10" s="11" t="inlineStr">
        <is>
          <t>No corresponde para este bloque</t>
        </is>
      </c>
    </row>
    <row r="12">
      <c r="A12" s="6" t="inlineStr">
        <is>
          <t>Centroide del bloque — UTM ESTE (m)</t>
        </is>
      </c>
      <c r="B12" s="7" t="n">
        <v>656578</v>
      </c>
      <c r="C12" s="6" t="inlineStr">
        <is>
          <t>Centroide del bloque — UTM NORTE (m)</t>
        </is>
      </c>
      <c r="D12" s="7" t="n">
        <v>9397762</v>
      </c>
      <c r="E12" s="8" t="n"/>
      <c r="F12" s="8" t="n"/>
      <c r="G12" s="8" t="n"/>
      <c r="H12" s="8" t="n"/>
    </row>
    <row r="13">
      <c r="A13" s="6" t="inlineStr">
        <is>
          <t>N.° de estaciones fotográficas declaradas</t>
        </is>
      </c>
      <c r="B13" s="7" t="inlineStr">
        <is>
          <t>Sin registro en la ficha DT</t>
        </is>
      </c>
      <c r="C13" s="6" t="inlineStr">
        <is>
          <t>Estaciones dentro del polígono</t>
        </is>
      </c>
      <c r="D13" s="7" t="inlineStr">
        <is>
          <t>Por determinar</t>
        </is>
      </c>
      <c r="E13" s="8" t="n"/>
      <c r="F13" s="8" t="n"/>
      <c r="G13" s="8" t="n"/>
      <c r="H13" s="8" t="n"/>
    </row>
    <row r="15" ht="84" customHeight="1">
      <c r="A15"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con predominio de pendientes muy fuertes (&gt;27° en el 93% del área), altamente susceptible a procesos erosivos si se pierde la cobertura vegetal.</t>
        </is>
      </c>
    </row>
  </sheetData>
  <mergeCells count="8">
    <mergeCell ref="A1:G1"/>
    <mergeCell ref="A8:G8"/>
    <mergeCell ref="A3:G3"/>
    <mergeCell ref="A6:G6"/>
    <mergeCell ref="A4:G4"/>
    <mergeCell ref="A2:G2"/>
    <mergeCell ref="A15:G15"/>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C1076-Q9586 — BLOQUE 9</t>
        </is>
      </c>
    </row>
    <row r="6" ht="24" customHeight="1">
      <c r="A6" s="4" t="inlineStr">
        <is>
          <t>Distrito de San Miguel de El Faique · Provincia de Huancabamba · Comparación de los bloques preliminares de intervención de la misma microcuenca</t>
        </is>
      </c>
    </row>
    <row r="8" ht="18" customHeight="1">
      <c r="A8" s="5" t="inlineStr">
        <is>
          <t>BLOQUES DE LA MICROCUENCA C1076-Q9586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12" t="inlineStr">
        <is>
          <t>► 9</t>
        </is>
      </c>
      <c r="B10" s="26" t="n">
        <v>109.86</v>
      </c>
      <c r="C10" s="27" t="n">
        <v>40.1</v>
      </c>
      <c r="D10" s="13" t="inlineStr">
        <is>
          <t>1529 – 2264</t>
        </is>
      </c>
      <c r="E10" s="13" t="n">
        <v>735</v>
      </c>
      <c r="F10" s="13" t="n">
        <v>34.82</v>
      </c>
      <c r="G10" s="28" t="n">
        <v>0.5745</v>
      </c>
      <c r="H10" s="27" t="n">
        <v>90.23999999999999</v>
      </c>
    </row>
    <row r="11">
      <c r="A11" s="14" t="inlineStr">
        <is>
          <t>M22B1</t>
        </is>
      </c>
      <c r="B11" s="29" t="n">
        <v>55.17</v>
      </c>
      <c r="C11" s="21" t="n">
        <v>20.14</v>
      </c>
      <c r="D11" s="15" t="inlineStr">
        <is>
          <t>3216 – 3436</t>
        </is>
      </c>
      <c r="E11" s="15" t="n">
        <v>220</v>
      </c>
      <c r="F11" s="15" t="n">
        <v>19.98</v>
      </c>
      <c r="G11" s="20" t="n">
        <v>0.594</v>
      </c>
      <c r="H11" s="21" t="n">
        <v>91.05</v>
      </c>
    </row>
    <row r="12">
      <c r="A12" s="7" t="inlineStr">
        <is>
          <t>35</t>
        </is>
      </c>
      <c r="B12" s="30" t="n">
        <v>30.8</v>
      </c>
      <c r="C12" s="19" t="n">
        <v>11.24</v>
      </c>
      <c r="D12" s="11" t="inlineStr">
        <is>
          <t>1376 – 1621</t>
        </is>
      </c>
      <c r="E12" s="11" t="n">
        <v>245</v>
      </c>
      <c r="F12" s="11" t="n">
        <v>33.66</v>
      </c>
      <c r="G12" s="18" t="n">
        <v>0.6245000000000001</v>
      </c>
      <c r="H12" s="19" t="n">
        <v>98.17</v>
      </c>
    </row>
    <row r="13">
      <c r="A13" s="14" t="inlineStr">
        <is>
          <t>44</t>
        </is>
      </c>
      <c r="B13" s="29" t="n">
        <v>28.23</v>
      </c>
      <c r="C13" s="21" t="n">
        <v>10.3</v>
      </c>
      <c r="D13" s="15" t="inlineStr">
        <is>
          <t>3091 – 3277</t>
        </is>
      </c>
      <c r="E13" s="15" t="n">
        <v>186</v>
      </c>
      <c r="F13" s="15" t="n">
        <v>22.21</v>
      </c>
      <c r="G13" s="20" t="n">
        <v>0.5113</v>
      </c>
      <c r="H13" s="21" t="n">
        <v>83.84999999999999</v>
      </c>
    </row>
    <row r="14">
      <c r="A14" s="7" t="inlineStr">
        <is>
          <t>43</t>
        </is>
      </c>
      <c r="B14" s="30" t="n">
        <v>23.17</v>
      </c>
      <c r="C14" s="19" t="n">
        <v>8.460000000000001</v>
      </c>
      <c r="D14" s="11" t="inlineStr">
        <is>
          <t>251 – 811</t>
        </is>
      </c>
      <c r="E14" s="11" t="n">
        <v>560</v>
      </c>
      <c r="F14" s="11" t="n">
        <v>31.39</v>
      </c>
      <c r="G14" s="18" t="n">
        <v>0.5515</v>
      </c>
      <c r="H14" s="19" t="n">
        <v>78.91</v>
      </c>
    </row>
    <row r="15">
      <c r="A15" s="14" t="inlineStr">
        <is>
          <t>47</t>
        </is>
      </c>
      <c r="B15" s="29" t="n">
        <v>13.55</v>
      </c>
      <c r="C15" s="21" t="n">
        <v>4.95</v>
      </c>
      <c r="D15" s="15" t="inlineStr">
        <is>
          <t>2105 – 2333</t>
        </is>
      </c>
      <c r="E15" s="15" t="n">
        <v>228</v>
      </c>
      <c r="F15" s="15" t="n">
        <v>32.43</v>
      </c>
      <c r="G15" s="20" t="n">
        <v>0.5936</v>
      </c>
      <c r="H15" s="21" t="n">
        <v>91.26000000000001</v>
      </c>
    </row>
    <row r="16">
      <c r="A16" s="7" t="inlineStr">
        <is>
          <t>67</t>
        </is>
      </c>
      <c r="B16" s="30" t="n">
        <v>13.18</v>
      </c>
      <c r="C16" s="19" t="n">
        <v>4.81</v>
      </c>
      <c r="D16" s="11" t="inlineStr">
        <is>
          <t>1575 – 1770</t>
        </is>
      </c>
      <c r="E16" s="11" t="n">
        <v>195</v>
      </c>
      <c r="F16" s="11" t="n">
        <v>30.33</v>
      </c>
      <c r="G16" s="18" t="n">
        <v>0.6052999999999999</v>
      </c>
      <c r="H16" s="19" t="n">
        <v>97.5</v>
      </c>
    </row>
    <row r="17">
      <c r="A17" s="16" t="inlineStr">
        <is>
          <t>TOTAL / PROMEDIO</t>
        </is>
      </c>
      <c r="B17" s="31">
        <f>SUM(B10:B16)</f>
        <v/>
      </c>
      <c r="C17" s="23">
        <f>SUM(C10:C16)</f>
        <v/>
      </c>
      <c r="D17" s="17" t="inlineStr">
        <is>
          <t>251 – 3436</t>
        </is>
      </c>
      <c r="E17" s="17" t="inlineStr"/>
      <c r="F17" s="17">
        <f>ROUND(AVERAGE(F10:F16),2)</f>
        <v/>
      </c>
      <c r="G17" s="22">
        <f>ROUND(AVERAGE(G10:G16),4)</f>
        <v/>
      </c>
      <c r="H17" s="23">
        <f>ROUND(AVERAGE(H10:H16),2)</f>
        <v/>
      </c>
    </row>
    <row r="19" ht="84" customHeight="1">
      <c r="A19" s="9" t="inlineStr">
        <is>
          <t>LECTURA INTRAMICROCUENCA. El bloque 9 ocupa el puesto 1 de 7 por superficie dentro de la microcuenca C1076-Q9586 (40.10 % de las 273.96 ha preliminares de la microcuenca). Su pendiente promedio (34.82 %, clase «25-50% (Mod. escarpado)») es la 7.ª más baja de 7 y se sitúa por encima del promedio de la microcuenca (29.26 %). Su MSAVI 2024 (0.5745) es el 5.º de 7 y queda por debajo del promedio local (0.5793). Amplitud altitudinal del bloque: 735 m (1529–2264 msnm). El cuadro conserva todos los bloques catalogados en la microcuenca, incluidos los descartados en el tamizaje, para referencia del conjunto. Los bloques sin ficha DT figuran con sus parámetros de gabinete.</t>
        </is>
      </c>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1:H21"/>
    <mergeCell ref="A2:H2"/>
    <mergeCell ref="A19:H19"/>
    <mergeCell ref="A5:H5"/>
    <mergeCell ref="A8:H8"/>
    <mergeCell ref="A6:H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9</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2" t="inlineStr">
        <is>
          <t>D-01</t>
        </is>
      </c>
      <c r="B10" s="32" t="inlineStr">
        <is>
          <t>Código de microcuenca</t>
        </is>
      </c>
      <c r="C10" s="32" t="inlineStr">
        <is>
          <t>La ficha DT declara «C1076-Q9584»; el catálogo maestro V5/V6 asigna el bloque a «C1076-Q9586»</t>
        </is>
      </c>
      <c r="D10" s="33" t="inlineStr">
        <is>
          <t>SUSTANTIVA</t>
        </is>
      </c>
      <c r="E10" s="32" t="inlineStr">
        <is>
          <t>Se conserva el código del catálogo maestro para todo cálculo intramicrocuenca. La declaración de la ficha debe corregirse en la siguiente versión del formato V5.</t>
        </is>
      </c>
    </row>
    <row r="11" ht="48" customHeight="1">
      <c r="A11" s="34" t="inlineStr">
        <is>
          <t>D-02</t>
        </is>
      </c>
      <c r="B11" s="34" t="inlineStr">
        <is>
          <t>UTM del punto de muestreo</t>
        </is>
      </c>
      <c r="C11" s="34" t="inlineStr">
        <is>
          <t>Las celdas de UTM ESTE / NORTE del punto de muestreo están vacías o incompletas en la ficha DT</t>
        </is>
      </c>
      <c r="D11" s="33" t="inlineStr">
        <is>
          <t>SUSTANTIVA</t>
        </is>
      </c>
      <c r="E11" s="34" t="inlineStr">
        <is>
          <t>No se sustituye por el centroide del catálogo. Se consigna «Por registrar en campo».</t>
        </is>
      </c>
    </row>
    <row r="12" ht="48" customHeight="1">
      <c r="A12" s="32" t="inlineStr">
        <is>
          <t>D-03</t>
        </is>
      </c>
      <c r="B12" s="32" t="inlineStr">
        <is>
          <t>Superficie del polígono</t>
        </is>
      </c>
      <c r="C12" s="32" t="inlineStr">
        <is>
          <t>La superficie clasificada por el NDVI 2025 (109.882 ha) coincide con la de catálogo (109.86 ha) dentro del ±2 % (+0.02 %)</t>
        </is>
      </c>
      <c r="D12" s="35" t="inlineStr">
        <is>
          <t>CONFORME</t>
        </is>
      </c>
      <c r="E12" s="32" t="inlineStr">
        <is>
          <t>Sin acción: la segmentación valida la geometría del bloque.</t>
        </is>
      </c>
    </row>
    <row r="13" ht="48" customHeight="1">
      <c r="A13" s="34" t="inlineStr">
        <is>
          <t>D-04</t>
        </is>
      </c>
      <c r="B13" s="34" t="inlineStr">
        <is>
          <t>Rango de pendiente dominante</t>
        </is>
      </c>
      <c r="C13" s="34" t="inlineStr">
        <is>
          <t>La ficha DT declara «50-75% (Escarpado)»; la estadística zonal sobre el MDE arroja una pendiente promedio de 34.82 %, que corresponde a la clase «25-50% (Mod. escarpado)»</t>
        </is>
      </c>
      <c r="D13" s="13" t="inlineStr">
        <is>
          <t>NO SUSTANTIVA</t>
        </is>
      </c>
      <c r="E13" s="34"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2" t="inlineStr">
        <is>
          <t>D-05</t>
        </is>
      </c>
      <c r="B14" s="32" t="inlineStr">
        <is>
          <t>Cobertura vegetal total</t>
        </is>
      </c>
      <c r="C14" s="32" t="inlineStr">
        <is>
          <t>La ficha DT estima 40 % de cobertura vegetal en campo; el NDVI mediana 2025 clasifica 100.00 % del polígono en clases de vegetación</t>
        </is>
      </c>
      <c r="D14" s="13" t="inlineStr">
        <is>
          <t>NO SUSTANTIVA</t>
        </is>
      </c>
      <c r="E14" s="32"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4" t="inlineStr">
        <is>
          <t>D-06</t>
        </is>
      </c>
      <c r="B15" s="34" t="inlineStr">
        <is>
          <t>Elenco florístico</t>
        </is>
      </c>
      <c r="C15" s="34" t="inlineStr">
        <is>
          <t>La ficha registra 11 taxones, por debajo del mínimo de 15 que exige el formato V5</t>
        </is>
      </c>
      <c r="D15" s="33" t="inlineStr">
        <is>
          <t>SUSTANTIVA</t>
        </is>
      </c>
      <c r="E15" s="34" t="inlineStr">
        <is>
          <t>Registro florístico preliminar, sin colecta ni determinación botánica formal. Debe cerrarse con colecta botánica en la siguiente campaña.</t>
        </is>
      </c>
    </row>
    <row r="16" ht="48" customHeight="1">
      <c r="A16" s="32" t="inlineStr">
        <is>
          <t>D-07</t>
        </is>
      </c>
      <c r="B16" s="32" t="inlineStr">
        <is>
          <t>Centro poblado asociado</t>
        </is>
      </c>
      <c r="C16" s="32" t="inlineStr">
        <is>
          <t>La ficha DT declara «San Miguel de El Faique (sector La Unión)»; el cruce INEI-Bloques V5 identifica 2 centro(s) poblado(s) en el bloque: EL HIGUERON, LA CAPILLA</t>
        </is>
      </c>
      <c r="D16" s="35" t="inlineStr">
        <is>
          <t>CONFORME</t>
        </is>
      </c>
      <c r="E16" s="32" t="inlineStr">
        <is>
          <t>Se conserva el registro de campo como referencia y se adopta el listado INEI para el diagnóstico social y el cálculo de población beneficiaria.</t>
        </is>
      </c>
    </row>
    <row r="17" ht="48" customHeight="1">
      <c r="A17" s="34" t="inlineStr">
        <is>
          <t>D-08</t>
        </is>
      </c>
      <c r="B17" s="34" t="inlineStr">
        <is>
          <t>Peligro integrado (MCA-AHP)</t>
        </is>
      </c>
      <c r="C17" s="34" t="inlineStr">
        <is>
          <t>El nivel de peligro integrado no está disponible en los insumos de este entregable</t>
        </is>
      </c>
      <c r="D17" s="33" t="inlineStr">
        <is>
          <t>SUSTANTIVA</t>
        </is>
      </c>
      <c r="E17" s="34" t="inlineStr">
        <is>
          <t>Debe tomarse del modelamiento de mesolocalización (PMM + EPH + PGI ponderados por AHP) antes de fijar la prioridad definitiva de intervención del bloque.</t>
        </is>
      </c>
    </row>
    <row r="19">
      <c r="A19" s="16" t="inlineStr">
        <is>
          <t>RESUMEN</t>
        </is>
      </c>
      <c r="B19" s="17" t="inlineStr">
        <is>
          <t>8 verificaciones</t>
        </is>
      </c>
      <c r="C19" s="17" t="inlineStr">
        <is>
          <t>CONFORME: 2 · NO SUSTANTIVA: 2 · SUSTANTIVA: 4</t>
        </is>
      </c>
      <c r="D19" s="17" t="inlineStr"/>
      <c r="E19" s="17" t="inlineStr"/>
    </row>
    <row r="21" ht="60" customHeight="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9 — IN Piura</dc:title>
  <dc:subject>Diagnóstico Territorial por bloque de intervención</dc:subject>
  <dcterms:created xsi:type="dcterms:W3CDTF">2026-09-08T02:45:03Z</dcterms:created>
  <dcterms:modified xsi:type="dcterms:W3CDTF">2026-09-08T02:45:03Z</dcterms:modified>
</cp:coreProperties>
</file>