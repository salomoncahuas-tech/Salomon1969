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Resumen" sheetId="1" state="visible" r:id="rId1"/>
    <sheet name="Cobertura MSAVI-NDVI" sheetId="2" state="visible" r:id="rId2"/>
    <sheet name="Estaciones fotográficas" sheetId="3" state="visible" r:id="rId3"/>
    <sheet name="Microcuenca" sheetId="4" state="visible" r:id="rId4"/>
    <sheet name="Control de consistencia" sheetId="5" state="visible" r:id="rId5"/>
  </sheets>
  <definedNames/>
  <calcPr calcId="124519" fullCalcOnLoad="1"/>
</workbook>
</file>

<file path=xl/styles.xml><?xml version="1.0" encoding="utf-8"?>
<styleSheet xmlns="http://schemas.openxmlformats.org/spreadsheetml/2006/main">
  <numFmts count="2">
    <numFmt numFmtId="164" formatCode="0.0000"/>
    <numFmt numFmtId="165" formatCode="0.000"/>
  </numFmts>
  <fonts count="9">
    <font>
      <name val="Calibri"/>
      <family val="2"/>
      <color theme="1"/>
      <sz val="11"/>
      <scheme val="minor"/>
    </font>
    <font>
      <name val="Arial"/>
      <b val="1"/>
      <color rgb="00FFFFFF"/>
      <sz val="10"/>
    </font>
    <font>
      <name val="Arial"/>
      <color rgb="00FFFFFF"/>
      <sz val="8"/>
    </font>
    <font>
      <name val="Arial"/>
      <b val="1"/>
      <color rgb="001B4D2E"/>
      <sz val="12"/>
    </font>
    <font>
      <name val="Arial"/>
      <i val="1"/>
      <color rgb="00555555"/>
      <sz val="8"/>
    </font>
    <font>
      <name val="Arial"/>
      <b val="1"/>
      <sz val="9"/>
    </font>
    <font>
      <name val="Arial"/>
      <sz val="9"/>
    </font>
    <font>
      <name val="Arial"/>
      <i val="1"/>
      <color rgb="00333333"/>
      <sz val="8"/>
    </font>
    <font>
      <name val="Arial"/>
      <b val="1"/>
      <color rgb="00FFFFFF"/>
      <sz val="9"/>
    </font>
  </fonts>
  <fills count="9">
    <fill>
      <patternFill/>
    </fill>
    <fill>
      <patternFill patternType="gray125"/>
    </fill>
    <fill>
      <patternFill patternType="solid">
        <fgColor rgb="001B4D2E"/>
      </patternFill>
    </fill>
    <fill>
      <patternFill patternType="solid">
        <fgColor rgb="001B4F72"/>
      </patternFill>
    </fill>
    <fill>
      <patternFill patternType="solid">
        <fgColor rgb="00E8F0EA"/>
      </patternFill>
    </fill>
    <fill>
      <patternFill patternType="solid">
        <fgColor rgb="00F2F2F2"/>
      </patternFill>
    </fill>
    <fill>
      <patternFill patternType="solid">
        <fgColor rgb="00FFF2CC"/>
      </patternFill>
    </fill>
    <fill>
      <patternFill patternType="solid">
        <fgColor rgb="00F8CBAD"/>
      </patternFill>
    </fill>
    <fill>
      <patternFill patternType="solid">
        <fgColor rgb="00D9E1F2"/>
      </patternFill>
    </fill>
  </fills>
  <borders count="6">
    <border>
      <left/>
      <right/>
      <top/>
      <bottom/>
      <diagonal/>
    </border>
    <border>
      <left style="thin">
        <color rgb="009C9C9C"/>
      </left>
      <right style="thin">
        <color rgb="009C9C9C"/>
      </right>
      <top style="thin">
        <color rgb="009C9C9C"/>
      </top>
      <bottom style="thin">
        <color rgb="009C9C9C"/>
      </bottom>
    </border>
    <border>
      <left/>
      <right/>
      <top style="thin">
        <color rgb="009C9C9C"/>
      </top>
      <bottom/>
      <diagonal/>
    </border>
    <border>
      <left/>
      <right style="thin">
        <color rgb="009C9C9C"/>
      </right>
      <top style="thin">
        <color rgb="009C9C9C"/>
      </top>
      <bottom/>
      <diagonal/>
    </border>
    <border>
      <left/>
      <right/>
      <top style="thin">
        <color rgb="009C9C9C"/>
      </top>
      <bottom style="thin">
        <color rgb="009C9C9C"/>
      </bottom>
      <diagonal/>
    </border>
    <border>
      <left/>
      <right style="thin">
        <color rgb="009C9C9C"/>
      </right>
      <top style="thin">
        <color rgb="009C9C9C"/>
      </top>
      <bottom style="thin">
        <color rgb="009C9C9C"/>
      </bottom>
      <diagonal/>
    </border>
  </borders>
  <cellStyleXfs count="1">
    <xf numFmtId="0" fontId="0" fillId="0" borderId="0"/>
  </cellStyleXfs>
  <cellXfs count="38">
    <xf numFmtId="0" fontId="0" fillId="0" borderId="0" pivotButton="0" quotePrefix="0" xfId="0"/>
    <xf numFmtId="0" fontId="1" fillId="2" borderId="0" applyAlignment="1" pivotButton="0" quotePrefix="0" xfId="0">
      <alignment horizontal="center" vertical="center" wrapText="1"/>
    </xf>
    <xf numFmtId="0" fontId="2" fillId="3" borderId="0" applyAlignment="1" pivotButton="0" quotePrefix="0" xfId="0">
      <alignment horizontal="center" vertical="center" wrapText="1"/>
    </xf>
    <xf numFmtId="0" fontId="3" fillId="4" borderId="0" applyAlignment="1" pivotButton="0" quotePrefix="0" xfId="0">
      <alignment horizontal="center" vertical="center"/>
    </xf>
    <xf numFmtId="0" fontId="4" fillId="0" borderId="0" applyAlignment="1" pivotButton="0" quotePrefix="0" xfId="0">
      <alignment horizontal="center" vertical="center" wrapText="1"/>
    </xf>
    <xf numFmtId="0" fontId="1" fillId="2" borderId="0" applyAlignment="1" pivotButton="0" quotePrefix="0" xfId="0">
      <alignment horizontal="left" vertical="center" indent="1"/>
    </xf>
    <xf numFmtId="0" fontId="5" fillId="5" borderId="1" applyAlignment="1" pivotButton="0" quotePrefix="0" xfId="0">
      <alignment horizontal="left" vertical="center" wrapText="1" indent="1"/>
    </xf>
    <xf numFmtId="0" fontId="6" fillId="0" borderId="1" applyAlignment="1" pivotButton="0" quotePrefix="0" xfId="0">
      <alignment horizontal="left" vertical="center" wrapText="1" indent="1"/>
    </xf>
    <xf numFmtId="0" fontId="0" fillId="0" borderId="1" pivotButton="0" quotePrefix="0" xfId="0"/>
    <xf numFmtId="0" fontId="7" fillId="0" borderId="1" applyAlignment="1" pivotButton="0" quotePrefix="0" xfId="0">
      <alignment horizontal="justify" vertical="top" wrapText="1"/>
    </xf>
    <xf numFmtId="0" fontId="8" fillId="2" borderId="1" applyAlignment="1" pivotButton="0" quotePrefix="0" xfId="0">
      <alignment horizontal="center" vertical="center" wrapText="1"/>
    </xf>
    <xf numFmtId="0" fontId="6" fillId="0" borderId="1" applyAlignment="1" pivotButton="0" quotePrefix="0" xfId="0">
      <alignment horizontal="center" vertical="center" wrapText="1"/>
    </xf>
    <xf numFmtId="0" fontId="5" fillId="6" borderId="1" applyAlignment="1" pivotButton="0" quotePrefix="0" xfId="0">
      <alignment horizontal="left" vertical="center" wrapText="1" indent="1"/>
    </xf>
    <xf numFmtId="0" fontId="5" fillId="6" borderId="1" applyAlignment="1" pivotButton="0" quotePrefix="0" xfId="0">
      <alignment horizontal="center" vertical="center" wrapText="1"/>
    </xf>
    <xf numFmtId="0" fontId="6" fillId="4" borderId="1" applyAlignment="1" pivotButton="0" quotePrefix="0" xfId="0">
      <alignment horizontal="left" vertical="center" wrapText="1" indent="1"/>
    </xf>
    <xf numFmtId="0" fontId="6" fillId="4" borderId="1" applyAlignment="1" pivotButton="0" quotePrefix="0" xfId="0">
      <alignment horizontal="center" vertical="center" wrapText="1"/>
    </xf>
    <xf numFmtId="0" fontId="5" fillId="4" borderId="1" applyAlignment="1" pivotButton="0" quotePrefix="0" xfId="0">
      <alignment horizontal="left" vertical="center" wrapText="1" indent="1"/>
    </xf>
    <xf numFmtId="0" fontId="5" fillId="4" borderId="1" applyAlignment="1" pivotButton="0" quotePrefix="0" xfId="0">
      <alignment horizontal="center" vertical="center" wrapText="1"/>
    </xf>
    <xf numFmtId="164" fontId="6" fillId="0" borderId="1" applyAlignment="1" pivotButton="0" quotePrefix="0" xfId="0">
      <alignment horizontal="center" vertical="center" wrapText="1"/>
    </xf>
    <xf numFmtId="2" fontId="6" fillId="0" borderId="1" applyAlignment="1" pivotButton="0" quotePrefix="0" xfId="0">
      <alignment horizontal="center" vertical="center" wrapText="1"/>
    </xf>
    <xf numFmtId="164" fontId="6" fillId="4" borderId="1" applyAlignment="1" pivotButton="0" quotePrefix="0" xfId="0">
      <alignment horizontal="center" vertical="center" wrapText="1"/>
    </xf>
    <xf numFmtId="2" fontId="6" fillId="4" borderId="1" applyAlignment="1" pivotButton="0" quotePrefix="0" xfId="0">
      <alignment horizontal="center" vertical="center" wrapText="1"/>
    </xf>
    <xf numFmtId="164" fontId="5" fillId="4" borderId="1" applyAlignment="1" pivotButton="0" quotePrefix="0" xfId="0">
      <alignment horizontal="center" vertical="center" wrapText="1"/>
    </xf>
    <xf numFmtId="2" fontId="5" fillId="4" borderId="1" applyAlignment="1" pivotButton="0" quotePrefix="0" xfId="0">
      <alignment horizontal="center" vertical="center" wrapText="1"/>
    </xf>
    <xf numFmtId="0" fontId="5" fillId="0" borderId="1" applyAlignment="1" pivotButton="0" quotePrefix="0" xfId="0">
      <alignment horizontal="left" vertical="center" wrapText="1" indent="1"/>
    </xf>
    <xf numFmtId="0" fontId="5" fillId="0" borderId="1" applyAlignment="1" pivotButton="0" quotePrefix="0" xfId="0">
      <alignment horizontal="center" vertical="center" wrapText="1"/>
    </xf>
    <xf numFmtId="165" fontId="5" fillId="6" borderId="1" applyAlignment="1" pivotButton="0" quotePrefix="0" xfId="0">
      <alignment horizontal="center" vertical="center" wrapText="1"/>
    </xf>
    <xf numFmtId="2" fontId="5" fillId="6" borderId="1" applyAlignment="1" pivotButton="0" quotePrefix="0" xfId="0">
      <alignment horizontal="center" vertical="center" wrapText="1"/>
    </xf>
    <xf numFmtId="164" fontId="5" fillId="6" borderId="1" applyAlignment="1" pivotButton="0" quotePrefix="0" xfId="0">
      <alignment horizontal="center" vertical="center" wrapText="1"/>
    </xf>
    <xf numFmtId="165" fontId="6" fillId="4" borderId="1" applyAlignment="1" pivotButton="0" quotePrefix="0" xfId="0">
      <alignment horizontal="center" vertical="center" wrapText="1"/>
    </xf>
    <xf numFmtId="165" fontId="6" fillId="0" borderId="1" applyAlignment="1" pivotButton="0" quotePrefix="0" xfId="0">
      <alignment horizontal="center" vertical="center" wrapText="1"/>
    </xf>
    <xf numFmtId="165" fontId="5" fillId="4" borderId="1" applyAlignment="1" pivotButton="0" quotePrefix="0" xfId="0">
      <alignment horizontal="center" vertical="center" wrapText="1"/>
    </xf>
    <xf numFmtId="0" fontId="6" fillId="0" borderId="1" applyAlignment="1" pivotButton="0" quotePrefix="0" xfId="0">
      <alignment horizontal="left" vertical="top" wrapText="1" indent="1"/>
    </xf>
    <xf numFmtId="0" fontId="5" fillId="7" borderId="1" applyAlignment="1" pivotButton="0" quotePrefix="0" xfId="0">
      <alignment horizontal="center" vertical="center" wrapText="1"/>
    </xf>
    <xf numFmtId="0" fontId="6" fillId="4" borderId="1" applyAlignment="1" pivotButton="0" quotePrefix="0" xfId="0">
      <alignment horizontal="left" vertical="top" wrapText="1" indent="1"/>
    </xf>
    <xf numFmtId="0" fontId="5" fillId="8" borderId="1" applyAlignment="1" pivotButton="0" quotePrefix="0" xfId="0">
      <alignment horizontal="center" vertical="center" wrapText="1"/>
    </xf>
    <xf numFmtId="0" fontId="0" fillId="0" borderId="4" pivotButton="0" quotePrefix="0" xfId="0"/>
    <xf numFmtId="0" fontId="0" fillId="0" borderId="5"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styles" Target="styles.xml" Id="rId6" /><Relationship Type="http://schemas.openxmlformats.org/officeDocument/2006/relationships/theme" Target="theme/theme1.xml" Id="rId7" /></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H56"/>
  <sheetViews>
    <sheetView showGridLines="0" workbookViewId="0">
      <pane ySplit="6" topLeftCell="A7" activePane="bottomLeft" state="frozen"/>
      <selection pane="bottomLeft" activeCell="A1" sqref="A1"/>
    </sheetView>
  </sheetViews>
  <sheetFormatPr baseColWidth="8" defaultRowHeight="15"/>
  <cols>
    <col width="26" customWidth="1" min="1" max="1"/>
    <col width="30" customWidth="1" min="2" max="2"/>
    <col width="26" customWidth="1" min="3" max="3"/>
    <col width="30" customWidth="1" min="4" max="4"/>
    <col width="14" customWidth="1" min="5" max="5"/>
    <col width="14" customWidth="1" min="6" max="6"/>
  </cols>
  <sheetData>
    <row r="1" ht="15" customHeight="1">
      <c r="A1" s="1" t="inlineStr">
        <is>
          <t>AUTORIDAD NACIONAL DE INFRAESTRUCTURA - ANIN</t>
        </is>
      </c>
    </row>
    <row r="2" ht="15" customHeight="1">
      <c r="A2" s="1" t="inlineStr">
        <is>
          <t>DIRECCIÓN DE INTERVENCIONES MULTISECTORIALES Y DE EMERGENCIA - DIME</t>
        </is>
      </c>
    </row>
    <row r="3" ht="15" customHeight="1">
      <c r="A3" s="1" t="inlineStr">
        <is>
          <t>SUBDIRECCIÓN DE ESTUDIOS DE INVERSIÓN - SESDI</t>
        </is>
      </c>
    </row>
    <row r="4" ht="24" customHeight="1">
      <c r="A4" s="2" t="inlineStr">
        <is>
          <t>PROYECTO IN PIURA | CUI 2669244 | Recuperación del servicio de regulación de riesgos naturales y de ecosistemas degradados - Cuenca Alta del Río Piura</t>
        </is>
      </c>
    </row>
    <row r="5" ht="22" customHeight="1">
      <c r="A5" s="3" t="inlineStr">
        <is>
          <t>FICHA RESUMEN — BLOQUE PRELIMINAR DE INTERVENCIÓN 9</t>
        </is>
      </c>
    </row>
    <row r="6" ht="24" customHeight="1">
      <c r="A6" s="4" t="inlineStr">
        <is>
          <t>Diagnóstico Territorial — Plantilla DT Campo Check Validada V5 | Sistema de referencia: UTM WGS 84 Zona 17S (EPSG:32717)</t>
        </is>
      </c>
    </row>
    <row r="7"/>
    <row r="8" ht="18" customHeight="1">
      <c r="A8" s="5" t="inlineStr">
        <is>
          <t>1. IDENTIFICACIÓN Y LOCALIZACIÓN</t>
        </is>
      </c>
    </row>
    <row r="9">
      <c r="A9" s="6" t="inlineStr">
        <is>
          <t>Código del bloque</t>
        </is>
      </c>
      <c r="B9" s="7" t="inlineStr">
        <is>
          <t>9</t>
        </is>
      </c>
      <c r="C9" s="6" t="inlineStr">
        <is>
          <t>Microcuenca (catálogo)</t>
        </is>
      </c>
      <c r="D9" s="7" t="inlineStr">
        <is>
          <t>C1076-Q9586</t>
        </is>
      </c>
      <c r="E9" s="8" t="n"/>
      <c r="F9" s="8" t="n"/>
    </row>
    <row r="10">
      <c r="A10" s="6" t="inlineStr">
        <is>
          <t>Zona de planificación</t>
        </is>
      </c>
      <c r="B10" s="7" t="inlineStr">
        <is>
          <t>Z12</t>
        </is>
      </c>
      <c r="C10" s="6" t="inlineStr">
        <is>
          <t>Microcuenca declarada en ficha DT</t>
        </is>
      </c>
      <c r="D10" s="7" t="inlineStr">
        <is>
          <t>C1076-Q9584</t>
        </is>
      </c>
      <c r="E10" s="8" t="n"/>
      <c r="F10" s="8" t="n"/>
    </row>
    <row r="11">
      <c r="A11" s="6" t="inlineStr">
        <is>
          <t>Departamento</t>
        </is>
      </c>
      <c r="B11" s="7" t="inlineStr">
        <is>
          <t>Piura</t>
        </is>
      </c>
      <c r="C11" s="6" t="inlineStr">
        <is>
          <t>Provincia</t>
        </is>
      </c>
      <c r="D11" s="7" t="inlineStr">
        <is>
          <t>Huancabamba</t>
        </is>
      </c>
      <c r="E11" s="8" t="n"/>
      <c r="F11" s="8" t="n"/>
    </row>
    <row r="12">
      <c r="A12" s="6" t="inlineStr">
        <is>
          <t>Distrito</t>
        </is>
      </c>
      <c r="B12" s="7" t="inlineStr">
        <is>
          <t>San Miguel de El Faique</t>
        </is>
      </c>
      <c r="C12" s="6" t="inlineStr">
        <is>
          <t>Capital distrital</t>
        </is>
      </c>
      <c r="D12" s="7" t="inlineStr">
        <is>
          <t>San Miguel de El Faique</t>
        </is>
      </c>
      <c r="E12" s="8" t="n"/>
      <c r="F12" s="8" t="n"/>
    </row>
    <row r="13">
      <c r="A13" s="6" t="inlineStr">
        <is>
          <t>Centro poblado asociado</t>
        </is>
      </c>
      <c r="B13" s="7" t="inlineStr">
        <is>
          <t>San Miguel de El Faique (sector La Unión)</t>
        </is>
      </c>
      <c r="C13" s="6" t="inlineStr">
        <is>
          <t>Comunidad campesina</t>
        </is>
      </c>
      <c r="D13" s="7" t="inlineStr">
        <is>
          <t>Por verificar</t>
        </is>
      </c>
      <c r="E13" s="8" t="n"/>
      <c r="F13" s="8" t="n"/>
    </row>
    <row r="14">
      <c r="A14" s="6" t="inlineStr">
        <is>
          <t>Superficie de catálogo (V5/V6), ha</t>
        </is>
      </c>
      <c r="B14" s="7" t="n">
        <v>109.86</v>
      </c>
      <c r="C14" s="6" t="inlineStr">
        <is>
          <t>Fuente de superficie</t>
        </is>
      </c>
      <c r="D14" s="7" t="inlineStr">
        <is>
          <t>Catálogo maestro Bloques V5/V6</t>
        </is>
      </c>
      <c r="E14" s="8" t="n"/>
      <c r="F14" s="8" t="n"/>
    </row>
    <row r="15">
      <c r="A15" s="6" t="inlineStr">
        <is>
          <t>Centroide UTM ESTE (m)</t>
        </is>
      </c>
      <c r="B15" s="7" t="n">
        <v>656578</v>
      </c>
      <c r="C15" s="6" t="inlineStr">
        <is>
          <t>Centroide UTM NORTE (m)</t>
        </is>
      </c>
      <c r="D15" s="7" t="n">
        <v>9397762</v>
      </c>
      <c r="E15" s="8" t="n"/>
      <c r="F15" s="8" t="n"/>
    </row>
    <row r="16">
      <c r="A16" s="6" t="inlineStr">
        <is>
          <t>Sistema de coordenadas</t>
        </is>
      </c>
      <c r="B16" s="7" t="inlineStr">
        <is>
          <t>UTM WGS 84 Zona 17S (EPSG:32717)</t>
        </is>
      </c>
      <c r="C16" s="6" t="inlineStr">
        <is>
          <t>Tipo de intervención</t>
        </is>
      </c>
      <c r="D16" s="7" t="inlineStr">
        <is>
          <t>Restauración</t>
        </is>
      </c>
      <c r="E16" s="8" t="n"/>
      <c r="F16" s="8" t="n"/>
    </row>
    <row r="17"/>
    <row r="18" ht="18" customHeight="1">
      <c r="A18" s="5" t="inlineStr">
        <is>
          <t>2. PARÁMETROS FÍSICOS (ESTADÍSTICA ZONAL SOBRE MDE)</t>
        </is>
      </c>
    </row>
    <row r="19">
      <c r="A19" s="6" t="inlineStr">
        <is>
          <t>Altitud mínima (msnm)</t>
        </is>
      </c>
      <c r="B19" s="7" t="n">
        <v>1529</v>
      </c>
      <c r="C19" s="6" t="inlineStr">
        <is>
          <t>Altitud máxima (msnm)</t>
        </is>
      </c>
      <c r="D19" s="7" t="n">
        <v>2264</v>
      </c>
      <c r="E19" s="8" t="n"/>
      <c r="F19" s="8" t="n"/>
    </row>
    <row r="20">
      <c r="A20" s="6" t="inlineStr">
        <is>
          <t>Amplitud altitudinal (m)</t>
        </is>
      </c>
      <c r="B20" s="7" t="n">
        <v>735</v>
      </c>
      <c r="C20" s="6" t="inlineStr">
        <is>
          <t>Piso altitudinal dominante</t>
        </is>
      </c>
      <c r="D20" s="7" t="inlineStr">
        <is>
          <t>1500-2000 m (Quechua media)</t>
        </is>
      </c>
      <c r="E20" s="8" t="n"/>
      <c r="F20" s="8" t="n"/>
    </row>
    <row r="21">
      <c r="A21" s="6" t="inlineStr">
        <is>
          <t>Pendiente promedio (%)</t>
        </is>
      </c>
      <c r="B21" s="7" t="n">
        <v>34.82</v>
      </c>
      <c r="C21" s="6" t="inlineStr">
        <is>
          <t>Pendiente promedio (grados)</t>
        </is>
      </c>
      <c r="D21" s="7" t="n">
        <v>19.2</v>
      </c>
      <c r="E21" s="8" t="n"/>
      <c r="F21" s="8" t="n"/>
    </row>
    <row r="22">
      <c r="A22" s="6" t="inlineStr">
        <is>
          <t>Clase de pendiente equivalente</t>
        </is>
      </c>
      <c r="B22" s="7" t="inlineStr">
        <is>
          <t>25-50% (Mod. escarpado)</t>
        </is>
      </c>
      <c r="C22" s="6" t="inlineStr">
        <is>
          <t>Rango de pendiente declarado en campo</t>
        </is>
      </c>
      <c r="D22" s="7" t="inlineStr">
        <is>
          <t>50-75% (Escarpado)</t>
        </is>
      </c>
      <c r="E22" s="8" t="n"/>
      <c r="F22" s="8" t="n"/>
    </row>
    <row r="23">
      <c r="A23" s="6" t="inlineStr">
        <is>
          <t>Forma predominante del terreno</t>
        </is>
      </c>
      <c r="B23" s="7" t="inlineStr">
        <is>
          <t>Montañoso</t>
        </is>
      </c>
      <c r="C23" s="6" t="inlineStr">
        <is>
          <t>Posición fisiográfica</t>
        </is>
      </c>
      <c r="D23" s="7" t="inlineStr">
        <is>
          <t>Ladera media</t>
        </is>
      </c>
      <c r="E23" s="8" t="n"/>
      <c r="F23" s="8" t="n"/>
    </row>
    <row r="24">
      <c r="A24" s="6" t="inlineStr">
        <is>
          <t>Exposición / orientación</t>
        </is>
      </c>
      <c r="B24" s="7" t="inlineStr">
        <is>
          <t>Cima (sin dominancia)</t>
        </is>
      </c>
      <c r="C24" s="6" t="inlineStr">
        <is>
          <t>Afloramientos rocosos</t>
        </is>
      </c>
      <c r="D24" s="7" t="inlineStr">
        <is>
          <t>Sí</t>
        </is>
      </c>
      <c r="E24" s="8" t="n"/>
      <c r="F24" s="8" t="n"/>
    </row>
    <row r="25">
      <c r="A25" s="6" t="inlineStr">
        <is>
          <t>Escarpes activos</t>
        </is>
      </c>
      <c r="B25" s="7" t="inlineStr">
        <is>
          <t>No</t>
        </is>
      </c>
      <c r="C25" s="6" t="inlineStr">
        <is>
          <t>Remociones en masa activas</t>
        </is>
      </c>
      <c r="D25" s="7" t="inlineStr">
        <is>
          <t>No</t>
        </is>
      </c>
      <c r="E25" s="8" t="n"/>
      <c r="F25" s="8" t="n"/>
    </row>
    <row r="26"/>
    <row r="27" ht="18" customHeight="1">
      <c r="A27" s="5" t="inlineStr">
        <is>
          <t>3. ÍNDICES DE VEGETACIÓN (SENTINEL-2)</t>
        </is>
      </c>
    </row>
    <row r="28">
      <c r="A28" s="6" t="inlineStr">
        <is>
          <t>MSAVI 2024 — media del bloque</t>
        </is>
      </c>
      <c r="B28" s="7" t="n">
        <v>0.5745</v>
      </c>
      <c r="C28" s="6" t="inlineStr">
        <is>
          <t>MSAVI 2024 — clase de la media</t>
        </is>
      </c>
      <c r="D28" s="7" t="inlineStr">
        <is>
          <t>0.4976 - 0.6139 (Vigor moderado)</t>
        </is>
      </c>
      <c r="E28" s="8" t="n"/>
      <c r="F28" s="8" t="n"/>
    </row>
    <row r="29">
      <c r="A29" s="6" t="inlineStr">
        <is>
          <t>Condición frente al umbral 0.4976</t>
        </is>
      </c>
      <c r="B29" s="7" t="inlineStr">
        <is>
          <t>Sobre umbral · distribución areal: 11.54 % del bloque BAJO el umbral (12.678 ha de 109.860 ha)</t>
        </is>
      </c>
      <c r="C29" s="6" t="inlineStr">
        <is>
          <t>NDVI mediana 2025 — clase modal</t>
        </is>
      </c>
      <c r="D29" s="7" t="inlineStr">
        <is>
          <t>Vegetación alta (90.24 %)</t>
        </is>
      </c>
      <c r="E29" s="8" t="n"/>
      <c r="F29" s="8" t="n"/>
    </row>
    <row r="30">
      <c r="A30" s="6" t="inlineStr">
        <is>
          <t>MSAVI 2024 — superficie BAJO el umbral 0.4976 (ha)</t>
        </is>
      </c>
      <c r="B30" s="7" t="n">
        <v>12.678</v>
      </c>
      <c r="C30" s="6" t="inlineStr">
        <is>
          <t>MSAVI 2024 — % del bloque BAJO el umbral</t>
        </is>
      </c>
      <c r="D30" s="7" t="n">
        <v>11.54</v>
      </c>
      <c r="E30" s="8" t="n"/>
      <c r="F30" s="8" t="n"/>
    </row>
    <row r="31">
      <c r="A31" s="6" t="inlineStr">
        <is>
          <t>MSAVI 2024 — clase areal dominante</t>
        </is>
      </c>
      <c r="B31" s="7" t="inlineStr">
        <is>
          <t>Vigor moderado</t>
        </is>
      </c>
      <c r="C31" s="6" t="inlineStr">
        <is>
          <t>MSAVI 2024 — fuente de la distribución areal</t>
        </is>
      </c>
      <c r="D31" s="7" t="inlineStr">
        <is>
          <t>Conteo de celdas sobre la cartografía MSAVI 2024 del bloque (9.png)</t>
        </is>
      </c>
      <c r="E31" s="8" t="n"/>
      <c r="F31" s="8" t="n"/>
    </row>
    <row r="32" ht="18" customHeight="1">
      <c r="A32" s="6" t="inlineStr">
        <is>
          <t>Superficie clasificada NDVI 2025 (ha)</t>
        </is>
      </c>
      <c r="B32" s="7" t="n">
        <v>109.882</v>
      </c>
      <c r="C32" s="6" t="inlineStr">
        <is>
          <t>Desviación frente al catálogo (%)</t>
        </is>
      </c>
      <c r="D32" s="7" t="n">
        <v>0.02</v>
      </c>
      <c r="E32" s="8" t="n"/>
      <c r="F32" s="8" t="n"/>
    </row>
    <row r="33"/>
    <row r="34">
      <c r="A34" s="5" t="inlineStr">
        <is>
          <t>4. ECOSISTEMA Y ESTADO DE CONSERVACIÓN</t>
        </is>
      </c>
    </row>
    <row r="35">
      <c r="A35" s="6" t="inlineStr">
        <is>
          <t>Tipo de ecosistema (UP)</t>
        </is>
      </c>
      <c r="B35" s="7" t="inlineStr">
        <is>
          <t>Matorral Andino subhúmedo</t>
        </is>
      </c>
      <c r="C35" s="6" t="inlineStr">
        <is>
          <t>Superficie de ecosistema (ha)</t>
        </is>
      </c>
      <c r="D35" s="7" t="inlineStr">
        <is>
          <t>109.861 ha</t>
        </is>
      </c>
      <c r="E35" s="8" t="n"/>
      <c r="F35" s="8" t="n"/>
    </row>
    <row r="36">
      <c r="A36" s="6" t="inlineStr">
        <is>
          <t>Estado de conservación</t>
        </is>
      </c>
      <c r="B36" s="7" t="inlineStr">
        <is>
          <t>Medianamente alterado</t>
        </is>
      </c>
      <c r="C36" s="6" t="inlineStr">
        <is>
          <t>Uso actual dominante del suelo</t>
        </is>
      </c>
      <c r="D36" s="7" t="inlineStr">
        <is>
          <t>Agricultura secano</t>
        </is>
      </c>
      <c r="E36" s="8" t="n"/>
      <c r="F36" s="8" t="n"/>
    </row>
    <row r="37">
      <c r="A37" s="6" t="inlineStr">
        <is>
          <t>Tipo de cobertura dominante</t>
        </is>
      </c>
      <c r="B37" s="7" t="inlineStr">
        <is>
          <t>Matorral ralo</t>
        </is>
      </c>
      <c r="C37" s="6" t="inlineStr">
        <is>
          <t>Cobertura vegetal total — campo (%)</t>
        </is>
      </c>
      <c r="D37" s="7" t="n">
        <v>40</v>
      </c>
      <c r="E37" s="8" t="n"/>
      <c r="F37" s="8" t="n"/>
    </row>
    <row r="38">
      <c r="A38" s="6" t="inlineStr">
        <is>
          <t>Suelo desnudo — campo (%)</t>
        </is>
      </c>
      <c r="B38" s="7" t="n">
        <v>25</v>
      </c>
      <c r="C38" s="6" t="inlineStr">
        <is>
          <t>Regeneración natural</t>
        </is>
      </c>
      <c r="D38" s="7" t="inlineStr">
        <is>
          <t>Escasa (&lt;10 pl./100m²)</t>
        </is>
      </c>
      <c r="E38" s="8" t="n"/>
      <c r="F38" s="8" t="n"/>
    </row>
    <row r="39">
      <c r="A39" s="6" t="inlineStr">
        <is>
          <t>Nivel general de erosión</t>
        </is>
      </c>
      <c r="B39" s="7" t="inlineStr">
        <is>
          <t>Moderada (surcos)</t>
        </is>
      </c>
      <c r="C39" s="6" t="inlineStr">
        <is>
          <t>N.° de cárcavas registradas</t>
        </is>
      </c>
      <c r="D39" s="7" t="n">
        <v>0</v>
      </c>
      <c r="E39" s="8" t="n"/>
      <c r="F39" s="8" t="n"/>
    </row>
    <row r="40" ht="18" customHeight="1">
      <c r="A40" s="6" t="inlineStr">
        <is>
          <t>Elenco florístico (n.° de taxones)</t>
        </is>
      </c>
      <c r="B40" s="7" t="n">
        <v>11</v>
      </c>
      <c r="C40" s="6" t="inlineStr">
        <is>
          <t>Estado sanitario</t>
        </is>
      </c>
      <c r="D40" s="7" t="inlineStr">
        <is>
          <t>Sano</t>
        </is>
      </c>
      <c r="E40" s="8" t="n"/>
      <c r="F40" s="8" t="n"/>
    </row>
    <row r="41"/>
    <row r="42">
      <c r="A42" s="5" t="inlineStr">
        <is>
          <t>5. RESPONSABLE Y MODALIDAD DE LA EVALUACIÓN</t>
        </is>
      </c>
    </row>
    <row r="43">
      <c r="A43" s="6" t="inlineStr">
        <is>
          <t>Responsable de la evaluación</t>
        </is>
      </c>
      <c r="B43" s="7" t="inlineStr">
        <is>
          <t>Ing. Pedro Talledo Hernández</t>
        </is>
      </c>
      <c r="C43" s="6" t="inlineStr">
        <is>
          <t>Fecha de evaluación</t>
        </is>
      </c>
      <c r="D43" s="7" t="inlineStr">
        <is>
          <t>2026-08-11</t>
        </is>
      </c>
      <c r="E43" s="8" t="n"/>
      <c r="F43" s="8" t="n"/>
    </row>
    <row r="44">
      <c r="A44" s="6" t="inlineStr">
        <is>
          <t>Hora de registro</t>
        </is>
      </c>
      <c r="B44" s="7" t="inlineStr">
        <is>
          <t>Por registrar</t>
        </is>
      </c>
      <c r="C44" s="6" t="inlineStr">
        <is>
          <t>Correlativo de ficha</t>
        </is>
      </c>
      <c r="D44" s="7" t="inlineStr">
        <is>
          <t>F-DT-09-01</t>
        </is>
      </c>
      <c r="E44" s="8" t="n"/>
      <c r="F44" s="8" t="n"/>
    </row>
    <row r="45">
      <c r="A45" s="6" t="inlineStr">
        <is>
          <t>Entidad</t>
        </is>
      </c>
      <c r="B45" s="7" t="inlineStr">
        <is>
          <t>ANIN - DIME - SESDI</t>
        </is>
      </c>
      <c r="C45" s="6" t="inlineStr">
        <is>
          <t>Fase del estudio</t>
        </is>
      </c>
      <c r="D45" s="7" t="inlineStr">
        <is>
          <t>Preinversión (Perfil) · Invierte.pe</t>
        </is>
      </c>
      <c r="E45" s="8" t="n"/>
      <c r="F45" s="8" t="n"/>
    </row>
    <row r="46">
      <c r="A46" s="6" t="inlineStr">
        <is>
          <t>Instrumento aplicado</t>
        </is>
      </c>
      <c r="B46" s="7" t="inlineStr">
        <is>
          <t>Fichas F-DT-01 a F-DT-05 (Plantilla V5)</t>
        </is>
      </c>
      <c r="C46" s="6" t="inlineStr">
        <is>
          <t>Parcela de muestreo</t>
        </is>
      </c>
      <c r="D46" s="7" t="inlineStr">
        <is>
          <t>P-01</t>
        </is>
      </c>
      <c r="E46" s="8" t="n"/>
      <c r="F46" s="8" t="n"/>
    </row>
    <row r="47" ht="18" customHeight="1">
      <c r="A47" s="6" t="inlineStr">
        <is>
          <t>Estaciones fotográficas georreferenciadas</t>
        </is>
      </c>
      <c r="B47" s="7" t="inlineStr">
        <is>
          <t>Sin registro en la ficha DT</t>
        </is>
      </c>
      <c r="C47" s="6" t="inlineStr">
        <is>
          <t>Modalidad de acceso</t>
        </is>
      </c>
      <c r="D47" s="7" t="inlineStr">
        <is>
          <t>Vehicular + caminata 30-90 min</t>
        </is>
      </c>
      <c r="E47" s="8" t="n"/>
      <c r="F47" s="8" t="n"/>
    </row>
    <row r="48"/>
    <row r="49">
      <c r="A49" s="5" t="inlineStr">
        <is>
          <t>6. SÍNTESIS PARA LA GESTIÓN DEL RIESGO EN CONTEXTO DE CAMBIO CLIMÁTICO</t>
        </is>
      </c>
    </row>
    <row r="50">
      <c r="A50" s="6" t="inlineStr">
        <is>
          <t>Causa subyacente principal</t>
        </is>
      </c>
      <c r="B50" s="7" t="inlineStr">
        <is>
          <t>Presión demográfica y necesidad de tierras para cultivo y pastoreo de subsistencia</t>
        </is>
      </c>
      <c r="C50" s="6" t="inlineStr">
        <is>
          <t>Velocidad de degradación</t>
        </is>
      </c>
      <c r="D50" s="7" t="inlineStr">
        <is>
          <t>Moderada</t>
        </is>
      </c>
      <c r="E50" s="8" t="n"/>
      <c r="F50" s="8" t="n"/>
    </row>
    <row r="51">
      <c r="A51" s="6" t="inlineStr">
        <is>
          <t>Reversibilidad técnica</t>
        </is>
      </c>
      <c r="B51" s="7" t="inlineStr">
        <is>
          <t>Parcialmente reversible</t>
        </is>
      </c>
      <c r="C51" s="6" t="inlineStr">
        <is>
          <t>Urgencia de intervención</t>
        </is>
      </c>
      <c r="D51" s="7" t="inlineStr">
        <is>
          <t>Alta</t>
        </is>
      </c>
      <c r="E51" s="8" t="n"/>
      <c r="F51" s="8" t="n"/>
    </row>
    <row r="52">
      <c r="A52" s="6" t="inlineStr">
        <is>
          <t>Urgencia de control de erosión</t>
        </is>
      </c>
      <c r="B52" s="7" t="inlineStr">
        <is>
          <t>Alta</t>
        </is>
      </c>
      <c r="C52" s="6" t="inlineStr">
        <is>
          <t>Zona de recarga hídrica</t>
        </is>
      </c>
      <c r="D52" s="7" t="inlineStr">
        <is>
          <t>Sí</t>
        </is>
      </c>
      <c r="E52" s="8" t="n"/>
      <c r="F52" s="8" t="n"/>
    </row>
    <row r="53">
      <c r="A53" s="6" t="inlineStr">
        <is>
          <t>Peligro integrado preliminar (MCA-AHP)</t>
        </is>
      </c>
      <c r="B53" s="7" t="inlineStr">
        <is>
          <t>No disponible en los insumos; debe tomarse del modelamiento de mesolocalización</t>
        </is>
      </c>
      <c r="C53" s="6" t="inlineStr">
        <is>
          <t>Prioridad de intervención</t>
        </is>
      </c>
      <c r="D53" s="7" t="inlineStr">
        <is>
          <t>Por definir en mesolocalización</t>
        </is>
      </c>
      <c r="E53" s="8" t="n"/>
      <c r="F53" s="8" t="n"/>
    </row>
    <row r="54" ht="72" customHeight="1">
      <c r="A54" s="6" t="inlineStr">
        <is>
          <t>Estado de verificación de campo</t>
        </is>
      </c>
      <c r="B54" s="7" t="inlineStr">
        <is>
          <t>VERIFICADO</t>
        </is>
      </c>
      <c r="C54" s="6" t="inlineStr">
        <is>
          <t>Marco del indicador de brecha</t>
        </is>
      </c>
      <c r="D54" s="7" t="inlineStr">
        <is>
          <t>R.M. N.° 00213-2024-MINAM</t>
        </is>
      </c>
      <c r="E54" s="8" t="n"/>
      <c r="F54" s="8" t="n"/>
    </row>
    <row r="55"/>
    <row r="56">
      <c r="A56" s="9" t="inlineStr">
        <is>
          <t>DECLARACIÓN DE INTEGRIDAD DE DATOS. Ningún valor ausente ha sido estimado o inferido sin declararlo. Los campos que no pudieron sustentarse en observación de campo, estadística zonal o catálogo oficial se consignan como «Por determinar» o «Por verificar». La altitud y la pendiente proceden de estadística zonal sobre el modelo digital de elevación; el MSAVI 2024 y el NDVI mediana 2025 proceden de compuestos Sentinel-2. Las discrepancias detectadas entre campo, gabinete y catálogo se listan en la hoja «Control de consistencia».</t>
        </is>
      </c>
      <c r="B56" s="36" t="n"/>
      <c r="C56" s="36" t="n"/>
      <c r="D56" s="36" t="n"/>
      <c r="E56" s="36" t="n"/>
      <c r="F56" s="37" t="n"/>
    </row>
  </sheetData>
  <mergeCells count="13">
    <mergeCell ref="A27:F27"/>
    <mergeCell ref="A34:F34"/>
    <mergeCell ref="A18:F18"/>
    <mergeCell ref="A56:F56"/>
    <mergeCell ref="A3:F3"/>
    <mergeCell ref="A2:F2"/>
    <mergeCell ref="A49:F49"/>
    <mergeCell ref="A42:F42"/>
    <mergeCell ref="A1:F1"/>
    <mergeCell ref="A5:F5"/>
    <mergeCell ref="A8:F8"/>
    <mergeCell ref="A6:F6"/>
    <mergeCell ref="A4:F4"/>
  </mergeCells>
  <pageMargins left="0.75" right="0.75" top="1" bottom="1" header="0.5" footer="0.5"/>
</worksheet>
</file>

<file path=xl/worksheets/sheet2.xml><?xml version="1.0" encoding="utf-8"?>
<worksheet xmlns="http://schemas.openxmlformats.org/spreadsheetml/2006/main">
  <sheetPr>
    <outlinePr summaryBelow="1" summaryRight="1"/>
    <pageSetUpPr/>
  </sheetPr>
  <dimension ref="A1:H28"/>
  <sheetViews>
    <sheetView showGridLines="0" workbookViewId="0">
      <pane ySplit="6" topLeftCell="A7" activePane="bottomLeft" state="frozen"/>
      <selection pane="bottomLeft" activeCell="A1" sqref="A1"/>
    </sheetView>
  </sheetViews>
  <sheetFormatPr baseColWidth="8" defaultRowHeight="15"/>
  <cols>
    <col width="24" customWidth="1" min="1" max="1"/>
    <col width="16" customWidth="1" min="2" max="2"/>
    <col width="20" customWidth="1" min="3" max="3"/>
    <col width="30" customWidth="1" min="4" max="4"/>
    <col width="28" customWidth="1" min="5" max="5"/>
  </cols>
  <sheetData>
    <row r="1" ht="15" customHeight="1">
      <c r="A1" s="1" t="inlineStr">
        <is>
          <t>AUTORIDAD NACIONAL DE INFRAESTRUCTURA - ANIN</t>
        </is>
      </c>
    </row>
    <row r="2" ht="15" customHeight="1">
      <c r="A2" s="1" t="inlineStr">
        <is>
          <t>DIRECCIÓN DE INTERVENCIONES MULTISECTORIALES Y DE EMERGENCIA - DIME</t>
        </is>
      </c>
    </row>
    <row r="3" ht="15" customHeight="1">
      <c r="A3" s="1" t="inlineStr">
        <is>
          <t>SUBDIRECCIÓN DE ESTUDIOS DE INVERSIÓN - SESDI</t>
        </is>
      </c>
    </row>
    <row r="4" ht="24" customHeight="1">
      <c r="A4" s="2" t="inlineStr">
        <is>
          <t>PROYECTO IN PIURA | CUI 2669244 | Recuperación del servicio de regulación de riesgos naturales y de ecosistemas degradados - Cuenca Alta del Río Piura</t>
        </is>
      </c>
    </row>
    <row r="5" ht="22" customHeight="1">
      <c r="A5" s="3" t="inlineStr">
        <is>
          <t>DISTRIBUCIÓN AREAL DE CLASES ESPECTRALES — BLOQUE 9</t>
        </is>
      </c>
    </row>
    <row r="6" ht="24" customHeight="1">
      <c r="A6" s="4" t="inlineStr">
        <is>
          <t>MSAVI 2024 y NDVI mediana 2025 (Sentinel-2, mosaico Piura) · Umbral de brecha del proyecto: MSAVI = 0.4976</t>
        </is>
      </c>
    </row>
    <row r="7"/>
    <row r="8" ht="18" customHeight="1">
      <c r="A8" s="5" t="inlineStr">
        <is>
          <t>A. MSAVI 2024 — CLASIFICACIÓN POR UMBRALES DEL PROYECTO</t>
        </is>
      </c>
    </row>
    <row r="9" ht="28" customHeight="1">
      <c r="A9" s="10" t="inlineStr">
        <is>
          <t>Clase MSAVI</t>
        </is>
      </c>
      <c r="B9" s="10" t="inlineStr">
        <is>
          <t>Superficie (ha)</t>
        </is>
      </c>
      <c r="C9" s="10" t="inlineStr">
        <is>
          <t>% del área clasificada</t>
        </is>
      </c>
      <c r="D9" s="10" t="inlineStr">
        <is>
          <t>Interpretación</t>
        </is>
      </c>
      <c r="E9" s="10" t="inlineStr">
        <is>
          <t>Condición frente al umbral 0.4976</t>
        </is>
      </c>
    </row>
    <row r="10">
      <c r="A10" s="7" t="inlineStr">
        <is>
          <t>&gt; 0.6139</t>
        </is>
      </c>
      <c r="B10" s="18" t="n">
        <v>29.9368</v>
      </c>
      <c r="C10" s="19" t="n">
        <v>27.25</v>
      </c>
      <c r="D10" s="11" t="inlineStr">
        <is>
          <t>Vigor alto</t>
        </is>
      </c>
      <c r="E10" s="11" t="inlineStr">
        <is>
          <t>Sobre umbral</t>
        </is>
      </c>
    </row>
    <row r="11">
      <c r="A11" s="12" t="inlineStr">
        <is>
          <t>0.4976 - 0.6139</t>
        </is>
      </c>
      <c r="B11" s="28" t="n">
        <v>67.2454</v>
      </c>
      <c r="C11" s="27" t="n">
        <v>61.21</v>
      </c>
      <c r="D11" s="13" t="inlineStr">
        <is>
          <t>Vigor moderado</t>
        </is>
      </c>
      <c r="E11" s="13" t="inlineStr">
        <is>
          <t>Sobre umbral</t>
        </is>
      </c>
    </row>
    <row r="12">
      <c r="A12" s="7" t="inlineStr">
        <is>
          <t>0.3813 - 0.4976</t>
        </is>
      </c>
      <c r="B12" s="18" t="n">
        <v>12.2933</v>
      </c>
      <c r="C12" s="19" t="n">
        <v>11.19</v>
      </c>
      <c r="D12" s="11" t="inlineStr">
        <is>
          <t>Vigor bajo</t>
        </is>
      </c>
      <c r="E12" s="11" t="inlineStr">
        <is>
          <t>BAJO umbral 0.4976</t>
        </is>
      </c>
    </row>
    <row r="13">
      <c r="A13" s="14" t="inlineStr">
        <is>
          <t>0.2650 - 0.3813</t>
        </is>
      </c>
      <c r="B13" s="20" t="n">
        <v>0.3845</v>
      </c>
      <c r="C13" s="21" t="n">
        <v>0.35</v>
      </c>
      <c r="D13" s="15" t="inlineStr">
        <is>
          <t>Vigor muy bajo</t>
        </is>
      </c>
      <c r="E13" s="15" t="inlineStr">
        <is>
          <t>BAJO umbral 0.4976</t>
        </is>
      </c>
    </row>
    <row r="14">
      <c r="A14" s="7" t="inlineStr">
        <is>
          <t>&lt;= 0.2650</t>
        </is>
      </c>
      <c r="B14" s="18" t="n">
        <v>0</v>
      </c>
      <c r="C14" s="19" t="n">
        <v>0</v>
      </c>
      <c r="D14" s="11" t="inlineStr">
        <is>
          <t>Suelo desnudo / no vegetal</t>
        </is>
      </c>
      <c r="E14" s="11" t="inlineStr">
        <is>
          <t>BAJO umbral 0.4976</t>
        </is>
      </c>
    </row>
    <row r="15">
      <c r="A15" s="7" t="inlineStr">
        <is>
          <t>TOTAL CLASIFICADO</t>
        </is>
      </c>
      <c r="B15" s="18">
        <f>SUM(B10:B14)</f>
        <v/>
      </c>
      <c r="C15" s="19">
        <f>SUM(C10:C14)</f>
        <v/>
      </c>
      <c r="D15" s="11" t="inlineStr">
        <is>
          <t>Suma de las cinco clases MSAVI 2024</t>
        </is>
      </c>
      <c r="E15" s="11" t="inlineStr">
        <is>
          <t>Iguala la superficie de catálogo (V5/V6)</t>
        </is>
      </c>
    </row>
    <row r="16">
      <c r="A16" s="16" t="inlineStr">
        <is>
          <t>MSAVI 2024 — MEDIA DEL BLOQUE</t>
        </is>
      </c>
      <c r="B16" s="17" t="n">
        <v>0.574527</v>
      </c>
      <c r="C16" s="17" t="inlineStr">
        <is>
          <t>—</t>
        </is>
      </c>
      <c r="D16" s="17" t="inlineStr">
        <is>
          <t>Vigor moderado · clase 0.4976 - 0.6139</t>
        </is>
      </c>
      <c r="E16" s="17" t="inlineStr">
        <is>
          <t>Sobre umbral</t>
        </is>
      </c>
    </row>
    <row r="17" ht="72" customHeight="1"/>
    <row r="18">
      <c r="A18" s="9" t="inlineStr">
        <is>
          <t>NOTA METODOLÓGICA. La media del MSAVI 2024 del bloque procede del catálogo maestro de bloques V5/V6 y es dato oficial. La DISTRIBUCIÓN AREAL por clase se obtuvo por conteo de celdas sobre la cartografía temática MSAVI 2024 del bloque (carpeta Drive «MSAVI BLOQUES V6»), clasificada con la paleta RdYlGn de cinco clases y los mismos umbrales del proyecto. El reparto porcentual es el medido sobre el polígono del bloque; las hectáreas se obtienen aplicando ese reparto a la superficie de catálogo (V5/V6) declarada en la hoja «Resumen», de modo que el total por clase cuadra con la superficie oficial. Umbral de brecha 0.4976 conforme a la R.M. N.° 00213-2024-MINAM. CONTRASTE INDEPENDIENTE: la tabla de intersección vectorial «BLOQUES_V6_INTERSECC_MSAVI» reproduce el mismo ordenamiento de bloques (correlación de Pearson 0.949 sobre el porcentaje bajo umbral en los 117 bloques); no se usa para el metrado porque su campo AREA_M2 conserva el área del polígono padre y no la de cada pieza de intersección. El refrendo por estadística zonal directa sobre el ráster MSAVI 2024 recortado al polígono queda pendiente.</t>
        </is>
      </c>
      <c r="B18" s="36" t="n"/>
      <c r="C18" s="36" t="n"/>
      <c r="D18" s="36" t="n"/>
      <c r="E18" s="37" t="n"/>
    </row>
    <row r="19" ht="18" customHeight="1"/>
    <row r="20" ht="28" customHeight="1">
      <c r="A20" s="5" t="inlineStr">
        <is>
          <t>B. NDVI MEDIANA 2025 — DISTRIBUCIÓN AREAL (ESTADÍSTICA ZONAL)</t>
        </is>
      </c>
    </row>
    <row r="21">
      <c r="A21" s="10" t="inlineStr">
        <is>
          <t>Clase NDVI</t>
        </is>
      </c>
      <c r="B21" s="10" t="inlineStr">
        <is>
          <t>Superficie (ha)</t>
        </is>
      </c>
      <c r="C21" s="10" t="inlineStr">
        <is>
          <t>% del área clasificada</t>
        </is>
      </c>
      <c r="D21" s="10" t="inlineStr">
        <is>
          <t>Interpretación</t>
        </is>
      </c>
      <c r="E21" s="10" t="inlineStr">
        <is>
          <t>Observación</t>
        </is>
      </c>
    </row>
    <row r="22">
      <c r="A22" s="7" t="inlineStr">
        <is>
          <t>Vegetación alta</t>
        </is>
      </c>
      <c r="B22" s="18" t="n">
        <v>99.1632</v>
      </c>
      <c r="C22" s="19" t="n">
        <v>90.23999999999999</v>
      </c>
      <c r="D22" s="11" t="inlineStr">
        <is>
          <t>Dosel continuo, matorral denso o mosaico agroforestal</t>
        </is>
      </c>
      <c r="E22" s="11" t="inlineStr"/>
    </row>
    <row r="23">
      <c r="A23" s="14" t="inlineStr">
        <is>
          <t>Vegetación mediana</t>
        </is>
      </c>
      <c r="B23" s="20" t="n">
        <v>10.5789</v>
      </c>
      <c r="C23" s="21" t="n">
        <v>9.630000000000001</v>
      </c>
      <c r="D23" s="15" t="inlineStr">
        <is>
          <t>Pastizal cultivado, matorral ralo, parcelas agrícolas</t>
        </is>
      </c>
      <c r="E23" s="15" t="inlineStr"/>
    </row>
    <row r="24">
      <c r="A24" s="7" t="inlineStr">
        <is>
          <t>Vegetación ligera</t>
        </is>
      </c>
      <c r="B24" s="18" t="n">
        <v>0.1404</v>
      </c>
      <c r="C24" s="19" t="n">
        <v>0.13</v>
      </c>
      <c r="D24" s="11" t="inlineStr">
        <is>
          <t>Cobertura discontinua, suelo parcialmente expuesto</t>
        </is>
      </c>
      <c r="E24" s="11" t="inlineStr"/>
    </row>
    <row r="25">
      <c r="A25" s="16" t="inlineStr">
        <is>
          <t>TOTAL CLASIFICADO</t>
        </is>
      </c>
      <c r="B25" s="22">
        <f>SUM(B21:B23)</f>
        <v/>
      </c>
      <c r="C25" s="23">
        <f>SUM(C21:C23)</f>
        <v/>
      </c>
      <c r="D25" s="17" t="inlineStr"/>
      <c r="E25" s="17" t="inlineStr"/>
    </row>
    <row r="26">
      <c r="A26" s="24" t="inlineStr">
        <is>
          <t>Superficie de catálogo (V5/V6)</t>
        </is>
      </c>
      <c r="B26" s="25" t="n">
        <v>109.86</v>
      </c>
      <c r="C26" s="25" t="inlineStr">
        <is>
          <t>—</t>
        </is>
      </c>
      <c r="D26" s="25" t="inlineStr">
        <is>
          <t>Desviación planimétrica frente al catálogo</t>
        </is>
      </c>
      <c r="E26" s="25" t="inlineStr">
        <is>
          <t>+0.02 %</t>
        </is>
      </c>
    </row>
    <row r="27" ht="108" customHeight="1"/>
    <row r="28">
      <c r="A28" s="9" t="inlineStr">
        <is>
          <t>LECTURA CRÍTICA. Los índices MSAVI y NDVI miden vigor y densidad de biomasa, no composición ni integridad ecosistémica. Un valor alto NO equivale a ausencia de degradación: en bloques con mosaico agrícola, pastizal cultivado o plantaciones, la respuesta espectral puede ser alta sobre una unidad productora sustituida en su composición. La diferencia entre ambos productos no debe leerse como mejora entre 2024 y 2025: son índices distintos (el NDVI satura ante biomasa densa, el MSAVI conserva sensibilidad al suelo de fondo) aplicados sobre compuestos temporales distintos. Contraste registrado en este bloque: la cobertura vegetal estimada en campo es 40 % frente a un 90.24 % del polígono clasificado como «Vegetación alta» por el NDVI 2025; la observación de campo corresponde a una parcela o recorrido puntual y no es estadísticamente representativa de las 109.860 ha del bloque.</t>
        </is>
      </c>
      <c r="B28" s="36" t="n"/>
      <c r="C28" s="36" t="n"/>
      <c r="D28" s="36" t="n"/>
      <c r="E28" s="37" t="n"/>
    </row>
  </sheetData>
  <mergeCells count="10">
    <mergeCell ref="A4:E4"/>
    <mergeCell ref="A20:E20"/>
    <mergeCell ref="A2:E2"/>
    <mergeCell ref="A28:E28"/>
    <mergeCell ref="A5:E5"/>
    <mergeCell ref="A1:E1"/>
    <mergeCell ref="A8:E8"/>
    <mergeCell ref="A6:E6"/>
    <mergeCell ref="A18:E18"/>
    <mergeCell ref="A3:E3"/>
  </mergeCell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H15"/>
  <sheetViews>
    <sheetView showGridLines="0" workbookViewId="0">
      <pane ySplit="6" topLeftCell="A7" activePane="bottomLeft" state="frozen"/>
      <selection pane="bottomLeft" activeCell="A1" sqref="A1"/>
    </sheetView>
  </sheetViews>
  <sheetFormatPr baseColWidth="8" defaultRowHeight="15"/>
  <cols>
    <col width="12" customWidth="1" min="1" max="1"/>
    <col width="34" customWidth="1" min="2" max="2"/>
    <col width="15" customWidth="1" min="3" max="3"/>
    <col width="15" customWidth="1" min="4" max="4"/>
    <col width="18" customWidth="1" min="5" max="5"/>
    <col width="22" customWidth="1" min="6" max="6"/>
    <col width="44" customWidth="1" min="7" max="7"/>
  </cols>
  <sheetData>
    <row r="1" ht="15" customHeight="1">
      <c r="A1" s="1" t="inlineStr">
        <is>
          <t>AUTORIDAD NACIONAL DE INFRAESTRUCTURA - ANIN</t>
        </is>
      </c>
    </row>
    <row r="2" ht="15" customHeight="1">
      <c r="A2" s="1" t="inlineStr">
        <is>
          <t>DIRECCIÓN DE INTERVENCIONES MULTISECTORIALES Y DE EMERGENCIA - DIME</t>
        </is>
      </c>
    </row>
    <row r="3" ht="15" customHeight="1">
      <c r="A3" s="1" t="inlineStr">
        <is>
          <t>SUBDIRECCIÓN DE ESTUDIOS DE INVERSIÓN - SESDI</t>
        </is>
      </c>
    </row>
    <row r="4" ht="24" customHeight="1">
      <c r="A4" s="2" t="inlineStr">
        <is>
          <t>PROYECTO IN PIURA | CUI 2669244 | Recuperación del servicio de regulación de riesgos naturales y de ecosistemas degradados - Cuenca Alta del Río Piura</t>
        </is>
      </c>
    </row>
    <row r="5" ht="22" customHeight="1">
      <c r="A5" s="3" t="inlineStr">
        <is>
          <t>PUNTOS GEORREFERENCIADOS DE VERIFICACIÓN — BLOQUE 9</t>
        </is>
      </c>
    </row>
    <row r="6" ht="24" customHeight="1">
      <c r="A6" s="4" t="inlineStr">
        <is>
          <t>Levantamiento del 2026-08-11 · Sistema de referencia UTM WGS 84 Zona 17S (EPSG:32717)</t>
        </is>
      </c>
    </row>
    <row r="8" ht="18" customHeight="1">
      <c r="A8" s="5" t="inlineStr">
        <is>
          <t>INVENTARIO DE PUNTOS GEORREFERENCIADOS DE LA FICHA DT</t>
        </is>
      </c>
    </row>
    <row r="9" ht="28" customHeight="1">
      <c r="A9" s="10" t="inlineStr">
        <is>
          <t>Código</t>
        </is>
      </c>
      <c r="B9" s="10" t="inlineStr">
        <is>
          <t>Naturaleza del punto</t>
        </is>
      </c>
      <c r="C9" s="10" t="inlineStr">
        <is>
          <t>UTM ESTE (m)</t>
        </is>
      </c>
      <c r="D9" s="10" t="inlineStr">
        <is>
          <t>UTM NORTE (m)</t>
        </is>
      </c>
      <c r="E9" s="10" t="inlineStr">
        <is>
          <t>Dist. al centroide (m)</t>
        </is>
      </c>
      <c r="F9" s="10" t="inlineStr">
        <is>
          <t>Estado / régimen</t>
        </is>
      </c>
      <c r="G9" s="10" t="inlineStr">
        <is>
          <t>Contenido registrado</t>
        </is>
      </c>
    </row>
    <row r="10">
      <c r="A10" s="7" t="inlineStr">
        <is>
          <t>—</t>
        </is>
      </c>
      <c r="B10" s="11" t="inlineStr">
        <is>
          <t>Sin puntos georreferenciados en la ficha DT</t>
        </is>
      </c>
      <c r="C10" s="11" t="inlineStr"/>
      <c r="D10" s="11" t="inlineStr"/>
      <c r="E10" s="11" t="inlineStr"/>
      <c r="F10" s="11" t="inlineStr"/>
      <c r="G10" s="11" t="inlineStr">
        <is>
          <t>No corresponde para este bloque</t>
        </is>
      </c>
    </row>
    <row r="12">
      <c r="A12" s="6" t="inlineStr">
        <is>
          <t>Centroide del bloque — UTM ESTE (m)</t>
        </is>
      </c>
      <c r="B12" s="7" t="n">
        <v>656578</v>
      </c>
      <c r="C12" s="6" t="inlineStr">
        <is>
          <t>Centroide del bloque — UTM NORTE (m)</t>
        </is>
      </c>
      <c r="D12" s="7" t="n">
        <v>9397762</v>
      </c>
      <c r="E12" s="8" t="n"/>
      <c r="F12" s="8" t="n"/>
      <c r="G12" s="8" t="n"/>
      <c r="H12" s="8" t="n"/>
    </row>
    <row r="13">
      <c r="A13" s="6" t="inlineStr">
        <is>
          <t>N.° de estaciones fotográficas declaradas</t>
        </is>
      </c>
      <c r="B13" s="7" t="inlineStr">
        <is>
          <t>Sin registro en la ficha DT</t>
        </is>
      </c>
      <c r="C13" s="6" t="inlineStr">
        <is>
          <t>Estaciones dentro del polígono</t>
        </is>
      </c>
      <c r="D13" s="7" t="inlineStr">
        <is>
          <t>Por determinar</t>
        </is>
      </c>
      <c r="E13" s="8" t="n"/>
      <c r="F13" s="8" t="n"/>
      <c r="G13" s="8" t="n"/>
      <c r="H13" s="8" t="n"/>
    </row>
    <row r="15" ht="84" customHeight="1">
      <c r="A15" s="9" t="inlineStr">
        <is>
          <t>CONTROL GEOMÉTRICO. Las coordenadas de esta hoja proceden de la ficha DT del bloque (F-DT-01 a F-DT-05) y corresponden a rasgos erosivos, fuentes de agua, especies clave y al punto de muestreo declarado. La distancia al centroide se calcula sobre coordenadas UTM 17S y es referencial: no acredita inclusión ni exclusión respecto del polígono, que exige prueba de inclusión sobre la geometría del bloque. Las estaciones situadas a menos de ~30 m del límite deben considerarse SOBRE EL LÍMITE, dentro del margen de error de la georreferenciación (± 10-15 m). Bloque con predominio de pendientes muy fuertes (&gt;27° en el 93% del área), altamente susceptible a procesos erosivos si se pierde la cobertura vegetal.</t>
        </is>
      </c>
      <c r="B15" s="36" t="n"/>
      <c r="C15" s="36" t="n"/>
      <c r="D15" s="36" t="n"/>
      <c r="E15" s="36" t="n"/>
      <c r="F15" s="36" t="n"/>
      <c r="G15" s="37" t="n"/>
    </row>
  </sheetData>
  <mergeCells count="8">
    <mergeCell ref="A1:G1"/>
    <mergeCell ref="A8:G8"/>
    <mergeCell ref="A3:G3"/>
    <mergeCell ref="A6:G6"/>
    <mergeCell ref="A4:G4"/>
    <mergeCell ref="A2:G2"/>
    <mergeCell ref="A15:G15"/>
    <mergeCell ref="A5:G5"/>
  </mergeCells>
  <pageMargins left="0.75" right="0.75" top="1" bottom="1" header="0.5" footer="0.5"/>
</worksheet>
</file>

<file path=xl/worksheets/sheet4.xml><?xml version="1.0" encoding="utf-8"?>
<worksheet xmlns="http://schemas.openxmlformats.org/spreadsheetml/2006/main">
  <sheetPr>
    <outlinePr summaryBelow="1" summaryRight="1"/>
    <pageSetUpPr/>
  </sheetPr>
  <dimension ref="A1:H21"/>
  <sheetViews>
    <sheetView showGridLines="0" workbookViewId="0">
      <pane ySplit="6" topLeftCell="A7" activePane="bottomLeft" state="frozen"/>
      <selection pane="bottomLeft" activeCell="A1" sqref="A1"/>
    </sheetView>
  </sheetViews>
  <sheetFormatPr baseColWidth="8" defaultRowHeight="15"/>
  <cols>
    <col width="14" customWidth="1" min="1" max="1"/>
    <col width="13" customWidth="1" min="2" max="2"/>
    <col width="14" customWidth="1" min="3" max="3"/>
    <col width="24" customWidth="1" min="4" max="4"/>
    <col width="13" customWidth="1" min="5" max="5"/>
    <col width="18" customWidth="1" min="6" max="6"/>
    <col width="13" customWidth="1" min="7" max="7"/>
    <col width="20" customWidth="1" min="8" max="8"/>
  </cols>
  <sheetData>
    <row r="1" ht="15" customHeight="1">
      <c r="A1" s="1" t="inlineStr">
        <is>
          <t>AUTORIDAD NACIONAL DE INFRAESTRUCTURA - ANIN</t>
        </is>
      </c>
    </row>
    <row r="2" ht="15" customHeight="1">
      <c r="A2" s="1" t="inlineStr">
        <is>
          <t>DIRECCIÓN DE INTERVENCIONES MULTISECTORIALES Y DE EMERGENCIA - DIME</t>
        </is>
      </c>
    </row>
    <row r="3" ht="15" customHeight="1">
      <c r="A3" s="1" t="inlineStr">
        <is>
          <t>SUBDIRECCIÓN DE ESTUDIOS DE INVERSIÓN - SESDI</t>
        </is>
      </c>
    </row>
    <row r="4" ht="24" customHeight="1">
      <c r="A4" s="2" t="inlineStr">
        <is>
          <t>PROYECTO IN PIURA | CUI 2669244 | Recuperación del servicio de regulación de riesgos naturales y de ecosistemas degradados - Cuenca Alta del Río Piura</t>
        </is>
      </c>
    </row>
    <row r="5" ht="22" customHeight="1">
      <c r="A5" s="3" t="inlineStr">
        <is>
          <t>CONTEXTO INTRAMICROCUENCA C1076-Q9586 — BLOQUE 9</t>
        </is>
      </c>
    </row>
    <row r="6" ht="24" customHeight="1">
      <c r="A6" s="4" t="inlineStr">
        <is>
          <t>Distrito de San Miguel de El Faique · Provincia de Huancabamba · Comparación de los bloques preliminares de intervención de la misma microcuenca</t>
        </is>
      </c>
    </row>
    <row r="8" ht="18" customHeight="1">
      <c r="A8" s="5" t="inlineStr">
        <is>
          <t>BLOQUES DE LA MICROCUENCA C1076-Q9586</t>
        </is>
      </c>
    </row>
    <row r="9" ht="28" customHeight="1">
      <c r="A9" s="10" t="inlineStr">
        <is>
          <t>Bloque</t>
        </is>
      </c>
      <c r="B9" s="10" t="inlineStr">
        <is>
          <t>Área (ha)</t>
        </is>
      </c>
      <c r="C9" s="10" t="inlineStr">
        <is>
          <t>% microcuenca</t>
        </is>
      </c>
      <c r="D9" s="10" t="inlineStr">
        <is>
          <t>Rango altitudinal (msnm)</t>
        </is>
      </c>
      <c r="E9" s="10" t="inlineStr">
        <is>
          <t>Amplitud (m)</t>
        </is>
      </c>
      <c r="F9" s="10" t="inlineStr">
        <is>
          <t>Pendiente prom. (%)</t>
        </is>
      </c>
      <c r="G9" s="10" t="inlineStr">
        <is>
          <t>MSAVI 2024</t>
        </is>
      </c>
      <c r="H9" s="10" t="inlineStr">
        <is>
          <t>NDVI 2025 — Veg. alta (%)</t>
        </is>
      </c>
    </row>
    <row r="10">
      <c r="A10" s="12" t="inlineStr">
        <is>
          <t>► 9</t>
        </is>
      </c>
      <c r="B10" s="26" t="n">
        <v>109.86</v>
      </c>
      <c r="C10" s="27" t="n">
        <v>40.1</v>
      </c>
      <c r="D10" s="13" t="inlineStr">
        <is>
          <t>1529 – 2264</t>
        </is>
      </c>
      <c r="E10" s="13" t="n">
        <v>735</v>
      </c>
      <c r="F10" s="13" t="n">
        <v>34.82</v>
      </c>
      <c r="G10" s="28" t="n">
        <v>0.5745</v>
      </c>
      <c r="H10" s="27" t="n">
        <v>90.23999999999999</v>
      </c>
    </row>
    <row r="11">
      <c r="A11" s="14" t="inlineStr">
        <is>
          <t>M22B1</t>
        </is>
      </c>
      <c r="B11" s="29" t="n">
        <v>55.17</v>
      </c>
      <c r="C11" s="21" t="n">
        <v>20.14</v>
      </c>
      <c r="D11" s="15" t="inlineStr">
        <is>
          <t>3216 – 3436</t>
        </is>
      </c>
      <c r="E11" s="15" t="n">
        <v>220</v>
      </c>
      <c r="F11" s="15" t="n">
        <v>19.98</v>
      </c>
      <c r="G11" s="20" t="n">
        <v>0.594</v>
      </c>
      <c r="H11" s="21" t="n">
        <v>91.05</v>
      </c>
    </row>
    <row r="12">
      <c r="A12" s="7" t="inlineStr">
        <is>
          <t>35</t>
        </is>
      </c>
      <c r="B12" s="30" t="n">
        <v>30.8</v>
      </c>
      <c r="C12" s="19" t="n">
        <v>11.24</v>
      </c>
      <c r="D12" s="11" t="inlineStr">
        <is>
          <t>1376 – 1621</t>
        </is>
      </c>
      <c r="E12" s="11" t="n">
        <v>245</v>
      </c>
      <c r="F12" s="11" t="n">
        <v>33.66</v>
      </c>
      <c r="G12" s="18" t="n">
        <v>0.6245000000000001</v>
      </c>
      <c r="H12" s="19" t="n">
        <v>98.17</v>
      </c>
    </row>
    <row r="13">
      <c r="A13" s="14" t="inlineStr">
        <is>
          <t>44</t>
        </is>
      </c>
      <c r="B13" s="29" t="n">
        <v>28.23</v>
      </c>
      <c r="C13" s="21" t="n">
        <v>10.3</v>
      </c>
      <c r="D13" s="15" t="inlineStr">
        <is>
          <t>3091 – 3277</t>
        </is>
      </c>
      <c r="E13" s="15" t="n">
        <v>186</v>
      </c>
      <c r="F13" s="15" t="n">
        <v>22.21</v>
      </c>
      <c r="G13" s="20" t="n">
        <v>0.5113</v>
      </c>
      <c r="H13" s="21" t="n">
        <v>83.84999999999999</v>
      </c>
    </row>
    <row r="14">
      <c r="A14" s="7" t="inlineStr">
        <is>
          <t>43</t>
        </is>
      </c>
      <c r="B14" s="30" t="n">
        <v>23.17</v>
      </c>
      <c r="C14" s="19" t="n">
        <v>8.460000000000001</v>
      </c>
      <c r="D14" s="11" t="inlineStr">
        <is>
          <t>251 – 811</t>
        </is>
      </c>
      <c r="E14" s="11" t="n">
        <v>560</v>
      </c>
      <c r="F14" s="11" t="n">
        <v>31.39</v>
      </c>
      <c r="G14" s="18" t="n">
        <v>0.5515</v>
      </c>
      <c r="H14" s="19" t="n">
        <v>78.91</v>
      </c>
    </row>
    <row r="15">
      <c r="A15" s="14" t="inlineStr">
        <is>
          <t>47</t>
        </is>
      </c>
      <c r="B15" s="29" t="n">
        <v>13.55</v>
      </c>
      <c r="C15" s="21" t="n">
        <v>4.95</v>
      </c>
      <c r="D15" s="15" t="inlineStr">
        <is>
          <t>2105 – 2333</t>
        </is>
      </c>
      <c r="E15" s="15" t="n">
        <v>228</v>
      </c>
      <c r="F15" s="15" t="n">
        <v>32.43</v>
      </c>
      <c r="G15" s="20" t="n">
        <v>0.5936</v>
      </c>
      <c r="H15" s="21" t="n">
        <v>91.26000000000001</v>
      </c>
    </row>
    <row r="16">
      <c r="A16" s="7" t="inlineStr">
        <is>
          <t>67</t>
        </is>
      </c>
      <c r="B16" s="30" t="n">
        <v>13.18</v>
      </c>
      <c r="C16" s="19" t="n">
        <v>4.81</v>
      </c>
      <c r="D16" s="11" t="inlineStr">
        <is>
          <t>1575 – 1770</t>
        </is>
      </c>
      <c r="E16" s="11" t="n">
        <v>195</v>
      </c>
      <c r="F16" s="11" t="n">
        <v>30.33</v>
      </c>
      <c r="G16" s="18" t="n">
        <v>0.6052999999999999</v>
      </c>
      <c r="H16" s="19" t="n">
        <v>97.5</v>
      </c>
    </row>
    <row r="17">
      <c r="A17" s="16" t="inlineStr">
        <is>
          <t>TOTAL / PROMEDIO</t>
        </is>
      </c>
      <c r="B17" s="31">
        <f>SUM(B10:B16)</f>
        <v/>
      </c>
      <c r="C17" s="23">
        <f>SUM(C10:C16)</f>
        <v/>
      </c>
      <c r="D17" s="17" t="inlineStr">
        <is>
          <t>251 – 3436</t>
        </is>
      </c>
      <c r="E17" s="17" t="inlineStr"/>
      <c r="F17" s="17">
        <f>ROUND(AVERAGE(F10:F16),2)</f>
        <v/>
      </c>
      <c r="G17" s="22">
        <f>ROUND(AVERAGE(G10:G16),4)</f>
        <v/>
      </c>
      <c r="H17" s="23">
        <f>ROUND(AVERAGE(H10:H16),2)</f>
        <v/>
      </c>
    </row>
    <row r="19" ht="84" customHeight="1">
      <c r="A19" s="9" t="inlineStr">
        <is>
          <t>LECTURA INTRAMICROCUENCA. El bloque 9 ocupa el puesto 1 de 7 por superficie dentro de la microcuenca C1076-Q9586 (40.10 % de las 273.96 ha preliminares de la microcuenca). Su pendiente promedio (34.82 %, clase «25-50% (Mod. escarpado)») es la 7.ª más baja de 7 y se sitúa por encima del promedio de la microcuenca (29.26 %). Su MSAVI 2024 (0.5745) es el 5.º de 7 y queda por debajo del promedio local (0.5793). Amplitud altitudinal del bloque: 735 m (1529–2264 msnm). El cuadro conserva todos los bloques catalogados en la microcuenca, incluidos los descartados en el tamizaje, para referencia del conjunto. Los bloques sin ficha DT figuran con sus parámetros de gabinete.</t>
        </is>
      </c>
      <c r="B19" s="36" t="n"/>
      <c r="C19" s="36" t="n"/>
      <c r="D19" s="36" t="n"/>
      <c r="E19" s="36" t="n"/>
      <c r="F19" s="36" t="n"/>
      <c r="G19" s="36" t="n"/>
      <c r="H19" s="37" t="n"/>
    </row>
    <row r="21" ht="60" customHeight="1">
      <c r="A21" s="9" t="inlineStr">
        <is>
          <t>NOTA METODOLÓGICA. Área y MSAVI 2024 proceden del catálogo maestro de bloques V5/V6. El rango altitudinal y la pendiente promedio proceden del reporte de estadística zonal sobre el MDE («Rango de altitud y Pendiente Promedio por Bloques V6»). El porcentaje de «Vegetación alta» procede de la estadística zonal del NDVI mediana 2025 (Sentinel-2). Los totales y promedios se calculan con fórmulas sobre las filas del cuadro.</t>
        </is>
      </c>
      <c r="B21" s="36" t="n"/>
      <c r="C21" s="36" t="n"/>
      <c r="D21" s="36" t="n"/>
      <c r="E21" s="36" t="n"/>
      <c r="F21" s="36" t="n"/>
      <c r="G21" s="36" t="n"/>
      <c r="H21" s="37" t="n"/>
    </row>
  </sheetData>
  <mergeCells count="9">
    <mergeCell ref="A1:H1"/>
    <mergeCell ref="A4:H4"/>
    <mergeCell ref="A3:H3"/>
    <mergeCell ref="A21:H21"/>
    <mergeCell ref="A2:H2"/>
    <mergeCell ref="A19:H19"/>
    <mergeCell ref="A5:H5"/>
    <mergeCell ref="A8:H8"/>
    <mergeCell ref="A6:H6"/>
  </mergeCells>
  <pageMargins left="0.75" right="0.75" top="1" bottom="1" header="0.5" footer="0.5"/>
</worksheet>
</file>

<file path=xl/worksheets/sheet5.xml><?xml version="1.0" encoding="utf-8"?>
<worksheet xmlns="http://schemas.openxmlformats.org/spreadsheetml/2006/main">
  <sheetPr>
    <outlinePr summaryBelow="1" summaryRight="1"/>
    <pageSetUpPr/>
  </sheetPr>
  <dimension ref="A1:E22"/>
  <sheetViews>
    <sheetView showGridLines="0" workbookViewId="0">
      <pane ySplit="6" topLeftCell="A7" activePane="bottomLeft" state="frozen"/>
      <selection pane="bottomLeft" activeCell="A1" sqref="A1"/>
    </sheetView>
  </sheetViews>
  <sheetFormatPr baseColWidth="8" defaultRowHeight="15"/>
  <cols>
    <col width="9" customWidth="1" min="1" max="1"/>
    <col width="32" customWidth="1" min="2" max="2"/>
    <col width="60" customWidth="1" min="3" max="3"/>
    <col width="18" customWidth="1" min="4" max="4"/>
    <col width="62" customWidth="1" min="5" max="5"/>
  </cols>
  <sheetData>
    <row r="1" ht="15" customHeight="1">
      <c r="A1" s="1" t="inlineStr">
        <is>
          <t>AUTORIDAD NACIONAL DE INFRAESTRUCTURA - ANIN</t>
        </is>
      </c>
    </row>
    <row r="2" ht="15" customHeight="1">
      <c r="A2" s="1" t="inlineStr">
        <is>
          <t>DIRECCIÓN DE INTERVENCIONES MULTISECTORIALES Y DE EMERGENCIA - DIME</t>
        </is>
      </c>
    </row>
    <row r="3" ht="15" customHeight="1">
      <c r="A3" s="1" t="inlineStr">
        <is>
          <t>SUBDIRECCIÓN DE ESTUDIOS DE INVERSIÓN - SESDI</t>
        </is>
      </c>
    </row>
    <row r="4" ht="24" customHeight="1">
      <c r="A4" s="2" t="inlineStr">
        <is>
          <t>PROYECTO IN PIURA | CUI 2669244 | Recuperación del servicio de regulación de riesgos naturales y de ecosistemas degradados - Cuenca Alta del Río Piura</t>
        </is>
      </c>
    </row>
    <row r="5" ht="22" customHeight="1">
      <c r="A5" s="3" t="inlineStr">
        <is>
          <t>CONTROL DE CONSISTENCIA DE LA INFORMACIÓN — BLOQUE 9</t>
        </is>
      </c>
    </row>
    <row r="6" ht="24" customHeight="1">
      <c r="A6" s="4" t="inlineStr">
        <is>
          <t>Discrepancias detectadas entre el registro de campo, los productos de gabinete y el catálogo maestro. Calificación: SUSTANTIVA / NO SUSTANTIVA / CORREGIDO / CONFORME.</t>
        </is>
      </c>
    </row>
    <row r="7"/>
    <row r="8" ht="18" customHeight="1">
      <c r="A8" s="5" t="inlineStr">
        <is>
          <t>DISCREPANCIAS Y VERIFICACIONES</t>
        </is>
      </c>
    </row>
    <row r="9" ht="28" customHeight="1">
      <c r="A9" s="10" t="inlineStr">
        <is>
          <t>Cód.</t>
        </is>
      </c>
      <c r="B9" s="10" t="inlineStr">
        <is>
          <t>Campo afectado</t>
        </is>
      </c>
      <c r="C9" s="10" t="inlineStr">
        <is>
          <t>Discrepancia observada</t>
        </is>
      </c>
      <c r="D9" s="10" t="inlineStr">
        <is>
          <t>Calificación</t>
        </is>
      </c>
      <c r="E9" s="10" t="inlineStr">
        <is>
          <t>Tratamiento adoptado</t>
        </is>
      </c>
    </row>
    <row r="10" ht="48" customHeight="1">
      <c r="A10" s="32" t="inlineStr">
        <is>
          <t>D-01</t>
        </is>
      </c>
      <c r="B10" s="32" t="inlineStr">
        <is>
          <t>Código de microcuenca</t>
        </is>
      </c>
      <c r="C10" s="32" t="inlineStr">
        <is>
          <t>La ficha DT declara «C1076-Q9584»; el catálogo maestro V5/V6 asigna el bloque a «C1076-Q9586»</t>
        </is>
      </c>
      <c r="D10" s="33" t="inlineStr">
        <is>
          <t>SUSTANTIVA</t>
        </is>
      </c>
      <c r="E10" s="32" t="inlineStr">
        <is>
          <t>Se conserva el código del catálogo maestro para todo cálculo intramicrocuenca. La declaración de la ficha debe corregirse en la siguiente versión del formato V5.</t>
        </is>
      </c>
    </row>
    <row r="11" ht="48" customHeight="1">
      <c r="A11" s="34" t="inlineStr">
        <is>
          <t>D-02</t>
        </is>
      </c>
      <c r="B11" s="34" t="inlineStr">
        <is>
          <t>UTM del punto de muestreo</t>
        </is>
      </c>
      <c r="C11" s="34" t="inlineStr">
        <is>
          <t>Las celdas de UTM ESTE / NORTE del punto de muestreo están vacías o incompletas en la ficha DT</t>
        </is>
      </c>
      <c r="D11" s="33" t="inlineStr">
        <is>
          <t>SUSTANTIVA</t>
        </is>
      </c>
      <c r="E11" s="34" t="inlineStr">
        <is>
          <t>No se sustituye por el centroide del catálogo. Se consigna «Por registrar en campo».</t>
        </is>
      </c>
    </row>
    <row r="12" ht="48" customHeight="1">
      <c r="A12" s="32" t="inlineStr">
        <is>
          <t>D-03</t>
        </is>
      </c>
      <c r="B12" s="32" t="inlineStr">
        <is>
          <t>Superficie del polígono</t>
        </is>
      </c>
      <c r="C12" s="32" t="inlineStr">
        <is>
          <t>La superficie clasificada por el NDVI 2025 (109.882 ha) coincide con la de catálogo (109.86 ha) dentro del ±2 % (+0.02 %)</t>
        </is>
      </c>
      <c r="D12" s="35" t="inlineStr">
        <is>
          <t>CONFORME</t>
        </is>
      </c>
      <c r="E12" s="32" t="inlineStr">
        <is>
          <t>Sin acción: la segmentación valida la geometría del bloque.</t>
        </is>
      </c>
    </row>
    <row r="13" ht="48" customHeight="1">
      <c r="A13" s="34" t="inlineStr">
        <is>
          <t>D-04</t>
        </is>
      </c>
      <c r="B13" s="34" t="inlineStr">
        <is>
          <t>Rango de pendiente dominante</t>
        </is>
      </c>
      <c r="C13" s="34" t="inlineStr">
        <is>
          <t>La ficha DT declara «50-75% (Escarpado)»; la estadística zonal sobre el MDE arroja una pendiente promedio de 34.82 %, que corresponde a la clase «25-50% (Mod. escarpado)»</t>
        </is>
      </c>
      <c r="D13" s="13" t="inlineStr">
        <is>
          <t>NO SUSTANTIVA</t>
        </is>
      </c>
      <c r="E13" s="34" t="inlineStr">
        <is>
          <t>Se conserva el registro de campo como observación de sector y se adopta el valor del MDE para el cálculo intramicrocuenca. La divergencia es esperable: el dato de campo es puntual y el del MDE es promedio del polígono.</t>
        </is>
      </c>
    </row>
    <row r="14" ht="48" customHeight="1">
      <c r="A14" s="32" t="inlineStr">
        <is>
          <t>D-05</t>
        </is>
      </c>
      <c r="B14" s="32" t="inlineStr">
        <is>
          <t>Cobertura vegetal total</t>
        </is>
      </c>
      <c r="C14" s="32" t="inlineStr">
        <is>
          <t>La ficha DT estima 40 % de cobertura vegetal en campo; el NDVI mediana 2025 clasifica 100.00 % del polígono en clases de vegetación</t>
        </is>
      </c>
      <c r="D14" s="13" t="inlineStr">
        <is>
          <t>NO SUSTANTIVA</t>
        </is>
      </c>
      <c r="E14" s="32" t="inlineStr">
        <is>
          <t>Se declaran ambos valores. La observación de campo corresponde a una parcela o recorrido puntual y no es representativa de la totalidad del bloque; el índice espectral no discrimina composición ni integridad ecosistémica.</t>
        </is>
      </c>
    </row>
    <row r="15" ht="48" customHeight="1">
      <c r="A15" s="34" t="inlineStr">
        <is>
          <t>D-06</t>
        </is>
      </c>
      <c r="B15" s="34" t="inlineStr">
        <is>
          <t>Elenco florístico</t>
        </is>
      </c>
      <c r="C15" s="34" t="inlineStr">
        <is>
          <t>La ficha registra 11 taxones, por debajo del mínimo de 15 que exige el formato V5</t>
        </is>
      </c>
      <c r="D15" s="33" t="inlineStr">
        <is>
          <t>SUSTANTIVA</t>
        </is>
      </c>
      <c r="E15" s="34" t="inlineStr">
        <is>
          <t>Registro florístico preliminar, sin colecta ni determinación botánica formal. Debe cerrarse con colecta botánica en la siguiente campaña.</t>
        </is>
      </c>
    </row>
    <row r="16" ht="48" customHeight="1">
      <c r="A16" s="32" t="inlineStr">
        <is>
          <t>D-07</t>
        </is>
      </c>
      <c r="B16" s="32" t="inlineStr">
        <is>
          <t>Centro poblado asociado</t>
        </is>
      </c>
      <c r="C16" s="32" t="inlineStr">
        <is>
          <t>La ficha DT declara «San Miguel de El Faique (sector La Unión)»; el cruce INEI-Bloques V5 identifica 2 centro(s) poblado(s) en el bloque: EL HIGUERON, LA CAPILLA</t>
        </is>
      </c>
      <c r="D16" s="35" t="inlineStr">
        <is>
          <t>CONFORME</t>
        </is>
      </c>
      <c r="E16" s="32" t="inlineStr">
        <is>
          <t>Se conserva el registro de campo como referencia y se adopta el listado INEI para el diagnóstico social y el cálculo de población beneficiaria.</t>
        </is>
      </c>
    </row>
    <row r="17" ht="48" customHeight="1">
      <c r="A17" s="34" t="inlineStr">
        <is>
          <t>D-08</t>
        </is>
      </c>
      <c r="B17" s="34" t="inlineStr">
        <is>
          <t>Peligro integrado (MCA-AHP)</t>
        </is>
      </c>
      <c r="C17" s="34" t="inlineStr">
        <is>
          <t>El nivel de peligro integrado no está disponible en los insumos de este entregable</t>
        </is>
      </c>
      <c r="D17" s="33" t="inlineStr">
        <is>
          <t>SUSTANTIVA</t>
        </is>
      </c>
      <c r="E17" s="34" t="inlineStr">
        <is>
          <t>Debe tomarse del modelamiento de mesolocalización (PMM + EPH + PGI ponderados por AHP) antes de fijar la prioridad definitiva de intervención del bloque.</t>
        </is>
      </c>
    </row>
    <row r="18">
      <c r="A18" s="34" t="inlineStr">
        <is>
          <t>D-09</t>
        </is>
      </c>
      <c r="B18" s="34" t="inlineStr">
        <is>
          <t>Distribución areal de clases MSAVI 2024</t>
        </is>
      </c>
      <c r="C18" s="34" t="inlineStr">
        <is>
          <t>La hoja «Cobertura MSAVI-NDVI» consignaba «Por determinar» en la distribución areal de clases MSAVI 2024; se incorpora el metrado por clase medido sobre la cartografía temática MSAVI 2024 del bloque: 11.54 % del bloque (12.678 ha) bajo el umbral 0.4976 y 88.46 % sobre el umbral; clase areal dominante «Vigor moderado».</t>
        </is>
      </c>
      <c r="D18" s="33" t="inlineStr">
        <is>
          <t>CORREGIDO</t>
        </is>
      </c>
      <c r="E18" s="34" t="inlineStr">
        <is>
          <t>Se sustituye «Por determinar» por el metrado por clase. Las hectáreas se derivan del reparto porcentual medido aplicado a la superficie de catálogo (V5/V6) del bloque, por lo que la suma de las cinco clases iguala dicha superficie. Pendiente de refrendo con estadística zonal directa sobre el ráster MSAVI 2024 cuando se disponga del insumo.</t>
        </is>
      </c>
    </row>
    <row r="19"/>
    <row r="20">
      <c r="A20" s="16" t="inlineStr">
        <is>
          <t>RESUMEN</t>
        </is>
      </c>
      <c r="B20" s="17" t="inlineStr">
        <is>
          <t>9 verificaciones</t>
        </is>
      </c>
      <c r="C20" s="17" t="inlineStr">
        <is>
          <t>CONFORME: 2 · NO SUSTANTIVA: 2 · SUSTANTIVA: 4 · CORREGIDO: 1</t>
        </is>
      </c>
      <c r="D20" s="17" t="inlineStr"/>
      <c r="E20" s="17" t="inlineStr"/>
    </row>
    <row r="21" ht="60" customHeight="1"/>
    <row r="22">
      <c r="A22" s="9" t="inlineStr">
        <is>
          <t>NOTA METODOLÓGICA. Este control se genera de forma reproducible cruzando la ficha DT del bloque (F-DT-01 a F-DT-05) con el catálogo maestro de bloques V5/V6, la estadística zonal de altitud y pendiente sobre el MDE, la estadística zonal del NDVI mediana 2025 y el cruce INEI-Bloques de centros poblados. Una calificación CONFORME acredita que la verificación se ejecutó y no arrojó discrepancia; no equivale a validación de campo del dato.</t>
        </is>
      </c>
      <c r="B22" s="36" t="n"/>
      <c r="C22" s="36" t="n"/>
      <c r="D22" s="36" t="n"/>
      <c r="E22" s="37" t="n"/>
    </row>
  </sheetData>
  <mergeCells count="8">
    <mergeCell ref="A4:E4"/>
    <mergeCell ref="A2:E2"/>
    <mergeCell ref="A1:E1"/>
    <mergeCell ref="A5:E5"/>
    <mergeCell ref="A8:E8"/>
    <mergeCell ref="A6:E6"/>
    <mergeCell ref="A22:E22"/>
    <mergeCell ref="A3:E3"/>
  </mergeCell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ANIN - DIME - SESDI | Proyecto IN Piura (CUI 2669244)</dc:creator>
  <dc:title>Plantilla Excel — Bloque 9 — IN Piura</dc:title>
  <dc:subject>Diagnóstico Territorial por bloque de intervención</dc:subject>
  <dcterms:created xsi:type="dcterms:W3CDTF">2026-09-08T03:39:55Z</dcterms:created>
  <dcterms:modified xsi:type="dcterms:W3CDTF">2026-09-09T14:49:44Z</dcterms:modified>
</cp:coreProperties>
</file>