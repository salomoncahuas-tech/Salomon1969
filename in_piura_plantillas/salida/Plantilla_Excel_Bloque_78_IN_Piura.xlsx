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78</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78</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Tasajeras</t>
        </is>
      </c>
      <c r="C13" s="6" t="inlineStr">
        <is>
          <t>Comunidad campesina</t>
        </is>
      </c>
      <c r="D13" s="7" t="inlineStr">
        <is>
          <t>No aplica (predios de propiedad privada)</t>
        </is>
      </c>
      <c r="E13" s="8" t="n"/>
      <c r="F13" s="8" t="n"/>
    </row>
    <row r="14">
      <c r="A14" s="6" t="inlineStr">
        <is>
          <t>Superficie de catálogo (V5/V6), ha</t>
        </is>
      </c>
      <c r="B14" s="7" t="n">
        <v>35.1</v>
      </c>
      <c r="C14" s="6" t="inlineStr">
        <is>
          <t>Fuente de superficie</t>
        </is>
      </c>
      <c r="D14" s="7" t="inlineStr">
        <is>
          <t>Catálogo maestro Bloques V5/V6</t>
        </is>
      </c>
      <c r="E14" s="8" t="n"/>
      <c r="F14" s="8" t="n"/>
    </row>
    <row r="15">
      <c r="A15" s="6" t="inlineStr">
        <is>
          <t>Centroide UTM ESTE (m)</t>
        </is>
      </c>
      <c r="B15" s="7" t="n">
        <v>619630</v>
      </c>
      <c r="C15" s="6" t="inlineStr">
        <is>
          <t>Centroide UTM NORTE (m)</t>
        </is>
      </c>
      <c r="D15" s="7" t="n">
        <v>9440043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1908</v>
      </c>
      <c r="C19" s="6" t="inlineStr">
        <is>
          <t>Altitud máxima (msnm)</t>
        </is>
      </c>
      <c r="D19" s="7" t="n">
        <v>2236</v>
      </c>
      <c r="E19" s="8" t="n"/>
      <c r="F19" s="8" t="n"/>
    </row>
    <row r="20">
      <c r="A20" s="6" t="inlineStr">
        <is>
          <t>Amplitud altitudinal (m)</t>
        </is>
      </c>
      <c r="B20" s="7" t="n">
        <v>328</v>
      </c>
      <c r="C20" s="6" t="inlineStr">
        <is>
          <t>Piso altitudinal dominante</t>
        </is>
      </c>
      <c r="D20" s="7" t="inlineStr">
        <is>
          <t>2000-2500 m (Quechua alta)</t>
        </is>
      </c>
      <c r="E20" s="8" t="n"/>
      <c r="F20" s="8" t="n"/>
    </row>
    <row r="21">
      <c r="A21" s="6" t="inlineStr">
        <is>
          <t>Pendiente promedio (%)</t>
        </is>
      </c>
      <c r="B21" s="7" t="n">
        <v>30.64</v>
      </c>
      <c r="C21" s="6" t="inlineStr">
        <is>
          <t>Pendiente promedio (grados)</t>
        </is>
      </c>
      <c r="D21" s="7" t="n">
        <v>17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0.7074</v>
      </c>
      <c r="C28" s="6" t="inlineStr">
        <is>
          <t>MSAVI 2024 — clase de la media</t>
        </is>
      </c>
      <c r="D28" s="7" t="inlineStr">
        <is>
          <t>&gt; 0.6139 (Vigor alto)</t>
        </is>
      </c>
      <c r="E28" s="8" t="n"/>
      <c r="F28" s="8" t="n"/>
    </row>
    <row r="29">
      <c r="A29" s="6" t="inlineStr">
        <is>
          <t>Condición frente al umbral 0.4976</t>
        </is>
      </c>
      <c r="B29" s="7" t="inlineStr">
        <is>
          <t>Sobre umbral · distribución areal: 1.74 % del bloque BAJO el umbral (0.611 ha de 35.100 ha)</t>
        </is>
      </c>
      <c r="C29" s="6" t="inlineStr">
        <is>
          <t>NDVI mediana 2025 — clase modal</t>
        </is>
      </c>
      <c r="D29" s="7" t="inlineStr">
        <is>
          <t>Vegetación alta (89.33 %)</t>
        </is>
      </c>
      <c r="E29" s="8" t="n"/>
      <c r="F29" s="8" t="n"/>
    </row>
    <row r="30">
      <c r="A30" s="6" t="inlineStr">
        <is>
          <t>MSAVI 2024 — superficie BAJO el umbral 0.4976 (ha)</t>
        </is>
      </c>
      <c r="B30" s="7" t="n">
        <v>0.611</v>
      </c>
      <c r="C30" s="6" t="inlineStr">
        <is>
          <t>MSAVI 2024 — % del bloque BAJO el umbral</t>
        </is>
      </c>
      <c r="D30" s="7" t="n">
        <v>1.74</v>
      </c>
      <c r="E30" s="8" t="n"/>
      <c r="F30" s="8" t="n"/>
    </row>
    <row r="31">
      <c r="A31" s="6" t="inlineStr">
        <is>
          <t>MSAVI 2024 — clase areal dominante</t>
        </is>
      </c>
      <c r="B31" s="7" t="inlineStr">
        <is>
          <t>Vigor alto</t>
        </is>
      </c>
      <c r="C31" s="6" t="inlineStr">
        <is>
          <t>MSAVI 2024 — fuente de la distribución areal</t>
        </is>
      </c>
      <c r="D31" s="7" t="inlineStr">
        <is>
          <t>Conteo de celdas sobre la cartografía MSAVI 2024 del bloque (MSAVI Bloque 78.png)</t>
        </is>
      </c>
      <c r="E31" s="8" t="n"/>
      <c r="F31" s="8" t="n"/>
    </row>
    <row r="32" ht="18" customHeight="1">
      <c r="A32" s="6" t="inlineStr">
        <is>
          <t>Superficie clasificada NDVI 2025 (ha)</t>
        </is>
      </c>
      <c r="B32" s="7" t="n">
        <v>35.116</v>
      </c>
      <c r="C32" s="6" t="inlineStr">
        <is>
          <t>Desviación frente al catálogo (%)</t>
        </is>
      </c>
      <c r="D32" s="7" t="n">
        <v>0.04</v>
      </c>
      <c r="E32" s="8" t="n"/>
      <c r="F32" s="8" t="n"/>
    </row>
    <row r="33"/>
    <row r="34">
      <c r="A34" s="5" t="inlineStr">
        <is>
          <t>4. ECOSISTEMA Y ESTADO DE CONSERVACIÓN</t>
        </is>
      </c>
    </row>
    <row r="35">
      <c r="A35" s="6" t="inlineStr">
        <is>
          <t>Tipo de ecosistema (UP)</t>
        </is>
      </c>
      <c r="B35" s="7" t="inlineStr">
        <is>
          <t>Matorral Andino húmedo (con mosaico de zona agrícola, según Intersecc_BloquesV4_Ecosistemas)</t>
        </is>
      </c>
      <c r="C35" s="6" t="inlineStr">
        <is>
          <t>Superficie de ecosistema (ha)</t>
        </is>
      </c>
      <c r="D35" s="7" t="inlineStr">
        <is>
          <t>Por determinar</t>
        </is>
      </c>
      <c r="E35" s="8" t="n"/>
      <c r="F35" s="8" t="n"/>
    </row>
    <row r="36">
      <c r="A36" s="6" t="inlineStr">
        <is>
          <t>Estado de conservación</t>
        </is>
      </c>
      <c r="B36" s="7" t="inlineStr">
        <is>
          <t>Medianamente alterado</t>
        </is>
      </c>
      <c r="C36" s="6" t="inlineStr">
        <is>
          <t>Uso actual dominante del suelo</t>
        </is>
      </c>
      <c r="D36" s="7" t="inlineStr">
        <is>
          <t>Uso mixto</t>
        </is>
      </c>
      <c r="E36" s="8" t="n"/>
      <c r="F36" s="8" t="n"/>
    </row>
    <row r="37">
      <c r="A37" s="6" t="inlineStr">
        <is>
          <t>Tipo de cobertura dominante</t>
        </is>
      </c>
      <c r="B37" s="7" t="inlineStr">
        <is>
          <t>Mixto / Mosaico</t>
        </is>
      </c>
      <c r="C37" s="6" t="inlineStr">
        <is>
          <t>Cobertura vegetal total — campo (%)</t>
        </is>
      </c>
      <c r="D37" s="7" t="n">
        <v>85</v>
      </c>
      <c r="E37" s="8" t="n"/>
      <c r="F37" s="8" t="n"/>
    </row>
    <row r="38">
      <c r="A38" s="6" t="inlineStr">
        <is>
          <t>Suelo desnudo — campo (%)</t>
        </is>
      </c>
      <c r="B38" s="7" t="inlineStr">
        <is>
          <t>Por determinar</t>
        </is>
      </c>
      <c r="C38" s="6" t="inlineStr">
        <is>
          <t>Regeneración natural</t>
        </is>
      </c>
      <c r="D38" s="7" t="inlineStr">
        <is>
          <t>Regular (10-50 pl./100m²)</t>
        </is>
      </c>
      <c r="E38" s="8" t="n"/>
      <c r="F38" s="8" t="n"/>
    </row>
    <row r="39">
      <c r="A39" s="6" t="inlineStr">
        <is>
          <t>Nivel general de erosión</t>
        </is>
      </c>
      <c r="B39" s="7" t="inlineStr">
        <is>
          <t>Moderada (surcos)</t>
        </is>
      </c>
      <c r="C39" s="6" t="inlineStr">
        <is>
          <t>N.° de cárcavas registradas</t>
        </is>
      </c>
      <c r="D39" s="7" t="n">
        <v>0</v>
      </c>
      <c r="E39" s="8" t="n"/>
      <c r="F39" s="8" t="n"/>
    </row>
    <row r="40" ht="18" customHeight="1">
      <c r="A40" s="6" t="inlineStr">
        <is>
          <t>Elenco florístico (n.° de taxones)</t>
        </is>
      </c>
      <c r="B40" s="7" t="n">
        <v>15</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P. Talledo Hernández; Ing. J.C. Domínguez Varas</t>
        </is>
      </c>
      <c r="C43" s="6" t="inlineStr">
        <is>
          <t>Fecha de evaluación</t>
        </is>
      </c>
      <c r="D43" s="7" t="inlineStr">
        <is>
          <t>2026-06-17</t>
        </is>
      </c>
      <c r="E43" s="8" t="n"/>
      <c r="F43" s="8" t="n"/>
    </row>
    <row r="44">
      <c r="A44" s="6" t="inlineStr">
        <is>
          <t>Hora de registro</t>
        </is>
      </c>
      <c r="B44" s="7" t="inlineStr">
        <is>
          <t>11:10 - 12:07 h</t>
        </is>
      </c>
      <c r="C44" s="6" t="inlineStr">
        <is>
          <t>Correlativo de ficha</t>
        </is>
      </c>
      <c r="D44" s="7" t="inlineStr">
        <is>
          <t>DT-78-01</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Reconocimiento por transecto (recorrido GPS Garmin 66sr); sin parcela fija establecida</t>
        </is>
      </c>
      <c r="E46" s="8" t="n"/>
      <c r="F46" s="8" t="n"/>
    </row>
    <row r="47" ht="18" customHeight="1">
      <c r="A47" s="6" t="inlineStr">
        <is>
          <t>Estaciones fotográficas georreferenciadas</t>
        </is>
      </c>
      <c r="B47" s="7" t="n">
        <v>0</v>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Presión agropecuaria de subsistencia sobre laderas de fuerte pendiente, sin prácticas de conservación de suelos</t>
        </is>
      </c>
      <c r="C50" s="6" t="inlineStr">
        <is>
          <t>Velocidad de degradación</t>
        </is>
      </c>
      <c r="D50" s="7" t="inlineStr">
        <is>
          <t>Lenta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9" t="n"/>
      <c r="C56" s="39" t="n"/>
      <c r="D56" s="39" t="n"/>
      <c r="E56" s="39" t="n"/>
      <c r="F56" s="40"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78</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32" t="n">
        <v>29.519</v>
      </c>
      <c r="C10" s="31" t="n">
        <v>84.09999999999999</v>
      </c>
      <c r="D10" s="12" t="inlineStr">
        <is>
          <t>Vigor alto</t>
        </is>
      </c>
      <c r="E10" s="12" t="inlineStr">
        <is>
          <t>Sobre umbral</t>
        </is>
      </c>
    </row>
    <row r="11">
      <c r="A11" s="13" t="inlineStr">
        <is>
          <t>0.4976 - 0.6139</t>
        </is>
      </c>
      <c r="B11" s="20" t="n">
        <v>4.9702</v>
      </c>
      <c r="C11" s="21" t="n">
        <v>14.16</v>
      </c>
      <c r="D11" s="14" t="inlineStr">
        <is>
          <t>Vigor moderado</t>
        </is>
      </c>
      <c r="E11" s="14" t="inlineStr">
        <is>
          <t>Sobre umbral</t>
        </is>
      </c>
    </row>
    <row r="12">
      <c r="A12" s="7" t="inlineStr">
        <is>
          <t>0.3813 - 0.4976</t>
        </is>
      </c>
      <c r="B12" s="18" t="n">
        <v>0.5897</v>
      </c>
      <c r="C12" s="19" t="n">
        <v>1.68</v>
      </c>
      <c r="D12" s="15" t="inlineStr">
        <is>
          <t>Vigor bajo</t>
        </is>
      </c>
      <c r="E12" s="15" t="inlineStr">
        <is>
          <t>BAJO umbral 0.4976</t>
        </is>
      </c>
    </row>
    <row r="13">
      <c r="A13" s="13" t="inlineStr">
        <is>
          <t>0.2650 - 0.3813</t>
        </is>
      </c>
      <c r="B13" s="20" t="n">
        <v>0.0211</v>
      </c>
      <c r="C13" s="21" t="n">
        <v>0.06</v>
      </c>
      <c r="D13" s="14" t="inlineStr">
        <is>
          <t>Vigor muy bajo</t>
        </is>
      </c>
      <c r="E13" s="14" t="inlineStr">
        <is>
          <t>BAJO umbral 0.4976</t>
        </is>
      </c>
    </row>
    <row r="14">
      <c r="A14" s="7" t="inlineStr">
        <is>
          <t>&lt;= 0.2650</t>
        </is>
      </c>
      <c r="B14" s="18" t="n">
        <v>0</v>
      </c>
      <c r="C14" s="19" t="n">
        <v>0</v>
      </c>
      <c r="D14" s="15" t="inlineStr">
        <is>
          <t>Suelo desnudo / no vegetal</t>
        </is>
      </c>
      <c r="E14" s="15" t="inlineStr">
        <is>
          <t>BAJO umbral 0.4976</t>
        </is>
      </c>
    </row>
    <row r="15">
      <c r="A15" s="7" t="inlineStr">
        <is>
          <t>TOTAL CLASIFICADO</t>
        </is>
      </c>
      <c r="B15" s="18">
        <f>SUM(B10:B14)</f>
        <v/>
      </c>
      <c r="C15" s="19">
        <f>SUM(C10:C14)</f>
        <v/>
      </c>
      <c r="D15" s="15" t="inlineStr">
        <is>
          <t>Suma de las cinco clases MSAVI 2024</t>
        </is>
      </c>
      <c r="E15" s="15" t="inlineStr">
        <is>
          <t>Iguala la superficie de catálogo (V5/V6)</t>
        </is>
      </c>
    </row>
    <row r="16">
      <c r="A16" s="16" t="inlineStr">
        <is>
          <t>MSAVI 2024 — MEDIA DEL BLOQUE</t>
        </is>
      </c>
      <c r="B16" s="17" t="n">
        <v>0.707402</v>
      </c>
      <c r="C16" s="17" t="inlineStr">
        <is>
          <t>—</t>
        </is>
      </c>
      <c r="D16" s="17" t="inlineStr">
        <is>
          <t>Vigor alto · clase &gt;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9" t="n"/>
      <c r="C18" s="39" t="n"/>
      <c r="D18" s="39" t="n"/>
      <c r="E18" s="40"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31.3699</v>
      </c>
      <c r="C22" s="19" t="n">
        <v>89.33</v>
      </c>
      <c r="D22" s="15" t="inlineStr">
        <is>
          <t>Dosel continuo, matorral denso o mosaico agroforestal</t>
        </is>
      </c>
      <c r="E22" s="15" t="inlineStr"/>
    </row>
    <row r="23">
      <c r="A23" s="13" t="inlineStr">
        <is>
          <t>Vegetación mediana</t>
        </is>
      </c>
      <c r="B23" s="20" t="n">
        <v>3.5187</v>
      </c>
      <c r="C23" s="21" t="n">
        <v>10.02</v>
      </c>
      <c r="D23" s="14" t="inlineStr">
        <is>
          <t>Pastizal cultivado, matorral ralo, parcelas agrícolas</t>
        </is>
      </c>
      <c r="E23" s="14" t="inlineStr"/>
    </row>
    <row r="24">
      <c r="A24" s="7" t="inlineStr">
        <is>
          <t>Vegetación ligera</t>
        </is>
      </c>
      <c r="B24" s="18" t="n">
        <v>0.2271</v>
      </c>
      <c r="C24" s="19" t="n">
        <v>0.65</v>
      </c>
      <c r="D24" s="15" t="inlineStr">
        <is>
          <t>Cobertura discontinua, suelo parcialmente expuesto</t>
        </is>
      </c>
      <c r="E24" s="15" t="inlineStr"/>
    </row>
    <row r="25">
      <c r="A25" s="16" t="inlineStr">
        <is>
          <t>TOTAL CLASIFICADO</t>
        </is>
      </c>
      <c r="B25" s="22">
        <f>SUM(B21:B23)</f>
        <v/>
      </c>
      <c r="C25" s="23">
        <f>SUM(C21:C23)</f>
        <v/>
      </c>
      <c r="D25" s="17" t="inlineStr"/>
      <c r="E25" s="17" t="inlineStr"/>
    </row>
    <row r="26">
      <c r="A26" s="24" t="inlineStr">
        <is>
          <t>Superficie de catálogo (V5/V6)</t>
        </is>
      </c>
      <c r="B26" s="25" t="n">
        <v>35.1</v>
      </c>
      <c r="C26" s="25" t="inlineStr">
        <is>
          <t>—</t>
        </is>
      </c>
      <c r="D26" s="25" t="inlineStr">
        <is>
          <t>Desviación planimétrica frente al catálogo</t>
        </is>
      </c>
      <c r="E26" s="25" t="inlineStr">
        <is>
          <t>+0.04 %</t>
        </is>
      </c>
    </row>
    <row r="27" ht="108" customHeight="1"/>
    <row r="28">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89.33 % del polígono clasificado como «Vegetación alta» por el NDVI 2025; la observación de campo corresponde a una parcela o recorrido puntual y no es estadísticamente representativa de las 35.100 ha del bloque.</t>
        </is>
      </c>
      <c r="B28" s="39" t="n"/>
      <c r="C28" s="39" t="n"/>
      <c r="D28" s="39" t="n"/>
      <c r="E28" s="40" t="n"/>
    </row>
  </sheetData>
  <mergeCells count="10">
    <mergeCell ref="A4:E4"/>
    <mergeCell ref="A20:E20"/>
    <mergeCell ref="A2:E2"/>
    <mergeCell ref="A28:E28"/>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78</t>
        </is>
      </c>
    </row>
    <row r="6" ht="24" customHeight="1">
      <c r="A6" s="4" t="inlineStr">
        <is>
          <t>Levantamiento del 2026-06-17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619630</v>
      </c>
      <c r="D10" s="26" t="n">
        <v>9440043</v>
      </c>
      <c r="E10" s="15" t="n">
        <v>0</v>
      </c>
      <c r="F10" s="15" t="inlineStr"/>
      <c r="G10" s="15" t="inlineStr">
        <is>
          <t>Coordenada consignada en F-DT-01</t>
        </is>
      </c>
    </row>
    <row r="11">
      <c r="A11" s="13" t="inlineStr">
        <is>
          <t>H-01</t>
        </is>
      </c>
      <c r="B11" s="14" t="inlineStr">
        <is>
          <t>Fuente de agua — Manantial / Puquio</t>
        </is>
      </c>
      <c r="C11" s="27" t="n">
        <v>618998</v>
      </c>
      <c r="D11" s="27" t="n">
        <v>9439919</v>
      </c>
      <c r="E11" s="14" t="n">
        <v>644</v>
      </c>
      <c r="F11" s="14" t="inlineStr">
        <is>
          <t>Permanente</t>
        </is>
      </c>
      <c r="G11" s="14" t="inlineStr">
        <is>
          <t>Manantial con captación rústica</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619630</v>
      </c>
      <c r="C14" s="6" t="inlineStr">
        <is>
          <t>Centroide del bloque — UTM NORTE (m)</t>
        </is>
      </c>
      <c r="D14" s="7" t="n">
        <v>9440043</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7" ht="132"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con COBERTURA VEGETAL DENSA (MSAVI 2024 mayoritariamente &gt;0.61). La inestabilidad observada se concentra en los CORTES DE TALUD DE LA VÍA VECINAL PI-799 (raíces expuestas, erosión incipiente). Se observan rodados/bloques aislados cerca del manantial (no afloramientos de roca). Reptación de suelo y deslizamientos antiguos: NO evidenciados en el recorrido; se mencionan únicamente como posibilidad en laderas sobrepastoreadas (verificación pendiente). Altitud del bloque 1 898-2 207 msnm; pendiente media ~43%, máxima ~54% (perfil Google Earth).</t>
        </is>
      </c>
      <c r="B17" s="39" t="n"/>
      <c r="C17" s="39" t="n"/>
      <c r="D17" s="39" t="n"/>
      <c r="E17" s="39" t="n"/>
      <c r="F17" s="39" t="n"/>
      <c r="G17" s="40"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78</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12</t>
        </is>
      </c>
      <c r="B10" s="28" t="n">
        <v>119.54</v>
      </c>
      <c r="C10" s="19" t="n">
        <v>14</v>
      </c>
      <c r="D10" s="15" t="inlineStr">
        <is>
          <t>672 – 2244</t>
        </is>
      </c>
      <c r="E10" s="15" t="n">
        <v>1572</v>
      </c>
      <c r="F10" s="15" t="n">
        <v>27.41</v>
      </c>
      <c r="G10" s="18" t="n">
        <v>0.7067</v>
      </c>
      <c r="H10" s="19" t="n">
        <v>99.93000000000001</v>
      </c>
    </row>
    <row r="11">
      <c r="A11" s="13" t="inlineStr">
        <is>
          <t>11</t>
        </is>
      </c>
      <c r="B11" s="29" t="n">
        <v>103.95</v>
      </c>
      <c r="C11" s="21" t="n">
        <v>12.17</v>
      </c>
      <c r="D11" s="14" t="inlineStr">
        <is>
          <t>1375 – 1928</t>
        </is>
      </c>
      <c r="E11" s="14" t="n">
        <v>553</v>
      </c>
      <c r="F11" s="14" t="n">
        <v>32.19</v>
      </c>
      <c r="G11" s="20" t="n">
        <v>0.6047</v>
      </c>
      <c r="H11" s="21" t="n">
        <v>75.28</v>
      </c>
    </row>
    <row r="12">
      <c r="A12" s="7" t="inlineStr">
        <is>
          <t>17</t>
        </is>
      </c>
      <c r="B12" s="28" t="n">
        <v>96.08</v>
      </c>
      <c r="C12" s="19" t="n">
        <v>11.25</v>
      </c>
      <c r="D12" s="15" t="inlineStr">
        <is>
          <t>1253 – 1880</t>
        </is>
      </c>
      <c r="E12" s="15" t="n">
        <v>627</v>
      </c>
      <c r="F12" s="15" t="n">
        <v>35.56</v>
      </c>
      <c r="G12" s="18" t="n">
        <v>0.6479</v>
      </c>
      <c r="H12" s="19" t="n">
        <v>88.68000000000001</v>
      </c>
    </row>
    <row r="13">
      <c r="A13" s="13" t="inlineStr">
        <is>
          <t>14</t>
        </is>
      </c>
      <c r="B13" s="29" t="n">
        <v>92.90000000000001</v>
      </c>
      <c r="C13" s="21" t="n">
        <v>10.88</v>
      </c>
      <c r="D13" s="14" t="inlineStr">
        <is>
          <t>87 – 1355</t>
        </is>
      </c>
      <c r="E13" s="14" t="n">
        <v>1268</v>
      </c>
      <c r="F13" s="14" t="n">
        <v>23.75</v>
      </c>
      <c r="G13" s="20" t="n">
        <v>0.5197000000000001</v>
      </c>
      <c r="H13" s="21" t="n">
        <v>58.89</v>
      </c>
    </row>
    <row r="14">
      <c r="A14" s="7" t="inlineStr">
        <is>
          <t>15</t>
        </is>
      </c>
      <c r="B14" s="28" t="n">
        <v>86.15000000000001</v>
      </c>
      <c r="C14" s="19" t="n">
        <v>10.09</v>
      </c>
      <c r="D14" s="15" t="inlineStr">
        <is>
          <t>1199 – 1655</t>
        </is>
      </c>
      <c r="E14" s="15" t="n">
        <v>456</v>
      </c>
      <c r="F14" s="15" t="n">
        <v>26.19</v>
      </c>
      <c r="G14" s="18" t="n">
        <v>0.5605</v>
      </c>
      <c r="H14" s="19" t="n">
        <v>56.47</v>
      </c>
    </row>
    <row r="15">
      <c r="A15" s="13" t="inlineStr">
        <is>
          <t>23</t>
        </is>
      </c>
      <c r="B15" s="29" t="n">
        <v>81.78</v>
      </c>
      <c r="C15" s="21" t="n">
        <v>9.58</v>
      </c>
      <c r="D15" s="14" t="inlineStr">
        <is>
          <t>521 – 973</t>
        </is>
      </c>
      <c r="E15" s="14" t="n">
        <v>452</v>
      </c>
      <c r="F15" s="14" t="n">
        <v>35.28</v>
      </c>
      <c r="G15" s="20" t="n">
        <v>0.5731000000000001</v>
      </c>
      <c r="H15" s="21" t="n">
        <v>47.99</v>
      </c>
    </row>
    <row r="16">
      <c r="A16" s="7" t="inlineStr">
        <is>
          <t>42</t>
        </is>
      </c>
      <c r="B16" s="28" t="n">
        <v>80.62</v>
      </c>
      <c r="C16" s="19" t="n">
        <v>9.44</v>
      </c>
      <c r="D16" s="15" t="inlineStr">
        <is>
          <t>1131 – 1548</t>
        </is>
      </c>
      <c r="E16" s="15" t="n">
        <v>417</v>
      </c>
      <c r="F16" s="15" t="n">
        <v>27.86</v>
      </c>
      <c r="G16" s="18" t="n">
        <v>0.6348</v>
      </c>
      <c r="H16" s="19" t="n">
        <v>88.83</v>
      </c>
    </row>
    <row r="17">
      <c r="A17" s="13" t="inlineStr">
        <is>
          <t>M19B2</t>
        </is>
      </c>
      <c r="B17" s="29" t="n">
        <v>74.37</v>
      </c>
      <c r="C17" s="21" t="n">
        <v>8.710000000000001</v>
      </c>
      <c r="D17" s="14" t="inlineStr">
        <is>
          <t>203 – 523</t>
        </is>
      </c>
      <c r="E17" s="14" t="n">
        <v>320</v>
      </c>
      <c r="F17" s="14" t="n">
        <v>21.71</v>
      </c>
      <c r="G17" s="20" t="n">
        <v>0.4012</v>
      </c>
      <c r="H17" s="21" t="n">
        <v>1.28</v>
      </c>
    </row>
    <row r="18">
      <c r="A18" s="7" t="inlineStr">
        <is>
          <t>82</t>
        </is>
      </c>
      <c r="B18" s="28" t="n">
        <v>35.66</v>
      </c>
      <c r="C18" s="19" t="n">
        <v>4.18</v>
      </c>
      <c r="D18" s="15" t="inlineStr">
        <is>
          <t>1796 – 2098</t>
        </is>
      </c>
      <c r="E18" s="15" t="n">
        <v>302</v>
      </c>
      <c r="F18" s="15" t="n">
        <v>23.55</v>
      </c>
      <c r="G18" s="18" t="n">
        <v>0.6283</v>
      </c>
      <c r="H18" s="19" t="n">
        <v>90.06999999999999</v>
      </c>
    </row>
    <row r="19">
      <c r="A19" s="11" t="inlineStr">
        <is>
          <t>► 78</t>
        </is>
      </c>
      <c r="B19" s="30" t="n">
        <v>35.1</v>
      </c>
      <c r="C19" s="31" t="n">
        <v>4.11</v>
      </c>
      <c r="D19" s="12" t="inlineStr">
        <is>
          <t>1908 – 2236</t>
        </is>
      </c>
      <c r="E19" s="12" t="n">
        <v>328</v>
      </c>
      <c r="F19" s="12" t="n">
        <v>30.64</v>
      </c>
      <c r="G19" s="32" t="n">
        <v>0.7074</v>
      </c>
      <c r="H19" s="31" t="n">
        <v>89.33</v>
      </c>
    </row>
    <row r="20">
      <c r="A20" s="7" t="inlineStr">
        <is>
          <t>M19B7</t>
        </is>
      </c>
      <c r="B20" s="28" t="n">
        <v>34.17</v>
      </c>
      <c r="C20" s="19" t="n">
        <v>4</v>
      </c>
      <c r="D20" s="15" t="inlineStr">
        <is>
          <t>1213 – 1578</t>
        </is>
      </c>
      <c r="E20" s="15" t="n">
        <v>365</v>
      </c>
      <c r="F20" s="15" t="n">
        <v>28.15</v>
      </c>
      <c r="G20" s="18" t="n">
        <v>0.5919</v>
      </c>
      <c r="H20" s="19" t="n">
        <v>78.52</v>
      </c>
    </row>
    <row r="21">
      <c r="A21" s="13" t="inlineStr">
        <is>
          <t>59</t>
        </is>
      </c>
      <c r="B21" s="29" t="n">
        <v>13.55</v>
      </c>
      <c r="C21" s="21" t="n">
        <v>1.59</v>
      </c>
      <c r="D21" s="14" t="inlineStr">
        <is>
          <t>2045 – 2218</t>
        </is>
      </c>
      <c r="E21" s="14" t="n">
        <v>173</v>
      </c>
      <c r="F21" s="14" t="n">
        <v>29.85</v>
      </c>
      <c r="G21" s="20" t="n">
        <v>0.6147</v>
      </c>
      <c r="H21" s="21" t="n">
        <v>86.56999999999999</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row>
    <row r="24" ht="84" customHeight="1">
      <c r="A24" s="9" t="inlineStr">
        <is>
          <t>LECTURA INTRAMICROCUENCA. El bloque 78 ocupa el puesto 10 de 12 por superficie dentro de la microcuenca C1086-Q9570 (4.11 % de las 853.87 ha preliminares de la microcuenca). Su pendiente promedio (30.64 %, clase «25-50% (Mod. escarpado)») es la 9.ª más baja de 12 y se sitúa por encima del promedio de la microcuenca (28.51 %). Su MSAVI 2024 (0.7074) es el 1.º de 12 y queda por encima del promedio local (0.5993). Amplitud altitudinal del bloque: 328 m (1908–2236 msnm). El cuadro conserva todos los bloques catalogados en la microcuenca, incluidos los descartados en el tamizaje, para referencia del conjunto. Los bloques sin ficha DT figuran con sus parámetros de gabinete.</t>
        </is>
      </c>
      <c r="B24" s="39" t="n"/>
      <c r="C24" s="39" t="n"/>
      <c r="D24" s="39" t="n"/>
      <c r="E24" s="39" t="n"/>
      <c r="F24" s="39" t="n"/>
      <c r="G24" s="39" t="n"/>
      <c r="H24" s="40"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6" s="39" t="n"/>
      <c r="C26" s="39" t="n"/>
      <c r="D26" s="39" t="n"/>
      <c r="E26" s="39" t="n"/>
      <c r="F26" s="39" t="n"/>
      <c r="G26" s="39" t="n"/>
      <c r="H26" s="40" t="n"/>
    </row>
  </sheetData>
  <mergeCells count="9">
    <mergeCell ref="A1:H1"/>
    <mergeCell ref="A4:H4"/>
    <mergeCell ref="A3:H3"/>
    <mergeCell ref="A26:H26"/>
    <mergeCell ref="A24:H24"/>
    <mergeCell ref="A2:H2"/>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78</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(35.116 ha) coincide con la de catálogo (35.1 ha) dentro del ±2 % (+0.04 %)</t>
        </is>
      </c>
      <c r="D12" s="35" t="inlineStr">
        <is>
          <t>CONFORME</t>
        </is>
      </c>
      <c r="E12" s="34" t="inlineStr">
        <is>
          <t>Sin acción: la segmentación valida la geometría del bloque.</t>
        </is>
      </c>
    </row>
    <row r="13" ht="48" customHeight="1">
      <c r="A13" s="36" t="inlineStr">
        <is>
          <t>D-04</t>
        </is>
      </c>
      <c r="B13" s="36" t="inlineStr">
        <is>
          <t>Dimensiones del inventario de cárcavas</t>
        </is>
      </c>
      <c r="C13" s="36" t="inlineStr">
        <is>
          <t>Se registran 0 rasgos erosivos, pero longitud, profundidad y ancho no fueron medidos instrumentalmente</t>
        </is>
      </c>
      <c r="D13" s="12" t="inlineStr">
        <is>
          <t>NO SUSTANTIVA</t>
        </is>
      </c>
      <c r="E13" s="36" t="inlineStr">
        <is>
          <t>El conteo registrado no debe usarse para calcular densidad de cárcavas por hectárea. Pendiente de levantamiento con GPS submétrico.</t>
        </is>
      </c>
    </row>
    <row r="14" ht="48" customHeight="1">
      <c r="A14" s="34" t="inlineStr">
        <is>
          <t>D-05</t>
        </is>
      </c>
      <c r="B14" s="34" t="inlineStr">
        <is>
          <t>Representatividad del levantamiento</t>
        </is>
      </c>
      <c r="C14" s="34" t="inlineStr">
        <is>
          <t>Ninguna de las estaciones fotográficas georreferenciadas se localiza dentro del polígono del bloque</t>
        </is>
      </c>
      <c r="D14" s="37" t="inlineStr">
        <is>
          <t>SUSTANTIVA</t>
        </is>
      </c>
      <c r="E14" s="34" t="inlineStr">
        <is>
          <t>La verificación documenta el perímetro y la vista panorámica del bloque, no su interior. Los parámetros que exigen recorrido interno se consignan «Por determinar».</t>
        </is>
      </c>
    </row>
    <row r="15" ht="48" customHeight="1">
      <c r="A15" s="36" t="inlineStr">
        <is>
          <t>D-06</t>
        </is>
      </c>
      <c r="B15" s="36" t="inlineStr">
        <is>
          <t>Centro poblado asociado</t>
        </is>
      </c>
      <c r="C15" s="36" t="inlineStr">
        <is>
          <t>La ficha DT declara «Tasajeras»; el cruce INEI-Bloques V5 identifica 1 centro(s) poblado(s) en el bloque: TASAJERAS</t>
        </is>
      </c>
      <c r="D15" s="35"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Plan de Ingreso</t>
        </is>
      </c>
      <c r="C17" s="36" t="inlineStr">
        <is>
          <t>Altitud = 0 msnm (captura por defecto del aplicativo)</t>
        </is>
      </c>
      <c r="D17" s="38" t="inlineStr">
        <is>
          <t>CORREGIDO</t>
        </is>
      </c>
      <c r="E17" s="36" t="inlineStr">
        <is>
          <t>Se reemplaza por la altitud GPS de campo (2000 msnm)</t>
        </is>
      </c>
    </row>
    <row r="18" ht="48" customHeight="1">
      <c r="A18" s="34" t="inlineStr">
        <is>
          <t>D-09</t>
        </is>
      </c>
      <c r="B18" s="34" t="inlineStr">
        <is>
          <t>F-DT-03</t>
        </is>
      </c>
      <c r="C18" s="34" t="inlineStr">
        <is>
          <t>Superficie de ecosistema, coberturas por estrato, alturas y DAP sin medición</t>
        </is>
      </c>
      <c r="D18" s="12" t="inlineStr">
        <is>
          <t>NO SUSTANTIVA</t>
        </is>
      </c>
      <c r="E18" s="34" t="inlineStr">
        <is>
          <t>Pendientes de parcelas de muestreo (10x10 m)</t>
        </is>
      </c>
    </row>
    <row r="19" ht="48" customHeight="1">
      <c r="A19" s="36" t="inlineStr">
        <is>
          <t>D-10</t>
        </is>
      </c>
      <c r="B19" s="36" t="inlineStr">
        <is>
          <t>F-DT-03</t>
        </is>
      </c>
      <c r="C19" s="36" t="inlineStr">
        <is>
          <t>Identificaciones botánicas preliminares; se recomienda herborización (MOL-UNALM o HUT)</t>
        </is>
      </c>
      <c r="D19" s="12" t="inlineStr">
        <is>
          <t>NO SUSTANTIVA</t>
        </is>
      </c>
      <c r="E19" s="36" t="inlineStr">
        <is>
          <t>Determinación formal pendiente</t>
        </is>
      </c>
    </row>
    <row r="20" ht="48" customHeight="1">
      <c r="A20" s="34" t="inlineStr">
        <is>
          <t>D-11</t>
        </is>
      </c>
      <c r="B20" s="34" t="inlineStr">
        <is>
          <t>F-DT-04</t>
        </is>
      </c>
      <c r="C20" s="34" t="inlineStr">
        <is>
          <t>Indicadores de suelo desnudo, carga ganadera, % pendiente &gt;50% y frecuencia de quemas no cuantificados</t>
        </is>
      </c>
      <c r="D20" s="12" t="inlineStr">
        <is>
          <t>NO SUSTANTIVA</t>
        </is>
      </c>
      <c r="E20" s="34" t="inlineStr">
        <is>
          <t>Medición complementaria pendiente</t>
        </is>
      </c>
    </row>
    <row r="21" ht="48" customHeight="1">
      <c r="A21" s="36" t="inlineStr">
        <is>
          <t>D-12</t>
        </is>
      </c>
      <c r="B21" s="36" t="inlineStr">
        <is>
          <t>F-DT-01</t>
        </is>
      </c>
      <c r="C21" s="36" t="inlineStr">
        <is>
          <t>Reptación y deslizamientos antiguos: «No» corresponde a no evidenciados en el recorrido, no a ausencia verificada</t>
        </is>
      </c>
      <c r="D21" s="12" t="inlineStr">
        <is>
          <t>NO SUSTANTIVA</t>
        </is>
      </c>
      <c r="E21" s="36" t="inlineStr">
        <is>
          <t>Declarado en la propia ficha</t>
        </is>
      </c>
    </row>
    <row r="22">
      <c r="A22" s="36" t="inlineStr">
        <is>
          <t>D-13</t>
        </is>
      </c>
      <c r="B22" s="36" t="inlineStr">
        <is>
          <t>Distribución areal de clases MSAVI 2024</t>
        </is>
      </c>
      <c r="C22" s="36" t="inlineStr">
        <is>
          <t>La hoja «Cobertura MSAVI-NDVI» consignaba «Por determinar» en la distribución areal de clases MSAVI 2024; se incorpora el metrado por clase medido sobre la cartografía temática MSAVI 2024 del bloque: 1.74 % del bloque (0.611 ha) bajo el umbral 0.4976 y 98.26 % sobre el umbral; clase areal dominante «Vigor alto».</t>
        </is>
      </c>
      <c r="D22" s="12" t="inlineStr">
        <is>
          <t>CORREGIDO</t>
        </is>
      </c>
      <c r="E22" s="36"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3"/>
    <row r="24">
      <c r="A24" s="16" t="inlineStr">
        <is>
          <t>RESUMEN</t>
        </is>
      </c>
      <c r="B24" s="17" t="inlineStr">
        <is>
          <t>13 verificaciones</t>
        </is>
      </c>
      <c r="C24" s="17" t="inlineStr">
        <is>
          <t>CONFORME: 4 · NO SUSTANTIVA: 5 · SUSTANTIVA: 2 · CORREGIDO: 2</t>
        </is>
      </c>
      <c r="D24" s="17" t="inlineStr"/>
      <c r="E24" s="17" t="inlineStr"/>
    </row>
    <row r="25" ht="60" customHeight="1"/>
    <row r="26">
      <c r="A26"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6" s="39" t="n"/>
      <c r="C26" s="39" t="n"/>
      <c r="D26" s="39" t="n"/>
      <c r="E26" s="40" t="n"/>
    </row>
  </sheetData>
  <mergeCells count="8">
    <mergeCell ref="A4:E4"/>
    <mergeCell ref="A26:E26"/>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78 — IN Piura</dc:title>
  <dc:subject>Diagnóstico Territorial por bloque de intervención</dc:subject>
  <dcterms:created xsi:type="dcterms:W3CDTF">2026-09-08T03:39:57Z</dcterms:created>
  <dcterms:modified xsi:type="dcterms:W3CDTF">2026-09-09T14:49:44Z</dcterms:modified>
</cp:coreProperties>
</file>