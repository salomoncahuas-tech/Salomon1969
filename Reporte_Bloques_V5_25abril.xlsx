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_Bloques_V5" sheetId="1" state="visible" r:id="rId1"/>
    <sheet xmlns:r="http://schemas.openxmlformats.org/officeDocument/2006/relationships" name="Resumen_Provi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9"/>
    </font>
    <font>
      <name val="Arial"/>
      <i val="1"/>
      <color rgb="001B4D2E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1B4D2E"/>
      <sz val="9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EAF4EC"/>
      </patternFill>
    </fill>
    <fill>
      <patternFill patternType="solid">
        <fgColor rgb="002E7D5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medium">
        <color rgb="001B4D2E"/>
      </left>
      <right style="medium">
        <color rgb="001B4D2E"/>
      </right>
      <top style="medium">
        <color rgb="001B4D2E"/>
      </top>
      <bottom style="medium">
        <color rgb="001B4D2E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5" fontId="5" fillId="6" borderId="2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164" fontId="5" fillId="7" borderId="2" applyAlignment="1" pivotButton="0" quotePrefix="0" xfId="0">
      <alignment horizontal="right" vertical="center"/>
    </xf>
    <xf numFmtId="165" fontId="5" fillId="8" borderId="2" applyAlignment="1" pivotButton="0" quotePrefix="0" xfId="0">
      <alignment horizontal="right" vertical="center"/>
    </xf>
    <xf numFmtId="165" fontId="5" fillId="9" borderId="2" applyAlignment="1" pivotButton="0" quotePrefix="0" xfId="0">
      <alignment horizontal="right" vertical="center"/>
    </xf>
    <xf numFmtId="0" fontId="6" fillId="2" borderId="2" applyAlignment="1" pivotButton="0" quotePrefix="0" xfId="0">
      <alignment horizontal="center"/>
    </xf>
    <xf numFmtId="0" fontId="0" fillId="2" borderId="2" pivotButton="0" quotePrefix="0" xfId="0"/>
    <xf numFmtId="164" fontId="6" fillId="2" borderId="2" applyAlignment="1" pivotButton="0" quotePrefix="0" xfId="0">
      <alignment horizontal="right"/>
    </xf>
    <xf numFmtId="165" fontId="6" fillId="2" borderId="2" applyAlignment="1" pivotButton="0" quotePrefix="0" xfId="0">
      <alignment horizontal="right"/>
    </xf>
    <xf numFmtId="0" fontId="3" fillId="3" borderId="2" applyAlignment="1" pivotButton="0" quotePrefix="0" xfId="0">
      <alignment horizontal="center"/>
    </xf>
    <xf numFmtId="0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3" borderId="2" pivotButton="0" quotePrefix="0" xfId="0"/>
    <xf numFmtId="0" fontId="7" fillId="0" borderId="0" applyAlignment="1" pivotButton="0" quotePrefix="0" xfId="0">
      <alignment horizontal="left"/>
    </xf>
    <xf numFmtId="0" fontId="0" fillId="6" borderId="2" pivotButton="0" quotePrefix="0" xfId="0"/>
    <xf numFmtId="0" fontId="5" fillId="0" borderId="0" applyAlignment="1" pivotButton="0" quotePrefix="0" xfId="0">
      <alignment horizontal="left" vertical="center"/>
    </xf>
    <xf numFmtId="0" fontId="0" fillId="8" borderId="2" pivotButton="0" quotePrefix="0" xfId="0"/>
    <xf numFmtId="0" fontId="0" fillId="9" borderId="2" pivotButton="0" quotePrefix="0" xfId="0"/>
    <xf numFmtId="0" fontId="8" fillId="2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1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right" vertical="center"/>
    </xf>
    <xf numFmtId="1" fontId="5" fillId="7" borderId="2" applyAlignment="1" pivotButton="0" quotePrefix="0" xfId="0">
      <alignment horizontal="center" vertical="center"/>
    </xf>
    <xf numFmtId="165" fontId="5" fillId="7" borderId="2" applyAlignment="1" pivotButton="0" quotePrefix="0" xfId="0">
      <alignment horizontal="right" vertical="center"/>
    </xf>
    <xf numFmtId="1" fontId="6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16" customWidth="1" min="4" max="4"/>
    <col width="12" customWidth="1" min="5" max="5"/>
    <col width="12" customWidth="1" min="6" max="6"/>
    <col width="16" customWidth="1" min="7" max="7"/>
    <col width="16" customWidth="1" min="8" max="8"/>
    <col width="14" customWidth="1" min="9" max="9"/>
  </cols>
  <sheetData>
    <row r="1" ht="20" customHeight="1">
      <c r="A1" s="1" t="inlineStr">
        <is>
          <t>AUTORIDAD NACIONAL DE INFRAESTRUCTURA – ANIN</t>
        </is>
      </c>
    </row>
    <row r="2" ht="16" customHeight="1">
      <c r="A2" s="2" t="inlineStr">
        <is>
          <t>DIRECCIÓN DE INTERVENCIONES MULTISECTORIALES Y DE EMERGENCIA – DIME | SUBDIRECCIÓN DE ESTUDIOS DE INVERSIÓN</t>
        </is>
      </c>
    </row>
    <row r="3" ht="15" customHeight="1">
      <c r="A3" s="3" t="inlineStr">
        <is>
          <t>Proyecto: Recuperación de Servicios Ecosistémicos – Cuenca Alta del Río Piura  |  CUI: 2669244</t>
        </is>
      </c>
    </row>
    <row r="4" ht="18" customHeight="1">
      <c r="A4" s="4" t="inlineStr">
        <is>
          <t>REPORTE DE BLOQUES V5 – Con Centroides y MSAVI 2024  |  Sistema de referencia: UTM WGS84 Zona 17S (EPSG:32717)</t>
        </is>
      </c>
    </row>
    <row r="5" ht="6" customHeight="1"/>
    <row r="6" ht="28" customHeight="1">
      <c r="A6" s="5" t="inlineStr">
        <is>
          <t>N°</t>
        </is>
      </c>
      <c r="B6" s="5" t="inlineStr">
        <is>
          <t>PROVINCIA</t>
        </is>
      </c>
      <c r="C6" s="5" t="inlineStr">
        <is>
          <t>DISTRITO</t>
        </is>
      </c>
      <c r="D6" s="5" t="inlineStr">
        <is>
          <t>MICROCUENCA</t>
        </is>
      </c>
      <c r="E6" s="5" t="inlineStr">
        <is>
          <t>BLOQUE</t>
        </is>
      </c>
      <c r="F6" s="5" t="inlineStr">
        <is>
          <t>ÁREA (ha)</t>
        </is>
      </c>
      <c r="G6" s="5" t="inlineStr">
        <is>
          <t>ESTE (m)</t>
        </is>
      </c>
      <c r="H6" s="5" t="inlineStr">
        <is>
          <t>NORTE (m)</t>
        </is>
      </c>
      <c r="I6" s="5" t="inlineStr">
        <is>
          <t>MSAVI_2024</t>
        </is>
      </c>
    </row>
    <row r="7" ht="15" customHeight="1">
      <c r="A7" s="6" t="n">
        <v>1</v>
      </c>
      <c r="B7" s="7" t="inlineStr">
        <is>
          <t>AYABACA</t>
        </is>
      </c>
      <c r="C7" s="7" t="inlineStr">
        <is>
          <t>FRIAS</t>
        </is>
      </c>
      <c r="D7" s="7" t="inlineStr">
        <is>
          <t>C1096-Q9564</t>
        </is>
      </c>
      <c r="E7" s="6" t="inlineStr">
        <is>
          <t>56</t>
        </is>
      </c>
      <c r="F7" s="8" t="n">
        <v>77.666</v>
      </c>
      <c r="G7" s="8" t="n">
        <v>621613.3622729999</v>
      </c>
      <c r="H7" s="8" t="n">
        <v>9452883.810210001</v>
      </c>
      <c r="I7" s="9" t="n">
        <v>0.677658</v>
      </c>
    </row>
    <row r="8" ht="15" customHeight="1">
      <c r="A8" s="10" t="n">
        <v>2</v>
      </c>
      <c r="B8" s="11" t="inlineStr">
        <is>
          <t>MORROPON</t>
        </is>
      </c>
      <c r="C8" s="11" t="inlineStr">
        <is>
          <t>CHALACO</t>
        </is>
      </c>
      <c r="D8" s="11" t="inlineStr">
        <is>
          <t>C1086-Q9576</t>
        </is>
      </c>
      <c r="E8" s="10" t="inlineStr">
        <is>
          <t>57</t>
        </is>
      </c>
      <c r="F8" s="12" t="n">
        <v>25.668</v>
      </c>
      <c r="G8" s="12" t="n">
        <v>631723.021362</v>
      </c>
      <c r="H8" s="12" t="n">
        <v>9439701.511709999</v>
      </c>
      <c r="I8" s="13" t="n">
        <v>0.603055</v>
      </c>
    </row>
    <row r="9" ht="15" customHeight="1">
      <c r="A9" s="6" t="n">
        <v>3</v>
      </c>
      <c r="B9" s="7" t="inlineStr">
        <is>
          <t>MORROPON</t>
        </is>
      </c>
      <c r="C9" s="7" t="inlineStr">
        <is>
          <t>CHALACO</t>
        </is>
      </c>
      <c r="D9" s="7" t="inlineStr">
        <is>
          <t>C1086-Q9570</t>
        </is>
      </c>
      <c r="E9" s="6" t="inlineStr">
        <is>
          <t>59</t>
        </is>
      </c>
      <c r="F9" s="8" t="n">
        <v>13.554</v>
      </c>
      <c r="G9" s="8" t="n">
        <v>631195.34285</v>
      </c>
      <c r="H9" s="8" t="n">
        <v>9441777.21844</v>
      </c>
      <c r="I9" s="13" t="n">
        <v>0.614739</v>
      </c>
    </row>
    <row r="10" ht="15" customHeight="1">
      <c r="A10" s="10" t="n">
        <v>4</v>
      </c>
      <c r="B10" s="11" t="inlineStr">
        <is>
          <t>MORROPON</t>
        </is>
      </c>
      <c r="C10" s="11" t="inlineStr">
        <is>
          <t>SANTA CATALINA DE MOSSA</t>
        </is>
      </c>
      <c r="D10" s="11" t="inlineStr">
        <is>
          <t>C1086-Q9569</t>
        </is>
      </c>
      <c r="E10" s="10" t="inlineStr">
        <is>
          <t>58</t>
        </is>
      </c>
      <c r="F10" s="12" t="n">
        <v>11.475</v>
      </c>
      <c r="G10" s="12" t="n">
        <v>619094.1852149999</v>
      </c>
      <c r="H10" s="12" t="n">
        <v>9426406.42457</v>
      </c>
      <c r="I10" s="14" t="n">
        <v>0.420325</v>
      </c>
    </row>
    <row r="11" ht="15" customHeight="1">
      <c r="A11" s="6" t="n">
        <v>5</v>
      </c>
      <c r="B11" s="7" t="inlineStr">
        <is>
          <t>HUANCABAMBA</t>
        </is>
      </c>
      <c r="C11" s="7" t="inlineStr">
        <is>
          <t>LALAQUIZ</t>
        </is>
      </c>
      <c r="D11" s="7" t="inlineStr">
        <is>
          <t>C1081-Q9590</t>
        </is>
      </c>
      <c r="E11" s="6" t="inlineStr">
        <is>
          <t>61</t>
        </is>
      </c>
      <c r="F11" s="8" t="n">
        <v>26.826</v>
      </c>
      <c r="G11" s="8" t="n">
        <v>646236.375678</v>
      </c>
      <c r="H11" s="8" t="n">
        <v>9425052.17667</v>
      </c>
      <c r="I11" s="13" t="n">
        <v>0.611186</v>
      </c>
    </row>
    <row r="12" ht="15" customHeight="1">
      <c r="A12" s="10" t="n">
        <v>6</v>
      </c>
      <c r="B12" s="11" t="inlineStr">
        <is>
          <t>HUANCABAMBA</t>
        </is>
      </c>
      <c r="C12" s="11" t="inlineStr">
        <is>
          <t>CANCHAQUE</t>
        </is>
      </c>
      <c r="D12" s="11" t="inlineStr">
        <is>
          <t>C1081-Q9591</t>
        </is>
      </c>
      <c r="E12" s="10" t="inlineStr">
        <is>
          <t>60</t>
        </is>
      </c>
      <c r="F12" s="12" t="n">
        <v>40.132</v>
      </c>
      <c r="G12" s="12" t="n">
        <v>653849.6978420001</v>
      </c>
      <c r="H12" s="12" t="n">
        <v>9426236.473270001</v>
      </c>
      <c r="I12" s="9" t="n">
        <v>0.67447</v>
      </c>
    </row>
    <row r="13" ht="15" customHeight="1">
      <c r="A13" s="6" t="n">
        <v>7</v>
      </c>
      <c r="B13" s="7" t="inlineStr">
        <is>
          <t>HUANCABAMBA</t>
        </is>
      </c>
      <c r="C13" s="7" t="inlineStr">
        <is>
          <t>HUANCABAMBA</t>
        </is>
      </c>
      <c r="D13" s="7" t="inlineStr">
        <is>
          <t>C1081-Q9591</t>
        </is>
      </c>
      <c r="E13" s="6" t="inlineStr">
        <is>
          <t>64</t>
        </is>
      </c>
      <c r="F13" s="8" t="n">
        <v>35.774</v>
      </c>
      <c r="G13" s="8" t="n">
        <v>657819.242045</v>
      </c>
      <c r="H13" s="8" t="n">
        <v>9428540.61448</v>
      </c>
      <c r="I13" s="13" t="n">
        <v>0.525448</v>
      </c>
    </row>
    <row r="14" ht="15" customHeight="1">
      <c r="A14" s="10" t="n">
        <v>8</v>
      </c>
      <c r="B14" s="11" t="inlineStr">
        <is>
          <t>HUANCABAMBA</t>
        </is>
      </c>
      <c r="C14" s="11" t="inlineStr">
        <is>
          <t>CANCHAQUE</t>
        </is>
      </c>
      <c r="D14" s="11" t="inlineStr">
        <is>
          <t>C1081-Q9591</t>
        </is>
      </c>
      <c r="E14" s="10" t="inlineStr">
        <is>
          <t>66</t>
        </is>
      </c>
      <c r="F14" s="12" t="n">
        <v>102.335</v>
      </c>
      <c r="G14" s="12" t="n">
        <v>652565.5292549999</v>
      </c>
      <c r="H14" s="12" t="n">
        <v>9417311.302580001</v>
      </c>
      <c r="I14" s="13" t="n">
        <v>0.640254</v>
      </c>
    </row>
    <row r="15" ht="15" customHeight="1">
      <c r="A15" s="6" t="n">
        <v>9</v>
      </c>
      <c r="B15" s="7" t="inlineStr">
        <is>
          <t>HUANCABAMBA</t>
        </is>
      </c>
      <c r="C15" s="7" t="inlineStr">
        <is>
          <t>CANCHAQUE</t>
        </is>
      </c>
      <c r="D15" s="7" t="inlineStr">
        <is>
          <t>C1081-Q9583</t>
        </is>
      </c>
      <c r="E15" s="6" t="inlineStr">
        <is>
          <t>63</t>
        </is>
      </c>
      <c r="F15" s="8" t="n">
        <v>50.459</v>
      </c>
      <c r="G15" s="8" t="n">
        <v>655058.60904</v>
      </c>
      <c r="H15" s="8" t="n">
        <v>9413845.255890001</v>
      </c>
      <c r="I15" s="13" t="n">
        <v>0.603582</v>
      </c>
    </row>
    <row r="16" ht="15" customHeight="1">
      <c r="A16" s="10" t="n">
        <v>10</v>
      </c>
      <c r="B16" s="11" t="inlineStr">
        <is>
          <t>HUANCABAMBA</t>
        </is>
      </c>
      <c r="C16" s="11" t="inlineStr">
        <is>
          <t>SAN MIGUEL DE EL FAIQUE</t>
        </is>
      </c>
      <c r="D16" s="11" t="inlineStr">
        <is>
          <t>C1076-Q9587</t>
        </is>
      </c>
      <c r="E16" s="10" t="inlineStr">
        <is>
          <t>75</t>
        </is>
      </c>
      <c r="F16" s="12" t="n">
        <v>15.176</v>
      </c>
      <c r="G16" s="12" t="n">
        <v>657722.17752</v>
      </c>
      <c r="H16" s="12" t="n">
        <v>9401669.284700001</v>
      </c>
      <c r="I16" s="13" t="n">
        <v>0.630888</v>
      </c>
    </row>
    <row r="17" ht="15" customHeight="1">
      <c r="A17" s="6" t="n">
        <v>11</v>
      </c>
      <c r="B17" s="7" t="inlineStr">
        <is>
          <t>HUANCABAMBA</t>
        </is>
      </c>
      <c r="C17" s="7" t="inlineStr">
        <is>
          <t>SAN MIGUEL DE EL FAIQUE</t>
        </is>
      </c>
      <c r="D17" s="7" t="inlineStr">
        <is>
          <t>C1076-Q9586</t>
        </is>
      </c>
      <c r="E17" s="6" t="inlineStr">
        <is>
          <t>67</t>
        </is>
      </c>
      <c r="F17" s="8" t="n">
        <v>13.184</v>
      </c>
      <c r="G17" s="8" t="n">
        <v>654207.433781</v>
      </c>
      <c r="H17" s="8" t="n">
        <v>9394210.169740001</v>
      </c>
      <c r="I17" s="13" t="n">
        <v>0.605293</v>
      </c>
    </row>
    <row r="18" ht="15" customHeight="1">
      <c r="A18" s="10" t="n">
        <v>12</v>
      </c>
      <c r="B18" s="11" t="inlineStr">
        <is>
          <t>HUANCABAMBA</t>
        </is>
      </c>
      <c r="C18" s="11" t="inlineStr">
        <is>
          <t>HUARMACA</t>
        </is>
      </c>
      <c r="D18" s="11" t="inlineStr">
        <is>
          <t>C1076-Q9592</t>
        </is>
      </c>
      <c r="E18" s="10" t="inlineStr">
        <is>
          <t>70</t>
        </is>
      </c>
      <c r="F18" s="12" t="n">
        <v>22.388</v>
      </c>
      <c r="G18" s="12" t="n">
        <v>666780.77264</v>
      </c>
      <c r="H18" s="12" t="n">
        <v>9395572.66114</v>
      </c>
      <c r="I18" s="13" t="n">
        <v>0.622295</v>
      </c>
    </row>
    <row r="19" ht="15" customHeight="1">
      <c r="A19" s="6" t="n">
        <v>13</v>
      </c>
      <c r="B19" s="7" t="inlineStr">
        <is>
          <t>HUANCABAMBA</t>
        </is>
      </c>
      <c r="C19" s="7" t="inlineStr">
        <is>
          <t>HUARMACA</t>
        </is>
      </c>
      <c r="D19" s="7" t="inlineStr">
        <is>
          <t>C1076-Q9592</t>
        </is>
      </c>
      <c r="E19" s="6" t="inlineStr">
        <is>
          <t>68</t>
        </is>
      </c>
      <c r="F19" s="8" t="n">
        <v>21.291</v>
      </c>
      <c r="G19" s="8" t="n">
        <v>664225.455198</v>
      </c>
      <c r="H19" s="8" t="n">
        <v>9396338.57353</v>
      </c>
      <c r="I19" s="14" t="n">
        <v>0.482981</v>
      </c>
    </row>
    <row r="20" ht="15" customHeight="1">
      <c r="A20" s="10" t="n">
        <v>14</v>
      </c>
      <c r="B20" s="11" t="inlineStr">
        <is>
          <t>HUANCABAMBA</t>
        </is>
      </c>
      <c r="C20" s="11" t="inlineStr">
        <is>
          <t>HUARMACA</t>
        </is>
      </c>
      <c r="D20" s="11" t="inlineStr">
        <is>
          <t>C1076-Q9592</t>
        </is>
      </c>
      <c r="E20" s="10" t="inlineStr">
        <is>
          <t>73</t>
        </is>
      </c>
      <c r="F20" s="12" t="n">
        <v>54.29</v>
      </c>
      <c r="G20" s="12" t="n">
        <v>658546.940296</v>
      </c>
      <c r="H20" s="12" t="n">
        <v>9395594.364770001</v>
      </c>
      <c r="I20" s="13" t="n">
        <v>0.554974</v>
      </c>
    </row>
    <row r="21" ht="15" customHeight="1">
      <c r="A21" s="6" t="n">
        <v>15</v>
      </c>
      <c r="B21" s="7" t="inlineStr">
        <is>
          <t>HUANCABAMBA</t>
        </is>
      </c>
      <c r="C21" s="7" t="inlineStr">
        <is>
          <t>HUARMACA</t>
        </is>
      </c>
      <c r="D21" s="7" t="inlineStr">
        <is>
          <t>C1076-Q9592</t>
        </is>
      </c>
      <c r="E21" s="6" t="inlineStr">
        <is>
          <t>69</t>
        </is>
      </c>
      <c r="F21" s="8" t="n">
        <v>19.425</v>
      </c>
      <c r="G21" s="8" t="n">
        <v>663290.860579</v>
      </c>
      <c r="H21" s="8" t="n">
        <v>9392331.92365</v>
      </c>
      <c r="I21" s="14" t="n">
        <v>0.448926</v>
      </c>
    </row>
    <row r="22" ht="15" customHeight="1">
      <c r="A22" s="10" t="n">
        <v>16</v>
      </c>
      <c r="B22" s="11" t="inlineStr">
        <is>
          <t>HUANCABAMBA</t>
        </is>
      </c>
      <c r="C22" s="11" t="inlineStr">
        <is>
          <t>HUARMACA</t>
        </is>
      </c>
      <c r="D22" s="11" t="inlineStr">
        <is>
          <t>C1076-Q9592</t>
        </is>
      </c>
      <c r="E22" s="10" t="inlineStr">
        <is>
          <t>72</t>
        </is>
      </c>
      <c r="F22" s="12" t="n">
        <v>12.398</v>
      </c>
      <c r="G22" s="12" t="n">
        <v>662236.006764</v>
      </c>
      <c r="H22" s="12" t="n">
        <v>9391211.098889999</v>
      </c>
      <c r="I22" s="13" t="n">
        <v>0.518477</v>
      </c>
    </row>
    <row r="23" ht="15" customHeight="1">
      <c r="A23" s="6" t="n">
        <v>17</v>
      </c>
      <c r="B23" s="7" t="inlineStr">
        <is>
          <t>HUANCABAMBA</t>
        </is>
      </c>
      <c r="C23" s="7" t="inlineStr">
        <is>
          <t>HUARMACA</t>
        </is>
      </c>
      <c r="D23" s="7" t="inlineStr">
        <is>
          <t>C1076-Q9593</t>
        </is>
      </c>
      <c r="E23" s="6" t="inlineStr">
        <is>
          <t>71</t>
        </is>
      </c>
      <c r="F23" s="8" t="n">
        <v>10.673</v>
      </c>
      <c r="G23" s="8" t="n">
        <v>652103.511127</v>
      </c>
      <c r="H23" s="8" t="n">
        <v>9373044.77647</v>
      </c>
      <c r="I23" s="13" t="n">
        <v>0.557066</v>
      </c>
    </row>
    <row r="24" ht="15" customHeight="1">
      <c r="A24" s="10" t="n">
        <v>18</v>
      </c>
      <c r="B24" s="11" t="inlineStr">
        <is>
          <t>HUANCABAMBA</t>
        </is>
      </c>
      <c r="C24" s="11" t="inlineStr">
        <is>
          <t>HUARMACA</t>
        </is>
      </c>
      <c r="D24" s="11" t="inlineStr">
        <is>
          <t>C1076-Q9593</t>
        </is>
      </c>
      <c r="E24" s="10" t="inlineStr">
        <is>
          <t>80</t>
        </is>
      </c>
      <c r="F24" s="12" t="n">
        <v>28.83</v>
      </c>
      <c r="G24" s="12" t="n">
        <v>657160.179305</v>
      </c>
      <c r="H24" s="12" t="n">
        <v>9373050.37121</v>
      </c>
      <c r="I24" s="13" t="n">
        <v>0.593069</v>
      </c>
    </row>
    <row r="25" ht="15" customHeight="1">
      <c r="A25" s="6" t="n">
        <v>19</v>
      </c>
      <c r="B25" s="7" t="inlineStr">
        <is>
          <t>HUANCABAMBA</t>
        </is>
      </c>
      <c r="C25" s="7" t="inlineStr">
        <is>
          <t>HUARMACA</t>
        </is>
      </c>
      <c r="D25" s="7" t="inlineStr">
        <is>
          <t>C1076-Q9588</t>
        </is>
      </c>
      <c r="E25" s="6" t="inlineStr">
        <is>
          <t>74</t>
        </is>
      </c>
      <c r="F25" s="8" t="n">
        <v>29.226</v>
      </c>
      <c r="G25" s="8" t="n">
        <v>652449.226459</v>
      </c>
      <c r="H25" s="8" t="n">
        <v>9389178.66705</v>
      </c>
      <c r="I25" s="14" t="n">
        <v>0.356463</v>
      </c>
    </row>
    <row r="26" ht="15" customHeight="1">
      <c r="A26" s="10" t="n">
        <v>20</v>
      </c>
      <c r="B26" s="11" t="inlineStr">
        <is>
          <t>HUANCABAMBA</t>
        </is>
      </c>
      <c r="C26" s="11" t="inlineStr">
        <is>
          <t>HUARMACA</t>
        </is>
      </c>
      <c r="D26" s="11" t="inlineStr">
        <is>
          <t>C1076-Q9593</t>
        </is>
      </c>
      <c r="E26" s="10" t="inlineStr">
        <is>
          <t>76</t>
        </is>
      </c>
      <c r="F26" s="12" t="n">
        <v>19.615</v>
      </c>
      <c r="G26" s="12" t="n">
        <v>657922.32537</v>
      </c>
      <c r="H26" s="12" t="n">
        <v>9377477.236710001</v>
      </c>
      <c r="I26" s="14" t="n">
        <v>0.492462</v>
      </c>
    </row>
    <row r="27" ht="15" customHeight="1">
      <c r="A27" s="6" t="n">
        <v>21</v>
      </c>
      <c r="B27" s="7" t="inlineStr">
        <is>
          <t>HUANCABAMBA</t>
        </is>
      </c>
      <c r="C27" s="7" t="inlineStr">
        <is>
          <t>CANCHAQUE</t>
        </is>
      </c>
      <c r="D27" s="7" t="inlineStr">
        <is>
          <t>C1076-Q9587</t>
        </is>
      </c>
      <c r="E27" s="6" t="inlineStr">
        <is>
          <t>79</t>
        </is>
      </c>
      <c r="F27" s="8" t="n">
        <v>94.812</v>
      </c>
      <c r="G27" s="8" t="n">
        <v>650304.8559</v>
      </c>
      <c r="H27" s="8" t="n">
        <v>9402784.53435</v>
      </c>
      <c r="I27" s="13" t="n">
        <v>0.547879</v>
      </c>
    </row>
    <row r="28" ht="15" customHeight="1">
      <c r="A28" s="10" t="n">
        <v>22</v>
      </c>
      <c r="B28" s="11" t="inlineStr">
        <is>
          <t>MORROPON</t>
        </is>
      </c>
      <c r="C28" s="11" t="inlineStr">
        <is>
          <t>SAN JUAN DE BIGOTE</t>
        </is>
      </c>
      <c r="D28" s="11" t="inlineStr">
        <is>
          <t>C1081-Q9583</t>
        </is>
      </c>
      <c r="E28" s="10" t="inlineStr">
        <is>
          <t>77</t>
        </is>
      </c>
      <c r="F28" s="12" t="n">
        <v>17.821</v>
      </c>
      <c r="G28" s="12" t="n">
        <v>638647.865266</v>
      </c>
      <c r="H28" s="12" t="n">
        <v>9411369.72879</v>
      </c>
      <c r="I28" s="14" t="n">
        <v>0.272488</v>
      </c>
    </row>
    <row r="29" ht="15" customHeight="1">
      <c r="A29" s="6" t="n">
        <v>23</v>
      </c>
      <c r="B29" s="7" t="inlineStr">
        <is>
          <t>MORROPON</t>
        </is>
      </c>
      <c r="C29" s="7" t="inlineStr">
        <is>
          <t>SANTO DOMINGO</t>
        </is>
      </c>
      <c r="D29" s="7" t="inlineStr">
        <is>
          <t>C1086-Q9570</t>
        </is>
      </c>
      <c r="E29" s="6" t="inlineStr">
        <is>
          <t>82</t>
        </is>
      </c>
      <c r="F29" s="8" t="n">
        <v>35.661</v>
      </c>
      <c r="G29" s="8" t="n">
        <v>621452.314308</v>
      </c>
      <c r="H29" s="8" t="n">
        <v>9443854.888280001</v>
      </c>
      <c r="I29" s="13" t="n">
        <v>0.62835</v>
      </c>
    </row>
    <row r="30" ht="15" customHeight="1">
      <c r="A30" s="10" t="n">
        <v>24</v>
      </c>
      <c r="B30" s="11" t="inlineStr">
        <is>
          <t>MORROPON</t>
        </is>
      </c>
      <c r="C30" s="11" t="inlineStr">
        <is>
          <t>CHULUCANAS</t>
        </is>
      </c>
      <c r="D30" s="11" t="inlineStr">
        <is>
          <t>C1096-Q9556</t>
        </is>
      </c>
      <c r="E30" s="10" t="inlineStr">
        <is>
          <t>M17B1</t>
        </is>
      </c>
      <c r="F30" s="12" t="n">
        <v>42.449</v>
      </c>
      <c r="G30" s="12" t="n">
        <v>600644.361606</v>
      </c>
      <c r="H30" s="12" t="n">
        <v>9440436.064719999</v>
      </c>
      <c r="I30" s="14" t="n">
        <v>0.332263</v>
      </c>
    </row>
    <row r="31" ht="15" customHeight="1">
      <c r="A31" s="6" t="n">
        <v>25</v>
      </c>
      <c r="B31" s="7" t="inlineStr">
        <is>
          <t>MORROPON</t>
        </is>
      </c>
      <c r="C31" s="7" t="inlineStr">
        <is>
          <t>CHULUCANAS</t>
        </is>
      </c>
      <c r="D31" s="7" t="inlineStr">
        <is>
          <t>C1096-Q9556</t>
        </is>
      </c>
      <c r="E31" s="6" t="inlineStr">
        <is>
          <t>32</t>
        </is>
      </c>
      <c r="F31" s="8" t="n">
        <v>35.83</v>
      </c>
      <c r="G31" s="8" t="n">
        <v>599926.584595</v>
      </c>
      <c r="H31" s="8" t="n">
        <v>9442603.71551</v>
      </c>
      <c r="I31" s="14" t="n">
        <v>0.371619</v>
      </c>
    </row>
    <row r="32" ht="15" customHeight="1">
      <c r="A32" s="10" t="n">
        <v>26</v>
      </c>
      <c r="B32" s="11" t="inlineStr">
        <is>
          <t>HUANCABAMBA</t>
        </is>
      </c>
      <c r="C32" s="11" t="inlineStr">
        <is>
          <t>SAN MIGUEL DE EL FAIQUE</t>
        </is>
      </c>
      <c r="D32" s="11" t="inlineStr">
        <is>
          <t>C1076-Q9586</t>
        </is>
      </c>
      <c r="E32" s="10" t="inlineStr">
        <is>
          <t>M22B1</t>
        </is>
      </c>
      <c r="F32" s="12" t="n">
        <v>55.17</v>
      </c>
      <c r="G32" s="12" t="n">
        <v>664082.0511930001</v>
      </c>
      <c r="H32" s="12" t="n">
        <v>9404172.47412</v>
      </c>
      <c r="I32" s="13" t="n">
        <v>0.594025</v>
      </c>
    </row>
    <row r="33" ht="15" customHeight="1">
      <c r="A33" s="6" t="n">
        <v>27</v>
      </c>
      <c r="B33" s="7" t="inlineStr">
        <is>
          <t>MORROPON</t>
        </is>
      </c>
      <c r="C33" s="7" t="inlineStr">
        <is>
          <t>BUENOS AIRES</t>
        </is>
      </c>
      <c r="D33" s="7" t="inlineStr">
        <is>
          <t>C1077-Q9566</t>
        </is>
      </c>
      <c r="E33" s="6" t="inlineStr">
        <is>
          <t>M6B2-1</t>
        </is>
      </c>
      <c r="F33" s="8" t="n">
        <v>514.359</v>
      </c>
      <c r="G33" s="8" t="n">
        <v>612863.9274010001</v>
      </c>
      <c r="H33" s="8" t="n">
        <v>9413344.54322</v>
      </c>
      <c r="I33" s="14" t="n">
        <v>0.3381</v>
      </c>
    </row>
    <row r="34" ht="15" customHeight="1">
      <c r="A34" s="10" t="n">
        <v>28</v>
      </c>
      <c r="B34" s="11" t="inlineStr">
        <is>
          <t>MORROPON</t>
        </is>
      </c>
      <c r="C34" s="11" t="inlineStr">
        <is>
          <t>BUENOS AIRES</t>
        </is>
      </c>
      <c r="D34" s="11" t="inlineStr">
        <is>
          <t>C1077-Q9566</t>
        </is>
      </c>
      <c r="E34" s="10" t="inlineStr">
        <is>
          <t>M6B2-2</t>
        </is>
      </c>
      <c r="F34" s="12" t="n">
        <v>333.011</v>
      </c>
      <c r="G34" s="12" t="n">
        <v>611196.0284290001</v>
      </c>
      <c r="H34" s="12" t="n">
        <v>9416724.532910001</v>
      </c>
      <c r="I34" s="14" t="n">
        <v>0.302636</v>
      </c>
    </row>
    <row r="35" ht="15" customHeight="1">
      <c r="A35" s="6" t="n">
        <v>29</v>
      </c>
      <c r="B35" s="7" t="inlineStr">
        <is>
          <t>MORROPON</t>
        </is>
      </c>
      <c r="C35" s="7" t="inlineStr">
        <is>
          <t>BUENOS AIRES</t>
        </is>
      </c>
      <c r="D35" s="7" t="inlineStr">
        <is>
          <t>C1077-Q9566</t>
        </is>
      </c>
      <c r="E35" s="6" t="inlineStr">
        <is>
          <t>M6B10</t>
        </is>
      </c>
      <c r="F35" s="8" t="n">
        <v>249.89</v>
      </c>
      <c r="G35" s="8" t="n">
        <v>618298.777922</v>
      </c>
      <c r="H35" s="8" t="n">
        <v>9423118.70331</v>
      </c>
      <c r="I35" s="14" t="n">
        <v>0.30989</v>
      </c>
    </row>
    <row r="36" ht="15" customHeight="1">
      <c r="A36" s="10" t="n">
        <v>30</v>
      </c>
      <c r="B36" s="11" t="inlineStr">
        <is>
          <t>MORROPON</t>
        </is>
      </c>
      <c r="C36" s="11" t="inlineStr">
        <is>
          <t>CHULUCANAS</t>
        </is>
      </c>
      <c r="D36" s="11" t="inlineStr">
        <is>
          <t>C1096-Q9556</t>
        </is>
      </c>
      <c r="E36" s="10" t="inlineStr">
        <is>
          <t>M17B4</t>
        </is>
      </c>
      <c r="F36" s="12" t="n">
        <v>124.709</v>
      </c>
      <c r="G36" s="12" t="n">
        <v>604926.426008</v>
      </c>
      <c r="H36" s="12" t="n">
        <v>9444327.14301</v>
      </c>
      <c r="I36" s="14" t="n">
        <v>0.423543</v>
      </c>
    </row>
    <row r="37" ht="15" customHeight="1">
      <c r="A37" s="6" t="n">
        <v>31</v>
      </c>
      <c r="B37" s="7" t="inlineStr">
        <is>
          <t>MORROPON</t>
        </is>
      </c>
      <c r="C37" s="7" t="inlineStr">
        <is>
          <t>CHULUCANAS</t>
        </is>
      </c>
      <c r="D37" s="7" t="inlineStr">
        <is>
          <t>C1096-Q9547</t>
        </is>
      </c>
      <c r="E37" s="6" t="inlineStr">
        <is>
          <t>M10B4</t>
        </is>
      </c>
      <c r="F37" s="8" t="n">
        <v>68.887</v>
      </c>
      <c r="G37" s="8" t="n">
        <v>596772.785586</v>
      </c>
      <c r="H37" s="8" t="n">
        <v>9448273.27111</v>
      </c>
      <c r="I37" s="14" t="n">
        <v>0.313301</v>
      </c>
    </row>
    <row r="38" ht="15" customHeight="1">
      <c r="A38" s="10" t="n">
        <v>32</v>
      </c>
      <c r="B38" s="11" t="inlineStr">
        <is>
          <t>HUANCABAMBA</t>
        </is>
      </c>
      <c r="C38" s="11" t="inlineStr">
        <is>
          <t>HUARMACA</t>
        </is>
      </c>
      <c r="D38" s="11" t="inlineStr">
        <is>
          <t>C1076-Q9588</t>
        </is>
      </c>
      <c r="E38" s="10" t="inlineStr">
        <is>
          <t>M12B1</t>
        </is>
      </c>
      <c r="F38" s="12" t="n">
        <v>268.393</v>
      </c>
      <c r="G38" s="12" t="n">
        <v>644545.763623</v>
      </c>
      <c r="H38" s="12" t="n">
        <v>9389106.479769999</v>
      </c>
      <c r="I38" s="14" t="n">
        <v>0.34753</v>
      </c>
    </row>
    <row r="39" ht="15" customHeight="1">
      <c r="A39" s="6" t="n">
        <v>33</v>
      </c>
      <c r="B39" s="7" t="inlineStr">
        <is>
          <t>MORROPON</t>
        </is>
      </c>
      <c r="C39" s="7" t="inlineStr">
        <is>
          <t>SAN JUAN DE BIGOTE</t>
        </is>
      </c>
      <c r="D39" s="7" t="inlineStr">
        <is>
          <t>C1081-Q9582</t>
        </is>
      </c>
      <c r="E39" s="6" t="inlineStr">
        <is>
          <t>M3B3</t>
        </is>
      </c>
      <c r="F39" s="8" t="n">
        <v>84.825</v>
      </c>
      <c r="G39" s="8" t="n">
        <v>633015.138959</v>
      </c>
      <c r="H39" s="8" t="n">
        <v>9411482.886949999</v>
      </c>
      <c r="I39" s="14" t="n">
        <v>0.298483</v>
      </c>
    </row>
    <row r="40" ht="15" customHeight="1">
      <c r="A40" s="10" t="n">
        <v>34</v>
      </c>
      <c r="B40" s="11" t="inlineStr">
        <is>
          <t>AYABACA</t>
        </is>
      </c>
      <c r="C40" s="11" t="inlineStr">
        <is>
          <t>FRIAS</t>
        </is>
      </c>
      <c r="D40" s="11" t="inlineStr">
        <is>
          <t>C1096-Q9556</t>
        </is>
      </c>
      <c r="E40" s="10" t="inlineStr">
        <is>
          <t>M17B7</t>
        </is>
      </c>
      <c r="F40" s="12" t="n">
        <v>258.837</v>
      </c>
      <c r="G40" s="12" t="n">
        <v>608471.5452770001</v>
      </c>
      <c r="H40" s="12" t="n">
        <v>9448055.76953</v>
      </c>
      <c r="I40" s="13" t="n">
        <v>0.508715</v>
      </c>
    </row>
    <row r="41" ht="15" customHeight="1">
      <c r="A41" s="6" t="n">
        <v>35</v>
      </c>
      <c r="B41" s="7" t="inlineStr">
        <is>
          <t>MORROPON</t>
        </is>
      </c>
      <c r="C41" s="7" t="inlineStr">
        <is>
          <t>SALITRAL</t>
        </is>
      </c>
      <c r="D41" s="7" t="inlineStr">
        <is>
          <t>C1077-Q9579</t>
        </is>
      </c>
      <c r="E41" s="6" t="inlineStr">
        <is>
          <t>M18B5</t>
        </is>
      </c>
      <c r="F41" s="8" t="n">
        <v>197.352</v>
      </c>
      <c r="G41" s="8" t="n">
        <v>621550.78978</v>
      </c>
      <c r="H41" s="8" t="n">
        <v>9412988.91388</v>
      </c>
      <c r="I41" s="14" t="n">
        <v>0.356522</v>
      </c>
    </row>
    <row r="42" ht="15" customHeight="1">
      <c r="A42" s="10" t="n">
        <v>36</v>
      </c>
      <c r="B42" s="11" t="inlineStr">
        <is>
          <t>MORROPON</t>
        </is>
      </c>
      <c r="C42" s="11" t="inlineStr">
        <is>
          <t>YAMANGO</t>
        </is>
      </c>
      <c r="D42" s="11" t="inlineStr">
        <is>
          <t>C1086-Q9575</t>
        </is>
      </c>
      <c r="E42" s="10" t="inlineStr">
        <is>
          <t>M28B4</t>
        </is>
      </c>
      <c r="F42" s="12" t="n">
        <v>283.428</v>
      </c>
      <c r="G42" s="12" t="n">
        <v>626078.3428409999</v>
      </c>
      <c r="H42" s="12" t="n">
        <v>9427109.948650001</v>
      </c>
      <c r="I42" s="14" t="n">
        <v>0.42751</v>
      </c>
    </row>
    <row r="43" ht="15" customHeight="1">
      <c r="A43" s="6" t="n">
        <v>37</v>
      </c>
      <c r="B43" s="7" t="inlineStr">
        <is>
          <t>MORROPON</t>
        </is>
      </c>
      <c r="C43" s="7" t="inlineStr">
        <is>
          <t>SANTO DOMINGO</t>
        </is>
      </c>
      <c r="D43" s="7" t="inlineStr">
        <is>
          <t>C1096-Q9558</t>
        </is>
      </c>
      <c r="E43" s="6" t="inlineStr">
        <is>
          <t>M8B2</t>
        </is>
      </c>
      <c r="F43" s="8" t="n">
        <v>35.347</v>
      </c>
      <c r="G43" s="8" t="n">
        <v>617595.905699</v>
      </c>
      <c r="H43" s="8" t="n">
        <v>9436226.963439999</v>
      </c>
      <c r="I43" s="13" t="n">
        <v>0.530453</v>
      </c>
    </row>
    <row r="44" ht="15" customHeight="1">
      <c r="A44" s="10" t="n">
        <v>38</v>
      </c>
      <c r="B44" s="11" t="inlineStr">
        <is>
          <t>HUANCABAMBA</t>
        </is>
      </c>
      <c r="C44" s="11" t="inlineStr">
        <is>
          <t>HUARMACA</t>
        </is>
      </c>
      <c r="D44" s="11" t="inlineStr">
        <is>
          <t>C1076-Q9589</t>
        </is>
      </c>
      <c r="E44" s="10" t="inlineStr">
        <is>
          <t>M4B3</t>
        </is>
      </c>
      <c r="F44" s="12" t="n">
        <v>234.069</v>
      </c>
      <c r="G44" s="12" t="n">
        <v>643474.041171</v>
      </c>
      <c r="H44" s="12" t="n">
        <v>9385619.78813</v>
      </c>
      <c r="I44" s="14" t="n">
        <v>0.322153</v>
      </c>
    </row>
    <row r="45" ht="15" customHeight="1">
      <c r="A45" s="6" t="n">
        <v>39</v>
      </c>
      <c r="B45" s="7" t="inlineStr">
        <is>
          <t>HUANCABAMBA</t>
        </is>
      </c>
      <c r="C45" s="7" t="inlineStr">
        <is>
          <t>HUARMACA</t>
        </is>
      </c>
      <c r="D45" s="7" t="inlineStr">
        <is>
          <t>C1076-Q9589</t>
        </is>
      </c>
      <c r="E45" s="6" t="inlineStr">
        <is>
          <t>M4B4</t>
        </is>
      </c>
      <c r="F45" s="8" t="n">
        <v>289.914</v>
      </c>
      <c r="G45" s="8" t="n">
        <v>642774.517087</v>
      </c>
      <c r="H45" s="8" t="n">
        <v>9388574.28349</v>
      </c>
      <c r="I45" s="14" t="n">
        <v>0.319788</v>
      </c>
    </row>
    <row r="46" ht="15" customHeight="1">
      <c r="A46" s="10" t="n">
        <v>40</v>
      </c>
      <c r="B46" s="11" t="inlineStr">
        <is>
          <t>MORROPON</t>
        </is>
      </c>
      <c r="C46" s="11" t="inlineStr">
        <is>
          <t>SALITRAL</t>
        </is>
      </c>
      <c r="D46" s="11" t="inlineStr">
        <is>
          <t>C1081-Q9582</t>
        </is>
      </c>
      <c r="E46" s="10" t="inlineStr">
        <is>
          <t>M3B9</t>
        </is>
      </c>
      <c r="F46" s="12" t="n">
        <v>294.204</v>
      </c>
      <c r="G46" s="12" t="n">
        <v>629338.007889</v>
      </c>
      <c r="H46" s="12" t="n">
        <v>9413305.463090001</v>
      </c>
      <c r="I46" s="14" t="n">
        <v>0.321386</v>
      </c>
    </row>
    <row r="47" ht="15" customHeight="1">
      <c r="A47" s="6" t="n">
        <v>41</v>
      </c>
      <c r="B47" s="7" t="inlineStr">
        <is>
          <t>MORROPON</t>
        </is>
      </c>
      <c r="C47" s="7" t="inlineStr">
        <is>
          <t>SAN JUAN DE BIGOTE</t>
        </is>
      </c>
      <c r="D47" s="7" t="inlineStr">
        <is>
          <t>C1081-Q9582</t>
        </is>
      </c>
      <c r="E47" s="6" t="inlineStr">
        <is>
          <t>M3B8</t>
        </is>
      </c>
      <c r="F47" s="8" t="n">
        <v>565.5839999999999</v>
      </c>
      <c r="G47" s="8" t="n">
        <v>632118.930924</v>
      </c>
      <c r="H47" s="8" t="n">
        <v>9415141.23467</v>
      </c>
      <c r="I47" s="14" t="n">
        <v>0.293351</v>
      </c>
    </row>
    <row r="48" ht="15" customHeight="1">
      <c r="A48" s="10" t="n">
        <v>42</v>
      </c>
      <c r="B48" s="11" t="inlineStr">
        <is>
          <t>MORROPON</t>
        </is>
      </c>
      <c r="C48" s="11" t="inlineStr">
        <is>
          <t>SAN JUAN DE BIGOTE</t>
        </is>
      </c>
      <c r="D48" s="11" t="inlineStr">
        <is>
          <t>C1081-Q9582</t>
        </is>
      </c>
      <c r="E48" s="10" t="inlineStr">
        <is>
          <t>M3B7</t>
        </is>
      </c>
      <c r="F48" s="12" t="n">
        <v>122.946</v>
      </c>
      <c r="G48" s="12" t="n">
        <v>638309.256718</v>
      </c>
      <c r="H48" s="12" t="n">
        <v>9415217.20946</v>
      </c>
      <c r="I48" s="14" t="n">
        <v>0.370678</v>
      </c>
    </row>
    <row r="49" ht="15" customHeight="1">
      <c r="A49" s="6" t="n">
        <v>43</v>
      </c>
      <c r="B49" s="7" t="inlineStr">
        <is>
          <t>MORROPON</t>
        </is>
      </c>
      <c r="C49" s="7" t="inlineStr">
        <is>
          <t>SAN JUAN DE BIGOTE</t>
        </is>
      </c>
      <c r="D49" s="7" t="inlineStr">
        <is>
          <t>C1081-Q9582</t>
        </is>
      </c>
      <c r="E49" s="6" t="inlineStr">
        <is>
          <t>M3B5</t>
        </is>
      </c>
      <c r="F49" s="8" t="n">
        <v>52.743</v>
      </c>
      <c r="G49" s="8" t="n">
        <v>635886.604428</v>
      </c>
      <c r="H49" s="8" t="n">
        <v>9411737.95403</v>
      </c>
      <c r="I49" s="14" t="n">
        <v>0.283016</v>
      </c>
    </row>
    <row r="50" ht="15" customHeight="1">
      <c r="A50" s="10" t="n">
        <v>44</v>
      </c>
      <c r="B50" s="11" t="inlineStr">
        <is>
          <t>MORROPON</t>
        </is>
      </c>
      <c r="C50" s="11" t="inlineStr">
        <is>
          <t>SAN JUAN DE BIGOTE</t>
        </is>
      </c>
      <c r="D50" s="11" t="inlineStr">
        <is>
          <t>C1081-Q9582</t>
        </is>
      </c>
      <c r="E50" s="10" t="inlineStr">
        <is>
          <t>M3B6</t>
        </is>
      </c>
      <c r="F50" s="12" t="n">
        <v>60.352</v>
      </c>
      <c r="G50" s="12" t="n">
        <v>637917.82897</v>
      </c>
      <c r="H50" s="12" t="n">
        <v>9412134.15106</v>
      </c>
      <c r="I50" s="14" t="n">
        <v>0.342535</v>
      </c>
    </row>
    <row r="51" ht="15" customHeight="1">
      <c r="A51" s="6" t="n">
        <v>45</v>
      </c>
      <c r="B51" s="7" t="inlineStr">
        <is>
          <t>MORROPON</t>
        </is>
      </c>
      <c r="C51" s="7" t="inlineStr">
        <is>
          <t>SAN JUAN DE BIGOTE</t>
        </is>
      </c>
      <c r="D51" s="7" t="inlineStr">
        <is>
          <t>C1081-Q9583</t>
        </is>
      </c>
      <c r="E51" s="6" t="inlineStr">
        <is>
          <t>M11B3</t>
        </is>
      </c>
      <c r="F51" s="8" t="n">
        <v>106.027</v>
      </c>
      <c r="G51" s="8" t="n">
        <v>642079.280752</v>
      </c>
      <c r="H51" s="8" t="n">
        <v>9413822.55281</v>
      </c>
      <c r="I51" s="14" t="n">
        <v>0.395609</v>
      </c>
    </row>
    <row r="52" ht="15" customHeight="1">
      <c r="A52" s="10" t="n">
        <v>46</v>
      </c>
      <c r="B52" s="11" t="inlineStr">
        <is>
          <t>MORROPON</t>
        </is>
      </c>
      <c r="C52" s="11" t="inlineStr">
        <is>
          <t>SALITRAL</t>
        </is>
      </c>
      <c r="D52" s="11" t="inlineStr">
        <is>
          <t>C1077-Q9579</t>
        </is>
      </c>
      <c r="E52" s="10" t="inlineStr">
        <is>
          <t>M18B3</t>
        </is>
      </c>
      <c r="F52" s="12" t="n">
        <v>373.807</v>
      </c>
      <c r="G52" s="12" t="n">
        <v>625311.2647459999</v>
      </c>
      <c r="H52" s="12" t="n">
        <v>9412194.8051</v>
      </c>
      <c r="I52" s="14" t="n">
        <v>0.369424</v>
      </c>
    </row>
    <row r="53" ht="15" customHeight="1">
      <c r="A53" s="6" t="n">
        <v>47</v>
      </c>
      <c r="B53" s="7" t="inlineStr">
        <is>
          <t>AYABACA</t>
        </is>
      </c>
      <c r="C53" s="7" t="inlineStr">
        <is>
          <t>FRIAS</t>
        </is>
      </c>
      <c r="D53" s="7" t="inlineStr">
        <is>
          <t>C1096-Q9556</t>
        </is>
      </c>
      <c r="E53" s="6" t="inlineStr">
        <is>
          <t>M17B6</t>
        </is>
      </c>
      <c r="F53" s="8" t="n">
        <v>106.538</v>
      </c>
      <c r="G53" s="8" t="n">
        <v>607035.98279</v>
      </c>
      <c r="H53" s="8" t="n">
        <v>9446210.699419999</v>
      </c>
      <c r="I53" s="14" t="n">
        <v>0.446441</v>
      </c>
    </row>
    <row r="54" ht="15" customHeight="1">
      <c r="A54" s="10" t="n">
        <v>48</v>
      </c>
      <c r="B54" s="11" t="inlineStr">
        <is>
          <t>MORROPON</t>
        </is>
      </c>
      <c r="C54" s="11" t="inlineStr">
        <is>
          <t>YAMANGO</t>
        </is>
      </c>
      <c r="D54" s="11" t="inlineStr">
        <is>
          <t>C1086-Q9575</t>
        </is>
      </c>
      <c r="E54" s="10" t="inlineStr">
        <is>
          <t>M28B2</t>
        </is>
      </c>
      <c r="F54" s="12" t="n">
        <v>90.197</v>
      </c>
      <c r="G54" s="12" t="n">
        <v>636248.983073</v>
      </c>
      <c r="H54" s="12" t="n">
        <v>9425664.667540001</v>
      </c>
      <c r="I54" s="14" t="n">
        <v>0.475342</v>
      </c>
    </row>
    <row r="55" ht="15" customHeight="1">
      <c r="A55" s="6" t="n">
        <v>49</v>
      </c>
      <c r="B55" s="7" t="inlineStr">
        <is>
          <t>MORROPON</t>
        </is>
      </c>
      <c r="C55" s="7" t="inlineStr">
        <is>
          <t>SALITRAL</t>
        </is>
      </c>
      <c r="D55" s="7" t="inlineStr">
        <is>
          <t>C1076-Q9584</t>
        </is>
      </c>
      <c r="E55" s="6" t="inlineStr">
        <is>
          <t>M2B5</t>
        </is>
      </c>
      <c r="F55" s="8" t="n">
        <v>30.909</v>
      </c>
      <c r="G55" s="8" t="n">
        <v>639987.1274079999</v>
      </c>
      <c r="H55" s="8" t="n">
        <v>9394392.06339</v>
      </c>
      <c r="I55" s="14" t="n">
        <v>0.304733</v>
      </c>
    </row>
    <row r="56" ht="15" customHeight="1">
      <c r="A56" s="10" t="n">
        <v>50</v>
      </c>
      <c r="B56" s="11" t="inlineStr">
        <is>
          <t>AYABACA</t>
        </is>
      </c>
      <c r="C56" s="11" t="inlineStr">
        <is>
          <t>FRIAS</t>
        </is>
      </c>
      <c r="D56" s="11" t="inlineStr">
        <is>
          <t>C1096-Q9556</t>
        </is>
      </c>
      <c r="E56" s="10" t="inlineStr">
        <is>
          <t>M17B5</t>
        </is>
      </c>
      <c r="F56" s="12" t="n">
        <v>74.02800000000001</v>
      </c>
      <c r="G56" s="12" t="n">
        <v>608800.1704459999</v>
      </c>
      <c r="H56" s="12" t="n">
        <v>9445584.80837</v>
      </c>
      <c r="I56" s="13" t="n">
        <v>0.54817</v>
      </c>
    </row>
    <row r="57" ht="15" customHeight="1">
      <c r="A57" s="6" t="n">
        <v>51</v>
      </c>
      <c r="B57" s="7" t="inlineStr">
        <is>
          <t>MORROPON</t>
        </is>
      </c>
      <c r="C57" s="7" t="inlineStr">
        <is>
          <t>YAMANGO</t>
        </is>
      </c>
      <c r="D57" s="7" t="inlineStr">
        <is>
          <t>C1086-Q9575</t>
        </is>
      </c>
      <c r="E57" s="6" t="inlineStr">
        <is>
          <t>M28B3</t>
        </is>
      </c>
      <c r="F57" s="8" t="n">
        <v>58.292</v>
      </c>
      <c r="G57" s="8" t="n">
        <v>634060.884634</v>
      </c>
      <c r="H57" s="8" t="n">
        <v>9426778.337409999</v>
      </c>
      <c r="I57" s="13" t="n">
        <v>0.507529</v>
      </c>
    </row>
    <row r="58" ht="15" customHeight="1">
      <c r="A58" s="10" t="n">
        <v>52</v>
      </c>
      <c r="B58" s="11" t="inlineStr">
        <is>
          <t>HUANCABAMBA</t>
        </is>
      </c>
      <c r="C58" s="11" t="inlineStr">
        <is>
          <t>LALAQUIZ</t>
        </is>
      </c>
      <c r="D58" s="11" t="inlineStr">
        <is>
          <t>C1081-Q9590</t>
        </is>
      </c>
      <c r="E58" s="10" t="inlineStr">
        <is>
          <t>33</t>
        </is>
      </c>
      <c r="F58" s="12" t="n">
        <v>29.681</v>
      </c>
      <c r="G58" s="12" t="n">
        <v>646466.027044</v>
      </c>
      <c r="H58" s="12" t="n">
        <v>9431125.612120001</v>
      </c>
      <c r="I58" s="9" t="n">
        <v>0.71923</v>
      </c>
    </row>
    <row r="59" ht="15" customHeight="1">
      <c r="A59" s="6" t="n">
        <v>53</v>
      </c>
      <c r="B59" s="7" t="inlineStr">
        <is>
          <t>HUANCABAMBA</t>
        </is>
      </c>
      <c r="C59" s="7" t="inlineStr">
        <is>
          <t>LALAQUIZ</t>
        </is>
      </c>
      <c r="D59" s="7" t="inlineStr">
        <is>
          <t>C1081-Q9590</t>
        </is>
      </c>
      <c r="E59" s="6" t="inlineStr">
        <is>
          <t>50</t>
        </is>
      </c>
      <c r="F59" s="8" t="n">
        <v>19.266</v>
      </c>
      <c r="G59" s="8" t="n">
        <v>647350.439058</v>
      </c>
      <c r="H59" s="8" t="n">
        <v>9427251.738229999</v>
      </c>
      <c r="I59" s="9" t="n">
        <v>0.68307</v>
      </c>
    </row>
    <row r="60" ht="15" customHeight="1">
      <c r="A60" s="10" t="n">
        <v>54</v>
      </c>
      <c r="B60" s="11" t="inlineStr">
        <is>
          <t>HUANCABAMBA</t>
        </is>
      </c>
      <c r="C60" s="11" t="inlineStr">
        <is>
          <t>LALAQUIZ</t>
        </is>
      </c>
      <c r="D60" s="11" t="inlineStr">
        <is>
          <t>C1081-Q9590</t>
        </is>
      </c>
      <c r="E60" s="10" t="inlineStr">
        <is>
          <t>38</t>
        </is>
      </c>
      <c r="F60" s="12" t="n">
        <v>44.201</v>
      </c>
      <c r="G60" s="12" t="n">
        <v>647123.448866</v>
      </c>
      <c r="H60" s="12" t="n">
        <v>9427602.408020001</v>
      </c>
      <c r="I60" s="9" t="n">
        <v>0.6724869999999999</v>
      </c>
    </row>
    <row r="61" ht="15" customHeight="1">
      <c r="A61" s="6" t="n">
        <v>55</v>
      </c>
      <c r="B61" s="7" t="inlineStr">
        <is>
          <t>HUANCABAMBA</t>
        </is>
      </c>
      <c r="C61" s="7" t="inlineStr">
        <is>
          <t>LALAQUIZ</t>
        </is>
      </c>
      <c r="D61" s="7" t="inlineStr">
        <is>
          <t>C1081-Q9590</t>
        </is>
      </c>
      <c r="E61" s="6" t="inlineStr">
        <is>
          <t>34</t>
        </is>
      </c>
      <c r="F61" s="8" t="n">
        <v>28.45</v>
      </c>
      <c r="G61" s="8" t="n">
        <v>646483.344435</v>
      </c>
      <c r="H61" s="8" t="n">
        <v>9426304.976290001</v>
      </c>
      <c r="I61" s="13" t="n">
        <v>0.648975</v>
      </c>
    </row>
    <row r="62" ht="15" customHeight="1">
      <c r="A62" s="10" t="n">
        <v>56</v>
      </c>
      <c r="B62" s="11" t="inlineStr">
        <is>
          <t>HUANCABAMBA</t>
        </is>
      </c>
      <c r="C62" s="11" t="inlineStr">
        <is>
          <t>LALAQUIZ</t>
        </is>
      </c>
      <c r="D62" s="11" t="inlineStr">
        <is>
          <t>C1081-Q9591</t>
        </is>
      </c>
      <c r="E62" s="10" t="inlineStr">
        <is>
          <t>26</t>
        </is>
      </c>
      <c r="F62" s="12" t="n">
        <v>46.962</v>
      </c>
      <c r="G62" s="12" t="n">
        <v>649472.312627</v>
      </c>
      <c r="H62" s="12" t="n">
        <v>9425704.65815</v>
      </c>
      <c r="I62" s="9" t="n">
        <v>0.673303</v>
      </c>
    </row>
    <row r="63" ht="15" customHeight="1">
      <c r="A63" s="6" t="n">
        <v>57</v>
      </c>
      <c r="B63" s="7" t="inlineStr">
        <is>
          <t>HUANCABAMBA</t>
        </is>
      </c>
      <c r="C63" s="7" t="inlineStr">
        <is>
          <t>LALAQUIZ</t>
        </is>
      </c>
      <c r="D63" s="7" t="inlineStr">
        <is>
          <t>C1081-Q9591</t>
        </is>
      </c>
      <c r="E63" s="6" t="inlineStr">
        <is>
          <t>37</t>
        </is>
      </c>
      <c r="F63" s="8" t="n">
        <v>35.491</v>
      </c>
      <c r="G63" s="8" t="n">
        <v>649080.7958420001</v>
      </c>
      <c r="H63" s="8" t="n">
        <v>9424506.494240001</v>
      </c>
      <c r="I63" s="9" t="n">
        <v>0.658846</v>
      </c>
    </row>
    <row r="64" ht="15" customHeight="1">
      <c r="A64" s="10" t="n">
        <v>58</v>
      </c>
      <c r="B64" s="11" t="inlineStr">
        <is>
          <t>HUANCABAMBA</t>
        </is>
      </c>
      <c r="C64" s="11" t="inlineStr">
        <is>
          <t>CANCHAQUE</t>
        </is>
      </c>
      <c r="D64" s="11" t="inlineStr">
        <is>
          <t>C1081-Q9591</t>
        </is>
      </c>
      <c r="E64" s="10" t="inlineStr">
        <is>
          <t>28</t>
        </is>
      </c>
      <c r="F64" s="12" t="n">
        <v>52.966</v>
      </c>
      <c r="G64" s="12" t="n">
        <v>654187.827183</v>
      </c>
      <c r="H64" s="12" t="n">
        <v>9422848.58391</v>
      </c>
      <c r="I64" s="13" t="n">
        <v>0.639425</v>
      </c>
    </row>
    <row r="65" ht="15" customHeight="1">
      <c r="A65" s="6" t="n">
        <v>59</v>
      </c>
      <c r="B65" s="7" t="inlineStr">
        <is>
          <t>HUANCABAMBA</t>
        </is>
      </c>
      <c r="C65" s="7" t="inlineStr">
        <is>
          <t>CANCHAQUE</t>
        </is>
      </c>
      <c r="D65" s="7" t="inlineStr">
        <is>
          <t>C1081-Q9591</t>
        </is>
      </c>
      <c r="E65" s="6" t="inlineStr">
        <is>
          <t>40</t>
        </is>
      </c>
      <c r="F65" s="8" t="n">
        <v>28.523</v>
      </c>
      <c r="G65" s="8" t="n">
        <v>654136.576947</v>
      </c>
      <c r="H65" s="8" t="n">
        <v>9424425.430029999</v>
      </c>
      <c r="I65" s="13" t="n">
        <v>0.640099</v>
      </c>
    </row>
    <row r="66" ht="15" customHeight="1">
      <c r="A66" s="10" t="n">
        <v>60</v>
      </c>
      <c r="B66" s="11" t="inlineStr">
        <is>
          <t>HUANCABAMBA</t>
        </is>
      </c>
      <c r="C66" s="11" t="inlineStr">
        <is>
          <t>CANCHAQUE</t>
        </is>
      </c>
      <c r="D66" s="11" t="inlineStr">
        <is>
          <t>C1081-Q9591</t>
        </is>
      </c>
      <c r="E66" s="10" t="inlineStr">
        <is>
          <t>21</t>
        </is>
      </c>
      <c r="F66" s="12" t="n">
        <v>84.227</v>
      </c>
      <c r="G66" s="12" t="n">
        <v>654603.842506</v>
      </c>
      <c r="H66" s="12" t="n">
        <v>9417736.1284</v>
      </c>
      <c r="I66" s="13" t="n">
        <v>0.620078</v>
      </c>
    </row>
    <row r="67" ht="15" customHeight="1">
      <c r="A67" s="6" t="n">
        <v>61</v>
      </c>
      <c r="B67" s="7" t="inlineStr">
        <is>
          <t>HUANCABAMBA</t>
        </is>
      </c>
      <c r="C67" s="7" t="inlineStr">
        <is>
          <t>CANCHAQUE</t>
        </is>
      </c>
      <c r="D67" s="7" t="inlineStr">
        <is>
          <t>C1081-Q9583</t>
        </is>
      </c>
      <c r="E67" s="6" t="inlineStr">
        <is>
          <t>24</t>
        </is>
      </c>
      <c r="F67" s="8" t="n">
        <v>90.15900000000001</v>
      </c>
      <c r="G67" s="8" t="n">
        <v>652190.610133</v>
      </c>
      <c r="H67" s="8" t="n">
        <v>9414358.02932</v>
      </c>
      <c r="I67" s="9" t="n">
        <v>0.674839</v>
      </c>
    </row>
    <row r="68" ht="15" customHeight="1">
      <c r="A68" s="10" t="n">
        <v>62</v>
      </c>
      <c r="B68" s="11" t="inlineStr">
        <is>
          <t>HUANCABAMBA</t>
        </is>
      </c>
      <c r="C68" s="11" t="inlineStr">
        <is>
          <t>SAN MIGUEL DE EL FAIQUE</t>
        </is>
      </c>
      <c r="D68" s="11" t="inlineStr">
        <is>
          <t>C1076-Q9586</t>
        </is>
      </c>
      <c r="E68" s="10" t="inlineStr">
        <is>
          <t>47</t>
        </is>
      </c>
      <c r="F68" s="12" t="n">
        <v>13.551</v>
      </c>
      <c r="G68" s="12" t="n">
        <v>659648.566674</v>
      </c>
      <c r="H68" s="12" t="n">
        <v>9401436.150359999</v>
      </c>
      <c r="I68" s="13" t="n">
        <v>0.593628</v>
      </c>
    </row>
    <row r="69" ht="15" customHeight="1">
      <c r="A69" s="6" t="n">
        <v>63</v>
      </c>
      <c r="B69" s="7" t="inlineStr">
        <is>
          <t>HUANCABAMBA</t>
        </is>
      </c>
      <c r="C69" s="7" t="inlineStr">
        <is>
          <t>SAN MIGUEL DE EL FAIQUE</t>
        </is>
      </c>
      <c r="D69" s="7" t="inlineStr">
        <is>
          <t>C1076-Q9586</t>
        </is>
      </c>
      <c r="E69" s="6" t="inlineStr">
        <is>
          <t>43</t>
        </is>
      </c>
      <c r="F69" s="8" t="n">
        <v>23.171</v>
      </c>
      <c r="G69" s="8" t="n">
        <v>656489.478582</v>
      </c>
      <c r="H69" s="8" t="n">
        <v>9395402.621139999</v>
      </c>
      <c r="I69" s="13" t="n">
        <v>0.551525</v>
      </c>
    </row>
    <row r="70" ht="15" customHeight="1">
      <c r="A70" s="10" t="n">
        <v>64</v>
      </c>
      <c r="B70" s="11" t="inlineStr">
        <is>
          <t>HUANCABAMBA</t>
        </is>
      </c>
      <c r="C70" s="11" t="inlineStr">
        <is>
          <t>SAN MIGUEL DE EL FAIQUE</t>
        </is>
      </c>
      <c r="D70" s="11" t="inlineStr">
        <is>
          <t>C1076-Q9586</t>
        </is>
      </c>
      <c r="E70" s="10" t="inlineStr">
        <is>
          <t>35</t>
        </is>
      </c>
      <c r="F70" s="12" t="n">
        <v>30.804</v>
      </c>
      <c r="G70" s="12" t="n">
        <v>654607.398183</v>
      </c>
      <c r="H70" s="12" t="n">
        <v>9395038.39002</v>
      </c>
      <c r="I70" s="13" t="n">
        <v>0.6244769999999999</v>
      </c>
    </row>
    <row r="71" ht="15" customHeight="1">
      <c r="A71" s="6" t="n">
        <v>65</v>
      </c>
      <c r="B71" s="7" t="inlineStr">
        <is>
          <t>HUANCABAMBA</t>
        </is>
      </c>
      <c r="C71" s="7" t="inlineStr">
        <is>
          <t>SAN MIGUEL DE EL FAIQUE</t>
        </is>
      </c>
      <c r="D71" s="7" t="inlineStr">
        <is>
          <t>C1076-Q9586</t>
        </is>
      </c>
      <c r="E71" s="6" t="inlineStr">
        <is>
          <t>44</t>
        </is>
      </c>
      <c r="F71" s="8" t="n">
        <v>28.234</v>
      </c>
      <c r="G71" s="8" t="n">
        <v>663636.846456</v>
      </c>
      <c r="H71" s="8" t="n">
        <v>9400617.91093</v>
      </c>
      <c r="I71" s="13" t="n">
        <v>0.511324</v>
      </c>
    </row>
    <row r="72" ht="15" customHeight="1">
      <c r="A72" s="10" t="n">
        <v>66</v>
      </c>
      <c r="B72" s="11" t="inlineStr">
        <is>
          <t>HUANCABAMBA</t>
        </is>
      </c>
      <c r="C72" s="11" t="inlineStr">
        <is>
          <t>HUARMACA</t>
        </is>
      </c>
      <c r="D72" s="11" t="inlineStr">
        <is>
          <t>C1076-Q9592</t>
        </is>
      </c>
      <c r="E72" s="10" t="inlineStr">
        <is>
          <t>53</t>
        </is>
      </c>
      <c r="F72" s="12" t="n">
        <v>13.065</v>
      </c>
      <c r="G72" s="12" t="n">
        <v>666536.747612</v>
      </c>
      <c r="H72" s="12" t="n">
        <v>9395917.88036</v>
      </c>
      <c r="I72" s="13" t="n">
        <v>0.5962769999999999</v>
      </c>
    </row>
    <row r="73" ht="15" customHeight="1">
      <c r="A73" s="6" t="n">
        <v>67</v>
      </c>
      <c r="B73" s="7" t="inlineStr">
        <is>
          <t>HUANCABAMBA</t>
        </is>
      </c>
      <c r="C73" s="7" t="inlineStr">
        <is>
          <t>HUARMACA</t>
        </is>
      </c>
      <c r="D73" s="7" t="inlineStr">
        <is>
          <t>C1076-Q9592</t>
        </is>
      </c>
      <c r="E73" s="6" t="inlineStr">
        <is>
          <t>41</t>
        </is>
      </c>
      <c r="F73" s="8" t="n">
        <v>64.923</v>
      </c>
      <c r="G73" s="8" t="n">
        <v>660525.409394</v>
      </c>
      <c r="H73" s="8" t="n">
        <v>9394326.92035</v>
      </c>
      <c r="I73" s="13" t="n">
        <v>0.592669</v>
      </c>
    </row>
    <row r="74" ht="15" customHeight="1">
      <c r="A74" s="10" t="n">
        <v>68</v>
      </c>
      <c r="B74" s="11" t="inlineStr">
        <is>
          <t>HUANCABAMBA</t>
        </is>
      </c>
      <c r="C74" s="11" t="inlineStr">
        <is>
          <t>HUARMACA</t>
        </is>
      </c>
      <c r="D74" s="11" t="inlineStr">
        <is>
          <t>C1076-Q9592</t>
        </is>
      </c>
      <c r="E74" s="10" t="inlineStr">
        <is>
          <t>19</t>
        </is>
      </c>
      <c r="F74" s="12" t="n">
        <v>82.08799999999999</v>
      </c>
      <c r="G74" s="12" t="n">
        <v>665942.1367499999</v>
      </c>
      <c r="H74" s="12" t="n">
        <v>9391143.647229999</v>
      </c>
      <c r="I74" s="13" t="n">
        <v>0.537184</v>
      </c>
    </row>
    <row r="75" ht="15" customHeight="1">
      <c r="A75" s="6" t="n">
        <v>69</v>
      </c>
      <c r="B75" s="7" t="inlineStr">
        <is>
          <t>HUANCABAMBA</t>
        </is>
      </c>
      <c r="C75" s="7" t="inlineStr">
        <is>
          <t>HUARMACA</t>
        </is>
      </c>
      <c r="D75" s="7" t="inlineStr">
        <is>
          <t>C1076-Q9592</t>
        </is>
      </c>
      <c r="E75" s="6" t="inlineStr">
        <is>
          <t>31</t>
        </is>
      </c>
      <c r="F75" s="8" t="n">
        <v>47.581</v>
      </c>
      <c r="G75" s="8" t="n">
        <v>663333.812235</v>
      </c>
      <c r="H75" s="8" t="n">
        <v>9392819.973859999</v>
      </c>
      <c r="I75" s="14" t="n">
        <v>0.435805</v>
      </c>
    </row>
    <row r="76" ht="15" customHeight="1">
      <c r="A76" s="10" t="n">
        <v>70</v>
      </c>
      <c r="B76" s="11" t="inlineStr">
        <is>
          <t>HUANCABAMBA</t>
        </is>
      </c>
      <c r="C76" s="11" t="inlineStr">
        <is>
          <t>HUARMACA</t>
        </is>
      </c>
      <c r="D76" s="11" t="inlineStr">
        <is>
          <t>C1076-Q9593</t>
        </is>
      </c>
      <c r="E76" s="10" t="inlineStr">
        <is>
          <t>20</t>
        </is>
      </c>
      <c r="F76" s="12" t="n">
        <v>81.334</v>
      </c>
      <c r="G76" s="12" t="n">
        <v>649846.888085</v>
      </c>
      <c r="H76" s="12" t="n">
        <v>9376259.55422</v>
      </c>
      <c r="I76" s="14" t="n">
        <v>0.48513</v>
      </c>
    </row>
    <row r="77" ht="15" customHeight="1">
      <c r="A77" s="6" t="n">
        <v>71</v>
      </c>
      <c r="B77" s="7" t="inlineStr">
        <is>
          <t>HUANCABAMBA</t>
        </is>
      </c>
      <c r="C77" s="7" t="inlineStr">
        <is>
          <t>HUARMACA</t>
        </is>
      </c>
      <c r="D77" s="7" t="inlineStr">
        <is>
          <t>C1076-Q9593</t>
        </is>
      </c>
      <c r="E77" s="6" t="inlineStr">
        <is>
          <t>51</t>
        </is>
      </c>
      <c r="F77" s="8" t="n">
        <v>22.927</v>
      </c>
      <c r="G77" s="8" t="n">
        <v>656290.85692</v>
      </c>
      <c r="H77" s="8" t="n">
        <v>9379096.37287</v>
      </c>
      <c r="I77" s="13" t="n">
        <v>0.523788</v>
      </c>
    </row>
    <row r="78" ht="15" customHeight="1">
      <c r="A78" s="10" t="n">
        <v>72</v>
      </c>
      <c r="B78" s="11" t="inlineStr">
        <is>
          <t>HUANCABAMBA</t>
        </is>
      </c>
      <c r="C78" s="11" t="inlineStr">
        <is>
          <t>HUARMACA</t>
        </is>
      </c>
      <c r="D78" s="11" t="inlineStr">
        <is>
          <t>C1076-Q9592</t>
        </is>
      </c>
      <c r="E78" s="10" t="inlineStr">
        <is>
          <t>29</t>
        </is>
      </c>
      <c r="F78" s="12" t="n">
        <v>40.104</v>
      </c>
      <c r="G78" s="12" t="n">
        <v>662123.001823</v>
      </c>
      <c r="H78" s="12" t="n">
        <v>9397574.54752</v>
      </c>
      <c r="I78" s="13" t="n">
        <v>0.548192</v>
      </c>
    </row>
    <row r="79" ht="15" customHeight="1">
      <c r="A79" s="6" t="n">
        <v>73</v>
      </c>
      <c r="B79" s="7" t="inlineStr">
        <is>
          <t>MORROPON</t>
        </is>
      </c>
      <c r="C79" s="7" t="inlineStr">
        <is>
          <t>SALITRAL</t>
        </is>
      </c>
      <c r="D79" s="7" t="inlineStr">
        <is>
          <t>C1076-Q9584</t>
        </is>
      </c>
      <c r="E79" s="6" t="inlineStr">
        <is>
          <t>1</t>
        </is>
      </c>
      <c r="F79" s="8" t="n">
        <v>1370.958</v>
      </c>
      <c r="G79" s="8" t="n">
        <v>645575.226304</v>
      </c>
      <c r="H79" s="8" t="n">
        <v>9393500.42774</v>
      </c>
      <c r="I79" s="14" t="n">
        <v>0.454493</v>
      </c>
    </row>
    <row r="80" ht="15" customHeight="1">
      <c r="A80" s="10" t="n">
        <v>74</v>
      </c>
      <c r="B80" s="11" t="inlineStr">
        <is>
          <t>MORROPON</t>
        </is>
      </c>
      <c r="C80" s="11" t="inlineStr">
        <is>
          <t>SALITRAL</t>
        </is>
      </c>
      <c r="D80" s="11" t="inlineStr">
        <is>
          <t>C1076-Q9584</t>
        </is>
      </c>
      <c r="E80" s="10" t="inlineStr">
        <is>
          <t>7</t>
        </is>
      </c>
      <c r="F80" s="12" t="n">
        <v>173.428</v>
      </c>
      <c r="G80" s="12" t="n">
        <v>639728.028422</v>
      </c>
      <c r="H80" s="12" t="n">
        <v>9396835.631990001</v>
      </c>
      <c r="I80" s="14" t="n">
        <v>0.375288</v>
      </c>
    </row>
    <row r="81" ht="15" customHeight="1">
      <c r="A81" s="6" t="n">
        <v>75</v>
      </c>
      <c r="B81" s="7" t="inlineStr">
        <is>
          <t>MORROPON</t>
        </is>
      </c>
      <c r="C81" s="7" t="inlineStr">
        <is>
          <t>BUENOS AIRES</t>
        </is>
      </c>
      <c r="D81" s="7" t="inlineStr">
        <is>
          <t>C1077-Q9566</t>
        </is>
      </c>
      <c r="E81" s="6" t="inlineStr">
        <is>
          <t>5</t>
        </is>
      </c>
      <c r="F81" s="8" t="n">
        <v>295.726</v>
      </c>
      <c r="G81" s="8" t="n">
        <v>617859.790679</v>
      </c>
      <c r="H81" s="8" t="n">
        <v>9413182.069049999</v>
      </c>
      <c r="I81" s="14" t="n">
        <v>0.3394</v>
      </c>
    </row>
    <row r="82" ht="15" customHeight="1">
      <c r="A82" s="10" t="n">
        <v>76</v>
      </c>
      <c r="B82" s="11" t="inlineStr">
        <is>
          <t>MORROPON</t>
        </is>
      </c>
      <c r="C82" s="11" t="inlineStr">
        <is>
          <t>CHULUCANAS</t>
        </is>
      </c>
      <c r="D82" s="11" t="inlineStr">
        <is>
          <t>C1096-Q9558</t>
        </is>
      </c>
      <c r="E82" s="10" t="inlineStr">
        <is>
          <t>2</t>
        </is>
      </c>
      <c r="F82" s="12" t="n">
        <v>330.599</v>
      </c>
      <c r="G82" s="12" t="n">
        <v>603652.808052</v>
      </c>
      <c r="H82" s="12" t="n">
        <v>9439351.37346</v>
      </c>
      <c r="I82" s="14" t="n">
        <v>0.358601</v>
      </c>
    </row>
    <row r="83" ht="15" customHeight="1">
      <c r="A83" s="6" t="n">
        <v>77</v>
      </c>
      <c r="B83" s="7" t="inlineStr">
        <is>
          <t>MORROPON</t>
        </is>
      </c>
      <c r="C83" s="7" t="inlineStr">
        <is>
          <t>CHULUCANAS</t>
        </is>
      </c>
      <c r="D83" s="7" t="inlineStr">
        <is>
          <t>C1096-Q9547</t>
        </is>
      </c>
      <c r="E83" s="6" t="inlineStr">
        <is>
          <t>25</t>
        </is>
      </c>
      <c r="F83" s="8" t="n">
        <v>53.484</v>
      </c>
      <c r="G83" s="8" t="n">
        <v>596577.954071</v>
      </c>
      <c r="H83" s="8" t="n">
        <v>9442453.07581</v>
      </c>
      <c r="I83" s="14" t="n">
        <v>0.256543</v>
      </c>
    </row>
    <row r="84" ht="15" customHeight="1">
      <c r="A84" s="10" t="n">
        <v>78</v>
      </c>
      <c r="B84" s="11" t="inlineStr">
        <is>
          <t>HUANCABAMBA</t>
        </is>
      </c>
      <c r="C84" s="11" t="inlineStr">
        <is>
          <t>SAN MIGUEL DE EL FAIQUE</t>
        </is>
      </c>
      <c r="D84" s="11" t="inlineStr">
        <is>
          <t>C1076-Q9586</t>
        </is>
      </c>
      <c r="E84" s="10" t="inlineStr">
        <is>
          <t>9</t>
        </is>
      </c>
      <c r="F84" s="12" t="n">
        <v>109.861</v>
      </c>
      <c r="G84" s="12" t="n">
        <v>656578.108477</v>
      </c>
      <c r="H84" s="12" t="n">
        <v>9397762.248649999</v>
      </c>
      <c r="I84" s="13" t="n">
        <v>0.574527</v>
      </c>
    </row>
    <row r="85" ht="15" customHeight="1">
      <c r="A85" s="6" t="n">
        <v>79</v>
      </c>
      <c r="B85" s="7" t="inlineStr">
        <is>
          <t>HUANCABAMBA</t>
        </is>
      </c>
      <c r="C85" s="7" t="inlineStr">
        <is>
          <t>HUARMACA</t>
        </is>
      </c>
      <c r="D85" s="7" t="inlineStr">
        <is>
          <t>C1076-Q9588</t>
        </is>
      </c>
      <c r="E85" s="6" t="inlineStr">
        <is>
          <t>4</t>
        </is>
      </c>
      <c r="F85" s="8" t="n">
        <v>230.098</v>
      </c>
      <c r="G85" s="8" t="n">
        <v>656548.963833</v>
      </c>
      <c r="H85" s="8" t="n">
        <v>9382009.108969999</v>
      </c>
      <c r="I85" s="9" t="n">
        <v>0.660111</v>
      </c>
    </row>
    <row r="86" ht="15" customHeight="1">
      <c r="A86" s="10" t="n">
        <v>80</v>
      </c>
      <c r="B86" s="11" t="inlineStr">
        <is>
          <t>HUANCABAMBA</t>
        </is>
      </c>
      <c r="C86" s="11" t="inlineStr">
        <is>
          <t>HUARMACA</t>
        </is>
      </c>
      <c r="D86" s="11" t="inlineStr">
        <is>
          <t>C1076-Q9592</t>
        </is>
      </c>
      <c r="E86" s="10" t="inlineStr">
        <is>
          <t>18</t>
        </is>
      </c>
      <c r="F86" s="12" t="n">
        <v>103.617</v>
      </c>
      <c r="G86" s="12" t="n">
        <v>656445.2422710001</v>
      </c>
      <c r="H86" s="12" t="n">
        <v>9393179.583760001</v>
      </c>
      <c r="I86" s="13" t="n">
        <v>0.640219</v>
      </c>
    </row>
    <row r="87" ht="15" customHeight="1">
      <c r="A87" s="6" t="n">
        <v>81</v>
      </c>
      <c r="B87" s="7" t="inlineStr">
        <is>
          <t>HUANCABAMBA</t>
        </is>
      </c>
      <c r="C87" s="7" t="inlineStr">
        <is>
          <t>HUARMACA</t>
        </is>
      </c>
      <c r="D87" s="7" t="inlineStr">
        <is>
          <t>C1076-Q9593</t>
        </is>
      </c>
      <c r="E87" s="6" t="inlineStr">
        <is>
          <t>10</t>
        </is>
      </c>
      <c r="F87" s="8" t="n">
        <v>150.214</v>
      </c>
      <c r="G87" s="8" t="n">
        <v>650829.704635</v>
      </c>
      <c r="H87" s="8" t="n">
        <v>9382302.827470001</v>
      </c>
      <c r="I87" s="13" t="n">
        <v>0.546492</v>
      </c>
    </row>
    <row r="88" ht="15" customHeight="1">
      <c r="A88" s="10" t="n">
        <v>82</v>
      </c>
      <c r="B88" s="11" t="inlineStr">
        <is>
          <t>MORROPON</t>
        </is>
      </c>
      <c r="C88" s="11" t="inlineStr">
        <is>
          <t>YAMANGO</t>
        </is>
      </c>
      <c r="D88" s="11" t="inlineStr">
        <is>
          <t>C1086-Q9575</t>
        </is>
      </c>
      <c r="E88" s="10" t="inlineStr">
        <is>
          <t>49</t>
        </is>
      </c>
      <c r="F88" s="12" t="n">
        <v>15.839</v>
      </c>
      <c r="G88" s="12" t="n">
        <v>642333.606977</v>
      </c>
      <c r="H88" s="12" t="n">
        <v>9438262.639149999</v>
      </c>
      <c r="I88" s="9" t="n">
        <v>0.686036</v>
      </c>
    </row>
    <row r="89" ht="15" customHeight="1">
      <c r="A89" s="6" t="n">
        <v>83</v>
      </c>
      <c r="B89" s="7" t="inlineStr">
        <is>
          <t>MORROPON</t>
        </is>
      </c>
      <c r="C89" s="7" t="inlineStr">
        <is>
          <t>YAMANGO</t>
        </is>
      </c>
      <c r="D89" s="7" t="inlineStr">
        <is>
          <t>C1086-Q9575</t>
        </is>
      </c>
      <c r="E89" s="6" t="inlineStr">
        <is>
          <t>55</t>
        </is>
      </c>
      <c r="F89" s="8" t="n">
        <v>0.859</v>
      </c>
      <c r="G89" s="8" t="n">
        <v>642689.700006</v>
      </c>
      <c r="H89" s="8" t="n">
        <v>9438409.242590001</v>
      </c>
      <c r="I89" s="13" t="n">
        <v>0.630032</v>
      </c>
    </row>
    <row r="90" ht="15" customHeight="1">
      <c r="A90" s="10" t="n">
        <v>84</v>
      </c>
      <c r="B90" s="11" t="inlineStr">
        <is>
          <t>MORROPON</t>
        </is>
      </c>
      <c r="C90" s="11" t="inlineStr">
        <is>
          <t>YAMANGO</t>
        </is>
      </c>
      <c r="D90" s="11" t="inlineStr">
        <is>
          <t>C1086-Q9575</t>
        </is>
      </c>
      <c r="E90" s="10" t="inlineStr">
        <is>
          <t>52</t>
        </is>
      </c>
      <c r="F90" s="12" t="n">
        <v>11.059</v>
      </c>
      <c r="G90" s="12" t="n">
        <v>641521.563787</v>
      </c>
      <c r="H90" s="12" t="n">
        <v>9438064.073580001</v>
      </c>
      <c r="I90" s="9" t="n">
        <v>0.66855</v>
      </c>
    </row>
    <row r="91" ht="15" customHeight="1">
      <c r="A91" s="6" t="n">
        <v>85</v>
      </c>
      <c r="B91" s="7" t="inlineStr">
        <is>
          <t>MORROPON</t>
        </is>
      </c>
      <c r="C91" s="7" t="inlineStr">
        <is>
          <t>YAMANGO</t>
        </is>
      </c>
      <c r="D91" s="7" t="inlineStr">
        <is>
          <t>C1086-Q9575</t>
        </is>
      </c>
      <c r="E91" s="6" t="inlineStr">
        <is>
          <t>46</t>
        </is>
      </c>
      <c r="F91" s="8" t="n">
        <v>18.866</v>
      </c>
      <c r="G91" s="8" t="n">
        <v>638751.024488</v>
      </c>
      <c r="H91" s="8" t="n">
        <v>9433236.18378</v>
      </c>
      <c r="I91" s="9" t="n">
        <v>0.724382</v>
      </c>
    </row>
    <row r="92" ht="15" customHeight="1">
      <c r="A92" s="10" t="n">
        <v>86</v>
      </c>
      <c r="B92" s="11" t="inlineStr">
        <is>
          <t>MORROPON</t>
        </is>
      </c>
      <c r="C92" s="11" t="inlineStr">
        <is>
          <t>YAMANGO</t>
        </is>
      </c>
      <c r="D92" s="11" t="inlineStr">
        <is>
          <t>C1086-Q9575</t>
        </is>
      </c>
      <c r="E92" s="10" t="inlineStr">
        <is>
          <t>48</t>
        </is>
      </c>
      <c r="F92" s="12" t="n">
        <v>5.754</v>
      </c>
      <c r="G92" s="12" t="n">
        <v>639496.341974</v>
      </c>
      <c r="H92" s="12" t="n">
        <v>9433679.45634</v>
      </c>
      <c r="I92" s="9" t="n">
        <v>0.697809</v>
      </c>
    </row>
    <row r="93" ht="15" customHeight="1">
      <c r="A93" s="6" t="n">
        <v>87</v>
      </c>
      <c r="B93" s="7" t="inlineStr">
        <is>
          <t>AYABACA</t>
        </is>
      </c>
      <c r="C93" s="7" t="inlineStr">
        <is>
          <t>FRIAS</t>
        </is>
      </c>
      <c r="D93" s="7" t="inlineStr">
        <is>
          <t>C1096-Q9545</t>
        </is>
      </c>
      <c r="E93" s="6" t="inlineStr">
        <is>
          <t>3</t>
        </is>
      </c>
      <c r="F93" s="8" t="n">
        <v>459.295</v>
      </c>
      <c r="G93" s="8" t="n">
        <v>606815.971878</v>
      </c>
      <c r="H93" s="8" t="n">
        <v>9458468.880999999</v>
      </c>
      <c r="I93" s="13" t="n">
        <v>0.567707</v>
      </c>
    </row>
    <row r="94" ht="15" customHeight="1">
      <c r="A94" s="10" t="n">
        <v>88</v>
      </c>
      <c r="B94" s="11" t="inlineStr">
        <is>
          <t>AYABACA</t>
        </is>
      </c>
      <c r="C94" s="11" t="inlineStr">
        <is>
          <t>FRIAS</t>
        </is>
      </c>
      <c r="D94" s="11" t="inlineStr">
        <is>
          <t>C1096-Q9547</t>
        </is>
      </c>
      <c r="E94" s="10" t="inlineStr">
        <is>
          <t>6</t>
        </is>
      </c>
      <c r="F94" s="12" t="n">
        <v>168.411</v>
      </c>
      <c r="G94" s="12" t="n">
        <v>605635.980991</v>
      </c>
      <c r="H94" s="12" t="n">
        <v>9455268.876359999</v>
      </c>
      <c r="I94" s="13" t="n">
        <v>0.538144</v>
      </c>
    </row>
    <row r="95" ht="15" customHeight="1">
      <c r="A95" s="6" t="n">
        <v>89</v>
      </c>
      <c r="B95" s="7" t="inlineStr">
        <is>
          <t>AYABACA</t>
        </is>
      </c>
      <c r="C95" s="7" t="inlineStr">
        <is>
          <t>FRIAS</t>
        </is>
      </c>
      <c r="D95" s="7" t="inlineStr">
        <is>
          <t>C1096-Q9547</t>
        </is>
      </c>
      <c r="E95" s="6" t="inlineStr">
        <is>
          <t>36</t>
        </is>
      </c>
      <c r="F95" s="8" t="n">
        <v>24.843</v>
      </c>
      <c r="G95" s="8" t="n">
        <v>606467.800227</v>
      </c>
      <c r="H95" s="8" t="n">
        <v>9454688.596860001</v>
      </c>
      <c r="I95" s="13" t="n">
        <v>0.539458</v>
      </c>
    </row>
    <row r="96" ht="15" customHeight="1">
      <c r="A96" s="10" t="n">
        <v>90</v>
      </c>
      <c r="B96" s="11" t="inlineStr">
        <is>
          <t>AYABACA</t>
        </is>
      </c>
      <c r="C96" s="11" t="inlineStr">
        <is>
          <t>FRIAS</t>
        </is>
      </c>
      <c r="D96" s="11" t="inlineStr">
        <is>
          <t>C1096-Q9556</t>
        </is>
      </c>
      <c r="E96" s="10" t="inlineStr">
        <is>
          <t>27</t>
        </is>
      </c>
      <c r="F96" s="12" t="n">
        <v>78.154</v>
      </c>
      <c r="G96" s="12" t="n">
        <v>613301.572728</v>
      </c>
      <c r="H96" s="12" t="n">
        <v>9450230.541030001</v>
      </c>
      <c r="I96" s="13" t="n">
        <v>0.53228</v>
      </c>
    </row>
    <row r="97" ht="15" customHeight="1">
      <c r="A97" s="6" t="n">
        <v>91</v>
      </c>
      <c r="B97" s="7" t="inlineStr">
        <is>
          <t>MORROPON</t>
        </is>
      </c>
      <c r="C97" s="7" t="inlineStr">
        <is>
          <t>SANTO DOMINGO</t>
        </is>
      </c>
      <c r="D97" s="7" t="inlineStr">
        <is>
          <t>C1086-Q9570</t>
        </is>
      </c>
      <c r="E97" s="6" t="inlineStr">
        <is>
          <t>12</t>
        </is>
      </c>
      <c r="F97" s="8" t="n">
        <v>119.538</v>
      </c>
      <c r="G97" s="8" t="n">
        <v>625418.567243</v>
      </c>
      <c r="H97" s="8" t="n">
        <v>9444932.37073</v>
      </c>
      <c r="I97" s="9" t="n">
        <v>0.706689</v>
      </c>
    </row>
    <row r="98" ht="15" customHeight="1">
      <c r="A98" s="10" t="n">
        <v>92</v>
      </c>
      <c r="B98" s="11" t="inlineStr">
        <is>
          <t>MORROPON</t>
        </is>
      </c>
      <c r="C98" s="11" t="inlineStr">
        <is>
          <t>SANTO DOMINGO</t>
        </is>
      </c>
      <c r="D98" s="11" t="inlineStr">
        <is>
          <t>C1096-Q9564</t>
        </is>
      </c>
      <c r="E98" s="10" t="inlineStr">
        <is>
          <t>13</t>
        </is>
      </c>
      <c r="F98" s="12" t="n">
        <v>100.514</v>
      </c>
      <c r="G98" s="12" t="n">
        <v>620262.531569</v>
      </c>
      <c r="H98" s="12" t="n">
        <v>9442343.26371</v>
      </c>
      <c r="I98" s="9" t="n">
        <v>0.671094</v>
      </c>
    </row>
    <row r="99" ht="15" customHeight="1">
      <c r="A99" s="6" t="n">
        <v>93</v>
      </c>
      <c r="B99" s="7" t="inlineStr">
        <is>
          <t>MORROPON</t>
        </is>
      </c>
      <c r="C99" s="7" t="inlineStr">
        <is>
          <t>SANTO DOMINGO</t>
        </is>
      </c>
      <c r="D99" s="7" t="inlineStr">
        <is>
          <t>C1086-Q9570</t>
        </is>
      </c>
      <c r="E99" s="6" t="inlineStr">
        <is>
          <t>11</t>
        </is>
      </c>
      <c r="F99" s="8" t="n">
        <v>103.948</v>
      </c>
      <c r="G99" s="8" t="n">
        <v>620758.83974</v>
      </c>
      <c r="H99" s="8" t="n">
        <v>9439987.748400001</v>
      </c>
      <c r="I99" s="13" t="n">
        <v>0.604743</v>
      </c>
    </row>
    <row r="100" ht="15" customHeight="1">
      <c r="A100" s="10" t="n">
        <v>94</v>
      </c>
      <c r="B100" s="11" t="inlineStr">
        <is>
          <t>MORROPON</t>
        </is>
      </c>
      <c r="C100" s="11" t="inlineStr">
        <is>
          <t>SANTO DOMINGO</t>
        </is>
      </c>
      <c r="D100" s="11" t="inlineStr">
        <is>
          <t>C1086-Q9570</t>
        </is>
      </c>
      <c r="E100" s="10" t="inlineStr">
        <is>
          <t>17</t>
        </is>
      </c>
      <c r="F100" s="12" t="n">
        <v>96.07899999999999</v>
      </c>
      <c r="G100" s="12" t="n">
        <v>618661.3969019999</v>
      </c>
      <c r="H100" s="12" t="n">
        <v>9438267.19131</v>
      </c>
      <c r="I100" s="13" t="n">
        <v>0.647895</v>
      </c>
    </row>
    <row r="101" ht="15" customHeight="1">
      <c r="A101" s="6" t="n">
        <v>95</v>
      </c>
      <c r="B101" s="7" t="inlineStr">
        <is>
          <t>MORROPON</t>
        </is>
      </c>
      <c r="C101" s="7" t="inlineStr">
        <is>
          <t>SANTO DOMINGO</t>
        </is>
      </c>
      <c r="D101" s="7" t="inlineStr">
        <is>
          <t>C1086-Q9570</t>
        </is>
      </c>
      <c r="E101" s="6" t="inlineStr">
        <is>
          <t>23</t>
        </is>
      </c>
      <c r="F101" s="8" t="n">
        <v>81.776</v>
      </c>
      <c r="G101" s="8" t="n">
        <v>619939.083058</v>
      </c>
      <c r="H101" s="8" t="n">
        <v>9438544.00382</v>
      </c>
      <c r="I101" s="13" t="n">
        <v>0.573141</v>
      </c>
    </row>
    <row r="102" ht="15" customHeight="1">
      <c r="A102" s="10" t="n">
        <v>96</v>
      </c>
      <c r="B102" s="11" t="inlineStr">
        <is>
          <t>MORROPON</t>
        </is>
      </c>
      <c r="C102" s="11" t="inlineStr">
        <is>
          <t>SANTO DOMINGO</t>
        </is>
      </c>
      <c r="D102" s="11" t="inlineStr">
        <is>
          <t>C1086-Q9570</t>
        </is>
      </c>
      <c r="E102" s="10" t="inlineStr">
        <is>
          <t>15</t>
        </is>
      </c>
      <c r="F102" s="12" t="n">
        <v>86.14700000000001</v>
      </c>
      <c r="G102" s="12" t="n">
        <v>620200.071728</v>
      </c>
      <c r="H102" s="12" t="n">
        <v>9437862.370610001</v>
      </c>
      <c r="I102" s="13" t="n">
        <v>0.560518</v>
      </c>
    </row>
    <row r="103" ht="15" customHeight="1">
      <c r="A103" s="6" t="n">
        <v>97</v>
      </c>
      <c r="B103" s="7" t="inlineStr">
        <is>
          <t>MORROPON</t>
        </is>
      </c>
      <c r="C103" s="7" t="inlineStr">
        <is>
          <t>SANTA CATALINA DE MOSSA</t>
        </is>
      </c>
      <c r="D103" s="7" t="inlineStr">
        <is>
          <t>C1086-Q9570</t>
        </is>
      </c>
      <c r="E103" s="6" t="inlineStr">
        <is>
          <t>14</t>
        </is>
      </c>
      <c r="F103" s="8" t="n">
        <v>92.905</v>
      </c>
      <c r="G103" s="8" t="n">
        <v>624397.029839</v>
      </c>
      <c r="H103" s="8" t="n">
        <v>9437084.95236</v>
      </c>
      <c r="I103" s="13" t="n">
        <v>0.51974</v>
      </c>
    </row>
    <row r="104" ht="15" customHeight="1">
      <c r="A104" s="10" t="n">
        <v>98</v>
      </c>
      <c r="B104" s="11" t="inlineStr">
        <is>
          <t>MORROPON</t>
        </is>
      </c>
      <c r="C104" s="11" t="inlineStr">
        <is>
          <t>SANTA CATALINA DE MOSSA</t>
        </is>
      </c>
      <c r="D104" s="11" t="inlineStr">
        <is>
          <t>C1086-Q9570</t>
        </is>
      </c>
      <c r="E104" s="10" t="inlineStr">
        <is>
          <t>42</t>
        </is>
      </c>
      <c r="F104" s="12" t="n">
        <v>80.616</v>
      </c>
      <c r="G104" s="12" t="n">
        <v>625151.994079</v>
      </c>
      <c r="H104" s="12" t="n">
        <v>9435010.88122</v>
      </c>
      <c r="I104" s="13" t="n">
        <v>0.634841</v>
      </c>
    </row>
    <row r="105" ht="15" customHeight="1">
      <c r="A105" s="6" t="n">
        <v>99</v>
      </c>
      <c r="B105" s="7" t="inlineStr">
        <is>
          <t>HUANCABAMBA</t>
        </is>
      </c>
      <c r="C105" s="7" t="inlineStr">
        <is>
          <t>CANCHAQUE</t>
        </is>
      </c>
      <c r="D105" s="7" t="inlineStr">
        <is>
          <t>C1081-Q9591</t>
        </is>
      </c>
      <c r="E105" s="6" t="inlineStr">
        <is>
          <t>30</t>
        </is>
      </c>
      <c r="F105" s="8" t="n">
        <v>34.874</v>
      </c>
      <c r="G105" s="8" t="n">
        <v>652758.000799</v>
      </c>
      <c r="H105" s="8" t="n">
        <v>9424379.6183</v>
      </c>
      <c r="I105" s="9" t="n">
        <v>0.6638039999999999</v>
      </c>
    </row>
    <row r="106" ht="15" customHeight="1">
      <c r="A106" s="10" t="n">
        <v>100</v>
      </c>
      <c r="B106" s="11" t="inlineStr">
        <is>
          <t>HUANCABAMBA</t>
        </is>
      </c>
      <c r="C106" s="11" t="inlineStr">
        <is>
          <t>HUARMACA</t>
        </is>
      </c>
      <c r="D106" s="11" t="inlineStr">
        <is>
          <t>C1076-Q9593</t>
        </is>
      </c>
      <c r="E106" s="10" t="inlineStr">
        <is>
          <t>8</t>
        </is>
      </c>
      <c r="F106" s="12" t="n">
        <v>126.952</v>
      </c>
      <c r="G106" s="12" t="n">
        <v>651673.021299</v>
      </c>
      <c r="H106" s="12" t="n">
        <v>9373383.494209999</v>
      </c>
      <c r="I106" s="13" t="n">
        <v>0.554802</v>
      </c>
    </row>
    <row r="107" ht="15" customHeight="1">
      <c r="A107" s="6" t="n">
        <v>101</v>
      </c>
      <c r="B107" s="7" t="inlineStr">
        <is>
          <t>AYABACA</t>
        </is>
      </c>
      <c r="C107" s="7" t="inlineStr">
        <is>
          <t>FRIAS</t>
        </is>
      </c>
      <c r="D107" s="7" t="inlineStr">
        <is>
          <t>C1096-Q9556</t>
        </is>
      </c>
      <c r="E107" s="6" t="inlineStr">
        <is>
          <t>M17B10</t>
        </is>
      </c>
      <c r="F107" s="8" t="n">
        <v>75.363</v>
      </c>
      <c r="G107" s="8" t="n">
        <v>606172.651265</v>
      </c>
      <c r="H107" s="8" t="n">
        <v>9447360.77204</v>
      </c>
      <c r="I107" s="14" t="n">
        <v>0.472466</v>
      </c>
    </row>
    <row r="108" ht="15" customHeight="1">
      <c r="A108" s="10" t="n">
        <v>102</v>
      </c>
      <c r="B108" s="11" t="inlineStr">
        <is>
          <t>AYABACA</t>
        </is>
      </c>
      <c r="C108" s="11" t="inlineStr">
        <is>
          <t>FRIAS</t>
        </is>
      </c>
      <c r="D108" s="11" t="inlineStr">
        <is>
          <t>C1096-Q9564</t>
        </is>
      </c>
      <c r="E108" s="10" t="inlineStr">
        <is>
          <t>39</t>
        </is>
      </c>
      <c r="F108" s="12" t="n">
        <v>68.569</v>
      </c>
      <c r="G108" s="12" t="n">
        <v>618522.7929079999</v>
      </c>
      <c r="H108" s="12" t="n">
        <v>9448918.255860001</v>
      </c>
      <c r="I108" s="9" t="n">
        <v>0.701601</v>
      </c>
    </row>
    <row r="109" ht="15" customHeight="1">
      <c r="A109" s="6" t="n">
        <v>103</v>
      </c>
      <c r="B109" s="7" t="inlineStr">
        <is>
          <t>MORROPON</t>
        </is>
      </c>
      <c r="C109" s="7" t="inlineStr">
        <is>
          <t>SANTO DOMINGO</t>
        </is>
      </c>
      <c r="D109" s="7" t="inlineStr">
        <is>
          <t>C1086-Q9570</t>
        </is>
      </c>
      <c r="E109" s="6" t="inlineStr">
        <is>
          <t>M19B7</t>
        </is>
      </c>
      <c r="F109" s="8" t="n">
        <v>34.171</v>
      </c>
      <c r="G109" s="8" t="n">
        <v>620769.9770289999</v>
      </c>
      <c r="H109" s="8" t="n">
        <v>9436562.127429999</v>
      </c>
      <c r="I109" s="13" t="n">
        <v>0.591921</v>
      </c>
    </row>
    <row r="110" ht="15" customHeight="1">
      <c r="A110" s="10" t="n">
        <v>104</v>
      </c>
      <c r="B110" s="11" t="inlineStr">
        <is>
          <t>MORROPON</t>
        </is>
      </c>
      <c r="C110" s="11" t="inlineStr">
        <is>
          <t>SANTA CATALINA DE MOSSA</t>
        </is>
      </c>
      <c r="D110" s="11" t="inlineStr">
        <is>
          <t>C1086-Q9576</t>
        </is>
      </c>
      <c r="E110" s="10" t="inlineStr">
        <is>
          <t>M36B2</t>
        </is>
      </c>
      <c r="F110" s="12" t="n">
        <v>28.19</v>
      </c>
      <c r="G110" s="12" t="n">
        <v>626437.724637</v>
      </c>
      <c r="H110" s="12" t="n">
        <v>9435060.13342</v>
      </c>
      <c r="I110" s="13" t="n">
        <v>0.597433</v>
      </c>
    </row>
    <row r="111" ht="15" customHeight="1">
      <c r="A111" s="6" t="n">
        <v>105</v>
      </c>
      <c r="B111" s="7" t="inlineStr">
        <is>
          <t>HUANCABAMBA</t>
        </is>
      </c>
      <c r="C111" s="7" t="inlineStr">
        <is>
          <t>HUANCABAMBA</t>
        </is>
      </c>
      <c r="D111" s="7" t="inlineStr">
        <is>
          <t>C1081-Q9591</t>
        </is>
      </c>
      <c r="E111" s="6" t="inlineStr">
        <is>
          <t>M30B5</t>
        </is>
      </c>
      <c r="F111" s="8" t="n">
        <v>90.90300000000001</v>
      </c>
      <c r="G111" s="8" t="n">
        <v>655263.3513560001</v>
      </c>
      <c r="H111" s="8" t="n">
        <v>9427340.17389</v>
      </c>
      <c r="I111" s="13" t="n">
        <v>0.5564</v>
      </c>
    </row>
    <row r="112" ht="15" customHeight="1">
      <c r="A112" s="10" t="n">
        <v>106</v>
      </c>
      <c r="B112" s="11" t="inlineStr">
        <is>
          <t>HUANCABAMBA</t>
        </is>
      </c>
      <c r="C112" s="11" t="inlineStr">
        <is>
          <t>HUARMACA</t>
        </is>
      </c>
      <c r="D112" s="11" t="inlineStr">
        <is>
          <t>C1076-Q9593</t>
        </is>
      </c>
      <c r="E112" s="10" t="inlineStr">
        <is>
          <t>16</t>
        </is>
      </c>
      <c r="F112" s="12" t="n">
        <v>83.327</v>
      </c>
      <c r="G112" s="12" t="n">
        <v>652938.573667</v>
      </c>
      <c r="H112" s="12" t="n">
        <v>9382104.703430001</v>
      </c>
      <c r="I112" s="13" t="n">
        <v>0.628423</v>
      </c>
    </row>
    <row r="113" ht="15" customHeight="1">
      <c r="A113" s="6" t="n">
        <v>107</v>
      </c>
      <c r="B113" s="7" t="inlineStr">
        <is>
          <t>MORROPON</t>
        </is>
      </c>
      <c r="C113" s="7" t="inlineStr">
        <is>
          <t>BUENOS AIRES</t>
        </is>
      </c>
      <c r="D113" s="7" t="inlineStr">
        <is>
          <t>C1077-Q9579</t>
        </is>
      </c>
      <c r="E113" s="6" t="inlineStr">
        <is>
          <t>M18B1</t>
        </is>
      </c>
      <c r="F113" s="8" t="n">
        <v>160.36</v>
      </c>
      <c r="G113" s="8" t="n">
        <v>621058.307091</v>
      </c>
      <c r="H113" s="8" t="n">
        <v>9410426.898879999</v>
      </c>
      <c r="I113" s="14" t="n">
        <v>0.334299</v>
      </c>
    </row>
    <row r="114" ht="15" customHeight="1">
      <c r="A114" s="10" t="n">
        <v>108</v>
      </c>
      <c r="B114" s="11" t="inlineStr">
        <is>
          <t>MORROPON</t>
        </is>
      </c>
      <c r="C114" s="11" t="inlineStr">
        <is>
          <t>BUENOS AIRES</t>
        </is>
      </c>
      <c r="D114" s="11" t="inlineStr">
        <is>
          <t>C1077-Q9580</t>
        </is>
      </c>
      <c r="E114" s="10" t="inlineStr">
        <is>
          <t>M1B1</t>
        </is>
      </c>
      <c r="F114" s="12" t="n">
        <v>188.797</v>
      </c>
      <c r="G114" s="12" t="n">
        <v>617695.184594</v>
      </c>
      <c r="H114" s="12" t="n">
        <v>9409135.76506</v>
      </c>
      <c r="I114" s="14" t="n">
        <v>0.319305</v>
      </c>
    </row>
    <row r="115" ht="15" customHeight="1">
      <c r="A115" s="6" t="n">
        <v>109</v>
      </c>
      <c r="B115" s="7" t="inlineStr">
        <is>
          <t>MORROPON</t>
        </is>
      </c>
      <c r="C115" s="7" t="inlineStr">
        <is>
          <t>BUENOS AIRES</t>
        </is>
      </c>
      <c r="D115" s="7" t="inlineStr">
        <is>
          <t>C1077-Q9566</t>
        </is>
      </c>
      <c r="E115" s="6" t="inlineStr">
        <is>
          <t>M6B2-3</t>
        </is>
      </c>
      <c r="F115" s="8" t="n">
        <v>160.978</v>
      </c>
      <c r="G115" s="8" t="n">
        <v>611305.154832</v>
      </c>
      <c r="H115" s="8" t="n">
        <v>9419273.99402</v>
      </c>
      <c r="I115" s="14" t="n">
        <v>0.406259</v>
      </c>
    </row>
    <row r="116" ht="15" customHeight="1">
      <c r="A116" s="10" t="n">
        <v>110</v>
      </c>
      <c r="B116" s="11" t="inlineStr">
        <is>
          <t>MORROPON</t>
        </is>
      </c>
      <c r="C116" s="11" t="inlineStr">
        <is>
          <t>MORROPON</t>
        </is>
      </c>
      <c r="D116" s="11" t="inlineStr">
        <is>
          <t>C1086-Q9569</t>
        </is>
      </c>
      <c r="E116" s="10" t="inlineStr">
        <is>
          <t>M32B3</t>
        </is>
      </c>
      <c r="F116" s="12" t="n">
        <v>50.972</v>
      </c>
      <c r="G116" s="12" t="n">
        <v>618247.955581</v>
      </c>
      <c r="H116" s="12" t="n">
        <v>9426492.69672</v>
      </c>
      <c r="I116" s="14" t="n">
        <v>0.385213</v>
      </c>
    </row>
    <row r="117" ht="15" customHeight="1">
      <c r="A117" s="6" t="n">
        <v>111</v>
      </c>
      <c r="B117" s="7" t="inlineStr">
        <is>
          <t>MORROPON</t>
        </is>
      </c>
      <c r="C117" s="7" t="inlineStr">
        <is>
          <t>MORROPON</t>
        </is>
      </c>
      <c r="D117" s="7" t="inlineStr">
        <is>
          <t>C1086-Q9570</t>
        </is>
      </c>
      <c r="E117" s="6" t="inlineStr">
        <is>
          <t>M19B2</t>
        </is>
      </c>
      <c r="F117" s="8" t="n">
        <v>74.372</v>
      </c>
      <c r="G117" s="8" t="n">
        <v>617715.198825</v>
      </c>
      <c r="H117" s="8" t="n">
        <v>9427283.56656</v>
      </c>
      <c r="I117" s="14" t="n">
        <v>0.401185</v>
      </c>
    </row>
    <row r="118" ht="15" customHeight="1">
      <c r="A118" s="10" t="n">
        <v>112</v>
      </c>
      <c r="B118" s="11" t="inlineStr">
        <is>
          <t>MORROPON</t>
        </is>
      </c>
      <c r="C118" s="11" t="inlineStr">
        <is>
          <t>CHULUCANAS</t>
        </is>
      </c>
      <c r="D118" s="11" t="inlineStr">
        <is>
          <t>C1096-Q9556</t>
        </is>
      </c>
      <c r="E118" s="10" t="inlineStr">
        <is>
          <t>22</t>
        </is>
      </c>
      <c r="F118" s="12" t="n">
        <v>79.33</v>
      </c>
      <c r="G118" s="12" t="n">
        <v>601122.244989</v>
      </c>
      <c r="H118" s="12" t="n">
        <v>9443651.089160001</v>
      </c>
      <c r="I118" s="14" t="n">
        <v>0.42317</v>
      </c>
    </row>
    <row r="119" ht="15" customHeight="1">
      <c r="A119" s="6" t="n">
        <v>113</v>
      </c>
      <c r="B119" s="7" t="inlineStr">
        <is>
          <t>HUANCABAMBA</t>
        </is>
      </c>
      <c r="C119" s="7" t="inlineStr">
        <is>
          <t>SAN MIGUEL DE EL FAIQUE</t>
        </is>
      </c>
      <c r="D119" s="7" t="inlineStr">
        <is>
          <t>C1076-Q9584</t>
        </is>
      </c>
      <c r="E119" s="6" t="inlineStr">
        <is>
          <t>M2B8</t>
        </is>
      </c>
      <c r="F119" s="8" t="n">
        <v>116.099</v>
      </c>
      <c r="G119" s="8" t="n">
        <v>639058.910842</v>
      </c>
      <c r="H119" s="8" t="n">
        <v>9398295.21734</v>
      </c>
      <c r="I119" s="14" t="n">
        <v>0.375171</v>
      </c>
    </row>
    <row r="120" ht="15" customHeight="1">
      <c r="A120" s="10" t="n">
        <v>114</v>
      </c>
      <c r="B120" s="11" t="inlineStr">
        <is>
          <t>MORROPON</t>
        </is>
      </c>
      <c r="C120" s="11" t="inlineStr">
        <is>
          <t>SALITRAL</t>
        </is>
      </c>
      <c r="D120" s="11" t="inlineStr">
        <is>
          <t>C1081-Q9582</t>
        </is>
      </c>
      <c r="E120" s="10" t="inlineStr">
        <is>
          <t>M3B1</t>
        </is>
      </c>
      <c r="F120" s="12" t="n">
        <v>80.983</v>
      </c>
      <c r="G120" s="12" t="n">
        <v>630685.1939740001</v>
      </c>
      <c r="H120" s="12" t="n">
        <v>9410800.43936</v>
      </c>
      <c r="I120" s="14" t="n">
        <v>0.323882</v>
      </c>
    </row>
    <row r="121" ht="15" customHeight="1">
      <c r="A121" s="6" t="n">
        <v>115</v>
      </c>
      <c r="B121" s="7" t="inlineStr">
        <is>
          <t>HUANCABAMBA</t>
        </is>
      </c>
      <c r="C121" s="7" t="inlineStr">
        <is>
          <t>SAN MIGUEL DE EL FAIQUE</t>
        </is>
      </c>
      <c r="D121" s="7" t="inlineStr">
        <is>
          <t>C1076-Q9585</t>
        </is>
      </c>
      <c r="E121" s="6" t="inlineStr">
        <is>
          <t>M20B1</t>
        </is>
      </c>
      <c r="F121" s="8" t="n">
        <v>279.68</v>
      </c>
      <c r="G121" s="8" t="n">
        <v>641195.58202</v>
      </c>
      <c r="H121" s="8" t="n">
        <v>9398710.10493</v>
      </c>
      <c r="I121" s="14" t="n">
        <v>0.355329</v>
      </c>
    </row>
    <row r="122" ht="15" customHeight="1">
      <c r="A122" s="10" t="n">
        <v>116</v>
      </c>
      <c r="B122" s="11" t="inlineStr">
        <is>
          <t>MORROPON</t>
        </is>
      </c>
      <c r="C122" s="11" t="inlineStr">
        <is>
          <t>SALITRAL</t>
        </is>
      </c>
      <c r="D122" s="11" t="inlineStr">
        <is>
          <t>C1076-Q9581</t>
        </is>
      </c>
      <c r="E122" s="10" t="inlineStr">
        <is>
          <t>M7B1</t>
        </is>
      </c>
      <c r="F122" s="12" t="n">
        <v>130.425</v>
      </c>
      <c r="G122" s="12" t="n">
        <v>629006.268169</v>
      </c>
      <c r="H122" s="12" t="n">
        <v>9407536.176829999</v>
      </c>
      <c r="I122" s="14" t="n">
        <v>0.313647</v>
      </c>
    </row>
    <row r="123" ht="15" customHeight="1">
      <c r="A123" s="6" t="n">
        <v>117</v>
      </c>
      <c r="B123" s="7" t="inlineStr">
        <is>
          <t>MORROPON</t>
        </is>
      </c>
      <c r="C123" s="7" t="inlineStr">
        <is>
          <t>SALITRAL</t>
        </is>
      </c>
      <c r="D123" s="7" t="inlineStr">
        <is>
          <t>C1076-Q9581</t>
        </is>
      </c>
      <c r="E123" s="6" t="inlineStr">
        <is>
          <t>M7B6</t>
        </is>
      </c>
      <c r="F123" s="8" t="n">
        <v>91.285</v>
      </c>
      <c r="G123" s="8" t="n">
        <v>635109.550673</v>
      </c>
      <c r="H123" s="8" t="n">
        <v>9399092.26554</v>
      </c>
      <c r="I123" s="14" t="n">
        <v>0.287833</v>
      </c>
    </row>
    <row r="124" ht="15" customHeight="1">
      <c r="A124" s="10" t="n">
        <v>118</v>
      </c>
      <c r="B124" s="11" t="inlineStr">
        <is>
          <t>MORROPON</t>
        </is>
      </c>
      <c r="C124" s="11" t="inlineStr">
        <is>
          <t>SALITRAL</t>
        </is>
      </c>
      <c r="D124" s="11" t="inlineStr">
        <is>
          <t>C1076-Q9581</t>
        </is>
      </c>
      <c r="E124" s="10" t="inlineStr">
        <is>
          <t>M7B2</t>
        </is>
      </c>
      <c r="F124" s="12" t="n">
        <v>115.379</v>
      </c>
      <c r="G124" s="12" t="n">
        <v>631437.9413450001</v>
      </c>
      <c r="H124" s="12" t="n">
        <v>9403547.452509999</v>
      </c>
      <c r="I124" s="14" t="n">
        <v>0.287689</v>
      </c>
    </row>
    <row r="125" ht="15" customHeight="1">
      <c r="A125" s="6" t="n">
        <v>119</v>
      </c>
      <c r="B125" s="7" t="inlineStr">
        <is>
          <t>MORROPON</t>
        </is>
      </c>
      <c r="C125" s="7" t="inlineStr">
        <is>
          <t>SALITRAL</t>
        </is>
      </c>
      <c r="D125" s="7" t="inlineStr">
        <is>
          <t>C1076-Q9584</t>
        </is>
      </c>
      <c r="E125" s="6" t="inlineStr">
        <is>
          <t>M2B1</t>
        </is>
      </c>
      <c r="F125" s="8" t="n">
        <v>81.795</v>
      </c>
      <c r="G125" s="8" t="n">
        <v>635875.930327</v>
      </c>
      <c r="H125" s="8" t="n">
        <v>9397940.754960001</v>
      </c>
      <c r="I125" s="14" t="n">
        <v>0.29836</v>
      </c>
    </row>
    <row r="126" ht="15" customHeight="1">
      <c r="A126" s="10" t="n">
        <v>120</v>
      </c>
      <c r="B126" s="11" t="inlineStr">
        <is>
          <t>MORROPON</t>
        </is>
      </c>
      <c r="C126" s="11" t="inlineStr">
        <is>
          <t>SALITRAL</t>
        </is>
      </c>
      <c r="D126" s="11" t="inlineStr">
        <is>
          <t>C1076-Q9581</t>
        </is>
      </c>
      <c r="E126" s="10" t="inlineStr">
        <is>
          <t>M7B3</t>
        </is>
      </c>
      <c r="F126" s="12" t="n">
        <v>65.745</v>
      </c>
      <c r="G126" s="12" t="n">
        <v>633232.2998799999</v>
      </c>
      <c r="H126" s="12" t="n">
        <v>9401226.74694</v>
      </c>
      <c r="I126" s="14" t="n">
        <v>0.298017</v>
      </c>
    </row>
    <row r="127" ht="15" customHeight="1">
      <c r="A127" s="6" t="n">
        <v>121</v>
      </c>
      <c r="B127" s="7" t="inlineStr">
        <is>
          <t>MORROPON</t>
        </is>
      </c>
      <c r="C127" s="7" t="inlineStr">
        <is>
          <t>CHULUCANAS</t>
        </is>
      </c>
      <c r="D127" s="7" t="inlineStr">
        <is>
          <t>C1096-Q9557</t>
        </is>
      </c>
      <c r="E127" s="6" t="inlineStr">
        <is>
          <t>M27B1</t>
        </is>
      </c>
      <c r="F127" s="8" t="n">
        <v>448.804</v>
      </c>
      <c r="G127" s="8" t="n">
        <v>593246.376088</v>
      </c>
      <c r="H127" s="8" t="n">
        <v>9430138.843189999</v>
      </c>
      <c r="I127" s="14" t="n">
        <v>0.363228</v>
      </c>
    </row>
    <row r="128" ht="15" customHeight="1">
      <c r="A128" s="10" t="n">
        <v>122</v>
      </c>
      <c r="B128" s="11" t="inlineStr">
        <is>
          <t>MORROPON</t>
        </is>
      </c>
      <c r="C128" s="11" t="inlineStr">
        <is>
          <t>CHULUCANAS</t>
        </is>
      </c>
      <c r="D128" s="11" t="inlineStr">
        <is>
          <t>C1096-Q9545</t>
        </is>
      </c>
      <c r="E128" s="10" t="inlineStr">
        <is>
          <t>M9B1</t>
        </is>
      </c>
      <c r="F128" s="12" t="n">
        <v>355.364</v>
      </c>
      <c r="G128" s="12" t="n">
        <v>595552.122275</v>
      </c>
      <c r="H128" s="12" t="n">
        <v>9451222.2357</v>
      </c>
      <c r="I128" s="14" t="n">
        <v>0.314312</v>
      </c>
    </row>
    <row r="129" ht="15" customHeight="1">
      <c r="A129" s="6" t="n">
        <v>123</v>
      </c>
      <c r="B129" s="7" t="inlineStr">
        <is>
          <t>MORROPON</t>
        </is>
      </c>
      <c r="C129" s="7" t="inlineStr">
        <is>
          <t>SANTO DOMINGO</t>
        </is>
      </c>
      <c r="D129" s="7" t="inlineStr">
        <is>
          <t>C1086-Q9570</t>
        </is>
      </c>
      <c r="E129" s="6" t="inlineStr">
        <is>
          <t>78</t>
        </is>
      </c>
      <c r="F129" s="8" t="n">
        <v>35.1</v>
      </c>
      <c r="G129" s="8" t="n">
        <v>619630.362004</v>
      </c>
      <c r="H129" s="8" t="n">
        <v>9440042.92722</v>
      </c>
      <c r="I129" s="9" t="n">
        <v>0.707402</v>
      </c>
    </row>
    <row r="130" ht="15" customHeight="1">
      <c r="A130" s="10" t="n">
        <v>124</v>
      </c>
      <c r="B130" s="11" t="inlineStr">
        <is>
          <t>HUANCABAMBA</t>
        </is>
      </c>
      <c r="C130" s="11" t="inlineStr">
        <is>
          <t>CANCHAQUE</t>
        </is>
      </c>
      <c r="D130" s="11" t="inlineStr">
        <is>
          <t>C1076-Q9585</t>
        </is>
      </c>
      <c r="E130" s="10" t="inlineStr">
        <is>
          <t>81</t>
        </is>
      </c>
      <c r="F130" s="12" t="n">
        <v>8.929</v>
      </c>
      <c r="G130" s="12" t="n">
        <v>641537.9729469999</v>
      </c>
      <c r="H130" s="12" t="n">
        <v>9401359.75443</v>
      </c>
      <c r="I130" s="14" t="n">
        <v>0.274714</v>
      </c>
    </row>
    <row r="131" ht="18" customHeight="1">
      <c r="A131" s="15" t="inlineStr">
        <is>
          <t>TOTALES / ESTADÍSTICAS</t>
        </is>
      </c>
      <c r="B131" s="16" t="n"/>
      <c r="C131" s="16" t="n"/>
      <c r="D131" s="16" t="n"/>
      <c r="E131" s="16" t="n"/>
      <c r="F131" s="17">
        <f>SUM(F7:F130)</f>
        <v/>
      </c>
      <c r="G131" s="16" t="n"/>
      <c r="H131" s="16" t="n"/>
      <c r="I131" s="18">
        <f>AVERAGE(I7:I130)</f>
        <v/>
      </c>
    </row>
    <row r="132">
      <c r="A132" s="19" t="inlineStr"/>
      <c r="B132" s="19" t="inlineStr"/>
      <c r="C132" s="19" t="inlineStr"/>
      <c r="D132" s="19" t="inlineStr"/>
      <c r="E132" s="20" t="inlineStr">
        <is>
          <t>Mín. área</t>
        </is>
      </c>
      <c r="F132" s="21">
        <f>MAX(F7:F130)</f>
        <v/>
      </c>
      <c r="G132" s="19" t="inlineStr"/>
      <c r="H132" s="19" t="inlineStr"/>
      <c r="I132" s="22">
        <f>MAX(I7:I130)</f>
        <v/>
      </c>
    </row>
    <row r="133">
      <c r="A133" s="23" t="n"/>
      <c r="B133" s="23" t="n"/>
      <c r="C133" s="23" t="n"/>
      <c r="D133" s="23" t="n"/>
      <c r="E133" s="21">
        <f>MIN(F7:F130)</f>
        <v/>
      </c>
      <c r="F133" s="23" t="n"/>
      <c r="G133" s="23" t="n"/>
      <c r="H133" s="23" t="n"/>
      <c r="I133" s="23" t="n"/>
    </row>
    <row r="135">
      <c r="A135" s="24" t="inlineStr">
        <is>
          <t>LEYENDA MSAVI_2024</t>
        </is>
      </c>
    </row>
    <row r="136">
      <c r="A136" s="25" t="n"/>
      <c r="B136" s="26" t="inlineStr">
        <is>
          <t>≥ 0.65 — Cobertura vegetal alta</t>
        </is>
      </c>
    </row>
    <row r="137">
      <c r="A137" s="27" t="n"/>
      <c r="B137" s="26" t="inlineStr">
        <is>
          <t>0.50 – 0.64 — Cobertura vegetal media</t>
        </is>
      </c>
    </row>
    <row r="138">
      <c r="A138" s="28" t="n"/>
      <c r="B138" s="26" t="inlineStr">
        <is>
          <t>&lt; 0.50 — Cobertura vegetal baja / degradada</t>
        </is>
      </c>
    </row>
  </sheetData>
  <mergeCells count="8">
    <mergeCell ref="A4:H4"/>
    <mergeCell ref="A3:H3"/>
    <mergeCell ref="B137:D137"/>
    <mergeCell ref="B136:D136"/>
    <mergeCell ref="A2:H2"/>
    <mergeCell ref="A135:C135"/>
    <mergeCell ref="B138:D13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 ht="18" customHeight="1">
      <c r="A1" s="29" t="inlineStr">
        <is>
          <t>AUTORIDAD NACIONAL DE INFRAESTRUCTURA – ANIN</t>
        </is>
      </c>
    </row>
    <row r="2" ht="14" customHeight="1">
      <c r="A2" s="2" t="inlineStr">
        <is>
          <t>Resumen por Provincia – Reporte Bloques V5 | CUI: 2669244</t>
        </is>
      </c>
    </row>
    <row r="3" ht="28" customHeight="1">
      <c r="A3" s="30" t="inlineStr">
        <is>
          <t>PROVINCIA</t>
        </is>
      </c>
      <c r="B3" s="30" t="inlineStr">
        <is>
          <t>N° BLOQUES</t>
        </is>
      </c>
      <c r="C3" s="30" t="inlineStr">
        <is>
          <t>ÁREA TOTAL (ha)</t>
        </is>
      </c>
      <c r="D3" s="30" t="inlineStr">
        <is>
          <t>MSAVI PROMEDIO</t>
        </is>
      </c>
      <c r="E3" s="30" t="inlineStr">
        <is>
          <t>MSAVI MÍN</t>
        </is>
      </c>
      <c r="F3" s="30" t="inlineStr">
        <is>
          <t>MSAVI MÁX</t>
        </is>
      </c>
    </row>
    <row r="4" ht="15" customHeight="1">
      <c r="A4" s="7" t="inlineStr">
        <is>
          <t>AYABACA</t>
        </is>
      </c>
      <c r="B4" s="31" t="n">
        <v>10</v>
      </c>
      <c r="C4" s="8" t="n">
        <v>1391.704</v>
      </c>
      <c r="D4" s="32" t="n">
        <v>0.553264</v>
      </c>
      <c r="E4" s="32" t="n">
        <v>0.446441</v>
      </c>
      <c r="F4" s="32" t="n">
        <v>0.701601</v>
      </c>
    </row>
    <row r="5" ht="15" customHeight="1">
      <c r="A5" s="11" t="inlineStr">
        <is>
          <t>HUANCABAMBA</t>
        </is>
      </c>
      <c r="B5" s="33" t="n">
        <v>53</v>
      </c>
      <c r="C5" s="12" t="n">
        <v>3686.642</v>
      </c>
      <c r="D5" s="34" t="n">
        <v>0.5567839999999999</v>
      </c>
      <c r="E5" s="34" t="n">
        <v>0.274714</v>
      </c>
      <c r="F5" s="34" t="n">
        <v>0.71923</v>
      </c>
    </row>
    <row r="6" ht="15" customHeight="1">
      <c r="A6" s="7" t="inlineStr">
        <is>
          <t>MORROPON</t>
        </is>
      </c>
      <c r="B6" s="31" t="n">
        <v>61</v>
      </c>
      <c r="C6" s="8" t="n">
        <v>9049.472</v>
      </c>
      <c r="D6" s="32" t="n">
        <v>0.442128</v>
      </c>
      <c r="E6" s="32" t="n">
        <v>0.256543</v>
      </c>
      <c r="F6" s="32" t="n">
        <v>0.724382</v>
      </c>
    </row>
    <row r="7">
      <c r="A7" s="15" t="inlineStr">
        <is>
          <t>TOTAL GENERAL</t>
        </is>
      </c>
      <c r="B7" s="35">
        <f>SUM(B4:B6)</f>
        <v/>
      </c>
      <c r="C7" s="17">
        <f>SUM(C4:C6)</f>
        <v/>
      </c>
      <c r="D7" s="16" t="n"/>
      <c r="E7" s="16" t="n"/>
      <c r="F7" s="16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2026-04-26T01:25:06Z</dcterms:created>
  <dcterms:modified xmlns:dcterms="http://purl.org/dc/terms/" xmlns:xsi="http://www.w3.org/2001/XMLSchema-instance" xsi:type="dcterms:W3CDTF">2026-04-26T01:25:06Z</dcterms:modified>
</cp:coreProperties>
</file>