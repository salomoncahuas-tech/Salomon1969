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AFD4001-DCF9-41F2-A80E-58EA83142B4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F-DT-06" sheetId="6" r:id="rId6"/>
    <sheet name="_Datos" sheetId="7" r:id="rId7"/>
    <sheet name="_Listas" sheetId="8" r:id="rId8"/>
  </sheets>
  <definedNames>
    <definedName name="lst_Accesibilidad">_Listas!$AG$4:$AG$8</definedName>
    <definedName name="lst_ActividadEconomica">_Listas!$AF$4:$AF$11</definedName>
    <definedName name="lst_CalidadAgua">_Listas!$AA$4:$AA$8</definedName>
    <definedName name="lst_ColorSuelo">_Listas!$N$4:$N$9</definedName>
    <definedName name="lst_DensidadCobertura">_Listas!$U$4:$U$8</definedName>
    <definedName name="lst_DistanciaAgua">_Listas!$AB$4:$AB$8</definedName>
    <definedName name="lst_DistanciaCP">_Listas!$AH$4:$AH$8</definedName>
    <definedName name="lst_Drenaje">_Listas!$Q$4:$Q$8</definedName>
    <definedName name="lst_Erosion">_Listas!$R$4:$R$10</definedName>
    <definedName name="lst_EstadoConservacion">_Listas!$V$4:$V$7</definedName>
    <definedName name="lst_EstadoUsoSuelo">_Listas!$X$4:$X$6</definedName>
    <definedName name="lst_Exposicion">_Listas!$D$4:$D$12</definedName>
    <definedName name="lst_FormaTerreno">_Listas!$A$4:$A$8</definedName>
    <definedName name="lst_FuenteAgua">_Listas!$Y$4:$Y$10</definedName>
    <definedName name="lst_Heladas">_Listas!$K$4:$K$7</definedName>
    <definedName name="lst_HumedadRelativa">_Listas!$I$4:$I$8</definedName>
    <definedName name="lst_MateriaOrganica">_Listas!$S$4:$S$7</definedName>
    <definedName name="lst_OrganizacionComunal">_Listas!$AE$4:$AE$7</definedName>
    <definedName name="lst_PaisajeDominante">_Listas!$E$4:$E$9</definedName>
    <definedName name="lst_Pedregosidad">_Listas!$P$4:$P$8</definedName>
    <definedName name="lst_PendienteTerreno">_Listas!$B$4:$B$8</definedName>
    <definedName name="lst_PosicionFisiografica">_Listas!$C$4:$C$11</definedName>
    <definedName name="lst_PrecipitacionAnual">_Listas!$G$4:$G$8</definedName>
    <definedName name="lst_Profundidad">_Listas!$O$4:$O$7</definedName>
    <definedName name="lst_RangoAltitudinal">_Listas!$F$4:$F$10</definedName>
    <definedName name="lst_RegimenHidrico">_Listas!$Z$4:$Z$7</definedName>
    <definedName name="lst_SiNo">_Listas!$AI$4:$AI$5</definedName>
    <definedName name="lst_TemperaturaMedia">_Listas!$H$4:$H$8</definedName>
    <definedName name="lst_TenenciaTierra">_Listas!$AD$4:$AD$9</definedName>
    <definedName name="lst_Textura">_Listas!$M$4:$M$11</definedName>
    <definedName name="lst_TipoCobertura">_Listas!$T$4:$T$12</definedName>
    <definedName name="lst_UsoHidrico">_Listas!$AC$4:$AC$9</definedName>
    <definedName name="lst_UsoSuelo">_Listas!$W$4:$W$11</definedName>
    <definedName name="lst_Vientos">_Listas!$L$4:$L$8</definedName>
    <definedName name="lst_ZonaVida">_Listas!$J$4:$J$15</definedName>
    <definedName name="tbl_Datos">_Datos!$A$2:$D$129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6" l="1"/>
  <c r="B10" i="6"/>
  <c r="B9" i="6"/>
  <c r="B11" i="5"/>
  <c r="B10" i="5"/>
  <c r="B9" i="5"/>
  <c r="B11" i="4"/>
  <c r="B10" i="4"/>
  <c r="B9" i="4"/>
  <c r="B11" i="3"/>
  <c r="B10" i="3"/>
  <c r="B9" i="3"/>
  <c r="B11" i="2"/>
  <c r="B10" i="2"/>
  <c r="B9" i="2"/>
  <c r="B11" i="1"/>
  <c r="B10" i="1"/>
  <c r="B9" i="1"/>
</calcChain>
</file>

<file path=xl/sharedStrings.xml><?xml version="1.0" encoding="utf-8"?>
<sst xmlns="http://schemas.openxmlformats.org/spreadsheetml/2006/main" count="866" uniqueCount="467">
  <si>
    <t>AUTORIDAD NACIONAL DE INFRAESTRUCTURA — ANIN | DIME — SESDI</t>
  </si>
  <si>
    <t>F-DT-01: CARACTERÍSTICAS FISIOGRÁFICAS</t>
  </si>
  <si>
    <t>PROYECTO IN PIURA — CUI 2669244 | Complete las celdas color naranja. Las celdas grises se autocompletan al escribir el Código de Bloque.</t>
  </si>
  <si>
    <t>DATOS GENERALES</t>
  </si>
  <si>
    <t>Fecha (DD-MM-AAAA)</t>
  </si>
  <si>
    <t>Evaluador / Especialista</t>
  </si>
  <si>
    <t>Código de Bloque</t>
  </si>
  <si>
    <t>Microcuenca (auto)</t>
  </si>
  <si>
    <t>Provincia (auto)</t>
  </si>
  <si>
    <t>Distrito (auto)</t>
  </si>
  <si>
    <t>PARÁMETROS DE EVALUACIÓN</t>
  </si>
  <si>
    <t>Forma del terreno</t>
  </si>
  <si>
    <t>Pendiente del terreno</t>
  </si>
  <si>
    <t>Posición fisiográfica</t>
  </si>
  <si>
    <t>Exposición / Orientación</t>
  </si>
  <si>
    <t>Paisaje dominante</t>
  </si>
  <si>
    <t>Rango altitudinal</t>
  </si>
  <si>
    <t>OBSERVACIONES</t>
  </si>
  <si>
    <t>F-DT-02: CONDICIONES CLIMÁTICAS</t>
  </si>
  <si>
    <t>Precipitación anual estimada</t>
  </si>
  <si>
    <t>Temperatura media anual</t>
  </si>
  <si>
    <t>Humedad relativa</t>
  </si>
  <si>
    <t>Zona de vida (Holdridge)</t>
  </si>
  <si>
    <t>Presencia de heladas</t>
  </si>
  <si>
    <t>Régimen de vientos</t>
  </si>
  <si>
    <t>F-DT-03: CARACTERÍSTICAS DEL SUELO (Observación de campo)</t>
  </si>
  <si>
    <t>Textura al tacto</t>
  </si>
  <si>
    <t>Color predominante del suelo</t>
  </si>
  <si>
    <t>Profundidad efectiva</t>
  </si>
  <si>
    <t>Pedregosidad superficial</t>
  </si>
  <si>
    <t>Drenaje</t>
  </si>
  <si>
    <t>Presencia de erosión</t>
  </si>
  <si>
    <t>Materia orgánica (estim. visual)</t>
  </si>
  <si>
    <t>F-DT-04: COBERTURA VEGETAL Y USO DEL SUELO</t>
  </si>
  <si>
    <t>Tipo de cobertura vegetal</t>
  </si>
  <si>
    <t>Densidad de cobertura</t>
  </si>
  <si>
    <t>Estado de conservación</t>
  </si>
  <si>
    <t>Uso actual del suelo</t>
  </si>
  <si>
    <t>Estado de uso del suelo</t>
  </si>
  <si>
    <t>F-DT-05: RECURSOS HÍDRICOS</t>
  </si>
  <si>
    <t>Fuente de agua más cercana</t>
  </si>
  <si>
    <t>Régimen hídrico</t>
  </si>
  <si>
    <t>Calidad aparente del agua</t>
  </si>
  <si>
    <t>Distancia a fuente de agua</t>
  </si>
  <si>
    <t>Uso del recurso hídrico</t>
  </si>
  <si>
    <t>F-DT-06: ASPECTOS SOCIOECONÓMICOS Y ACCESIBILIDAD</t>
  </si>
  <si>
    <t>Tenencia de la tierra</t>
  </si>
  <si>
    <t>Organización comunal</t>
  </si>
  <si>
    <t>Actividad económica principal</t>
  </si>
  <si>
    <t>Accesibilidad (vía principal)</t>
  </si>
  <si>
    <t>Distancia al centro poblado</t>
  </si>
  <si>
    <t>Servicios básicos disponibles (marque Sí/No para cada servicio)</t>
  </si>
  <si>
    <t>Servicio: Agua potable</t>
  </si>
  <si>
    <t>Servicio: Electricidad</t>
  </si>
  <si>
    <t>Servicio: Telecomunicaciones / Internet</t>
  </si>
  <si>
    <t>Servicio: Puesto de salud</t>
  </si>
  <si>
    <t>Servicio: Escuela / IE</t>
  </si>
  <si>
    <t>Codigo</t>
  </si>
  <si>
    <t>Microcuenca</t>
  </si>
  <si>
    <t>Provincia</t>
  </si>
  <si>
    <t>Distrito</t>
  </si>
  <si>
    <t>1</t>
  </si>
  <si>
    <t>C1076-Q9584</t>
  </si>
  <si>
    <t>Morropon</t>
  </si>
  <si>
    <t>Salitral</t>
  </si>
  <si>
    <t>2</t>
  </si>
  <si>
    <t>C1096-Q9558</t>
  </si>
  <si>
    <t>Chulucanas</t>
  </si>
  <si>
    <t>3</t>
  </si>
  <si>
    <t>C1096-Q9545</t>
  </si>
  <si>
    <t>Ayabaca</t>
  </si>
  <si>
    <t>Frias</t>
  </si>
  <si>
    <t>4</t>
  </si>
  <si>
    <t>C1076-Q9588</t>
  </si>
  <si>
    <t>Huancabamba</t>
  </si>
  <si>
    <t>Huarmaca</t>
  </si>
  <si>
    <t>5</t>
  </si>
  <si>
    <t>C1077-Q9566</t>
  </si>
  <si>
    <t>Buenos Aires</t>
  </si>
  <si>
    <t>6</t>
  </si>
  <si>
    <t>C1096-Q9547</t>
  </si>
  <si>
    <t>7</t>
  </si>
  <si>
    <t>8</t>
  </si>
  <si>
    <t>C1076-Q9593</t>
  </si>
  <si>
    <t>9</t>
  </si>
  <si>
    <t>C1076-Q9586</t>
  </si>
  <si>
    <t>San Miguel de El Faique</t>
  </si>
  <si>
    <t>10</t>
  </si>
  <si>
    <t>11</t>
  </si>
  <si>
    <t>C1086-Q9570</t>
  </si>
  <si>
    <t>Santo Domingo</t>
  </si>
  <si>
    <t>12</t>
  </si>
  <si>
    <t>13</t>
  </si>
  <si>
    <t>C1096-Q9564</t>
  </si>
  <si>
    <t>14</t>
  </si>
  <si>
    <t>Santa Catalina de Mossa</t>
  </si>
  <si>
    <t>15</t>
  </si>
  <si>
    <t>16</t>
  </si>
  <si>
    <t>17</t>
  </si>
  <si>
    <t>18</t>
  </si>
  <si>
    <t>C1076-Q9592</t>
  </si>
  <si>
    <t>19</t>
  </si>
  <si>
    <t>20</t>
  </si>
  <si>
    <t>21</t>
  </si>
  <si>
    <t>C1081-Q9591</t>
  </si>
  <si>
    <t>Canchaque</t>
  </si>
  <si>
    <t>22</t>
  </si>
  <si>
    <t>C1096-Q9556</t>
  </si>
  <si>
    <t>23</t>
  </si>
  <si>
    <t>24</t>
  </si>
  <si>
    <t>C1081-Q9583</t>
  </si>
  <si>
    <t>25</t>
  </si>
  <si>
    <t>26</t>
  </si>
  <si>
    <t>Lalaquiz</t>
  </si>
  <si>
    <t>27</t>
  </si>
  <si>
    <t>28</t>
  </si>
  <si>
    <t>29</t>
  </si>
  <si>
    <t>30</t>
  </si>
  <si>
    <t>31</t>
  </si>
  <si>
    <t>32</t>
  </si>
  <si>
    <t>33</t>
  </si>
  <si>
    <t>C1081-Q9590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</si>
  <si>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</si>
  <si>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</si>
  <si>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</si>
  <si>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</si>
  <si>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</si>
  <si>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</si>
  <si>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</si>
  <si>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</si>
  <si>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</si>
  <si>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</si>
  <si>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</si>
  <si>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</si>
  <si>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</si>
  <si>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C1086-Q9575</t>
  </si>
  <si>
    <t>Yamango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</si>
  <si>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</si>
  <si>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</si>
  <si>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</si>
  <si>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</si>
  <si>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</si>
  <si>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</si>
  <si>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</si>
  <si>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</si>
  <si>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</si>
  <si>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</si>
  <si>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</si>
  <si>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C1086-Q9576</t>
  </si>
  <si>
    <t>Chalaco</t>
  </si>
  <si>
    <t>58</t>
  </si>
  <si>
    <t>C1086-Q9569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</si>
  <si>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</si>
  <si>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</si>
  <si>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</si>
  <si>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</si>
  <si>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</si>
  <si>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</si>
  <si>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</si>
  <si>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</si>
  <si>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</si>
  <si>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</si>
  <si>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</si>
  <si>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</si>
  <si>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</si>
  <si>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</si>
  <si>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</si>
  <si>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</si>
  <si>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</si>
  <si>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C1076-Q9587</t>
  </si>
  <si>
    <t>76</t>
  </si>
  <si>
    <t>77</t>
  </si>
  <si>
    <t>San Juan de Bigote</t>
  </si>
  <si>
    <t>78</t>
  </si>
  <si>
    <t>79</t>
  </si>
  <si>
    <t>80</t>
  </si>
  <si>
    <t>81</t>
  </si>
  <si>
    <t>C1076-Q9585</t>
  </si>
  <si>
    <t>82</t>
  </si>
  <si>
    <t>M1B1</t>
  </si>
  <si>
    <t>C1077-Q9580</t>
  </si>
  <si>
    <t>M2B1</t>
  </si>
  <si>
    <t>M2B5</t>
  </si>
  <si>
    <t>M2B8</t>
  </si>
  <si>
    <t>M3B1</t>
  </si>
  <si>
    <t>C1081-Q9582</t>
  </si>
  <si>
    <t>M3B3</t>
  </si>
  <si>
    <t>M3B5</t>
  </si>
  <si>
    <t>M3B6</t>
  </si>
  <si>
    <t>M3B7</t>
  </si>
  <si>
    <t>M3B8</t>
  </si>
  <si>
    <t>M3B9</t>
  </si>
  <si>
    <t>M4B3</t>
  </si>
  <si>
    <t>C1076-Q9589</t>
  </si>
  <si>
    <t>M4B4</t>
  </si>
  <si>
    <t>M6B2-1</t>
  </si>
  <si>
    <t>M6B2-2</t>
  </si>
  <si>
    <t>M6B2-3</t>
  </si>
  <si>
    <t>M6B10</t>
  </si>
  <si>
    <t>M7B1</t>
  </si>
  <si>
    <t>C1076-Q9581</t>
  </si>
  <si>
    <t>M7B2</t>
  </si>
  <si>
    <t>M7B3</t>
  </si>
  <si>
    <t>M7B6</t>
  </si>
  <si>
    <t>M8B2</t>
  </si>
  <si>
    <t>M9B1</t>
  </si>
  <si>
    <t>M10B4</t>
  </si>
  <si>
    <t>M11B3</t>
  </si>
  <si>
    <t>M12B1</t>
  </si>
  <si>
    <t>M17B1</t>
  </si>
  <si>
    <t>M17B4</t>
  </si>
  <si>
    <t>M17B5</t>
  </si>
  <si>
    <t>M17B6</t>
  </si>
  <si>
    <t>M17B7</t>
  </si>
  <si>
    <t>M17B10</t>
  </si>
  <si>
    <t>M18B1</t>
  </si>
  <si>
    <t>C1077-Q9579</t>
  </si>
  <si>
    <t>M18B3</t>
  </si>
  <si>
    <t>M18B5</t>
  </si>
  <si>
    <t>M19B2</t>
  </si>
  <si>
    <t>M19B7</t>
  </si>
  <si>
    <t>M20B1</t>
  </si>
  <si>
    <t>M22B1</t>
  </si>
  <si>
    <t>M27B1</t>
  </si>
  <si>
    <t>C1096-Q9557</t>
  </si>
  <si>
    <t>M28B2</t>
  </si>
  <si>
    <t>M28B3</t>
  </si>
  <si>
    <t>M28B4</t>
  </si>
  <si>
    <t>M30B5</t>
  </si>
  <si>
    <t>M32B3</t>
  </si>
  <si>
    <t>M36B2</t>
  </si>
  <si>
    <t>Listas de opciones para validación de datos — IN Piura</t>
  </si>
  <si>
    <t>lst_FormaTerreno</t>
  </si>
  <si>
    <t>lst_PendienteTerreno</t>
  </si>
  <si>
    <t>lst_PosicionFisiografica</t>
  </si>
  <si>
    <t>lst_Exposicion</t>
  </si>
  <si>
    <t>lst_PaisajeDominante</t>
  </si>
  <si>
    <t>lst_RangoAltitudinal</t>
  </si>
  <si>
    <t>lst_PrecipitacionAnual</t>
  </si>
  <si>
    <t>lst_TemperaturaMedia</t>
  </si>
  <si>
    <t>lst_HumedadRelativa</t>
  </si>
  <si>
    <t>lst_ZonaVida</t>
  </si>
  <si>
    <t>lst_Heladas</t>
  </si>
  <si>
    <t>lst_Vientos</t>
  </si>
  <si>
    <t>lst_Textura</t>
  </si>
  <si>
    <t>lst_ColorSuelo</t>
  </si>
  <si>
    <t>lst_Profundidad</t>
  </si>
  <si>
    <t>lst_Pedregosidad</t>
  </si>
  <si>
    <t>lst_Drenaje</t>
  </si>
  <si>
    <t>lst_Erosion</t>
  </si>
  <si>
    <t>lst_MateriaOrganica</t>
  </si>
  <si>
    <t>lst_TipoCobertura</t>
  </si>
  <si>
    <t>lst_DensidadCobertura</t>
  </si>
  <si>
    <t>lst_EstadoConservacion</t>
  </si>
  <si>
    <t>lst_UsoSuelo</t>
  </si>
  <si>
    <t>lst_EstadoUsoSuelo</t>
  </si>
  <si>
    <t>lst_FuenteAgua</t>
  </si>
  <si>
    <t>lst_RegimenHidrico</t>
  </si>
  <si>
    <t>lst_CalidadAgua</t>
  </si>
  <si>
    <t>lst_DistanciaAgua</t>
  </si>
  <si>
    <t>lst_UsoHidrico</t>
  </si>
  <si>
    <t>lst_TenenciaTierra</t>
  </si>
  <si>
    <t>lst_OrganizacionComunal</t>
  </si>
  <si>
    <t>lst_ActividadEconomica</t>
  </si>
  <si>
    <t>lst_Accesibilidad</t>
  </si>
  <si>
    <t>lst_DistanciaCP</t>
  </si>
  <si>
    <t>lst_SiNo</t>
  </si>
  <si>
    <t>Plano (0-2%)</t>
  </si>
  <si>
    <t>0-5% (Plano a ligeramente inclinado)</t>
  </si>
  <si>
    <t>Cima / Cresta</t>
  </si>
  <si>
    <t>Norte (N)</t>
  </si>
  <si>
    <t>Montaña</t>
  </si>
  <si>
    <t>&lt;500 msnm</t>
  </si>
  <si>
    <t>&lt;250 mm/año (Muy seco / Árido)</t>
  </si>
  <si>
    <t>&lt;5 °C (Muy frío / Gélido)</t>
  </si>
  <si>
    <t>Muy baja (&lt;30%)</t>
  </si>
  <si>
    <t>Desierto superárido</t>
  </si>
  <si>
    <t>Frecuente (&gt;30 días/año)</t>
  </si>
  <si>
    <t>Calmo (&lt;2 m/s)</t>
  </si>
  <si>
    <t>Arenoso</t>
  </si>
  <si>
    <t>Negro / Muy oscuro</t>
  </si>
  <si>
    <t>Muy superficial (&lt;25 cm)</t>
  </si>
  <si>
    <t>Sin piedras (0%)</t>
  </si>
  <si>
    <t>Excesivo (suelo muy arenoso, seca rápido)</t>
  </si>
  <si>
    <t>Sin erosión aparente</t>
  </si>
  <si>
    <t>Muy baja (suelo claro, sin restos orgánicos)</t>
  </si>
  <si>
    <t>Bosque denso (natural)</t>
  </si>
  <si>
    <t>Muy rala (&lt;10%)</t>
  </si>
  <si>
    <t>Bueno (sin intervención significativa)</t>
  </si>
  <si>
    <t>Forestal / Protección</t>
  </si>
  <si>
    <t>Sin conflicto (uso adecuado a capacidad)</t>
  </si>
  <si>
    <t>Río permanente</t>
  </si>
  <si>
    <t>Permanente (flujo todo el año)</t>
  </si>
  <si>
    <t>Buena (clara, sin olor, sin sedimentos)</t>
  </si>
  <si>
    <t>&lt;100 m</t>
  </si>
  <si>
    <t>Consumo humano</t>
  </si>
  <si>
    <t>Comunal (comunidad campesina)</t>
  </si>
  <si>
    <t>Bien organizada (junta directiva activa, asambleas regulares)</t>
  </si>
  <si>
    <t>Agricultura de subsistencia</t>
  </si>
  <si>
    <t>Carretera asfaltada (acceso permanente)</t>
  </si>
  <si>
    <t>&lt;1 km</t>
  </si>
  <si>
    <t>Sí</t>
  </si>
  <si>
    <t>Ondulado (2-8%)</t>
  </si>
  <si>
    <t>5-15% (Ligeramente inclinado a moderadamente empinado)</t>
  </si>
  <si>
    <t>Ladera superior (tercio superior)</t>
  </si>
  <si>
    <t>Sur (S)</t>
  </si>
  <si>
    <t>Colina</t>
  </si>
  <si>
    <t>500-1500 msnm</t>
  </si>
  <si>
    <t>250-500 mm/año (Seco / Semiárido)</t>
  </si>
  <si>
    <t>5-12 °C (Frío)</t>
  </si>
  <si>
    <t>Baja (30-50%)</t>
  </si>
  <si>
    <t>Desierto árido</t>
  </si>
  <si>
    <t>Ocasional (10-30 días/año)</t>
  </si>
  <si>
    <t>Suave (2-4 m/s)</t>
  </si>
  <si>
    <t>Franco arenoso</t>
  </si>
  <si>
    <t>Pardo oscuro</t>
  </si>
  <si>
    <t>Superficial (25-50 cm)</t>
  </si>
  <si>
    <t>Pocas piedras (0-15%)</t>
  </si>
  <si>
    <t>Bueno (suelo drena adecuadamente)</t>
  </si>
  <si>
    <t>Erosión laminar leve</t>
  </si>
  <si>
    <t>Baja (pocos restos, suelo claro)</t>
  </si>
  <si>
    <t>Bosque ralo / Abierto</t>
  </si>
  <si>
    <t>Rala (10-25%)</t>
  </si>
  <si>
    <t>Regular (intervención parcial)</t>
  </si>
  <si>
    <t>Agrícola (secano)</t>
  </si>
  <si>
    <t>Sobreuso severo</t>
  </si>
  <si>
    <t>Quebrada / Riachuelo</t>
  </si>
  <si>
    <t>Estacional (flujo en temporada de lluvias)</t>
  </si>
  <si>
    <t>Regular (ligeramente turbia o con sedimentos)</t>
  </si>
  <si>
    <t>100-500 m</t>
  </si>
  <si>
    <t>Riego agrícola</t>
  </si>
  <si>
    <t>Privada individual (con título)</t>
  </si>
  <si>
    <t>Moderadamente organizada (funcional pero irregular)</t>
  </si>
  <si>
    <t>Agricultura comercial</t>
  </si>
  <si>
    <t>Carretera afirmada (acceso con restricciones en lluvia)</t>
  </si>
  <si>
    <t>1-5 km</t>
  </si>
  <si>
    <t>No</t>
  </si>
  <si>
    <t>Colinado (8-25%)</t>
  </si>
  <si>
    <t>15-25% (Moderadamente empinado)</t>
  </si>
  <si>
    <t>Ladera media (tercio medio)</t>
  </si>
  <si>
    <t>Este (E)</t>
  </si>
  <si>
    <t>Piedemonte</t>
  </si>
  <si>
    <t>1500-2000 msnm</t>
  </si>
  <si>
    <t>500-1000 mm/año (Sub-húmedo)</t>
  </si>
  <si>
    <t>12-18 °C (Templado)</t>
  </si>
  <si>
    <t>Media (50-70%)</t>
  </si>
  <si>
    <t>Matorral desértico</t>
  </si>
  <si>
    <t>Rara (&lt;10 días/año)</t>
  </si>
  <si>
    <t>Moderado (4-8 m/s)</t>
  </si>
  <si>
    <t>Franco</t>
  </si>
  <si>
    <t>Pardo / Marrón</t>
  </si>
  <si>
    <t>Moderadamente profundo (50-100 cm)</t>
  </si>
  <si>
    <t>Frecuentes (15-35%)</t>
  </si>
  <si>
    <t>Moderado (drena con cierta lentitud)</t>
  </si>
  <si>
    <t>Erosión laminar moderada a severa</t>
  </si>
  <si>
    <t>Media (presencia moderada de restos orgánicos)</t>
  </si>
  <si>
    <t>Matorral / Arbustal</t>
  </si>
  <si>
    <t>Abierta (25-50%)</t>
  </si>
  <si>
    <t>Degradado (intervención severa, con regeneración)</t>
  </si>
  <si>
    <t>Agrícola (bajo riego)</t>
  </si>
  <si>
    <t>Subuso (capacidad no aprovechada)</t>
  </si>
  <si>
    <t>Manantial / Puquio</t>
  </si>
  <si>
    <t>Temporal / Efímero (solo con eventos de lluvia)</t>
  </si>
  <si>
    <t>Mala (turbia, con olor, con color)</t>
  </si>
  <si>
    <t>500-1000 m</t>
  </si>
  <si>
    <t>Pecuario / Abrevadero</t>
  </si>
  <si>
    <t>Privada individual (sin título / posesionario)</t>
  </si>
  <si>
    <t>Débilmente organizada (directiva nominal, poca participación)</t>
  </si>
  <si>
    <t>Ganadería extensiva</t>
  </si>
  <si>
    <t>Trocha carrozable (acceso limitado)</t>
  </si>
  <si>
    <t>5-10 km</t>
  </si>
  <si>
    <t>Montañoso (25-50%)</t>
  </si>
  <si>
    <t>25-50% (Empinado)</t>
  </si>
  <si>
    <t>Ladera inferior (tercio inferior)</t>
  </si>
  <si>
    <t>Oeste (O)</t>
  </si>
  <si>
    <t>Planicie / Llanura</t>
  </si>
  <si>
    <t>2000-2500 msnm</t>
  </si>
  <si>
    <t>1000-2000 mm/año (Húmedo / Lluvioso)</t>
  </si>
  <si>
    <t>18-24 °C (Cálido / Semicálido)</t>
  </si>
  <si>
    <t>Alta (70-85%)</t>
  </si>
  <si>
    <t>Monte espinoso</t>
  </si>
  <si>
    <t>Ausente</t>
  </si>
  <si>
    <t>Fuerte (8-14 m/s)</t>
  </si>
  <si>
    <t>Franco limoso</t>
  </si>
  <si>
    <t>Pardo claro / Amarillento</t>
  </si>
  <si>
    <t>Profundo (&gt;100 cm)</t>
  </si>
  <si>
    <t>Abundantes (35-60%)</t>
  </si>
  <si>
    <t>Imperfecto (retiene humedad excesiva)</t>
  </si>
  <si>
    <t>Erosión en surcos</t>
  </si>
  <si>
    <t>Alta (suelo oscuro, abundantes restos orgánicos)</t>
  </si>
  <si>
    <t>Pastizal / Herbazal / Pajonal</t>
  </si>
  <si>
    <t>Semicerrada (50-75%)</t>
  </si>
  <si>
    <t>Muy degradado (sin regeneración natural evidente)</t>
  </si>
  <si>
    <t>Pecuario / Pastoreo</t>
  </si>
  <si>
    <t>Laguna / Reservorio</t>
  </si>
  <si>
    <t>Sin escurrimiento superficial</t>
  </si>
  <si>
    <t>Muy mala (contaminación evidente)</t>
  </si>
  <si>
    <t>Piscícola</t>
  </si>
  <si>
    <t>Estatal / Fiscal</t>
  </si>
  <si>
    <t>Sin organización comunitaria identificada</t>
  </si>
  <si>
    <t>Ganadería intensiva</t>
  </si>
  <si>
    <t>Camino de herradura (solo a pie o acémila)</t>
  </si>
  <si>
    <t>10-20 km</t>
  </si>
  <si>
    <t>Escarpado (&gt;50%)</t>
  </si>
  <si>
    <t>&gt;50% (Muy empinado a extremadamente empinado)</t>
  </si>
  <si>
    <t>Pie de ladera / Base</t>
  </si>
  <si>
    <t>Noreste (NE)</t>
  </si>
  <si>
    <t>Valle interandino</t>
  </si>
  <si>
    <t>2500-3000 msnm</t>
  </si>
  <si>
    <t>&gt;2000 mm/año (Muy húmedo / Pluvial)</t>
  </si>
  <si>
    <t>&gt;24 °C (Muy cálido / Tropical)</t>
  </si>
  <si>
    <t>Muy alta (&gt;85%)</t>
  </si>
  <si>
    <t>Bosque seco</t>
  </si>
  <si>
    <t>Muy fuerte (&gt;14 m/s)</t>
  </si>
  <si>
    <t>Franco arcilloso</t>
  </si>
  <si>
    <t>Rojizo / Rojo amarillento</t>
  </si>
  <si>
    <t>Muy pedregoso (&gt;60%)</t>
  </si>
  <si>
    <t>Pobre / Muy pobre (encharcamiento frecuente)</t>
  </si>
  <si>
    <t>Erosión en cárcavas</t>
  </si>
  <si>
    <t>Cultivo agrícola</t>
  </si>
  <si>
    <t>Cerrada (&gt;75%)</t>
  </si>
  <si>
    <t>Agrosilvopastoril</t>
  </si>
  <si>
    <t>Canal de riego</t>
  </si>
  <si>
    <t>No evaluable (sin fuente de agua accesible)</t>
  </si>
  <si>
    <t>&gt;5 km</t>
  </si>
  <si>
    <t>Uso múltiple</t>
  </si>
  <si>
    <t>Mixta (comunal + privada)</t>
  </si>
  <si>
    <t>Actividad forestal / Extracción</t>
  </si>
  <si>
    <t>Sin acceso vehicular (zona remota)</t>
  </si>
  <si>
    <t>&gt;20 km</t>
  </si>
  <si>
    <t>Fondo de valle</t>
  </si>
  <si>
    <t>Noroeste (NO)</t>
  </si>
  <si>
    <t>Terraza aluvial</t>
  </si>
  <si>
    <t>3000-3500 msnm</t>
  </si>
  <si>
    <t>Bosque húmedo premontano</t>
  </si>
  <si>
    <t>Franco arcillo arenoso</t>
  </si>
  <si>
    <t>Gris / Gris claro</t>
  </si>
  <si>
    <t>Erosión mixta (laminar + surcos/cárcavas)</t>
  </si>
  <si>
    <t>Plantación forestal</t>
  </si>
  <si>
    <t>Minero</t>
  </si>
  <si>
    <t>Agua subterránea (pozo)</t>
  </si>
  <si>
    <t>Sin uso actual</t>
  </si>
  <si>
    <t>Sin información</t>
  </si>
  <si>
    <t>Minería artesanal</t>
  </si>
  <si>
    <t>Terraza fluvial</t>
  </si>
  <si>
    <t>Sureste (SE)</t>
  </si>
  <si>
    <t>&gt;3500 msnm</t>
  </si>
  <si>
    <t>Bosque húmedo montano bajo</t>
  </si>
  <si>
    <t>Arcilloso</t>
  </si>
  <si>
    <t>Movimientos en masa (deslizamientos)</t>
  </si>
  <si>
    <t>Suelo desnudo / Eriazo</t>
  </si>
  <si>
    <t>Sin uso / En abandono</t>
  </si>
  <si>
    <t>Ninguna visible en el área</t>
  </si>
  <si>
    <t>Comercio / Servicios</t>
  </si>
  <si>
    <t>Llanura</t>
  </si>
  <si>
    <t>Suroeste (SO)</t>
  </si>
  <si>
    <t>Bosque húmedo montano</t>
  </si>
  <si>
    <t>Limoso</t>
  </si>
  <si>
    <t>Vegetación ribereña</t>
  </si>
  <si>
    <t>Conservación / Área protegida</t>
  </si>
  <si>
    <t>Mixta (agropecuaria)</t>
  </si>
  <si>
    <t>Variable / Sin predominancia</t>
  </si>
  <si>
    <t>Bosque muy húmedo premontano</t>
  </si>
  <si>
    <t>Área urbana / Infraestructura</t>
  </si>
  <si>
    <t>Bosque muy húmedo montano</t>
  </si>
  <si>
    <t>Páramo / Jalca</t>
  </si>
  <si>
    <t>Puna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</si>
</sst>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b/>
      <sz val="10"/>
      <color rgb="FF1B4D2E"/>
      <name val="Arial"/>
      <charset val="1"/>
    </font>
    <font>
      <b/>
      <sz val="11"/>
      <color rgb="FF1B4D2E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EEF2F5"/>
      </patternFill>
    </fill>
    <fill>
      <patternFill patternType="solid">
        <fgColor rgb="FFEEF2F5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9" fillId="0" borderId="0" xfId="0" applyFont="1"/>
    <xf numFmtId="0" fontId="8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EEF2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B4D2E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zoomScaleNormal="100" workbookViewId="0">
      <pane ySplit="5" topLeftCell="A6" activePane="bottomLeft" state="frozen"/>
      <selection pane="bottomLeft" activeCell="B8" sqref="B8:H8"/>
    </sheetView>
  </sheetViews>
  <sheetFormatPr baseColWidth="10" defaultColWidth="8.6640625" defaultRowHeight="14.4" x14ac:dyDescent="0.3"/>
  <cols>
    <col min="1" max="1" width="38" customWidth="1"/>
    <col min="2" max="8" width="14" customWidth="1"/>
  </cols>
  <sheetData>
    <row r="1" spans="1:8" ht="25.5" customHeight="1" x14ac:dyDescent="0.3">
      <c r="A1" s="9" t="s">
        <v>0</v>
      </c>
      <c r="B1" s="9"/>
      <c r="C1" s="9"/>
      <c r="D1" s="9"/>
      <c r="E1" s="9"/>
      <c r="F1" s="9"/>
      <c r="G1" s="9"/>
      <c r="H1" s="9"/>
    </row>
    <row r="2" spans="1:8" ht="21.75" customHeight="1" x14ac:dyDescent="0.3">
      <c r="A2" s="8" t="s">
        <v>1</v>
      </c>
      <c r="B2" s="8"/>
      <c r="C2" s="8"/>
      <c r="D2" s="8"/>
      <c r="E2" s="8"/>
      <c r="F2" s="8"/>
      <c r="G2" s="8"/>
      <c r="H2" s="8"/>
    </row>
    <row r="3" spans="1:8" ht="18" customHeight="1" x14ac:dyDescent="0.3">
      <c r="A3" s="7" t="s">
        <v>2</v>
      </c>
      <c r="B3" s="7"/>
      <c r="C3" s="7"/>
      <c r="D3" s="7"/>
      <c r="E3" s="7"/>
      <c r="F3" s="7"/>
      <c r="G3" s="7"/>
      <c r="H3" s="7"/>
    </row>
    <row r="5" spans="1:8" ht="15" customHeight="1" x14ac:dyDescent="0.3">
      <c r="A5" s="6" t="s">
        <v>3</v>
      </c>
      <c r="B5" s="6"/>
      <c r="C5" s="6"/>
      <c r="D5" s="6"/>
      <c r="E5" s="6"/>
      <c r="F5" s="6"/>
      <c r="G5" s="6"/>
      <c r="H5" s="6"/>
    </row>
    <row r="6" spans="1:8" ht="19.5" customHeight="1" x14ac:dyDescent="0.3">
      <c r="A6" s="10" t="s">
        <v>4</v>
      </c>
      <c r="B6" s="5"/>
      <c r="C6" s="5"/>
      <c r="D6" s="5"/>
      <c r="E6" s="5"/>
      <c r="F6" s="5"/>
      <c r="G6" s="5"/>
      <c r="H6" s="5"/>
    </row>
    <row r="7" spans="1:8" ht="19.5" customHeight="1" x14ac:dyDescent="0.3">
      <c r="A7" s="10" t="s">
        <v>5</v>
      </c>
      <c r="B7" s="5"/>
      <c r="C7" s="5"/>
      <c r="D7" s="5"/>
      <c r="E7" s="5"/>
      <c r="F7" s="5"/>
      <c r="G7" s="5"/>
      <c r="H7" s="5"/>
    </row>
    <row r="8" spans="1:8" ht="19.5" customHeight="1" x14ac:dyDescent="0.3">
      <c r="A8" s="10" t="s">
        <v>6</v>
      </c>
      <c r="B8" s="5" t="s">
        <v>81</v>
      </c>
      <c r="C8" s="5"/>
      <c r="D8" s="5"/>
      <c r="E8" s="5"/>
      <c r="F8" s="5"/>
      <c r="G8" s="5"/>
      <c r="H8" s="5"/>
    </row>
    <row r="9" spans="1:8" ht="19.5" customHeight="1" x14ac:dyDescent="0.3">
      <c r="A9" s="10" t="s">
        <v>7</v>
      </c>
      <c r="B9" s="4" t="str">
        <f>IFERROR(VLOOKUP($B$8,tbl_Datos,2,FALSE()),"")</f>
        <v>C1076-Q9584</v>
      </c>
      <c r="C9" s="4"/>
      <c r="D9" s="4"/>
      <c r="E9" s="4"/>
      <c r="F9" s="4"/>
      <c r="G9" s="4"/>
      <c r="H9" s="4"/>
    </row>
    <row r="10" spans="1:8" ht="19.5" customHeight="1" x14ac:dyDescent="0.3">
      <c r="A10" s="10" t="s">
        <v>8</v>
      </c>
      <c r="B10" s="4" t="str">
        <f>IFERROR(VLOOKUP($B$8,tbl_Datos,3,FALSE()),"")</f>
        <v>Morropon</v>
      </c>
      <c r="C10" s="4"/>
      <c r="D10" s="4"/>
      <c r="E10" s="4"/>
      <c r="F10" s="4"/>
      <c r="G10" s="4"/>
      <c r="H10" s="4"/>
    </row>
    <row r="11" spans="1:8" ht="19.5" customHeight="1" x14ac:dyDescent="0.3">
      <c r="A11" s="10" t="s">
        <v>9</v>
      </c>
      <c r="B11" s="4" t="str">
        <f>IFERROR(VLOOKUP($B$8,tbl_Datos,4,FALSE()),"")</f>
        <v>Salitral</v>
      </c>
      <c r="C11" s="4"/>
      <c r="D11" s="4"/>
      <c r="E11" s="4"/>
      <c r="F11" s="4"/>
      <c r="G11" s="4"/>
      <c r="H11" s="4"/>
    </row>
    <row r="13" spans="1:8" ht="15" customHeight="1" x14ac:dyDescent="0.3">
      <c r="A13" s="6" t="s">
        <v>10</v>
      </c>
      <c r="B13" s="6"/>
      <c r="C13" s="6"/>
      <c r="D13" s="6"/>
      <c r="E13" s="6"/>
      <c r="F13" s="6"/>
      <c r="G13" s="6"/>
      <c r="H13" s="6"/>
    </row>
    <row r="14" spans="1:8" ht="21.75" customHeight="1" x14ac:dyDescent="0.3">
      <c r="A14" s="10" t="s">
        <v>11</v>
      </c>
      <c r="B14" s="5"/>
      <c r="C14" s="5"/>
      <c r="D14" s="5"/>
      <c r="E14" s="5"/>
      <c r="F14" s="5"/>
      <c r="G14" s="5"/>
      <c r="H14" s="5"/>
    </row>
    <row r="15" spans="1:8" ht="21.75" customHeight="1" x14ac:dyDescent="0.3">
      <c r="A15" s="10" t="s">
        <v>12</v>
      </c>
      <c r="B15" s="5"/>
      <c r="C15" s="5"/>
      <c r="D15" s="5"/>
      <c r="E15" s="5"/>
      <c r="F15" s="5"/>
      <c r="G15" s="5"/>
      <c r="H15" s="5"/>
    </row>
    <row r="16" spans="1:8" ht="21.75" customHeight="1" x14ac:dyDescent="0.3">
      <c r="A16" s="10" t="s">
        <v>13</v>
      </c>
      <c r="B16" s="5"/>
      <c r="C16" s="5"/>
      <c r="D16" s="5"/>
      <c r="E16" s="5"/>
      <c r="F16" s="5"/>
      <c r="G16" s="5"/>
      <c r="H16" s="5"/>
    </row>
    <row r="17" spans="1:8" ht="21.75" customHeight="1" x14ac:dyDescent="0.3">
      <c r="A17" s="10" t="s">
        <v>14</v>
      </c>
      <c r="B17" s="5"/>
      <c r="C17" s="5"/>
      <c r="D17" s="5"/>
      <c r="E17" s="5"/>
      <c r="F17" s="5"/>
      <c r="G17" s="5"/>
      <c r="H17" s="5"/>
    </row>
    <row r="18" spans="1:8" ht="21.75" customHeight="1" x14ac:dyDescent="0.3">
      <c r="A18" s="10" t="s">
        <v>15</v>
      </c>
      <c r="B18" s="5"/>
      <c r="C18" s="5"/>
      <c r="D18" s="5"/>
      <c r="E18" s="5"/>
      <c r="F18" s="5"/>
      <c r="G18" s="5"/>
      <c r="H18" s="5"/>
    </row>
    <row r="19" spans="1:8" ht="21.75" customHeight="1" x14ac:dyDescent="0.3">
      <c r="A19" s="10" t="s">
        <v>16</v>
      </c>
      <c r="B19" s="5"/>
      <c r="C19" s="5"/>
      <c r="D19" s="5"/>
      <c r="E19" s="5"/>
      <c r="F19" s="5"/>
      <c r="G19" s="5"/>
      <c r="H19" s="5"/>
    </row>
    <row r="21" spans="1:8" ht="15" customHeight="1" x14ac:dyDescent="0.3">
      <c r="A21" s="6" t="s">
        <v>17</v>
      </c>
      <c r="B21" s="6"/>
      <c r="C21" s="6"/>
      <c r="D21" s="6"/>
      <c r="E21" s="6"/>
      <c r="F21" s="6"/>
      <c r="G21" s="6"/>
      <c r="H21" s="6"/>
    </row>
    <row r="22" spans="1:8" ht="21.7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21.7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21.75" customHeight="1" x14ac:dyDescent="0.3">
      <c r="A24" s="3"/>
      <c r="B24" s="3"/>
      <c r="C24" s="3"/>
      <c r="D24" s="3"/>
      <c r="E24" s="3"/>
      <c r="F24" s="3"/>
      <c r="G24" s="3"/>
      <c r="H24" s="3"/>
    </row>
  </sheetData>
  <mergeCells count="19">
    <mergeCell ref="B18:H18"/>
    <mergeCell ref="B19:H19"/>
    <mergeCell ref="A21:H21"/>
    <mergeCell ref="A22:H24"/>
    <mergeCell ref="A13:H13"/>
    <mergeCell ref="B14:H14"/>
    <mergeCell ref="B15:H15"/>
    <mergeCell ref="B16:H16"/>
    <mergeCell ref="B17:H17"/>
    <mergeCell ref="B7:H7"/>
    <mergeCell ref="B8:H8"/>
    <mergeCell ref="B9:H9"/>
    <mergeCell ref="B10:H10"/>
    <mergeCell ref="B11:H11"/>
    <mergeCell ref="A1:H1"/>
    <mergeCell ref="A2:H2"/>
    <mergeCell ref="A3:H3"/>
    <mergeCell ref="A5:H5"/>
    <mergeCell ref="B6:H6"/>
  </mergeCells>
  <dataValidations count="6">
    <dataValidation type="list" allowBlank="1" errorTitle="Valor no válido" error="Seleccione un valor de la lista desplegable." promptTitle="Forma del terreno" prompt="Elija una opción de la lista." sqref="B14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Pendiente del terreno" prompt="Elija una opción de la lista." sqref="B15" xr:uid="{00000000-0002-0000-0000-000002000000}">
      <formula1>lst_PendienteTerreno</formula1>
      <formula2>0</formula2>
    </dataValidation>
    <dataValidation type="list" allowBlank="1" errorTitle="Valor no válido" error="Seleccione un valor de la lista desplegable." promptTitle="Posición fisiográfica" prompt="Elija una opción de la lista." sqref="B16" xr:uid="{00000000-0002-0000-0000-000003000000}">
      <formula1>lst_PosicionFisiografica</formula1>
      <formula2>0</formula2>
    </dataValidation>
    <dataValidation type="list" allowBlank="1" errorTitle="Valor no válido" error="Seleccione un valor de la lista desplegable." promptTitle="Exposición / Orientación" prompt="Elija una opción de la lista." sqref="B17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Paisaje dominante" prompt="Elija una opción de la lista." sqref="B18" xr:uid="{00000000-0002-0000-0000-000005000000}">
      <formula1>lst_PaisajeDominante</formula1>
      <formula2>0</formula2>
    </dataValidation>
    <dataValidation type="list" allowBlank="1" errorTitle="Valor no válido" error="Seleccione un valor de la lista desplegable." promptTitle="Rango altitudinal" prompt="Elija una opción de la lista." sqref="B19" xr:uid="{00000000-0002-0000-0000-000006000000}">
      <formula1>lst_RangoAltitudinal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ódigo no válido" error="Seleccione un Código de Bloque válido del catálogo." promptTitle="Código de Bloque" prompt="Elija el código del bloque de intervención." xr:uid="{00000000-0002-0000-0000-000000000000}">
          <x14:formula1>
            <xm:f>_Datos!$A$2:$A$129</xm:f>
          </x14:formula1>
          <x14:formula2>
            <xm:f>0</xm:f>
          </x14:formula2>
          <xm:sqref>B8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4.4" x14ac:dyDescent="0.3"/>
  <cols>
    <col min="1" max="1" width="38" customWidth="1"/>
    <col min="2" max="8" width="14" customWidth="1"/>
  </cols>
  <sheetData>
    <row r="1" spans="1:8" ht="25.5" customHeight="1" x14ac:dyDescent="0.3">
      <c r="A1" s="9" t="s">
        <v>0</v>
      </c>
      <c r="B1" s="9"/>
      <c r="C1" s="9"/>
      <c r="D1" s="9"/>
      <c r="E1" s="9"/>
      <c r="F1" s="9"/>
      <c r="G1" s="9"/>
      <c r="H1" s="9"/>
    </row>
    <row r="2" spans="1:8" ht="21.75" customHeight="1" x14ac:dyDescent="0.3">
      <c r="A2" s="8" t="s">
        <v>18</v>
      </c>
      <c r="B2" s="8"/>
      <c r="C2" s="8"/>
      <c r="D2" s="8"/>
      <c r="E2" s="8"/>
      <c r="F2" s="8"/>
      <c r="G2" s="8"/>
      <c r="H2" s="8"/>
    </row>
    <row r="3" spans="1:8" ht="18" customHeight="1" x14ac:dyDescent="0.3">
      <c r="A3" s="7" t="s">
        <v>2</v>
      </c>
      <c r="B3" s="7"/>
      <c r="C3" s="7"/>
      <c r="D3" s="7"/>
      <c r="E3" s="7"/>
      <c r="F3" s="7"/>
      <c r="G3" s="7"/>
      <c r="H3" s="7"/>
    </row>
    <row r="5" spans="1:8" ht="15" customHeight="1" x14ac:dyDescent="0.3">
      <c r="A5" s="6" t="s">
        <v>3</v>
      </c>
      <c r="B5" s="6"/>
      <c r="C5" s="6"/>
      <c r="D5" s="6"/>
      <c r="E5" s="6"/>
      <c r="F5" s="6"/>
      <c r="G5" s="6"/>
      <c r="H5" s="6"/>
    </row>
    <row r="6" spans="1:8" ht="19.5" customHeight="1" x14ac:dyDescent="0.3">
      <c r="A6" s="10" t="s">
        <v>4</v>
      </c>
      <c r="B6" s="5"/>
      <c r="C6" s="5"/>
      <c r="D6" s="5"/>
      <c r="E6" s="5"/>
      <c r="F6" s="5"/>
      <c r="G6" s="5"/>
      <c r="H6" s="5"/>
    </row>
    <row r="7" spans="1:8" ht="19.5" customHeight="1" x14ac:dyDescent="0.3">
      <c r="A7" s="10" t="s">
        <v>5</v>
      </c>
      <c r="B7" s="5"/>
      <c r="C7" s="5"/>
      <c r="D7" s="5"/>
      <c r="E7" s="5"/>
      <c r="F7" s="5"/>
      <c r="G7" s="5"/>
      <c r="H7" s="5"/>
    </row>
    <row r="8" spans="1:8" ht="19.5" customHeight="1" x14ac:dyDescent="0.3">
      <c r="A8" s="10" t="s">
        <v>6</v>
      </c>
      <c r="B8" s="5"/>
      <c r="C8" s="5"/>
      <c r="D8" s="5"/>
      <c r="E8" s="5"/>
      <c r="F8" s="5"/>
      <c r="G8" s="5"/>
      <c r="H8" s="5"/>
    </row>
    <row r="9" spans="1:8" ht="19.5" customHeight="1" x14ac:dyDescent="0.3">
      <c r="A9" s="10" t="s">
        <v>7</v>
      </c>
      <c r="B9" s="4" t="str">
        <f>IFERROR(VLOOKUP($B$8,tbl_Datos,2,FALSE()),"")</f>
        <v/>
      </c>
      <c r="C9" s="4"/>
      <c r="D9" s="4"/>
      <c r="E9" s="4"/>
      <c r="F9" s="4"/>
      <c r="G9" s="4"/>
      <c r="H9" s="4"/>
    </row>
    <row r="10" spans="1:8" ht="19.5" customHeight="1" x14ac:dyDescent="0.3">
      <c r="A10" s="10" t="s">
        <v>8</v>
      </c>
      <c r="B10" s="4" t="str">
        <f>IFERROR(VLOOKUP($B$8,tbl_Datos,3,FALSE()),"")</f>
        <v/>
      </c>
      <c r="C10" s="4"/>
      <c r="D10" s="4"/>
      <c r="E10" s="4"/>
      <c r="F10" s="4"/>
      <c r="G10" s="4"/>
      <c r="H10" s="4"/>
    </row>
    <row r="11" spans="1:8" ht="19.5" customHeight="1" x14ac:dyDescent="0.3">
      <c r="A11" s="10" t="s">
        <v>9</v>
      </c>
      <c r="B11" s="4" t="str">
        <f>IFERROR(VLOOKUP($B$8,tbl_Datos,4,FALSE()),"")</f>
        <v/>
      </c>
      <c r="C11" s="4"/>
      <c r="D11" s="4"/>
      <c r="E11" s="4"/>
      <c r="F11" s="4"/>
      <c r="G11" s="4"/>
      <c r="H11" s="4"/>
    </row>
    <row r="13" spans="1:8" ht="15" customHeight="1" x14ac:dyDescent="0.3">
      <c r="A13" s="6" t="s">
        <v>10</v>
      </c>
      <c r="B13" s="6"/>
      <c r="C13" s="6"/>
      <c r="D13" s="6"/>
      <c r="E13" s="6"/>
      <c r="F13" s="6"/>
      <c r="G13" s="6"/>
      <c r="H13" s="6"/>
    </row>
    <row r="14" spans="1:8" ht="21.75" customHeight="1" x14ac:dyDescent="0.3">
      <c r="A14" s="10" t="s">
        <v>19</v>
      </c>
      <c r="B14" s="5"/>
      <c r="C14" s="5"/>
      <c r="D14" s="5"/>
      <c r="E14" s="5"/>
      <c r="F14" s="5"/>
      <c r="G14" s="5"/>
      <c r="H14" s="5"/>
    </row>
    <row r="15" spans="1:8" ht="21.75" customHeight="1" x14ac:dyDescent="0.3">
      <c r="A15" s="10" t="s">
        <v>20</v>
      </c>
      <c r="B15" s="5"/>
      <c r="C15" s="5"/>
      <c r="D15" s="5"/>
      <c r="E15" s="5"/>
      <c r="F15" s="5"/>
      <c r="G15" s="5"/>
      <c r="H15" s="5"/>
    </row>
    <row r="16" spans="1:8" ht="21.75" customHeight="1" x14ac:dyDescent="0.3">
      <c r="A16" s="10" t="s">
        <v>21</v>
      </c>
      <c r="B16" s="5"/>
      <c r="C16" s="5"/>
      <c r="D16" s="5"/>
      <c r="E16" s="5"/>
      <c r="F16" s="5"/>
      <c r="G16" s="5"/>
      <c r="H16" s="5"/>
    </row>
    <row r="17" spans="1:8" ht="21.75" customHeight="1" x14ac:dyDescent="0.3">
      <c r="A17" s="10" t="s">
        <v>22</v>
      </c>
      <c r="B17" s="5"/>
      <c r="C17" s="5"/>
      <c r="D17" s="5"/>
      <c r="E17" s="5"/>
      <c r="F17" s="5"/>
      <c r="G17" s="5"/>
      <c r="H17" s="5"/>
    </row>
    <row r="18" spans="1:8" ht="21.75" customHeight="1" x14ac:dyDescent="0.3">
      <c r="A18" s="10" t="s">
        <v>23</v>
      </c>
      <c r="B18" s="5"/>
      <c r="C18" s="5"/>
      <c r="D18" s="5"/>
      <c r="E18" s="5"/>
      <c r="F18" s="5"/>
      <c r="G18" s="5"/>
      <c r="H18" s="5"/>
    </row>
    <row r="19" spans="1:8" ht="21.75" customHeight="1" x14ac:dyDescent="0.3">
      <c r="A19" s="10" t="s">
        <v>24</v>
      </c>
      <c r="B19" s="5"/>
      <c r="C19" s="5"/>
      <c r="D19" s="5"/>
      <c r="E19" s="5"/>
      <c r="F19" s="5"/>
      <c r="G19" s="5"/>
      <c r="H19" s="5"/>
    </row>
    <row r="21" spans="1:8" ht="15" customHeight="1" x14ac:dyDescent="0.3">
      <c r="A21" s="6" t="s">
        <v>17</v>
      </c>
      <c r="B21" s="6"/>
      <c r="C21" s="6"/>
      <c r="D21" s="6"/>
      <c r="E21" s="6"/>
      <c r="F21" s="6"/>
      <c r="G21" s="6"/>
      <c r="H21" s="6"/>
    </row>
    <row r="22" spans="1:8" ht="21.7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21.7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21.75" customHeight="1" x14ac:dyDescent="0.3">
      <c r="A24" s="3"/>
      <c r="B24" s="3"/>
      <c r="C24" s="3"/>
      <c r="D24" s="3"/>
      <c r="E24" s="3"/>
      <c r="F24" s="3"/>
      <c r="G24" s="3"/>
      <c r="H24" s="3"/>
    </row>
  </sheetData>
  <mergeCells count="19">
    <mergeCell ref="B18:H18"/>
    <mergeCell ref="B19:H19"/>
    <mergeCell ref="A21:H21"/>
    <mergeCell ref="A22:H24"/>
    <mergeCell ref="A13:H13"/>
    <mergeCell ref="B14:H14"/>
    <mergeCell ref="B15:H15"/>
    <mergeCell ref="B16:H16"/>
    <mergeCell ref="B17:H17"/>
    <mergeCell ref="B7:H7"/>
    <mergeCell ref="B8:H8"/>
    <mergeCell ref="B9:H9"/>
    <mergeCell ref="B10:H10"/>
    <mergeCell ref="B11:H11"/>
    <mergeCell ref="A1:H1"/>
    <mergeCell ref="A2:H2"/>
    <mergeCell ref="A3:H3"/>
    <mergeCell ref="A5:H5"/>
    <mergeCell ref="B6:H6"/>
  </mergeCells>
  <dataValidations count="6">
    <dataValidation type="list" allowBlank="1" errorTitle="Valor no válido" error="Seleccione un valor de la lista desplegable." promptTitle="Precipitación anual estimada" prompt="Elija una opción de la lista." sqref="B14" xr:uid="{00000000-0002-0000-0100-000001000000}">
      <formula1>lst_PrecipitacionAnual</formula1>
      <formula2>0</formula2>
    </dataValidation>
    <dataValidation type="list" allowBlank="1" errorTitle="Valor no válido" error="Seleccione un valor de la lista desplegable." promptTitle="Temperatura media anual" prompt="Elija una opción de la lista." sqref="B15" xr:uid="{00000000-0002-0000-0100-000002000000}">
      <formula1>lst_TemperaturaMedia</formula1>
      <formula2>0</formula2>
    </dataValidation>
    <dataValidation type="list" allowBlank="1" errorTitle="Valor no válido" error="Seleccione un valor de la lista desplegable." promptTitle="Humedad relativa" prompt="Elija una opción de la lista." sqref="B16" xr:uid="{00000000-0002-0000-0100-000003000000}">
      <formula1>lst_HumedadRelativa</formula1>
      <formula2>0</formula2>
    </dataValidation>
    <dataValidation type="list" allowBlank="1" errorTitle="Valor no válido" error="Seleccione un valor de la lista desplegable." promptTitle="Zona de vida (Holdridge)" prompt="Elija una opción de la lista." sqref="B17" xr:uid="{00000000-0002-0000-0100-000004000000}">
      <formula1>lst_ZonaVida</formula1>
      <formula2>0</formula2>
    </dataValidation>
    <dataValidation type="list" allowBlank="1" errorTitle="Valor no válido" error="Seleccione un valor de la lista desplegable." promptTitle="Presencia de heladas" prompt="Elija una opción de la lista." sqref="B18" xr:uid="{00000000-0002-0000-0100-000005000000}">
      <formula1>lst_Heladas</formula1>
      <formula2>0</formula2>
    </dataValidation>
    <dataValidation type="list" allowBlank="1" errorTitle="Valor no válido" error="Seleccione un valor de la lista desplegable." promptTitle="Régimen de vientos" prompt="Elija una opción de la lista." sqref="B19" xr:uid="{00000000-0002-0000-0100-000006000000}">
      <formula1>lst_Vientos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ódigo no válido" error="Seleccione un Código de Bloque válido del catálogo." promptTitle="Código de Bloque" prompt="Elija el código del bloque de intervención." xr:uid="{00000000-0002-0000-0100-000000000000}">
          <x14:formula1>
            <xm:f>_Datos!$A$2:$A$129</xm:f>
          </x14:formula1>
          <x14:formula2>
            <xm:f>0</xm:f>
          </x14:formula2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4.4" x14ac:dyDescent="0.3"/>
  <cols>
    <col min="1" max="1" width="38" customWidth="1"/>
    <col min="2" max="8" width="14" customWidth="1"/>
  </cols>
  <sheetData>
    <row r="1" spans="1:8" ht="25.5" customHeight="1" x14ac:dyDescent="0.3">
      <c r="A1" s="9" t="s">
        <v>0</v>
      </c>
      <c r="B1" s="9"/>
      <c r="C1" s="9"/>
      <c r="D1" s="9"/>
      <c r="E1" s="9"/>
      <c r="F1" s="9"/>
      <c r="G1" s="9"/>
      <c r="H1" s="9"/>
    </row>
    <row r="2" spans="1:8" ht="21.75" customHeight="1" x14ac:dyDescent="0.3">
      <c r="A2" s="8" t="s">
        <v>25</v>
      </c>
      <c r="B2" s="8"/>
      <c r="C2" s="8"/>
      <c r="D2" s="8"/>
      <c r="E2" s="8"/>
      <c r="F2" s="8"/>
      <c r="G2" s="8"/>
      <c r="H2" s="8"/>
    </row>
    <row r="3" spans="1:8" ht="18" customHeight="1" x14ac:dyDescent="0.3">
      <c r="A3" s="7" t="s">
        <v>2</v>
      </c>
      <c r="B3" s="7"/>
      <c r="C3" s="7"/>
      <c r="D3" s="7"/>
      <c r="E3" s="7"/>
      <c r="F3" s="7"/>
      <c r="G3" s="7"/>
      <c r="H3" s="7"/>
    </row>
    <row r="5" spans="1:8" ht="15" customHeight="1" x14ac:dyDescent="0.3">
      <c r="A5" s="6" t="s">
        <v>3</v>
      </c>
      <c r="B5" s="6"/>
      <c r="C5" s="6"/>
      <c r="D5" s="6"/>
      <c r="E5" s="6"/>
      <c r="F5" s="6"/>
      <c r="G5" s="6"/>
      <c r="H5" s="6"/>
    </row>
    <row r="6" spans="1:8" ht="19.5" customHeight="1" x14ac:dyDescent="0.3">
      <c r="A6" s="10" t="s">
        <v>4</v>
      </c>
      <c r="B6" s="5"/>
      <c r="C6" s="5"/>
      <c r="D6" s="5"/>
      <c r="E6" s="5"/>
      <c r="F6" s="5"/>
      <c r="G6" s="5"/>
      <c r="H6" s="5"/>
    </row>
    <row r="7" spans="1:8" ht="19.5" customHeight="1" x14ac:dyDescent="0.3">
      <c r="A7" s="10" t="s">
        <v>5</v>
      </c>
      <c r="B7" s="5"/>
      <c r="C7" s="5"/>
      <c r="D7" s="5"/>
      <c r="E7" s="5"/>
      <c r="F7" s="5"/>
      <c r="G7" s="5"/>
      <c r="H7" s="5"/>
    </row>
    <row r="8" spans="1:8" ht="19.5" customHeight="1" x14ac:dyDescent="0.3">
      <c r="A8" s="10" t="s">
        <v>6</v>
      </c>
      <c r="B8" s="5"/>
      <c r="C8" s="5"/>
      <c r="D8" s="5"/>
      <c r="E8" s="5"/>
      <c r="F8" s="5"/>
      <c r="G8" s="5"/>
      <c r="H8" s="5"/>
    </row>
    <row r="9" spans="1:8" ht="19.5" customHeight="1" x14ac:dyDescent="0.3">
      <c r="A9" s="10" t="s">
        <v>7</v>
      </c>
      <c r="B9" s="4" t="str">
        <f>IFERROR(VLOOKUP($B$8,tbl_Datos,2,FALSE()),"")</f>
        <v/>
      </c>
      <c r="C9" s="4"/>
      <c r="D9" s="4"/>
      <c r="E9" s="4"/>
      <c r="F9" s="4"/>
      <c r="G9" s="4"/>
      <c r="H9" s="4"/>
    </row>
    <row r="10" spans="1:8" ht="19.5" customHeight="1" x14ac:dyDescent="0.3">
      <c r="A10" s="10" t="s">
        <v>8</v>
      </c>
      <c r="B10" s="4" t="str">
        <f>IFERROR(VLOOKUP($B$8,tbl_Datos,3,FALSE()),"")</f>
        <v/>
      </c>
      <c r="C10" s="4"/>
      <c r="D10" s="4"/>
      <c r="E10" s="4"/>
      <c r="F10" s="4"/>
      <c r="G10" s="4"/>
      <c r="H10" s="4"/>
    </row>
    <row r="11" spans="1:8" ht="19.5" customHeight="1" x14ac:dyDescent="0.3">
      <c r="A11" s="10" t="s">
        <v>9</v>
      </c>
      <c r="B11" s="4" t="str">
        <f>IFERROR(VLOOKUP($B$8,tbl_Datos,4,FALSE()),"")</f>
        <v/>
      </c>
      <c r="C11" s="4"/>
      <c r="D11" s="4"/>
      <c r="E11" s="4"/>
      <c r="F11" s="4"/>
      <c r="G11" s="4"/>
      <c r="H11" s="4"/>
    </row>
    <row r="13" spans="1:8" ht="15" customHeight="1" x14ac:dyDescent="0.3">
      <c r="A13" s="6" t="s">
        <v>10</v>
      </c>
      <c r="B13" s="6"/>
      <c r="C13" s="6"/>
      <c r="D13" s="6"/>
      <c r="E13" s="6"/>
      <c r="F13" s="6"/>
      <c r="G13" s="6"/>
      <c r="H13" s="6"/>
    </row>
    <row r="14" spans="1:8" ht="21.75" customHeight="1" x14ac:dyDescent="0.3">
      <c r="A14" s="10" t="s">
        <v>26</v>
      </c>
      <c r="B14" s="5"/>
      <c r="C14" s="5"/>
      <c r="D14" s="5"/>
      <c r="E14" s="5"/>
      <c r="F14" s="5"/>
      <c r="G14" s="5"/>
      <c r="H14" s="5"/>
    </row>
    <row r="15" spans="1:8" ht="21.75" customHeight="1" x14ac:dyDescent="0.3">
      <c r="A15" s="10" t="s">
        <v>27</v>
      </c>
      <c r="B15" s="5"/>
      <c r="C15" s="5"/>
      <c r="D15" s="5"/>
      <c r="E15" s="5"/>
      <c r="F15" s="5"/>
      <c r="G15" s="5"/>
      <c r="H15" s="5"/>
    </row>
    <row r="16" spans="1:8" ht="21.75" customHeight="1" x14ac:dyDescent="0.3">
      <c r="A16" s="10" t="s">
        <v>28</v>
      </c>
      <c r="B16" s="5"/>
      <c r="C16" s="5"/>
      <c r="D16" s="5"/>
      <c r="E16" s="5"/>
      <c r="F16" s="5"/>
      <c r="G16" s="5"/>
      <c r="H16" s="5"/>
    </row>
    <row r="17" spans="1:8" ht="21.75" customHeight="1" x14ac:dyDescent="0.3">
      <c r="A17" s="10" t="s">
        <v>29</v>
      </c>
      <c r="B17" s="5"/>
      <c r="C17" s="5"/>
      <c r="D17" s="5"/>
      <c r="E17" s="5"/>
      <c r="F17" s="5"/>
      <c r="G17" s="5"/>
      <c r="H17" s="5"/>
    </row>
    <row r="18" spans="1:8" ht="21.75" customHeight="1" x14ac:dyDescent="0.3">
      <c r="A18" s="10" t="s">
        <v>30</v>
      </c>
      <c r="B18" s="5"/>
      <c r="C18" s="5"/>
      <c r="D18" s="5"/>
      <c r="E18" s="5"/>
      <c r="F18" s="5"/>
      <c r="G18" s="5"/>
      <c r="H18" s="5"/>
    </row>
    <row r="19" spans="1:8" ht="21.75" customHeight="1" x14ac:dyDescent="0.3">
      <c r="A19" s="10" t="s">
        <v>31</v>
      </c>
      <c r="B19" s="5"/>
      <c r="C19" s="5"/>
      <c r="D19" s="5"/>
      <c r="E19" s="5"/>
      <c r="F19" s="5"/>
      <c r="G19" s="5"/>
      <c r="H19" s="5"/>
    </row>
    <row r="20" spans="1:8" ht="21.75" customHeight="1" x14ac:dyDescent="0.3">
      <c r="A20" s="10" t="s">
        <v>32</v>
      </c>
      <c r="B20" s="5"/>
      <c r="C20" s="5"/>
      <c r="D20" s="5"/>
      <c r="E20" s="5"/>
      <c r="F20" s="5"/>
      <c r="G20" s="5"/>
      <c r="H20" s="5"/>
    </row>
    <row r="22" spans="1:8" ht="15" customHeight="1" x14ac:dyDescent="0.3">
      <c r="A22" s="6" t="s">
        <v>17</v>
      </c>
      <c r="B22" s="6"/>
      <c r="C22" s="6"/>
      <c r="D22" s="6"/>
      <c r="E22" s="6"/>
      <c r="F22" s="6"/>
      <c r="G22" s="6"/>
      <c r="H22" s="6"/>
    </row>
    <row r="23" spans="1:8" ht="21.7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21.7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21.75" customHeight="1" x14ac:dyDescent="0.3">
      <c r="A25" s="3"/>
      <c r="B25" s="3"/>
      <c r="C25" s="3"/>
      <c r="D25" s="3"/>
      <c r="E25" s="3"/>
      <c r="F25" s="3"/>
      <c r="G25" s="3"/>
      <c r="H25" s="3"/>
    </row>
  </sheetData>
  <mergeCells count="20">
    <mergeCell ref="B18:H18"/>
    <mergeCell ref="B19:H19"/>
    <mergeCell ref="B20:H20"/>
    <mergeCell ref="A22:H22"/>
    <mergeCell ref="A23:H25"/>
    <mergeCell ref="A13:H13"/>
    <mergeCell ref="B14:H14"/>
    <mergeCell ref="B15:H15"/>
    <mergeCell ref="B16:H16"/>
    <mergeCell ref="B17:H17"/>
    <mergeCell ref="B7:H7"/>
    <mergeCell ref="B8:H8"/>
    <mergeCell ref="B9:H9"/>
    <mergeCell ref="B10:H10"/>
    <mergeCell ref="B11:H11"/>
    <mergeCell ref="A1:H1"/>
    <mergeCell ref="A2:H2"/>
    <mergeCell ref="A3:H3"/>
    <mergeCell ref="A5:H5"/>
    <mergeCell ref="B6:H6"/>
  </mergeCells>
  <dataValidations count="7">
    <dataValidation type="list" allowBlank="1" errorTitle="Valor no válido" error="Seleccione un valor de la lista desplegable." promptTitle="Textura al tacto" prompt="Elija una opción de la lista." sqref="B14" xr:uid="{00000000-0002-0000-0200-000001000000}">
      <formula1>lst_Textura</formula1>
      <formula2>0</formula2>
    </dataValidation>
    <dataValidation type="list" allowBlank="1" errorTitle="Valor no válido" error="Seleccione un valor de la lista desplegable." promptTitle="Color predominante del suelo" prompt="Elija una opción de la lista." sqref="B15" xr:uid="{00000000-0002-0000-0200-000002000000}">
      <formula1>lst_ColorSuelo</formula1>
      <formula2>0</formula2>
    </dataValidation>
    <dataValidation type="list" allowBlank="1" errorTitle="Valor no válido" error="Seleccione un valor de la lista desplegable." promptTitle="Profundidad efectiva" prompt="Elija una opción de la lista." sqref="B16" xr:uid="{00000000-0002-0000-0200-000003000000}">
      <formula1>lst_Profundidad</formula1>
      <formula2>0</formula2>
    </dataValidation>
    <dataValidation type="list" allowBlank="1" errorTitle="Valor no válido" error="Seleccione un valor de la lista desplegable." promptTitle="Pedregosidad superficial" prompt="Elija una opción de la lista." sqref="B17" xr:uid="{00000000-0002-0000-0200-000004000000}">
      <formula1>lst_Pedregosidad</formula1>
      <formula2>0</formula2>
    </dataValidation>
    <dataValidation type="list" allowBlank="1" errorTitle="Valor no válido" error="Seleccione un valor de la lista desplegable." promptTitle="Drenaje" prompt="Elija una opción de la lista." sqref="B18" xr:uid="{00000000-0002-0000-0200-000005000000}">
      <formula1>lst_Drenaje</formula1>
      <formula2>0</formula2>
    </dataValidation>
    <dataValidation type="list" allowBlank="1" errorTitle="Valor no válido" error="Seleccione un valor de la lista desplegable." promptTitle="Presencia de erosión" prompt="Elija una opción de la lista." sqref="B19" xr:uid="{00000000-0002-0000-0200-000006000000}">
      <formula1>lst_Erosion</formula1>
      <formula2>0</formula2>
    </dataValidation>
    <dataValidation type="list" allowBlank="1" errorTitle="Valor no válido" error="Seleccione un valor de la lista desplegable." promptTitle="Materia orgánica (estim. visual)" prompt="Elija una opción de la lista." sqref="B20" xr:uid="{00000000-0002-0000-0200-000007000000}">
      <formula1>lst_MateriaOrganica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ódigo no válido" error="Seleccione un Código de Bloque válido del catálogo." promptTitle="Código de Bloque" prompt="Elija el código del bloque de intervención." xr:uid="{00000000-0002-0000-0200-000000000000}">
          <x14:formula1>
            <xm:f>_Datos!$A$2:$A$129</xm:f>
          </x14:formula1>
          <x14:formula2>
            <xm:f>0</xm:f>
          </x14:formula2>
          <xm:sqref>B8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4.4" x14ac:dyDescent="0.3"/>
  <cols>
    <col min="1" max="1" width="38" customWidth="1"/>
    <col min="2" max="8" width="14" customWidth="1"/>
  </cols>
  <sheetData>
    <row r="1" spans="1:8" ht="25.5" customHeight="1" x14ac:dyDescent="0.3">
      <c r="A1" s="9" t="s">
        <v>0</v>
      </c>
      <c r="B1" s="9"/>
      <c r="C1" s="9"/>
      <c r="D1" s="9"/>
      <c r="E1" s="9"/>
      <c r="F1" s="9"/>
      <c r="G1" s="9"/>
      <c r="H1" s="9"/>
    </row>
    <row r="2" spans="1:8" ht="21.75" customHeight="1" x14ac:dyDescent="0.3">
      <c r="A2" s="8" t="s">
        <v>33</v>
      </c>
      <c r="B2" s="8"/>
      <c r="C2" s="8"/>
      <c r="D2" s="8"/>
      <c r="E2" s="8"/>
      <c r="F2" s="8"/>
      <c r="G2" s="8"/>
      <c r="H2" s="8"/>
    </row>
    <row r="3" spans="1:8" ht="18" customHeight="1" x14ac:dyDescent="0.3">
      <c r="A3" s="7" t="s">
        <v>2</v>
      </c>
      <c r="B3" s="7"/>
      <c r="C3" s="7"/>
      <c r="D3" s="7"/>
      <c r="E3" s="7"/>
      <c r="F3" s="7"/>
      <c r="G3" s="7"/>
      <c r="H3" s="7"/>
    </row>
    <row r="5" spans="1:8" ht="15" customHeight="1" x14ac:dyDescent="0.3">
      <c r="A5" s="6" t="s">
        <v>3</v>
      </c>
      <c r="B5" s="6"/>
      <c r="C5" s="6"/>
      <c r="D5" s="6"/>
      <c r="E5" s="6"/>
      <c r="F5" s="6"/>
      <c r="G5" s="6"/>
      <c r="H5" s="6"/>
    </row>
    <row r="6" spans="1:8" ht="19.5" customHeight="1" x14ac:dyDescent="0.3">
      <c r="A6" s="10" t="s">
        <v>4</v>
      </c>
      <c r="B6" s="5"/>
      <c r="C6" s="5"/>
      <c r="D6" s="5"/>
      <c r="E6" s="5"/>
      <c r="F6" s="5"/>
      <c r="G6" s="5"/>
      <c r="H6" s="5"/>
    </row>
    <row r="7" spans="1:8" ht="19.5" customHeight="1" x14ac:dyDescent="0.3">
      <c r="A7" s="10" t="s">
        <v>5</v>
      </c>
      <c r="B7" s="5"/>
      <c r="C7" s="5"/>
      <c r="D7" s="5"/>
      <c r="E7" s="5"/>
      <c r="F7" s="5"/>
      <c r="G7" s="5"/>
      <c r="H7" s="5"/>
    </row>
    <row r="8" spans="1:8" ht="19.5" customHeight="1" x14ac:dyDescent="0.3">
      <c r="A8" s="10" t="s">
        <v>6</v>
      </c>
      <c r="B8" s="5"/>
      <c r="C8" s="5"/>
      <c r="D8" s="5"/>
      <c r="E8" s="5"/>
      <c r="F8" s="5"/>
      <c r="G8" s="5"/>
      <c r="H8" s="5"/>
    </row>
    <row r="9" spans="1:8" ht="19.5" customHeight="1" x14ac:dyDescent="0.3">
      <c r="A9" s="10" t="s">
        <v>7</v>
      </c>
      <c r="B9" s="4" t="str">
        <f>IFERROR(VLOOKUP($B$8,tbl_Datos,2,FALSE()),"")</f>
        <v/>
      </c>
      <c r="C9" s="4"/>
      <c r="D9" s="4"/>
      <c r="E9" s="4"/>
      <c r="F9" s="4"/>
      <c r="G9" s="4"/>
      <c r="H9" s="4"/>
    </row>
    <row r="10" spans="1:8" ht="19.5" customHeight="1" x14ac:dyDescent="0.3">
      <c r="A10" s="10" t="s">
        <v>8</v>
      </c>
      <c r="B10" s="4" t="str">
        <f>IFERROR(VLOOKUP($B$8,tbl_Datos,3,FALSE()),"")</f>
        <v/>
      </c>
      <c r="C10" s="4"/>
      <c r="D10" s="4"/>
      <c r="E10" s="4"/>
      <c r="F10" s="4"/>
      <c r="G10" s="4"/>
      <c r="H10" s="4"/>
    </row>
    <row r="11" spans="1:8" ht="19.5" customHeight="1" x14ac:dyDescent="0.3">
      <c r="A11" s="10" t="s">
        <v>9</v>
      </c>
      <c r="B11" s="4" t="str">
        <f>IFERROR(VLOOKUP($B$8,tbl_Datos,4,FALSE()),"")</f>
        <v/>
      </c>
      <c r="C11" s="4"/>
      <c r="D11" s="4"/>
      <c r="E11" s="4"/>
      <c r="F11" s="4"/>
      <c r="G11" s="4"/>
      <c r="H11" s="4"/>
    </row>
    <row r="13" spans="1:8" ht="15" customHeight="1" x14ac:dyDescent="0.3">
      <c r="A13" s="6" t="s">
        <v>10</v>
      </c>
      <c r="B13" s="6"/>
      <c r="C13" s="6"/>
      <c r="D13" s="6"/>
      <c r="E13" s="6"/>
      <c r="F13" s="6"/>
      <c r="G13" s="6"/>
      <c r="H13" s="6"/>
    </row>
    <row r="14" spans="1:8" ht="21.75" customHeight="1" x14ac:dyDescent="0.3">
      <c r="A14" s="10" t="s">
        <v>34</v>
      </c>
      <c r="B14" s="5"/>
      <c r="C14" s="5"/>
      <c r="D14" s="5"/>
      <c r="E14" s="5"/>
      <c r="F14" s="5"/>
      <c r="G14" s="5"/>
      <c r="H14" s="5"/>
    </row>
    <row r="15" spans="1:8" ht="21.75" customHeight="1" x14ac:dyDescent="0.3">
      <c r="A15" s="10" t="s">
        <v>35</v>
      </c>
      <c r="B15" s="5"/>
      <c r="C15" s="5"/>
      <c r="D15" s="5"/>
      <c r="E15" s="5"/>
      <c r="F15" s="5"/>
      <c r="G15" s="5"/>
      <c r="H15" s="5"/>
    </row>
    <row r="16" spans="1:8" ht="21.75" customHeight="1" x14ac:dyDescent="0.3">
      <c r="A16" s="10" t="s">
        <v>36</v>
      </c>
      <c r="B16" s="5"/>
      <c r="C16" s="5"/>
      <c r="D16" s="5"/>
      <c r="E16" s="5"/>
      <c r="F16" s="5"/>
      <c r="G16" s="5"/>
      <c r="H16" s="5"/>
    </row>
    <row r="17" spans="1:8" ht="21.75" customHeight="1" x14ac:dyDescent="0.3">
      <c r="A17" s="10" t="s">
        <v>37</v>
      </c>
      <c r="B17" s="5"/>
      <c r="C17" s="5"/>
      <c r="D17" s="5"/>
      <c r="E17" s="5"/>
      <c r="F17" s="5"/>
      <c r="G17" s="5"/>
      <c r="H17" s="5"/>
    </row>
    <row r="18" spans="1:8" ht="21.75" customHeight="1" x14ac:dyDescent="0.3">
      <c r="A18" s="10" t="s">
        <v>38</v>
      </c>
      <c r="B18" s="5"/>
      <c r="C18" s="5"/>
      <c r="D18" s="5"/>
      <c r="E18" s="5"/>
      <c r="F18" s="5"/>
      <c r="G18" s="5"/>
      <c r="H18" s="5"/>
    </row>
    <row r="20" spans="1:8" ht="15" customHeight="1" x14ac:dyDescent="0.3">
      <c r="A20" s="6" t="s">
        <v>17</v>
      </c>
      <c r="B20" s="6"/>
      <c r="C20" s="6"/>
      <c r="D20" s="6"/>
      <c r="E20" s="6"/>
      <c r="F20" s="6"/>
      <c r="G20" s="6"/>
      <c r="H20" s="6"/>
    </row>
    <row r="21" spans="1:8" ht="21.75" customHeight="1" x14ac:dyDescent="0.3">
      <c r="A21" s="3"/>
      <c r="B21" s="3"/>
      <c r="C21" s="3"/>
      <c r="D21" s="3"/>
      <c r="E21" s="3"/>
      <c r="F21" s="3"/>
      <c r="G21" s="3"/>
      <c r="H21" s="3"/>
    </row>
    <row r="22" spans="1:8" ht="21.7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21.75" customHeight="1" x14ac:dyDescent="0.3">
      <c r="A23" s="3"/>
      <c r="B23" s="3"/>
      <c r="C23" s="3"/>
      <c r="D23" s="3"/>
      <c r="E23" s="3"/>
      <c r="F23" s="3"/>
      <c r="G23" s="3"/>
      <c r="H23" s="3"/>
    </row>
  </sheetData>
  <mergeCells count="18">
    <mergeCell ref="B18:H18"/>
    <mergeCell ref="A20:H20"/>
    <mergeCell ref="A21:H23"/>
    <mergeCell ref="A13:H13"/>
    <mergeCell ref="B14:H14"/>
    <mergeCell ref="B15:H15"/>
    <mergeCell ref="B16:H16"/>
    <mergeCell ref="B17:H17"/>
    <mergeCell ref="B7:H7"/>
    <mergeCell ref="B8:H8"/>
    <mergeCell ref="B9:H9"/>
    <mergeCell ref="B10:H10"/>
    <mergeCell ref="B11:H11"/>
    <mergeCell ref="A1:H1"/>
    <mergeCell ref="A2:H2"/>
    <mergeCell ref="A3:H3"/>
    <mergeCell ref="A5:H5"/>
    <mergeCell ref="B6:H6"/>
  </mergeCells>
  <dataValidations count="5">
    <dataValidation type="list" allowBlank="1" errorTitle="Valor no válido" error="Seleccione un valor de la lista desplegable." promptTitle="Tipo de cobertura vegetal" prompt="Elija una opción de la lista." sqref="B14" xr:uid="{00000000-0002-0000-0300-000001000000}">
      <formula1>lst_TipoCobertura</formula1>
      <formula2>0</formula2>
    </dataValidation>
    <dataValidation type="list" allowBlank="1" errorTitle="Valor no válido" error="Seleccione un valor de la lista desplegable." promptTitle="Densidad de cobertura" prompt="Elija una opción de la lista." sqref="B15" xr:uid="{00000000-0002-0000-0300-000002000000}">
      <formula1>lst_DensidadCobertura</formula1>
      <formula2>0</formula2>
    </dataValidation>
    <dataValidation type="list" allowBlank="1" errorTitle="Valor no válido" error="Seleccione un valor de la lista desplegable." promptTitle="Estado de conservación" prompt="Elija una opción de la lista." sqref="B16" xr:uid="{00000000-0002-0000-0300-000003000000}">
      <formula1>lst_EstadoConservacion</formula1>
      <formula2>0</formula2>
    </dataValidation>
    <dataValidation type="list" allowBlank="1" errorTitle="Valor no válido" error="Seleccione un valor de la lista desplegable." promptTitle="Uso actual del suelo" prompt="Elija una opción de la lista." sqref="B17" xr:uid="{00000000-0002-0000-0300-000004000000}">
      <formula1>lst_UsoSuelo</formula1>
      <formula2>0</formula2>
    </dataValidation>
    <dataValidation type="list" allowBlank="1" errorTitle="Valor no válido" error="Seleccione un valor de la lista desplegable." promptTitle="Estado de uso del suelo" prompt="Elija una opción de la lista." sqref="B18" xr:uid="{00000000-0002-0000-0300-000005000000}">
      <formula1>lst_EstadoUsoSuelo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ódigo no válido" error="Seleccione un Código de Bloque válido del catálogo." promptTitle="Código de Bloque" prompt="Elija el código del bloque de intervención." xr:uid="{00000000-0002-0000-0300-000000000000}">
          <x14:formula1>
            <xm:f>_Datos!$A$2:$A$129</xm:f>
          </x14:formula1>
          <x14:formula2>
            <xm:f>0</xm:f>
          </x14:formula2>
          <xm:sqref>B8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4.4" x14ac:dyDescent="0.3"/>
  <cols>
    <col min="1" max="1" width="38" customWidth="1"/>
    <col min="2" max="8" width="14" customWidth="1"/>
  </cols>
  <sheetData>
    <row r="1" spans="1:8" ht="25.5" customHeight="1" x14ac:dyDescent="0.3">
      <c r="A1" s="9" t="s">
        <v>0</v>
      </c>
      <c r="B1" s="9"/>
      <c r="C1" s="9"/>
      <c r="D1" s="9"/>
      <c r="E1" s="9"/>
      <c r="F1" s="9"/>
      <c r="G1" s="9"/>
      <c r="H1" s="9"/>
    </row>
    <row r="2" spans="1:8" ht="21.75" customHeight="1" x14ac:dyDescent="0.3">
      <c r="A2" s="8" t="s">
        <v>39</v>
      </c>
      <c r="B2" s="8"/>
      <c r="C2" s="8"/>
      <c r="D2" s="8"/>
      <c r="E2" s="8"/>
      <c r="F2" s="8"/>
      <c r="G2" s="8"/>
      <c r="H2" s="8"/>
    </row>
    <row r="3" spans="1:8" ht="18" customHeight="1" x14ac:dyDescent="0.3">
      <c r="A3" s="7" t="s">
        <v>2</v>
      </c>
      <c r="B3" s="7"/>
      <c r="C3" s="7"/>
      <c r="D3" s="7"/>
      <c r="E3" s="7"/>
      <c r="F3" s="7"/>
      <c r="G3" s="7"/>
      <c r="H3" s="7"/>
    </row>
    <row r="5" spans="1:8" ht="15" customHeight="1" x14ac:dyDescent="0.3">
      <c r="A5" s="6" t="s">
        <v>3</v>
      </c>
      <c r="B5" s="6"/>
      <c r="C5" s="6"/>
      <c r="D5" s="6"/>
      <c r="E5" s="6"/>
      <c r="F5" s="6"/>
      <c r="G5" s="6"/>
      <c r="H5" s="6"/>
    </row>
    <row r="6" spans="1:8" ht="19.5" customHeight="1" x14ac:dyDescent="0.3">
      <c r="A6" s="10" t="s">
        <v>4</v>
      </c>
      <c r="B6" s="5"/>
      <c r="C6" s="5"/>
      <c r="D6" s="5"/>
      <c r="E6" s="5"/>
      <c r="F6" s="5"/>
      <c r="G6" s="5"/>
      <c r="H6" s="5"/>
    </row>
    <row r="7" spans="1:8" ht="19.5" customHeight="1" x14ac:dyDescent="0.3">
      <c r="A7" s="10" t="s">
        <v>5</v>
      </c>
      <c r="B7" s="5"/>
      <c r="C7" s="5"/>
      <c r="D7" s="5"/>
      <c r="E7" s="5"/>
      <c r="F7" s="5"/>
      <c r="G7" s="5"/>
      <c r="H7" s="5"/>
    </row>
    <row r="8" spans="1:8" ht="19.5" customHeight="1" x14ac:dyDescent="0.3">
      <c r="A8" s="10" t="s">
        <v>6</v>
      </c>
      <c r="B8" s="5"/>
      <c r="C8" s="5"/>
      <c r="D8" s="5"/>
      <c r="E8" s="5"/>
      <c r="F8" s="5"/>
      <c r="G8" s="5"/>
      <c r="H8" s="5"/>
    </row>
    <row r="9" spans="1:8" ht="19.5" customHeight="1" x14ac:dyDescent="0.3">
      <c r="A9" s="10" t="s">
        <v>7</v>
      </c>
      <c r="B9" s="4" t="str">
        <f>IFERROR(VLOOKUP($B$8,tbl_Datos,2,FALSE()),"")</f>
        <v/>
      </c>
      <c r="C9" s="4"/>
      <c r="D9" s="4"/>
      <c r="E9" s="4"/>
      <c r="F9" s="4"/>
      <c r="G9" s="4"/>
      <c r="H9" s="4"/>
    </row>
    <row r="10" spans="1:8" ht="19.5" customHeight="1" x14ac:dyDescent="0.3">
      <c r="A10" s="10" t="s">
        <v>8</v>
      </c>
      <c r="B10" s="4" t="str">
        <f>IFERROR(VLOOKUP($B$8,tbl_Datos,3,FALSE()),"")</f>
        <v/>
      </c>
      <c r="C10" s="4"/>
      <c r="D10" s="4"/>
      <c r="E10" s="4"/>
      <c r="F10" s="4"/>
      <c r="G10" s="4"/>
      <c r="H10" s="4"/>
    </row>
    <row r="11" spans="1:8" ht="19.5" customHeight="1" x14ac:dyDescent="0.3">
      <c r="A11" s="10" t="s">
        <v>9</v>
      </c>
      <c r="B11" s="4" t="str">
        <f>IFERROR(VLOOKUP($B$8,tbl_Datos,4,FALSE()),"")</f>
        <v/>
      </c>
      <c r="C11" s="4"/>
      <c r="D11" s="4"/>
      <c r="E11" s="4"/>
      <c r="F11" s="4"/>
      <c r="G11" s="4"/>
      <c r="H11" s="4"/>
    </row>
    <row r="13" spans="1:8" ht="15" customHeight="1" x14ac:dyDescent="0.3">
      <c r="A13" s="6" t="s">
        <v>10</v>
      </c>
      <c r="B13" s="6"/>
      <c r="C13" s="6"/>
      <c r="D13" s="6"/>
      <c r="E13" s="6"/>
      <c r="F13" s="6"/>
      <c r="G13" s="6"/>
      <c r="H13" s="6"/>
    </row>
    <row r="14" spans="1:8" ht="21.75" customHeight="1" x14ac:dyDescent="0.3">
      <c r="A14" s="10" t="s">
        <v>40</v>
      </c>
      <c r="B14" s="5"/>
      <c r="C14" s="5"/>
      <c r="D14" s="5"/>
      <c r="E14" s="5"/>
      <c r="F14" s="5"/>
      <c r="G14" s="5"/>
      <c r="H14" s="5"/>
    </row>
    <row r="15" spans="1:8" ht="21.75" customHeight="1" x14ac:dyDescent="0.3">
      <c r="A15" s="10" t="s">
        <v>41</v>
      </c>
      <c r="B15" s="5"/>
      <c r="C15" s="5"/>
      <c r="D15" s="5"/>
      <c r="E15" s="5"/>
      <c r="F15" s="5"/>
      <c r="G15" s="5"/>
      <c r="H15" s="5"/>
    </row>
    <row r="16" spans="1:8" ht="21.75" customHeight="1" x14ac:dyDescent="0.3">
      <c r="A16" s="10" t="s">
        <v>42</v>
      </c>
      <c r="B16" s="5"/>
      <c r="C16" s="5"/>
      <c r="D16" s="5"/>
      <c r="E16" s="5"/>
      <c r="F16" s="5"/>
      <c r="G16" s="5"/>
      <c r="H16" s="5"/>
    </row>
    <row r="17" spans="1:8" ht="21.75" customHeight="1" x14ac:dyDescent="0.3">
      <c r="A17" s="10" t="s">
        <v>43</v>
      </c>
      <c r="B17" s="5"/>
      <c r="C17" s="5"/>
      <c r="D17" s="5"/>
      <c r="E17" s="5"/>
      <c r="F17" s="5"/>
      <c r="G17" s="5"/>
      <c r="H17" s="5"/>
    </row>
    <row r="18" spans="1:8" ht="21.75" customHeight="1" x14ac:dyDescent="0.3">
      <c r="A18" s="10" t="s">
        <v>44</v>
      </c>
      <c r="B18" s="5"/>
      <c r="C18" s="5"/>
      <c r="D18" s="5"/>
      <c r="E18" s="5"/>
      <c r="F18" s="5"/>
      <c r="G18" s="5"/>
      <c r="H18" s="5"/>
    </row>
    <row r="20" spans="1:8" ht="15" customHeight="1" x14ac:dyDescent="0.3">
      <c r="A20" s="6" t="s">
        <v>17</v>
      </c>
      <c r="B20" s="6"/>
      <c r="C20" s="6"/>
      <c r="D20" s="6"/>
      <c r="E20" s="6"/>
      <c r="F20" s="6"/>
      <c r="G20" s="6"/>
      <c r="H20" s="6"/>
    </row>
    <row r="21" spans="1:8" ht="21.75" customHeight="1" x14ac:dyDescent="0.3">
      <c r="A21" s="3"/>
      <c r="B21" s="3"/>
      <c r="C21" s="3"/>
      <c r="D21" s="3"/>
      <c r="E21" s="3"/>
      <c r="F21" s="3"/>
      <c r="G21" s="3"/>
      <c r="H21" s="3"/>
    </row>
    <row r="22" spans="1:8" ht="21.7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21.75" customHeight="1" x14ac:dyDescent="0.3">
      <c r="A23" s="3"/>
      <c r="B23" s="3"/>
      <c r="C23" s="3"/>
      <c r="D23" s="3"/>
      <c r="E23" s="3"/>
      <c r="F23" s="3"/>
      <c r="G23" s="3"/>
      <c r="H23" s="3"/>
    </row>
  </sheetData>
  <mergeCells count="18">
    <mergeCell ref="B18:H18"/>
    <mergeCell ref="A20:H20"/>
    <mergeCell ref="A21:H23"/>
    <mergeCell ref="A13:H13"/>
    <mergeCell ref="B14:H14"/>
    <mergeCell ref="B15:H15"/>
    <mergeCell ref="B16:H16"/>
    <mergeCell ref="B17:H17"/>
    <mergeCell ref="B7:H7"/>
    <mergeCell ref="B8:H8"/>
    <mergeCell ref="B9:H9"/>
    <mergeCell ref="B10:H10"/>
    <mergeCell ref="B11:H11"/>
    <mergeCell ref="A1:H1"/>
    <mergeCell ref="A2:H2"/>
    <mergeCell ref="A3:H3"/>
    <mergeCell ref="A5:H5"/>
    <mergeCell ref="B6:H6"/>
  </mergeCells>
  <dataValidations count="5">
    <dataValidation type="list" allowBlank="1" errorTitle="Valor no válido" error="Seleccione un valor de la lista desplegable." promptTitle="Fuente de agua más cercana" prompt="Elija una opción de la lista." sqref="B14" xr:uid="{00000000-0002-0000-0400-000001000000}">
      <formula1>lst_FuenteAgua</formula1>
      <formula2>0</formula2>
    </dataValidation>
    <dataValidation type="list" allowBlank="1" errorTitle="Valor no válido" error="Seleccione un valor de la lista desplegable." promptTitle="Régimen hídrico" prompt="Elija una opción de la lista." sqref="B15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 del agua" prompt="Elija una opción de la lista." sqref="B16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Distancia a fuente de agua" prompt="Elija una opción de la lista." sqref="B17" xr:uid="{00000000-0002-0000-0400-000004000000}">
      <formula1>lst_DistanciaAgua</formula1>
      <formula2>0</formula2>
    </dataValidation>
    <dataValidation type="list" allowBlank="1" errorTitle="Valor no válido" error="Seleccione un valor de la lista desplegable." promptTitle="Uso del recurso hídrico" prompt="Elija una opción de la lista." sqref="B18" xr:uid="{00000000-0002-0000-0400-000005000000}">
      <formula1>lst_UsoHidrico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ódigo no válido" error="Seleccione un Código de Bloque válido del catálogo." promptTitle="Código de Bloque" prompt="Elija el código del bloque de intervención." xr:uid="{00000000-0002-0000-0400-000000000000}">
          <x14:formula1>
            <xm:f>_Datos!$A$2:$A$129</xm:f>
          </x14:formula1>
          <x14:formula2>
            <xm:f>0</xm:f>
          </x14:formula2>
          <xm:sqref>B8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6640625" defaultRowHeight="14.4" x14ac:dyDescent="0.3"/>
  <cols>
    <col min="1" max="1" width="38" customWidth="1"/>
    <col min="2" max="8" width="14" customWidth="1"/>
  </cols>
  <sheetData>
    <row r="1" spans="1:8" ht="25.5" customHeight="1" x14ac:dyDescent="0.3">
      <c r="A1" s="9" t="s">
        <v>0</v>
      </c>
      <c r="B1" s="9"/>
      <c r="C1" s="9"/>
      <c r="D1" s="9"/>
      <c r="E1" s="9"/>
      <c r="F1" s="9"/>
      <c r="G1" s="9"/>
      <c r="H1" s="9"/>
    </row>
    <row r="2" spans="1:8" ht="21.75" customHeight="1" x14ac:dyDescent="0.3">
      <c r="A2" s="8" t="s">
        <v>45</v>
      </c>
      <c r="B2" s="8"/>
      <c r="C2" s="8"/>
      <c r="D2" s="8"/>
      <c r="E2" s="8"/>
      <c r="F2" s="8"/>
      <c r="G2" s="8"/>
      <c r="H2" s="8"/>
    </row>
    <row r="3" spans="1:8" ht="18" customHeight="1" x14ac:dyDescent="0.3">
      <c r="A3" s="7" t="s">
        <v>2</v>
      </c>
      <c r="B3" s="7"/>
      <c r="C3" s="7"/>
      <c r="D3" s="7"/>
      <c r="E3" s="7"/>
      <c r="F3" s="7"/>
      <c r="G3" s="7"/>
      <c r="H3" s="7"/>
    </row>
    <row r="5" spans="1:8" ht="15" customHeight="1" x14ac:dyDescent="0.3">
      <c r="A5" s="6" t="s">
        <v>3</v>
      </c>
      <c r="B5" s="6"/>
      <c r="C5" s="6"/>
      <c r="D5" s="6"/>
      <c r="E5" s="6"/>
      <c r="F5" s="6"/>
      <c r="G5" s="6"/>
      <c r="H5" s="6"/>
    </row>
    <row r="6" spans="1:8" ht="19.5" customHeight="1" x14ac:dyDescent="0.3">
      <c r="A6" s="10" t="s">
        <v>4</v>
      </c>
      <c r="B6" s="5"/>
      <c r="C6" s="5"/>
      <c r="D6" s="5"/>
      <c r="E6" s="5"/>
      <c r="F6" s="5"/>
      <c r="G6" s="5"/>
      <c r="H6" s="5"/>
    </row>
    <row r="7" spans="1:8" ht="19.5" customHeight="1" x14ac:dyDescent="0.3">
      <c r="A7" s="10" t="s">
        <v>5</v>
      </c>
      <c r="B7" s="5"/>
      <c r="C7" s="5"/>
      <c r="D7" s="5"/>
      <c r="E7" s="5"/>
      <c r="F7" s="5"/>
      <c r="G7" s="5"/>
      <c r="H7" s="5"/>
    </row>
    <row r="8" spans="1:8" ht="19.5" customHeight="1" x14ac:dyDescent="0.3">
      <c r="A8" s="10" t="s">
        <v>6</v>
      </c>
      <c r="B8" s="5"/>
      <c r="C8" s="5"/>
      <c r="D8" s="5"/>
      <c r="E8" s="5"/>
      <c r="F8" s="5"/>
      <c r="G8" s="5"/>
      <c r="H8" s="5"/>
    </row>
    <row r="9" spans="1:8" ht="19.5" customHeight="1" x14ac:dyDescent="0.3">
      <c r="A9" s="10" t="s">
        <v>7</v>
      </c>
      <c r="B9" s="4" t="str">
        <f>IFERROR(VLOOKUP($B$8,tbl_Datos,2,FALSE()),"")</f>
        <v/>
      </c>
      <c r="C9" s="4"/>
      <c r="D9" s="4"/>
      <c r="E9" s="4"/>
      <c r="F9" s="4"/>
      <c r="G9" s="4"/>
      <c r="H9" s="4"/>
    </row>
    <row r="10" spans="1:8" ht="19.5" customHeight="1" x14ac:dyDescent="0.3">
      <c r="A10" s="10" t="s">
        <v>8</v>
      </c>
      <c r="B10" s="4" t="str">
        <f>IFERROR(VLOOKUP($B$8,tbl_Datos,3,FALSE()),"")</f>
        <v/>
      </c>
      <c r="C10" s="4"/>
      <c r="D10" s="4"/>
      <c r="E10" s="4"/>
      <c r="F10" s="4"/>
      <c r="G10" s="4"/>
      <c r="H10" s="4"/>
    </row>
    <row r="11" spans="1:8" ht="19.5" customHeight="1" x14ac:dyDescent="0.3">
      <c r="A11" s="10" t="s">
        <v>9</v>
      </c>
      <c r="B11" s="4" t="str">
        <f>IFERROR(VLOOKUP($B$8,tbl_Datos,4,FALSE()),"")</f>
        <v/>
      </c>
      <c r="C11" s="4"/>
      <c r="D11" s="4"/>
      <c r="E11" s="4"/>
      <c r="F11" s="4"/>
      <c r="G11" s="4"/>
      <c r="H11" s="4"/>
    </row>
    <row r="13" spans="1:8" ht="15" customHeight="1" x14ac:dyDescent="0.3">
      <c r="A13" s="6" t="s">
        <v>10</v>
      </c>
      <c r="B13" s="6"/>
      <c r="C13" s="6"/>
      <c r="D13" s="6"/>
      <c r="E13" s="6"/>
      <c r="F13" s="6"/>
      <c r="G13" s="6"/>
      <c r="H13" s="6"/>
    </row>
    <row r="14" spans="1:8" ht="21.75" customHeight="1" x14ac:dyDescent="0.3">
      <c r="A14" s="10" t="s">
        <v>46</v>
      </c>
      <c r="B14" s="5"/>
      <c r="C14" s="5"/>
      <c r="D14" s="5"/>
      <c r="E14" s="5"/>
      <c r="F14" s="5"/>
      <c r="G14" s="5"/>
      <c r="H14" s="5"/>
    </row>
    <row r="15" spans="1:8" ht="21.75" customHeight="1" x14ac:dyDescent="0.3">
      <c r="A15" s="10" t="s">
        <v>47</v>
      </c>
      <c r="B15" s="5"/>
      <c r="C15" s="5"/>
      <c r="D15" s="5"/>
      <c r="E15" s="5"/>
      <c r="F15" s="5"/>
      <c r="G15" s="5"/>
      <c r="H15" s="5"/>
    </row>
    <row r="16" spans="1:8" ht="21.75" customHeight="1" x14ac:dyDescent="0.3">
      <c r="A16" s="10" t="s">
        <v>48</v>
      </c>
      <c r="B16" s="5"/>
      <c r="C16" s="5"/>
      <c r="D16" s="5"/>
      <c r="E16" s="5"/>
      <c r="F16" s="5"/>
      <c r="G16" s="5"/>
      <c r="H16" s="5"/>
    </row>
    <row r="17" spans="1:8" ht="21.75" customHeight="1" x14ac:dyDescent="0.3">
      <c r="A17" s="10" t="s">
        <v>49</v>
      </c>
      <c r="B17" s="5"/>
      <c r="C17" s="5"/>
      <c r="D17" s="5"/>
      <c r="E17" s="5"/>
      <c r="F17" s="5"/>
      <c r="G17" s="5"/>
      <c r="H17" s="5"/>
    </row>
    <row r="18" spans="1:8" ht="21.75" customHeight="1" x14ac:dyDescent="0.3">
      <c r="A18" s="10" t="s">
        <v>50</v>
      </c>
      <c r="B18" s="5"/>
      <c r="C18" s="5"/>
      <c r="D18" s="5"/>
      <c r="E18" s="5"/>
      <c r="F18" s="5"/>
      <c r="G18" s="5"/>
      <c r="H18" s="5"/>
    </row>
    <row r="19" spans="1:8" ht="15" customHeight="1" x14ac:dyDescent="0.3">
      <c r="A19" s="2" t="s">
        <v>51</v>
      </c>
      <c r="B19" s="2"/>
      <c r="C19" s="2"/>
      <c r="D19" s="2"/>
      <c r="E19" s="2"/>
      <c r="F19" s="2"/>
      <c r="G19" s="2"/>
      <c r="H19" s="2"/>
    </row>
    <row r="20" spans="1:8" ht="21.75" customHeight="1" x14ac:dyDescent="0.3">
      <c r="A20" s="10" t="s">
        <v>52</v>
      </c>
      <c r="B20" s="5"/>
      <c r="C20" s="5"/>
      <c r="D20" s="5"/>
      <c r="E20" s="5"/>
      <c r="F20" s="5"/>
      <c r="G20" s="5"/>
      <c r="H20" s="5"/>
    </row>
    <row r="21" spans="1:8" ht="21.75" customHeight="1" x14ac:dyDescent="0.3">
      <c r="A21" s="10" t="s">
        <v>53</v>
      </c>
      <c r="B21" s="5"/>
      <c r="C21" s="5"/>
      <c r="D21" s="5"/>
      <c r="E21" s="5"/>
      <c r="F21" s="5"/>
      <c r="G21" s="5"/>
      <c r="H21" s="5"/>
    </row>
    <row r="22" spans="1:8" ht="21.75" customHeight="1" x14ac:dyDescent="0.3">
      <c r="A22" s="10" t="s">
        <v>54</v>
      </c>
      <c r="B22" s="5"/>
      <c r="C22" s="5"/>
      <c r="D22" s="5"/>
      <c r="E22" s="5"/>
      <c r="F22" s="5"/>
      <c r="G22" s="5"/>
      <c r="H22" s="5"/>
    </row>
    <row r="23" spans="1:8" ht="21.75" customHeight="1" x14ac:dyDescent="0.3">
      <c r="A23" s="10" t="s">
        <v>55</v>
      </c>
      <c r="B23" s="5"/>
      <c r="C23" s="5"/>
      <c r="D23" s="5"/>
      <c r="E23" s="5"/>
      <c r="F23" s="5"/>
      <c r="G23" s="5"/>
      <c r="H23" s="5"/>
    </row>
    <row r="24" spans="1:8" ht="21.75" customHeight="1" x14ac:dyDescent="0.3">
      <c r="A24" s="10" t="s">
        <v>56</v>
      </c>
      <c r="B24" s="5"/>
      <c r="C24" s="5"/>
      <c r="D24" s="5"/>
      <c r="E24" s="5"/>
      <c r="F24" s="5"/>
      <c r="G24" s="5"/>
      <c r="H24" s="5"/>
    </row>
    <row r="26" spans="1:8" ht="15" customHeight="1" x14ac:dyDescent="0.3">
      <c r="A26" s="6" t="s">
        <v>17</v>
      </c>
      <c r="B26" s="6"/>
      <c r="C26" s="6"/>
      <c r="D26" s="6"/>
      <c r="E26" s="6"/>
      <c r="F26" s="6"/>
      <c r="G26" s="6"/>
      <c r="H26" s="6"/>
    </row>
    <row r="27" spans="1:8" ht="21.7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21.7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21.75" customHeight="1" x14ac:dyDescent="0.3">
      <c r="A29" s="3"/>
      <c r="B29" s="3"/>
      <c r="C29" s="3"/>
      <c r="D29" s="3"/>
      <c r="E29" s="3"/>
      <c r="F29" s="3"/>
      <c r="G29" s="3"/>
      <c r="H29" s="3"/>
    </row>
  </sheetData>
  <mergeCells count="24">
    <mergeCell ref="B23:H23"/>
    <mergeCell ref="B24:H24"/>
    <mergeCell ref="A26:H26"/>
    <mergeCell ref="A27:H29"/>
    <mergeCell ref="B18:H18"/>
    <mergeCell ref="A19:H19"/>
    <mergeCell ref="B20:H20"/>
    <mergeCell ref="B21:H21"/>
    <mergeCell ref="B22:H22"/>
    <mergeCell ref="A13:H13"/>
    <mergeCell ref="B14:H14"/>
    <mergeCell ref="B15:H15"/>
    <mergeCell ref="B16:H16"/>
    <mergeCell ref="B17:H17"/>
    <mergeCell ref="B7:H7"/>
    <mergeCell ref="B8:H8"/>
    <mergeCell ref="B9:H9"/>
    <mergeCell ref="B10:H10"/>
    <mergeCell ref="B11:H11"/>
    <mergeCell ref="A1:H1"/>
    <mergeCell ref="A2:H2"/>
    <mergeCell ref="A3:H3"/>
    <mergeCell ref="A5:H5"/>
    <mergeCell ref="B6:H6"/>
  </mergeCells>
  <dataValidations count="10">
    <dataValidation type="list" allowBlank="1" errorTitle="Valor no válido" error="Seleccione un valor de la lista desplegable." promptTitle="Tenencia de la tierra" prompt="Elija una opción de la lista." sqref="B14" xr:uid="{00000000-0002-0000-0500-000001000000}">
      <formula1>lst_TenenciaTierra</formula1>
      <formula2>0</formula2>
    </dataValidation>
    <dataValidation type="list" allowBlank="1" errorTitle="Valor no válido" error="Seleccione un valor de la lista desplegable." promptTitle="Organización comunal" prompt="Elija una opción de la lista." sqref="B15" xr:uid="{00000000-0002-0000-0500-000002000000}">
      <formula1>lst_OrganizacionComunal</formula1>
      <formula2>0</formula2>
    </dataValidation>
    <dataValidation type="list" allowBlank="1" errorTitle="Valor no válido" error="Seleccione un valor de la lista desplegable." promptTitle="Actividad económica principal" prompt="Elija una opción de la lista." sqref="B16" xr:uid="{00000000-0002-0000-0500-000003000000}">
      <formula1>lst_ActividadEconomica</formula1>
      <formula2>0</formula2>
    </dataValidation>
    <dataValidation type="list" allowBlank="1" errorTitle="Valor no válido" error="Seleccione un valor de la lista desplegable." promptTitle="Accesibilidad (vía principal)" prompt="Elija una opción de la lista." sqref="B17" xr:uid="{00000000-0002-0000-0500-000004000000}">
      <formula1>lst_Accesibilidad</formula1>
      <formula2>0</formula2>
    </dataValidation>
    <dataValidation type="list" allowBlank="1" errorTitle="Valor no válido" error="Seleccione un valor de la lista desplegable." promptTitle="Distancia al centro poblado" prompt="Elija una opción de la lista." sqref="B18" xr:uid="{00000000-0002-0000-0500-000005000000}">
      <formula1>lst_DistanciaCP</formula1>
      <formula2>0</formula2>
    </dataValidation>
    <dataValidation type="list" allowBlank="1" errorTitle="Valor no válido" error="Seleccione un valor de la lista desplegable." promptTitle="Servicio: Agua potable" prompt="Elija una opción de la lista." sqref="B20" xr:uid="{00000000-0002-0000-0500-000006000000}">
      <formula1>lst_SiNo</formula1>
      <formula2>0</formula2>
    </dataValidation>
    <dataValidation type="list" allowBlank="1" errorTitle="Valor no válido" error="Seleccione un valor de la lista desplegable." promptTitle="Servicio: Electricidad" prompt="Elija una opción de la lista." sqref="B21" xr:uid="{00000000-0002-0000-0500-000007000000}">
      <formula1>lst_SiNo</formula1>
      <formula2>0</formula2>
    </dataValidation>
    <dataValidation type="list" allowBlank="1" errorTitle="Valor no válido" error="Seleccione un valor de la lista desplegable." promptTitle="Servicio: Telecomunicaciones / Internet" prompt="Elija una opción de la lista." sqref="B22" xr:uid="{00000000-0002-0000-0500-000008000000}">
      <formula1>lst_SiNo</formula1>
      <formula2>0</formula2>
    </dataValidation>
    <dataValidation type="list" allowBlank="1" errorTitle="Valor no válido" error="Seleccione un valor de la lista desplegable." promptTitle="Servicio: Puesto de salud" prompt="Elija una opción de la lista." sqref="B23" xr:uid="{00000000-0002-0000-0500-000009000000}">
      <formula1>lst_SiNo</formula1>
      <formula2>0</formula2>
    </dataValidation>
    <dataValidation type="list" allowBlank="1" errorTitle="Valor no válido" error="Seleccione un valor de la lista desplegable." promptTitle="Servicio: Escuela / IE" prompt="Elija una opción de la lista." sqref="B24" xr:uid="{00000000-0002-0000-0500-00000A000000}">
      <formula1>lst_SiNo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ódigo no válido" error="Seleccione un Código de Bloque válido del catálogo." promptTitle="Código de Bloque" prompt="Elija el código del bloque de intervención." xr:uid="{00000000-0002-0000-0500-000000000000}">
          <x14:formula1>
            <xm:f>_Datos!$A$2:$A$129</xm:f>
          </x14:formula1>
          <x14:formula2>
            <xm:f>0</xm:f>
          </x14:formula2>
          <xm:sqref>B8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2" customWidth="1"/>
    <col min="2" max="2" width="18" customWidth="1"/>
    <col min="3" max="3" width="16" customWidth="1"/>
    <col min="4" max="4" width="28" customWidth="1"/>
  </cols>
  <sheetData>
    <row r="1" spans="1:4" x14ac:dyDescent="0.3">
      <c r="A1" s="11" t="s">
        <v>57</v>
      </c>
      <c r="B1" s="11" t="s">
        <v>58</v>
      </c>
      <c r="C1" s="11" t="s">
        <v>59</v>
      </c>
      <c r="D1" s="11" t="s">
        <v>60</v>
      </c>
    </row>
    <row r="2" spans="1:4" x14ac:dyDescent="0.3">
      <c r="A2" s="12" t="s">
        <v>61</v>
      </c>
      <c r="B2" s="13" t="s">
        <v>62</v>
      </c>
      <c r="C2" s="13" t="s">
        <v>63</v>
      </c>
      <c r="D2" s="13" t="s">
        <v>64</v>
      </c>
    </row>
    <row r="3" spans="1:4" x14ac:dyDescent="0.3">
      <c r="A3" s="12" t="s">
        <v>65</v>
      </c>
      <c r="B3" s="13" t="s">
        <v>66</v>
      </c>
      <c r="C3" s="13" t="s">
        <v>63</v>
      </c>
      <c r="D3" s="13" t="s">
        <v>67</v>
      </c>
    </row>
    <row r="4" spans="1:4" x14ac:dyDescent="0.3">
      <c r="A4" s="12" t="s">
        <v>68</v>
      </c>
      <c r="B4" s="13" t="s">
        <v>69</v>
      </c>
      <c r="C4" s="13" t="s">
        <v>70</v>
      </c>
      <c r="D4" s="13" t="s">
        <v>71</v>
      </c>
    </row>
    <row r="5" spans="1:4" x14ac:dyDescent="0.3">
      <c r="A5" s="12" t="s">
        <v>72</v>
      </c>
      <c r="B5" s="13" t="s">
        <v>73</v>
      </c>
      <c r="C5" s="13" t="s">
        <v>74</v>
      </c>
      <c r="D5" s="13" t="s">
        <v>75</v>
      </c>
    </row>
    <row r="6" spans="1:4" x14ac:dyDescent="0.3">
      <c r="A6" s="12" t="s">
        <v>76</v>
      </c>
      <c r="B6" s="13" t="s">
        <v>77</v>
      </c>
      <c r="C6" s="13" t="s">
        <v>63</v>
      </c>
      <c r="D6" s="13" t="s">
        <v>78</v>
      </c>
    </row>
    <row r="7" spans="1:4" x14ac:dyDescent="0.3">
      <c r="A7" s="12" t="s">
        <v>79</v>
      </c>
      <c r="B7" s="13" t="s">
        <v>80</v>
      </c>
      <c r="C7" s="13" t="s">
        <v>70</v>
      </c>
      <c r="D7" s="13" t="s">
        <v>71</v>
      </c>
    </row>
    <row r="8" spans="1:4" x14ac:dyDescent="0.3">
      <c r="A8" s="12" t="s">
        <v>81</v>
      </c>
      <c r="B8" s="13" t="s">
        <v>62</v>
      </c>
      <c r="C8" s="13" t="s">
        <v>63</v>
      </c>
      <c r="D8" s="13" t="s">
        <v>64</v>
      </c>
    </row>
    <row r="9" spans="1:4" x14ac:dyDescent="0.3">
      <c r="A9" s="12" t="s">
        <v>82</v>
      </c>
      <c r="B9" s="13" t="s">
        <v>83</v>
      </c>
      <c r="C9" s="13" t="s">
        <v>74</v>
      </c>
      <c r="D9" s="13" t="s">
        <v>75</v>
      </c>
    </row>
    <row r="10" spans="1:4" x14ac:dyDescent="0.3">
      <c r="A10" s="12" t="s">
        <v>84</v>
      </c>
      <c r="B10" s="13" t="s">
        <v>85</v>
      </c>
      <c r="C10" s="13" t="s">
        <v>74</v>
      </c>
      <c r="D10" s="13" t="s">
        <v>86</v>
      </c>
    </row>
    <row r="11" spans="1:4" x14ac:dyDescent="0.3">
      <c r="A11" s="12" t="s">
        <v>87</v>
      </c>
      <c r="B11" s="13" t="s">
        <v>83</v>
      </c>
      <c r="C11" s="13" t="s">
        <v>74</v>
      </c>
      <c r="D11" s="13" t="s">
        <v>75</v>
      </c>
    </row>
    <row r="12" spans="1:4" x14ac:dyDescent="0.3">
      <c r="A12" s="12" t="s">
        <v>88</v>
      </c>
      <c r="B12" s="13" t="s">
        <v>89</v>
      </c>
      <c r="C12" s="13" t="s">
        <v>63</v>
      </c>
      <c r="D12" s="13" t="s">
        <v>90</v>
      </c>
    </row>
    <row r="13" spans="1:4" x14ac:dyDescent="0.3">
      <c r="A13" s="12" t="s">
        <v>91</v>
      </c>
      <c r="B13" s="13" t="s">
        <v>89</v>
      </c>
      <c r="C13" s="13" t="s">
        <v>63</v>
      </c>
      <c r="D13" s="13" t="s">
        <v>90</v>
      </c>
    </row>
    <row r="14" spans="1:4" x14ac:dyDescent="0.3">
      <c r="A14" s="12" t="s">
        <v>92</v>
      </c>
      <c r="B14" s="13" t="s">
        <v>93</v>
      </c>
      <c r="C14" s="13" t="s">
        <v>63</v>
      </c>
      <c r="D14" s="13" t="s">
        <v>90</v>
      </c>
    </row>
    <row r="15" spans="1:4" x14ac:dyDescent="0.3">
      <c r="A15" s="12" t="s">
        <v>94</v>
      </c>
      <c r="B15" s="13" t="s">
        <v>89</v>
      </c>
      <c r="C15" s="13" t="s">
        <v>63</v>
      </c>
      <c r="D15" s="13" t="s">
        <v>95</v>
      </c>
    </row>
    <row r="16" spans="1:4" x14ac:dyDescent="0.3">
      <c r="A16" s="12" t="s">
        <v>96</v>
      </c>
      <c r="B16" s="13" t="s">
        <v>89</v>
      </c>
      <c r="C16" s="13" t="s">
        <v>63</v>
      </c>
      <c r="D16" s="13" t="s">
        <v>90</v>
      </c>
    </row>
    <row r="17" spans="1:4" x14ac:dyDescent="0.3">
      <c r="A17" s="12" t="s">
        <v>97</v>
      </c>
      <c r="B17" s="13" t="s">
        <v>83</v>
      </c>
      <c r="C17" s="13" t="s">
        <v>74</v>
      </c>
      <c r="D17" s="13" t="s">
        <v>75</v>
      </c>
    </row>
    <row r="18" spans="1:4" x14ac:dyDescent="0.3">
      <c r="A18" s="12" t="s">
        <v>98</v>
      </c>
      <c r="B18" s="13" t="s">
        <v>89</v>
      </c>
      <c r="C18" s="13" t="s">
        <v>63</v>
      </c>
      <c r="D18" s="13" t="s">
        <v>90</v>
      </c>
    </row>
    <row r="19" spans="1:4" x14ac:dyDescent="0.3">
      <c r="A19" s="12" t="s">
        <v>99</v>
      </c>
      <c r="B19" s="13" t="s">
        <v>100</v>
      </c>
      <c r="C19" s="13" t="s">
        <v>74</v>
      </c>
      <c r="D19" s="13" t="s">
        <v>75</v>
      </c>
    </row>
    <row r="20" spans="1:4" x14ac:dyDescent="0.3">
      <c r="A20" s="12" t="s">
        <v>101</v>
      </c>
      <c r="B20" s="13" t="s">
        <v>100</v>
      </c>
      <c r="C20" s="13" t="s">
        <v>74</v>
      </c>
      <c r="D20" s="13" t="s">
        <v>75</v>
      </c>
    </row>
    <row r="21" spans="1:4" x14ac:dyDescent="0.3">
      <c r="A21" s="12" t="s">
        <v>102</v>
      </c>
      <c r="B21" s="13" t="s">
        <v>83</v>
      </c>
      <c r="C21" s="13" t="s">
        <v>74</v>
      </c>
      <c r="D21" s="13" t="s">
        <v>75</v>
      </c>
    </row>
    <row r="22" spans="1:4" x14ac:dyDescent="0.3">
      <c r="A22" s="12" t="s">
        <v>103</v>
      </c>
      <c r="B22" s="13" t="s">
        <v>104</v>
      </c>
      <c r="C22" s="13" t="s">
        <v>74</v>
      </c>
      <c r="D22" s="13" t="s">
        <v>105</v>
      </c>
    </row>
    <row r="23" spans="1:4" x14ac:dyDescent="0.3">
      <c r="A23" s="12" t="s">
        <v>106</v>
      </c>
      <c r="B23" s="13" t="s">
        <v>107</v>
      </c>
      <c r="C23" s="13" t="s">
        <v>63</v>
      </c>
      <c r="D23" s="13" t="s">
        <v>67</v>
      </c>
    </row>
    <row r="24" spans="1:4" x14ac:dyDescent="0.3">
      <c r="A24" s="12" t="s">
        <v>108</v>
      </c>
      <c r="B24" s="13" t="s">
        <v>89</v>
      </c>
      <c r="C24" s="13" t="s">
        <v>63</v>
      </c>
      <c r="D24" s="13" t="s">
        <v>90</v>
      </c>
    </row>
    <row r="25" spans="1:4" x14ac:dyDescent="0.3">
      <c r="A25" s="12" t="s">
        <v>109</v>
      </c>
      <c r="B25" s="13" t="s">
        <v>110</v>
      </c>
      <c r="C25" s="13" t="s">
        <v>74</v>
      </c>
      <c r="D25" s="13" t="s">
        <v>105</v>
      </c>
    </row>
    <row r="26" spans="1:4" x14ac:dyDescent="0.3">
      <c r="A26" s="12" t="s">
        <v>111</v>
      </c>
      <c r="B26" s="13" t="s">
        <v>80</v>
      </c>
      <c r="C26" s="13" t="s">
        <v>63</v>
      </c>
      <c r="D26" s="13" t="s">
        <v>67</v>
      </c>
    </row>
    <row r="27" spans="1:4" x14ac:dyDescent="0.3">
      <c r="A27" s="12" t="s">
        <v>112</v>
      </c>
      <c r="B27" s="13" t="s">
        <v>104</v>
      </c>
      <c r="C27" s="13" t="s">
        <v>74</v>
      </c>
      <c r="D27" s="13" t="s">
        <v>113</v>
      </c>
    </row>
    <row r="28" spans="1:4" x14ac:dyDescent="0.3">
      <c r="A28" s="12" t="s">
        <v>114</v>
      </c>
      <c r="B28" s="13" t="s">
        <v>107</v>
      </c>
      <c r="C28" s="13" t="s">
        <v>70</v>
      </c>
      <c r="D28" s="13" t="s">
        <v>71</v>
      </c>
    </row>
    <row r="29" spans="1:4" x14ac:dyDescent="0.3">
      <c r="A29" s="12" t="s">
        <v>115</v>
      </c>
      <c r="B29" s="13" t="s">
        <v>104</v>
      </c>
      <c r="C29" s="13" t="s">
        <v>74</v>
      </c>
      <c r="D29" s="13" t="s">
        <v>105</v>
      </c>
    </row>
    <row r="30" spans="1:4" x14ac:dyDescent="0.3">
      <c r="A30" s="12" t="s">
        <v>116</v>
      </c>
      <c r="B30" s="13" t="s">
        <v>100</v>
      </c>
      <c r="C30" s="13" t="s">
        <v>74</v>
      </c>
      <c r="D30" s="13" t="s">
        <v>75</v>
      </c>
    </row>
    <row r="31" spans="1:4" x14ac:dyDescent="0.3">
      <c r="A31" s="12" t="s">
        <v>117</v>
      </c>
      <c r="B31" s="13" t="s">
        <v>104</v>
      </c>
      <c r="C31" s="13" t="s">
        <v>74</v>
      </c>
      <c r="D31" s="13" t="s">
        <v>105</v>
      </c>
    </row>
    <row r="32" spans="1:4" x14ac:dyDescent="0.3">
      <c r="A32" s="12" t="s">
        <v>118</v>
      </c>
      <c r="B32" s="13" t="s">
        <v>100</v>
      </c>
      <c r="C32" s="13" t="s">
        <v>74</v>
      </c>
      <c r="D32" s="13" t="s">
        <v>75</v>
      </c>
    </row>
    <row r="33" spans="1:4" x14ac:dyDescent="0.3">
      <c r="A33" s="12" t="s">
        <v>119</v>
      </c>
      <c r="B33" s="13" t="s">
        <v>107</v>
      </c>
      <c r="C33" s="13" t="s">
        <v>63</v>
      </c>
      <c r="D33" s="13" t="s">
        <v>67</v>
      </c>
    </row>
    <row r="34" spans="1:4" x14ac:dyDescent="0.3">
      <c r="A34" s="12" t="s">
        <v>120</v>
      </c>
      <c r="B34" s="13" t="s">
        <v>121</v>
      </c>
      <c r="C34" s="13" t="s">
        <v>74</v>
      </c>
      <c r="D34" s="13" t="s">
        <v>113</v>
      </c>
    </row>
    <row r="35" spans="1:4" x14ac:dyDescent="0.3">
      <c r="A35" s="12" t="s">
        <v>122</v>
      </c>
      <c r="B35" s="13" t="s">
        <v>121</v>
      </c>
      <c r="C35" s="13" t="s">
        <v>74</v>
      </c>
      <c r="D35" s="13" t="s">
        <v>113</v>
      </c>
    </row>
    <row r="36" spans="1:4" x14ac:dyDescent="0.3">
      <c r="A36" s="12" t="s">
        <v>123</v>
      </c>
      <c r="B36" s="13" t="s">
        <v>85</v>
      </c>
      <c r="C36" s="13" t="s">
        <v>74</v>
      </c>
      <c r="D36" s="13" t="s">
        <v>86</v>
      </c>
    </row>
    <row r="37" spans="1:4" x14ac:dyDescent="0.3">
      <c r="A37" s="12" t="s">
        <v>124</v>
      </c>
      <c r="B37" s="13" t="s">
        <v>80</v>
      </c>
      <c r="C37" s="13" t="s">
        <v>70</v>
      </c>
      <c r="D37" s="13" t="s">
        <v>71</v>
      </c>
    </row>
    <row r="38" spans="1:4" x14ac:dyDescent="0.3">
      <c r="A38" s="12" t="s">
        <v>125</v>
      </c>
      <c r="B38" s="13" t="s">
        <v>104</v>
      </c>
      <c r="C38" s="13" t="s">
        <v>74</v>
      </c>
      <c r="D38" s="13" t="s">
        <v>113</v>
      </c>
    </row>
    <row r="39" spans="1:4" x14ac:dyDescent="0.3">
      <c r="A39" s="12" t="s">
        <v>126</v>
      </c>
      <c r="B39" s="13" t="s">
        <v>121</v>
      </c>
      <c r="C39" s="13" t="s">
        <v>74</v>
      </c>
      <c r="D39" s="13" t="s">
        <v>113</v>
      </c>
    </row>
    <row r="40" spans="1:4" x14ac:dyDescent="0.3">
      <c r="A40" s="12" t="s">
        <v>127</v>
      </c>
      <c r="B40" s="13" t="s">
        <v>93</v>
      </c>
      <c r="C40" s="13" t="s">
        <v>70</v>
      </c>
      <c r="D40" s="13" t="s">
        <v>71</v>
      </c>
    </row>
    <row r="41" spans="1:4" x14ac:dyDescent="0.3">
      <c r="A41" s="12" t="s">
        <v>128</v>
      </c>
      <c r="B41" s="13" t="s">
        <v>104</v>
      </c>
      <c r="C41" s="13" t="s">
        <v>74</v>
      </c>
      <c r="D41" s="13" t="s">
        <v>105</v>
      </c>
    </row>
    <row r="42" spans="1:4" x14ac:dyDescent="0.3">
      <c r="A42" s="12" t="s">
        <v>129</v>
      </c>
      <c r="B42" s="13" t="s">
        <v>100</v>
      </c>
      <c r="C42" s="13" t="s">
        <v>74</v>
      </c>
      <c r="D42" s="13" t="s">
        <v>75</v>
      </c>
    </row>
    <row r="43" spans="1:4" x14ac:dyDescent="0.3">
      <c r="A43" s="12" t="s">
        <v>130</v>
      </c>
      <c r="B43" s="13" t="s">
        <v>89</v>
      </c>
      <c r="C43" s="13" t="s">
        <v>63</v>
      </c>
      <c r="D43" s="13" t="s">
        <v>95</v>
      </c>
    </row>
    <row r="44" spans="1:4" x14ac:dyDescent="0.3">
      <c r="A44" s="12" t="s">
        <v>131</v>
      </c>
      <c r="B44" s="13" t="s">
        <v>85</v>
      </c>
      <c r="C44" s="13" t="s">
        <v>74</v>
      </c>
      <c r="D44" s="13" t="s">
        <v>86</v>
      </c>
    </row>
    <row r="45" spans="1:4" x14ac:dyDescent="0.3">
      <c r="A45" s="12" t="s">
        <v>132</v>
      </c>
      <c r="B45" s="13" t="s">
        <v>85</v>
      </c>
      <c r="C45" s="13" t="s">
        <v>74</v>
      </c>
      <c r="D45" s="13" t="s">
        <v>86</v>
      </c>
    </row>
    <row r="46" spans="1:4" x14ac:dyDescent="0.3">
      <c r="A46" s="12" t="s">
        <v>133</v>
      </c>
      <c r="B46" s="13" t="s">
        <v>100</v>
      </c>
      <c r="C46" s="13" t="s">
        <v>74</v>
      </c>
      <c r="D46" s="13" t="s">
        <v>75</v>
      </c>
    </row>
    <row r="47" spans="1:4" x14ac:dyDescent="0.3">
      <c r="A47" s="12" t="s">
        <v>134</v>
      </c>
      <c r="B47" s="13" t="s">
        <v>135</v>
      </c>
      <c r="C47" s="13" t="s">
        <v>63</v>
      </c>
      <c r="D47" s="13" t="s">
        <v>136</v>
      </c>
    </row>
    <row r="48" spans="1:4" x14ac:dyDescent="0.3">
      <c r="A48" s="12" t="s">
        <v>137</v>
      </c>
      <c r="B48" s="13" t="s">
        <v>85</v>
      </c>
      <c r="C48" s="13" t="s">
        <v>74</v>
      </c>
      <c r="D48" s="13" t="s">
        <v>86</v>
      </c>
    </row>
    <row r="49" spans="1:4" x14ac:dyDescent="0.3">
      <c r="A49" s="12" t="s">
        <v>138</v>
      </c>
      <c r="B49" s="13" t="s">
        <v>135</v>
      </c>
      <c r="C49" s="13" t="s">
        <v>63</v>
      </c>
      <c r="D49" s="13" t="s">
        <v>136</v>
      </c>
    </row>
    <row r="50" spans="1:4" x14ac:dyDescent="0.3">
      <c r="A50" s="12" t="s">
        <v>139</v>
      </c>
      <c r="B50" s="13" t="s">
        <v>135</v>
      </c>
      <c r="C50" s="13" t="s">
        <v>63</v>
      </c>
      <c r="D50" s="13" t="s">
        <v>136</v>
      </c>
    </row>
    <row r="51" spans="1:4" x14ac:dyDescent="0.3">
      <c r="A51" s="12" t="s">
        <v>140</v>
      </c>
      <c r="B51" s="13" t="s">
        <v>121</v>
      </c>
      <c r="C51" s="13" t="s">
        <v>74</v>
      </c>
      <c r="D51" s="13" t="s">
        <v>113</v>
      </c>
    </row>
    <row r="52" spans="1:4" x14ac:dyDescent="0.3">
      <c r="A52" s="12" t="s">
        <v>141</v>
      </c>
      <c r="B52" s="13" t="s">
        <v>83</v>
      </c>
      <c r="C52" s="13" t="s">
        <v>74</v>
      </c>
      <c r="D52" s="13" t="s">
        <v>75</v>
      </c>
    </row>
    <row r="53" spans="1:4" x14ac:dyDescent="0.3">
      <c r="A53" s="12" t="s">
        <v>142</v>
      </c>
      <c r="B53" s="13" t="s">
        <v>135</v>
      </c>
      <c r="C53" s="13" t="s">
        <v>63</v>
      </c>
      <c r="D53" s="13" t="s">
        <v>136</v>
      </c>
    </row>
    <row r="54" spans="1:4" x14ac:dyDescent="0.3">
      <c r="A54" s="12" t="s">
        <v>143</v>
      </c>
      <c r="B54" s="13" t="s">
        <v>100</v>
      </c>
      <c r="C54" s="13" t="s">
        <v>74</v>
      </c>
      <c r="D54" s="13" t="s">
        <v>75</v>
      </c>
    </row>
    <row r="55" spans="1:4" x14ac:dyDescent="0.3">
      <c r="A55" s="12" t="s">
        <v>144</v>
      </c>
      <c r="B55" s="13" t="s">
        <v>104</v>
      </c>
      <c r="C55" s="13" t="s">
        <v>74</v>
      </c>
      <c r="D55" s="13" t="s">
        <v>74</v>
      </c>
    </row>
    <row r="56" spans="1:4" x14ac:dyDescent="0.3">
      <c r="A56" s="12" t="s">
        <v>145</v>
      </c>
      <c r="B56" s="13" t="s">
        <v>135</v>
      </c>
      <c r="C56" s="13" t="s">
        <v>63</v>
      </c>
      <c r="D56" s="13" t="s">
        <v>136</v>
      </c>
    </row>
    <row r="57" spans="1:4" x14ac:dyDescent="0.3">
      <c r="A57" s="12" t="s">
        <v>146</v>
      </c>
      <c r="B57" s="13" t="s">
        <v>93</v>
      </c>
      <c r="C57" s="13" t="s">
        <v>70</v>
      </c>
      <c r="D57" s="13" t="s">
        <v>71</v>
      </c>
    </row>
    <row r="58" spans="1:4" x14ac:dyDescent="0.3">
      <c r="A58" s="12" t="s">
        <v>147</v>
      </c>
      <c r="B58" s="13" t="s">
        <v>148</v>
      </c>
      <c r="C58" s="13" t="s">
        <v>63</v>
      </c>
      <c r="D58" s="13" t="s">
        <v>149</v>
      </c>
    </row>
    <row r="59" spans="1:4" x14ac:dyDescent="0.3">
      <c r="A59" s="12" t="s">
        <v>150</v>
      </c>
      <c r="B59" s="13" t="s">
        <v>151</v>
      </c>
      <c r="C59" s="13" t="s">
        <v>63</v>
      </c>
      <c r="D59" s="13" t="s">
        <v>95</v>
      </c>
    </row>
    <row r="60" spans="1:4" x14ac:dyDescent="0.3">
      <c r="A60" s="12" t="s">
        <v>152</v>
      </c>
      <c r="B60" s="13" t="s">
        <v>89</v>
      </c>
      <c r="C60" s="13" t="s">
        <v>63</v>
      </c>
      <c r="D60" s="13" t="s">
        <v>149</v>
      </c>
    </row>
    <row r="61" spans="1:4" x14ac:dyDescent="0.3">
      <c r="A61" s="12" t="s">
        <v>153</v>
      </c>
      <c r="B61" s="13" t="s">
        <v>104</v>
      </c>
      <c r="C61" s="13" t="s">
        <v>74</v>
      </c>
      <c r="D61" s="13" t="s">
        <v>105</v>
      </c>
    </row>
    <row r="62" spans="1:4" x14ac:dyDescent="0.3">
      <c r="A62" s="12" t="s">
        <v>154</v>
      </c>
      <c r="B62" s="13" t="s">
        <v>121</v>
      </c>
      <c r="C62" s="13" t="s">
        <v>74</v>
      </c>
      <c r="D62" s="13" t="s">
        <v>113</v>
      </c>
    </row>
    <row r="63" spans="1:4" x14ac:dyDescent="0.3">
      <c r="A63" s="12" t="s">
        <v>155</v>
      </c>
      <c r="B63" s="13" t="s">
        <v>104</v>
      </c>
      <c r="C63" s="13" t="s">
        <v>74</v>
      </c>
      <c r="D63" s="13" t="s">
        <v>105</v>
      </c>
    </row>
    <row r="64" spans="1:4" x14ac:dyDescent="0.3">
      <c r="A64" s="12" t="s">
        <v>156</v>
      </c>
      <c r="B64" s="13" t="s">
        <v>110</v>
      </c>
      <c r="C64" s="13" t="s">
        <v>74</v>
      </c>
      <c r="D64" s="13" t="s">
        <v>105</v>
      </c>
    </row>
    <row r="65" spans="1:4" x14ac:dyDescent="0.3">
      <c r="A65" s="12" t="s">
        <v>157</v>
      </c>
      <c r="B65" s="13" t="s">
        <v>104</v>
      </c>
      <c r="C65" s="13" t="s">
        <v>74</v>
      </c>
      <c r="D65" s="13" t="s">
        <v>74</v>
      </c>
    </row>
    <row r="66" spans="1:4" x14ac:dyDescent="0.3">
      <c r="A66" s="12" t="s">
        <v>158</v>
      </c>
      <c r="B66" s="13" t="s">
        <v>104</v>
      </c>
      <c r="C66" s="13" t="s">
        <v>74</v>
      </c>
      <c r="D66" s="13" t="s">
        <v>105</v>
      </c>
    </row>
    <row r="67" spans="1:4" x14ac:dyDescent="0.3">
      <c r="A67" s="12" t="s">
        <v>159</v>
      </c>
      <c r="B67" s="13" t="s">
        <v>104</v>
      </c>
      <c r="C67" s="13" t="s">
        <v>74</v>
      </c>
      <c r="D67" s="13" t="s">
        <v>105</v>
      </c>
    </row>
    <row r="68" spans="1:4" x14ac:dyDescent="0.3">
      <c r="A68" s="12" t="s">
        <v>160</v>
      </c>
      <c r="B68" s="13" t="s">
        <v>85</v>
      </c>
      <c r="C68" s="13" t="s">
        <v>74</v>
      </c>
      <c r="D68" s="13" t="s">
        <v>86</v>
      </c>
    </row>
    <row r="69" spans="1:4" x14ac:dyDescent="0.3">
      <c r="A69" s="12" t="s">
        <v>161</v>
      </c>
      <c r="B69" s="13" t="s">
        <v>100</v>
      </c>
      <c r="C69" s="13" t="s">
        <v>74</v>
      </c>
      <c r="D69" s="13" t="s">
        <v>75</v>
      </c>
    </row>
    <row r="70" spans="1:4" x14ac:dyDescent="0.3">
      <c r="A70" s="12" t="s">
        <v>162</v>
      </c>
      <c r="B70" s="13" t="s">
        <v>100</v>
      </c>
      <c r="C70" s="13" t="s">
        <v>74</v>
      </c>
      <c r="D70" s="13" t="s">
        <v>75</v>
      </c>
    </row>
    <row r="71" spans="1:4" x14ac:dyDescent="0.3">
      <c r="A71" s="12" t="s">
        <v>163</v>
      </c>
      <c r="B71" s="13" t="s">
        <v>100</v>
      </c>
      <c r="C71" s="13" t="s">
        <v>74</v>
      </c>
      <c r="D71" s="13" t="s">
        <v>75</v>
      </c>
    </row>
    <row r="72" spans="1:4" x14ac:dyDescent="0.3">
      <c r="A72" s="12" t="s">
        <v>164</v>
      </c>
      <c r="B72" s="13" t="s">
        <v>83</v>
      </c>
      <c r="C72" s="13" t="s">
        <v>74</v>
      </c>
      <c r="D72" s="13" t="s">
        <v>75</v>
      </c>
    </row>
    <row r="73" spans="1:4" x14ac:dyDescent="0.3">
      <c r="A73" s="12" t="s">
        <v>165</v>
      </c>
      <c r="B73" s="13" t="s">
        <v>100</v>
      </c>
      <c r="C73" s="13" t="s">
        <v>74</v>
      </c>
      <c r="D73" s="13" t="s">
        <v>75</v>
      </c>
    </row>
    <row r="74" spans="1:4" x14ac:dyDescent="0.3">
      <c r="A74" s="12" t="s">
        <v>166</v>
      </c>
      <c r="B74" s="13" t="s">
        <v>100</v>
      </c>
      <c r="C74" s="13" t="s">
        <v>74</v>
      </c>
      <c r="D74" s="13" t="s">
        <v>75</v>
      </c>
    </row>
    <row r="75" spans="1:4" x14ac:dyDescent="0.3">
      <c r="A75" s="12" t="s">
        <v>167</v>
      </c>
      <c r="B75" s="13" t="s">
        <v>73</v>
      </c>
      <c r="C75" s="13" t="s">
        <v>74</v>
      </c>
      <c r="D75" s="13" t="s">
        <v>75</v>
      </c>
    </row>
    <row r="76" spans="1:4" x14ac:dyDescent="0.3">
      <c r="A76" s="12" t="s">
        <v>168</v>
      </c>
      <c r="B76" s="13" t="s">
        <v>169</v>
      </c>
      <c r="C76" s="13" t="s">
        <v>74</v>
      </c>
      <c r="D76" s="13" t="s">
        <v>86</v>
      </c>
    </row>
    <row r="77" spans="1:4" x14ac:dyDescent="0.3">
      <c r="A77" s="12" t="s">
        <v>170</v>
      </c>
      <c r="B77" s="13" t="s">
        <v>83</v>
      </c>
      <c r="C77" s="13" t="s">
        <v>74</v>
      </c>
      <c r="D77" s="13" t="s">
        <v>75</v>
      </c>
    </row>
    <row r="78" spans="1:4" x14ac:dyDescent="0.3">
      <c r="A78" s="12" t="s">
        <v>171</v>
      </c>
      <c r="B78" s="13" t="s">
        <v>110</v>
      </c>
      <c r="C78" s="13" t="s">
        <v>63</v>
      </c>
      <c r="D78" s="13" t="s">
        <v>172</v>
      </c>
    </row>
    <row r="79" spans="1:4" x14ac:dyDescent="0.3">
      <c r="A79" s="12" t="s">
        <v>173</v>
      </c>
      <c r="B79" s="13" t="s">
        <v>89</v>
      </c>
      <c r="C79" s="13" t="s">
        <v>63</v>
      </c>
      <c r="D79" s="13" t="s">
        <v>90</v>
      </c>
    </row>
    <row r="80" spans="1:4" x14ac:dyDescent="0.3">
      <c r="A80" s="12" t="s">
        <v>174</v>
      </c>
      <c r="B80" s="13" t="s">
        <v>169</v>
      </c>
      <c r="C80" s="13" t="s">
        <v>74</v>
      </c>
      <c r="D80" s="13" t="s">
        <v>105</v>
      </c>
    </row>
    <row r="81" spans="1:4" x14ac:dyDescent="0.3">
      <c r="A81" s="12" t="s">
        <v>175</v>
      </c>
      <c r="B81" s="13" t="s">
        <v>83</v>
      </c>
      <c r="C81" s="13" t="s">
        <v>74</v>
      </c>
      <c r="D81" s="13" t="s">
        <v>75</v>
      </c>
    </row>
    <row r="82" spans="1:4" x14ac:dyDescent="0.3">
      <c r="A82" s="12" t="s">
        <v>176</v>
      </c>
      <c r="B82" s="13" t="s">
        <v>177</v>
      </c>
      <c r="C82" s="13" t="s">
        <v>74</v>
      </c>
      <c r="D82" s="13" t="s">
        <v>105</v>
      </c>
    </row>
    <row r="83" spans="1:4" x14ac:dyDescent="0.3">
      <c r="A83" s="12" t="s">
        <v>178</v>
      </c>
      <c r="B83" s="13" t="s">
        <v>89</v>
      </c>
      <c r="C83" s="13" t="s">
        <v>63</v>
      </c>
      <c r="D83" s="13" t="s">
        <v>90</v>
      </c>
    </row>
    <row r="84" spans="1:4" x14ac:dyDescent="0.3">
      <c r="A84" s="12" t="s">
        <v>179</v>
      </c>
      <c r="B84" s="13" t="s">
        <v>180</v>
      </c>
      <c r="C84" s="13" t="s">
        <v>63</v>
      </c>
      <c r="D84" s="13" t="s">
        <v>78</v>
      </c>
    </row>
    <row r="85" spans="1:4" x14ac:dyDescent="0.3">
      <c r="A85" s="12" t="s">
        <v>181</v>
      </c>
      <c r="B85" s="13" t="s">
        <v>62</v>
      </c>
      <c r="C85" s="13" t="s">
        <v>63</v>
      </c>
      <c r="D85" s="13" t="s">
        <v>64</v>
      </c>
    </row>
    <row r="86" spans="1:4" x14ac:dyDescent="0.3">
      <c r="A86" s="12" t="s">
        <v>182</v>
      </c>
      <c r="B86" s="13" t="s">
        <v>62</v>
      </c>
      <c r="C86" s="13" t="s">
        <v>63</v>
      </c>
      <c r="D86" s="13" t="s">
        <v>64</v>
      </c>
    </row>
    <row r="87" spans="1:4" x14ac:dyDescent="0.3">
      <c r="A87" s="12" t="s">
        <v>183</v>
      </c>
      <c r="B87" s="13" t="s">
        <v>62</v>
      </c>
      <c r="C87" s="13" t="s">
        <v>74</v>
      </c>
      <c r="D87" s="13" t="s">
        <v>86</v>
      </c>
    </row>
    <row r="88" spans="1:4" x14ac:dyDescent="0.3">
      <c r="A88" s="12" t="s">
        <v>184</v>
      </c>
      <c r="B88" s="13" t="s">
        <v>185</v>
      </c>
      <c r="C88" s="13" t="s">
        <v>63</v>
      </c>
      <c r="D88" s="13" t="s">
        <v>64</v>
      </c>
    </row>
    <row r="89" spans="1:4" x14ac:dyDescent="0.3">
      <c r="A89" s="12" t="s">
        <v>186</v>
      </c>
      <c r="B89" s="13" t="s">
        <v>185</v>
      </c>
      <c r="C89" s="13" t="s">
        <v>63</v>
      </c>
      <c r="D89" s="13" t="s">
        <v>172</v>
      </c>
    </row>
    <row r="90" spans="1:4" x14ac:dyDescent="0.3">
      <c r="A90" s="12" t="s">
        <v>187</v>
      </c>
      <c r="B90" s="13" t="s">
        <v>185</v>
      </c>
      <c r="C90" s="13" t="s">
        <v>63</v>
      </c>
      <c r="D90" s="13" t="s">
        <v>172</v>
      </c>
    </row>
    <row r="91" spans="1:4" x14ac:dyDescent="0.3">
      <c r="A91" s="12" t="s">
        <v>188</v>
      </c>
      <c r="B91" s="13" t="s">
        <v>185</v>
      </c>
      <c r="C91" s="13" t="s">
        <v>63</v>
      </c>
      <c r="D91" s="13" t="s">
        <v>172</v>
      </c>
    </row>
    <row r="92" spans="1:4" x14ac:dyDescent="0.3">
      <c r="A92" s="12" t="s">
        <v>189</v>
      </c>
      <c r="B92" s="13" t="s">
        <v>185</v>
      </c>
      <c r="C92" s="13" t="s">
        <v>63</v>
      </c>
      <c r="D92" s="13" t="s">
        <v>172</v>
      </c>
    </row>
    <row r="93" spans="1:4" x14ac:dyDescent="0.3">
      <c r="A93" s="12" t="s">
        <v>190</v>
      </c>
      <c r="B93" s="13" t="s">
        <v>185</v>
      </c>
      <c r="C93" s="13" t="s">
        <v>63</v>
      </c>
      <c r="D93" s="13" t="s">
        <v>172</v>
      </c>
    </row>
    <row r="94" spans="1:4" x14ac:dyDescent="0.3">
      <c r="A94" s="12" t="s">
        <v>191</v>
      </c>
      <c r="B94" s="13" t="s">
        <v>185</v>
      </c>
      <c r="C94" s="13" t="s">
        <v>63</v>
      </c>
      <c r="D94" s="13" t="s">
        <v>64</v>
      </c>
    </row>
    <row r="95" spans="1:4" x14ac:dyDescent="0.3">
      <c r="A95" s="12" t="s">
        <v>192</v>
      </c>
      <c r="B95" s="13" t="s">
        <v>193</v>
      </c>
      <c r="C95" s="13" t="s">
        <v>74</v>
      </c>
      <c r="D95" s="13" t="s">
        <v>75</v>
      </c>
    </row>
    <row r="96" spans="1:4" x14ac:dyDescent="0.3">
      <c r="A96" s="12" t="s">
        <v>194</v>
      </c>
      <c r="B96" s="13" t="s">
        <v>193</v>
      </c>
      <c r="C96" s="13" t="s">
        <v>74</v>
      </c>
      <c r="D96" s="13" t="s">
        <v>75</v>
      </c>
    </row>
    <row r="97" spans="1:4" x14ac:dyDescent="0.3">
      <c r="A97" s="12" t="s">
        <v>195</v>
      </c>
      <c r="B97" s="13" t="s">
        <v>77</v>
      </c>
      <c r="C97" s="13" t="s">
        <v>63</v>
      </c>
      <c r="D97" s="13" t="s">
        <v>78</v>
      </c>
    </row>
    <row r="98" spans="1:4" x14ac:dyDescent="0.3">
      <c r="A98" s="12" t="s">
        <v>196</v>
      </c>
      <c r="B98" s="13" t="s">
        <v>77</v>
      </c>
      <c r="C98" s="13" t="s">
        <v>63</v>
      </c>
      <c r="D98" s="13" t="s">
        <v>78</v>
      </c>
    </row>
    <row r="99" spans="1:4" x14ac:dyDescent="0.3">
      <c r="A99" s="12" t="s">
        <v>197</v>
      </c>
      <c r="B99" s="13" t="s">
        <v>77</v>
      </c>
      <c r="C99" s="13" t="s">
        <v>63</v>
      </c>
      <c r="D99" s="13" t="s">
        <v>78</v>
      </c>
    </row>
    <row r="100" spans="1:4" x14ac:dyDescent="0.3">
      <c r="A100" s="12" t="s">
        <v>198</v>
      </c>
      <c r="B100" s="13" t="s">
        <v>77</v>
      </c>
      <c r="C100" s="13" t="s">
        <v>63</v>
      </c>
      <c r="D100" s="13" t="s">
        <v>78</v>
      </c>
    </row>
    <row r="101" spans="1:4" x14ac:dyDescent="0.3">
      <c r="A101" s="12" t="s">
        <v>199</v>
      </c>
      <c r="B101" s="13" t="s">
        <v>200</v>
      </c>
      <c r="C101" s="13" t="s">
        <v>63</v>
      </c>
      <c r="D101" s="13" t="s">
        <v>64</v>
      </c>
    </row>
    <row r="102" spans="1:4" x14ac:dyDescent="0.3">
      <c r="A102" s="12" t="s">
        <v>201</v>
      </c>
      <c r="B102" s="13" t="s">
        <v>200</v>
      </c>
      <c r="C102" s="13" t="s">
        <v>63</v>
      </c>
      <c r="D102" s="13" t="s">
        <v>64</v>
      </c>
    </row>
    <row r="103" spans="1:4" x14ac:dyDescent="0.3">
      <c r="A103" s="12" t="s">
        <v>202</v>
      </c>
      <c r="B103" s="13" t="s">
        <v>200</v>
      </c>
      <c r="C103" s="13" t="s">
        <v>63</v>
      </c>
      <c r="D103" s="13" t="s">
        <v>64</v>
      </c>
    </row>
    <row r="104" spans="1:4" x14ac:dyDescent="0.3">
      <c r="A104" s="12" t="s">
        <v>203</v>
      </c>
      <c r="B104" s="13" t="s">
        <v>200</v>
      </c>
      <c r="C104" s="13" t="s">
        <v>63</v>
      </c>
      <c r="D104" s="13" t="s">
        <v>64</v>
      </c>
    </row>
    <row r="105" spans="1:4" x14ac:dyDescent="0.3">
      <c r="A105" s="12" t="s">
        <v>204</v>
      </c>
      <c r="B105" s="13" t="s">
        <v>66</v>
      </c>
      <c r="C105" s="13" t="s">
        <v>63</v>
      </c>
      <c r="D105" s="13" t="s">
        <v>90</v>
      </c>
    </row>
    <row r="106" spans="1:4" x14ac:dyDescent="0.3">
      <c r="A106" s="12" t="s">
        <v>205</v>
      </c>
      <c r="B106" s="13" t="s">
        <v>69</v>
      </c>
      <c r="C106" s="13" t="s">
        <v>63</v>
      </c>
      <c r="D106" s="13" t="s">
        <v>67</v>
      </c>
    </row>
    <row r="107" spans="1:4" x14ac:dyDescent="0.3">
      <c r="A107" s="12" t="s">
        <v>206</v>
      </c>
      <c r="B107" s="13" t="s">
        <v>80</v>
      </c>
      <c r="C107" s="13" t="s">
        <v>63</v>
      </c>
      <c r="D107" s="13" t="s">
        <v>67</v>
      </c>
    </row>
    <row r="108" spans="1:4" x14ac:dyDescent="0.3">
      <c r="A108" s="12" t="s">
        <v>207</v>
      </c>
      <c r="B108" s="13" t="s">
        <v>110</v>
      </c>
      <c r="C108" s="13" t="s">
        <v>63</v>
      </c>
      <c r="D108" s="13" t="s">
        <v>172</v>
      </c>
    </row>
    <row r="109" spans="1:4" x14ac:dyDescent="0.3">
      <c r="A109" s="12" t="s">
        <v>208</v>
      </c>
      <c r="B109" s="13" t="s">
        <v>73</v>
      </c>
      <c r="C109" s="13" t="s">
        <v>74</v>
      </c>
      <c r="D109" s="13" t="s">
        <v>75</v>
      </c>
    </row>
    <row r="110" spans="1:4" x14ac:dyDescent="0.3">
      <c r="A110" s="12" t="s">
        <v>209</v>
      </c>
      <c r="B110" s="13" t="s">
        <v>107</v>
      </c>
      <c r="C110" s="13" t="s">
        <v>63</v>
      </c>
      <c r="D110" s="13" t="s">
        <v>67</v>
      </c>
    </row>
    <row r="111" spans="1:4" x14ac:dyDescent="0.3">
      <c r="A111" s="12" t="s">
        <v>210</v>
      </c>
      <c r="B111" s="13" t="s">
        <v>107</v>
      </c>
      <c r="C111" s="13" t="s">
        <v>63</v>
      </c>
      <c r="D111" s="13" t="s">
        <v>67</v>
      </c>
    </row>
    <row r="112" spans="1:4" x14ac:dyDescent="0.3">
      <c r="A112" s="12" t="s">
        <v>211</v>
      </c>
      <c r="B112" s="13" t="s">
        <v>107</v>
      </c>
      <c r="C112" s="13" t="s">
        <v>70</v>
      </c>
      <c r="D112" s="13" t="s">
        <v>71</v>
      </c>
    </row>
    <row r="113" spans="1:4" x14ac:dyDescent="0.3">
      <c r="A113" s="12" t="s">
        <v>212</v>
      </c>
      <c r="B113" s="13" t="s">
        <v>107</v>
      </c>
      <c r="C113" s="13" t="s">
        <v>70</v>
      </c>
      <c r="D113" s="13" t="s">
        <v>71</v>
      </c>
    </row>
    <row r="114" spans="1:4" x14ac:dyDescent="0.3">
      <c r="A114" s="12" t="s">
        <v>213</v>
      </c>
      <c r="B114" s="13" t="s">
        <v>107</v>
      </c>
      <c r="C114" s="13" t="s">
        <v>70</v>
      </c>
      <c r="D114" s="13" t="s">
        <v>71</v>
      </c>
    </row>
    <row r="115" spans="1:4" x14ac:dyDescent="0.3">
      <c r="A115" s="12" t="s">
        <v>214</v>
      </c>
      <c r="B115" s="13" t="s">
        <v>107</v>
      </c>
      <c r="C115" s="13" t="s">
        <v>70</v>
      </c>
      <c r="D115" s="13" t="s">
        <v>71</v>
      </c>
    </row>
    <row r="116" spans="1:4" x14ac:dyDescent="0.3">
      <c r="A116" s="12" t="s">
        <v>215</v>
      </c>
      <c r="B116" s="13" t="s">
        <v>216</v>
      </c>
      <c r="C116" s="13" t="s">
        <v>63</v>
      </c>
      <c r="D116" s="13" t="s">
        <v>78</v>
      </c>
    </row>
    <row r="117" spans="1:4" x14ac:dyDescent="0.3">
      <c r="A117" s="12" t="s">
        <v>217</v>
      </c>
      <c r="B117" s="13" t="s">
        <v>216</v>
      </c>
      <c r="C117" s="13" t="s">
        <v>63</v>
      </c>
      <c r="D117" s="13" t="s">
        <v>64</v>
      </c>
    </row>
    <row r="118" spans="1:4" x14ac:dyDescent="0.3">
      <c r="A118" s="12" t="s">
        <v>218</v>
      </c>
      <c r="B118" s="13" t="s">
        <v>216</v>
      </c>
      <c r="C118" s="13" t="s">
        <v>63</v>
      </c>
      <c r="D118" s="13" t="s">
        <v>64</v>
      </c>
    </row>
    <row r="119" spans="1:4" x14ac:dyDescent="0.3">
      <c r="A119" s="12" t="s">
        <v>219</v>
      </c>
      <c r="B119" s="13" t="s">
        <v>89</v>
      </c>
      <c r="C119" s="13" t="s">
        <v>63</v>
      </c>
      <c r="D119" s="13" t="s">
        <v>63</v>
      </c>
    </row>
    <row r="120" spans="1:4" x14ac:dyDescent="0.3">
      <c r="A120" s="12" t="s">
        <v>220</v>
      </c>
      <c r="B120" s="13" t="s">
        <v>89</v>
      </c>
      <c r="C120" s="13" t="s">
        <v>63</v>
      </c>
      <c r="D120" s="13" t="s">
        <v>90</v>
      </c>
    </row>
    <row r="121" spans="1:4" x14ac:dyDescent="0.3">
      <c r="A121" s="12" t="s">
        <v>221</v>
      </c>
      <c r="B121" s="13" t="s">
        <v>177</v>
      </c>
      <c r="C121" s="13" t="s">
        <v>74</v>
      </c>
      <c r="D121" s="13" t="s">
        <v>86</v>
      </c>
    </row>
    <row r="122" spans="1:4" x14ac:dyDescent="0.3">
      <c r="A122" s="12" t="s">
        <v>222</v>
      </c>
      <c r="B122" s="13" t="s">
        <v>85</v>
      </c>
      <c r="C122" s="13" t="s">
        <v>74</v>
      </c>
      <c r="D122" s="13" t="s">
        <v>86</v>
      </c>
    </row>
    <row r="123" spans="1:4" x14ac:dyDescent="0.3">
      <c r="A123" s="12" t="s">
        <v>223</v>
      </c>
      <c r="B123" s="13" t="s">
        <v>224</v>
      </c>
      <c r="C123" s="13" t="s">
        <v>63</v>
      </c>
      <c r="D123" s="13" t="s">
        <v>67</v>
      </c>
    </row>
    <row r="124" spans="1:4" x14ac:dyDescent="0.3">
      <c r="A124" s="12" t="s">
        <v>225</v>
      </c>
      <c r="B124" s="13" t="s">
        <v>135</v>
      </c>
      <c r="C124" s="13" t="s">
        <v>63</v>
      </c>
      <c r="D124" s="13" t="s">
        <v>136</v>
      </c>
    </row>
    <row r="125" spans="1:4" x14ac:dyDescent="0.3">
      <c r="A125" s="12" t="s">
        <v>226</v>
      </c>
      <c r="B125" s="13" t="s">
        <v>135</v>
      </c>
      <c r="C125" s="13" t="s">
        <v>63</v>
      </c>
      <c r="D125" s="13" t="s">
        <v>136</v>
      </c>
    </row>
    <row r="126" spans="1:4" x14ac:dyDescent="0.3">
      <c r="A126" s="12" t="s">
        <v>227</v>
      </c>
      <c r="B126" s="13" t="s">
        <v>135</v>
      </c>
      <c r="C126" s="13" t="s">
        <v>63</v>
      </c>
      <c r="D126" s="13" t="s">
        <v>136</v>
      </c>
    </row>
    <row r="127" spans="1:4" x14ac:dyDescent="0.3">
      <c r="A127" s="12" t="s">
        <v>228</v>
      </c>
      <c r="B127" s="13" t="s">
        <v>104</v>
      </c>
      <c r="C127" s="13" t="s">
        <v>74</v>
      </c>
      <c r="D127" s="13" t="s">
        <v>74</v>
      </c>
    </row>
    <row r="128" spans="1:4" x14ac:dyDescent="0.3">
      <c r="A128" s="12" t="s">
        <v>229</v>
      </c>
      <c r="B128" s="13" t="s">
        <v>151</v>
      </c>
      <c r="C128" s="13" t="s">
        <v>63</v>
      </c>
      <c r="D128" s="13" t="s">
        <v>63</v>
      </c>
    </row>
    <row r="129" spans="1:4" x14ac:dyDescent="0.3">
      <c r="A129" s="12" t="s">
        <v>230</v>
      </c>
      <c r="B129" s="13" t="s">
        <v>148</v>
      </c>
      <c r="C129" s="13" t="s">
        <v>63</v>
      </c>
      <c r="D129" s="13" t="s"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56" customWidth="1"/>
    <col min="3" max="3" width="35" customWidth="1"/>
    <col min="4" max="4" width="30" customWidth="1"/>
    <col min="5" max="6" width="22" customWidth="1"/>
    <col min="7" max="7" width="38" customWidth="1"/>
    <col min="8" max="8" width="32" customWidth="1"/>
    <col min="9" max="9" width="22" customWidth="1"/>
    <col min="10" max="10" width="30" customWidth="1"/>
    <col min="11" max="11" width="28" customWidth="1"/>
    <col min="12" max="12" width="22" customWidth="1"/>
    <col min="13" max="13" width="24" customWidth="1"/>
    <col min="14" max="14" width="27" customWidth="1"/>
    <col min="15" max="15" width="36" customWidth="1"/>
    <col min="16" max="16" width="23" customWidth="1"/>
    <col min="17" max="17" width="46" customWidth="1"/>
    <col min="18" max="18" width="43" customWidth="1"/>
    <col min="19" max="19" width="50" customWidth="1"/>
    <col min="20" max="20" width="31" customWidth="1"/>
    <col min="21" max="21" width="22" customWidth="1"/>
    <col min="22" max="22" width="51" customWidth="1"/>
    <col min="23" max="23" width="31" customWidth="1"/>
    <col min="24" max="24" width="42" customWidth="1"/>
    <col min="25" max="25" width="28" customWidth="1"/>
    <col min="26" max="26" width="49" customWidth="1"/>
    <col min="27" max="27" width="47" customWidth="1"/>
    <col min="28" max="28" width="22" customWidth="1"/>
    <col min="29" max="29" width="23" customWidth="1"/>
    <col min="30" max="30" width="48" customWidth="1"/>
    <col min="31" max="31" width="60" customWidth="1"/>
    <col min="32" max="32" width="33" customWidth="1"/>
    <col min="33" max="33" width="57" customWidth="1"/>
    <col min="34" max="35" width="22" customWidth="1"/>
  </cols>
  <sheetData>
    <row r="1" spans="1:35" x14ac:dyDescent="0.3">
      <c r="A1" s="1" t="s">
        <v>231</v>
      </c>
      <c r="B1" s="1"/>
      <c r="C1" s="1"/>
      <c r="D1" s="1"/>
      <c r="E1" s="1"/>
      <c r="F1" s="1"/>
      <c r="G1" s="1"/>
      <c r="H1" s="1"/>
    </row>
    <row r="3" spans="1:35" x14ac:dyDescent="0.3">
      <c r="A3" s="11" t="s">
        <v>232</v>
      </c>
      <c r="B3" s="11" t="s">
        <v>233</v>
      </c>
      <c r="C3" s="11" t="s">
        <v>234</v>
      </c>
      <c r="D3" s="11" t="s">
        <v>235</v>
      </c>
      <c r="E3" s="11" t="s">
        <v>236</v>
      </c>
      <c r="F3" s="11" t="s">
        <v>237</v>
      </c>
      <c r="G3" s="11" t="s">
        <v>238</v>
      </c>
      <c r="H3" s="11" t="s">
        <v>239</v>
      </c>
      <c r="I3" s="11" t="s">
        <v>240</v>
      </c>
      <c r="J3" s="11" t="s">
        <v>241</v>
      </c>
      <c r="K3" s="11" t="s">
        <v>242</v>
      </c>
      <c r="L3" s="11" t="s">
        <v>243</v>
      </c>
      <c r="M3" s="11" t="s">
        <v>244</v>
      </c>
      <c r="N3" s="11" t="s">
        <v>245</v>
      </c>
      <c r="O3" s="11" t="s">
        <v>246</v>
      </c>
      <c r="P3" s="11" t="s">
        <v>247</v>
      </c>
      <c r="Q3" s="11" t="s">
        <v>248</v>
      </c>
      <c r="R3" s="11" t="s">
        <v>249</v>
      </c>
      <c r="S3" s="11" t="s">
        <v>250</v>
      </c>
      <c r="T3" s="11" t="s">
        <v>251</v>
      </c>
      <c r="U3" s="11" t="s">
        <v>252</v>
      </c>
      <c r="V3" s="11" t="s">
        <v>253</v>
      </c>
      <c r="W3" s="11" t="s">
        <v>254</v>
      </c>
      <c r="X3" s="11" t="s">
        <v>255</v>
      </c>
      <c r="Y3" s="11" t="s">
        <v>256</v>
      </c>
      <c r="Z3" s="11" t="s">
        <v>257</v>
      </c>
      <c r="AA3" s="11" t="s">
        <v>258</v>
      </c>
      <c r="AB3" s="11" t="s">
        <v>259</v>
      </c>
      <c r="AC3" s="11" t="s">
        <v>260</v>
      </c>
      <c r="AD3" s="11" t="s">
        <v>261</v>
      </c>
      <c r="AE3" s="11" t="s">
        <v>262</v>
      </c>
      <c r="AF3" s="11" t="s">
        <v>263</v>
      </c>
      <c r="AG3" s="11" t="s">
        <v>264</v>
      </c>
      <c r="AH3" s="11" t="s">
        <v>265</v>
      </c>
      <c r="AI3" s="11" t="s">
        <v>266</v>
      </c>
    </row>
    <row r="4" spans="1:35" x14ac:dyDescent="0.3">
      <c r="A4" s="13" t="s">
        <v>267</v>
      </c>
      <c r="B4" s="13" t="s">
        <v>268</v>
      </c>
      <c r="C4" s="13" t="s">
        <v>269</v>
      </c>
      <c r="D4" s="13" t="s">
        <v>270</v>
      </c>
      <c r="E4" s="13" t="s">
        <v>271</v>
      </c>
      <c r="F4" s="13" t="s">
        <v>272</v>
      </c>
      <c r="G4" s="13" t="s">
        <v>273</v>
      </c>
      <c r="H4" s="13" t="s">
        <v>274</v>
      </c>
      <c r="I4" s="13" t="s">
        <v>275</v>
      </c>
      <c r="J4" s="13" t="s">
        <v>276</v>
      </c>
      <c r="K4" s="13" t="s">
        <v>277</v>
      </c>
      <c r="L4" s="13" t="s">
        <v>278</v>
      </c>
      <c r="M4" s="13" t="s">
        <v>279</v>
      </c>
      <c r="N4" s="13" t="s">
        <v>280</v>
      </c>
      <c r="O4" s="13" t="s">
        <v>281</v>
      </c>
      <c r="P4" s="13" t="s">
        <v>282</v>
      </c>
      <c r="Q4" s="13" t="s">
        <v>283</v>
      </c>
      <c r="R4" s="13" t="s">
        <v>284</v>
      </c>
      <c r="S4" s="13" t="s">
        <v>285</v>
      </c>
      <c r="T4" s="13" t="s">
        <v>286</v>
      </c>
      <c r="U4" s="13" t="s">
        <v>287</v>
      </c>
      <c r="V4" s="13" t="s">
        <v>288</v>
      </c>
      <c r="W4" s="13" t="s">
        <v>289</v>
      </c>
      <c r="X4" s="13" t="s">
        <v>290</v>
      </c>
      <c r="Y4" s="13" t="s">
        <v>291</v>
      </c>
      <c r="Z4" s="13" t="s">
        <v>292</v>
      </c>
      <c r="AA4" s="13" t="s">
        <v>293</v>
      </c>
      <c r="AB4" s="13" t="s">
        <v>294</v>
      </c>
      <c r="AC4" s="13" t="s">
        <v>295</v>
      </c>
      <c r="AD4" s="13" t="s">
        <v>296</v>
      </c>
      <c r="AE4" s="13" t="s">
        <v>297</v>
      </c>
      <c r="AF4" s="13" t="s">
        <v>298</v>
      </c>
      <c r="AG4" s="13" t="s">
        <v>299</v>
      </c>
      <c r="AH4" s="13" t="s">
        <v>300</v>
      </c>
      <c r="AI4" s="13" t="s">
        <v>301</v>
      </c>
    </row>
    <row r="5" spans="1:35" x14ac:dyDescent="0.3">
      <c r="A5" s="13" t="s">
        <v>302</v>
      </c>
      <c r="B5" s="13" t="s">
        <v>303</v>
      </c>
      <c r="C5" s="13" t="s">
        <v>304</v>
      </c>
      <c r="D5" s="13" t="s">
        <v>305</v>
      </c>
      <c r="E5" s="13" t="s">
        <v>306</v>
      </c>
      <c r="F5" s="13" t="s">
        <v>307</v>
      </c>
      <c r="G5" s="13" t="s">
        <v>308</v>
      </c>
      <c r="H5" s="13" t="s">
        <v>309</v>
      </c>
      <c r="I5" s="13" t="s">
        <v>310</v>
      </c>
      <c r="J5" s="13" t="s">
        <v>311</v>
      </c>
      <c r="K5" s="13" t="s">
        <v>312</v>
      </c>
      <c r="L5" s="13" t="s">
        <v>313</v>
      </c>
      <c r="M5" s="13" t="s">
        <v>314</v>
      </c>
      <c r="N5" s="13" t="s">
        <v>315</v>
      </c>
      <c r="O5" s="13" t="s">
        <v>316</v>
      </c>
      <c r="P5" s="13" t="s">
        <v>317</v>
      </c>
      <c r="Q5" s="13" t="s">
        <v>318</v>
      </c>
      <c r="R5" s="13" t="s">
        <v>319</v>
      </c>
      <c r="S5" s="13" t="s">
        <v>320</v>
      </c>
      <c r="T5" s="13" t="s">
        <v>321</v>
      </c>
      <c r="U5" s="13" t="s">
        <v>322</v>
      </c>
      <c r="V5" s="13" t="s">
        <v>323</v>
      </c>
      <c r="W5" s="13" t="s">
        <v>324</v>
      </c>
      <c r="X5" s="13" t="s">
        <v>325</v>
      </c>
      <c r="Y5" s="13" t="s">
        <v>326</v>
      </c>
      <c r="Z5" s="13" t="s">
        <v>327</v>
      </c>
      <c r="AA5" s="13" t="s">
        <v>328</v>
      </c>
      <c r="AB5" s="13" t="s">
        <v>329</v>
      </c>
      <c r="AC5" s="13" t="s">
        <v>330</v>
      </c>
      <c r="AD5" s="13" t="s">
        <v>331</v>
      </c>
      <c r="AE5" s="13" t="s">
        <v>332</v>
      </c>
      <c r="AF5" s="13" t="s">
        <v>333</v>
      </c>
      <c r="AG5" s="13" t="s">
        <v>334</v>
      </c>
      <c r="AH5" s="13" t="s">
        <v>335</v>
      </c>
      <c r="AI5" s="13" t="s">
        <v>336</v>
      </c>
    </row>
    <row r="6" spans="1:35" x14ac:dyDescent="0.3">
      <c r="A6" s="13" t="s">
        <v>337</v>
      </c>
      <c r="B6" s="13" t="s">
        <v>338</v>
      </c>
      <c r="C6" s="13" t="s">
        <v>339</v>
      </c>
      <c r="D6" s="13" t="s">
        <v>340</v>
      </c>
      <c r="E6" s="13" t="s">
        <v>341</v>
      </c>
      <c r="F6" s="13" t="s">
        <v>342</v>
      </c>
      <c r="G6" s="13" t="s">
        <v>343</v>
      </c>
      <c r="H6" s="13" t="s">
        <v>344</v>
      </c>
      <c r="I6" s="13" t="s">
        <v>345</v>
      </c>
      <c r="J6" s="13" t="s">
        <v>346</v>
      </c>
      <c r="K6" s="13" t="s">
        <v>347</v>
      </c>
      <c r="L6" s="13" t="s">
        <v>348</v>
      </c>
      <c r="M6" s="13" t="s">
        <v>349</v>
      </c>
      <c r="N6" s="13" t="s">
        <v>350</v>
      </c>
      <c r="O6" s="13" t="s">
        <v>351</v>
      </c>
      <c r="P6" s="13" t="s">
        <v>352</v>
      </c>
      <c r="Q6" s="13" t="s">
        <v>353</v>
      </c>
      <c r="R6" s="13" t="s">
        <v>354</v>
      </c>
      <c r="S6" s="13" t="s">
        <v>355</v>
      </c>
      <c r="T6" s="13" t="s">
        <v>356</v>
      </c>
      <c r="U6" s="13" t="s">
        <v>357</v>
      </c>
      <c r="V6" s="13" t="s">
        <v>358</v>
      </c>
      <c r="W6" s="13" t="s">
        <v>359</v>
      </c>
      <c r="X6" s="13" t="s">
        <v>360</v>
      </c>
      <c r="Y6" s="13" t="s">
        <v>361</v>
      </c>
      <c r="Z6" s="13" t="s">
        <v>362</v>
      </c>
      <c r="AA6" s="13" t="s">
        <v>363</v>
      </c>
      <c r="AB6" s="13" t="s">
        <v>364</v>
      </c>
      <c r="AC6" s="13" t="s">
        <v>365</v>
      </c>
      <c r="AD6" s="13" t="s">
        <v>366</v>
      </c>
      <c r="AE6" s="13" t="s">
        <v>367</v>
      </c>
      <c r="AF6" s="13" t="s">
        <v>368</v>
      </c>
      <c r="AG6" s="13" t="s">
        <v>369</v>
      </c>
      <c r="AH6" s="13" t="s">
        <v>370</v>
      </c>
    </row>
    <row r="7" spans="1:35" x14ac:dyDescent="0.3">
      <c r="A7" s="13" t="s">
        <v>371</v>
      </c>
      <c r="B7" s="13" t="s">
        <v>372</v>
      </c>
      <c r="C7" s="13" t="s">
        <v>373</v>
      </c>
      <c r="D7" s="13" t="s">
        <v>374</v>
      </c>
      <c r="E7" s="13" t="s">
        <v>375</v>
      </c>
      <c r="F7" s="13" t="s">
        <v>376</v>
      </c>
      <c r="G7" s="13" t="s">
        <v>377</v>
      </c>
      <c r="H7" s="13" t="s">
        <v>378</v>
      </c>
      <c r="I7" s="13" t="s">
        <v>379</v>
      </c>
      <c r="J7" s="13" t="s">
        <v>380</v>
      </c>
      <c r="K7" s="13" t="s">
        <v>381</v>
      </c>
      <c r="L7" s="13" t="s">
        <v>382</v>
      </c>
      <c r="M7" s="13" t="s">
        <v>383</v>
      </c>
      <c r="N7" s="13" t="s">
        <v>384</v>
      </c>
      <c r="O7" s="13" t="s">
        <v>385</v>
      </c>
      <c r="P7" s="13" t="s">
        <v>386</v>
      </c>
      <c r="Q7" s="13" t="s">
        <v>387</v>
      </c>
      <c r="R7" s="13" t="s">
        <v>388</v>
      </c>
      <c r="S7" s="13" t="s">
        <v>389</v>
      </c>
      <c r="T7" s="13" t="s">
        <v>390</v>
      </c>
      <c r="U7" s="13" t="s">
        <v>391</v>
      </c>
      <c r="V7" s="13" t="s">
        <v>392</v>
      </c>
      <c r="W7" s="13" t="s">
        <v>393</v>
      </c>
      <c r="Y7" s="13" t="s">
        <v>394</v>
      </c>
      <c r="Z7" s="13" t="s">
        <v>395</v>
      </c>
      <c r="AA7" s="13" t="s">
        <v>396</v>
      </c>
      <c r="AB7" s="13" t="s">
        <v>335</v>
      </c>
      <c r="AC7" s="13" t="s">
        <v>397</v>
      </c>
      <c r="AD7" s="13" t="s">
        <v>398</v>
      </c>
      <c r="AE7" s="13" t="s">
        <v>399</v>
      </c>
      <c r="AF7" s="13" t="s">
        <v>400</v>
      </c>
      <c r="AG7" s="13" t="s">
        <v>401</v>
      </c>
      <c r="AH7" s="13" t="s">
        <v>402</v>
      </c>
    </row>
    <row r="8" spans="1:35" x14ac:dyDescent="0.3">
      <c r="A8" s="13" t="s">
        <v>403</v>
      </c>
      <c r="B8" s="13" t="s">
        <v>404</v>
      </c>
      <c r="C8" s="13" t="s">
        <v>405</v>
      </c>
      <c r="D8" s="13" t="s">
        <v>406</v>
      </c>
      <c r="E8" s="13" t="s">
        <v>407</v>
      </c>
      <c r="F8" s="13" t="s">
        <v>408</v>
      </c>
      <c r="G8" s="13" t="s">
        <v>409</v>
      </c>
      <c r="H8" s="13" t="s">
        <v>410</v>
      </c>
      <c r="I8" s="13" t="s">
        <v>411</v>
      </c>
      <c r="J8" s="13" t="s">
        <v>412</v>
      </c>
      <c r="L8" s="13" t="s">
        <v>413</v>
      </c>
      <c r="M8" s="13" t="s">
        <v>414</v>
      </c>
      <c r="N8" s="13" t="s">
        <v>415</v>
      </c>
      <c r="P8" s="13" t="s">
        <v>416</v>
      </c>
      <c r="Q8" s="13" t="s">
        <v>417</v>
      </c>
      <c r="R8" s="13" t="s">
        <v>418</v>
      </c>
      <c r="T8" s="13" t="s">
        <v>419</v>
      </c>
      <c r="U8" s="13" t="s">
        <v>420</v>
      </c>
      <c r="W8" s="13" t="s">
        <v>421</v>
      </c>
      <c r="Y8" s="13" t="s">
        <v>422</v>
      </c>
      <c r="AA8" s="13" t="s">
        <v>423</v>
      </c>
      <c r="AB8" s="13" t="s">
        <v>424</v>
      </c>
      <c r="AC8" s="13" t="s">
        <v>425</v>
      </c>
      <c r="AD8" s="13" t="s">
        <v>426</v>
      </c>
      <c r="AF8" s="13" t="s">
        <v>427</v>
      </c>
      <c r="AG8" s="13" t="s">
        <v>428</v>
      </c>
      <c r="AH8" s="13" t="s">
        <v>429</v>
      </c>
    </row>
    <row r="9" spans="1:35" x14ac:dyDescent="0.3">
      <c r="C9" s="13" t="s">
        <v>430</v>
      </c>
      <c r="D9" s="13" t="s">
        <v>431</v>
      </c>
      <c r="E9" s="13" t="s">
        <v>432</v>
      </c>
      <c r="F9" s="13" t="s">
        <v>433</v>
      </c>
      <c r="J9" s="13" t="s">
        <v>434</v>
      </c>
      <c r="M9" s="13" t="s">
        <v>435</v>
      </c>
      <c r="N9" s="13" t="s">
        <v>436</v>
      </c>
      <c r="R9" s="13" t="s">
        <v>437</v>
      </c>
      <c r="T9" s="13" t="s">
        <v>438</v>
      </c>
      <c r="W9" s="13" t="s">
        <v>439</v>
      </c>
      <c r="Y9" s="13" t="s">
        <v>440</v>
      </c>
      <c r="AC9" s="13" t="s">
        <v>441</v>
      </c>
      <c r="AD9" s="13" t="s">
        <v>442</v>
      </c>
      <c r="AF9" s="13" t="s">
        <v>443</v>
      </c>
    </row>
    <row r="10" spans="1:35" x14ac:dyDescent="0.3">
      <c r="C10" s="13" t="s">
        <v>444</v>
      </c>
      <c r="D10" s="13" t="s">
        <v>445</v>
      </c>
      <c r="F10" s="13" t="s">
        <v>446</v>
      </c>
      <c r="J10" s="13" t="s">
        <v>447</v>
      </c>
      <c r="M10" s="13" t="s">
        <v>448</v>
      </c>
      <c r="R10" s="13" t="s">
        <v>449</v>
      </c>
      <c r="T10" s="13" t="s">
        <v>450</v>
      </c>
      <c r="W10" s="13" t="s">
        <v>451</v>
      </c>
      <c r="Y10" s="13" t="s">
        <v>452</v>
      </c>
      <c r="AF10" s="13" t="s">
        <v>453</v>
      </c>
    </row>
    <row r="11" spans="1:35" x14ac:dyDescent="0.3">
      <c r="C11" s="13" t="s">
        <v>454</v>
      </c>
      <c r="D11" s="13" t="s">
        <v>455</v>
      </c>
      <c r="J11" s="13" t="s">
        <v>456</v>
      </c>
      <c r="M11" s="13" t="s">
        <v>457</v>
      </c>
      <c r="T11" s="13" t="s">
        <v>458</v>
      </c>
      <c r="W11" s="13" t="s">
        <v>459</v>
      </c>
      <c r="AF11" s="13" t="s">
        <v>460</v>
      </c>
    </row>
    <row r="12" spans="1:35" x14ac:dyDescent="0.3">
      <c r="D12" s="13" t="s">
        <v>461</v>
      </c>
      <c r="J12" s="13" t="s">
        <v>462</v>
      </c>
      <c r="T12" s="13" t="s">
        <v>463</v>
      </c>
    </row>
    <row r="13" spans="1:35" x14ac:dyDescent="0.3">
      <c r="J13" s="13" t="s">
        <v>464</v>
      </c>
    </row>
    <row r="14" spans="1:35" x14ac:dyDescent="0.3">
      <c r="J14" s="13" t="s">
        <v>465</v>
      </c>
    </row>
    <row r="15" spans="1:35" x14ac:dyDescent="0.3">
      <c r="J15" s="13" t="s">
        <v>466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36</vt:i4>
      </vt:variant>
    </vt:vector>
  </HeadingPairs>
  <TitlesOfParts>
    <vt:vector size="44" baseType="lpstr">
      <vt:lpstr>F-DT-01</vt:lpstr>
      <vt:lpstr>F-DT-02</vt:lpstr>
      <vt:lpstr>F-DT-03</vt:lpstr>
      <vt:lpstr>F-DT-04</vt:lpstr>
      <vt:lpstr>F-DT-05</vt:lpstr>
      <vt:lpstr>F-DT-06</vt:lpstr>
      <vt:lpstr>_Datos</vt:lpstr>
      <vt:lpstr>_Listas</vt:lpstr>
      <vt:lpstr>lst_Accesibilidad</vt:lpstr>
      <vt:lpstr>lst_ActividadEconomica</vt:lpstr>
      <vt:lpstr>lst_CalidadAgua</vt:lpstr>
      <vt:lpstr>lst_ColorSuelo</vt:lpstr>
      <vt:lpstr>lst_DensidadCobertura</vt:lpstr>
      <vt:lpstr>lst_DistanciaAgua</vt:lpstr>
      <vt:lpstr>lst_DistanciaCP</vt:lpstr>
      <vt:lpstr>lst_Drenaje</vt:lpstr>
      <vt:lpstr>lst_Erosion</vt:lpstr>
      <vt:lpstr>lst_EstadoConservacion</vt:lpstr>
      <vt:lpstr>lst_EstadoUsoSuelo</vt:lpstr>
      <vt:lpstr>lst_Exposicion</vt:lpstr>
      <vt:lpstr>lst_FormaTerreno</vt:lpstr>
      <vt:lpstr>lst_FuenteAgua</vt:lpstr>
      <vt:lpstr>lst_Heladas</vt:lpstr>
      <vt:lpstr>lst_HumedadRelativa</vt:lpstr>
      <vt:lpstr>lst_MateriaOrganica</vt:lpstr>
      <vt:lpstr>lst_OrganizacionComunal</vt:lpstr>
      <vt:lpstr>lst_PaisajeDominante</vt:lpstr>
      <vt:lpstr>lst_Pedregosidad</vt:lpstr>
      <vt:lpstr>lst_PendienteTerreno</vt:lpstr>
      <vt:lpstr>lst_PosicionFisiografica</vt:lpstr>
      <vt:lpstr>lst_PrecipitacionAnual</vt:lpstr>
      <vt:lpstr>lst_Profundidad</vt:lpstr>
      <vt:lpstr>lst_RangoAltitudinal</vt:lpstr>
      <vt:lpstr>lst_RegimenHidrico</vt:lpstr>
      <vt:lpstr>lst_SiNo</vt:lpstr>
      <vt:lpstr>lst_TemperaturaMedia</vt:lpstr>
      <vt:lpstr>lst_TenenciaTierra</vt:lpstr>
      <vt:lpstr>lst_Textura</vt:lpstr>
      <vt:lpstr>lst_TipoCobertura</vt:lpstr>
      <vt:lpstr>lst_UsoHidrico</vt:lpstr>
      <vt:lpstr>lst_UsoSuelo</vt:lpstr>
      <vt:lpstr>lst_Vientos</vt:lpstr>
      <vt:lpstr>lst_ZonaVida</vt:lpstr>
      <vt:lpstr>tbl_Datos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2026-05-08T01:59:35Z</dcterms:created>
  <dcterms:modified xsi:type="dcterms:W3CDTF">2026-05-08T02:01:31Z</dcterms:modified>
  <dc:language>en-US</dc:language>
</cp:coreProperties>
</file>