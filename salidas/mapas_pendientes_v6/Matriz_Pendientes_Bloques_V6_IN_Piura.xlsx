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entes por bloque" sheetId="1" state="visible" r:id="rId1"/>
    <sheet name="Resumen por distrito" sheetId="2" state="visible" r:id="rId2"/>
    <sheet name="Notas" sheetId="3" state="visible" r:id="rId3"/>
  </sheets>
  <definedNames>
    <definedName name="_xlnm._FilterDatabase" localSheetId="0" hidden="1">'Pendientes por bloque'!$A$8:$W$125</definedName>
    <definedName name="_xlnm._FilterDatabase" localSheetId="1" hidden="1">'Resumen por distrito'!$A$8:$F$23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2" fontId="5" fillId="0" borderId="1" pivotButton="0" quotePrefix="0" xfId="0"/>
    <xf numFmtId="4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2" fontId="5" fillId="3" borderId="1" pivotButton="0" quotePrefix="0" xfId="0"/>
    <xf numFmtId="4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2" fontId="6" fillId="4" borderId="1" pivotButton="0" quotePrefix="0" xfId="0"/>
    <xf numFmtId="4" fontId="6" fillId="4" borderId="1" pivotButton="0" quotePrefix="0" xfId="0"/>
    <xf numFmtId="0" fontId="7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24" customWidth="1" min="4" max="4"/>
    <col width="15" customWidth="1" min="5" max="5"/>
    <col width="14" customWidth="1" min="6" max="6"/>
    <col width="14" customWidth="1" min="7" max="7"/>
    <col width="14" customWidth="1" min="8" max="8"/>
    <col width="22" customWidth="1" min="9" max="9"/>
    <col width="19" customWidth="1" min="10" max="10"/>
    <col width="1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20" customWidth="1" min="22" max="22"/>
    <col width="28" customWidth="1" min="23" max="23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MATRIZ DE PENDIENTES POR BLOQUE – CATÁLOGO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DEM: Copernicus GLO-30 (ESA, 30 m, modelo de superficie). Bloques: capa Bloques V6 (datos/bloques_v6.gpkg) y catálogo V6.</t>
        </is>
      </c>
    </row>
    <row r="8" ht="30" customHeight="1">
      <c r="A8" s="4" t="inlineStr">
        <is>
          <t>N°</t>
        </is>
      </c>
      <c r="B8" s="4" t="inlineStr">
        <is>
          <t>Código</t>
        </is>
      </c>
      <c r="C8" s="4" t="inlineStr">
        <is>
          <t>Provincia</t>
        </is>
      </c>
      <c r="D8" s="4" t="inlineStr">
        <is>
          <t>Distrito</t>
        </is>
      </c>
      <c r="E8" s="4" t="inlineStr">
        <is>
          <t>Microcuenca</t>
        </is>
      </c>
      <c r="F8" s="4" t="inlineStr">
        <is>
          <t>Área (ha)</t>
        </is>
      </c>
      <c r="G8" s="4" t="inlineStr">
        <is>
          <t>Este (m)</t>
        </is>
      </c>
      <c r="H8" s="4" t="inlineStr">
        <is>
          <t>Norte (m)</t>
        </is>
      </c>
      <c r="I8" s="4" t="inlineStr">
        <is>
          <t>Área polígono (ha)</t>
        </is>
      </c>
      <c r="J8" s="4" t="inlineStr">
        <is>
          <t>Pend. media (%)</t>
        </is>
      </c>
      <c r="K8" s="4" t="inlineStr">
        <is>
          <t>Mediana (%)</t>
        </is>
      </c>
      <c r="L8" s="4" t="inlineStr">
        <is>
          <t>P90 (%)</t>
        </is>
      </c>
      <c r="M8" s="4" t="inlineStr">
        <is>
          <t>Máx. (%)</t>
        </is>
      </c>
      <c r="N8" s="4" t="inlineStr">
        <is>
          <t>A 0–2 %</t>
        </is>
      </c>
      <c r="O8" s="4" t="inlineStr">
        <is>
          <t>B 2–4 %</t>
        </is>
      </c>
      <c r="P8" s="4" t="inlineStr">
        <is>
          <t>C 4–8 %</t>
        </is>
      </c>
      <c r="Q8" s="4" t="inlineStr">
        <is>
          <t>D 8–15 %</t>
        </is>
      </c>
      <c r="R8" s="4" t="inlineStr">
        <is>
          <t>E 15–25 %</t>
        </is>
      </c>
      <c r="S8" s="4" t="inlineStr">
        <is>
          <t>F 25–50 %</t>
        </is>
      </c>
      <c r="T8" s="4" t="inlineStr">
        <is>
          <t>G 50–75 %</t>
        </is>
      </c>
      <c r="U8" s="4" t="inlineStr">
        <is>
          <t>H &gt;75 %</t>
        </is>
      </c>
      <c r="V8" s="4" t="inlineStr">
        <is>
          <t>Área &gt; 75 % (ha)</t>
        </is>
      </c>
      <c r="W8" s="4" t="inlineStr">
        <is>
          <t>Ámbito de cálculo</t>
        </is>
      </c>
    </row>
    <row r="9">
      <c r="A9" s="5" t="n">
        <v>1</v>
      </c>
      <c r="B9" s="5" t="inlineStr">
        <is>
          <t>27</t>
        </is>
      </c>
      <c r="C9" s="5" t="inlineStr">
        <is>
          <t>Ayabaca</t>
        </is>
      </c>
      <c r="D9" s="5" t="inlineStr">
        <is>
          <t>Frías</t>
        </is>
      </c>
      <c r="E9" s="5" t="inlineStr">
        <is>
          <t>C1096-Q9556</t>
        </is>
      </c>
      <c r="F9" s="6" t="n">
        <v>78.154</v>
      </c>
      <c r="G9" s="7" t="n">
        <v>613335</v>
      </c>
      <c r="H9" s="7" t="n">
        <v>9450201</v>
      </c>
      <c r="I9" s="6" t="n">
        <v>78.154</v>
      </c>
      <c r="J9" s="8" t="n">
        <v>60.18</v>
      </c>
      <c r="K9" s="8" t="n">
        <v>60.63</v>
      </c>
      <c r="L9" s="8" t="n">
        <v>86.16</v>
      </c>
      <c r="M9" s="8" t="n">
        <v>137.31</v>
      </c>
      <c r="N9" s="8" t="n">
        <v>0</v>
      </c>
      <c r="O9" s="8" t="n">
        <v>0</v>
      </c>
      <c r="P9" s="8" t="n">
        <v>0.23</v>
      </c>
      <c r="Q9" s="8" t="n">
        <v>1.15</v>
      </c>
      <c r="R9" s="8" t="n">
        <v>6.34</v>
      </c>
      <c r="S9" s="8" t="n">
        <v>24.8</v>
      </c>
      <c r="T9" s="8" t="n">
        <v>42.56</v>
      </c>
      <c r="U9" s="8" t="n">
        <v>24.91</v>
      </c>
      <c r="V9" s="9">
        <f>F9*U9/100</f>
        <v/>
      </c>
      <c r="W9" s="5" t="inlineStr">
        <is>
          <t>Polígono del bloque</t>
        </is>
      </c>
    </row>
    <row r="10">
      <c r="A10" s="10" t="n">
        <v>2</v>
      </c>
      <c r="B10" s="10" t="inlineStr">
        <is>
          <t>3</t>
        </is>
      </c>
      <c r="C10" s="10" t="inlineStr">
        <is>
          <t>Ayabaca</t>
        </is>
      </c>
      <c r="D10" s="10" t="inlineStr">
        <is>
          <t>Frías</t>
        </is>
      </c>
      <c r="E10" s="10" t="inlineStr">
        <is>
          <t>C1096-Q9545</t>
        </is>
      </c>
      <c r="F10" s="11" t="n">
        <v>459.295</v>
      </c>
      <c r="G10" s="12" t="n">
        <v>606868</v>
      </c>
      <c r="H10" s="12" t="n">
        <v>9458466</v>
      </c>
      <c r="I10" s="11" t="n">
        <v>459.295</v>
      </c>
      <c r="J10" s="13" t="n">
        <v>59.05</v>
      </c>
      <c r="K10" s="13" t="n">
        <v>57.85</v>
      </c>
      <c r="L10" s="13" t="n">
        <v>83.78</v>
      </c>
      <c r="M10" s="13" t="n">
        <v>179.01</v>
      </c>
      <c r="N10" s="13" t="n">
        <v>0.02</v>
      </c>
      <c r="O10" s="13" t="n">
        <v>0.04</v>
      </c>
      <c r="P10" s="13" t="n">
        <v>0.04</v>
      </c>
      <c r="Q10" s="13" t="n">
        <v>0.25</v>
      </c>
      <c r="R10" s="13" t="n">
        <v>2.68</v>
      </c>
      <c r="S10" s="13" t="n">
        <v>30.04</v>
      </c>
      <c r="T10" s="13" t="n">
        <v>49.47</v>
      </c>
      <c r="U10" s="13" t="n">
        <v>17.46</v>
      </c>
      <c r="V10" s="14">
        <f>F10*U10/100</f>
        <v/>
      </c>
      <c r="W10" s="10" t="inlineStr">
        <is>
          <t>Polígono del bloque</t>
        </is>
      </c>
    </row>
    <row r="11">
      <c r="A11" s="5" t="n">
        <v>3</v>
      </c>
      <c r="B11" s="5" t="inlineStr">
        <is>
          <t>36</t>
        </is>
      </c>
      <c r="C11" s="5" t="inlineStr">
        <is>
          <t>Ayabaca</t>
        </is>
      </c>
      <c r="D11" s="5" t="inlineStr">
        <is>
          <t>Frías</t>
        </is>
      </c>
      <c r="E11" s="5" t="inlineStr">
        <is>
          <t>C1096-Q9547</t>
        </is>
      </c>
      <c r="F11" s="6" t="n">
        <v>24.843</v>
      </c>
      <c r="G11" s="7" t="n">
        <v>606427</v>
      </c>
      <c r="H11" s="7" t="n">
        <v>9454632</v>
      </c>
      <c r="I11" s="6" t="n">
        <v>24.843</v>
      </c>
      <c r="J11" s="8" t="n">
        <v>62.09</v>
      </c>
      <c r="K11" s="8" t="n">
        <v>63.04</v>
      </c>
      <c r="L11" s="8" t="n">
        <v>79.08</v>
      </c>
      <c r="M11" s="8" t="n">
        <v>102.61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22.42</v>
      </c>
      <c r="T11" s="8" t="n">
        <v>62.63</v>
      </c>
      <c r="U11" s="8" t="n">
        <v>14.95</v>
      </c>
      <c r="V11" s="9">
        <f>F11*U11/100</f>
        <v/>
      </c>
      <c r="W11" s="5" t="inlineStr">
        <is>
          <t>Polígono del bloque</t>
        </is>
      </c>
    </row>
    <row r="12">
      <c r="A12" s="10" t="n">
        <v>4</v>
      </c>
      <c r="B12" s="10" t="inlineStr">
        <is>
          <t>39</t>
        </is>
      </c>
      <c r="C12" s="10" t="inlineStr">
        <is>
          <t>Ayabaca</t>
        </is>
      </c>
      <c r="D12" s="10" t="inlineStr">
        <is>
          <t>Frías</t>
        </is>
      </c>
      <c r="E12" s="10" t="inlineStr">
        <is>
          <t>C1096-Q9564</t>
        </is>
      </c>
      <c r="F12" s="11" t="n">
        <v>68.569</v>
      </c>
      <c r="G12" s="12" t="n">
        <v>618492</v>
      </c>
      <c r="H12" s="12" t="n">
        <v>9448899</v>
      </c>
      <c r="I12" s="11" t="n">
        <v>68.569</v>
      </c>
      <c r="J12" s="13" t="n">
        <v>42.08</v>
      </c>
      <c r="K12" s="13" t="n">
        <v>40.73</v>
      </c>
      <c r="L12" s="13" t="n">
        <v>57.07</v>
      </c>
      <c r="M12" s="13" t="n">
        <v>74.45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1.72</v>
      </c>
      <c r="S12" s="13" t="n">
        <v>76.03</v>
      </c>
      <c r="T12" s="13" t="n">
        <v>22.25</v>
      </c>
      <c r="U12" s="13" t="n">
        <v>0</v>
      </c>
      <c r="V12" s="14">
        <f>F12*U12/100</f>
        <v/>
      </c>
      <c r="W12" s="10" t="inlineStr">
        <is>
          <t>Polígono del bloque</t>
        </is>
      </c>
    </row>
    <row r="13">
      <c r="A13" s="5" t="n">
        <v>5</v>
      </c>
      <c r="B13" s="5" t="inlineStr">
        <is>
          <t>56</t>
        </is>
      </c>
      <c r="C13" s="5" t="inlineStr">
        <is>
          <t>Ayabaca</t>
        </is>
      </c>
      <c r="D13" s="5" t="inlineStr">
        <is>
          <t>Frías</t>
        </is>
      </c>
      <c r="E13" s="5" t="inlineStr">
        <is>
          <t>C1096-Q9564</t>
        </is>
      </c>
      <c r="F13" s="6" t="n">
        <v>77.666</v>
      </c>
      <c r="G13" s="7" t="n">
        <v>621634</v>
      </c>
      <c r="H13" s="7" t="n">
        <v>9452921</v>
      </c>
      <c r="I13" s="6" t="n">
        <v>77.666</v>
      </c>
      <c r="J13" s="8" t="n">
        <v>52.13</v>
      </c>
      <c r="K13" s="8" t="n">
        <v>52.22</v>
      </c>
      <c r="L13" s="8" t="n">
        <v>66.84</v>
      </c>
      <c r="M13" s="8" t="n">
        <v>87.81999999999999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0.93</v>
      </c>
      <c r="S13" s="8" t="n">
        <v>39.77</v>
      </c>
      <c r="T13" s="8" t="n">
        <v>56.74</v>
      </c>
      <c r="U13" s="8" t="n">
        <v>2.56</v>
      </c>
      <c r="V13" s="9">
        <f>F13*U13/100</f>
        <v/>
      </c>
      <c r="W13" s="5" t="inlineStr">
        <is>
          <t>Polígono del bloque</t>
        </is>
      </c>
    </row>
    <row r="14">
      <c r="A14" s="10" t="n">
        <v>6</v>
      </c>
      <c r="B14" s="10" t="inlineStr">
        <is>
          <t>6</t>
        </is>
      </c>
      <c r="C14" s="10" t="inlineStr">
        <is>
          <t>Ayabaca</t>
        </is>
      </c>
      <c r="D14" s="10" t="inlineStr">
        <is>
          <t>Frías</t>
        </is>
      </c>
      <c r="E14" s="10" t="inlineStr">
        <is>
          <t>C1096-Q9547</t>
        </is>
      </c>
      <c r="F14" s="11" t="n">
        <v>168.411</v>
      </c>
      <c r="G14" s="12" t="n">
        <v>605722</v>
      </c>
      <c r="H14" s="12" t="n">
        <v>9455309</v>
      </c>
      <c r="I14" s="11" t="n">
        <v>168.411</v>
      </c>
      <c r="J14" s="13" t="n">
        <v>70.11</v>
      </c>
      <c r="K14" s="13" t="n">
        <v>67.63</v>
      </c>
      <c r="L14" s="13" t="n">
        <v>101.06</v>
      </c>
      <c r="M14" s="13" t="n">
        <v>185.38</v>
      </c>
      <c r="N14" s="13" t="n">
        <v>0</v>
      </c>
      <c r="O14" s="13" t="n">
        <v>0</v>
      </c>
      <c r="P14" s="13" t="n">
        <v>0.11</v>
      </c>
      <c r="Q14" s="13" t="n">
        <v>0.59</v>
      </c>
      <c r="R14" s="13" t="n">
        <v>2.46</v>
      </c>
      <c r="S14" s="13" t="n">
        <v>14.43</v>
      </c>
      <c r="T14" s="13" t="n">
        <v>47.35</v>
      </c>
      <c r="U14" s="13" t="n">
        <v>35.06</v>
      </c>
      <c r="V14" s="14">
        <f>F14*U14/100</f>
        <v/>
      </c>
      <c r="W14" s="10" t="inlineStr">
        <is>
          <t>Polígono del bloque</t>
        </is>
      </c>
    </row>
    <row r="15">
      <c r="A15" s="5" t="n">
        <v>7</v>
      </c>
      <c r="B15" s="5" t="inlineStr">
        <is>
          <t>M17B10</t>
        </is>
      </c>
      <c r="C15" s="5" t="inlineStr">
        <is>
          <t>Ayabaca</t>
        </is>
      </c>
      <c r="D15" s="5" t="inlineStr">
        <is>
          <t>Frías</t>
        </is>
      </c>
      <c r="E15" s="5" t="inlineStr">
        <is>
          <t>C1096-Q9556</t>
        </is>
      </c>
      <c r="F15" s="6" t="n">
        <v>75.363</v>
      </c>
      <c r="G15" s="7" t="n">
        <v>606161</v>
      </c>
      <c r="H15" s="7" t="n">
        <v>9447405</v>
      </c>
      <c r="I15" s="6" t="n">
        <v>75.363</v>
      </c>
      <c r="J15" s="8" t="n">
        <v>50.01</v>
      </c>
      <c r="K15" s="8" t="n">
        <v>49.35</v>
      </c>
      <c r="L15" s="8" t="n">
        <v>67.55</v>
      </c>
      <c r="M15" s="8" t="n">
        <v>87.81</v>
      </c>
      <c r="N15" s="8" t="n">
        <v>0</v>
      </c>
      <c r="O15" s="8" t="n">
        <v>0</v>
      </c>
      <c r="P15" s="8" t="n">
        <v>0</v>
      </c>
      <c r="Q15" s="8" t="n">
        <v>0.12</v>
      </c>
      <c r="R15" s="8" t="n">
        <v>1.08</v>
      </c>
      <c r="S15" s="8" t="n">
        <v>51.56</v>
      </c>
      <c r="T15" s="8" t="n">
        <v>43.3</v>
      </c>
      <c r="U15" s="8" t="n">
        <v>3.95</v>
      </c>
      <c r="V15" s="9">
        <f>F15*U15/100</f>
        <v/>
      </c>
      <c r="W15" s="5" t="inlineStr">
        <is>
          <t>Polígono del bloque</t>
        </is>
      </c>
    </row>
    <row r="16">
      <c r="A16" s="10" t="n">
        <v>8</v>
      </c>
      <c r="B16" s="10" t="inlineStr">
        <is>
          <t>M17B5</t>
        </is>
      </c>
      <c r="C16" s="10" t="inlineStr">
        <is>
          <t>Ayabaca</t>
        </is>
      </c>
      <c r="D16" s="10" t="inlineStr">
        <is>
          <t>Frías</t>
        </is>
      </c>
      <c r="E16" s="10" t="inlineStr">
        <is>
          <t>C1096-Q9556</t>
        </is>
      </c>
      <c r="F16" s="11" t="n">
        <v>74.02800000000001</v>
      </c>
      <c r="G16" s="12" t="n">
        <v>608834</v>
      </c>
      <c r="H16" s="12" t="n">
        <v>9445570</v>
      </c>
      <c r="I16" s="11" t="n">
        <v>74.02800000000001</v>
      </c>
      <c r="J16" s="13" t="n">
        <v>55.72</v>
      </c>
      <c r="K16" s="13" t="n">
        <v>58.23</v>
      </c>
      <c r="L16" s="13" t="n">
        <v>74</v>
      </c>
      <c r="M16" s="13" t="n">
        <v>93.04000000000001</v>
      </c>
      <c r="N16" s="13" t="n">
        <v>0</v>
      </c>
      <c r="O16" s="13" t="n">
        <v>0</v>
      </c>
      <c r="P16" s="13" t="n">
        <v>0</v>
      </c>
      <c r="Q16" s="13" t="n">
        <v>0.48</v>
      </c>
      <c r="R16" s="13" t="n">
        <v>1.57</v>
      </c>
      <c r="S16" s="13" t="n">
        <v>31.24</v>
      </c>
      <c r="T16" s="13" t="n">
        <v>58.38</v>
      </c>
      <c r="U16" s="13" t="n">
        <v>8.32</v>
      </c>
      <c r="V16" s="14">
        <f>F16*U16/100</f>
        <v/>
      </c>
      <c r="W16" s="10" t="inlineStr">
        <is>
          <t>Polígono del bloque</t>
        </is>
      </c>
    </row>
    <row r="17">
      <c r="A17" s="5" t="n">
        <v>9</v>
      </c>
      <c r="B17" s="5" t="inlineStr">
        <is>
          <t>M17B6</t>
        </is>
      </c>
      <c r="C17" s="5" t="inlineStr">
        <is>
          <t>Ayabaca</t>
        </is>
      </c>
      <c r="D17" s="5" t="inlineStr">
        <is>
          <t>Frías</t>
        </is>
      </c>
      <c r="E17" s="5" t="inlineStr">
        <is>
          <t>C1096-Q9556</t>
        </is>
      </c>
      <c r="F17" s="6" t="n">
        <v>106.538</v>
      </c>
      <c r="G17" s="7" t="n">
        <v>607162</v>
      </c>
      <c r="H17" s="7" t="n">
        <v>9446245</v>
      </c>
      <c r="I17" s="6" t="n">
        <v>106.538</v>
      </c>
      <c r="J17" s="8" t="n">
        <v>44.65</v>
      </c>
      <c r="K17" s="8" t="n">
        <v>43.47</v>
      </c>
      <c r="L17" s="8" t="n">
        <v>64.58</v>
      </c>
      <c r="M17" s="8" t="n">
        <v>85.79000000000001</v>
      </c>
      <c r="N17" s="8" t="n">
        <v>0</v>
      </c>
      <c r="O17" s="8" t="n">
        <v>0</v>
      </c>
      <c r="P17" s="8" t="n">
        <v>0.17</v>
      </c>
      <c r="Q17" s="8" t="n">
        <v>1.7</v>
      </c>
      <c r="R17" s="8" t="n">
        <v>7.05</v>
      </c>
      <c r="S17" s="8" t="n">
        <v>57.05</v>
      </c>
      <c r="T17" s="8" t="n">
        <v>31.07</v>
      </c>
      <c r="U17" s="8" t="n">
        <v>2.97</v>
      </c>
      <c r="V17" s="9">
        <f>F17*U17/100</f>
        <v/>
      </c>
      <c r="W17" s="5" t="inlineStr">
        <is>
          <t>Polígono del bloque</t>
        </is>
      </c>
    </row>
    <row r="18">
      <c r="A18" s="10" t="n">
        <v>10</v>
      </c>
      <c r="B18" s="10" t="inlineStr">
        <is>
          <t>M17B7</t>
        </is>
      </c>
      <c r="C18" s="10" t="inlineStr">
        <is>
          <t>Ayabaca</t>
        </is>
      </c>
      <c r="D18" s="10" t="inlineStr">
        <is>
          <t>Frías</t>
        </is>
      </c>
      <c r="E18" s="10" t="inlineStr">
        <is>
          <t>C1096-Q9556</t>
        </is>
      </c>
      <c r="F18" s="11" t="n">
        <v>258.837</v>
      </c>
      <c r="G18" s="12" t="n">
        <v>608580</v>
      </c>
      <c r="H18" s="12" t="n">
        <v>9448092</v>
      </c>
      <c r="I18" s="11" t="n">
        <v>258.837</v>
      </c>
      <c r="J18" s="13" t="n">
        <v>59.16</v>
      </c>
      <c r="K18" s="13" t="n">
        <v>59.26</v>
      </c>
      <c r="L18" s="13" t="n">
        <v>75.34</v>
      </c>
      <c r="M18" s="13" t="n">
        <v>118.33</v>
      </c>
      <c r="N18" s="13" t="n">
        <v>0</v>
      </c>
      <c r="O18" s="13" t="n">
        <v>0.03</v>
      </c>
      <c r="P18" s="13" t="n">
        <v>0</v>
      </c>
      <c r="Q18" s="13" t="n">
        <v>0</v>
      </c>
      <c r="R18" s="13" t="n">
        <v>0.24</v>
      </c>
      <c r="S18" s="13" t="n">
        <v>22.98</v>
      </c>
      <c r="T18" s="13" t="n">
        <v>66.05</v>
      </c>
      <c r="U18" s="13" t="n">
        <v>10.69</v>
      </c>
      <c r="V18" s="14">
        <f>F18*U18/100</f>
        <v/>
      </c>
      <c r="W18" s="10" t="inlineStr">
        <is>
          <t>Polígono del bloque</t>
        </is>
      </c>
    </row>
    <row r="19">
      <c r="A19" s="5" t="n">
        <v>11</v>
      </c>
      <c r="B19" s="5" t="inlineStr">
        <is>
          <t>21</t>
        </is>
      </c>
      <c r="C19" s="5" t="inlineStr">
        <is>
          <t>Huancabamba</t>
        </is>
      </c>
      <c r="D19" s="5" t="inlineStr">
        <is>
          <t>Canchaque</t>
        </is>
      </c>
      <c r="E19" s="5" t="inlineStr">
        <is>
          <t>C1081-Q9591</t>
        </is>
      </c>
      <c r="F19" s="6" t="n">
        <v>84.227</v>
      </c>
      <c r="G19" s="7" t="n">
        <v>654617</v>
      </c>
      <c r="H19" s="7" t="n">
        <v>9417734</v>
      </c>
      <c r="I19" s="6" t="n">
        <v>84.227</v>
      </c>
      <c r="J19" s="8" t="n">
        <v>64.37</v>
      </c>
      <c r="K19" s="8" t="n">
        <v>58.44</v>
      </c>
      <c r="L19" s="8" t="n">
        <v>98.67</v>
      </c>
      <c r="M19" s="8" t="n">
        <v>154.59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0.32</v>
      </c>
      <c r="S19" s="8" t="n">
        <v>29.81</v>
      </c>
      <c r="T19" s="8" t="n">
        <v>42.74</v>
      </c>
      <c r="U19" s="8" t="n">
        <v>27.14</v>
      </c>
      <c r="V19" s="9">
        <f>F19*U19/100</f>
        <v/>
      </c>
      <c r="W19" s="5" t="inlineStr">
        <is>
          <t>Polígono del bloque</t>
        </is>
      </c>
    </row>
    <row r="20">
      <c r="A20" s="10" t="n">
        <v>12</v>
      </c>
      <c r="B20" s="10" t="inlineStr">
        <is>
          <t>24</t>
        </is>
      </c>
      <c r="C20" s="10" t="inlineStr">
        <is>
          <t>Huancabamba</t>
        </is>
      </c>
      <c r="D20" s="10" t="inlineStr">
        <is>
          <t>Canchaque</t>
        </is>
      </c>
      <c r="E20" s="10" t="inlineStr">
        <is>
          <t>C1081-Q9583</t>
        </is>
      </c>
      <c r="F20" s="11" t="n">
        <v>90.15900000000001</v>
      </c>
      <c r="G20" s="12" t="n">
        <v>652192</v>
      </c>
      <c r="H20" s="12" t="n">
        <v>9414358</v>
      </c>
      <c r="I20" s="11" t="n">
        <v>90.15900000000001</v>
      </c>
      <c r="J20" s="13" t="n">
        <v>67.06</v>
      </c>
      <c r="K20" s="13" t="n">
        <v>67.23999999999999</v>
      </c>
      <c r="L20" s="13" t="n">
        <v>90.97</v>
      </c>
      <c r="M20" s="13" t="n">
        <v>114.7</v>
      </c>
      <c r="N20" s="13" t="n">
        <v>0</v>
      </c>
      <c r="O20" s="13" t="n">
        <v>0.1</v>
      </c>
      <c r="P20" s="13" t="n">
        <v>0</v>
      </c>
      <c r="Q20" s="13" t="n">
        <v>0.3</v>
      </c>
      <c r="R20" s="13" t="n">
        <v>0.7</v>
      </c>
      <c r="S20" s="13" t="n">
        <v>15.58</v>
      </c>
      <c r="T20" s="13" t="n">
        <v>50.65</v>
      </c>
      <c r="U20" s="13" t="n">
        <v>32.67</v>
      </c>
      <c r="V20" s="14">
        <f>F20*U20/100</f>
        <v/>
      </c>
      <c r="W20" s="10" t="inlineStr">
        <is>
          <t>Polígono del bloque</t>
        </is>
      </c>
    </row>
    <row r="21">
      <c r="A21" s="5" t="n">
        <v>13</v>
      </c>
      <c r="B21" s="5" t="inlineStr">
        <is>
          <t>28</t>
        </is>
      </c>
      <c r="C21" s="5" t="inlineStr">
        <is>
          <t>Huancabamba</t>
        </is>
      </c>
      <c r="D21" s="5" t="inlineStr">
        <is>
          <t>Canchaque</t>
        </is>
      </c>
      <c r="E21" s="5" t="inlineStr">
        <is>
          <t>C1081-Q9591</t>
        </is>
      </c>
      <c r="F21" s="6" t="n">
        <v>52.966</v>
      </c>
      <c r="G21" s="7" t="n">
        <v>654193</v>
      </c>
      <c r="H21" s="7" t="n">
        <v>9422833</v>
      </c>
      <c r="I21" s="6" t="n">
        <v>52.966</v>
      </c>
      <c r="J21" s="8" t="n">
        <v>60.37</v>
      </c>
      <c r="K21" s="8" t="n">
        <v>58.63</v>
      </c>
      <c r="L21" s="8" t="n">
        <v>81.73999999999999</v>
      </c>
      <c r="M21" s="8" t="n">
        <v>115.63</v>
      </c>
      <c r="N21" s="8" t="n">
        <v>0</v>
      </c>
      <c r="O21" s="8" t="n">
        <v>0</v>
      </c>
      <c r="P21" s="8" t="n">
        <v>0</v>
      </c>
      <c r="Q21" s="8" t="n">
        <v>0.17</v>
      </c>
      <c r="R21" s="8" t="n">
        <v>0.34</v>
      </c>
      <c r="S21" s="8" t="n">
        <v>28.25</v>
      </c>
      <c r="T21" s="8" t="n">
        <v>54.97</v>
      </c>
      <c r="U21" s="8" t="n">
        <v>16.27</v>
      </c>
      <c r="V21" s="9">
        <f>F21*U21/100</f>
        <v/>
      </c>
      <c r="W21" s="5" t="inlineStr">
        <is>
          <t>Polígono del bloque</t>
        </is>
      </c>
    </row>
    <row r="22">
      <c r="A22" s="10" t="n">
        <v>14</v>
      </c>
      <c r="B22" s="10" t="inlineStr">
        <is>
          <t>30</t>
        </is>
      </c>
      <c r="C22" s="10" t="inlineStr">
        <is>
          <t>Huancabamba</t>
        </is>
      </c>
      <c r="D22" s="10" t="inlineStr">
        <is>
          <t>Canchaque</t>
        </is>
      </c>
      <c r="E22" s="10" t="inlineStr">
        <is>
          <t>C1081-Q9591</t>
        </is>
      </c>
      <c r="F22" s="11" t="n">
        <v>34.874</v>
      </c>
      <c r="G22" s="12" t="n">
        <v>652779</v>
      </c>
      <c r="H22" s="12" t="n">
        <v>9424394</v>
      </c>
      <c r="I22" s="11" t="n">
        <v>34.874</v>
      </c>
      <c r="J22" s="13" t="n">
        <v>54.73</v>
      </c>
      <c r="K22" s="13" t="n">
        <v>54.07</v>
      </c>
      <c r="L22" s="13" t="n">
        <v>70.33</v>
      </c>
      <c r="M22" s="13" t="n">
        <v>80.03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1.06</v>
      </c>
      <c r="S22" s="13" t="n">
        <v>28.76</v>
      </c>
      <c r="T22" s="13" t="n">
        <v>65.95999999999999</v>
      </c>
      <c r="U22" s="13" t="n">
        <v>4.22</v>
      </c>
      <c r="V22" s="14">
        <f>F22*U22/100</f>
        <v/>
      </c>
      <c r="W22" s="10" t="inlineStr">
        <is>
          <t>Polígono del bloque</t>
        </is>
      </c>
    </row>
    <row r="23">
      <c r="A23" s="5" t="n">
        <v>15</v>
      </c>
      <c r="B23" s="5" t="inlineStr">
        <is>
          <t>40</t>
        </is>
      </c>
      <c r="C23" s="5" t="inlineStr">
        <is>
          <t>Huancabamba</t>
        </is>
      </c>
      <c r="D23" s="5" t="inlineStr">
        <is>
          <t>Canchaque</t>
        </is>
      </c>
      <c r="E23" s="5" t="inlineStr">
        <is>
          <t>C1081-Q9591</t>
        </is>
      </c>
      <c r="F23" s="6" t="n">
        <v>28.523</v>
      </c>
      <c r="G23" s="7" t="n">
        <v>654135</v>
      </c>
      <c r="H23" s="7" t="n">
        <v>9424429</v>
      </c>
      <c r="I23" s="6" t="n">
        <v>28.523</v>
      </c>
      <c r="J23" s="8" t="n">
        <v>62.89</v>
      </c>
      <c r="K23" s="8" t="n">
        <v>62.97</v>
      </c>
      <c r="L23" s="8" t="n">
        <v>81.90000000000001</v>
      </c>
      <c r="M23" s="8" t="n">
        <v>97.08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0.32</v>
      </c>
      <c r="S23" s="8" t="n">
        <v>19.17</v>
      </c>
      <c r="T23" s="8" t="n">
        <v>59.42</v>
      </c>
      <c r="U23" s="8" t="n">
        <v>21.09</v>
      </c>
      <c r="V23" s="9">
        <f>F23*U23/100</f>
        <v/>
      </c>
      <c r="W23" s="5" t="inlineStr">
        <is>
          <t>Polígono del bloque</t>
        </is>
      </c>
    </row>
    <row r="24">
      <c r="A24" s="10" t="n">
        <v>16</v>
      </c>
      <c r="B24" s="10" t="inlineStr">
        <is>
          <t>60</t>
        </is>
      </c>
      <c r="C24" s="10" t="inlineStr">
        <is>
          <t>Huancabamba</t>
        </is>
      </c>
      <c r="D24" s="10" t="inlineStr">
        <is>
          <t>Canchaque</t>
        </is>
      </c>
      <c r="E24" s="10" t="inlineStr">
        <is>
          <t>C1081-Q9591</t>
        </is>
      </c>
      <c r="F24" s="11" t="n">
        <v>40.132</v>
      </c>
      <c r="G24" s="12" t="n">
        <v>653833</v>
      </c>
      <c r="H24" s="12" t="n">
        <v>9426266</v>
      </c>
      <c r="I24" s="11" t="n">
        <v>40.132</v>
      </c>
      <c r="J24" s="13" t="n">
        <v>64.77</v>
      </c>
      <c r="K24" s="13" t="n">
        <v>65.81</v>
      </c>
      <c r="L24" s="13" t="n">
        <v>80.25</v>
      </c>
      <c r="M24" s="13" t="n">
        <v>90.34</v>
      </c>
      <c r="N24" s="13" t="n">
        <v>0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12.33</v>
      </c>
      <c r="T24" s="13" t="n">
        <v>66.14</v>
      </c>
      <c r="U24" s="13" t="n">
        <v>21.52</v>
      </c>
      <c r="V24" s="14">
        <f>F24*U24/100</f>
        <v/>
      </c>
      <c r="W24" s="10" t="inlineStr">
        <is>
          <t>Polígono del bloque</t>
        </is>
      </c>
    </row>
    <row r="25">
      <c r="A25" s="5" t="n">
        <v>17</v>
      </c>
      <c r="B25" s="5" t="inlineStr">
        <is>
          <t>63</t>
        </is>
      </c>
      <c r="C25" s="5" t="inlineStr">
        <is>
          <t>Huancabamba</t>
        </is>
      </c>
      <c r="D25" s="5" t="inlineStr">
        <is>
          <t>Canchaque</t>
        </is>
      </c>
      <c r="E25" s="5" t="inlineStr">
        <is>
          <t>C1081-Q9583</t>
        </is>
      </c>
      <c r="F25" s="6" t="n">
        <v>50.459</v>
      </c>
      <c r="G25" s="7" t="n">
        <v>655052</v>
      </c>
      <c r="H25" s="7" t="n">
        <v>9413847</v>
      </c>
      <c r="I25" s="6" t="n">
        <v>50.459</v>
      </c>
      <c r="J25" s="8" t="n">
        <v>73.12</v>
      </c>
      <c r="K25" s="8" t="n">
        <v>73.83</v>
      </c>
      <c r="L25" s="8" t="n">
        <v>89.02</v>
      </c>
      <c r="M25" s="8" t="n">
        <v>130.56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3.6</v>
      </c>
      <c r="T25" s="8" t="n">
        <v>49.73</v>
      </c>
      <c r="U25" s="8" t="n">
        <v>46.67</v>
      </c>
      <c r="V25" s="9">
        <f>F25*U25/100</f>
        <v/>
      </c>
      <c r="W25" s="5" t="inlineStr">
        <is>
          <t>Polígono del bloque</t>
        </is>
      </c>
    </row>
    <row r="26">
      <c r="A26" s="10" t="n">
        <v>18</v>
      </c>
      <c r="B26" s="10" t="inlineStr">
        <is>
          <t>66</t>
        </is>
      </c>
      <c r="C26" s="10" t="inlineStr">
        <is>
          <t>Huancabamba</t>
        </is>
      </c>
      <c r="D26" s="10" t="inlineStr">
        <is>
          <t>Canchaque</t>
        </is>
      </c>
      <c r="E26" s="10" t="inlineStr">
        <is>
          <t>C1081-Q9591</t>
        </is>
      </c>
      <c r="F26" s="11" t="n">
        <v>102.335</v>
      </c>
      <c r="G26" s="12" t="n">
        <v>652562</v>
      </c>
      <c r="H26" s="12" t="n">
        <v>9417338</v>
      </c>
      <c r="I26" s="11" t="n">
        <v>102.335</v>
      </c>
      <c r="J26" s="13" t="n">
        <v>66.37</v>
      </c>
      <c r="K26" s="13" t="n">
        <v>65.14</v>
      </c>
      <c r="L26" s="13" t="n">
        <v>100.03</v>
      </c>
      <c r="M26" s="13" t="n">
        <v>164.78</v>
      </c>
      <c r="N26" s="13" t="n">
        <v>0</v>
      </c>
      <c r="O26" s="13" t="n">
        <v>0.09</v>
      </c>
      <c r="P26" s="13" t="n">
        <v>0</v>
      </c>
      <c r="Q26" s="13" t="n">
        <v>0.18</v>
      </c>
      <c r="R26" s="13" t="n">
        <v>1.05</v>
      </c>
      <c r="S26" s="13" t="n">
        <v>29.62</v>
      </c>
      <c r="T26" s="13" t="n">
        <v>33.13</v>
      </c>
      <c r="U26" s="13" t="n">
        <v>35.93</v>
      </c>
      <c r="V26" s="14">
        <f>F26*U26/100</f>
        <v/>
      </c>
      <c r="W26" s="10" t="inlineStr">
        <is>
          <t>Polígono del bloque</t>
        </is>
      </c>
    </row>
    <row r="27">
      <c r="A27" s="5" t="n">
        <v>19</v>
      </c>
      <c r="B27" s="5" t="inlineStr">
        <is>
          <t>79</t>
        </is>
      </c>
      <c r="C27" s="5" t="inlineStr">
        <is>
          <t>Huancabamba</t>
        </is>
      </c>
      <c r="D27" s="5" t="inlineStr">
        <is>
          <t>Canchaque</t>
        </is>
      </c>
      <c r="E27" s="5" t="inlineStr">
        <is>
          <t>C1076-Q9587</t>
        </is>
      </c>
      <c r="F27" s="6" t="n">
        <v>94.812</v>
      </c>
      <c r="G27" s="7" t="n">
        <v>650297</v>
      </c>
      <c r="H27" s="7" t="n">
        <v>9402765</v>
      </c>
      <c r="I27" s="6" t="n">
        <v>94.812</v>
      </c>
      <c r="J27" s="8" t="n">
        <v>33.79</v>
      </c>
      <c r="K27" s="8" t="n">
        <v>27.03</v>
      </c>
      <c r="L27" s="8" t="n">
        <v>60.51</v>
      </c>
      <c r="M27" s="8" t="n">
        <v>93.97</v>
      </c>
      <c r="N27" s="8" t="n">
        <v>0</v>
      </c>
      <c r="O27" s="8" t="n">
        <v>0</v>
      </c>
      <c r="P27" s="8" t="n">
        <v>0.09</v>
      </c>
      <c r="Q27" s="8" t="n">
        <v>5.22</v>
      </c>
      <c r="R27" s="8" t="n">
        <v>40.04</v>
      </c>
      <c r="S27" s="8" t="n">
        <v>36.15</v>
      </c>
      <c r="T27" s="8" t="n">
        <v>14.52</v>
      </c>
      <c r="U27" s="8" t="n">
        <v>3.98</v>
      </c>
      <c r="V27" s="9">
        <f>F27*U27/100</f>
        <v/>
      </c>
      <c r="W27" s="5" t="inlineStr">
        <is>
          <t>Polígono del bloque</t>
        </is>
      </c>
    </row>
    <row r="28">
      <c r="A28" s="10" t="n">
        <v>20</v>
      </c>
      <c r="B28" s="10" t="inlineStr">
        <is>
          <t>81</t>
        </is>
      </c>
      <c r="C28" s="10" t="inlineStr">
        <is>
          <t>Huancabamba</t>
        </is>
      </c>
      <c r="D28" s="10" t="inlineStr">
        <is>
          <t>Canchaque</t>
        </is>
      </c>
      <c r="E28" s="10" t="inlineStr">
        <is>
          <t>C1076-Q9585</t>
        </is>
      </c>
      <c r="F28" s="11" t="n">
        <v>8.929</v>
      </c>
      <c r="G28" s="12" t="n">
        <v>641517</v>
      </c>
      <c r="H28" s="12" t="n">
        <v>9401350</v>
      </c>
      <c r="I28" s="11" t="n">
        <v>8.929</v>
      </c>
      <c r="J28" s="13" t="n">
        <v>29.43</v>
      </c>
      <c r="K28" s="13" t="n">
        <v>27.98</v>
      </c>
      <c r="L28" s="13" t="n">
        <v>43.41</v>
      </c>
      <c r="M28" s="13" t="n">
        <v>56.46</v>
      </c>
      <c r="N28" s="13" t="n">
        <v>0</v>
      </c>
      <c r="O28" s="13" t="n">
        <v>0</v>
      </c>
      <c r="P28" s="13" t="n">
        <v>0</v>
      </c>
      <c r="Q28" s="13" t="n">
        <v>9.09</v>
      </c>
      <c r="R28" s="13" t="n">
        <v>28.28</v>
      </c>
      <c r="S28" s="13" t="n">
        <v>57.58</v>
      </c>
      <c r="T28" s="13" t="n">
        <v>5.05</v>
      </c>
      <c r="U28" s="13" t="n">
        <v>0</v>
      </c>
      <c r="V28" s="14">
        <f>F28*U28/100</f>
        <v/>
      </c>
      <c r="W28" s="10" t="inlineStr">
        <is>
          <t>Polígono del bloque</t>
        </is>
      </c>
    </row>
    <row r="29">
      <c r="A29" s="5" t="n">
        <v>21</v>
      </c>
      <c r="B29" s="5" t="inlineStr">
        <is>
          <t>64</t>
        </is>
      </c>
      <c r="C29" s="5" t="inlineStr">
        <is>
          <t>Huancabamba</t>
        </is>
      </c>
      <c r="D29" s="5" t="inlineStr">
        <is>
          <t>Huancabamba</t>
        </is>
      </c>
      <c r="E29" s="5" t="inlineStr">
        <is>
          <t>C1081-Q9591</t>
        </is>
      </c>
      <c r="F29" s="6" t="n">
        <v>35.774</v>
      </c>
      <c r="G29" s="7" t="n">
        <v>657794</v>
      </c>
      <c r="H29" s="7" t="n">
        <v>9428554</v>
      </c>
      <c r="I29" s="6" t="n">
        <v>35.774</v>
      </c>
      <c r="J29" s="8" t="n">
        <v>56.17</v>
      </c>
      <c r="K29" s="8" t="n">
        <v>56.77</v>
      </c>
      <c r="L29" s="8" t="n">
        <v>75.25</v>
      </c>
      <c r="M29" s="8" t="n">
        <v>94.59</v>
      </c>
      <c r="N29" s="8" t="n">
        <v>0.25</v>
      </c>
      <c r="O29" s="8" t="n">
        <v>0</v>
      </c>
      <c r="P29" s="8" t="n">
        <v>0</v>
      </c>
      <c r="Q29" s="8" t="n">
        <v>1</v>
      </c>
      <c r="R29" s="8" t="n">
        <v>2</v>
      </c>
      <c r="S29" s="8" t="n">
        <v>29</v>
      </c>
      <c r="T29" s="8" t="n">
        <v>57.5</v>
      </c>
      <c r="U29" s="8" t="n">
        <v>10.25</v>
      </c>
      <c r="V29" s="9">
        <f>F29*U29/100</f>
        <v/>
      </c>
      <c r="W29" s="5" t="inlineStr">
        <is>
          <t>Polígono del bloque</t>
        </is>
      </c>
    </row>
    <row r="30">
      <c r="A30" s="10" t="n">
        <v>22</v>
      </c>
      <c r="B30" s="10" t="inlineStr">
        <is>
          <t>M30B5</t>
        </is>
      </c>
      <c r="C30" s="10" t="inlineStr">
        <is>
          <t>Huancabamba</t>
        </is>
      </c>
      <c r="D30" s="10" t="inlineStr">
        <is>
          <t>Huancabamba</t>
        </is>
      </c>
      <c r="E30" s="10" t="inlineStr">
        <is>
          <t>C1081-Q9591</t>
        </is>
      </c>
      <c r="F30" s="11" t="n">
        <v>90.90300000000001</v>
      </c>
      <c r="G30" s="12" t="n">
        <v>655341</v>
      </c>
      <c r="H30" s="12" t="n">
        <v>9427395</v>
      </c>
      <c r="I30" s="11" t="n">
        <v>90.90300000000001</v>
      </c>
      <c r="J30" s="13" t="n">
        <v>40.22</v>
      </c>
      <c r="K30" s="13" t="n">
        <v>38.36</v>
      </c>
      <c r="L30" s="13" t="n">
        <v>60.42</v>
      </c>
      <c r="M30" s="13" t="n">
        <v>82.95999999999999</v>
      </c>
      <c r="N30" s="13" t="n">
        <v>0</v>
      </c>
      <c r="O30" s="13" t="n">
        <v>0</v>
      </c>
      <c r="P30" s="13" t="n">
        <v>0.79</v>
      </c>
      <c r="Q30" s="13" t="n">
        <v>2.37</v>
      </c>
      <c r="R30" s="13" t="n">
        <v>10.87</v>
      </c>
      <c r="S30" s="13" t="n">
        <v>59.19</v>
      </c>
      <c r="T30" s="13" t="n">
        <v>25.59</v>
      </c>
      <c r="U30" s="13" t="n">
        <v>1.19</v>
      </c>
      <c r="V30" s="14">
        <f>F30*U30/100</f>
        <v/>
      </c>
      <c r="W30" s="10" t="inlineStr">
        <is>
          <t>Polígono del bloque</t>
        </is>
      </c>
    </row>
    <row r="31">
      <c r="A31" s="5" t="n">
        <v>23</v>
      </c>
      <c r="B31" s="5" t="inlineStr">
        <is>
          <t>10</t>
        </is>
      </c>
      <c r="C31" s="5" t="inlineStr">
        <is>
          <t>Huancabamba</t>
        </is>
      </c>
      <c r="D31" s="5" t="inlineStr">
        <is>
          <t>Huarmaca</t>
        </is>
      </c>
      <c r="E31" s="5" t="inlineStr">
        <is>
          <t>C1076-Q9593</t>
        </is>
      </c>
      <c r="F31" s="6" t="n">
        <v>150.214</v>
      </c>
      <c r="G31" s="7" t="n">
        <v>650852</v>
      </c>
      <c r="H31" s="7" t="n">
        <v>9382332</v>
      </c>
      <c r="I31" s="6" t="n">
        <v>150.214</v>
      </c>
      <c r="J31" s="8" t="n">
        <v>53.63</v>
      </c>
      <c r="K31" s="8" t="n">
        <v>54.71</v>
      </c>
      <c r="L31" s="8" t="n">
        <v>67.94</v>
      </c>
      <c r="M31" s="8" t="n">
        <v>82.51000000000001</v>
      </c>
      <c r="N31" s="8" t="n">
        <v>0</v>
      </c>
      <c r="O31" s="8" t="n">
        <v>0</v>
      </c>
      <c r="P31" s="8" t="n">
        <v>0</v>
      </c>
      <c r="Q31" s="8" t="n">
        <v>0.36</v>
      </c>
      <c r="R31" s="8" t="n">
        <v>1.21</v>
      </c>
      <c r="S31" s="8" t="n">
        <v>32.93</v>
      </c>
      <c r="T31" s="8" t="n">
        <v>62.71</v>
      </c>
      <c r="U31" s="8" t="n">
        <v>2.78</v>
      </c>
      <c r="V31" s="9">
        <f>F31*U31/100</f>
        <v/>
      </c>
      <c r="W31" s="5" t="inlineStr">
        <is>
          <t>Polígono del bloque</t>
        </is>
      </c>
    </row>
    <row r="32">
      <c r="A32" s="10" t="n">
        <v>24</v>
      </c>
      <c r="B32" s="10" t="inlineStr">
        <is>
          <t>16</t>
        </is>
      </c>
      <c r="C32" s="10" t="inlineStr">
        <is>
          <t>Huancabamba</t>
        </is>
      </c>
      <c r="D32" s="10" t="inlineStr">
        <is>
          <t>Huarmaca</t>
        </is>
      </c>
      <c r="E32" s="10" t="inlineStr">
        <is>
          <t>C1076-Q9593</t>
        </is>
      </c>
      <c r="F32" s="11" t="n">
        <v>83.327</v>
      </c>
      <c r="G32" s="12" t="n">
        <v>652955</v>
      </c>
      <c r="H32" s="12" t="n">
        <v>9382118</v>
      </c>
      <c r="I32" s="11" t="n">
        <v>83.327</v>
      </c>
      <c r="J32" s="13" t="n">
        <v>42.36</v>
      </c>
      <c r="K32" s="13" t="n">
        <v>40.02</v>
      </c>
      <c r="L32" s="13" t="n">
        <v>65.91</v>
      </c>
      <c r="M32" s="13" t="n">
        <v>87.93000000000001</v>
      </c>
      <c r="N32" s="13" t="n">
        <v>0</v>
      </c>
      <c r="O32" s="13" t="n">
        <v>0</v>
      </c>
      <c r="P32" s="13" t="n">
        <v>0.65</v>
      </c>
      <c r="Q32" s="13" t="n">
        <v>1.4</v>
      </c>
      <c r="R32" s="13" t="n">
        <v>8.199999999999999</v>
      </c>
      <c r="S32" s="13" t="n">
        <v>54.37</v>
      </c>
      <c r="T32" s="13" t="n">
        <v>33.23</v>
      </c>
      <c r="U32" s="13" t="n">
        <v>2.16</v>
      </c>
      <c r="V32" s="14">
        <f>F32*U32/100</f>
        <v/>
      </c>
      <c r="W32" s="10" t="inlineStr">
        <is>
          <t>Polígono del bloque</t>
        </is>
      </c>
    </row>
    <row r="33">
      <c r="A33" s="5" t="n">
        <v>25</v>
      </c>
      <c r="B33" s="5" t="inlineStr">
        <is>
          <t>18</t>
        </is>
      </c>
      <c r="C33" s="5" t="inlineStr">
        <is>
          <t>Huancabamba</t>
        </is>
      </c>
      <c r="D33" s="5" t="inlineStr">
        <is>
          <t>Huarmaca</t>
        </is>
      </c>
      <c r="E33" s="5" t="inlineStr">
        <is>
          <t>C1076-Q9592</t>
        </is>
      </c>
      <c r="F33" s="6" t="n">
        <v>103.617</v>
      </c>
      <c r="G33" s="7" t="n">
        <v>656458</v>
      </c>
      <c r="H33" s="7" t="n">
        <v>9393128</v>
      </c>
      <c r="I33" s="6" t="n">
        <v>103.617</v>
      </c>
      <c r="J33" s="8" t="n">
        <v>56.33</v>
      </c>
      <c r="K33" s="8" t="n">
        <v>57.56</v>
      </c>
      <c r="L33" s="8" t="n">
        <v>67.43000000000001</v>
      </c>
      <c r="M33" s="8" t="n">
        <v>80.84999999999999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0.7</v>
      </c>
      <c r="S33" s="8" t="n">
        <v>22.06</v>
      </c>
      <c r="T33" s="8" t="n">
        <v>76.2</v>
      </c>
      <c r="U33" s="8" t="n">
        <v>1.05</v>
      </c>
      <c r="V33" s="9">
        <f>F33*U33/100</f>
        <v/>
      </c>
      <c r="W33" s="5" t="inlineStr">
        <is>
          <t>Polígono del bloque</t>
        </is>
      </c>
    </row>
    <row r="34">
      <c r="A34" s="10" t="n">
        <v>26</v>
      </c>
      <c r="B34" s="10" t="inlineStr">
        <is>
          <t>19</t>
        </is>
      </c>
      <c r="C34" s="10" t="inlineStr">
        <is>
          <t>Huancabamba</t>
        </is>
      </c>
      <c r="D34" s="10" t="inlineStr">
        <is>
          <t>Huarmaca</t>
        </is>
      </c>
      <c r="E34" s="10" t="inlineStr">
        <is>
          <t>C1076-Q9592</t>
        </is>
      </c>
      <c r="F34" s="11" t="n">
        <v>82.08799999999999</v>
      </c>
      <c r="G34" s="12" t="n">
        <v>665963</v>
      </c>
      <c r="H34" s="12" t="n">
        <v>9391131</v>
      </c>
      <c r="I34" s="11" t="n">
        <v>82.08799999999999</v>
      </c>
      <c r="J34" s="13" t="n">
        <v>61.93</v>
      </c>
      <c r="K34" s="13" t="n">
        <v>62.75</v>
      </c>
      <c r="L34" s="13" t="n">
        <v>81.8</v>
      </c>
      <c r="M34" s="13" t="n">
        <v>99.54000000000001</v>
      </c>
      <c r="N34" s="13" t="n">
        <v>0</v>
      </c>
      <c r="O34" s="13" t="n">
        <v>0</v>
      </c>
      <c r="P34" s="13" t="n">
        <v>0</v>
      </c>
      <c r="Q34" s="13" t="n">
        <v>0.22</v>
      </c>
      <c r="R34" s="13" t="n">
        <v>0.66</v>
      </c>
      <c r="S34" s="13" t="n">
        <v>24.09</v>
      </c>
      <c r="T34" s="13" t="n">
        <v>50.5</v>
      </c>
      <c r="U34" s="13" t="n">
        <v>24.53</v>
      </c>
      <c r="V34" s="14">
        <f>F34*U34/100</f>
        <v/>
      </c>
      <c r="W34" s="10" t="inlineStr">
        <is>
          <t>Polígono del bloque</t>
        </is>
      </c>
    </row>
    <row r="35">
      <c r="A35" s="5" t="n">
        <v>27</v>
      </c>
      <c r="B35" s="5" t="inlineStr">
        <is>
          <t>20</t>
        </is>
      </c>
      <c r="C35" s="5" t="inlineStr">
        <is>
          <t>Huancabamba</t>
        </is>
      </c>
      <c r="D35" s="5" t="inlineStr">
        <is>
          <t>Huarmaca</t>
        </is>
      </c>
      <c r="E35" s="5" t="inlineStr">
        <is>
          <t>C1076-Q9593</t>
        </is>
      </c>
      <c r="F35" s="6" t="n">
        <v>81.334</v>
      </c>
      <c r="G35" s="7" t="n">
        <v>649840</v>
      </c>
      <c r="H35" s="7" t="n">
        <v>9376268</v>
      </c>
      <c r="I35" s="6" t="n">
        <v>81.334</v>
      </c>
      <c r="J35" s="8" t="n">
        <v>47.11</v>
      </c>
      <c r="K35" s="8" t="n">
        <v>46.89</v>
      </c>
      <c r="L35" s="8" t="n">
        <v>58.82</v>
      </c>
      <c r="M35" s="8" t="n">
        <v>99.31999999999999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0.66</v>
      </c>
      <c r="S35" s="8" t="n">
        <v>63.05</v>
      </c>
      <c r="T35" s="8" t="n">
        <v>34.62</v>
      </c>
      <c r="U35" s="8" t="n">
        <v>1.66</v>
      </c>
      <c r="V35" s="9">
        <f>F35*U35/100</f>
        <v/>
      </c>
      <c r="W35" s="5" t="inlineStr">
        <is>
          <t>Polígono del bloque</t>
        </is>
      </c>
    </row>
    <row r="36">
      <c r="A36" s="10" t="n">
        <v>28</v>
      </c>
      <c r="B36" s="10" t="inlineStr">
        <is>
          <t>31</t>
        </is>
      </c>
      <c r="C36" s="10" t="inlineStr">
        <is>
          <t>Huancabamba</t>
        </is>
      </c>
      <c r="D36" s="10" t="inlineStr">
        <is>
          <t>Huarmaca</t>
        </is>
      </c>
      <c r="E36" s="10" t="inlineStr">
        <is>
          <t>C1076-Q9592</t>
        </is>
      </c>
      <c r="F36" s="11" t="n">
        <v>47.581</v>
      </c>
      <c r="G36" s="12" t="n">
        <v>663386</v>
      </c>
      <c r="H36" s="12" t="n">
        <v>9392808</v>
      </c>
      <c r="I36" s="11" t="n">
        <v>47.581</v>
      </c>
      <c r="J36" s="13" t="n">
        <v>53.45</v>
      </c>
      <c r="K36" s="13" t="n">
        <v>52.87</v>
      </c>
      <c r="L36" s="13" t="n">
        <v>72.17</v>
      </c>
      <c r="M36" s="13" t="n">
        <v>94.95999999999999</v>
      </c>
      <c r="N36" s="13" t="n">
        <v>0</v>
      </c>
      <c r="O36" s="13" t="n">
        <v>0</v>
      </c>
      <c r="P36" s="13" t="n">
        <v>0</v>
      </c>
      <c r="Q36" s="13" t="n">
        <v>0.57</v>
      </c>
      <c r="R36" s="13" t="n">
        <v>2.47</v>
      </c>
      <c r="S36" s="13" t="n">
        <v>38.59</v>
      </c>
      <c r="T36" s="13" t="n">
        <v>51.52</v>
      </c>
      <c r="U36" s="13" t="n">
        <v>6.84</v>
      </c>
      <c r="V36" s="14">
        <f>F36*U36/100</f>
        <v/>
      </c>
      <c r="W36" s="10" t="inlineStr">
        <is>
          <t>Polígono del bloque</t>
        </is>
      </c>
    </row>
    <row r="37">
      <c r="A37" s="5" t="n">
        <v>29</v>
      </c>
      <c r="B37" s="5" t="inlineStr">
        <is>
          <t>4</t>
        </is>
      </c>
      <c r="C37" s="5" t="inlineStr">
        <is>
          <t>Huancabamba</t>
        </is>
      </c>
      <c r="D37" s="5" t="inlineStr">
        <is>
          <t>Huarmaca</t>
        </is>
      </c>
      <c r="E37" s="5" t="inlineStr">
        <is>
          <t>C1076-Q9588</t>
        </is>
      </c>
      <c r="F37" s="6" t="n">
        <v>230.098</v>
      </c>
      <c r="G37" s="7" t="n">
        <v>656507</v>
      </c>
      <c r="H37" s="7" t="n">
        <v>9381981</v>
      </c>
      <c r="I37" s="6" t="n">
        <v>230.098</v>
      </c>
      <c r="J37" s="8" t="n">
        <v>75.51000000000001</v>
      </c>
      <c r="K37" s="8" t="n">
        <v>71.77</v>
      </c>
      <c r="L37" s="8" t="n">
        <v>108.29</v>
      </c>
      <c r="M37" s="8" t="n">
        <v>247.06</v>
      </c>
      <c r="N37" s="8" t="n">
        <v>0</v>
      </c>
      <c r="O37" s="8" t="n">
        <v>0</v>
      </c>
      <c r="P37" s="8" t="n">
        <v>0.04</v>
      </c>
      <c r="Q37" s="8" t="n">
        <v>0.2</v>
      </c>
      <c r="R37" s="8" t="n">
        <v>0.35</v>
      </c>
      <c r="S37" s="8" t="n">
        <v>12.47</v>
      </c>
      <c r="T37" s="8" t="n">
        <v>42.18</v>
      </c>
      <c r="U37" s="8" t="n">
        <v>44.76</v>
      </c>
      <c r="V37" s="9">
        <f>F37*U37/100</f>
        <v/>
      </c>
      <c r="W37" s="5" t="inlineStr">
        <is>
          <t>Polígono del bloque</t>
        </is>
      </c>
    </row>
    <row r="38">
      <c r="A38" s="10" t="n">
        <v>30</v>
      </c>
      <c r="B38" s="10" t="inlineStr">
        <is>
          <t>41</t>
        </is>
      </c>
      <c r="C38" s="10" t="inlineStr">
        <is>
          <t>Huancabamba</t>
        </is>
      </c>
      <c r="D38" s="10" t="inlineStr">
        <is>
          <t>Huarmaca</t>
        </is>
      </c>
      <c r="E38" s="10" t="inlineStr">
        <is>
          <t>C1076-Q9592</t>
        </is>
      </c>
      <c r="F38" s="11" t="n">
        <v>64.923</v>
      </c>
      <c r="G38" s="12" t="n">
        <v>660514</v>
      </c>
      <c r="H38" s="12" t="n">
        <v>9394314</v>
      </c>
      <c r="I38" s="11" t="n">
        <v>64.923</v>
      </c>
      <c r="J38" s="13" t="n">
        <v>49.15</v>
      </c>
      <c r="K38" s="13" t="n">
        <v>48.21</v>
      </c>
      <c r="L38" s="13" t="n">
        <v>60.82</v>
      </c>
      <c r="M38" s="13" t="n">
        <v>90.05</v>
      </c>
      <c r="N38" s="13" t="n">
        <v>0</v>
      </c>
      <c r="O38" s="13" t="n">
        <v>0</v>
      </c>
      <c r="P38" s="13" t="n">
        <v>0</v>
      </c>
      <c r="Q38" s="13" t="n">
        <v>0</v>
      </c>
      <c r="R38" s="13" t="n">
        <v>0.83</v>
      </c>
      <c r="S38" s="13" t="n">
        <v>58.69</v>
      </c>
      <c r="T38" s="13" t="n">
        <v>38.25</v>
      </c>
      <c r="U38" s="13" t="n">
        <v>2.23</v>
      </c>
      <c r="V38" s="14">
        <f>F38*U38/100</f>
        <v/>
      </c>
      <c r="W38" s="10" t="inlineStr">
        <is>
          <t>Polígono del bloque</t>
        </is>
      </c>
    </row>
    <row r="39">
      <c r="A39" s="5" t="n">
        <v>31</v>
      </c>
      <c r="B39" s="5" t="inlineStr">
        <is>
          <t>51</t>
        </is>
      </c>
      <c r="C39" s="5" t="inlineStr">
        <is>
          <t>Huancabamba</t>
        </is>
      </c>
      <c r="D39" s="5" t="inlineStr">
        <is>
          <t>Huarmaca</t>
        </is>
      </c>
      <c r="E39" s="5" t="inlineStr">
        <is>
          <t>C1076-Q9593</t>
        </is>
      </c>
      <c r="F39" s="6" t="n">
        <v>22.927</v>
      </c>
      <c r="G39" s="7" t="n">
        <v>656296</v>
      </c>
      <c r="H39" s="7" t="n">
        <v>9379076</v>
      </c>
      <c r="I39" s="6" t="n">
        <v>22.927</v>
      </c>
      <c r="J39" s="8" t="n">
        <v>62.39</v>
      </c>
      <c r="K39" s="8" t="n">
        <v>63.08</v>
      </c>
      <c r="L39" s="8" t="n">
        <v>79.26000000000001</v>
      </c>
      <c r="M39" s="8" t="n">
        <v>99.40000000000001</v>
      </c>
      <c r="N39" s="8" t="n">
        <v>0</v>
      </c>
      <c r="O39" s="8" t="n">
        <v>0</v>
      </c>
      <c r="P39" s="8" t="n">
        <v>0</v>
      </c>
      <c r="Q39" s="8" t="n">
        <v>0.4</v>
      </c>
      <c r="R39" s="8" t="n">
        <v>0</v>
      </c>
      <c r="S39" s="8" t="n">
        <v>20</v>
      </c>
      <c r="T39" s="8" t="n">
        <v>61.6</v>
      </c>
      <c r="U39" s="8" t="n">
        <v>18</v>
      </c>
      <c r="V39" s="9">
        <f>F39*U39/100</f>
        <v/>
      </c>
      <c r="W39" s="5" t="inlineStr">
        <is>
          <t>Polígono del bloque</t>
        </is>
      </c>
    </row>
    <row r="40">
      <c r="A40" s="10" t="n">
        <v>32</v>
      </c>
      <c r="B40" s="10" t="inlineStr">
        <is>
          <t>53</t>
        </is>
      </c>
      <c r="C40" s="10" t="inlineStr">
        <is>
          <t>Huancabamba</t>
        </is>
      </c>
      <c r="D40" s="10" t="inlineStr">
        <is>
          <t>Huarmaca</t>
        </is>
      </c>
      <c r="E40" s="10" t="inlineStr">
        <is>
          <t>C1076-Q9592</t>
        </is>
      </c>
      <c r="F40" s="11" t="n">
        <v>13.065</v>
      </c>
      <c r="G40" s="12" t="n">
        <v>666511</v>
      </c>
      <c r="H40" s="12" t="n">
        <v>9395924</v>
      </c>
      <c r="I40" s="11" t="n">
        <v>13.065</v>
      </c>
      <c r="J40" s="13" t="n">
        <v>51.79</v>
      </c>
      <c r="K40" s="13" t="n">
        <v>52.17</v>
      </c>
      <c r="L40" s="13" t="n">
        <v>71.06</v>
      </c>
      <c r="M40" s="13" t="n">
        <v>89.61</v>
      </c>
      <c r="N40" s="13" t="n">
        <v>0</v>
      </c>
      <c r="O40" s="13" t="n">
        <v>0</v>
      </c>
      <c r="P40" s="13" t="n">
        <v>0</v>
      </c>
      <c r="Q40" s="13" t="n">
        <v>2.16</v>
      </c>
      <c r="R40" s="13" t="n">
        <v>2.88</v>
      </c>
      <c r="S40" s="13" t="n">
        <v>36.69</v>
      </c>
      <c r="T40" s="13" t="n">
        <v>53.24</v>
      </c>
      <c r="U40" s="13" t="n">
        <v>5.04</v>
      </c>
      <c r="V40" s="14">
        <f>F40*U40/100</f>
        <v/>
      </c>
      <c r="W40" s="10" t="inlineStr">
        <is>
          <t>Polígono del bloque</t>
        </is>
      </c>
    </row>
    <row r="41">
      <c r="A41" s="5" t="n">
        <v>33</v>
      </c>
      <c r="B41" s="5" t="inlineStr">
        <is>
          <t>69</t>
        </is>
      </c>
      <c r="C41" s="5" t="inlineStr">
        <is>
          <t>Huancabamba</t>
        </is>
      </c>
      <c r="D41" s="5" t="inlineStr">
        <is>
          <t>Huarmaca</t>
        </is>
      </c>
      <c r="E41" s="5" t="inlineStr">
        <is>
          <t>C1076-Q9592</t>
        </is>
      </c>
      <c r="F41" s="6" t="n">
        <v>19.425</v>
      </c>
      <c r="G41" s="7" t="n">
        <v>663264</v>
      </c>
      <c r="H41" s="7" t="n">
        <v>9392364</v>
      </c>
      <c r="I41" s="6" t="n">
        <v>19.425</v>
      </c>
      <c r="J41" s="8" t="n">
        <v>55.68</v>
      </c>
      <c r="K41" s="8" t="n">
        <v>57.48</v>
      </c>
      <c r="L41" s="8" t="n">
        <v>69.23</v>
      </c>
      <c r="M41" s="8" t="n">
        <v>77.68000000000001</v>
      </c>
      <c r="N41" s="8" t="n">
        <v>0</v>
      </c>
      <c r="O41" s="8" t="n">
        <v>0</v>
      </c>
      <c r="P41" s="8" t="n">
        <v>0</v>
      </c>
      <c r="Q41" s="8" t="n">
        <v>0.48</v>
      </c>
      <c r="R41" s="8" t="n">
        <v>0.96</v>
      </c>
      <c r="S41" s="8" t="n">
        <v>26.79</v>
      </c>
      <c r="T41" s="8" t="n">
        <v>70.33</v>
      </c>
      <c r="U41" s="8" t="n">
        <v>1.44</v>
      </c>
      <c r="V41" s="9">
        <f>F41*U41/100</f>
        <v/>
      </c>
      <c r="W41" s="5" t="inlineStr">
        <is>
          <t>Polígono del bloque</t>
        </is>
      </c>
    </row>
    <row r="42">
      <c r="A42" s="10" t="n">
        <v>34</v>
      </c>
      <c r="B42" s="10" t="inlineStr">
        <is>
          <t>70</t>
        </is>
      </c>
      <c r="C42" s="10" t="inlineStr">
        <is>
          <t>Huancabamba</t>
        </is>
      </c>
      <c r="D42" s="10" t="inlineStr">
        <is>
          <t>Huarmaca</t>
        </is>
      </c>
      <c r="E42" s="10" t="inlineStr">
        <is>
          <t>C1076-Q9592</t>
        </is>
      </c>
      <c r="F42" s="11" t="n">
        <v>22.388</v>
      </c>
      <c r="G42" s="12" t="n">
        <v>666761</v>
      </c>
      <c r="H42" s="12" t="n">
        <v>9395572</v>
      </c>
      <c r="I42" s="11" t="n">
        <v>22.388</v>
      </c>
      <c r="J42" s="13" t="n">
        <v>44.03</v>
      </c>
      <c r="K42" s="13" t="n">
        <v>45.36</v>
      </c>
      <c r="L42" s="13" t="n">
        <v>63.28</v>
      </c>
      <c r="M42" s="13" t="n">
        <v>78.15000000000001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13.15</v>
      </c>
      <c r="S42" s="13" t="n">
        <v>50.6</v>
      </c>
      <c r="T42" s="13" t="n">
        <v>35.46</v>
      </c>
      <c r="U42" s="13" t="n">
        <v>0.8</v>
      </c>
      <c r="V42" s="14">
        <f>F42*U42/100</f>
        <v/>
      </c>
      <c r="W42" s="10" t="inlineStr">
        <is>
          <t>Polígono del bloque</t>
        </is>
      </c>
    </row>
    <row r="43">
      <c r="A43" s="5" t="n">
        <v>35</v>
      </c>
      <c r="B43" s="5" t="inlineStr">
        <is>
          <t>71</t>
        </is>
      </c>
      <c r="C43" s="5" t="inlineStr">
        <is>
          <t>Huancabamba</t>
        </is>
      </c>
      <c r="D43" s="5" t="inlineStr">
        <is>
          <t>Huarmaca</t>
        </is>
      </c>
      <c r="E43" s="5" t="inlineStr">
        <is>
          <t>C1076-Q9593</t>
        </is>
      </c>
      <c r="F43" s="6" t="n">
        <v>10.673</v>
      </c>
      <c r="G43" s="7" t="n">
        <v>652065</v>
      </c>
      <c r="H43" s="7" t="n">
        <v>9373072</v>
      </c>
      <c r="I43" s="6" t="n">
        <v>10.673</v>
      </c>
      <c r="J43" s="8" t="n">
        <v>55.17</v>
      </c>
      <c r="K43" s="8" t="n">
        <v>56.47</v>
      </c>
      <c r="L43" s="8" t="n">
        <v>69.13</v>
      </c>
      <c r="M43" s="8" t="n">
        <v>74.73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31.36</v>
      </c>
      <c r="T43" s="8" t="n">
        <v>68.64</v>
      </c>
      <c r="U43" s="8" t="n">
        <v>0</v>
      </c>
      <c r="V43" s="9">
        <f>F43*U43/100</f>
        <v/>
      </c>
      <c r="W43" s="5" t="inlineStr">
        <is>
          <t>Polígono del bloque</t>
        </is>
      </c>
    </row>
    <row r="44">
      <c r="A44" s="10" t="n">
        <v>36</v>
      </c>
      <c r="B44" s="10" t="inlineStr">
        <is>
          <t>72</t>
        </is>
      </c>
      <c r="C44" s="10" t="inlineStr">
        <is>
          <t>Huancabamba</t>
        </is>
      </c>
      <c r="D44" s="10" t="inlineStr">
        <is>
          <t>Huarmaca</t>
        </is>
      </c>
      <c r="E44" s="10" t="inlineStr">
        <is>
          <t>C1076-Q9592</t>
        </is>
      </c>
      <c r="F44" s="11" t="n">
        <v>12.398</v>
      </c>
      <c r="G44" s="12" t="n">
        <v>662248</v>
      </c>
      <c r="H44" s="12" t="n">
        <v>9391220</v>
      </c>
      <c r="I44" s="11" t="n">
        <v>12.398</v>
      </c>
      <c r="J44" s="13" t="n">
        <v>54.2</v>
      </c>
      <c r="K44" s="13" t="n">
        <v>53.26</v>
      </c>
      <c r="L44" s="13" t="n">
        <v>69.94</v>
      </c>
      <c r="M44" s="13" t="n">
        <v>80.92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36.76</v>
      </c>
      <c r="T44" s="13" t="n">
        <v>61.03</v>
      </c>
      <c r="U44" s="13" t="n">
        <v>2.21</v>
      </c>
      <c r="V44" s="14">
        <f>F44*U44/100</f>
        <v/>
      </c>
      <c r="W44" s="10" t="inlineStr">
        <is>
          <t>Polígono del bloque</t>
        </is>
      </c>
    </row>
    <row r="45">
      <c r="A45" s="5" t="n">
        <v>37</v>
      </c>
      <c r="B45" s="5" t="inlineStr">
        <is>
          <t>73</t>
        </is>
      </c>
      <c r="C45" s="5" t="inlineStr">
        <is>
          <t>Huancabamba</t>
        </is>
      </c>
      <c r="D45" s="5" t="inlineStr">
        <is>
          <t>Huarmaca</t>
        </is>
      </c>
      <c r="E45" s="5" t="inlineStr">
        <is>
          <t>C1076-Q9592</t>
        </is>
      </c>
      <c r="F45" s="6" t="n">
        <v>54.29</v>
      </c>
      <c r="G45" s="7" t="n">
        <v>658565</v>
      </c>
      <c r="H45" s="7" t="n">
        <v>9395587</v>
      </c>
      <c r="I45" s="6" t="n">
        <v>54.29</v>
      </c>
      <c r="J45" s="8" t="n">
        <v>75.12</v>
      </c>
      <c r="K45" s="8" t="n">
        <v>72.83</v>
      </c>
      <c r="L45" s="8" t="n">
        <v>96.59999999999999</v>
      </c>
      <c r="M45" s="8" t="n">
        <v>134.7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2.97</v>
      </c>
      <c r="T45" s="8" t="n">
        <v>54.79</v>
      </c>
      <c r="U45" s="8" t="n">
        <v>42.24</v>
      </c>
      <c r="V45" s="9">
        <f>F45*U45/100</f>
        <v/>
      </c>
      <c r="W45" s="5" t="inlineStr">
        <is>
          <t>Polígono del bloque</t>
        </is>
      </c>
    </row>
    <row r="46">
      <c r="A46" s="10" t="n">
        <v>38</v>
      </c>
      <c r="B46" s="10" t="inlineStr">
        <is>
          <t>76</t>
        </is>
      </c>
      <c r="C46" s="10" t="inlineStr">
        <is>
          <t>Huancabamba</t>
        </is>
      </c>
      <c r="D46" s="10" t="inlineStr">
        <is>
          <t>Huarmaca</t>
        </is>
      </c>
      <c r="E46" s="10" t="inlineStr">
        <is>
          <t>C1076-Q9593</t>
        </is>
      </c>
      <c r="F46" s="11" t="n">
        <v>19.615</v>
      </c>
      <c r="G46" s="12" t="n">
        <v>657936</v>
      </c>
      <c r="H46" s="12" t="n">
        <v>9377456</v>
      </c>
      <c r="I46" s="11" t="n">
        <v>19.615</v>
      </c>
      <c r="J46" s="13" t="n">
        <v>50.79</v>
      </c>
      <c r="K46" s="13" t="n">
        <v>50.64</v>
      </c>
      <c r="L46" s="13" t="n">
        <v>69.93000000000001</v>
      </c>
      <c r="M46" s="13" t="n">
        <v>84.52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4.72</v>
      </c>
      <c r="S46" s="13" t="n">
        <v>41.51</v>
      </c>
      <c r="T46" s="13" t="n">
        <v>49.06</v>
      </c>
      <c r="U46" s="13" t="n">
        <v>4.72</v>
      </c>
      <c r="V46" s="14">
        <f>F46*U46/100</f>
        <v/>
      </c>
      <c r="W46" s="10" t="inlineStr">
        <is>
          <t>Polígono del bloque</t>
        </is>
      </c>
    </row>
    <row r="47">
      <c r="A47" s="5" t="n">
        <v>39</v>
      </c>
      <c r="B47" s="5" t="inlineStr">
        <is>
          <t>8</t>
        </is>
      </c>
      <c r="C47" s="5" t="inlineStr">
        <is>
          <t>Huancabamba</t>
        </is>
      </c>
      <c r="D47" s="5" t="inlineStr">
        <is>
          <t>Huarmaca</t>
        </is>
      </c>
      <c r="E47" s="5" t="inlineStr">
        <is>
          <t>C1076-Q9593</t>
        </is>
      </c>
      <c r="F47" s="6" t="n">
        <v>126.952</v>
      </c>
      <c r="G47" s="7" t="n">
        <v>651637</v>
      </c>
      <c r="H47" s="7" t="n">
        <v>9373506</v>
      </c>
      <c r="I47" s="6" t="n">
        <v>126.952</v>
      </c>
      <c r="J47" s="8" t="n">
        <v>60.62</v>
      </c>
      <c r="K47" s="8" t="n">
        <v>59.68</v>
      </c>
      <c r="L47" s="8" t="n">
        <v>81.45</v>
      </c>
      <c r="M47" s="8" t="n">
        <v>117.38</v>
      </c>
      <c r="N47" s="8" t="n">
        <v>0</v>
      </c>
      <c r="O47" s="8" t="n">
        <v>0</v>
      </c>
      <c r="P47" s="8" t="n">
        <v>0.07000000000000001</v>
      </c>
      <c r="Q47" s="8" t="n">
        <v>0.14</v>
      </c>
      <c r="R47" s="8" t="n">
        <v>1.43</v>
      </c>
      <c r="S47" s="8" t="n">
        <v>23.88</v>
      </c>
      <c r="T47" s="8" t="n">
        <v>57.16</v>
      </c>
      <c r="U47" s="8" t="n">
        <v>17.32</v>
      </c>
      <c r="V47" s="9">
        <f>F47*U47/100</f>
        <v/>
      </c>
      <c r="W47" s="5" t="inlineStr">
        <is>
          <t>Polígono del bloque</t>
        </is>
      </c>
    </row>
    <row r="48">
      <c r="A48" s="10" t="n">
        <v>40</v>
      </c>
      <c r="B48" s="10" t="inlineStr">
        <is>
          <t>80</t>
        </is>
      </c>
      <c r="C48" s="10" t="inlineStr">
        <is>
          <t>Huancabamba</t>
        </is>
      </c>
      <c r="D48" s="10" t="inlineStr">
        <is>
          <t>Huarmaca</t>
        </is>
      </c>
      <c r="E48" s="10" t="inlineStr">
        <is>
          <t>C1076-Q9593</t>
        </is>
      </c>
      <c r="F48" s="11" t="n">
        <v>28.83</v>
      </c>
      <c r="G48" s="12" t="n">
        <v>657156</v>
      </c>
      <c r="H48" s="12" t="n">
        <v>9373038</v>
      </c>
      <c r="I48" s="11" t="n">
        <v>28.83</v>
      </c>
      <c r="J48" s="13" t="n">
        <v>65.87</v>
      </c>
      <c r="K48" s="13" t="n">
        <v>66.78</v>
      </c>
      <c r="L48" s="13" t="n">
        <v>82.45999999999999</v>
      </c>
      <c r="M48" s="13" t="n">
        <v>93.56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11.49</v>
      </c>
      <c r="T48" s="13" t="n">
        <v>59.94</v>
      </c>
      <c r="U48" s="13" t="n">
        <v>28.57</v>
      </c>
      <c r="V48" s="14">
        <f>F48*U48/100</f>
        <v/>
      </c>
      <c r="W48" s="10" t="inlineStr">
        <is>
          <t>Polígono del bloque</t>
        </is>
      </c>
    </row>
    <row r="49">
      <c r="A49" s="5" t="n">
        <v>41</v>
      </c>
      <c r="B49" s="5" t="inlineStr">
        <is>
          <t>M12B1</t>
        </is>
      </c>
      <c r="C49" s="5" t="inlineStr">
        <is>
          <t>Huancabamba</t>
        </is>
      </c>
      <c r="D49" s="5" t="inlineStr">
        <is>
          <t>Huarmaca</t>
        </is>
      </c>
      <c r="E49" s="5" t="inlineStr">
        <is>
          <t>C1076-Q9588</t>
        </is>
      </c>
      <c r="F49" s="6" t="n">
        <v>268.393</v>
      </c>
      <c r="G49" s="7" t="n">
        <v>644498</v>
      </c>
      <c r="H49" s="7" t="n">
        <v>9389156</v>
      </c>
      <c r="I49" s="6" t="n">
        <v>268.393</v>
      </c>
      <c r="J49" s="8" t="n">
        <v>33.5</v>
      </c>
      <c r="K49" s="8" t="n">
        <v>31.62</v>
      </c>
      <c r="L49" s="8" t="n">
        <v>52.5</v>
      </c>
      <c r="M49" s="8" t="n">
        <v>85.06</v>
      </c>
      <c r="N49" s="8" t="n">
        <v>0.13</v>
      </c>
      <c r="O49" s="8" t="n">
        <v>0.84</v>
      </c>
      <c r="P49" s="8" t="n">
        <v>0.57</v>
      </c>
      <c r="Q49" s="8" t="n">
        <v>2.89</v>
      </c>
      <c r="R49" s="8" t="n">
        <v>19.94</v>
      </c>
      <c r="S49" s="8" t="n">
        <v>63.58</v>
      </c>
      <c r="T49" s="8" t="n">
        <v>11.68</v>
      </c>
      <c r="U49" s="8" t="n">
        <v>0.37</v>
      </c>
      <c r="V49" s="9">
        <f>F49*U49/100</f>
        <v/>
      </c>
      <c r="W49" s="5" t="inlineStr">
        <is>
          <t>Polígono del bloque</t>
        </is>
      </c>
    </row>
    <row r="50">
      <c r="A50" s="10" t="n">
        <v>42</v>
      </c>
      <c r="B50" s="10" t="inlineStr">
        <is>
          <t>M4B3</t>
        </is>
      </c>
      <c r="C50" s="10" t="inlineStr">
        <is>
          <t>Huancabamba</t>
        </is>
      </c>
      <c r="D50" s="10" t="inlineStr">
        <is>
          <t>Huarmaca</t>
        </is>
      </c>
      <c r="E50" s="10" t="inlineStr">
        <is>
          <t>C1076-Q9589</t>
        </is>
      </c>
      <c r="F50" s="11" t="n">
        <v>234.069</v>
      </c>
      <c r="G50" s="12" t="n">
        <v>643506</v>
      </c>
      <c r="H50" s="12" t="n">
        <v>9385590</v>
      </c>
      <c r="I50" s="11" t="n">
        <v>234.069</v>
      </c>
      <c r="J50" s="13" t="n">
        <v>31.32</v>
      </c>
      <c r="K50" s="13" t="n">
        <v>30.69</v>
      </c>
      <c r="L50" s="13" t="n">
        <v>44.1</v>
      </c>
      <c r="M50" s="13" t="n">
        <v>69.73999999999999</v>
      </c>
      <c r="N50" s="13" t="n">
        <v>0</v>
      </c>
      <c r="O50" s="13" t="n">
        <v>0.08</v>
      </c>
      <c r="P50" s="13" t="n">
        <v>0.8100000000000001</v>
      </c>
      <c r="Q50" s="13" t="n">
        <v>4.02</v>
      </c>
      <c r="R50" s="13" t="n">
        <v>19.71</v>
      </c>
      <c r="S50" s="13" t="n">
        <v>71.05</v>
      </c>
      <c r="T50" s="13" t="n">
        <v>4.33</v>
      </c>
      <c r="U50" s="13" t="n">
        <v>0</v>
      </c>
      <c r="V50" s="14">
        <f>F50*U50/100</f>
        <v/>
      </c>
      <c r="W50" s="10" t="inlineStr">
        <is>
          <t>Polígono del bloque</t>
        </is>
      </c>
    </row>
    <row r="51">
      <c r="A51" s="5" t="n">
        <v>43</v>
      </c>
      <c r="B51" s="5" t="inlineStr">
        <is>
          <t>M4B4</t>
        </is>
      </c>
      <c r="C51" s="5" t="inlineStr">
        <is>
          <t>Huancabamba</t>
        </is>
      </c>
      <c r="D51" s="5" t="inlineStr">
        <is>
          <t>Huarmaca</t>
        </is>
      </c>
      <c r="E51" s="5" t="inlineStr">
        <is>
          <t>C1076-Q9589</t>
        </is>
      </c>
      <c r="F51" s="6" t="n">
        <v>289.914</v>
      </c>
      <c r="G51" s="7" t="n">
        <v>642792</v>
      </c>
      <c r="H51" s="7" t="n">
        <v>9388567</v>
      </c>
      <c r="I51" s="6" t="n">
        <v>289.914</v>
      </c>
      <c r="J51" s="8" t="n">
        <v>29.15</v>
      </c>
      <c r="K51" s="8" t="n">
        <v>28.4</v>
      </c>
      <c r="L51" s="8" t="n">
        <v>41.12</v>
      </c>
      <c r="M51" s="8" t="n">
        <v>62.23</v>
      </c>
      <c r="N51" s="8" t="n">
        <v>0</v>
      </c>
      <c r="O51" s="8" t="n">
        <v>0.03</v>
      </c>
      <c r="P51" s="8" t="n">
        <v>0.34</v>
      </c>
      <c r="Q51" s="8" t="n">
        <v>3.23</v>
      </c>
      <c r="R51" s="8" t="n">
        <v>30.46</v>
      </c>
      <c r="S51" s="8" t="n">
        <v>64.23</v>
      </c>
      <c r="T51" s="8" t="n">
        <v>1.71</v>
      </c>
      <c r="U51" s="8" t="n">
        <v>0</v>
      </c>
      <c r="V51" s="9">
        <f>F51*U51/100</f>
        <v/>
      </c>
      <c r="W51" s="5" t="inlineStr">
        <is>
          <t>Polígono del bloque</t>
        </is>
      </c>
    </row>
    <row r="52">
      <c r="A52" s="10" t="n">
        <v>44</v>
      </c>
      <c r="B52" s="10" t="inlineStr">
        <is>
          <t>26</t>
        </is>
      </c>
      <c r="C52" s="10" t="inlineStr">
        <is>
          <t>Huancabamba</t>
        </is>
      </c>
      <c r="D52" s="10" t="inlineStr">
        <is>
          <t>Lalaquiz</t>
        </is>
      </c>
      <c r="E52" s="10" t="inlineStr">
        <is>
          <t>C1081-Q9591</t>
        </is>
      </c>
      <c r="F52" s="11" t="n">
        <v>46.962</v>
      </c>
      <c r="G52" s="12" t="n">
        <v>649480</v>
      </c>
      <c r="H52" s="12" t="n">
        <v>9425729</v>
      </c>
      <c r="I52" s="11" t="n">
        <v>46.962</v>
      </c>
      <c r="J52" s="13" t="n">
        <v>66.05</v>
      </c>
      <c r="K52" s="13" t="n">
        <v>64.18000000000001</v>
      </c>
      <c r="L52" s="13" t="n">
        <v>90.59</v>
      </c>
      <c r="M52" s="13" t="n">
        <v>123.84</v>
      </c>
      <c r="N52" s="13" t="n">
        <v>0</v>
      </c>
      <c r="O52" s="13" t="n">
        <v>0</v>
      </c>
      <c r="P52" s="13" t="n">
        <v>0</v>
      </c>
      <c r="Q52" s="13" t="n">
        <v>0.19</v>
      </c>
      <c r="R52" s="13" t="n">
        <v>0.19</v>
      </c>
      <c r="S52" s="13" t="n">
        <v>17.82</v>
      </c>
      <c r="T52" s="13" t="n">
        <v>54.79</v>
      </c>
      <c r="U52" s="13" t="n">
        <v>27.01</v>
      </c>
      <c r="V52" s="14">
        <f>F52*U52/100</f>
        <v/>
      </c>
      <c r="W52" s="10" t="inlineStr">
        <is>
          <t>Polígono del bloque</t>
        </is>
      </c>
    </row>
    <row r="53">
      <c r="A53" s="5" t="n">
        <v>45</v>
      </c>
      <c r="B53" s="5" t="inlineStr">
        <is>
          <t>34</t>
        </is>
      </c>
      <c r="C53" s="5" t="inlineStr">
        <is>
          <t>Huancabamba</t>
        </is>
      </c>
      <c r="D53" s="5" t="inlineStr">
        <is>
          <t>Lalaquiz</t>
        </is>
      </c>
      <c r="E53" s="5" t="inlineStr">
        <is>
          <t>C1081-Q9590</t>
        </is>
      </c>
      <c r="F53" s="6" t="n">
        <v>28.45</v>
      </c>
      <c r="G53" s="7" t="n">
        <v>646476</v>
      </c>
      <c r="H53" s="7" t="n">
        <v>9426290</v>
      </c>
      <c r="I53" s="6" t="n">
        <v>28.45</v>
      </c>
      <c r="J53" s="8" t="n">
        <v>51.34</v>
      </c>
      <c r="K53" s="8" t="n">
        <v>52.45</v>
      </c>
      <c r="L53" s="8" t="n">
        <v>66.40000000000001</v>
      </c>
      <c r="M53" s="8" t="n">
        <v>78.34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3.17</v>
      </c>
      <c r="S53" s="8" t="n">
        <v>38.41</v>
      </c>
      <c r="T53" s="8" t="n">
        <v>57.78</v>
      </c>
      <c r="U53" s="8" t="n">
        <v>0.63</v>
      </c>
      <c r="V53" s="9">
        <f>F53*U53/100</f>
        <v/>
      </c>
      <c r="W53" s="5" t="inlineStr">
        <is>
          <t>Polígono del bloque</t>
        </is>
      </c>
    </row>
    <row r="54">
      <c r="A54" s="10" t="n">
        <v>46</v>
      </c>
      <c r="B54" s="10" t="inlineStr">
        <is>
          <t>37</t>
        </is>
      </c>
      <c r="C54" s="10" t="inlineStr">
        <is>
          <t>Huancabamba</t>
        </is>
      </c>
      <c r="D54" s="10" t="inlineStr">
        <is>
          <t>Lalaquiz</t>
        </is>
      </c>
      <c r="E54" s="10" t="inlineStr">
        <is>
          <t>C1081-Q9591</t>
        </is>
      </c>
      <c r="F54" s="11" t="n">
        <v>35.491</v>
      </c>
      <c r="G54" s="12" t="n">
        <v>649084</v>
      </c>
      <c r="H54" s="12" t="n">
        <v>9424511</v>
      </c>
      <c r="I54" s="11" t="n">
        <v>35.491</v>
      </c>
      <c r="J54" s="13" t="n">
        <v>44.19</v>
      </c>
      <c r="K54" s="13" t="n">
        <v>44.89</v>
      </c>
      <c r="L54" s="13" t="n">
        <v>57.16</v>
      </c>
      <c r="M54" s="13" t="n">
        <v>65.77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3.35</v>
      </c>
      <c r="S54" s="13" t="n">
        <v>68.3</v>
      </c>
      <c r="T54" s="13" t="n">
        <v>28.35</v>
      </c>
      <c r="U54" s="13" t="n">
        <v>0</v>
      </c>
      <c r="V54" s="14">
        <f>F54*U54/100</f>
        <v/>
      </c>
      <c r="W54" s="10" t="inlineStr">
        <is>
          <t>Polígono del bloque</t>
        </is>
      </c>
    </row>
    <row r="55">
      <c r="A55" s="5" t="n">
        <v>47</v>
      </c>
      <c r="B55" s="5" t="inlineStr">
        <is>
          <t>38</t>
        </is>
      </c>
      <c r="C55" s="5" t="inlineStr">
        <is>
          <t>Huancabamba</t>
        </is>
      </c>
      <c r="D55" s="5" t="inlineStr">
        <is>
          <t>Lalaquiz</t>
        </is>
      </c>
      <c r="E55" s="5" t="inlineStr">
        <is>
          <t>C1081-Q9590</t>
        </is>
      </c>
      <c r="F55" s="6" t="n">
        <v>44.201</v>
      </c>
      <c r="G55" s="7" t="n">
        <v>647139</v>
      </c>
      <c r="H55" s="7" t="n">
        <v>9427602</v>
      </c>
      <c r="I55" s="6" t="n">
        <v>44.201</v>
      </c>
      <c r="J55" s="8" t="n">
        <v>44.97</v>
      </c>
      <c r="K55" s="8" t="n">
        <v>44.26</v>
      </c>
      <c r="L55" s="8" t="n">
        <v>60.45</v>
      </c>
      <c r="M55" s="8" t="n">
        <v>78.17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1.64</v>
      </c>
      <c r="S55" s="8" t="n">
        <v>69.06</v>
      </c>
      <c r="T55" s="8" t="n">
        <v>28.89</v>
      </c>
      <c r="U55" s="8" t="n">
        <v>0.41</v>
      </c>
      <c r="V55" s="9">
        <f>F55*U55/100</f>
        <v/>
      </c>
      <c r="W55" s="5" t="inlineStr">
        <is>
          <t>Polígono del bloque</t>
        </is>
      </c>
    </row>
    <row r="56">
      <c r="A56" s="10" t="n">
        <v>48</v>
      </c>
      <c r="B56" s="10" t="inlineStr">
        <is>
          <t>50</t>
        </is>
      </c>
      <c r="C56" s="10" t="inlineStr">
        <is>
          <t>Huancabamba</t>
        </is>
      </c>
      <c r="D56" s="10" t="inlineStr">
        <is>
          <t>Lalaquiz</t>
        </is>
      </c>
      <c r="E56" s="10" t="inlineStr">
        <is>
          <t>C1081-Q9590</t>
        </is>
      </c>
      <c r="F56" s="11" t="n">
        <v>19.266</v>
      </c>
      <c r="G56" s="12" t="n">
        <v>647376</v>
      </c>
      <c r="H56" s="12" t="n">
        <v>9427237</v>
      </c>
      <c r="I56" s="11" t="n">
        <v>19.266</v>
      </c>
      <c r="J56" s="13" t="n">
        <v>60.13</v>
      </c>
      <c r="K56" s="13" t="n">
        <v>61.06</v>
      </c>
      <c r="L56" s="13" t="n">
        <v>82.20999999999999</v>
      </c>
      <c r="M56" s="13" t="n">
        <v>99.29000000000001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0.95</v>
      </c>
      <c r="S56" s="13" t="n">
        <v>28.44</v>
      </c>
      <c r="T56" s="13" t="n">
        <v>49.29</v>
      </c>
      <c r="U56" s="13" t="n">
        <v>21.33</v>
      </c>
      <c r="V56" s="14">
        <f>F56*U56/100</f>
        <v/>
      </c>
      <c r="W56" s="10" t="inlineStr">
        <is>
          <t>Polígono del bloque</t>
        </is>
      </c>
    </row>
    <row r="57">
      <c r="A57" s="5" t="n">
        <v>49</v>
      </c>
      <c r="B57" s="5" t="inlineStr">
        <is>
          <t>61</t>
        </is>
      </c>
      <c r="C57" s="5" t="inlineStr">
        <is>
          <t>Huancabamba</t>
        </is>
      </c>
      <c r="D57" s="5" t="inlineStr">
        <is>
          <t>Lalaquiz</t>
        </is>
      </c>
      <c r="E57" s="5" t="inlineStr">
        <is>
          <t>C1081-Q9590</t>
        </is>
      </c>
      <c r="F57" s="6" t="n">
        <v>26.826</v>
      </c>
      <c r="G57" s="7" t="n">
        <v>646235</v>
      </c>
      <c r="H57" s="7" t="n">
        <v>9425055</v>
      </c>
      <c r="I57" s="6" t="n">
        <v>26.826</v>
      </c>
      <c r="J57" s="8" t="n">
        <v>42.09</v>
      </c>
      <c r="K57" s="8" t="n">
        <v>43.05</v>
      </c>
      <c r="L57" s="8" t="n">
        <v>53.66</v>
      </c>
      <c r="M57" s="8" t="n">
        <v>69.81</v>
      </c>
      <c r="N57" s="8" t="n">
        <v>0</v>
      </c>
      <c r="O57" s="8" t="n">
        <v>0</v>
      </c>
      <c r="P57" s="8" t="n">
        <v>0</v>
      </c>
      <c r="Q57" s="8" t="n">
        <v>0.34</v>
      </c>
      <c r="R57" s="8" t="n">
        <v>4.39</v>
      </c>
      <c r="S57" s="8" t="n">
        <v>75.34</v>
      </c>
      <c r="T57" s="8" t="n">
        <v>19.93</v>
      </c>
      <c r="U57" s="8" t="n">
        <v>0</v>
      </c>
      <c r="V57" s="9">
        <f>F57*U57/100</f>
        <v/>
      </c>
      <c r="W57" s="5" t="inlineStr">
        <is>
          <t>Polígono del bloque</t>
        </is>
      </c>
    </row>
    <row r="58">
      <c r="A58" s="10" t="n">
        <v>50</v>
      </c>
      <c r="B58" s="10" t="inlineStr">
        <is>
          <t>35</t>
        </is>
      </c>
      <c r="C58" s="10" t="inlineStr">
        <is>
          <t>Huancabamba</t>
        </is>
      </c>
      <c r="D58" s="10" t="inlineStr">
        <is>
          <t>San Miguel de El Faique</t>
        </is>
      </c>
      <c r="E58" s="10" t="inlineStr">
        <is>
          <t>C1076-Q9586</t>
        </is>
      </c>
      <c r="F58" s="11" t="n">
        <v>30.804</v>
      </c>
      <c r="G58" s="12" t="n">
        <v>654634</v>
      </c>
      <c r="H58" s="12" t="n">
        <v>9395006</v>
      </c>
      <c r="I58" s="11" t="n">
        <v>30.804</v>
      </c>
      <c r="J58" s="13" t="n">
        <v>68.65000000000001</v>
      </c>
      <c r="K58" s="13" t="n">
        <v>69.05</v>
      </c>
      <c r="L58" s="13" t="n">
        <v>85.19</v>
      </c>
      <c r="M58" s="13" t="n">
        <v>101.53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1.79</v>
      </c>
      <c r="S58" s="13" t="n">
        <v>5.97</v>
      </c>
      <c r="T58" s="13" t="n">
        <v>56.12</v>
      </c>
      <c r="U58" s="13" t="n">
        <v>36.12</v>
      </c>
      <c r="V58" s="14">
        <f>F58*U58/100</f>
        <v/>
      </c>
      <c r="W58" s="10" t="inlineStr">
        <is>
          <t>Polígono del bloque</t>
        </is>
      </c>
    </row>
    <row r="59">
      <c r="A59" s="5" t="n">
        <v>51</v>
      </c>
      <c r="B59" s="5" t="inlineStr">
        <is>
          <t>43</t>
        </is>
      </c>
      <c r="C59" s="5" t="inlineStr">
        <is>
          <t>Huancabamba</t>
        </is>
      </c>
      <c r="D59" s="5" t="inlineStr">
        <is>
          <t>San Miguel de El Faique</t>
        </is>
      </c>
      <c r="E59" s="5" t="inlineStr">
        <is>
          <t>C1076-Q9586</t>
        </is>
      </c>
      <c r="F59" s="6" t="n">
        <v>23.171</v>
      </c>
      <c r="G59" s="7" t="n">
        <v>656482</v>
      </c>
      <c r="H59" s="7" t="n">
        <v>9395403</v>
      </c>
      <c r="I59" s="6" t="n">
        <v>23.171</v>
      </c>
      <c r="J59" s="8" t="n">
        <v>64.05</v>
      </c>
      <c r="K59" s="8" t="n">
        <v>64.58</v>
      </c>
      <c r="L59" s="8" t="n">
        <v>81.42</v>
      </c>
      <c r="M59" s="8" t="n">
        <v>100.61</v>
      </c>
      <c r="N59" s="8" t="n">
        <v>0</v>
      </c>
      <c r="O59" s="8" t="n">
        <v>0.39</v>
      </c>
      <c r="P59" s="8" t="n">
        <v>0</v>
      </c>
      <c r="Q59" s="8" t="n">
        <v>0.77</v>
      </c>
      <c r="R59" s="8" t="n">
        <v>0.39</v>
      </c>
      <c r="S59" s="8" t="n">
        <v>10.42</v>
      </c>
      <c r="T59" s="8" t="n">
        <v>66.8</v>
      </c>
      <c r="U59" s="8" t="n">
        <v>21.24</v>
      </c>
      <c r="V59" s="9">
        <f>F59*U59/100</f>
        <v/>
      </c>
      <c r="W59" s="5" t="inlineStr">
        <is>
          <t>Polígono del bloque</t>
        </is>
      </c>
    </row>
    <row r="60">
      <c r="A60" s="10" t="n">
        <v>52</v>
      </c>
      <c r="B60" s="10" t="inlineStr">
        <is>
          <t>44</t>
        </is>
      </c>
      <c r="C60" s="10" t="inlineStr">
        <is>
          <t>Huancabamba</t>
        </is>
      </c>
      <c r="D60" s="10" t="inlineStr">
        <is>
          <t>San Miguel de El Faique</t>
        </is>
      </c>
      <c r="E60" s="10" t="inlineStr">
        <is>
          <t>C1076-Q9586</t>
        </is>
      </c>
      <c r="F60" s="11" t="n">
        <v>28.234</v>
      </c>
      <c r="G60" s="12" t="n">
        <v>663654</v>
      </c>
      <c r="H60" s="12" t="n">
        <v>9400590</v>
      </c>
      <c r="I60" s="11" t="n">
        <v>28.234</v>
      </c>
      <c r="J60" s="13" t="n">
        <v>41.35</v>
      </c>
      <c r="K60" s="13" t="n">
        <v>42.2</v>
      </c>
      <c r="L60" s="13" t="n">
        <v>56.26</v>
      </c>
      <c r="M60" s="13" t="n">
        <v>69.54000000000001</v>
      </c>
      <c r="N60" s="13" t="n">
        <v>0</v>
      </c>
      <c r="O60" s="13" t="n">
        <v>0</v>
      </c>
      <c r="P60" s="13" t="n">
        <v>0</v>
      </c>
      <c r="Q60" s="13" t="n">
        <v>1.61</v>
      </c>
      <c r="R60" s="13" t="n">
        <v>9.35</v>
      </c>
      <c r="S60" s="13" t="n">
        <v>63.55</v>
      </c>
      <c r="T60" s="13" t="n">
        <v>25.48</v>
      </c>
      <c r="U60" s="13" t="n">
        <v>0</v>
      </c>
      <c r="V60" s="14">
        <f>F60*U60/100</f>
        <v/>
      </c>
      <c r="W60" s="10" t="inlineStr">
        <is>
          <t>Polígono del bloque</t>
        </is>
      </c>
    </row>
    <row r="61">
      <c r="A61" s="5" t="n">
        <v>53</v>
      </c>
      <c r="B61" s="5" t="inlineStr">
        <is>
          <t>47</t>
        </is>
      </c>
      <c r="C61" s="5" t="inlineStr">
        <is>
          <t>Huancabamba</t>
        </is>
      </c>
      <c r="D61" s="5" t="inlineStr">
        <is>
          <t>San Miguel de El Faique</t>
        </is>
      </c>
      <c r="E61" s="5" t="inlineStr">
        <is>
          <t>C1076-Q9586</t>
        </is>
      </c>
      <c r="F61" s="6" t="n">
        <v>13.551</v>
      </c>
      <c r="G61" s="7" t="n">
        <v>659640</v>
      </c>
      <c r="H61" s="7" t="n">
        <v>9401431</v>
      </c>
      <c r="I61" s="6" t="n">
        <v>13.551</v>
      </c>
      <c r="J61" s="8" t="n">
        <v>67.42</v>
      </c>
      <c r="K61" s="8" t="n">
        <v>68.81</v>
      </c>
      <c r="L61" s="8" t="n">
        <v>87.08</v>
      </c>
      <c r="M61" s="8" t="n">
        <v>97.15000000000001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18.92</v>
      </c>
      <c r="T61" s="8" t="n">
        <v>45.27</v>
      </c>
      <c r="U61" s="8" t="n">
        <v>35.81</v>
      </c>
      <c r="V61" s="9">
        <f>F61*U61/100</f>
        <v/>
      </c>
      <c r="W61" s="5" t="inlineStr">
        <is>
          <t>Polígono del bloque</t>
        </is>
      </c>
    </row>
    <row r="62">
      <c r="A62" s="10" t="n">
        <v>54</v>
      </c>
      <c r="B62" s="10" t="inlineStr">
        <is>
          <t>67</t>
        </is>
      </c>
      <c r="C62" s="10" t="inlineStr">
        <is>
          <t>Huancabamba</t>
        </is>
      </c>
      <c r="D62" s="10" t="inlineStr">
        <is>
          <t>San Miguel de El Faique</t>
        </is>
      </c>
      <c r="E62" s="10" t="inlineStr">
        <is>
          <t>C1076-Q9586</t>
        </is>
      </c>
      <c r="F62" s="11" t="n">
        <v>13.184</v>
      </c>
      <c r="G62" s="12" t="n">
        <v>654210</v>
      </c>
      <c r="H62" s="12" t="n">
        <v>9394211</v>
      </c>
      <c r="I62" s="11" t="n">
        <v>13.184</v>
      </c>
      <c r="J62" s="13" t="n">
        <v>58.84</v>
      </c>
      <c r="K62" s="13" t="n">
        <v>60.65</v>
      </c>
      <c r="L62" s="13" t="n">
        <v>71.31</v>
      </c>
      <c r="M62" s="13" t="n">
        <v>78.77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22.6</v>
      </c>
      <c r="T62" s="13" t="n">
        <v>73.97</v>
      </c>
      <c r="U62" s="13" t="n">
        <v>3.42</v>
      </c>
      <c r="V62" s="14">
        <f>F62*U62/100</f>
        <v/>
      </c>
      <c r="W62" s="10" t="inlineStr">
        <is>
          <t>Polígono del bloque</t>
        </is>
      </c>
    </row>
    <row r="63">
      <c r="A63" s="5" t="n">
        <v>55</v>
      </c>
      <c r="B63" s="5" t="inlineStr">
        <is>
          <t>9</t>
        </is>
      </c>
      <c r="C63" s="5" t="inlineStr">
        <is>
          <t>Huancabamba</t>
        </is>
      </c>
      <c r="D63" s="5" t="inlineStr">
        <is>
          <t>San Miguel de El Faique</t>
        </is>
      </c>
      <c r="E63" s="5" t="inlineStr">
        <is>
          <t>C1076-Q9586</t>
        </is>
      </c>
      <c r="F63" s="6" t="n">
        <v>109.861</v>
      </c>
      <c r="G63" s="7" t="n">
        <v>656570</v>
      </c>
      <c r="H63" s="7" t="n">
        <v>9397787</v>
      </c>
      <c r="I63" s="6" t="n">
        <v>109.861</v>
      </c>
      <c r="J63" s="8" t="n">
        <v>72.22</v>
      </c>
      <c r="K63" s="8" t="n">
        <v>69.23</v>
      </c>
      <c r="L63" s="8" t="n">
        <v>100.52</v>
      </c>
      <c r="M63" s="8" t="n">
        <v>143.36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0.33</v>
      </c>
      <c r="S63" s="8" t="n">
        <v>10.07</v>
      </c>
      <c r="T63" s="8" t="n">
        <v>52.74</v>
      </c>
      <c r="U63" s="8" t="n">
        <v>36.86</v>
      </c>
      <c r="V63" s="9">
        <f>F63*U63/100</f>
        <v/>
      </c>
      <c r="W63" s="5" t="inlineStr">
        <is>
          <t>Polígono del bloque</t>
        </is>
      </c>
    </row>
    <row r="64">
      <c r="A64" s="10" t="n">
        <v>56</v>
      </c>
      <c r="B64" s="10" t="inlineStr">
        <is>
          <t>M20B1</t>
        </is>
      </c>
      <c r="C64" s="10" t="inlineStr">
        <is>
          <t>Huancabamba</t>
        </is>
      </c>
      <c r="D64" s="10" t="inlineStr">
        <is>
          <t>San Miguel de El Faique</t>
        </is>
      </c>
      <c r="E64" s="10" t="inlineStr">
        <is>
          <t>C1076-Q9585</t>
        </is>
      </c>
      <c r="F64" s="11" t="n">
        <v>279.68</v>
      </c>
      <c r="G64" s="12" t="n">
        <v>641305</v>
      </c>
      <c r="H64" s="12" t="n">
        <v>9398784</v>
      </c>
      <c r="I64" s="11" t="n">
        <v>279.68</v>
      </c>
      <c r="J64" s="13" t="n">
        <v>28.42</v>
      </c>
      <c r="K64" s="13" t="n">
        <v>26.26</v>
      </c>
      <c r="L64" s="13" t="n">
        <v>50.43</v>
      </c>
      <c r="M64" s="13" t="n">
        <v>79.92</v>
      </c>
      <c r="N64" s="13" t="n">
        <v>0.13</v>
      </c>
      <c r="O64" s="13" t="n">
        <v>1.7</v>
      </c>
      <c r="P64" s="13" t="n">
        <v>6.01</v>
      </c>
      <c r="Q64" s="13" t="n">
        <v>15.31</v>
      </c>
      <c r="R64" s="13" t="n">
        <v>24.05</v>
      </c>
      <c r="S64" s="13" t="n">
        <v>42.25</v>
      </c>
      <c r="T64" s="13" t="n">
        <v>10.42</v>
      </c>
      <c r="U64" s="13" t="n">
        <v>0.13</v>
      </c>
      <c r="V64" s="14">
        <f>F64*U64/100</f>
        <v/>
      </c>
      <c r="W64" s="10" t="inlineStr">
        <is>
          <t>Polígono del bloque</t>
        </is>
      </c>
    </row>
    <row r="65">
      <c r="A65" s="5" t="n">
        <v>57</v>
      </c>
      <c r="B65" s="5" t="inlineStr">
        <is>
          <t>M22B1</t>
        </is>
      </c>
      <c r="C65" s="5" t="inlineStr">
        <is>
          <t>Huancabamba</t>
        </is>
      </c>
      <c r="D65" s="5" t="inlineStr">
        <is>
          <t>San Miguel de El Faique</t>
        </is>
      </c>
      <c r="E65" s="5" t="inlineStr">
        <is>
          <t>C1076-Q9586</t>
        </is>
      </c>
      <c r="F65" s="6" t="n">
        <v>55.17</v>
      </c>
      <c r="G65" s="7" t="n">
        <v>664088</v>
      </c>
      <c r="H65" s="7" t="n">
        <v>9404177</v>
      </c>
      <c r="I65" s="6" t="n">
        <v>55.17</v>
      </c>
      <c r="J65" s="8" t="n">
        <v>35.85</v>
      </c>
      <c r="K65" s="8" t="n">
        <v>36.63</v>
      </c>
      <c r="L65" s="8" t="n">
        <v>47.55</v>
      </c>
      <c r="M65" s="8" t="n">
        <v>56.5</v>
      </c>
      <c r="N65" s="8" t="n">
        <v>0</v>
      </c>
      <c r="O65" s="8" t="n">
        <v>0.16</v>
      </c>
      <c r="P65" s="8" t="n">
        <v>0.32</v>
      </c>
      <c r="Q65" s="8" t="n">
        <v>1.94</v>
      </c>
      <c r="R65" s="8" t="n">
        <v>13.41</v>
      </c>
      <c r="S65" s="8" t="n">
        <v>80.94</v>
      </c>
      <c r="T65" s="8" t="n">
        <v>3.23</v>
      </c>
      <c r="U65" s="8" t="n">
        <v>0</v>
      </c>
      <c r="V65" s="9">
        <f>F65*U65/100</f>
        <v/>
      </c>
      <c r="W65" s="5" t="inlineStr">
        <is>
          <t>Polígono del bloque</t>
        </is>
      </c>
    </row>
    <row r="66">
      <c r="A66" s="10" t="n">
        <v>58</v>
      </c>
      <c r="B66" s="10" t="inlineStr">
        <is>
          <t>M2B8</t>
        </is>
      </c>
      <c r="C66" s="10" t="inlineStr">
        <is>
          <t>Huancabamba</t>
        </is>
      </c>
      <c r="D66" s="10" t="inlineStr">
        <is>
          <t>San Miguel de El Faique</t>
        </is>
      </c>
      <c r="E66" s="10" t="inlineStr">
        <is>
          <t>C1076-Q9584</t>
        </is>
      </c>
      <c r="F66" s="11" t="n">
        <v>116.099</v>
      </c>
      <c r="G66" s="12" t="n">
        <v>639029</v>
      </c>
      <c r="H66" s="12" t="n">
        <v>9398251</v>
      </c>
      <c r="I66" s="11" t="n">
        <v>116.099</v>
      </c>
      <c r="J66" s="13" t="n">
        <v>36.62</v>
      </c>
      <c r="K66" s="13" t="n">
        <v>38.12</v>
      </c>
      <c r="L66" s="13" t="n">
        <v>65.63</v>
      </c>
      <c r="M66" s="13" t="n">
        <v>83.2</v>
      </c>
      <c r="N66" s="13" t="n">
        <v>0.15</v>
      </c>
      <c r="O66" s="13" t="n">
        <v>0.85</v>
      </c>
      <c r="P66" s="13" t="n">
        <v>12.16</v>
      </c>
      <c r="Q66" s="13" t="n">
        <v>13.4</v>
      </c>
      <c r="R66" s="13" t="n">
        <v>7.2</v>
      </c>
      <c r="S66" s="13" t="n">
        <v>32.92</v>
      </c>
      <c r="T66" s="13" t="n">
        <v>31.14</v>
      </c>
      <c r="U66" s="13" t="n">
        <v>2.17</v>
      </c>
      <c r="V66" s="14">
        <f>F66*U66/100</f>
        <v/>
      </c>
      <c r="W66" s="10" t="inlineStr">
        <is>
          <t>Polígono del bloque</t>
        </is>
      </c>
    </row>
    <row r="67">
      <c r="A67" s="5" t="n">
        <v>59</v>
      </c>
      <c r="B67" s="5" t="inlineStr">
        <is>
          <t>5</t>
        </is>
      </c>
      <c r="C67" s="5" t="inlineStr">
        <is>
          <t>Morropón</t>
        </is>
      </c>
      <c r="D67" s="5" t="inlineStr">
        <is>
          <t>Buenos Aires</t>
        </is>
      </c>
      <c r="E67" s="5" t="inlineStr">
        <is>
          <t>C1077-Q9566</t>
        </is>
      </c>
      <c r="F67" s="6" t="n">
        <v>295.726</v>
      </c>
      <c r="G67" s="7" t="n">
        <v>617863</v>
      </c>
      <c r="H67" s="7" t="n">
        <v>9413165</v>
      </c>
      <c r="I67" s="6" t="n">
        <v>295.726</v>
      </c>
      <c r="J67" s="8" t="n">
        <v>34.55</v>
      </c>
      <c r="K67" s="8" t="n">
        <v>36.08</v>
      </c>
      <c r="L67" s="8" t="n">
        <v>51.56</v>
      </c>
      <c r="M67" s="8" t="n">
        <v>73.08</v>
      </c>
      <c r="N67" s="8" t="n">
        <v>0.15</v>
      </c>
      <c r="O67" s="8" t="n">
        <v>1.86</v>
      </c>
      <c r="P67" s="8" t="n">
        <v>4.45</v>
      </c>
      <c r="Q67" s="8" t="n">
        <v>5.79</v>
      </c>
      <c r="R67" s="8" t="n">
        <v>11.11</v>
      </c>
      <c r="S67" s="8" t="n">
        <v>63.55</v>
      </c>
      <c r="T67" s="8" t="n">
        <v>13.09</v>
      </c>
      <c r="U67" s="8" t="n">
        <v>0</v>
      </c>
      <c r="V67" s="9">
        <f>F67*U67/100</f>
        <v/>
      </c>
      <c r="W67" s="5" t="inlineStr">
        <is>
          <t>Polígono del bloque</t>
        </is>
      </c>
    </row>
    <row r="68">
      <c r="A68" s="10" t="n">
        <v>60</v>
      </c>
      <c r="B68" s="10" t="inlineStr">
        <is>
          <t>M18B1</t>
        </is>
      </c>
      <c r="C68" s="10" t="inlineStr">
        <is>
          <t>Morropón</t>
        </is>
      </c>
      <c r="D68" s="10" t="inlineStr">
        <is>
          <t>Buenos Aires</t>
        </is>
      </c>
      <c r="E68" s="10" t="inlineStr">
        <is>
          <t>C1077-Q9579</t>
        </is>
      </c>
      <c r="F68" s="11" t="n">
        <v>160.36</v>
      </c>
      <c r="G68" s="12" t="n">
        <v>621088</v>
      </c>
      <c r="H68" s="12" t="n">
        <v>9410445</v>
      </c>
      <c r="I68" s="11" t="n">
        <v>160.36</v>
      </c>
      <c r="J68" s="13" t="n">
        <v>37.8</v>
      </c>
      <c r="K68" s="13" t="n">
        <v>37.87</v>
      </c>
      <c r="L68" s="13" t="n">
        <v>53.36</v>
      </c>
      <c r="M68" s="13" t="n">
        <v>68.36</v>
      </c>
      <c r="N68" s="13" t="n">
        <v>0</v>
      </c>
      <c r="O68" s="13" t="n">
        <v>0.34</v>
      </c>
      <c r="P68" s="13" t="n">
        <v>0.45</v>
      </c>
      <c r="Q68" s="13" t="n">
        <v>2.69</v>
      </c>
      <c r="R68" s="13" t="n">
        <v>10.14</v>
      </c>
      <c r="S68" s="13" t="n">
        <v>70.36</v>
      </c>
      <c r="T68" s="13" t="n">
        <v>16.02</v>
      </c>
      <c r="U68" s="13" t="n">
        <v>0</v>
      </c>
      <c r="V68" s="14">
        <f>F68*U68/100</f>
        <v/>
      </c>
      <c r="W68" s="10" t="inlineStr">
        <is>
          <t>Polígono del bloque</t>
        </is>
      </c>
    </row>
    <row r="69">
      <c r="A69" s="5" t="n">
        <v>61</v>
      </c>
      <c r="B69" s="5" t="inlineStr">
        <is>
          <t>M1B1</t>
        </is>
      </c>
      <c r="C69" s="5" t="inlineStr">
        <is>
          <t>Morropón</t>
        </is>
      </c>
      <c r="D69" s="5" t="inlineStr">
        <is>
          <t>Buenos Aires</t>
        </is>
      </c>
      <c r="E69" s="5" t="inlineStr">
        <is>
          <t>C1077-Q9580</t>
        </is>
      </c>
      <c r="F69" s="6" t="n">
        <v>188.797</v>
      </c>
      <c r="G69" s="7" t="n">
        <v>617738</v>
      </c>
      <c r="H69" s="7" t="n">
        <v>9409094</v>
      </c>
      <c r="I69" s="6" t="n">
        <v>188.797</v>
      </c>
      <c r="J69" s="8" t="n">
        <v>34.29</v>
      </c>
      <c r="K69" s="8" t="n">
        <v>34.75</v>
      </c>
      <c r="L69" s="8" t="n">
        <v>47.36</v>
      </c>
      <c r="M69" s="8" t="n">
        <v>80.41</v>
      </c>
      <c r="N69" s="8" t="n">
        <v>0</v>
      </c>
      <c r="O69" s="8" t="n">
        <v>0</v>
      </c>
      <c r="P69" s="8" t="n">
        <v>0.33</v>
      </c>
      <c r="Q69" s="8" t="n">
        <v>2.05</v>
      </c>
      <c r="R69" s="8" t="n">
        <v>19.74</v>
      </c>
      <c r="S69" s="8" t="n">
        <v>72.44</v>
      </c>
      <c r="T69" s="8" t="n">
        <v>5.29</v>
      </c>
      <c r="U69" s="8" t="n">
        <v>0.14</v>
      </c>
      <c r="V69" s="9">
        <f>F69*U69/100</f>
        <v/>
      </c>
      <c r="W69" s="5" t="inlineStr">
        <is>
          <t>Polígono del bloque</t>
        </is>
      </c>
    </row>
    <row r="70">
      <c r="A70" s="10" t="n">
        <v>62</v>
      </c>
      <c r="B70" s="10" t="inlineStr">
        <is>
          <t>M6B10</t>
        </is>
      </c>
      <c r="C70" s="10" t="inlineStr">
        <is>
          <t>Morropón</t>
        </is>
      </c>
      <c r="D70" s="10" t="inlineStr">
        <is>
          <t>Buenos Aires</t>
        </is>
      </c>
      <c r="E70" s="10" t="inlineStr">
        <is>
          <t>C1077-Q9566</t>
        </is>
      </c>
      <c r="F70" s="11" t="n">
        <v>249.89</v>
      </c>
      <c r="G70" s="12" t="n">
        <v>618239</v>
      </c>
      <c r="H70" s="12" t="n">
        <v>9423110</v>
      </c>
      <c r="I70" s="11" t="n">
        <v>249.89</v>
      </c>
      <c r="J70" s="13" t="n">
        <v>38.76</v>
      </c>
      <c r="K70" s="13" t="n">
        <v>37.9</v>
      </c>
      <c r="L70" s="13" t="n">
        <v>56.52</v>
      </c>
      <c r="M70" s="13" t="n">
        <v>87.7</v>
      </c>
      <c r="N70" s="13" t="n">
        <v>0</v>
      </c>
      <c r="O70" s="13" t="n">
        <v>0</v>
      </c>
      <c r="P70" s="13" t="n">
        <v>0.04</v>
      </c>
      <c r="Q70" s="13" t="n">
        <v>3.14</v>
      </c>
      <c r="R70" s="13" t="n">
        <v>13.3</v>
      </c>
      <c r="S70" s="13" t="n">
        <v>64.06</v>
      </c>
      <c r="T70" s="13" t="n">
        <v>18.64</v>
      </c>
      <c r="U70" s="13" t="n">
        <v>0.83</v>
      </c>
      <c r="V70" s="14">
        <f>F70*U70/100</f>
        <v/>
      </c>
      <c r="W70" s="10" t="inlineStr">
        <is>
          <t>Polígono del bloque</t>
        </is>
      </c>
    </row>
    <row r="71">
      <c r="A71" s="5" t="n">
        <v>63</v>
      </c>
      <c r="B71" s="5" t="inlineStr">
        <is>
          <t>M6B2-1</t>
        </is>
      </c>
      <c r="C71" s="5" t="inlineStr">
        <is>
          <t>Morropón</t>
        </is>
      </c>
      <c r="D71" s="5" t="inlineStr">
        <is>
          <t>Buenos Aires</t>
        </is>
      </c>
      <c r="E71" s="5" t="inlineStr">
        <is>
          <t>C1077-Q9566</t>
        </is>
      </c>
      <c r="F71" s="6" t="n">
        <v>514.359</v>
      </c>
      <c r="G71" s="7" t="n">
        <v>612913</v>
      </c>
      <c r="H71" s="7" t="n">
        <v>9413394</v>
      </c>
      <c r="I71" s="6" t="n">
        <v>514.359</v>
      </c>
      <c r="J71" s="8" t="n">
        <v>30.57</v>
      </c>
      <c r="K71" s="8" t="n">
        <v>30.56</v>
      </c>
      <c r="L71" s="8" t="n">
        <v>43.14</v>
      </c>
      <c r="M71" s="8" t="n">
        <v>72.48</v>
      </c>
      <c r="N71" s="8" t="n">
        <v>0.02</v>
      </c>
      <c r="O71" s="8" t="n">
        <v>0.16</v>
      </c>
      <c r="P71" s="8" t="n">
        <v>0.7</v>
      </c>
      <c r="Q71" s="8" t="n">
        <v>5.21</v>
      </c>
      <c r="R71" s="8" t="n">
        <v>23.97</v>
      </c>
      <c r="S71" s="8" t="n">
        <v>66.45</v>
      </c>
      <c r="T71" s="8" t="n">
        <v>3.5</v>
      </c>
      <c r="U71" s="8" t="n">
        <v>0</v>
      </c>
      <c r="V71" s="9">
        <f>F71*U71/100</f>
        <v/>
      </c>
      <c r="W71" s="5" t="inlineStr">
        <is>
          <t>Polígono del bloque</t>
        </is>
      </c>
    </row>
    <row r="72">
      <c r="A72" s="10" t="n">
        <v>64</v>
      </c>
      <c r="B72" s="10" t="inlineStr">
        <is>
          <t>M6B2-2</t>
        </is>
      </c>
      <c r="C72" s="10" t="inlineStr">
        <is>
          <t>Morropón</t>
        </is>
      </c>
      <c r="D72" s="10" t="inlineStr">
        <is>
          <t>Buenos Aires</t>
        </is>
      </c>
      <c r="E72" s="10" t="inlineStr">
        <is>
          <t>C1077-Q9566</t>
        </is>
      </c>
      <c r="F72" s="11" t="n">
        <v>333.011</v>
      </c>
      <c r="G72" s="12" t="n">
        <v>611185</v>
      </c>
      <c r="H72" s="12" t="n">
        <v>9416841</v>
      </c>
      <c r="I72" s="11" t="n">
        <v>333.011</v>
      </c>
      <c r="J72" s="13" t="n">
        <v>25.73</v>
      </c>
      <c r="K72" s="13" t="n">
        <v>25.34</v>
      </c>
      <c r="L72" s="13" t="n">
        <v>38.32</v>
      </c>
      <c r="M72" s="13" t="n">
        <v>57.33</v>
      </c>
      <c r="N72" s="13" t="n">
        <v>0.03</v>
      </c>
      <c r="O72" s="13" t="n">
        <v>0.03</v>
      </c>
      <c r="P72" s="13" t="n">
        <v>1.95</v>
      </c>
      <c r="Q72" s="13" t="n">
        <v>11.46</v>
      </c>
      <c r="R72" s="13" t="n">
        <v>35.08</v>
      </c>
      <c r="S72" s="13" t="n">
        <v>50.38</v>
      </c>
      <c r="T72" s="13" t="n">
        <v>1.08</v>
      </c>
      <c r="U72" s="13" t="n">
        <v>0</v>
      </c>
      <c r="V72" s="14">
        <f>F72*U72/100</f>
        <v/>
      </c>
      <c r="W72" s="10" t="inlineStr">
        <is>
          <t>Polígono del bloque</t>
        </is>
      </c>
    </row>
    <row r="73">
      <c r="A73" s="5" t="n">
        <v>65</v>
      </c>
      <c r="B73" s="5" t="inlineStr">
        <is>
          <t>M6B2-3</t>
        </is>
      </c>
      <c r="C73" s="5" t="inlineStr">
        <is>
          <t>Morropón</t>
        </is>
      </c>
      <c r="D73" s="5" t="inlineStr">
        <is>
          <t>Buenos Aires</t>
        </is>
      </c>
      <c r="E73" s="5" t="inlineStr">
        <is>
          <t>C1077-Q9566</t>
        </is>
      </c>
      <c r="F73" s="6" t="n">
        <v>160.978</v>
      </c>
      <c r="G73" s="7" t="n">
        <v>611325</v>
      </c>
      <c r="H73" s="7" t="n">
        <v>9419328</v>
      </c>
      <c r="I73" s="6" t="n">
        <v>160.978</v>
      </c>
      <c r="J73" s="8" t="n">
        <v>36.35</v>
      </c>
      <c r="K73" s="8" t="n">
        <v>36.48</v>
      </c>
      <c r="L73" s="8" t="n">
        <v>52.36</v>
      </c>
      <c r="M73" s="8" t="n">
        <v>76.95999999999999</v>
      </c>
      <c r="N73" s="8" t="n">
        <v>0.06</v>
      </c>
      <c r="O73" s="8" t="n">
        <v>0.17</v>
      </c>
      <c r="P73" s="8" t="n">
        <v>0.28</v>
      </c>
      <c r="Q73" s="8" t="n">
        <v>3.07</v>
      </c>
      <c r="R73" s="8" t="n">
        <v>15.78</v>
      </c>
      <c r="S73" s="8" t="n">
        <v>67.31999999999999</v>
      </c>
      <c r="T73" s="8" t="n">
        <v>13.05</v>
      </c>
      <c r="U73" s="8" t="n">
        <v>0.28</v>
      </c>
      <c r="V73" s="9">
        <f>F73*U73/100</f>
        <v/>
      </c>
      <c r="W73" s="5" t="inlineStr">
        <is>
          <t>Polígono del bloque</t>
        </is>
      </c>
    </row>
    <row r="74">
      <c r="A74" s="10" t="n">
        <v>66</v>
      </c>
      <c r="B74" s="10" t="inlineStr">
        <is>
          <t>57</t>
        </is>
      </c>
      <c r="C74" s="10" t="inlineStr">
        <is>
          <t>Morropón</t>
        </is>
      </c>
      <c r="D74" s="10" t="inlineStr">
        <is>
          <t>Chalaco</t>
        </is>
      </c>
      <c r="E74" s="10" t="inlineStr">
        <is>
          <t>C1086-Q9576</t>
        </is>
      </c>
      <c r="F74" s="11" t="n">
        <v>25.668</v>
      </c>
      <c r="G74" s="12" t="n">
        <v>631727</v>
      </c>
      <c r="H74" s="12" t="n">
        <v>9439690</v>
      </c>
      <c r="I74" s="11" t="n">
        <v>25.668</v>
      </c>
      <c r="J74" s="13" t="n">
        <v>59.02</v>
      </c>
      <c r="K74" s="13" t="n">
        <v>58.71</v>
      </c>
      <c r="L74" s="13" t="n">
        <v>80.7</v>
      </c>
      <c r="M74" s="13" t="n">
        <v>97.37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0.7</v>
      </c>
      <c r="S74" s="13" t="n">
        <v>28.42</v>
      </c>
      <c r="T74" s="13" t="n">
        <v>56.84</v>
      </c>
      <c r="U74" s="13" t="n">
        <v>14.04</v>
      </c>
      <c r="V74" s="14">
        <f>F74*U74/100</f>
        <v/>
      </c>
      <c r="W74" s="10" t="inlineStr">
        <is>
          <t>Polígono del bloque</t>
        </is>
      </c>
    </row>
    <row r="75">
      <c r="A75" s="5" t="n">
        <v>67</v>
      </c>
      <c r="B75" s="5" t="inlineStr">
        <is>
          <t>59</t>
        </is>
      </c>
      <c r="C75" s="5" t="inlineStr">
        <is>
          <t>Morropón</t>
        </is>
      </c>
      <c r="D75" s="5" t="inlineStr">
        <is>
          <t>Chalaco</t>
        </is>
      </c>
      <c r="E75" s="5" t="inlineStr">
        <is>
          <t>C1086-Q9570</t>
        </is>
      </c>
      <c r="F75" s="6" t="n">
        <v>13.554</v>
      </c>
      <c r="G75" s="7" t="n">
        <v>631204</v>
      </c>
      <c r="H75" s="7" t="n">
        <v>9441778</v>
      </c>
      <c r="I75" s="6" t="n">
        <v>13.554</v>
      </c>
      <c r="J75" s="8" t="n">
        <v>60.92</v>
      </c>
      <c r="K75" s="8" t="n">
        <v>62</v>
      </c>
      <c r="L75" s="8" t="n">
        <v>75.42</v>
      </c>
      <c r="M75" s="8" t="n">
        <v>92.54000000000001</v>
      </c>
      <c r="N75" s="8" t="n">
        <v>0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18.12</v>
      </c>
      <c r="T75" s="8" t="n">
        <v>69.8</v>
      </c>
      <c r="U75" s="8" t="n">
        <v>12.08</v>
      </c>
      <c r="V75" s="9">
        <f>F75*U75/100</f>
        <v/>
      </c>
      <c r="W75" s="5" t="inlineStr">
        <is>
          <t>Polígono del bloque</t>
        </is>
      </c>
    </row>
    <row r="76">
      <c r="A76" s="10" t="n">
        <v>68</v>
      </c>
      <c r="B76" s="10" t="inlineStr">
        <is>
          <t>2</t>
        </is>
      </c>
      <c r="C76" s="10" t="inlineStr">
        <is>
          <t>Morropón</t>
        </is>
      </c>
      <c r="D76" s="10" t="inlineStr">
        <is>
          <t>Chulucanas</t>
        </is>
      </c>
      <c r="E76" s="10" t="inlineStr">
        <is>
          <t>C1096-Q9558</t>
        </is>
      </c>
      <c r="F76" s="11" t="n">
        <v>330.599</v>
      </c>
      <c r="G76" s="12" t="n">
        <v>603620</v>
      </c>
      <c r="H76" s="12" t="n">
        <v>9439352</v>
      </c>
      <c r="I76" s="11" t="n">
        <v>330.599</v>
      </c>
      <c r="J76" s="13" t="n">
        <v>23.9</v>
      </c>
      <c r="K76" s="13" t="n">
        <v>21.63</v>
      </c>
      <c r="L76" s="13" t="n">
        <v>42.44</v>
      </c>
      <c r="M76" s="13" t="n">
        <v>66.72</v>
      </c>
      <c r="N76" s="13" t="n">
        <v>0.38</v>
      </c>
      <c r="O76" s="13" t="n">
        <v>1.26</v>
      </c>
      <c r="P76" s="13" t="n">
        <v>5.11</v>
      </c>
      <c r="Q76" s="13" t="n">
        <v>20.02</v>
      </c>
      <c r="R76" s="13" t="n">
        <v>33.48</v>
      </c>
      <c r="S76" s="13" t="n">
        <v>35.5</v>
      </c>
      <c r="T76" s="13" t="n">
        <v>4.26</v>
      </c>
      <c r="U76" s="13" t="n">
        <v>0</v>
      </c>
      <c r="V76" s="14">
        <f>F76*U76/100</f>
        <v/>
      </c>
      <c r="W76" s="10" t="inlineStr">
        <is>
          <t>Polígono del bloque</t>
        </is>
      </c>
    </row>
    <row r="77">
      <c r="A77" s="5" t="n">
        <v>69</v>
      </c>
      <c r="B77" s="5" t="inlineStr">
        <is>
          <t>22</t>
        </is>
      </c>
      <c r="C77" s="5" t="inlineStr">
        <is>
          <t>Morropón</t>
        </is>
      </c>
      <c r="D77" s="5" t="inlineStr">
        <is>
          <t>Chulucanas</t>
        </is>
      </c>
      <c r="E77" s="5" t="inlineStr">
        <is>
          <t>C1096-Q9556</t>
        </is>
      </c>
      <c r="F77" s="6" t="n">
        <v>79.33</v>
      </c>
      <c r="G77" s="7" t="n">
        <v>601126</v>
      </c>
      <c r="H77" s="7" t="n">
        <v>9443670</v>
      </c>
      <c r="I77" s="6" t="n">
        <v>79.33</v>
      </c>
      <c r="J77" s="8" t="n">
        <v>42.9</v>
      </c>
      <c r="K77" s="8" t="n">
        <v>41.25</v>
      </c>
      <c r="L77" s="8" t="n">
        <v>66.98999999999999</v>
      </c>
      <c r="M77" s="8" t="n">
        <v>76.45</v>
      </c>
      <c r="N77" s="8" t="n">
        <v>0</v>
      </c>
      <c r="O77" s="8" t="n">
        <v>0</v>
      </c>
      <c r="P77" s="8" t="n">
        <v>0.23</v>
      </c>
      <c r="Q77" s="8" t="n">
        <v>5.58</v>
      </c>
      <c r="R77" s="8" t="n">
        <v>9.109999999999999</v>
      </c>
      <c r="S77" s="8" t="n">
        <v>49.89</v>
      </c>
      <c r="T77" s="8" t="n">
        <v>34.62</v>
      </c>
      <c r="U77" s="8" t="n">
        <v>0.57</v>
      </c>
      <c r="V77" s="9">
        <f>F77*U77/100</f>
        <v/>
      </c>
      <c r="W77" s="5" t="inlineStr">
        <is>
          <t>Polígono del bloque</t>
        </is>
      </c>
    </row>
    <row r="78">
      <c r="A78" s="10" t="n">
        <v>70</v>
      </c>
      <c r="B78" s="10" t="inlineStr">
        <is>
          <t>M10B4</t>
        </is>
      </c>
      <c r="C78" s="10" t="inlineStr">
        <is>
          <t>Morropón</t>
        </is>
      </c>
      <c r="D78" s="10" t="inlineStr">
        <is>
          <t>Chulucanas</t>
        </is>
      </c>
      <c r="E78" s="10" t="inlineStr">
        <is>
          <t>C1096-Q9547</t>
        </is>
      </c>
      <c r="F78" s="11" t="n">
        <v>68.887</v>
      </c>
      <c r="G78" s="12" t="n">
        <v>596769</v>
      </c>
      <c r="H78" s="12" t="n">
        <v>9448285</v>
      </c>
      <c r="I78" s="11" t="n">
        <v>68.887</v>
      </c>
      <c r="J78" s="13" t="n">
        <v>24.8</v>
      </c>
      <c r="K78" s="13" t="n">
        <v>23.28</v>
      </c>
      <c r="L78" s="13" t="n">
        <v>39.91</v>
      </c>
      <c r="M78" s="13" t="n">
        <v>53.67</v>
      </c>
      <c r="N78" s="13" t="n">
        <v>0.13</v>
      </c>
      <c r="O78" s="13" t="n">
        <v>0.13</v>
      </c>
      <c r="P78" s="13" t="n">
        <v>2.1</v>
      </c>
      <c r="Q78" s="13" t="n">
        <v>15.62</v>
      </c>
      <c r="R78" s="13" t="n">
        <v>37.14</v>
      </c>
      <c r="S78" s="13" t="n">
        <v>43.83</v>
      </c>
      <c r="T78" s="13" t="n">
        <v>1.05</v>
      </c>
      <c r="U78" s="13" t="n">
        <v>0</v>
      </c>
      <c r="V78" s="14">
        <f>F78*U78/100</f>
        <v/>
      </c>
      <c r="W78" s="10" t="inlineStr">
        <is>
          <t>Polígono del bloque</t>
        </is>
      </c>
    </row>
    <row r="79">
      <c r="A79" s="5" t="n">
        <v>71</v>
      </c>
      <c r="B79" s="5" t="inlineStr">
        <is>
          <t>M17B1</t>
        </is>
      </c>
      <c r="C79" s="5" t="inlineStr">
        <is>
          <t>Morropón</t>
        </is>
      </c>
      <c r="D79" s="5" t="inlineStr">
        <is>
          <t>Chulucanas</t>
        </is>
      </c>
      <c r="E79" s="5" t="inlineStr">
        <is>
          <t>C1096-Q9556</t>
        </is>
      </c>
      <c r="F79" s="6" t="n">
        <v>42.449</v>
      </c>
      <c r="G79" s="7" t="n">
        <v>600632</v>
      </c>
      <c r="H79" s="7" t="n">
        <v>9440460</v>
      </c>
      <c r="I79" s="6" t="n">
        <v>42.449</v>
      </c>
      <c r="J79" s="8" t="n">
        <v>27</v>
      </c>
      <c r="K79" s="8" t="n">
        <v>25.43</v>
      </c>
      <c r="L79" s="8" t="n">
        <v>38.81</v>
      </c>
      <c r="M79" s="8" t="n">
        <v>47.36</v>
      </c>
      <c r="N79" s="8" t="n">
        <v>0</v>
      </c>
      <c r="O79" s="8" t="n">
        <v>0</v>
      </c>
      <c r="P79" s="8" t="n">
        <v>0.85</v>
      </c>
      <c r="Q79" s="8" t="n">
        <v>5.94</v>
      </c>
      <c r="R79" s="8" t="n">
        <v>38.43</v>
      </c>
      <c r="S79" s="8" t="n">
        <v>54.78</v>
      </c>
      <c r="T79" s="8" t="n">
        <v>0</v>
      </c>
      <c r="U79" s="8" t="n">
        <v>0</v>
      </c>
      <c r="V79" s="9">
        <f>F79*U79/100</f>
        <v/>
      </c>
      <c r="W79" s="5" t="inlineStr">
        <is>
          <t>Polígono del bloque</t>
        </is>
      </c>
    </row>
    <row r="80">
      <c r="A80" s="10" t="n">
        <v>72</v>
      </c>
      <c r="B80" s="10" t="inlineStr">
        <is>
          <t>M17B4</t>
        </is>
      </c>
      <c r="C80" s="10" t="inlineStr">
        <is>
          <t>Morropón</t>
        </is>
      </c>
      <c r="D80" s="10" t="inlineStr">
        <is>
          <t>Chulucanas</t>
        </is>
      </c>
      <c r="E80" s="10" t="inlineStr">
        <is>
          <t>C1096-Q9556</t>
        </is>
      </c>
      <c r="F80" s="11" t="n">
        <v>124.709</v>
      </c>
      <c r="G80" s="12" t="n">
        <v>604678</v>
      </c>
      <c r="H80" s="12" t="n">
        <v>9444376</v>
      </c>
      <c r="I80" s="11" t="n">
        <v>124.709</v>
      </c>
      <c r="J80" s="13" t="n">
        <v>35.04</v>
      </c>
      <c r="K80" s="13" t="n">
        <v>34.6</v>
      </c>
      <c r="L80" s="13" t="n">
        <v>51.22</v>
      </c>
      <c r="M80" s="13" t="n">
        <v>66.81999999999999</v>
      </c>
      <c r="N80" s="13" t="n">
        <v>0</v>
      </c>
      <c r="O80" s="13" t="n">
        <v>0</v>
      </c>
      <c r="P80" s="13" t="n">
        <v>0.07000000000000001</v>
      </c>
      <c r="Q80" s="13" t="n">
        <v>3.83</v>
      </c>
      <c r="R80" s="13" t="n">
        <v>19.71</v>
      </c>
      <c r="S80" s="13" t="n">
        <v>63.9</v>
      </c>
      <c r="T80" s="13" t="n">
        <v>12.49</v>
      </c>
      <c r="U80" s="13" t="n">
        <v>0</v>
      </c>
      <c r="V80" s="14">
        <f>F80*U80/100</f>
        <v/>
      </c>
      <c r="W80" s="10" t="inlineStr">
        <is>
          <t>Polígono del bloque</t>
        </is>
      </c>
    </row>
    <row r="81">
      <c r="A81" s="5" t="n">
        <v>73</v>
      </c>
      <c r="B81" s="5" t="inlineStr">
        <is>
          <t>M27B1</t>
        </is>
      </c>
      <c r="C81" s="5" t="inlineStr">
        <is>
          <t>Morropón</t>
        </is>
      </c>
      <c r="D81" s="5" t="inlineStr">
        <is>
          <t>Chulucanas</t>
        </is>
      </c>
      <c r="E81" s="5" t="inlineStr">
        <is>
          <t>C1096-Q9557</t>
        </is>
      </c>
      <c r="F81" s="6" t="n">
        <v>448.804</v>
      </c>
      <c r="G81" s="7" t="n">
        <v>593295</v>
      </c>
      <c r="H81" s="7" t="n">
        <v>9430232</v>
      </c>
      <c r="I81" s="6" t="n">
        <v>448.804</v>
      </c>
      <c r="J81" s="8" t="n">
        <v>33.13</v>
      </c>
      <c r="K81" s="8" t="n">
        <v>32.8</v>
      </c>
      <c r="L81" s="8" t="n">
        <v>52.68</v>
      </c>
      <c r="M81" s="8" t="n">
        <v>84.70999999999999</v>
      </c>
      <c r="N81" s="8" t="n">
        <v>0.08</v>
      </c>
      <c r="O81" s="8" t="n">
        <v>0.18</v>
      </c>
      <c r="P81" s="8" t="n">
        <v>1.41</v>
      </c>
      <c r="Q81" s="8" t="n">
        <v>8.69</v>
      </c>
      <c r="R81" s="8" t="n">
        <v>24.33</v>
      </c>
      <c r="S81" s="8" t="n">
        <v>52.07</v>
      </c>
      <c r="T81" s="8" t="n">
        <v>12.89</v>
      </c>
      <c r="U81" s="8" t="n">
        <v>0.36</v>
      </c>
      <c r="V81" s="9">
        <f>F81*U81/100</f>
        <v/>
      </c>
      <c r="W81" s="5" t="inlineStr">
        <is>
          <t>Polígono del bloque</t>
        </is>
      </c>
    </row>
    <row r="82">
      <c r="A82" s="10" t="n">
        <v>74</v>
      </c>
      <c r="B82" s="10" t="inlineStr">
        <is>
          <t>M9B1</t>
        </is>
      </c>
      <c r="C82" s="10" t="inlineStr">
        <is>
          <t>Morropón</t>
        </is>
      </c>
      <c r="D82" s="10" t="inlineStr">
        <is>
          <t>Chulucanas</t>
        </is>
      </c>
      <c r="E82" s="10" t="inlineStr">
        <is>
          <t>C1096-Q9545</t>
        </is>
      </c>
      <c r="F82" s="11" t="n">
        <v>355.364</v>
      </c>
      <c r="G82" s="12" t="n">
        <v>595641</v>
      </c>
      <c r="H82" s="12" t="n">
        <v>9451287</v>
      </c>
      <c r="I82" s="11" t="n">
        <v>355.364</v>
      </c>
      <c r="J82" s="13" t="n">
        <v>18.27</v>
      </c>
      <c r="K82" s="13" t="n">
        <v>15.41</v>
      </c>
      <c r="L82" s="13" t="n">
        <v>37.39</v>
      </c>
      <c r="M82" s="13" t="n">
        <v>60.75</v>
      </c>
      <c r="N82" s="13" t="n">
        <v>2.23</v>
      </c>
      <c r="O82" s="13" t="n">
        <v>7.33</v>
      </c>
      <c r="P82" s="13" t="n">
        <v>12.24</v>
      </c>
      <c r="Q82" s="13" t="n">
        <v>26.59</v>
      </c>
      <c r="R82" s="13" t="n">
        <v>25.17</v>
      </c>
      <c r="S82" s="13" t="n">
        <v>25.63</v>
      </c>
      <c r="T82" s="13" t="n">
        <v>0.8100000000000001</v>
      </c>
      <c r="U82" s="13" t="n">
        <v>0</v>
      </c>
      <c r="V82" s="14">
        <f>F82*U82/100</f>
        <v/>
      </c>
      <c r="W82" s="10" t="inlineStr">
        <is>
          <t>Polígono del bloque</t>
        </is>
      </c>
    </row>
    <row r="83">
      <c r="A83" s="5" t="n">
        <v>75</v>
      </c>
      <c r="B83" s="5" t="inlineStr">
        <is>
          <t>M19B2</t>
        </is>
      </c>
      <c r="C83" s="5" t="inlineStr">
        <is>
          <t>Morropón</t>
        </is>
      </c>
      <c r="D83" s="5" t="inlineStr">
        <is>
          <t>Morropón</t>
        </is>
      </c>
      <c r="E83" s="5" t="inlineStr">
        <is>
          <t>C1086-Q9570</t>
        </is>
      </c>
      <c r="F83" s="6" t="n">
        <v>74.372</v>
      </c>
      <c r="G83" s="7" t="n">
        <v>617686</v>
      </c>
      <c r="H83" s="7" t="n">
        <v>9427289</v>
      </c>
      <c r="I83" s="6" t="n">
        <v>74.372</v>
      </c>
      <c r="J83" s="8" t="n">
        <v>40.25</v>
      </c>
      <c r="K83" s="8" t="n">
        <v>39.94</v>
      </c>
      <c r="L83" s="8" t="n">
        <v>62.33</v>
      </c>
      <c r="M83" s="8" t="n">
        <v>80.89</v>
      </c>
      <c r="N83" s="8" t="n">
        <v>0</v>
      </c>
      <c r="O83" s="8" t="n">
        <v>0</v>
      </c>
      <c r="P83" s="8" t="n">
        <v>0.48</v>
      </c>
      <c r="Q83" s="8" t="n">
        <v>2.42</v>
      </c>
      <c r="R83" s="8" t="n">
        <v>18.67</v>
      </c>
      <c r="S83" s="8" t="n">
        <v>49.33</v>
      </c>
      <c r="T83" s="8" t="n">
        <v>27.64</v>
      </c>
      <c r="U83" s="8" t="n">
        <v>1.45</v>
      </c>
      <c r="V83" s="9">
        <f>F83*U83/100</f>
        <v/>
      </c>
      <c r="W83" s="5" t="inlineStr">
        <is>
          <t>Polígono del bloque</t>
        </is>
      </c>
    </row>
    <row r="84">
      <c r="A84" s="10" t="n">
        <v>76</v>
      </c>
      <c r="B84" s="10" t="inlineStr">
        <is>
          <t>M32B3</t>
        </is>
      </c>
      <c r="C84" s="10" t="inlineStr">
        <is>
          <t>Morropón</t>
        </is>
      </c>
      <c r="D84" s="10" t="inlineStr">
        <is>
          <t>Morropón</t>
        </is>
      </c>
      <c r="E84" s="10" t="inlineStr">
        <is>
          <t>C1086-Q9569</t>
        </is>
      </c>
      <c r="F84" s="11" t="n">
        <v>50.972</v>
      </c>
      <c r="G84" s="12" t="n">
        <v>618250</v>
      </c>
      <c r="H84" s="12" t="n">
        <v>9426484</v>
      </c>
      <c r="I84" s="11" t="n">
        <v>50.972</v>
      </c>
      <c r="J84" s="13" t="n">
        <v>35.17</v>
      </c>
      <c r="K84" s="13" t="n">
        <v>30.81</v>
      </c>
      <c r="L84" s="13" t="n">
        <v>58.47</v>
      </c>
      <c r="M84" s="13" t="n">
        <v>69.90000000000001</v>
      </c>
      <c r="N84" s="13" t="n">
        <v>0</v>
      </c>
      <c r="O84" s="13" t="n">
        <v>0</v>
      </c>
      <c r="P84" s="13" t="n">
        <v>0</v>
      </c>
      <c r="Q84" s="13" t="n">
        <v>2.28</v>
      </c>
      <c r="R84" s="13" t="n">
        <v>27.42</v>
      </c>
      <c r="S84" s="13" t="n">
        <v>50.62</v>
      </c>
      <c r="T84" s="13" t="n">
        <v>19.68</v>
      </c>
      <c r="U84" s="13" t="n">
        <v>0</v>
      </c>
      <c r="V84" s="14">
        <f>F84*U84/100</f>
        <v/>
      </c>
      <c r="W84" s="10" t="inlineStr">
        <is>
          <t>Polígono del bloque</t>
        </is>
      </c>
    </row>
    <row r="85">
      <c r="A85" s="5" t="n">
        <v>77</v>
      </c>
      <c r="B85" s="5" t="inlineStr">
        <is>
          <t>M18B3</t>
        </is>
      </c>
      <c r="C85" s="5" t="inlineStr">
        <is>
          <t>Morropón</t>
        </is>
      </c>
      <c r="D85" s="5" t="inlineStr">
        <is>
          <t>Salitral</t>
        </is>
      </c>
      <c r="E85" s="5" t="inlineStr">
        <is>
          <t>C1077-Q9579</t>
        </is>
      </c>
      <c r="F85" s="6" t="n">
        <v>373.807</v>
      </c>
      <c r="G85" s="7" t="n">
        <v>625477</v>
      </c>
      <c r="H85" s="7" t="n">
        <v>9412145</v>
      </c>
      <c r="I85" s="6" t="n">
        <v>373.807</v>
      </c>
      <c r="J85" s="8" t="n">
        <v>40.91</v>
      </c>
      <c r="K85" s="8" t="n">
        <v>41.57</v>
      </c>
      <c r="L85" s="8" t="n">
        <v>62.05</v>
      </c>
      <c r="M85" s="8" t="n">
        <v>88.43000000000001</v>
      </c>
      <c r="N85" s="8" t="n">
        <v>0.05</v>
      </c>
      <c r="O85" s="8" t="n">
        <v>0.36</v>
      </c>
      <c r="P85" s="8" t="n">
        <v>1.9</v>
      </c>
      <c r="Q85" s="8" t="n">
        <v>4.43</v>
      </c>
      <c r="R85" s="8" t="n">
        <v>12.35</v>
      </c>
      <c r="S85" s="8" t="n">
        <v>50.77</v>
      </c>
      <c r="T85" s="8" t="n">
        <v>28.67</v>
      </c>
      <c r="U85" s="8" t="n">
        <v>1.47</v>
      </c>
      <c r="V85" s="9">
        <f>F85*U85/100</f>
        <v/>
      </c>
      <c r="W85" s="5" t="inlineStr">
        <is>
          <t>Polígono del bloque</t>
        </is>
      </c>
    </row>
    <row r="86">
      <c r="A86" s="10" t="n">
        <v>78</v>
      </c>
      <c r="B86" s="10" t="inlineStr">
        <is>
          <t>M2B1</t>
        </is>
      </c>
      <c r="C86" s="10" t="inlineStr">
        <is>
          <t>Morropón</t>
        </is>
      </c>
      <c r="D86" s="10" t="inlineStr">
        <is>
          <t>Salitral</t>
        </is>
      </c>
      <c r="E86" s="10" t="inlineStr">
        <is>
          <t>C1076-Q9584</t>
        </is>
      </c>
      <c r="F86" s="11" t="n">
        <v>81.795</v>
      </c>
      <c r="G86" s="12" t="n">
        <v>635900</v>
      </c>
      <c r="H86" s="12" t="n">
        <v>9397976</v>
      </c>
      <c r="I86" s="11" t="n">
        <v>81.795</v>
      </c>
      <c r="J86" s="13" t="n">
        <v>31.94</v>
      </c>
      <c r="K86" s="13" t="n">
        <v>33.04</v>
      </c>
      <c r="L86" s="13" t="n">
        <v>44.92</v>
      </c>
      <c r="M86" s="13" t="n">
        <v>61.93</v>
      </c>
      <c r="N86" s="13" t="n">
        <v>2.08</v>
      </c>
      <c r="O86" s="13" t="n">
        <v>0.66</v>
      </c>
      <c r="P86" s="13" t="n">
        <v>0.88</v>
      </c>
      <c r="Q86" s="13" t="n">
        <v>3.83</v>
      </c>
      <c r="R86" s="13" t="n">
        <v>17.29</v>
      </c>
      <c r="S86" s="13" t="n">
        <v>71.01000000000001</v>
      </c>
      <c r="T86" s="13" t="n">
        <v>4.27</v>
      </c>
      <c r="U86" s="13" t="n">
        <v>0</v>
      </c>
      <c r="V86" s="14">
        <f>F86*U86/100</f>
        <v/>
      </c>
      <c r="W86" s="10" t="inlineStr">
        <is>
          <t>Polígono del bloque</t>
        </is>
      </c>
    </row>
    <row r="87">
      <c r="A87" s="5" t="n">
        <v>79</v>
      </c>
      <c r="B87" s="5" t="inlineStr">
        <is>
          <t>M2B5</t>
        </is>
      </c>
      <c r="C87" s="5" t="inlineStr">
        <is>
          <t>Morropón</t>
        </is>
      </c>
      <c r="D87" s="5" t="inlineStr">
        <is>
          <t>Salitral</t>
        </is>
      </c>
      <c r="E87" s="5" t="inlineStr">
        <is>
          <t>C1076-Q9584</t>
        </is>
      </c>
      <c r="F87" s="6" t="n">
        <v>30.909</v>
      </c>
      <c r="G87" s="7" t="n">
        <v>640013</v>
      </c>
      <c r="H87" s="7" t="n">
        <v>9394399</v>
      </c>
      <c r="I87" s="6" t="n">
        <v>30.909</v>
      </c>
      <c r="J87" s="8" t="n">
        <v>14.36</v>
      </c>
      <c r="K87" s="8" t="n">
        <v>13.57</v>
      </c>
      <c r="L87" s="8" t="n">
        <v>20.47</v>
      </c>
      <c r="M87" s="8" t="n">
        <v>34.78</v>
      </c>
      <c r="N87" s="8" t="n">
        <v>0</v>
      </c>
      <c r="O87" s="8" t="n">
        <v>0.3</v>
      </c>
      <c r="P87" s="8" t="n">
        <v>4.15</v>
      </c>
      <c r="Q87" s="8" t="n">
        <v>55.79</v>
      </c>
      <c r="R87" s="8" t="n">
        <v>37.69</v>
      </c>
      <c r="S87" s="8" t="n">
        <v>2.08</v>
      </c>
      <c r="T87" s="8" t="n">
        <v>0</v>
      </c>
      <c r="U87" s="8" t="n">
        <v>0</v>
      </c>
      <c r="V87" s="9">
        <f>F87*U87/100</f>
        <v/>
      </c>
      <c r="W87" s="5" t="inlineStr">
        <is>
          <t>Polígono del bloque</t>
        </is>
      </c>
    </row>
    <row r="88">
      <c r="A88" s="10" t="n">
        <v>80</v>
      </c>
      <c r="B88" s="10" t="inlineStr">
        <is>
          <t>M3B1</t>
        </is>
      </c>
      <c r="C88" s="10" t="inlineStr">
        <is>
          <t>Morropón</t>
        </is>
      </c>
      <c r="D88" s="10" t="inlineStr">
        <is>
          <t>Salitral</t>
        </is>
      </c>
      <c r="E88" s="10" t="inlineStr">
        <is>
          <t>C1081-Q9582</t>
        </is>
      </c>
      <c r="F88" s="11" t="n">
        <v>80.983</v>
      </c>
      <c r="G88" s="12" t="n">
        <v>630648</v>
      </c>
      <c r="H88" s="12" t="n">
        <v>9410800</v>
      </c>
      <c r="I88" s="11" t="n">
        <v>80.983</v>
      </c>
      <c r="J88" s="13" t="n">
        <v>36.09</v>
      </c>
      <c r="K88" s="13" t="n">
        <v>35.81</v>
      </c>
      <c r="L88" s="13" t="n">
        <v>49.17</v>
      </c>
      <c r="M88" s="13" t="n">
        <v>70.39</v>
      </c>
      <c r="N88" s="13" t="n">
        <v>0</v>
      </c>
      <c r="O88" s="13" t="n">
        <v>0</v>
      </c>
      <c r="P88" s="13" t="n">
        <v>0</v>
      </c>
      <c r="Q88" s="13" t="n">
        <v>2</v>
      </c>
      <c r="R88" s="13" t="n">
        <v>11.76</v>
      </c>
      <c r="S88" s="13" t="n">
        <v>76.69</v>
      </c>
      <c r="T88" s="13" t="n">
        <v>9.539999999999999</v>
      </c>
      <c r="U88" s="13" t="n">
        <v>0</v>
      </c>
      <c r="V88" s="14">
        <f>F88*U88/100</f>
        <v/>
      </c>
      <c r="W88" s="10" t="inlineStr">
        <is>
          <t>Polígono del bloque</t>
        </is>
      </c>
    </row>
    <row r="89">
      <c r="A89" s="5" t="n">
        <v>81</v>
      </c>
      <c r="B89" s="5" t="inlineStr">
        <is>
          <t>M3B9</t>
        </is>
      </c>
      <c r="C89" s="5" t="inlineStr">
        <is>
          <t>Morropón</t>
        </is>
      </c>
      <c r="D89" s="5" t="inlineStr">
        <is>
          <t>Salitral</t>
        </is>
      </c>
      <c r="E89" s="5" t="inlineStr">
        <is>
          <t>C1081-Q9582</t>
        </is>
      </c>
      <c r="F89" s="6" t="n">
        <v>294.204</v>
      </c>
      <c r="G89" s="7" t="n">
        <v>629425</v>
      </c>
      <c r="H89" s="7" t="n">
        <v>9413236</v>
      </c>
      <c r="I89" s="6" t="n">
        <v>294.204</v>
      </c>
      <c r="J89" s="8" t="n">
        <v>32.64</v>
      </c>
      <c r="K89" s="8" t="n">
        <v>33.9</v>
      </c>
      <c r="L89" s="8" t="n">
        <v>44.15</v>
      </c>
      <c r="M89" s="8" t="n">
        <v>61.3</v>
      </c>
      <c r="N89" s="8" t="n">
        <v>0</v>
      </c>
      <c r="O89" s="8" t="n">
        <v>0.06</v>
      </c>
      <c r="P89" s="8" t="n">
        <v>1.86</v>
      </c>
      <c r="Q89" s="8" t="n">
        <v>4.49</v>
      </c>
      <c r="R89" s="8" t="n">
        <v>15.36</v>
      </c>
      <c r="S89" s="8" t="n">
        <v>74.70999999999999</v>
      </c>
      <c r="T89" s="8" t="n">
        <v>3.51</v>
      </c>
      <c r="U89" s="8" t="n">
        <v>0</v>
      </c>
      <c r="V89" s="9">
        <f>F89*U89/100</f>
        <v/>
      </c>
      <c r="W89" s="5" t="inlineStr">
        <is>
          <t>Polígono del bloque</t>
        </is>
      </c>
    </row>
    <row r="90">
      <c r="A90" s="10" t="n">
        <v>82</v>
      </c>
      <c r="B90" s="10" t="inlineStr">
        <is>
          <t>M7B1</t>
        </is>
      </c>
      <c r="C90" s="10" t="inlineStr">
        <is>
          <t>Morropón</t>
        </is>
      </c>
      <c r="D90" s="10" t="inlineStr">
        <is>
          <t>Salitral</t>
        </is>
      </c>
      <c r="E90" s="10" t="inlineStr">
        <is>
          <t>C1076-Q9581</t>
        </is>
      </c>
      <c r="F90" s="11" t="n">
        <v>130.425</v>
      </c>
      <c r="G90" s="12" t="n">
        <v>629089</v>
      </c>
      <c r="H90" s="12" t="n">
        <v>9407681</v>
      </c>
      <c r="I90" s="11" t="n">
        <v>130.425</v>
      </c>
      <c r="J90" s="13" t="n">
        <v>31.78</v>
      </c>
      <c r="K90" s="13" t="n">
        <v>33.85</v>
      </c>
      <c r="L90" s="13" t="n">
        <v>45.27</v>
      </c>
      <c r="M90" s="13" t="n">
        <v>57.08</v>
      </c>
      <c r="N90" s="13" t="n">
        <v>1.59</v>
      </c>
      <c r="O90" s="13" t="n">
        <v>4.97</v>
      </c>
      <c r="P90" s="13" t="n">
        <v>1.79</v>
      </c>
      <c r="Q90" s="13" t="n">
        <v>2.9</v>
      </c>
      <c r="R90" s="13" t="n">
        <v>9.94</v>
      </c>
      <c r="S90" s="13" t="n">
        <v>75.84999999999999</v>
      </c>
      <c r="T90" s="13" t="n">
        <v>2.97</v>
      </c>
      <c r="U90" s="13" t="n">
        <v>0</v>
      </c>
      <c r="V90" s="14">
        <f>F90*U90/100</f>
        <v/>
      </c>
      <c r="W90" s="10" t="inlineStr">
        <is>
          <t>Polígono del bloque</t>
        </is>
      </c>
    </row>
    <row r="91">
      <c r="A91" s="5" t="n">
        <v>83</v>
      </c>
      <c r="B91" s="5" t="inlineStr">
        <is>
          <t>M7B2</t>
        </is>
      </c>
      <c r="C91" s="5" t="inlineStr">
        <is>
          <t>Morropón</t>
        </is>
      </c>
      <c r="D91" s="5" t="inlineStr">
        <is>
          <t>Salitral</t>
        </is>
      </c>
      <c r="E91" s="5" t="inlineStr">
        <is>
          <t>C1076-Q9581</t>
        </is>
      </c>
      <c r="F91" s="6" t="n">
        <v>115.379</v>
      </c>
      <c r="G91" s="7" t="n">
        <v>631484</v>
      </c>
      <c r="H91" s="7" t="n">
        <v>9403551</v>
      </c>
      <c r="I91" s="6" t="n">
        <v>115.379</v>
      </c>
      <c r="J91" s="8" t="n">
        <v>24.64</v>
      </c>
      <c r="K91" s="8" t="n">
        <v>25.06</v>
      </c>
      <c r="L91" s="8" t="n">
        <v>39.93</v>
      </c>
      <c r="M91" s="8" t="n">
        <v>56.49</v>
      </c>
      <c r="N91" s="8" t="n">
        <v>0</v>
      </c>
      <c r="O91" s="8" t="n">
        <v>2.76</v>
      </c>
      <c r="P91" s="8" t="n">
        <v>10.24</v>
      </c>
      <c r="Q91" s="8" t="n">
        <v>9.210000000000001</v>
      </c>
      <c r="R91" s="8" t="n">
        <v>27.48</v>
      </c>
      <c r="S91" s="8" t="n">
        <v>48.9</v>
      </c>
      <c r="T91" s="8" t="n">
        <v>1.42</v>
      </c>
      <c r="U91" s="8" t="n">
        <v>0</v>
      </c>
      <c r="V91" s="9">
        <f>F91*U91/100</f>
        <v/>
      </c>
      <c r="W91" s="5" t="inlineStr">
        <is>
          <t>Polígono del bloque</t>
        </is>
      </c>
    </row>
    <row r="92">
      <c r="A92" s="10" t="n">
        <v>84</v>
      </c>
      <c r="B92" s="10" t="inlineStr">
        <is>
          <t>M7B3</t>
        </is>
      </c>
      <c r="C92" s="10" t="inlineStr">
        <is>
          <t>Morropón</t>
        </is>
      </c>
      <c r="D92" s="10" t="inlineStr">
        <is>
          <t>Salitral</t>
        </is>
      </c>
      <c r="E92" s="10" t="inlineStr">
        <is>
          <t>C1076-Q9581</t>
        </is>
      </c>
      <c r="F92" s="11" t="n">
        <v>65.745</v>
      </c>
      <c r="G92" s="12" t="n">
        <v>633308</v>
      </c>
      <c r="H92" s="12" t="n">
        <v>9401252</v>
      </c>
      <c r="I92" s="11" t="n">
        <v>65.745</v>
      </c>
      <c r="J92" s="13" t="n">
        <v>36.41</v>
      </c>
      <c r="K92" s="13" t="n">
        <v>36.32</v>
      </c>
      <c r="L92" s="13" t="n">
        <v>51.87</v>
      </c>
      <c r="M92" s="13" t="n">
        <v>73.48999999999999</v>
      </c>
      <c r="N92" s="13" t="n">
        <v>0</v>
      </c>
      <c r="O92" s="13" t="n">
        <v>0.14</v>
      </c>
      <c r="P92" s="13" t="n">
        <v>0.82</v>
      </c>
      <c r="Q92" s="13" t="n">
        <v>3.68</v>
      </c>
      <c r="R92" s="13" t="n">
        <v>13.51</v>
      </c>
      <c r="S92" s="13" t="n">
        <v>68.76000000000001</v>
      </c>
      <c r="T92" s="13" t="n">
        <v>13.1</v>
      </c>
      <c r="U92" s="13" t="n">
        <v>0</v>
      </c>
      <c r="V92" s="14">
        <f>F92*U92/100</f>
        <v/>
      </c>
      <c r="W92" s="10" t="inlineStr">
        <is>
          <t>Polígono del bloque</t>
        </is>
      </c>
    </row>
    <row r="93">
      <c r="A93" s="5" t="n">
        <v>85</v>
      </c>
      <c r="B93" s="5" t="inlineStr">
        <is>
          <t>M7B6</t>
        </is>
      </c>
      <c r="C93" s="5" t="inlineStr">
        <is>
          <t>Morropón</t>
        </is>
      </c>
      <c r="D93" s="5" t="inlineStr">
        <is>
          <t>Salitral</t>
        </is>
      </c>
      <c r="E93" s="5" t="inlineStr">
        <is>
          <t>C1076-Q9581</t>
        </is>
      </c>
      <c r="F93" s="6" t="n">
        <v>91.285</v>
      </c>
      <c r="G93" s="7" t="n">
        <v>635089</v>
      </c>
      <c r="H93" s="7" t="n">
        <v>9399048</v>
      </c>
      <c r="I93" s="6" t="n">
        <v>91.285</v>
      </c>
      <c r="J93" s="8" t="n">
        <v>30.69</v>
      </c>
      <c r="K93" s="8" t="n">
        <v>29.74</v>
      </c>
      <c r="L93" s="8" t="n">
        <v>46.3</v>
      </c>
      <c r="M93" s="8" t="n">
        <v>69.77</v>
      </c>
      <c r="N93" s="8" t="n">
        <v>0</v>
      </c>
      <c r="O93" s="8" t="n">
        <v>0</v>
      </c>
      <c r="P93" s="8" t="n">
        <v>0.1</v>
      </c>
      <c r="Q93" s="8" t="n">
        <v>7.23</v>
      </c>
      <c r="R93" s="8" t="n">
        <v>23.39</v>
      </c>
      <c r="S93" s="8" t="n">
        <v>63.03</v>
      </c>
      <c r="T93" s="8" t="n">
        <v>6.24</v>
      </c>
      <c r="U93" s="8" t="n">
        <v>0</v>
      </c>
      <c r="V93" s="9">
        <f>F93*U93/100</f>
        <v/>
      </c>
      <c r="W93" s="5" t="inlineStr">
        <is>
          <t>Polígono del bloque</t>
        </is>
      </c>
    </row>
    <row r="94">
      <c r="A94" s="10" t="n">
        <v>86</v>
      </c>
      <c r="B94" s="10" t="inlineStr">
        <is>
          <t>77</t>
        </is>
      </c>
      <c r="C94" s="10" t="inlineStr">
        <is>
          <t>Morropón</t>
        </is>
      </c>
      <c r="D94" s="10" t="inlineStr">
        <is>
          <t>San Juan de Bigote</t>
        </is>
      </c>
      <c r="E94" s="10" t="inlineStr">
        <is>
          <t>C1081-Q9583</t>
        </is>
      </c>
      <c r="F94" s="11" t="n">
        <v>17.821</v>
      </c>
      <c r="G94" s="12" t="n">
        <v>638650</v>
      </c>
      <c r="H94" s="12" t="n">
        <v>9411394</v>
      </c>
      <c r="I94" s="11" t="n">
        <v>17.821</v>
      </c>
      <c r="J94" s="13" t="n">
        <v>25.38</v>
      </c>
      <c r="K94" s="13" t="n">
        <v>25.47</v>
      </c>
      <c r="L94" s="13" t="n">
        <v>39.47</v>
      </c>
      <c r="M94" s="13" t="n">
        <v>53.47</v>
      </c>
      <c r="N94" s="13" t="n">
        <v>0</v>
      </c>
      <c r="O94" s="13" t="n">
        <v>0</v>
      </c>
      <c r="P94" s="13" t="n">
        <v>3.08</v>
      </c>
      <c r="Q94" s="13" t="n">
        <v>15.38</v>
      </c>
      <c r="R94" s="13" t="n">
        <v>29.74</v>
      </c>
      <c r="S94" s="13" t="n">
        <v>50.77</v>
      </c>
      <c r="T94" s="13" t="n">
        <v>1.03</v>
      </c>
      <c r="U94" s="13" t="n">
        <v>0</v>
      </c>
      <c r="V94" s="14">
        <f>F94*U94/100</f>
        <v/>
      </c>
      <c r="W94" s="10" t="inlineStr">
        <is>
          <t>Polígono del bloque</t>
        </is>
      </c>
    </row>
    <row r="95">
      <c r="A95" s="5" t="n">
        <v>87</v>
      </c>
      <c r="B95" s="5" t="inlineStr">
        <is>
          <t>83</t>
        </is>
      </c>
      <c r="C95" s="5" t="inlineStr">
        <is>
          <t>Morropón</t>
        </is>
      </c>
      <c r="D95" s="5" t="inlineStr">
        <is>
          <t>San Juan de Bigote</t>
        </is>
      </c>
      <c r="E95" s="5" t="inlineStr">
        <is>
          <t>C1081-Q9583</t>
        </is>
      </c>
      <c r="F95" s="6" t="n">
        <v>24.344</v>
      </c>
      <c r="G95" s="7" t="n">
        <v>639774</v>
      </c>
      <c r="H95" s="7" t="n">
        <v>9410610</v>
      </c>
      <c r="I95" s="6" t="n">
        <v>24.344</v>
      </c>
      <c r="J95" s="8" t="n">
        <v>21.65</v>
      </c>
      <c r="K95" s="8" t="n">
        <v>19.11</v>
      </c>
      <c r="L95" s="8" t="n">
        <v>39.49</v>
      </c>
      <c r="M95" s="8" t="n">
        <v>47.08</v>
      </c>
      <c r="N95" s="8" t="n">
        <v>0</v>
      </c>
      <c r="O95" s="8" t="n">
        <v>0.74</v>
      </c>
      <c r="P95" s="8" t="n">
        <v>9.59</v>
      </c>
      <c r="Q95" s="8" t="n">
        <v>25.46</v>
      </c>
      <c r="R95" s="8" t="n">
        <v>28.04</v>
      </c>
      <c r="S95" s="8" t="n">
        <v>36.16</v>
      </c>
      <c r="T95" s="8" t="n">
        <v>0</v>
      </c>
      <c r="U95" s="8" t="n">
        <v>0</v>
      </c>
      <c r="V95" s="9">
        <f>F95*U95/100</f>
        <v/>
      </c>
      <c r="W95" s="5" t="inlineStr">
        <is>
          <t>Polígono del bloque</t>
        </is>
      </c>
    </row>
    <row r="96">
      <c r="A96" s="10" t="n">
        <v>88</v>
      </c>
      <c r="B96" s="10" t="inlineStr">
        <is>
          <t>84</t>
        </is>
      </c>
      <c r="C96" s="10" t="inlineStr">
        <is>
          <t>Morropón</t>
        </is>
      </c>
      <c r="D96" s="10" t="inlineStr">
        <is>
          <t>San Juan de Bigote</t>
        </is>
      </c>
      <c r="E96" s="10" t="inlineStr">
        <is>
          <t>C1081-Q9583</t>
        </is>
      </c>
      <c r="F96" s="11" t="n">
        <v>5.097</v>
      </c>
      <c r="G96" s="12" t="n">
        <v>640243</v>
      </c>
      <c r="H96" s="12" t="n">
        <v>9410706</v>
      </c>
      <c r="I96" s="11" t="n">
        <v>5.097</v>
      </c>
      <c r="J96" s="13" t="n">
        <v>21.18</v>
      </c>
      <c r="K96" s="13" t="n">
        <v>21.57</v>
      </c>
      <c r="L96" s="13" t="n">
        <v>29.46</v>
      </c>
      <c r="M96" s="13" t="n">
        <v>33.8</v>
      </c>
      <c r="N96" s="13" t="n">
        <v>0</v>
      </c>
      <c r="O96" s="13" t="n">
        <v>0</v>
      </c>
      <c r="P96" s="13" t="n">
        <v>1.89</v>
      </c>
      <c r="Q96" s="13" t="n">
        <v>18.87</v>
      </c>
      <c r="R96" s="13" t="n">
        <v>50.94</v>
      </c>
      <c r="S96" s="13" t="n">
        <v>28.3</v>
      </c>
      <c r="T96" s="13" t="n">
        <v>0</v>
      </c>
      <c r="U96" s="13" t="n">
        <v>0</v>
      </c>
      <c r="V96" s="14">
        <f>F96*U96/100</f>
        <v/>
      </c>
      <c r="W96" s="10" t="inlineStr">
        <is>
          <t>Polígono del bloque</t>
        </is>
      </c>
    </row>
    <row r="97">
      <c r="A97" s="5" t="n">
        <v>89</v>
      </c>
      <c r="B97" s="5" t="inlineStr">
        <is>
          <t>85</t>
        </is>
      </c>
      <c r="C97" s="5" t="inlineStr">
        <is>
          <t>Morropón</t>
        </is>
      </c>
      <c r="D97" s="5" t="inlineStr">
        <is>
          <t>San Juan de Bigote</t>
        </is>
      </c>
      <c r="E97" s="5" t="inlineStr">
        <is>
          <t>C1081-Q9583</t>
        </is>
      </c>
      <c r="F97" s="6" t="n">
        <v>11.906</v>
      </c>
      <c r="G97" s="7" t="n">
        <v>642226</v>
      </c>
      <c r="H97" s="7" t="n">
        <v>9411077</v>
      </c>
      <c r="I97" s="6" t="n">
        <v>11.906</v>
      </c>
      <c r="J97" s="8" t="n">
        <v>26.46</v>
      </c>
      <c r="K97" s="8" t="n">
        <v>27.12</v>
      </c>
      <c r="L97" s="8" t="n">
        <v>37.98</v>
      </c>
      <c r="M97" s="8" t="n">
        <v>49.16</v>
      </c>
      <c r="N97" s="8" t="n">
        <v>0</v>
      </c>
      <c r="O97" s="8" t="n">
        <v>0</v>
      </c>
      <c r="P97" s="8" t="n">
        <v>1.5</v>
      </c>
      <c r="Q97" s="8" t="n">
        <v>10.53</v>
      </c>
      <c r="R97" s="8" t="n">
        <v>32.33</v>
      </c>
      <c r="S97" s="8" t="n">
        <v>55.64</v>
      </c>
      <c r="T97" s="8" t="n">
        <v>0</v>
      </c>
      <c r="U97" s="8" t="n">
        <v>0</v>
      </c>
      <c r="V97" s="9">
        <f>F97*U97/100</f>
        <v/>
      </c>
      <c r="W97" s="5" t="inlineStr">
        <is>
          <t>Polígono del bloque</t>
        </is>
      </c>
    </row>
    <row r="98">
      <c r="A98" s="10" t="n">
        <v>90</v>
      </c>
      <c r="B98" s="10" t="inlineStr">
        <is>
          <t>86</t>
        </is>
      </c>
      <c r="C98" s="10" t="inlineStr">
        <is>
          <t>Morropón</t>
        </is>
      </c>
      <c r="D98" s="10" t="inlineStr">
        <is>
          <t>San Juan de Bigote</t>
        </is>
      </c>
      <c r="E98" s="10" t="inlineStr">
        <is>
          <t>C1081-Q9583</t>
        </is>
      </c>
      <c r="F98" s="11" t="n">
        <v>30.001</v>
      </c>
      <c r="G98" s="12" t="n">
        <v>642398</v>
      </c>
      <c r="H98" s="12" t="n">
        <v>9410253</v>
      </c>
      <c r="I98" s="11" t="n">
        <v>30.001</v>
      </c>
      <c r="J98" s="13" t="n">
        <v>25.26</v>
      </c>
      <c r="K98" s="13" t="n">
        <v>25.73</v>
      </c>
      <c r="L98" s="13" t="n">
        <v>43.36</v>
      </c>
      <c r="M98" s="13" t="n">
        <v>62.07</v>
      </c>
      <c r="N98" s="13" t="n">
        <v>0.3</v>
      </c>
      <c r="O98" s="13" t="n">
        <v>5.12</v>
      </c>
      <c r="P98" s="13" t="n">
        <v>6.33</v>
      </c>
      <c r="Q98" s="13" t="n">
        <v>10.84</v>
      </c>
      <c r="R98" s="13" t="n">
        <v>24.4</v>
      </c>
      <c r="S98" s="13" t="n">
        <v>48.49</v>
      </c>
      <c r="T98" s="13" t="n">
        <v>4.52</v>
      </c>
      <c r="U98" s="13" t="n">
        <v>0</v>
      </c>
      <c r="V98" s="14">
        <f>F98*U98/100</f>
        <v/>
      </c>
      <c r="W98" s="10" t="inlineStr">
        <is>
          <t>Polígono del bloque</t>
        </is>
      </c>
    </row>
    <row r="99">
      <c r="A99" s="5" t="n">
        <v>91</v>
      </c>
      <c r="B99" s="5" t="inlineStr">
        <is>
          <t>87</t>
        </is>
      </c>
      <c r="C99" s="5" t="inlineStr">
        <is>
          <t>Morropón</t>
        </is>
      </c>
      <c r="D99" s="5" t="inlineStr">
        <is>
          <t>San Juan de Bigote</t>
        </is>
      </c>
      <c r="E99" s="5" t="inlineStr">
        <is>
          <t>C1081-Q9583</t>
        </is>
      </c>
      <c r="F99" s="6" t="n">
        <v>62.219</v>
      </c>
      <c r="G99" s="7" t="n">
        <v>642814</v>
      </c>
      <c r="H99" s="7" t="n">
        <v>9411178</v>
      </c>
      <c r="I99" s="6" t="n">
        <v>62.219</v>
      </c>
      <c r="J99" s="8" t="n">
        <v>15.08</v>
      </c>
      <c r="K99" s="8" t="n">
        <v>14.67</v>
      </c>
      <c r="L99" s="8" t="n">
        <v>21.04</v>
      </c>
      <c r="M99" s="8" t="n">
        <v>25.49</v>
      </c>
      <c r="N99" s="8" t="n">
        <v>0.14</v>
      </c>
      <c r="O99" s="8" t="n">
        <v>0.14</v>
      </c>
      <c r="P99" s="8" t="n">
        <v>2.01</v>
      </c>
      <c r="Q99" s="8" t="n">
        <v>50.36</v>
      </c>
      <c r="R99" s="8" t="n">
        <v>47.05</v>
      </c>
      <c r="S99" s="8" t="n">
        <v>0.29</v>
      </c>
      <c r="T99" s="8" t="n">
        <v>0</v>
      </c>
      <c r="U99" s="8" t="n">
        <v>0</v>
      </c>
      <c r="V99" s="9">
        <f>F99*U99/100</f>
        <v/>
      </c>
      <c r="W99" s="5" t="inlineStr">
        <is>
          <t>Polígono del bloque</t>
        </is>
      </c>
    </row>
    <row r="100">
      <c r="A100" s="10" t="n">
        <v>92</v>
      </c>
      <c r="B100" s="10" t="inlineStr">
        <is>
          <t>M11B3</t>
        </is>
      </c>
      <c r="C100" s="10" t="inlineStr">
        <is>
          <t>Morropón</t>
        </is>
      </c>
      <c r="D100" s="10" t="inlineStr">
        <is>
          <t>San Juan de Bigote</t>
        </is>
      </c>
      <c r="E100" s="10" t="inlineStr">
        <is>
          <t>C1081-Q9583</t>
        </is>
      </c>
      <c r="F100" s="11" t="n">
        <v>106.027</v>
      </c>
      <c r="G100" s="12" t="n">
        <v>642102</v>
      </c>
      <c r="H100" s="12" t="n">
        <v>9413756</v>
      </c>
      <c r="I100" s="11" t="n">
        <v>106.027</v>
      </c>
      <c r="J100" s="13" t="n">
        <v>33.35</v>
      </c>
      <c r="K100" s="13" t="n">
        <v>32.74</v>
      </c>
      <c r="L100" s="13" t="n">
        <v>48.87</v>
      </c>
      <c r="M100" s="13" t="n">
        <v>67.14</v>
      </c>
      <c r="N100" s="13" t="n">
        <v>0</v>
      </c>
      <c r="O100" s="13" t="n">
        <v>0</v>
      </c>
      <c r="P100" s="13" t="n">
        <v>0</v>
      </c>
      <c r="Q100" s="13" t="n">
        <v>4.76</v>
      </c>
      <c r="R100" s="13" t="n">
        <v>19.8</v>
      </c>
      <c r="S100" s="13" t="n">
        <v>66.86</v>
      </c>
      <c r="T100" s="13" t="n">
        <v>8.58</v>
      </c>
      <c r="U100" s="13" t="n">
        <v>0</v>
      </c>
      <c r="V100" s="14">
        <f>F100*U100/100</f>
        <v/>
      </c>
      <c r="W100" s="10" t="inlineStr">
        <is>
          <t>Polígono del bloque</t>
        </is>
      </c>
    </row>
    <row r="101">
      <c r="A101" s="5" t="n">
        <v>93</v>
      </c>
      <c r="B101" s="5" t="inlineStr">
        <is>
          <t>M3B3</t>
        </is>
      </c>
      <c r="C101" s="5" t="inlineStr">
        <is>
          <t>Morropón</t>
        </is>
      </c>
      <c r="D101" s="5" t="inlineStr">
        <is>
          <t>San Juan de Bigote</t>
        </is>
      </c>
      <c r="E101" s="5" t="inlineStr">
        <is>
          <t>C1081-Q9582</t>
        </is>
      </c>
      <c r="F101" s="6" t="n">
        <v>84.825</v>
      </c>
      <c r="G101" s="7" t="n">
        <v>632961</v>
      </c>
      <c r="H101" s="7" t="n">
        <v>9411495</v>
      </c>
      <c r="I101" s="6" t="n">
        <v>84.825</v>
      </c>
      <c r="J101" s="8" t="n">
        <v>35.36</v>
      </c>
      <c r="K101" s="8" t="n">
        <v>35.25</v>
      </c>
      <c r="L101" s="8" t="n">
        <v>49.72</v>
      </c>
      <c r="M101" s="8" t="n">
        <v>64.89</v>
      </c>
      <c r="N101" s="8" t="n">
        <v>0.11</v>
      </c>
      <c r="O101" s="8" t="n">
        <v>0</v>
      </c>
      <c r="P101" s="8" t="n">
        <v>0</v>
      </c>
      <c r="Q101" s="8" t="n">
        <v>2.55</v>
      </c>
      <c r="R101" s="8" t="n">
        <v>16.68</v>
      </c>
      <c r="S101" s="8" t="n">
        <v>71.09</v>
      </c>
      <c r="T101" s="8" t="n">
        <v>9.56</v>
      </c>
      <c r="U101" s="8" t="n">
        <v>0</v>
      </c>
      <c r="V101" s="9">
        <f>F101*U101/100</f>
        <v/>
      </c>
      <c r="W101" s="5" t="inlineStr">
        <is>
          <t>Polígono del bloque</t>
        </is>
      </c>
    </row>
    <row r="102">
      <c r="A102" s="10" t="n">
        <v>94</v>
      </c>
      <c r="B102" s="10" t="inlineStr">
        <is>
          <t>M3B5</t>
        </is>
      </c>
      <c r="C102" s="10" t="inlineStr">
        <is>
          <t>Morropón</t>
        </is>
      </c>
      <c r="D102" s="10" t="inlineStr">
        <is>
          <t>San Juan de Bigote</t>
        </is>
      </c>
      <c r="E102" s="10" t="inlineStr">
        <is>
          <t>C1081-Q9582</t>
        </is>
      </c>
      <c r="F102" s="11" t="n">
        <v>52.743</v>
      </c>
      <c r="G102" s="12" t="n">
        <v>635828</v>
      </c>
      <c r="H102" s="12" t="n">
        <v>9411731</v>
      </c>
      <c r="I102" s="11" t="n">
        <v>52.743</v>
      </c>
      <c r="J102" s="13" t="n">
        <v>35.08</v>
      </c>
      <c r="K102" s="13" t="n">
        <v>34.58</v>
      </c>
      <c r="L102" s="13" t="n">
        <v>48.98</v>
      </c>
      <c r="M102" s="13" t="n">
        <v>65.84</v>
      </c>
      <c r="N102" s="13" t="n">
        <v>0</v>
      </c>
      <c r="O102" s="13" t="n">
        <v>0.17</v>
      </c>
      <c r="P102" s="13" t="n">
        <v>0.17</v>
      </c>
      <c r="Q102" s="13" t="n">
        <v>3.22</v>
      </c>
      <c r="R102" s="13" t="n">
        <v>15.93</v>
      </c>
      <c r="S102" s="13" t="n">
        <v>71.53</v>
      </c>
      <c r="T102" s="13" t="n">
        <v>8.98</v>
      </c>
      <c r="U102" s="13" t="n">
        <v>0</v>
      </c>
      <c r="V102" s="14">
        <f>F102*U102/100</f>
        <v/>
      </c>
      <c r="W102" s="10" t="inlineStr">
        <is>
          <t>Polígono del bloque</t>
        </is>
      </c>
    </row>
    <row r="103">
      <c r="A103" s="5" t="n">
        <v>95</v>
      </c>
      <c r="B103" s="5" t="inlineStr">
        <is>
          <t>M3B6</t>
        </is>
      </c>
      <c r="C103" s="5" t="inlineStr">
        <is>
          <t>Morropón</t>
        </is>
      </c>
      <c r="D103" s="5" t="inlineStr">
        <is>
          <t>San Juan de Bigote</t>
        </is>
      </c>
      <c r="E103" s="5" t="inlineStr">
        <is>
          <t>C1081-Q9582</t>
        </is>
      </c>
      <c r="F103" s="6" t="n">
        <v>60.352</v>
      </c>
      <c r="G103" s="7" t="n">
        <v>638003</v>
      </c>
      <c r="H103" s="7" t="n">
        <v>9412154</v>
      </c>
      <c r="I103" s="6" t="n">
        <v>60.352</v>
      </c>
      <c r="J103" s="8" t="n">
        <v>45.26</v>
      </c>
      <c r="K103" s="8" t="n">
        <v>45.73</v>
      </c>
      <c r="L103" s="8" t="n">
        <v>68.11</v>
      </c>
      <c r="M103" s="8" t="n">
        <v>83.22</v>
      </c>
      <c r="N103" s="8" t="n">
        <v>0</v>
      </c>
      <c r="O103" s="8" t="n">
        <v>0</v>
      </c>
      <c r="P103" s="8" t="n">
        <v>0.3</v>
      </c>
      <c r="Q103" s="8" t="n">
        <v>1.94</v>
      </c>
      <c r="R103" s="8" t="n">
        <v>8.52</v>
      </c>
      <c r="S103" s="8" t="n">
        <v>51.87</v>
      </c>
      <c r="T103" s="8" t="n">
        <v>34.68</v>
      </c>
      <c r="U103" s="8" t="n">
        <v>2.69</v>
      </c>
      <c r="V103" s="9">
        <f>F103*U103/100</f>
        <v/>
      </c>
      <c r="W103" s="5" t="inlineStr">
        <is>
          <t>Polígono del bloque</t>
        </is>
      </c>
    </row>
    <row r="104">
      <c r="A104" s="10" t="n">
        <v>96</v>
      </c>
      <c r="B104" s="10" t="inlineStr">
        <is>
          <t>M3B7</t>
        </is>
      </c>
      <c r="C104" s="10" t="inlineStr">
        <is>
          <t>Morropón</t>
        </is>
      </c>
      <c r="D104" s="10" t="inlineStr">
        <is>
          <t>San Juan de Bigote</t>
        </is>
      </c>
      <c r="E104" s="10" t="inlineStr">
        <is>
          <t>C1081-Q9582</t>
        </is>
      </c>
      <c r="F104" s="11" t="n">
        <v>122.946</v>
      </c>
      <c r="G104" s="12" t="n">
        <v>638326</v>
      </c>
      <c r="H104" s="12" t="n">
        <v>9415259</v>
      </c>
      <c r="I104" s="11" t="n">
        <v>122.946</v>
      </c>
      <c r="J104" s="13" t="n">
        <v>33.19</v>
      </c>
      <c r="K104" s="13" t="n">
        <v>33.54</v>
      </c>
      <c r="L104" s="13" t="n">
        <v>47.94</v>
      </c>
      <c r="M104" s="13" t="n">
        <v>63.34</v>
      </c>
      <c r="N104" s="13" t="n">
        <v>0</v>
      </c>
      <c r="O104" s="13" t="n">
        <v>0</v>
      </c>
      <c r="P104" s="13" t="n">
        <v>0.52</v>
      </c>
      <c r="Q104" s="13" t="n">
        <v>4.89</v>
      </c>
      <c r="R104" s="13" t="n">
        <v>19.56</v>
      </c>
      <c r="S104" s="13" t="n">
        <v>68.06999999999999</v>
      </c>
      <c r="T104" s="13" t="n">
        <v>6.96</v>
      </c>
      <c r="U104" s="13" t="n">
        <v>0</v>
      </c>
      <c r="V104" s="14">
        <f>F104*U104/100</f>
        <v/>
      </c>
      <c r="W104" s="10" t="inlineStr">
        <is>
          <t>Polígono del bloque</t>
        </is>
      </c>
    </row>
    <row r="105">
      <c r="A105" s="5" t="n">
        <v>97</v>
      </c>
      <c r="B105" s="5" t="inlineStr">
        <is>
          <t>M3B8</t>
        </is>
      </c>
      <c r="C105" s="5" t="inlineStr">
        <is>
          <t>Morropón</t>
        </is>
      </c>
      <c r="D105" s="5" t="inlineStr">
        <is>
          <t>San Juan de Bigote</t>
        </is>
      </c>
      <c r="E105" s="5" t="inlineStr">
        <is>
          <t>C1081-Q9582</t>
        </is>
      </c>
      <c r="F105" s="6" t="n">
        <v>565.5839999999999</v>
      </c>
      <c r="G105" s="7" t="n">
        <v>632116</v>
      </c>
      <c r="H105" s="7" t="n">
        <v>9415177</v>
      </c>
      <c r="I105" s="6" t="n">
        <v>565.5839999999999</v>
      </c>
      <c r="J105" s="8" t="n">
        <v>24.65</v>
      </c>
      <c r="K105" s="8" t="n">
        <v>26.46</v>
      </c>
      <c r="L105" s="8" t="n">
        <v>42.47</v>
      </c>
      <c r="M105" s="8" t="n">
        <v>65.75</v>
      </c>
      <c r="N105" s="8" t="n">
        <v>1.69</v>
      </c>
      <c r="O105" s="8" t="n">
        <v>6.7</v>
      </c>
      <c r="P105" s="8" t="n">
        <v>11.98</v>
      </c>
      <c r="Q105" s="8" t="n">
        <v>11.17</v>
      </c>
      <c r="R105" s="8" t="n">
        <v>15.54</v>
      </c>
      <c r="S105" s="8" t="n">
        <v>50.29</v>
      </c>
      <c r="T105" s="8" t="n">
        <v>2.63</v>
      </c>
      <c r="U105" s="8" t="n">
        <v>0</v>
      </c>
      <c r="V105" s="9">
        <f>F105*U105/100</f>
        <v/>
      </c>
      <c r="W105" s="5" t="inlineStr">
        <is>
          <t>Polígono del bloque</t>
        </is>
      </c>
    </row>
    <row r="106">
      <c r="A106" s="10" t="n">
        <v>98</v>
      </c>
      <c r="B106" s="10" t="inlineStr">
        <is>
          <t>14</t>
        </is>
      </c>
      <c r="C106" s="10" t="inlineStr">
        <is>
          <t>Morropón</t>
        </is>
      </c>
      <c r="D106" s="10" t="inlineStr">
        <is>
          <t>Santa Catalina de Mossa</t>
        </is>
      </c>
      <c r="E106" s="10" t="inlineStr">
        <is>
          <t>C1086-Q9570</t>
        </is>
      </c>
      <c r="F106" s="11" t="n">
        <v>92.905</v>
      </c>
      <c r="G106" s="12" t="n">
        <v>624423</v>
      </c>
      <c r="H106" s="12" t="n">
        <v>9437067</v>
      </c>
      <c r="I106" s="11" t="n">
        <v>92.905</v>
      </c>
      <c r="J106" s="13" t="n">
        <v>45.62</v>
      </c>
      <c r="K106" s="13" t="n">
        <v>44.66</v>
      </c>
      <c r="L106" s="13" t="n">
        <v>61.62</v>
      </c>
      <c r="M106" s="13" t="n">
        <v>134.31</v>
      </c>
      <c r="N106" s="13" t="n">
        <v>0</v>
      </c>
      <c r="O106" s="13" t="n">
        <v>0.1</v>
      </c>
      <c r="P106" s="13" t="n">
        <v>0.1</v>
      </c>
      <c r="Q106" s="13" t="n">
        <v>0.19</v>
      </c>
      <c r="R106" s="13" t="n">
        <v>2.33</v>
      </c>
      <c r="S106" s="13" t="n">
        <v>62.98</v>
      </c>
      <c r="T106" s="13" t="n">
        <v>31.4</v>
      </c>
      <c r="U106" s="13" t="n">
        <v>2.91</v>
      </c>
      <c r="V106" s="14">
        <f>F106*U106/100</f>
        <v/>
      </c>
      <c r="W106" s="10" t="inlineStr">
        <is>
          <t>Polígono del bloque</t>
        </is>
      </c>
    </row>
    <row r="107">
      <c r="A107" s="5" t="n">
        <v>99</v>
      </c>
      <c r="B107" s="5" t="inlineStr">
        <is>
          <t>42</t>
        </is>
      </c>
      <c r="C107" s="5" t="inlineStr">
        <is>
          <t>Morropón</t>
        </is>
      </c>
      <c r="D107" s="5" t="inlineStr">
        <is>
          <t>Santa Catalina de Mossa</t>
        </is>
      </c>
      <c r="E107" s="5" t="inlineStr">
        <is>
          <t>C1086-Q9570</t>
        </is>
      </c>
      <c r="F107" s="6" t="n">
        <v>80.616</v>
      </c>
      <c r="G107" s="7" t="n">
        <v>625114</v>
      </c>
      <c r="H107" s="7" t="n">
        <v>9435040</v>
      </c>
      <c r="I107" s="6" t="n">
        <v>80.616</v>
      </c>
      <c r="J107" s="8" t="n">
        <v>55.98</v>
      </c>
      <c r="K107" s="8" t="n">
        <v>55.05</v>
      </c>
      <c r="L107" s="8" t="n">
        <v>79.59</v>
      </c>
      <c r="M107" s="8" t="n">
        <v>102.6</v>
      </c>
      <c r="N107" s="8" t="n">
        <v>0</v>
      </c>
      <c r="O107" s="8" t="n">
        <v>0</v>
      </c>
      <c r="P107" s="8" t="n">
        <v>0</v>
      </c>
      <c r="Q107" s="8" t="n">
        <v>0.89</v>
      </c>
      <c r="R107" s="8" t="n">
        <v>2.68</v>
      </c>
      <c r="S107" s="8" t="n">
        <v>34.34</v>
      </c>
      <c r="T107" s="8" t="n">
        <v>45.97</v>
      </c>
      <c r="U107" s="8" t="n">
        <v>16.11</v>
      </c>
      <c r="V107" s="9">
        <f>F107*U107/100</f>
        <v/>
      </c>
      <c r="W107" s="5" t="inlineStr">
        <is>
          <t>Polígono del bloque</t>
        </is>
      </c>
    </row>
    <row r="108">
      <c r="A108" s="10" t="n">
        <v>100</v>
      </c>
      <c r="B108" s="10" t="inlineStr">
        <is>
          <t>58</t>
        </is>
      </c>
      <c r="C108" s="10" t="inlineStr">
        <is>
          <t>Morropón</t>
        </is>
      </c>
      <c r="D108" s="10" t="inlineStr">
        <is>
          <t>Santa Catalina de Mossa</t>
        </is>
      </c>
      <c r="E108" s="10" t="inlineStr">
        <is>
          <t>C1086-Q9569</t>
        </is>
      </c>
      <c r="F108" s="11" t="n">
        <v>11.475</v>
      </c>
      <c r="G108" s="12" t="n">
        <v>619097</v>
      </c>
      <c r="H108" s="12" t="n">
        <v>9426385</v>
      </c>
      <c r="I108" s="11" t="n">
        <v>11.475</v>
      </c>
      <c r="J108" s="13" t="n">
        <v>28.45</v>
      </c>
      <c r="K108" s="13" t="n">
        <v>27.53</v>
      </c>
      <c r="L108" s="13" t="n">
        <v>36.16</v>
      </c>
      <c r="M108" s="13" t="n">
        <v>48.06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26.77</v>
      </c>
      <c r="S108" s="13" t="n">
        <v>73.23</v>
      </c>
      <c r="T108" s="13" t="n">
        <v>0</v>
      </c>
      <c r="U108" s="13" t="n">
        <v>0</v>
      </c>
      <c r="V108" s="14">
        <f>F108*U108/100</f>
        <v/>
      </c>
      <c r="W108" s="10" t="inlineStr">
        <is>
          <t>Polígono del bloque</t>
        </is>
      </c>
    </row>
    <row r="109">
      <c r="A109" s="5" t="n">
        <v>101</v>
      </c>
      <c r="B109" s="5" t="inlineStr">
        <is>
          <t>M36B2</t>
        </is>
      </c>
      <c r="C109" s="5" t="inlineStr">
        <is>
          <t>Morropón</t>
        </is>
      </c>
      <c r="D109" s="5" t="inlineStr">
        <is>
          <t>Santa Catalina de Mossa</t>
        </is>
      </c>
      <c r="E109" s="5" t="inlineStr">
        <is>
          <t>C1086-Q9576</t>
        </is>
      </c>
      <c r="F109" s="6" t="n">
        <v>28.19</v>
      </c>
      <c r="G109" s="7" t="n">
        <v>626489</v>
      </c>
      <c r="H109" s="7" t="n">
        <v>9435047</v>
      </c>
      <c r="I109" s="6" t="n">
        <v>28.19</v>
      </c>
      <c r="J109" s="8" t="n">
        <v>60.16</v>
      </c>
      <c r="K109" s="8" t="n">
        <v>59.93</v>
      </c>
      <c r="L109" s="8" t="n">
        <v>78.14</v>
      </c>
      <c r="M109" s="8" t="n">
        <v>90.2</v>
      </c>
      <c r="N109" s="8" t="n">
        <v>0</v>
      </c>
      <c r="O109" s="8" t="n">
        <v>0</v>
      </c>
      <c r="P109" s="8" t="n">
        <v>0.32</v>
      </c>
      <c r="Q109" s="8" t="n">
        <v>0</v>
      </c>
      <c r="R109" s="8" t="n">
        <v>1.61</v>
      </c>
      <c r="S109" s="8" t="n">
        <v>20.26</v>
      </c>
      <c r="T109" s="8" t="n">
        <v>58.84</v>
      </c>
      <c r="U109" s="8" t="n">
        <v>18.97</v>
      </c>
      <c r="V109" s="9">
        <f>F109*U109/100</f>
        <v/>
      </c>
      <c r="W109" s="5" t="inlineStr">
        <is>
          <t>Polígono del bloque</t>
        </is>
      </c>
    </row>
    <row r="110">
      <c r="A110" s="10" t="n">
        <v>102</v>
      </c>
      <c r="B110" s="10" t="inlineStr">
        <is>
          <t>11</t>
        </is>
      </c>
      <c r="C110" s="10" t="inlineStr">
        <is>
          <t>Morropón</t>
        </is>
      </c>
      <c r="D110" s="10" t="inlineStr">
        <is>
          <t>Santo Domingo</t>
        </is>
      </c>
      <c r="E110" s="10" t="inlineStr">
        <is>
          <t>C1086-Q9570</t>
        </is>
      </c>
      <c r="F110" s="11" t="n">
        <v>103.948</v>
      </c>
      <c r="G110" s="12" t="n">
        <v>620748</v>
      </c>
      <c r="H110" s="12" t="n">
        <v>9439973</v>
      </c>
      <c r="I110" s="11" t="n">
        <v>103.948</v>
      </c>
      <c r="J110" s="13" t="n">
        <v>64.95999999999999</v>
      </c>
      <c r="K110" s="13" t="n">
        <v>63.87</v>
      </c>
      <c r="L110" s="13" t="n">
        <v>91.89</v>
      </c>
      <c r="M110" s="13" t="n">
        <v>117.99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23.29</v>
      </c>
      <c r="T110" s="13" t="n">
        <v>48.83</v>
      </c>
      <c r="U110" s="13" t="n">
        <v>27.88</v>
      </c>
      <c r="V110" s="14">
        <f>F110*U110/100</f>
        <v/>
      </c>
      <c r="W110" s="10" t="inlineStr">
        <is>
          <t>Polígono del bloque</t>
        </is>
      </c>
    </row>
    <row r="111">
      <c r="A111" s="5" t="n">
        <v>103</v>
      </c>
      <c r="B111" s="5" t="inlineStr">
        <is>
          <t>12</t>
        </is>
      </c>
      <c r="C111" s="5" t="inlineStr">
        <is>
          <t>Morropón</t>
        </is>
      </c>
      <c r="D111" s="5" t="inlineStr">
        <is>
          <t>Santo Domingo</t>
        </is>
      </c>
      <c r="E111" s="5" t="inlineStr">
        <is>
          <t>C1086-Q9570</t>
        </is>
      </c>
      <c r="F111" s="6" t="n">
        <v>119.538</v>
      </c>
      <c r="G111" s="7" t="n">
        <v>625445</v>
      </c>
      <c r="H111" s="7" t="n">
        <v>9444932</v>
      </c>
      <c r="I111" s="6" t="n">
        <v>119.538</v>
      </c>
      <c r="J111" s="8" t="n">
        <v>52.65</v>
      </c>
      <c r="K111" s="8" t="n">
        <v>52.88</v>
      </c>
      <c r="L111" s="8" t="n">
        <v>69.15000000000001</v>
      </c>
      <c r="M111" s="8" t="n">
        <v>97.04000000000001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0.99</v>
      </c>
      <c r="S111" s="8" t="n">
        <v>42.98</v>
      </c>
      <c r="T111" s="8" t="n">
        <v>51.78</v>
      </c>
      <c r="U111" s="8" t="n">
        <v>4.25</v>
      </c>
      <c r="V111" s="9">
        <f>F111*U111/100</f>
        <v/>
      </c>
      <c r="W111" s="5" t="inlineStr">
        <is>
          <t>Polígono del bloque</t>
        </is>
      </c>
    </row>
    <row r="112">
      <c r="A112" s="10" t="n">
        <v>104</v>
      </c>
      <c r="B112" s="10" t="inlineStr">
        <is>
          <t>13</t>
        </is>
      </c>
      <c r="C112" s="10" t="inlineStr">
        <is>
          <t>Morropón</t>
        </is>
      </c>
      <c r="D112" s="10" t="inlineStr">
        <is>
          <t>Santo Domingo</t>
        </is>
      </c>
      <c r="E112" s="10" t="inlineStr">
        <is>
          <t>C1096-Q9564</t>
        </is>
      </c>
      <c r="F112" s="11" t="n">
        <v>100.514</v>
      </c>
      <c r="G112" s="12" t="n">
        <v>620259</v>
      </c>
      <c r="H112" s="12" t="n">
        <v>9442365</v>
      </c>
      <c r="I112" s="11" t="n">
        <v>100.514</v>
      </c>
      <c r="J112" s="13" t="n">
        <v>58.33</v>
      </c>
      <c r="K112" s="13" t="n">
        <v>56.31</v>
      </c>
      <c r="L112" s="13" t="n">
        <v>85.86</v>
      </c>
      <c r="M112" s="13" t="n">
        <v>147.72</v>
      </c>
      <c r="N112" s="13" t="n">
        <v>0</v>
      </c>
      <c r="O112" s="13" t="n">
        <v>0.09</v>
      </c>
      <c r="P112" s="13" t="n">
        <v>0</v>
      </c>
      <c r="Q112" s="13" t="n">
        <v>0.63</v>
      </c>
      <c r="R112" s="13" t="n">
        <v>3.68</v>
      </c>
      <c r="S112" s="13" t="n">
        <v>33.24</v>
      </c>
      <c r="T112" s="13" t="n">
        <v>43.49</v>
      </c>
      <c r="U112" s="13" t="n">
        <v>18.87</v>
      </c>
      <c r="V112" s="14">
        <f>F112*U112/100</f>
        <v/>
      </c>
      <c r="W112" s="10" t="inlineStr">
        <is>
          <t>Polígono del bloque</t>
        </is>
      </c>
    </row>
    <row r="113">
      <c r="A113" s="5" t="n">
        <v>105</v>
      </c>
      <c r="B113" s="5" t="inlineStr">
        <is>
          <t>15</t>
        </is>
      </c>
      <c r="C113" s="5" t="inlineStr">
        <is>
          <t>Morropón</t>
        </is>
      </c>
      <c r="D113" s="5" t="inlineStr">
        <is>
          <t>Santo Domingo</t>
        </is>
      </c>
      <c r="E113" s="5" t="inlineStr">
        <is>
          <t>C1086-Q9570</t>
        </is>
      </c>
      <c r="F113" s="6" t="n">
        <v>86.14700000000001</v>
      </c>
      <c r="G113" s="7" t="n">
        <v>620253</v>
      </c>
      <c r="H113" s="7" t="n">
        <v>9437857</v>
      </c>
      <c r="I113" s="6" t="n">
        <v>86.14700000000001</v>
      </c>
      <c r="J113" s="8" t="n">
        <v>51.23</v>
      </c>
      <c r="K113" s="8" t="n">
        <v>45.5</v>
      </c>
      <c r="L113" s="8" t="n">
        <v>79.22</v>
      </c>
      <c r="M113" s="8" t="n">
        <v>122.71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1.78</v>
      </c>
      <c r="S113" s="8" t="n">
        <v>54.96</v>
      </c>
      <c r="T113" s="8" t="n">
        <v>30.93</v>
      </c>
      <c r="U113" s="8" t="n">
        <v>12.33</v>
      </c>
      <c r="V113" s="9">
        <f>F113*U113/100</f>
        <v/>
      </c>
      <c r="W113" s="5" t="inlineStr">
        <is>
          <t>Polígono del bloque</t>
        </is>
      </c>
    </row>
    <row r="114">
      <c r="A114" s="10" t="n">
        <v>106</v>
      </c>
      <c r="B114" s="10" t="inlineStr">
        <is>
          <t>17</t>
        </is>
      </c>
      <c r="C114" s="10" t="inlineStr">
        <is>
          <t>Morropón</t>
        </is>
      </c>
      <c r="D114" s="10" t="inlineStr">
        <is>
          <t>Santo Domingo</t>
        </is>
      </c>
      <c r="E114" s="10" t="inlineStr">
        <is>
          <t>C1086-Q9570</t>
        </is>
      </c>
      <c r="F114" s="11" t="n">
        <v>96.07899999999999</v>
      </c>
      <c r="G114" s="12" t="n">
        <v>618628</v>
      </c>
      <c r="H114" s="12" t="n">
        <v>9438329</v>
      </c>
      <c r="I114" s="11" t="n">
        <v>96.07899999999999</v>
      </c>
      <c r="J114" s="13" t="n">
        <v>74.36</v>
      </c>
      <c r="K114" s="13" t="n">
        <v>78.44</v>
      </c>
      <c r="L114" s="13" t="n">
        <v>104.76</v>
      </c>
      <c r="M114" s="13" t="n">
        <v>144.39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0.37</v>
      </c>
      <c r="S114" s="13" t="n">
        <v>20.62</v>
      </c>
      <c r="T114" s="13" t="n">
        <v>23.15</v>
      </c>
      <c r="U114" s="13" t="n">
        <v>55.86</v>
      </c>
      <c r="V114" s="14">
        <f>F114*U114/100</f>
        <v/>
      </c>
      <c r="W114" s="10" t="inlineStr">
        <is>
          <t>Polígono del bloque</t>
        </is>
      </c>
    </row>
    <row r="115">
      <c r="A115" s="5" t="n">
        <v>107</v>
      </c>
      <c r="B115" s="5" t="inlineStr">
        <is>
          <t>23</t>
        </is>
      </c>
      <c r="C115" s="5" t="inlineStr">
        <is>
          <t>Morropón</t>
        </is>
      </c>
      <c r="D115" s="5" t="inlineStr">
        <is>
          <t>Santo Domingo</t>
        </is>
      </c>
      <c r="E115" s="5" t="inlineStr">
        <is>
          <t>C1086-Q9570</t>
        </is>
      </c>
      <c r="F115" s="6" t="n">
        <v>81.776</v>
      </c>
      <c r="G115" s="7" t="n">
        <v>619979</v>
      </c>
      <c r="H115" s="7" t="n">
        <v>9438580</v>
      </c>
      <c r="I115" s="6" t="n">
        <v>81.776</v>
      </c>
      <c r="J115" s="8" t="n">
        <v>72.34999999999999</v>
      </c>
      <c r="K115" s="8" t="n">
        <v>72.17</v>
      </c>
      <c r="L115" s="8" t="n">
        <v>92.73999999999999</v>
      </c>
      <c r="M115" s="8" t="n">
        <v>123.35</v>
      </c>
      <c r="N115" s="8" t="n">
        <v>0</v>
      </c>
      <c r="O115" s="8" t="n">
        <v>0</v>
      </c>
      <c r="P115" s="8" t="n">
        <v>0.11</v>
      </c>
      <c r="Q115" s="8" t="n">
        <v>0.11</v>
      </c>
      <c r="R115" s="8" t="n">
        <v>0.22</v>
      </c>
      <c r="S115" s="8" t="n">
        <v>8.49</v>
      </c>
      <c r="T115" s="8" t="n">
        <v>51.16</v>
      </c>
      <c r="U115" s="8" t="n">
        <v>39.91</v>
      </c>
      <c r="V115" s="9">
        <f>F115*U115/100</f>
        <v/>
      </c>
      <c r="W115" s="5" t="inlineStr">
        <is>
          <t>Polígono del bloque</t>
        </is>
      </c>
    </row>
    <row r="116">
      <c r="A116" s="10" t="n">
        <v>108</v>
      </c>
      <c r="B116" s="10" t="inlineStr">
        <is>
          <t>78</t>
        </is>
      </c>
      <c r="C116" s="10" t="inlineStr">
        <is>
          <t>Morropón</t>
        </is>
      </c>
      <c r="D116" s="10" t="inlineStr">
        <is>
          <t>Santo Domingo</t>
        </is>
      </c>
      <c r="E116" s="10" t="inlineStr">
        <is>
          <t>C1086-Q9570</t>
        </is>
      </c>
      <c r="F116" s="11" t="n">
        <v>35.1</v>
      </c>
      <c r="G116" s="12" t="n">
        <v>619627</v>
      </c>
      <c r="H116" s="12" t="n">
        <v>9440035</v>
      </c>
      <c r="I116" s="11" t="n">
        <v>35.1</v>
      </c>
      <c r="J116" s="13" t="n">
        <v>61.11</v>
      </c>
      <c r="K116" s="13" t="n">
        <v>63.93</v>
      </c>
      <c r="L116" s="13" t="n">
        <v>72.84</v>
      </c>
      <c r="M116" s="13" t="n">
        <v>83.70999999999999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0.26</v>
      </c>
      <c r="S116" s="13" t="n">
        <v>17.01</v>
      </c>
      <c r="T116" s="13" t="n">
        <v>76.29000000000001</v>
      </c>
      <c r="U116" s="13" t="n">
        <v>6.44</v>
      </c>
      <c r="V116" s="14">
        <f>F116*U116/100</f>
        <v/>
      </c>
      <c r="W116" s="10" t="inlineStr">
        <is>
          <t>Polígono del bloque</t>
        </is>
      </c>
    </row>
    <row r="117">
      <c r="A117" s="5" t="n">
        <v>109</v>
      </c>
      <c r="B117" s="5" t="inlineStr">
        <is>
          <t>82</t>
        </is>
      </c>
      <c r="C117" s="5" t="inlineStr">
        <is>
          <t>Morropón</t>
        </is>
      </c>
      <c r="D117" s="5" t="inlineStr">
        <is>
          <t>Santo Domingo</t>
        </is>
      </c>
      <c r="E117" s="5" t="inlineStr">
        <is>
          <t>C1086-Q9570</t>
        </is>
      </c>
      <c r="F117" s="6" t="n">
        <v>35.661</v>
      </c>
      <c r="G117" s="7" t="n">
        <v>621449</v>
      </c>
      <c r="H117" s="7" t="n">
        <v>9443832</v>
      </c>
      <c r="I117" s="6" t="n">
        <v>35.661</v>
      </c>
      <c r="J117" s="8" t="n">
        <v>45.66</v>
      </c>
      <c r="K117" s="8" t="n">
        <v>45.35</v>
      </c>
      <c r="L117" s="8" t="n">
        <v>61.18</v>
      </c>
      <c r="M117" s="8" t="n">
        <v>75.20999999999999</v>
      </c>
      <c r="N117" s="8" t="n">
        <v>0</v>
      </c>
      <c r="O117" s="8" t="n">
        <v>0</v>
      </c>
      <c r="P117" s="8" t="n">
        <v>0</v>
      </c>
      <c r="Q117" s="8" t="n">
        <v>0.76</v>
      </c>
      <c r="R117" s="8" t="n">
        <v>4.55</v>
      </c>
      <c r="S117" s="8" t="n">
        <v>58.59</v>
      </c>
      <c r="T117" s="8" t="n">
        <v>35.86</v>
      </c>
      <c r="U117" s="8" t="n">
        <v>0.25</v>
      </c>
      <c r="V117" s="9">
        <f>F117*U117/100</f>
        <v/>
      </c>
      <c r="W117" s="5" t="inlineStr">
        <is>
          <t>Polígono del bloque</t>
        </is>
      </c>
    </row>
    <row r="118">
      <c r="A118" s="10" t="n">
        <v>110</v>
      </c>
      <c r="B118" s="10" t="inlineStr">
        <is>
          <t>M19B7</t>
        </is>
      </c>
      <c r="C118" s="10" t="inlineStr">
        <is>
          <t>Morropón</t>
        </is>
      </c>
      <c r="D118" s="10" t="inlineStr">
        <is>
          <t>Santo Domingo</t>
        </is>
      </c>
      <c r="E118" s="10" t="inlineStr">
        <is>
          <t>C1086-Q9570</t>
        </is>
      </c>
      <c r="F118" s="11" t="n">
        <v>34.171</v>
      </c>
      <c r="G118" s="12" t="n">
        <v>620814</v>
      </c>
      <c r="H118" s="12" t="n">
        <v>9436572</v>
      </c>
      <c r="I118" s="11" t="n">
        <v>34.171</v>
      </c>
      <c r="J118" s="13" t="n">
        <v>55.22</v>
      </c>
      <c r="K118" s="13" t="n">
        <v>54.16</v>
      </c>
      <c r="L118" s="13" t="n">
        <v>72.75</v>
      </c>
      <c r="M118" s="13" t="n">
        <v>88.79000000000001</v>
      </c>
      <c r="N118" s="13" t="n">
        <v>0</v>
      </c>
      <c r="O118" s="13" t="n">
        <v>0</v>
      </c>
      <c r="P118" s="13" t="n">
        <v>0.27</v>
      </c>
      <c r="Q118" s="13" t="n">
        <v>0.27</v>
      </c>
      <c r="R118" s="13" t="n">
        <v>0.8</v>
      </c>
      <c r="S118" s="13" t="n">
        <v>34.49</v>
      </c>
      <c r="T118" s="13" t="n">
        <v>57.75</v>
      </c>
      <c r="U118" s="13" t="n">
        <v>6.42</v>
      </c>
      <c r="V118" s="14">
        <f>F118*U118/100</f>
        <v/>
      </c>
      <c r="W118" s="10" t="inlineStr">
        <is>
          <t>Polígono del bloque</t>
        </is>
      </c>
    </row>
    <row r="119">
      <c r="A119" s="5" t="n">
        <v>111</v>
      </c>
      <c r="B119" s="5" t="inlineStr">
        <is>
          <t>M8B2</t>
        </is>
      </c>
      <c r="C119" s="5" t="inlineStr">
        <is>
          <t>Morropón</t>
        </is>
      </c>
      <c r="D119" s="5" t="inlineStr">
        <is>
          <t>Santo Domingo</t>
        </is>
      </c>
      <c r="E119" s="5" t="inlineStr">
        <is>
          <t>C1096-Q9558</t>
        </is>
      </c>
      <c r="F119" s="6" t="n">
        <v>35.347</v>
      </c>
      <c r="G119" s="7" t="n">
        <v>617584</v>
      </c>
      <c r="H119" s="7" t="n">
        <v>9436232</v>
      </c>
      <c r="I119" s="6" t="n">
        <v>35.347</v>
      </c>
      <c r="J119" s="8" t="n">
        <v>47.04</v>
      </c>
      <c r="K119" s="8" t="n">
        <v>46.9</v>
      </c>
      <c r="L119" s="8" t="n">
        <v>60.04</v>
      </c>
      <c r="M119" s="8" t="n">
        <v>69.95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3.61</v>
      </c>
      <c r="S119" s="8" t="n">
        <v>55.41</v>
      </c>
      <c r="T119" s="8" t="n">
        <v>40.98</v>
      </c>
      <c r="U119" s="8" t="n">
        <v>0</v>
      </c>
      <c r="V119" s="9">
        <f>F119*U119/100</f>
        <v/>
      </c>
      <c r="W119" s="5" t="inlineStr">
        <is>
          <t>Polígono del bloque</t>
        </is>
      </c>
    </row>
    <row r="120">
      <c r="A120" s="10" t="n">
        <v>112</v>
      </c>
      <c r="B120" s="10" t="inlineStr">
        <is>
          <t>49</t>
        </is>
      </c>
      <c r="C120" s="10" t="inlineStr">
        <is>
          <t>Morropón</t>
        </is>
      </c>
      <c r="D120" s="10" t="inlineStr">
        <is>
          <t>Yamango</t>
        </is>
      </c>
      <c r="E120" s="10" t="inlineStr">
        <is>
          <t>C1086-Q9575</t>
        </is>
      </c>
      <c r="F120" s="11" t="n">
        <v>15.839</v>
      </c>
      <c r="G120" s="12" t="n">
        <v>642333</v>
      </c>
      <c r="H120" s="12" t="n">
        <v>9438265</v>
      </c>
      <c r="I120" s="11" t="n">
        <v>15.839</v>
      </c>
      <c r="J120" s="13" t="n">
        <v>50.89</v>
      </c>
      <c r="K120" s="13" t="n">
        <v>50.94</v>
      </c>
      <c r="L120" s="13" t="n">
        <v>62.81</v>
      </c>
      <c r="M120" s="13" t="n">
        <v>72.86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43.6</v>
      </c>
      <c r="T120" s="13" t="n">
        <v>56.4</v>
      </c>
      <c r="U120" s="13" t="n">
        <v>0</v>
      </c>
      <c r="V120" s="14">
        <f>F120*U120/100</f>
        <v/>
      </c>
      <c r="W120" s="10" t="inlineStr">
        <is>
          <t>Polígono del bloque</t>
        </is>
      </c>
    </row>
    <row r="121">
      <c r="A121" s="5" t="n">
        <v>113</v>
      </c>
      <c r="B121" s="5" t="inlineStr">
        <is>
          <t>52</t>
        </is>
      </c>
      <c r="C121" s="5" t="inlineStr">
        <is>
          <t>Morropón</t>
        </is>
      </c>
      <c r="D121" s="5" t="inlineStr">
        <is>
          <t>Yamango</t>
        </is>
      </c>
      <c r="E121" s="5" t="inlineStr">
        <is>
          <t>C1086-Q9575</t>
        </is>
      </c>
      <c r="F121" s="6" t="n">
        <v>11.059</v>
      </c>
      <c r="G121" s="7" t="n">
        <v>641534</v>
      </c>
      <c r="H121" s="7" t="n">
        <v>9438065</v>
      </c>
      <c r="I121" s="6" t="n">
        <v>11.059</v>
      </c>
      <c r="J121" s="8" t="n">
        <v>50.33</v>
      </c>
      <c r="K121" s="8" t="n">
        <v>52.44</v>
      </c>
      <c r="L121" s="8" t="n">
        <v>64.04000000000001</v>
      </c>
      <c r="M121" s="8" t="n">
        <v>77.04000000000001</v>
      </c>
      <c r="N121" s="8" t="n">
        <v>0</v>
      </c>
      <c r="O121" s="8" t="n">
        <v>0</v>
      </c>
      <c r="P121" s="8" t="n">
        <v>0</v>
      </c>
      <c r="Q121" s="8" t="n">
        <v>0.8100000000000001</v>
      </c>
      <c r="R121" s="8" t="n">
        <v>0.8100000000000001</v>
      </c>
      <c r="S121" s="8" t="n">
        <v>45.53</v>
      </c>
      <c r="T121" s="8" t="n">
        <v>52.03</v>
      </c>
      <c r="U121" s="8" t="n">
        <v>0.8100000000000001</v>
      </c>
      <c r="V121" s="9">
        <f>F121*U121/100</f>
        <v/>
      </c>
      <c r="W121" s="5" t="inlineStr">
        <is>
          <t>Polígono del bloque</t>
        </is>
      </c>
    </row>
    <row r="122">
      <c r="A122" s="10" t="n">
        <v>114</v>
      </c>
      <c r="B122" s="10" t="inlineStr">
        <is>
          <t>55</t>
        </is>
      </c>
      <c r="C122" s="10" t="inlineStr">
        <is>
          <t>Morropón</t>
        </is>
      </c>
      <c r="D122" s="10" t="inlineStr">
        <is>
          <t>Yamango</t>
        </is>
      </c>
      <c r="E122" s="10" t="inlineStr">
        <is>
          <t>C1086-Q9575</t>
        </is>
      </c>
      <c r="F122" s="11" t="n">
        <v>0.859</v>
      </c>
      <c r="G122" s="12" t="n">
        <v>642692</v>
      </c>
      <c r="H122" s="12" t="n">
        <v>9438414</v>
      </c>
      <c r="I122" s="11" t="n">
        <v>0.859</v>
      </c>
      <c r="J122" s="13" t="n">
        <v>54.32</v>
      </c>
      <c r="K122" s="13" t="n">
        <v>53.12</v>
      </c>
      <c r="L122" s="13" t="n">
        <v>64.45999999999999</v>
      </c>
      <c r="M122" s="13" t="n">
        <v>64.51000000000001</v>
      </c>
      <c r="N122" s="13" t="n">
        <v>0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28.57</v>
      </c>
      <c r="T122" s="13" t="n">
        <v>71.43000000000001</v>
      </c>
      <c r="U122" s="13" t="n">
        <v>0</v>
      </c>
      <c r="V122" s="14">
        <f>F122*U122/100</f>
        <v/>
      </c>
      <c r="W122" s="10" t="inlineStr">
        <is>
          <t>Polígono del bloque</t>
        </is>
      </c>
    </row>
    <row r="123">
      <c r="A123" s="5" t="n">
        <v>115</v>
      </c>
      <c r="B123" s="5" t="inlineStr">
        <is>
          <t>M28B2</t>
        </is>
      </c>
      <c r="C123" s="5" t="inlineStr">
        <is>
          <t>Morropón</t>
        </is>
      </c>
      <c r="D123" s="5" t="inlineStr">
        <is>
          <t>Yamango</t>
        </is>
      </c>
      <c r="E123" s="5" t="inlineStr">
        <is>
          <t>C1086-Q9575</t>
        </is>
      </c>
      <c r="F123" s="6" t="n">
        <v>90.197</v>
      </c>
      <c r="G123" s="7" t="n">
        <v>636261</v>
      </c>
      <c r="H123" s="7" t="n">
        <v>9425725</v>
      </c>
      <c r="I123" s="6" t="n">
        <v>90.197</v>
      </c>
      <c r="J123" s="8" t="n">
        <v>39.76</v>
      </c>
      <c r="K123" s="8" t="n">
        <v>40.78</v>
      </c>
      <c r="L123" s="8" t="n">
        <v>55.17</v>
      </c>
      <c r="M123" s="8" t="n">
        <v>71.52</v>
      </c>
      <c r="N123" s="8" t="n">
        <v>0</v>
      </c>
      <c r="O123" s="8" t="n">
        <v>0.2</v>
      </c>
      <c r="P123" s="8" t="n">
        <v>0.5</v>
      </c>
      <c r="Q123" s="8" t="n">
        <v>2.98</v>
      </c>
      <c r="R123" s="8" t="n">
        <v>9.33</v>
      </c>
      <c r="S123" s="8" t="n">
        <v>65.64</v>
      </c>
      <c r="T123" s="8" t="n">
        <v>21.35</v>
      </c>
      <c r="U123" s="8" t="n">
        <v>0</v>
      </c>
      <c r="V123" s="9">
        <f>F123*U123/100</f>
        <v/>
      </c>
      <c r="W123" s="5" t="inlineStr">
        <is>
          <t>Polígono del bloque</t>
        </is>
      </c>
    </row>
    <row r="124">
      <c r="A124" s="10" t="n">
        <v>116</v>
      </c>
      <c r="B124" s="10" t="inlineStr">
        <is>
          <t>M28B3</t>
        </is>
      </c>
      <c r="C124" s="10" t="inlineStr">
        <is>
          <t>Morropón</t>
        </is>
      </c>
      <c r="D124" s="10" t="inlineStr">
        <is>
          <t>Yamango</t>
        </is>
      </c>
      <c r="E124" s="10" t="inlineStr">
        <is>
          <t>C1086-Q9575</t>
        </is>
      </c>
      <c r="F124" s="11" t="n">
        <v>58.292</v>
      </c>
      <c r="G124" s="12" t="n">
        <v>634041</v>
      </c>
      <c r="H124" s="12" t="n">
        <v>9426830</v>
      </c>
      <c r="I124" s="11" t="n">
        <v>58.292</v>
      </c>
      <c r="J124" s="13" t="n">
        <v>43.06</v>
      </c>
      <c r="K124" s="13" t="n">
        <v>42.93</v>
      </c>
      <c r="L124" s="13" t="n">
        <v>57.83</v>
      </c>
      <c r="M124" s="13" t="n">
        <v>71.68000000000001</v>
      </c>
      <c r="N124" s="13" t="n">
        <v>0</v>
      </c>
      <c r="O124" s="13" t="n">
        <v>0</v>
      </c>
      <c r="P124" s="13" t="n">
        <v>0</v>
      </c>
      <c r="Q124" s="13" t="n">
        <v>0.63</v>
      </c>
      <c r="R124" s="13" t="n">
        <v>6.26</v>
      </c>
      <c r="S124" s="13" t="n">
        <v>67.14</v>
      </c>
      <c r="T124" s="13" t="n">
        <v>25.98</v>
      </c>
      <c r="U124" s="13" t="n">
        <v>0</v>
      </c>
      <c r="V124" s="14">
        <f>F124*U124/100</f>
        <v/>
      </c>
      <c r="W124" s="10" t="inlineStr">
        <is>
          <t>Polígono del bloque</t>
        </is>
      </c>
    </row>
    <row r="125">
      <c r="A125" s="5" t="n">
        <v>117</v>
      </c>
      <c r="B125" s="5" t="inlineStr">
        <is>
          <t>M28B4</t>
        </is>
      </c>
      <c r="C125" s="5" t="inlineStr">
        <is>
          <t>Morropón</t>
        </is>
      </c>
      <c r="D125" s="5" t="inlineStr">
        <is>
          <t>Yamango</t>
        </is>
      </c>
      <c r="E125" s="5" t="inlineStr">
        <is>
          <t>C1086-Q9575</t>
        </is>
      </c>
      <c r="F125" s="6" t="n">
        <v>283.428</v>
      </c>
      <c r="G125" s="7" t="n">
        <v>626122</v>
      </c>
      <c r="H125" s="7" t="n">
        <v>9427151</v>
      </c>
      <c r="I125" s="6" t="n">
        <v>283.428</v>
      </c>
      <c r="J125" s="8" t="n">
        <v>24.92</v>
      </c>
      <c r="K125" s="8" t="n">
        <v>19.37</v>
      </c>
      <c r="L125" s="8" t="n">
        <v>48.41</v>
      </c>
      <c r="M125" s="8" t="n">
        <v>75</v>
      </c>
      <c r="N125" s="8" t="n">
        <v>0</v>
      </c>
      <c r="O125" s="8" t="n">
        <v>0</v>
      </c>
      <c r="P125" s="8" t="n">
        <v>0.03</v>
      </c>
      <c r="Q125" s="8" t="n">
        <v>29.78</v>
      </c>
      <c r="R125" s="8" t="n">
        <v>34.41</v>
      </c>
      <c r="S125" s="8" t="n">
        <v>27.17</v>
      </c>
      <c r="T125" s="8" t="n">
        <v>8.6</v>
      </c>
      <c r="U125" s="8" t="n">
        <v>0</v>
      </c>
      <c r="V125" s="9">
        <f>F125*U125/100</f>
        <v/>
      </c>
      <c r="W125" s="5" t="inlineStr">
        <is>
          <t>Polígono del bloque</t>
        </is>
      </c>
    </row>
    <row r="126">
      <c r="A126" s="15" t="inlineStr">
        <is>
          <t>TOTAL</t>
        </is>
      </c>
      <c r="B126" s="15" t="n"/>
      <c r="C126" s="15" t="n"/>
      <c r="D126" s="15" t="n"/>
      <c r="E126" s="15" t="n"/>
      <c r="F126" s="16">
        <f>SUM(F9:F125)</f>
        <v/>
      </c>
      <c r="G126" s="15" t="n"/>
      <c r="H126" s="15" t="n"/>
      <c r="I126" s="16">
        <f>SUM(I9:I125)</f>
        <v/>
      </c>
      <c r="J126" s="17">
        <f>SUMPRODUCT(F9:F125,J9:J125)/F126</f>
        <v/>
      </c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8">
        <f>SUM(V9:V125)</f>
        <v/>
      </c>
      <c r="W126" s="15" t="n"/>
    </row>
    <row r="128">
      <c r="A128" s="19" t="inlineStr">
        <is>
          <t>Pend. media de la fila TOTAL: promedio ponderado por área (SUMPRODUCT).</t>
        </is>
      </c>
    </row>
  </sheetData>
  <autoFilter ref="A8:W125"/>
  <mergeCells count="6">
    <mergeCell ref="A5:W5"/>
    <mergeCell ref="A1:W1"/>
    <mergeCell ref="A6:W6"/>
    <mergeCell ref="A4:W4"/>
    <mergeCell ref="A3:W3"/>
    <mergeCell ref="A2:W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4" customWidth="1" min="4" max="4"/>
    <col width="20" customWidth="1" min="5" max="5"/>
    <col width="14" customWidth="1" min="6" max="6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RESUMEN DE PENDIENTES POR DISTRITO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DEM: Copernicus GLO-30 (ESA, 30 m, modelo de superficie). Bloques: capa Bloques V6 (datos/bloques_v6.gpkg) y catálogo V6.</t>
        </is>
      </c>
    </row>
    <row r="8" ht="30" customHeight="1">
      <c r="A8" s="4" t="inlineStr">
        <is>
          <t>Provincia</t>
        </is>
      </c>
      <c r="B8" s="4" t="inlineStr">
        <is>
          <t>Distrito</t>
        </is>
      </c>
      <c r="C8" s="4" t="inlineStr">
        <is>
          <t>N° bloques</t>
        </is>
      </c>
      <c r="D8" s="4" t="inlineStr">
        <is>
          <t>Área (ha)</t>
        </is>
      </c>
      <c r="E8" s="4" t="inlineStr">
        <is>
          <t>Área &gt; 75 % (ha)</t>
        </is>
      </c>
      <c r="F8" s="4" t="inlineStr">
        <is>
          <t>% &gt; 75 %</t>
        </is>
      </c>
    </row>
    <row r="9">
      <c r="A9" s="5" t="inlineStr">
        <is>
          <t>Ayabaca</t>
        </is>
      </c>
      <c r="B9" s="5" t="inlineStr">
        <is>
          <t>Frías</t>
        </is>
      </c>
      <c r="C9" s="5">
        <f>COUNTIF('Pendientes por bloque'!$D$9:$D$125,B9)</f>
        <v/>
      </c>
      <c r="D9" s="6">
        <f>SUMIF('Pendientes por bloque'!$D$9:$D$125,B9,'Pendientes por bloque'!$F$9:$F$125)</f>
        <v/>
      </c>
      <c r="E9" s="9">
        <f>SUMIF('Pendientes por bloque'!$D$9:$D$125,B9,'Pendientes por bloque'!$V$9:$V$125)</f>
        <v/>
      </c>
      <c r="F9" s="8">
        <f>IF(D9=0,0,E9/D9*100)</f>
        <v/>
      </c>
    </row>
    <row r="10">
      <c r="A10" s="10" t="inlineStr">
        <is>
          <t>Huancabamba</t>
        </is>
      </c>
      <c r="B10" s="10" t="inlineStr">
        <is>
          <t>Canchaque</t>
        </is>
      </c>
      <c r="C10" s="10">
        <f>COUNTIF('Pendientes por bloque'!$D$9:$D$125,B10)</f>
        <v/>
      </c>
      <c r="D10" s="11">
        <f>SUMIF('Pendientes por bloque'!$D$9:$D$125,B10,'Pendientes por bloque'!$F$9:$F$125)</f>
        <v/>
      </c>
      <c r="E10" s="14">
        <f>SUMIF('Pendientes por bloque'!$D$9:$D$125,B10,'Pendientes por bloque'!$V$9:$V$125)</f>
        <v/>
      </c>
      <c r="F10" s="13">
        <f>IF(D10=0,0,E10/D10*100)</f>
        <v/>
      </c>
    </row>
    <row r="11">
      <c r="A11" s="5" t="inlineStr">
        <is>
          <t>Huancabamba</t>
        </is>
      </c>
      <c r="B11" s="5" t="inlineStr">
        <is>
          <t>Huancabamba</t>
        </is>
      </c>
      <c r="C11" s="5">
        <f>COUNTIF('Pendientes por bloque'!$D$9:$D$125,B11)</f>
        <v/>
      </c>
      <c r="D11" s="6">
        <f>SUMIF('Pendientes por bloque'!$D$9:$D$125,B11,'Pendientes por bloque'!$F$9:$F$125)</f>
        <v/>
      </c>
      <c r="E11" s="9">
        <f>SUMIF('Pendientes por bloque'!$D$9:$D$125,B11,'Pendientes por bloque'!$V$9:$V$125)</f>
        <v/>
      </c>
      <c r="F11" s="8">
        <f>IF(D11=0,0,E11/D11*100)</f>
        <v/>
      </c>
    </row>
    <row r="12">
      <c r="A12" s="10" t="inlineStr">
        <is>
          <t>Huancabamba</t>
        </is>
      </c>
      <c r="B12" s="10" t="inlineStr">
        <is>
          <t>Huarmaca</t>
        </is>
      </c>
      <c r="C12" s="10">
        <f>COUNTIF('Pendientes por bloque'!$D$9:$D$125,B12)</f>
        <v/>
      </c>
      <c r="D12" s="11">
        <f>SUMIF('Pendientes por bloque'!$D$9:$D$125,B12,'Pendientes por bloque'!$F$9:$F$125)</f>
        <v/>
      </c>
      <c r="E12" s="14">
        <f>SUMIF('Pendientes por bloque'!$D$9:$D$125,B12,'Pendientes por bloque'!$V$9:$V$125)</f>
        <v/>
      </c>
      <c r="F12" s="13">
        <f>IF(D12=0,0,E12/D12*100)</f>
        <v/>
      </c>
    </row>
    <row r="13">
      <c r="A13" s="5" t="inlineStr">
        <is>
          <t>Huancabamba</t>
        </is>
      </c>
      <c r="B13" s="5" t="inlineStr">
        <is>
          <t>Lalaquiz</t>
        </is>
      </c>
      <c r="C13" s="5">
        <f>COUNTIF('Pendientes por bloque'!$D$9:$D$125,B13)</f>
        <v/>
      </c>
      <c r="D13" s="6">
        <f>SUMIF('Pendientes por bloque'!$D$9:$D$125,B13,'Pendientes por bloque'!$F$9:$F$125)</f>
        <v/>
      </c>
      <c r="E13" s="9">
        <f>SUMIF('Pendientes por bloque'!$D$9:$D$125,B13,'Pendientes por bloque'!$V$9:$V$125)</f>
        <v/>
      </c>
      <c r="F13" s="8">
        <f>IF(D13=0,0,E13/D13*100)</f>
        <v/>
      </c>
    </row>
    <row r="14">
      <c r="A14" s="10" t="inlineStr">
        <is>
          <t>Huancabamba</t>
        </is>
      </c>
      <c r="B14" s="10" t="inlineStr">
        <is>
          <t>San Miguel de El Faique</t>
        </is>
      </c>
      <c r="C14" s="10">
        <f>COUNTIF('Pendientes por bloque'!$D$9:$D$125,B14)</f>
        <v/>
      </c>
      <c r="D14" s="11">
        <f>SUMIF('Pendientes por bloque'!$D$9:$D$125,B14,'Pendientes por bloque'!$F$9:$F$125)</f>
        <v/>
      </c>
      <c r="E14" s="14">
        <f>SUMIF('Pendientes por bloque'!$D$9:$D$125,B14,'Pendientes por bloque'!$V$9:$V$125)</f>
        <v/>
      </c>
      <c r="F14" s="13">
        <f>IF(D14=0,0,E14/D14*100)</f>
        <v/>
      </c>
    </row>
    <row r="15">
      <c r="A15" s="5" t="inlineStr">
        <is>
          <t>Morropón</t>
        </is>
      </c>
      <c r="B15" s="5" t="inlineStr">
        <is>
          <t>Buenos Aires</t>
        </is>
      </c>
      <c r="C15" s="5">
        <f>COUNTIF('Pendientes por bloque'!$D$9:$D$125,B15)</f>
        <v/>
      </c>
      <c r="D15" s="6">
        <f>SUMIF('Pendientes por bloque'!$D$9:$D$125,B15,'Pendientes por bloque'!$F$9:$F$125)</f>
        <v/>
      </c>
      <c r="E15" s="9">
        <f>SUMIF('Pendientes por bloque'!$D$9:$D$125,B15,'Pendientes por bloque'!$V$9:$V$125)</f>
        <v/>
      </c>
      <c r="F15" s="8">
        <f>IF(D15=0,0,E15/D15*100)</f>
        <v/>
      </c>
    </row>
    <row r="16">
      <c r="A16" s="10" t="inlineStr">
        <is>
          <t>Morropón</t>
        </is>
      </c>
      <c r="B16" s="10" t="inlineStr">
        <is>
          <t>Chalaco</t>
        </is>
      </c>
      <c r="C16" s="10">
        <f>COUNTIF('Pendientes por bloque'!$D$9:$D$125,B16)</f>
        <v/>
      </c>
      <c r="D16" s="11">
        <f>SUMIF('Pendientes por bloque'!$D$9:$D$125,B16,'Pendientes por bloque'!$F$9:$F$125)</f>
        <v/>
      </c>
      <c r="E16" s="14">
        <f>SUMIF('Pendientes por bloque'!$D$9:$D$125,B16,'Pendientes por bloque'!$V$9:$V$125)</f>
        <v/>
      </c>
      <c r="F16" s="13">
        <f>IF(D16=0,0,E16/D16*100)</f>
        <v/>
      </c>
    </row>
    <row r="17">
      <c r="A17" s="5" t="inlineStr">
        <is>
          <t>Morropón</t>
        </is>
      </c>
      <c r="B17" s="5" t="inlineStr">
        <is>
          <t>Chulucanas</t>
        </is>
      </c>
      <c r="C17" s="5">
        <f>COUNTIF('Pendientes por bloque'!$D$9:$D$125,B17)</f>
        <v/>
      </c>
      <c r="D17" s="6">
        <f>SUMIF('Pendientes por bloque'!$D$9:$D$125,B17,'Pendientes por bloque'!$F$9:$F$125)</f>
        <v/>
      </c>
      <c r="E17" s="9">
        <f>SUMIF('Pendientes por bloque'!$D$9:$D$125,B17,'Pendientes por bloque'!$V$9:$V$125)</f>
        <v/>
      </c>
      <c r="F17" s="8">
        <f>IF(D17=0,0,E17/D17*100)</f>
        <v/>
      </c>
    </row>
    <row r="18">
      <c r="A18" s="10" t="inlineStr">
        <is>
          <t>Morropón</t>
        </is>
      </c>
      <c r="B18" s="10" t="inlineStr">
        <is>
          <t>Morropón</t>
        </is>
      </c>
      <c r="C18" s="10">
        <f>COUNTIF('Pendientes por bloque'!$D$9:$D$125,B18)</f>
        <v/>
      </c>
      <c r="D18" s="11">
        <f>SUMIF('Pendientes por bloque'!$D$9:$D$125,B18,'Pendientes por bloque'!$F$9:$F$125)</f>
        <v/>
      </c>
      <c r="E18" s="14">
        <f>SUMIF('Pendientes por bloque'!$D$9:$D$125,B18,'Pendientes por bloque'!$V$9:$V$125)</f>
        <v/>
      </c>
      <c r="F18" s="13">
        <f>IF(D18=0,0,E18/D18*100)</f>
        <v/>
      </c>
    </row>
    <row r="19">
      <c r="A19" s="5" t="inlineStr">
        <is>
          <t>Morropón</t>
        </is>
      </c>
      <c r="B19" s="5" t="inlineStr">
        <is>
          <t>Salitral</t>
        </is>
      </c>
      <c r="C19" s="5">
        <f>COUNTIF('Pendientes por bloque'!$D$9:$D$125,B19)</f>
        <v/>
      </c>
      <c r="D19" s="6">
        <f>SUMIF('Pendientes por bloque'!$D$9:$D$125,B19,'Pendientes por bloque'!$F$9:$F$125)</f>
        <v/>
      </c>
      <c r="E19" s="9">
        <f>SUMIF('Pendientes por bloque'!$D$9:$D$125,B19,'Pendientes por bloque'!$V$9:$V$125)</f>
        <v/>
      </c>
      <c r="F19" s="8">
        <f>IF(D19=0,0,E19/D19*100)</f>
        <v/>
      </c>
    </row>
    <row r="20">
      <c r="A20" s="10" t="inlineStr">
        <is>
          <t>Morropón</t>
        </is>
      </c>
      <c r="B20" s="10" t="inlineStr">
        <is>
          <t>San Juan de Bigote</t>
        </is>
      </c>
      <c r="C20" s="10">
        <f>COUNTIF('Pendientes por bloque'!$D$9:$D$125,B20)</f>
        <v/>
      </c>
      <c r="D20" s="11">
        <f>SUMIF('Pendientes por bloque'!$D$9:$D$125,B20,'Pendientes por bloque'!$F$9:$F$125)</f>
        <v/>
      </c>
      <c r="E20" s="14">
        <f>SUMIF('Pendientes por bloque'!$D$9:$D$125,B20,'Pendientes por bloque'!$V$9:$V$125)</f>
        <v/>
      </c>
      <c r="F20" s="13">
        <f>IF(D20=0,0,E20/D20*100)</f>
        <v/>
      </c>
    </row>
    <row r="21">
      <c r="A21" s="5" t="inlineStr">
        <is>
          <t>Morropón</t>
        </is>
      </c>
      <c r="B21" s="5" t="inlineStr">
        <is>
          <t>Santa Catalina de Mossa</t>
        </is>
      </c>
      <c r="C21" s="5">
        <f>COUNTIF('Pendientes por bloque'!$D$9:$D$125,B21)</f>
        <v/>
      </c>
      <c r="D21" s="6">
        <f>SUMIF('Pendientes por bloque'!$D$9:$D$125,B21,'Pendientes por bloque'!$F$9:$F$125)</f>
        <v/>
      </c>
      <c r="E21" s="9">
        <f>SUMIF('Pendientes por bloque'!$D$9:$D$125,B21,'Pendientes por bloque'!$V$9:$V$125)</f>
        <v/>
      </c>
      <c r="F21" s="8">
        <f>IF(D21=0,0,E21/D21*100)</f>
        <v/>
      </c>
    </row>
    <row r="22">
      <c r="A22" s="10" t="inlineStr">
        <is>
          <t>Morropón</t>
        </is>
      </c>
      <c r="B22" s="10" t="inlineStr">
        <is>
          <t>Santo Domingo</t>
        </is>
      </c>
      <c r="C22" s="10">
        <f>COUNTIF('Pendientes por bloque'!$D$9:$D$125,B22)</f>
        <v/>
      </c>
      <c r="D22" s="11">
        <f>SUMIF('Pendientes por bloque'!$D$9:$D$125,B22,'Pendientes por bloque'!$F$9:$F$125)</f>
        <v/>
      </c>
      <c r="E22" s="14">
        <f>SUMIF('Pendientes por bloque'!$D$9:$D$125,B22,'Pendientes por bloque'!$V$9:$V$125)</f>
        <v/>
      </c>
      <c r="F22" s="13">
        <f>IF(D22=0,0,E22/D22*100)</f>
        <v/>
      </c>
    </row>
    <row r="23">
      <c r="A23" s="5" t="inlineStr">
        <is>
          <t>Morropón</t>
        </is>
      </c>
      <c r="B23" s="5" t="inlineStr">
        <is>
          <t>Yamango</t>
        </is>
      </c>
      <c r="C23" s="5">
        <f>COUNTIF('Pendientes por bloque'!$D$9:$D$125,B23)</f>
        <v/>
      </c>
      <c r="D23" s="6">
        <f>SUMIF('Pendientes por bloque'!$D$9:$D$125,B23,'Pendientes por bloque'!$F$9:$F$125)</f>
        <v/>
      </c>
      <c r="E23" s="9">
        <f>SUMIF('Pendientes por bloque'!$D$9:$D$125,B23,'Pendientes por bloque'!$V$9:$V$125)</f>
        <v/>
      </c>
      <c r="F23" s="8">
        <f>IF(D23=0,0,E23/D23*100)</f>
        <v/>
      </c>
    </row>
    <row r="24">
      <c r="A24" s="15" t="inlineStr">
        <is>
          <t>TOTAL</t>
        </is>
      </c>
      <c r="B24" s="15" t="n"/>
      <c r="C24" s="15">
        <f>SUM(C9:C23)</f>
        <v/>
      </c>
      <c r="D24" s="16">
        <f>SUM(D9:D23)</f>
        <v/>
      </c>
      <c r="E24" s="18">
        <f>SUM(E9:E23)</f>
        <v/>
      </c>
      <c r="F24" s="15" t="n"/>
    </row>
  </sheetData>
  <autoFilter ref="A8:F23"/>
  <mergeCells count="6">
    <mergeCell ref="A2:F2"/>
    <mergeCell ref="A1:F1"/>
    <mergeCell ref="A5:F5"/>
    <mergeCell ref="A6:F6"/>
    <mergeCell ref="A4:F4"/>
    <mergeCell ref="A3:F3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NOTAS METODOLÓGICAS Y AVISOS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8" ht="45" customHeight="1">
      <c r="A8" s="20" t="n">
        <v>1</v>
      </c>
      <c r="B8" s="21" t="inlineStr">
        <is>
          <t>DEM: Copernicus GLO-30 (ESA), resolución 30 m, reproyectado a UTM 17S WGS84 (EPSG:32717) por interpolación bilineal. Es un modelo de SUPERFICIE: en áreas con dosel alto la pendiente puede diferir de la del terreno.</t>
        </is>
      </c>
    </row>
    <row r="9" ht="15" customHeight="1">
      <c r="A9" s="20" t="n">
        <v>2</v>
      </c>
      <c r="B9" s="21" t="inlineStr">
        <is>
          <t>Pendiente: método de Horn (ventana 3x3), expresada en porcentaje.</t>
        </is>
      </c>
    </row>
    <row r="10" ht="45" customHeight="1">
      <c r="A10" s="20" t="n">
        <v>3</v>
      </c>
      <c r="B10" s="21" t="inlineStr">
        <is>
          <t>Clases A–H: rangos de pendiente del Reglamento de Clasificación de Tierras por su Capacidad de Uso Mayor (verificar la versión vigente antes de citar). El límite de 75 % coincide con el criterio de idoneidad del Paso 4 de selección de bloques.</t>
        </is>
      </c>
    </row>
    <row r="11" ht="30" customHeight="1">
      <c r="A11" s="20" t="n">
        <v>4</v>
      </c>
      <c r="B11" s="21" t="inlineStr">
        <is>
          <t>Ámbito de cálculo: 117 de 117 bloques con su polígono (datos/bloques_v6.gpkg, derivado de la capa 'Bloques V6'); el centroide se toma del polígono.</t>
        </is>
      </c>
    </row>
    <row r="12" ht="15" customHeight="1">
      <c r="A12" s="20" t="n">
        <v>5</v>
      </c>
      <c r="B12" s="21" t="inlineStr">
        <is>
          <t>Área &gt; 75 % (ha) = Área del catálogo × % de la clase H / 100 (estimación).</t>
        </is>
      </c>
    </row>
    <row r="13" ht="15" customHeight="1">
      <c r="A13" s="20" t="n">
        <v>6</v>
      </c>
      <c r="B13" s="21" t="inlineStr">
        <is>
          <t>Control: 117 bloques vigentes del catálogo V6; área total esperada 12,270.235 ha.</t>
        </is>
      </c>
    </row>
    <row r="14" ht="30" customHeight="1">
      <c r="A14" s="20" t="n">
        <v>7</v>
      </c>
      <c r="B14" s="21" t="inlineStr">
        <is>
          <t>Aviso: Bloque 56: el centroide de atributos_bloques_v6.csv (631,723, 9,439,702) está a 16,110 m de su polígono; se usa el del polígono (621,634, 9,452,921)</t>
        </is>
      </c>
    </row>
    <row r="15" ht="30" customHeight="1">
      <c r="A15" s="20" t="n">
        <v>8</v>
      </c>
      <c r="B15" s="21" t="inlineStr">
        <is>
          <t>Aviso: Bloque 57: el centroide de atributos_bloques_v6.csv (631,195, 9,441,777) está a 1,697 m de su polígono; se usa el del polígono (631,727, 9,439,690)</t>
        </is>
      </c>
    </row>
  </sheetData>
  <mergeCells count="5">
    <mergeCell ref="A4:B4"/>
    <mergeCell ref="A2:B2"/>
    <mergeCell ref="A5:B5"/>
    <mergeCell ref="A1:B1"/>
    <mergeCell ref="A3:B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2026-10-05T04:09:46Z</dcterms:created>
  <dcterms:modified xsi:type="dcterms:W3CDTF">2026-10-05T04:09:47Z</dcterms:modified>
</cp:coreProperties>
</file>