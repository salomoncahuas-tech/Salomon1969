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Ubicaciones" sheetId="1" state="visible" r:id="rId1"/>
    <sheet xmlns:r="http://schemas.openxmlformats.org/officeDocument/2006/relationships" name="2_Registro" sheetId="2" state="visible" r:id="rId2"/>
    <sheet xmlns:r="http://schemas.openxmlformats.org/officeDocument/2006/relationships" name="3_Resumen" sheetId="3" state="visible" r:id="rId3"/>
    <sheet xmlns:r="http://schemas.openxmlformats.org/officeDocument/2006/relationships" name="4_Notas" sheetId="4" state="visible" r:id="rId4"/>
  </sheets>
  <definedNames>
    <definedName name="_xlnm._FilterDatabase" localSheetId="0" hidden="1">'1_Ubicaciones'!$A$8:$I$23</definedName>
    <definedName name="_xlnm._FilterDatabase" localSheetId="1" hidden="1">'2_Registro'!$A$8:$H$31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4D2E"/>
      <sz val="10"/>
    </font>
    <font>
      <name val="Arial"/>
      <color rgb="001B4D2E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B4D2E"/>
      </patternFill>
    </fill>
    <fill>
      <patternFill patternType="solid">
        <fgColor rgb="00E8F0EA"/>
      </patternFill>
    </fill>
    <fill>
      <patternFill patternType="solid">
        <fgColor rgb="00D9E6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1" fontId="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1" fontId="5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vertical="top" wrapText="1"/>
    </xf>
    <xf numFmtId="0" fontId="6" fillId="4" borderId="1" pivotButton="0" quotePrefix="0" xfId="0"/>
    <xf numFmtId="1" fontId="6" fillId="4" borderId="1" pivotButton="0" quotePrefix="0" xfId="0"/>
    <xf numFmtId="165" fontId="5" fillId="0" borderId="1" applyAlignment="1" pivotButton="0" quotePrefix="0" xfId="0">
      <alignment horizontal="center" vertical="top" wrapText="1"/>
    </xf>
    <xf numFmtId="165" fontId="5" fillId="3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6" fillId="3" borderId="1" pivotButton="0" quotePrefix="0" xfId="0"/>
    <xf numFmtId="0" fontId="6" fillId="3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QNletGIwBopUrLvqHxjQXspOgbTD_AL8" TargetMode="External" Id="rId1"/><Relationship Type="http://schemas.openxmlformats.org/officeDocument/2006/relationships/hyperlink" Target="https://drive.google.com/drive/folders/16uGS40JcB4hKy4QHPGSqysN7dtKjOf6J" TargetMode="External" Id="rId2"/><Relationship Type="http://schemas.openxmlformats.org/officeDocument/2006/relationships/hyperlink" Target="https://drive.google.com/drive/folders/1QGledfgGKlurAJ2a7HCSTxmlF-F7wyRW" TargetMode="External" Id="rId3"/><Relationship Type="http://schemas.openxmlformats.org/officeDocument/2006/relationships/hyperlink" Target="https://drive.google.com/drive/folders/15V3HR0dtiQ2NP9aT3Bq-Cb4P-pJS2TB3" TargetMode="External" Id="rId4"/><Relationship Type="http://schemas.openxmlformats.org/officeDocument/2006/relationships/hyperlink" Target="https://drive.google.com/drive/folders/1vlSgiVHN3q8GlvwPUVWtuV0LzkTcI4pA" TargetMode="External" Id="rId5"/><Relationship Type="http://schemas.openxmlformats.org/officeDocument/2006/relationships/hyperlink" Target="https://drive.google.com/drive/folders/1COyqfGePNgQUa9ioCOFDW_sM5nNu7mRf" TargetMode="External" Id="rId6"/><Relationship Type="http://schemas.openxmlformats.org/officeDocument/2006/relationships/hyperlink" Target="https://drive.google.com/drive/folders/1utg53ly3gWcqV2isJJX2DOV6oZB0oUKx" TargetMode="External" Id="rId7"/><Relationship Type="http://schemas.openxmlformats.org/officeDocument/2006/relationships/hyperlink" Target="https://drive.google.com/drive/folders/1YmcFdOQDLSProFRzDOQtgUTIf3gBx0wL" TargetMode="External" Id="rId8"/><Relationship Type="http://schemas.openxmlformats.org/officeDocument/2006/relationships/hyperlink" Target="https://drive.google.com/file/d/1lbr4-I5-OH8Nqd4hBccIEizEy3H-rV7V/view" TargetMode="External" Id="rId9"/><Relationship Type="http://schemas.openxmlformats.org/officeDocument/2006/relationships/hyperlink" Target="https://drive.google.com/file/d/1W13WM67BUajj5KRR4JC4adtubxAWo3SK/view" TargetMode="External" Id="rId10"/><Relationship Type="http://schemas.openxmlformats.org/officeDocument/2006/relationships/hyperlink" Target="https://drive.google.com/drive/folders/1ixjrVluRssbc4A67Cmx1A9syxTBSN7is" TargetMode="External" Id="rId11"/><Relationship Type="http://schemas.openxmlformats.org/officeDocument/2006/relationships/hyperlink" Target="https://drive.google.com/drive/folders/1icXXRKhuqHEJqQKirHDpBexieg_paXuh" TargetMode="External" Id="rId12"/><Relationship Type="http://schemas.openxmlformats.org/officeDocument/2006/relationships/hyperlink" Target="https://docs.google.com/spreadsheets/d/1Uie1il6FeHI4SD8QhKXsfDof7cm4NF8J/edit" TargetMode="External" Id="rId13"/><Relationship Type="http://schemas.openxmlformats.org/officeDocument/2006/relationships/hyperlink" Target="https://drive.google.com/file/d/1zLUHbUpe8VJ7mrkdS6-JhR8gG-A525Th/view" TargetMode="External" Id="rId14"/><Relationship Type="http://schemas.openxmlformats.org/officeDocument/2006/relationships/hyperlink" Target="https://docs.google.com/spreadsheets/d/1zLVVHr8wqBjJu5INkBvoNUdrhM08WUKT/edit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drive/folders/1QNletGIwBopUrLvqHxjQXspOgbTD_AL8" TargetMode="External" Id="rId1"/><Relationship Type="http://schemas.openxmlformats.org/officeDocument/2006/relationships/hyperlink" Target="https://drive.google.com/drive/folders/1QNletGIwBopUrLvqHxjQXspOgbTD_AL8" TargetMode="External" Id="rId2"/><Relationship Type="http://schemas.openxmlformats.org/officeDocument/2006/relationships/hyperlink" Target="https://drive.google.com/drive/folders/1QNletGIwBopUrLvqHxjQXspOgbTD_AL8" TargetMode="External" Id="rId3"/><Relationship Type="http://schemas.openxmlformats.org/officeDocument/2006/relationships/hyperlink" Target="https://drive.google.com/drive/folders/16uGS40JcB4hKy4QHPGSqysN7dtKjOf6J" TargetMode="External" Id="rId4"/><Relationship Type="http://schemas.openxmlformats.org/officeDocument/2006/relationships/hyperlink" Target="https://drive.google.com/drive/folders/1QGledfgGKlurAJ2a7HCSTxmlF-F7wyRW" TargetMode="External" Id="rId5"/><Relationship Type="http://schemas.openxmlformats.org/officeDocument/2006/relationships/hyperlink" Target="https://drive.google.com/drive/folders/1QGledfgGKlurAJ2a7HCSTxmlF-F7wyRW" TargetMode="External" Id="rId6"/><Relationship Type="http://schemas.openxmlformats.org/officeDocument/2006/relationships/hyperlink" Target="https://drive.google.com/drive/folders/1QGledfgGKlurAJ2a7HCSTxmlF-F7wyRW" TargetMode="External" Id="rId7"/><Relationship Type="http://schemas.openxmlformats.org/officeDocument/2006/relationships/hyperlink" Target="https://drive.google.com/drive/folders/15V3HR0dtiQ2NP9aT3Bq-Cb4P-pJS2TB3" TargetMode="External" Id="rId8"/><Relationship Type="http://schemas.openxmlformats.org/officeDocument/2006/relationships/hyperlink" Target="https://drive.google.com/drive/folders/16uGS40JcB4hKy4QHPGSqysN7dtKjOf6J" TargetMode="External" Id="rId9"/><Relationship Type="http://schemas.openxmlformats.org/officeDocument/2006/relationships/hyperlink" Target="https://drive.google.com/drive/folders/1vlSgiVHN3q8GlvwPUVWtuV0LzkTcI4pA" TargetMode="External" Id="rId10"/><Relationship Type="http://schemas.openxmlformats.org/officeDocument/2006/relationships/hyperlink" Target="https://drive.google.com/drive/folders/1vlSgiVHN3q8GlvwPUVWtuV0LzkTcI4pA" TargetMode="External" Id="rId11"/><Relationship Type="http://schemas.openxmlformats.org/officeDocument/2006/relationships/hyperlink" Target="https://drive.google.com/drive/folders/1COyqfGePNgQUa9ioCOFDW_sM5nNu7mRf" TargetMode="External" Id="rId12"/><Relationship Type="http://schemas.openxmlformats.org/officeDocument/2006/relationships/hyperlink" Target="https://drive.google.com/drive/folders/1vlSgiVHN3q8GlvwPUVWtuV0LzkTcI4pA" TargetMode="External" Id="rId13"/><Relationship Type="http://schemas.openxmlformats.org/officeDocument/2006/relationships/hyperlink" Target="https://drive.google.com/drive/folders/1utg53ly3gWcqV2isJJX2DOV6oZB0oUKx" TargetMode="External" Id="rId14"/><Relationship Type="http://schemas.openxmlformats.org/officeDocument/2006/relationships/hyperlink" Target="https://drive.google.com/drive/folders/1utg53ly3gWcqV2isJJX2DOV6oZB0oUKx" TargetMode="External" Id="rId15"/><Relationship Type="http://schemas.openxmlformats.org/officeDocument/2006/relationships/hyperlink" Target="https://drive.google.com/drive/folders/1YmcFdOQDLSProFRzDOQtgUTIf3gBx0wL" TargetMode="External" Id="rId16"/><Relationship Type="http://schemas.openxmlformats.org/officeDocument/2006/relationships/hyperlink" Target="https://drive.google.com/file/d/1lbr4-I5-OH8Nqd4hBccIEizEy3H-rV7V/view" TargetMode="External" Id="rId17"/><Relationship Type="http://schemas.openxmlformats.org/officeDocument/2006/relationships/hyperlink" Target="https://drive.google.com/file/d/1W13WM67BUajj5KRR4JC4adtubxAWo3SK/view" TargetMode="External" Id="rId18"/><Relationship Type="http://schemas.openxmlformats.org/officeDocument/2006/relationships/hyperlink" Target="https://drive.google.com/drive/folders/1ixjrVluRssbc4A67Cmx1A9syxTBSN7is" TargetMode="External" Id="rId19"/><Relationship Type="http://schemas.openxmlformats.org/officeDocument/2006/relationships/hyperlink" Target="https://drive.google.com/drive/folders/1icXXRKhuqHEJqQKirHDpBexieg_paXuh" TargetMode="External" Id="rId20"/><Relationship Type="http://schemas.openxmlformats.org/officeDocument/2006/relationships/hyperlink" Target="https://docs.google.com/spreadsheets/d/1Uie1il6FeHI4SD8QhKXsfDof7cm4NF8J/edit" TargetMode="External" Id="rId21"/><Relationship Type="http://schemas.openxmlformats.org/officeDocument/2006/relationships/hyperlink" Target="https://drive.google.com/file/d/1zLUHbUpe8VJ7mrkdS6-JhR8gG-A525Th/view" TargetMode="External" Id="rId22"/><Relationship Type="http://schemas.openxmlformats.org/officeDocument/2006/relationships/hyperlink" Target="https://docs.google.com/spreadsheets/d/1zLVVHr8wqBjJu5INkBvoNUdrhM08WUKT/edit" TargetMode="External" Id="rId23"/></Relationships>
</file>

<file path=xl/worksheets/_rels/sheet4.xml.rels><Relationships xmlns="http://schemas.openxmlformats.org/package/2006/relationships"><Relationship Type="http://schemas.openxmlformats.org/officeDocument/2006/relationships/hyperlink" Target="https://claude.ai/artifact/WgxAXHq51fmUuMA4pQbrXd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10" customWidth="1" min="3" max="3"/>
    <col width="10" customWidth="1" min="4" max="4"/>
    <col width="22" customWidth="1" min="5" max="5"/>
    <col width="12" customWidth="1" min="6" max="6"/>
    <col width="14" customWidth="1" min="7" max="7"/>
    <col width="10" customWidth="1" min="8" max="8"/>
    <col width="70" customWidth="1" min="9" max="9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1. UBICACIONES EN GOOGLE DRIVE DE LOS MEDIOS VERIFICADORES DEL SEGUNDO ENTREGABLE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Medios_Verificadores_E2_IN_Piura_y_Anexo_4.pdf (ANIN-DIME-SESDI), actualizado al 26/10/2026 · Elaboración propia</t>
        </is>
      </c>
    </row>
    <row r="8" ht="30" customHeight="1">
      <c r="A8" s="4" t="inlineStr">
        <is>
          <t>Cód.</t>
        </is>
      </c>
      <c r="B8" s="4" t="inlineStr">
        <is>
          <t>Nombre en Google Drive</t>
        </is>
      </c>
      <c r="C8" s="4" t="inlineStr">
        <is>
          <t>Tipo</t>
        </is>
      </c>
      <c r="D8" s="4" t="inlineStr">
        <is>
          <t>Tamaño</t>
        </is>
      </c>
      <c r="E8" s="4" t="inlineStr">
        <is>
          <t>Propietario</t>
        </is>
      </c>
      <c r="F8" s="4" t="inlineStr">
        <is>
          <t>N.° medios (declarado)</t>
        </is>
      </c>
      <c r="G8" s="4" t="inlineStr">
        <is>
          <t>N.° medios (contado en registro)</t>
        </is>
      </c>
      <c r="H8" s="4" t="inlineStr">
        <is>
          <t>Control</t>
        </is>
      </c>
      <c r="I8" s="4" t="inlineStr">
        <is>
          <t>Enlace</t>
        </is>
      </c>
    </row>
    <row r="9">
      <c r="A9" s="5" t="inlineStr">
        <is>
          <t>R01</t>
        </is>
      </c>
      <c r="B9" s="6" t="inlineStr">
        <is>
          <t>Diagnostico Territorial y Social IN Piura V5</t>
        </is>
      </c>
      <c r="C9" s="5" t="inlineStr">
        <is>
          <t>Carpeta</t>
        </is>
      </c>
      <c r="D9" s="5" t="inlineStr">
        <is>
          <t>—</t>
        </is>
      </c>
      <c r="E9" s="6" t="inlineStr">
        <is>
          <t>ANIN-DIME</t>
        </is>
      </c>
      <c r="F9" s="7" t="n">
        <v>3</v>
      </c>
      <c r="G9" s="7">
        <f>COUNTIF('2_Registro'!$G$9:$G$31,A9)</f>
        <v/>
      </c>
      <c r="H9" s="5">
        <f>IF(F9=G9,"OK","REVISAR")</f>
        <v/>
      </c>
      <c r="I9" s="8" t="inlineStr">
        <is>
          <t>https://drive.google.com/drive/folders/1QNletGIwBopUrLvqHxjQXspOgbTD_AL8</t>
        </is>
      </c>
    </row>
    <row r="10">
      <c r="A10" s="9" t="inlineStr">
        <is>
          <t>R02</t>
        </is>
      </c>
      <c r="B10" s="10" t="inlineStr">
        <is>
          <t>TAMIZAJE PREDIAL</t>
        </is>
      </c>
      <c r="C10" s="9" t="inlineStr">
        <is>
          <t>Carpeta</t>
        </is>
      </c>
      <c r="D10" s="9" t="inlineStr">
        <is>
          <t>—</t>
        </is>
      </c>
      <c r="E10" s="10" t="inlineStr">
        <is>
          <t>ANIN-DIME</t>
        </is>
      </c>
      <c r="F10" s="11" t="n">
        <v>2</v>
      </c>
      <c r="G10" s="11">
        <f>COUNTIF('2_Registro'!$G$9:$G$31,A10)</f>
        <v/>
      </c>
      <c r="H10" s="9">
        <f>IF(F10=G10,"OK","REVISAR")</f>
        <v/>
      </c>
      <c r="I10" s="12" t="inlineStr">
        <is>
          <t>https://drive.google.com/drive/folders/16uGS40JcB4hKy4QHPGSqysN7dtKjOf6J</t>
        </is>
      </c>
    </row>
    <row r="11">
      <c r="A11" s="5" t="inlineStr">
        <is>
          <t>R03</t>
        </is>
      </c>
      <c r="B11" s="6" t="inlineStr">
        <is>
          <t>INFORMES DE DIAGNOSTICO SOCIAL</t>
        </is>
      </c>
      <c r="C11" s="5" t="inlineStr">
        <is>
          <t>Carpeta</t>
        </is>
      </c>
      <c r="D11" s="5" t="inlineStr">
        <is>
          <t>—</t>
        </is>
      </c>
      <c r="E11" s="6" t="inlineStr">
        <is>
          <t>ANIN-DIME</t>
        </is>
      </c>
      <c r="F11" s="7" t="n">
        <v>3</v>
      </c>
      <c r="G11" s="7">
        <f>COUNTIF('2_Registro'!$G$9:$G$31,A11)</f>
        <v/>
      </c>
      <c r="H11" s="5">
        <f>IF(F11=G11,"OK","REVISAR")</f>
        <v/>
      </c>
      <c r="I11" s="8" t="inlineStr">
        <is>
          <t>https://drive.google.com/drive/folders/1QGledfgGKlurAJ2a7HCSTxmlF-F7wyRW</t>
        </is>
      </c>
    </row>
    <row r="12">
      <c r="A12" s="9" t="inlineStr">
        <is>
          <t>R04</t>
        </is>
      </c>
      <c r="B12" s="10" t="inlineStr">
        <is>
          <t>04_MAPAS (en INFORME ENTREGABLE 6)</t>
        </is>
      </c>
      <c r="C12" s="9" t="inlineStr">
        <is>
          <t>Carpeta</t>
        </is>
      </c>
      <c r="D12" s="9" t="inlineStr">
        <is>
          <t>—</t>
        </is>
      </c>
      <c r="E12" s="10" t="inlineStr">
        <is>
          <t>ANIN-DIME</t>
        </is>
      </c>
      <c r="F12" s="11" t="n">
        <v>1</v>
      </c>
      <c r="G12" s="11">
        <f>COUNTIF('2_Registro'!$G$9:$G$31,A12)</f>
        <v/>
      </c>
      <c r="H12" s="9">
        <f>IF(F12=G12,"OK","REVISAR")</f>
        <v/>
      </c>
      <c r="I12" s="12" t="inlineStr">
        <is>
          <t>https://drive.google.com/drive/folders/15V3HR0dtiQ2NP9aT3Bq-Cb4P-pJS2TB3</t>
        </is>
      </c>
    </row>
    <row r="13">
      <c r="A13" s="5" t="inlineStr">
        <is>
          <t>R05</t>
        </is>
      </c>
      <c r="B13" s="6" t="inlineStr">
        <is>
          <t>07_Suelos</t>
        </is>
      </c>
      <c r="C13" s="5" t="inlineStr">
        <is>
          <t>Carpeta</t>
        </is>
      </c>
      <c r="D13" s="5" t="inlineStr">
        <is>
          <t>—</t>
        </is>
      </c>
      <c r="E13" s="6" t="inlineStr">
        <is>
          <t>ANIN-DIME</t>
        </is>
      </c>
      <c r="F13" s="7" t="n">
        <v>3</v>
      </c>
      <c r="G13" s="7">
        <f>COUNTIF('2_Registro'!$G$9:$G$31,A13)</f>
        <v/>
      </c>
      <c r="H13" s="5">
        <f>IF(F13=G13,"OK","REVISAR")</f>
        <v/>
      </c>
      <c r="I13" s="8" t="inlineStr">
        <is>
          <t>https://drive.google.com/drive/folders/1vlSgiVHN3q8GlvwPUVWtuV0LzkTcI4pA</t>
        </is>
      </c>
    </row>
    <row r="14">
      <c r="A14" s="9" t="inlineStr">
        <is>
          <t>R06</t>
        </is>
      </c>
      <c r="B14" s="10" t="inlineStr">
        <is>
          <t>Levantamiento de suelos_ANIN</t>
        </is>
      </c>
      <c r="C14" s="9" t="inlineStr">
        <is>
          <t>Carpeta</t>
        </is>
      </c>
      <c r="D14" s="9" t="inlineStr">
        <is>
          <t>—</t>
        </is>
      </c>
      <c r="E14" s="10" t="inlineStr">
        <is>
          <t>Consultora (geosigingenieros)</t>
        </is>
      </c>
      <c r="F14" s="11" t="n">
        <v>1</v>
      </c>
      <c r="G14" s="11">
        <f>COUNTIF('2_Registro'!$G$9:$G$31,A14)</f>
        <v/>
      </c>
      <c r="H14" s="9">
        <f>IF(F14=G14,"OK","REVISAR")</f>
        <v/>
      </c>
      <c r="I14" s="12" t="inlineStr">
        <is>
          <t>https://drive.google.com/drive/folders/1COyqfGePNgQUa9ioCOFDW_sM5nNu7mRf</t>
        </is>
      </c>
    </row>
    <row r="15">
      <c r="A15" s="5" t="inlineStr">
        <is>
          <t>R07</t>
        </is>
      </c>
      <c r="B15" s="6" t="inlineStr">
        <is>
          <t>Plan de Trabajo IN Piura</t>
        </is>
      </c>
      <c r="C15" s="5" t="inlineStr">
        <is>
          <t>Carpeta</t>
        </is>
      </c>
      <c r="D15" s="5" t="inlineStr">
        <is>
          <t>—</t>
        </is>
      </c>
      <c r="E15" s="6" t="inlineStr">
        <is>
          <t>H. S. Cahuas M.</t>
        </is>
      </c>
      <c r="F15" s="7" t="n">
        <v>2</v>
      </c>
      <c r="G15" s="7">
        <f>COUNTIF('2_Registro'!$G$9:$G$31,A15)</f>
        <v/>
      </c>
      <c r="H15" s="5">
        <f>IF(F15=G15,"OK","REVISAR")</f>
        <v/>
      </c>
      <c r="I15" s="8" t="inlineStr">
        <is>
          <t>https://drive.google.com/drive/folders/1utg53ly3gWcqV2isJJX2DOV6oZB0oUKx</t>
        </is>
      </c>
    </row>
    <row r="16">
      <c r="A16" s="9" t="inlineStr">
        <is>
          <t>R08</t>
        </is>
      </c>
      <c r="B16" s="10" t="inlineStr">
        <is>
          <t>PLAN DE TRABAJO IN PIURA ACTUALIZADO OCTUBRE 2026</t>
        </is>
      </c>
      <c r="C16" s="9" t="inlineStr">
        <is>
          <t>Carpeta</t>
        </is>
      </c>
      <c r="D16" s="9" t="inlineStr">
        <is>
          <t>—</t>
        </is>
      </c>
      <c r="E16" s="10" t="inlineStr">
        <is>
          <t>ANIN-DIME</t>
        </is>
      </c>
      <c r="F16" s="11" t="n">
        <v>1</v>
      </c>
      <c r="G16" s="11">
        <f>COUNTIF('2_Registro'!$G$9:$G$31,A16)</f>
        <v/>
      </c>
      <c r="H16" s="9">
        <f>IF(F16=G16,"OK","REVISAR")</f>
        <v/>
      </c>
      <c r="I16" s="12" t="inlineStr">
        <is>
          <t>https://drive.google.com/drive/folders/1YmcFdOQDLSProFRzDOQtgUTIf3gBx0wL</t>
        </is>
      </c>
    </row>
    <row r="17">
      <c r="A17" s="5" t="inlineStr">
        <is>
          <t>R09</t>
        </is>
      </c>
      <c r="B17" s="6" t="inlineStr">
        <is>
          <t>E6_v2.0_sin_parcelas_ANIN_rev_hscm.pdf</t>
        </is>
      </c>
      <c r="C17" s="5" t="inlineStr">
        <is>
          <t>PDF</t>
        </is>
      </c>
      <c r="D17" s="5" t="inlineStr">
        <is>
          <t>1.2 MB</t>
        </is>
      </c>
      <c r="E17" s="6" t="inlineStr">
        <is>
          <t>H. S. Cahuas M.</t>
        </is>
      </c>
      <c r="F17" s="7" t="n">
        <v>1</v>
      </c>
      <c r="G17" s="7">
        <f>COUNTIF('2_Registro'!$G$9:$G$31,A17)</f>
        <v/>
      </c>
      <c r="H17" s="5">
        <f>IF(F17=G17,"OK","REVISAR")</f>
        <v/>
      </c>
      <c r="I17" s="8" t="inlineStr">
        <is>
          <t>https://drive.google.com/file/d/1lbr4-I5-OH8Nqd4hBccIEizEy3H-rV7V/view</t>
        </is>
      </c>
    </row>
    <row r="18">
      <c r="A18" s="9" t="inlineStr">
        <is>
          <t>R10</t>
        </is>
      </c>
      <c r="B18" s="10" t="inlineStr">
        <is>
          <t>Nota_Tecnica_Diagnostico_Ecosistema_Firma_Espectral_IN_Piura_Rev_hscm.pdf</t>
        </is>
      </c>
      <c r="C18" s="9" t="inlineStr">
        <is>
          <t>PDF</t>
        </is>
      </c>
      <c r="D18" s="9" t="inlineStr">
        <is>
          <t>0.2 MB</t>
        </is>
      </c>
      <c r="E18" s="10" t="inlineStr">
        <is>
          <t>ANIN-DIME</t>
        </is>
      </c>
      <c r="F18" s="11" t="n">
        <v>1</v>
      </c>
      <c r="G18" s="11">
        <f>COUNTIF('2_Registro'!$G$9:$G$31,A18)</f>
        <v/>
      </c>
      <c r="H18" s="9">
        <f>IF(F18=G18,"OK","REVISAR")</f>
        <v/>
      </c>
      <c r="I18" s="12" t="inlineStr">
        <is>
          <t>https://drive.google.com/file/d/1W13WM67BUajj5KRR4JC4adtubxAWo3SK/view</t>
        </is>
      </c>
    </row>
    <row r="19">
      <c r="A19" s="5" t="inlineStr">
        <is>
          <t>R11</t>
        </is>
      </c>
      <c r="B19" s="6" t="inlineStr">
        <is>
          <t>CLASIFICACION_NO_SUPERVISADA</t>
        </is>
      </c>
      <c r="C19" s="5" t="inlineStr">
        <is>
          <t>Carpeta</t>
        </is>
      </c>
      <c r="D19" s="5" t="inlineStr">
        <is>
          <t>—</t>
        </is>
      </c>
      <c r="E19" s="6" t="inlineStr">
        <is>
          <t>ANIN-DIME</t>
        </is>
      </c>
      <c r="F19" s="7" t="n">
        <v>1</v>
      </c>
      <c r="G19" s="7">
        <f>COUNTIF('2_Registro'!$G$9:$G$31,A19)</f>
        <v/>
      </c>
      <c r="H19" s="5">
        <f>IF(F19=G19,"OK","REVISAR")</f>
        <v/>
      </c>
      <c r="I19" s="8" t="inlineStr">
        <is>
          <t>https://drive.google.com/drive/folders/1ixjrVluRssbc4A67Cmx1A9syxTBSN7is</t>
        </is>
      </c>
    </row>
    <row r="20">
      <c r="A20" s="9" t="inlineStr">
        <is>
          <t>R12</t>
        </is>
      </c>
      <c r="B20" s="10" t="inlineStr">
        <is>
          <t>INFORME ENTREGABLE 6</t>
        </is>
      </c>
      <c r="C20" s="9" t="inlineStr">
        <is>
          <t>Carpeta</t>
        </is>
      </c>
      <c r="D20" s="9" t="inlineStr">
        <is>
          <t>—</t>
        </is>
      </c>
      <c r="E20" s="10" t="inlineStr">
        <is>
          <t>ANIN-DIME</t>
        </is>
      </c>
      <c r="F20" s="11" t="n">
        <v>1</v>
      </c>
      <c r="G20" s="11">
        <f>COUNTIF('2_Registro'!$G$9:$G$31,A20)</f>
        <v/>
      </c>
      <c r="H20" s="9">
        <f>IF(F20=G20,"OK","REVISAR")</f>
        <v/>
      </c>
      <c r="I20" s="12" t="inlineStr">
        <is>
          <t>https://drive.google.com/drive/folders/1icXXRKhuqHEJqQKirHDpBexieg_paXuh</t>
        </is>
      </c>
    </row>
    <row r="21">
      <c r="A21" s="5" t="inlineStr">
        <is>
          <t>R13</t>
        </is>
      </c>
      <c r="B21" s="6" t="inlineStr">
        <is>
          <t>E6_Matrices_Diagnostico_Ecosistema_IN_Piura.xlsx</t>
        </is>
      </c>
      <c r="C21" s="5" t="inlineStr">
        <is>
          <t>Excel</t>
        </is>
      </c>
      <c r="D21" s="5" t="inlineStr">
        <is>
          <t>0.6 MB</t>
        </is>
      </c>
      <c r="E21" s="6" t="inlineStr">
        <is>
          <t>H. S. Cahuas M.</t>
        </is>
      </c>
      <c r="F21" s="7" t="n">
        <v>1</v>
      </c>
      <c r="G21" s="7">
        <f>COUNTIF('2_Registro'!$G$9:$G$31,A21)</f>
        <v/>
      </c>
      <c r="H21" s="5">
        <f>IF(F21=G21,"OK","REVISAR")</f>
        <v/>
      </c>
      <c r="I21" s="8" t="inlineStr">
        <is>
          <t>https://docs.google.com/spreadsheets/d/1Uie1il6FeHI4SD8QhKXsfDof7cm4NF8J/edit</t>
        </is>
      </c>
    </row>
    <row r="22">
      <c r="A22" s="9" t="inlineStr">
        <is>
          <t>R14</t>
        </is>
      </c>
      <c r="B22" s="10" t="inlineStr">
        <is>
          <t>Fuentes semilleras de los Bosques Secos.pdf</t>
        </is>
      </c>
      <c r="C22" s="9" t="inlineStr">
        <is>
          <t>PDF</t>
        </is>
      </c>
      <c r="D22" s="9" t="inlineStr">
        <is>
          <t>2.4 MB</t>
        </is>
      </c>
      <c r="E22" s="10" t="inlineStr">
        <is>
          <t>ANIN-DIME</t>
        </is>
      </c>
      <c r="F22" s="11" t="n">
        <v>1</v>
      </c>
      <c r="G22" s="11">
        <f>COUNTIF('2_Registro'!$G$9:$G$31,A22)</f>
        <v/>
      </c>
      <c r="H22" s="9">
        <f>IF(F22=G22,"OK","REVISAR")</f>
        <v/>
      </c>
      <c r="I22" s="12" t="inlineStr">
        <is>
          <t>https://drive.google.com/file/d/1zLUHbUpe8VJ7mrkdS6-JhR8gG-A525Th/view</t>
        </is>
      </c>
    </row>
    <row r="23">
      <c r="A23" s="5" t="inlineStr">
        <is>
          <t>R15</t>
        </is>
      </c>
      <c r="B23" s="6" t="inlineStr">
        <is>
          <t>Anexo 4 – Matrices de Seguimiento del Segundo Entregable</t>
        </is>
      </c>
      <c r="C23" s="5" t="inlineStr">
        <is>
          <t>Excel</t>
        </is>
      </c>
      <c r="D23" s="5" t="inlineStr">
        <is>
          <t>0.05 MB</t>
        </is>
      </c>
      <c r="E23" s="6" t="inlineStr">
        <is>
          <t>H. S. Cahuas M.</t>
        </is>
      </c>
      <c r="F23" s="7" t="n">
        <v>1</v>
      </c>
      <c r="G23" s="7">
        <f>COUNTIF('2_Registro'!$G$9:$G$31,A23)</f>
        <v/>
      </c>
      <c r="H23" s="5">
        <f>IF(F23=G23,"OK","REVISAR")</f>
        <v/>
      </c>
      <c r="I23" s="8" t="inlineStr">
        <is>
          <t>https://docs.google.com/spreadsheets/d/1zLVVHr8wqBjJu5INkBvoNUdrhM08WUKT/edit</t>
        </is>
      </c>
    </row>
    <row r="24">
      <c r="A24" s="13" t="inlineStr">
        <is>
          <t>TOTAL</t>
        </is>
      </c>
      <c r="B24" s="13" t="n"/>
      <c r="C24" s="13" t="n"/>
      <c r="D24" s="13" t="n"/>
      <c r="E24" s="13" t="n"/>
      <c r="F24" s="14">
        <f>SUM(F9:F23)</f>
        <v/>
      </c>
      <c r="G24" s="14">
        <f>SUM(G9:G23)</f>
        <v/>
      </c>
      <c r="H24" s="13" t="n"/>
      <c r="I24" s="13" t="n"/>
    </row>
  </sheetData>
  <autoFilter ref="A8:I23"/>
  <mergeCells count="6">
    <mergeCell ref="A2:I2"/>
    <mergeCell ref="A5:I5"/>
    <mergeCell ref="A1:I1"/>
    <mergeCell ref="A3:I3"/>
    <mergeCell ref="A6:I6"/>
    <mergeCell ref="A4:I4"/>
  </mergeCells>
  <hyperlinks>
    <hyperlink xmlns:r="http://schemas.openxmlformats.org/officeDocument/2006/relationships" ref="I9" r:id="rId1"/>
    <hyperlink xmlns:r="http://schemas.openxmlformats.org/officeDocument/2006/relationships" ref="I10" r:id="rId2"/>
    <hyperlink xmlns:r="http://schemas.openxmlformats.org/officeDocument/2006/relationships" ref="I11" r:id="rId3"/>
    <hyperlink xmlns:r="http://schemas.openxmlformats.org/officeDocument/2006/relationships" ref="I12" r:id="rId4"/>
    <hyperlink xmlns:r="http://schemas.openxmlformats.org/officeDocument/2006/relationships" ref="I13" r:id="rId5"/>
    <hyperlink xmlns:r="http://schemas.openxmlformats.org/officeDocument/2006/relationships" ref="I14" r:id="rId6"/>
    <hyperlink xmlns:r="http://schemas.openxmlformats.org/officeDocument/2006/relationships" ref="I15" r:id="rId7"/>
    <hyperlink xmlns:r="http://schemas.openxmlformats.org/officeDocument/2006/relationships" ref="I16" r:id="rId8"/>
    <hyperlink xmlns:r="http://schemas.openxmlformats.org/officeDocument/2006/relationships" ref="I17" r:id="rId9"/>
    <hyperlink xmlns:r="http://schemas.openxmlformats.org/officeDocument/2006/relationships" ref="I18" r:id="rId10"/>
    <hyperlink xmlns:r="http://schemas.openxmlformats.org/officeDocument/2006/relationships" ref="I19" r:id="rId11"/>
    <hyperlink xmlns:r="http://schemas.openxmlformats.org/officeDocument/2006/relationships" ref="I20" r:id="rId12"/>
    <hyperlink xmlns:r="http://schemas.openxmlformats.org/officeDocument/2006/relationships" ref="I21" r:id="rId13"/>
    <hyperlink xmlns:r="http://schemas.openxmlformats.org/officeDocument/2006/relationships" ref="I22" r:id="rId14"/>
    <hyperlink xmlns:r="http://schemas.openxmlformats.org/officeDocument/2006/relationships" ref="I23" r:id="rId15"/>
  </hyperlinks>
  <pageMargins left="0.75" right="0.75" top="1" bottom="1" header="0.5" footer="0.5"/>
  <pageSetup orientation="landscape" paperSize="9" fitToHeight="0" fitToWidth="1"/>
  <headerFooter>
    <oddHeader/>
    <oddFooter>&amp;CRegistro de medios verificadores del Segundo Entregable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60" customWidth="1" min="3" max="3"/>
    <col width="18" customWidth="1" min="4" max="4"/>
    <col width="16" customWidth="1" min="5" max="5"/>
    <col width="14" customWidth="1" min="6" max="6"/>
    <col width="10" customWidth="1" min="7" max="7"/>
    <col width="62" customWidth="1" min="8" max="8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2. REGISTRO DE MEDIOS VERIFICADORES POR ACTIVIDAD — SEGUNDO ENTREGABLE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Medios_Verificadores_E2_IN_Piura_y_Anexo_4.pdf (ANIN-DIME-SESDI), actualizado al 26/10/2026 · Elaboración propia</t>
        </is>
      </c>
    </row>
    <row r="8" ht="30" customHeight="1">
      <c r="A8" s="4" t="inlineStr">
        <is>
          <t>N.°</t>
        </is>
      </c>
      <c r="B8" s="4" t="inlineStr">
        <is>
          <t>Actividad</t>
        </is>
      </c>
      <c r="C8" s="4" t="inlineStr">
        <is>
          <t>Medio verificador</t>
        </is>
      </c>
      <c r="D8" s="4" t="inlineStr">
        <is>
          <t>Repositorio</t>
        </is>
      </c>
      <c r="E8" s="4" t="inlineStr">
        <is>
          <t>Fecha (según fuente)</t>
        </is>
      </c>
      <c r="F8" s="4" t="inlineStr">
        <is>
          <t>Fecha final (dd/mm/aaaa)</t>
        </is>
      </c>
      <c r="G8" s="4" t="inlineStr">
        <is>
          <t>Cód. ubicación</t>
        </is>
      </c>
      <c r="H8" s="4" t="inlineStr">
        <is>
          <t>Ubicación (clic para abrir)</t>
        </is>
      </c>
    </row>
    <row r="9">
      <c r="A9" s="5" t="n">
        <v>1</v>
      </c>
      <c r="B9" s="5" t="inlineStr">
        <is>
          <t>b)</t>
        </is>
      </c>
      <c r="C9" s="6" t="inlineStr">
        <is>
          <t>Diagnóstico Huancabamba Versión 5</t>
        </is>
      </c>
      <c r="D9" s="6" t="inlineStr">
        <is>
          <t>Artefacto</t>
        </is>
      </c>
      <c r="E9" s="5" t="inlineStr">
        <is>
          <t>17/10/2026</t>
        </is>
      </c>
      <c r="F9" s="15" t="n">
        <v>46312</v>
      </c>
      <c r="G9" s="5" t="inlineStr">
        <is>
          <t>R01</t>
        </is>
      </c>
      <c r="H9" s="8" t="inlineStr">
        <is>
          <t>R01 · Diagnostico Territorial y Social IN Piura V5</t>
        </is>
      </c>
    </row>
    <row r="10">
      <c r="A10" s="9" t="n">
        <v>2</v>
      </c>
      <c r="B10" s="9" t="inlineStr">
        <is>
          <t>b)</t>
        </is>
      </c>
      <c r="C10" s="10" t="inlineStr">
        <is>
          <t>Diagnóstico Morropón Versión 5</t>
        </is>
      </c>
      <c r="D10" s="10" t="inlineStr">
        <is>
          <t>Artefacto</t>
        </is>
      </c>
      <c r="E10" s="9" t="inlineStr">
        <is>
          <t>17/10/2026</t>
        </is>
      </c>
      <c r="F10" s="16" t="n">
        <v>46312</v>
      </c>
      <c r="G10" s="9" t="inlineStr">
        <is>
          <t>R01</t>
        </is>
      </c>
      <c r="H10" s="12" t="inlineStr">
        <is>
          <t>R01 · Diagnostico Territorial y Social IN Piura V5</t>
        </is>
      </c>
    </row>
    <row r="11">
      <c r="A11" s="5" t="n">
        <v>3</v>
      </c>
      <c r="B11" s="5" t="inlineStr">
        <is>
          <t>b)</t>
        </is>
      </c>
      <c r="C11" s="6" t="inlineStr">
        <is>
          <t>Diagnóstico Ayabaca Versión 5 (contraste)</t>
        </is>
      </c>
      <c r="D11" s="6" t="inlineStr">
        <is>
          <t>Artefacto</t>
        </is>
      </c>
      <c r="E11" s="5" t="inlineStr">
        <is>
          <t>17/10/2026</t>
        </is>
      </c>
      <c r="F11" s="15" t="n">
        <v>46312</v>
      </c>
      <c r="G11" s="5" t="inlineStr">
        <is>
          <t>R01</t>
        </is>
      </c>
      <c r="H11" s="8" t="inlineStr">
        <is>
          <t>R01 · Diagnostico Territorial y Social IN Piura V5</t>
        </is>
      </c>
    </row>
    <row r="12">
      <c r="A12" s="9" t="n">
        <v>4</v>
      </c>
      <c r="B12" s="9" t="inlineStr">
        <is>
          <t>b)</t>
        </is>
      </c>
      <c r="C12" s="10" t="inlineStr">
        <is>
          <t>Índice de mapas de situación predial V6 v2</t>
        </is>
      </c>
      <c r="D12" s="10" t="inlineStr">
        <is>
          <t>Google Drive</t>
        </is>
      </c>
      <c r="E12" s="9" t="inlineStr">
        <is>
          <t>11/10/2026</t>
        </is>
      </c>
      <c r="F12" s="16" t="n">
        <v>46306</v>
      </c>
      <c r="G12" s="9" t="inlineStr">
        <is>
          <t>R02</t>
        </is>
      </c>
      <c r="H12" s="12" t="inlineStr">
        <is>
          <t>R02 · TAMIZAJE PREDIAL</t>
        </is>
      </c>
    </row>
    <row r="13">
      <c r="A13" s="5" t="n">
        <v>5</v>
      </c>
      <c r="B13" s="5" t="inlineStr">
        <is>
          <t>b)</t>
        </is>
      </c>
      <c r="C13" s="6" t="inlineStr">
        <is>
          <t>Informe E2 Vol. I Morropón (B1)</t>
        </is>
      </c>
      <c r="D13" s="6" t="inlineStr">
        <is>
          <t>Google Drive</t>
        </is>
      </c>
      <c r="E13" s="5" t="inlineStr">
        <is>
          <t>10/10/2026</t>
        </is>
      </c>
      <c r="F13" s="15" t="n">
        <v>46305</v>
      </c>
      <c r="G13" s="5" t="inlineStr">
        <is>
          <t>R03</t>
        </is>
      </c>
      <c r="H13" s="8" t="inlineStr">
        <is>
          <t>R03 · INFORMES DE DIAGNOSTICO SOCIAL</t>
        </is>
      </c>
    </row>
    <row r="14">
      <c r="A14" s="9" t="n">
        <v>6</v>
      </c>
      <c r="B14" s="9" t="inlineStr">
        <is>
          <t>b)</t>
        </is>
      </c>
      <c r="C14" s="10" t="inlineStr">
        <is>
          <t>Informe E2 Vol. II Huancabamba (B1)</t>
        </is>
      </c>
      <c r="D14" s="10" t="inlineStr">
        <is>
          <t>Google Drive</t>
        </is>
      </c>
      <c r="E14" s="9" t="inlineStr">
        <is>
          <t>10/10/2026</t>
        </is>
      </c>
      <c r="F14" s="16" t="n">
        <v>46305</v>
      </c>
      <c r="G14" s="9" t="inlineStr">
        <is>
          <t>R03</t>
        </is>
      </c>
      <c r="H14" s="12" t="inlineStr">
        <is>
          <t>R03 · INFORMES DE DIAGNOSTICO SOCIAL</t>
        </is>
      </c>
    </row>
    <row r="15">
      <c r="A15" s="5" t="n">
        <v>7</v>
      </c>
      <c r="B15" s="5" t="inlineStr">
        <is>
          <t>b)</t>
        </is>
      </c>
      <c r="C15" s="6" t="inlineStr">
        <is>
          <t>Matrices del Diagnóstico Social E2 (B1)</t>
        </is>
      </c>
      <c r="D15" s="6" t="inlineStr">
        <is>
          <t>Google Drive</t>
        </is>
      </c>
      <c r="E15" s="5" t="inlineStr">
        <is>
          <t>10/10/2026</t>
        </is>
      </c>
      <c r="F15" s="15" t="n">
        <v>46305</v>
      </c>
      <c r="G15" s="5" t="inlineStr">
        <is>
          <t>R03</t>
        </is>
      </c>
      <c r="H15" s="8" t="inlineStr">
        <is>
          <t>R03 · INFORMES DE DIAGNOSTICO SOCIAL</t>
        </is>
      </c>
    </row>
    <row r="16">
      <c r="A16" s="9" t="n">
        <v>8</v>
      </c>
      <c r="B16" s="9" t="inlineStr">
        <is>
          <t>b)</t>
        </is>
      </c>
      <c r="C16" s="10" t="inlineStr">
        <is>
          <t>Mapas y Excel de bloques V6 (ecosistemas, área de influencia)</t>
        </is>
      </c>
      <c r="D16" s="10" t="inlineStr">
        <is>
          <t>Repositorio IN Piura</t>
        </is>
      </c>
      <c r="E16" s="9" t="inlineStr">
        <is>
          <t>04–05/10/2026</t>
        </is>
      </c>
      <c r="F16" s="16" t="n">
        <v>46300</v>
      </c>
      <c r="G16" s="9" t="inlineStr">
        <is>
          <t>R04</t>
        </is>
      </c>
      <c r="H16" s="12" t="inlineStr">
        <is>
          <t>R04 · 04_MAPAS (en INFORME ENTREGABLE 6)</t>
        </is>
      </c>
    </row>
    <row r="17">
      <c r="A17" s="5" t="n">
        <v>9</v>
      </c>
      <c r="B17" s="5" t="inlineStr">
        <is>
          <t>b)</t>
        </is>
      </c>
      <c r="C17" s="6" t="inlineStr">
        <is>
          <t>Módulo de liberación de áreas y catálogo V6 (Tamizaje Predial)</t>
        </is>
      </c>
      <c r="D17" s="6" t="inlineStr">
        <is>
          <t>Repositorio IN Piura</t>
        </is>
      </c>
      <c r="E17" s="5" t="inlineStr">
        <is>
          <t>27/09–06/10/2026</t>
        </is>
      </c>
      <c r="F17" s="15" t="n">
        <v>46301</v>
      </c>
      <c r="G17" s="5" t="inlineStr">
        <is>
          <t>R02</t>
        </is>
      </c>
      <c r="H17" s="8" t="inlineStr">
        <is>
          <t>R02 · TAMIZAJE PREDIAL</t>
        </is>
      </c>
    </row>
    <row r="18">
      <c r="A18" s="9" t="n">
        <v>10</v>
      </c>
      <c r="B18" s="9" t="inlineStr">
        <is>
          <t>c)</t>
        </is>
      </c>
      <c r="C18" s="10" t="inlineStr">
        <is>
          <t>Informe de Avance – Fase de Campo (PDF) del Estudio de Suelos</t>
        </is>
      </c>
      <c r="D18" s="10" t="inlineStr">
        <is>
          <t>Google Drive</t>
        </is>
      </c>
      <c r="E18" s="9" t="inlineStr">
        <is>
          <t>27/09/2026</t>
        </is>
      </c>
      <c r="F18" s="16" t="n">
        <v>46292</v>
      </c>
      <c r="G18" s="9" t="inlineStr">
        <is>
          <t>R05</t>
        </is>
      </c>
      <c r="H18" s="12" t="inlineStr">
        <is>
          <t>R05 · 07_Suelos</t>
        </is>
      </c>
    </row>
    <row r="19">
      <c r="A19" s="5" t="n">
        <v>11</v>
      </c>
      <c r="B19" s="5" t="inlineStr">
        <is>
          <t>c)</t>
        </is>
      </c>
      <c r="C19" s="6" t="inlineStr">
        <is>
          <t>Informe de Avance – Fase de Campo (Word)</t>
        </is>
      </c>
      <c r="D19" s="6" t="inlineStr">
        <is>
          <t>Google Drive</t>
        </is>
      </c>
      <c r="E19" s="5" t="inlineStr">
        <is>
          <t>27/09/2026</t>
        </is>
      </c>
      <c r="F19" s="15" t="n">
        <v>46292</v>
      </c>
      <c r="G19" s="5" t="inlineStr">
        <is>
          <t>R05</t>
        </is>
      </c>
      <c r="H19" s="8" t="inlineStr">
        <is>
          <t>R05 · 07_Suelos</t>
        </is>
      </c>
    </row>
    <row r="20">
      <c r="A20" s="9" t="n">
        <v>12</v>
      </c>
      <c r="B20" s="9" t="inlineStr">
        <is>
          <t>c)</t>
        </is>
      </c>
      <c r="C20" s="10" t="inlineStr">
        <is>
          <t>Carpeta «Levantamiento de suelos_ANIN» (consultora)</t>
        </is>
      </c>
      <c r="D20" s="10" t="inlineStr">
        <is>
          <t>Google Drive</t>
        </is>
      </c>
      <c r="E20" s="9" t="inlineStr">
        <is>
          <t>10/09/2026</t>
        </is>
      </c>
      <c r="F20" s="16" t="n">
        <v>46275</v>
      </c>
      <c r="G20" s="9" t="inlineStr">
        <is>
          <t>R06</t>
        </is>
      </c>
      <c r="H20" s="12" t="inlineStr">
        <is>
          <t>R06 · Levantamiento de suelos_ANIN</t>
        </is>
      </c>
    </row>
    <row r="21">
      <c r="A21" s="5" t="n">
        <v>13</v>
      </c>
      <c r="B21" s="5" t="inlineStr">
        <is>
          <t>c)</t>
        </is>
      </c>
      <c r="C21" s="6" t="inlineStr">
        <is>
          <t>TdR del Estudio de Suelos</t>
        </is>
      </c>
      <c r="D21" s="6" t="inlineStr">
        <is>
          <t>Google Drive</t>
        </is>
      </c>
      <c r="E21" s="5" t="inlineStr">
        <is>
          <t>27/09/2026</t>
        </is>
      </c>
      <c r="F21" s="15" t="n">
        <v>46292</v>
      </c>
      <c r="G21" s="5" t="inlineStr">
        <is>
          <t>R05</t>
        </is>
      </c>
      <c r="H21" s="8" t="inlineStr">
        <is>
          <t>R05 · 07_Suelos</t>
        </is>
      </c>
    </row>
    <row r="22">
      <c r="A22" s="9" t="n">
        <v>14</v>
      </c>
      <c r="B22" s="9" t="inlineStr">
        <is>
          <t>c), d)</t>
        </is>
      </c>
      <c r="C22" s="10" t="inlineStr">
        <is>
          <t>Tablero de avance del Perfil al 03/10/2026</t>
        </is>
      </c>
      <c r="D22" s="10" t="inlineStr">
        <is>
          <t>Google Drive</t>
        </is>
      </c>
      <c r="E22" s="9" t="inlineStr">
        <is>
          <t>03/10/2026</t>
        </is>
      </c>
      <c r="F22" s="16" t="n">
        <v>46298</v>
      </c>
      <c r="G22" s="9" t="inlineStr">
        <is>
          <t>R07</t>
        </is>
      </c>
      <c r="H22" s="12" t="inlineStr">
        <is>
          <t>R07 · Plan de Trabajo IN Piura</t>
        </is>
      </c>
    </row>
    <row r="23">
      <c r="A23" s="5" t="n">
        <v>15</v>
      </c>
      <c r="B23" s="5" t="inlineStr">
        <is>
          <t>c), d)</t>
        </is>
      </c>
      <c r="C23" s="6" t="inlineStr">
        <is>
          <t>Plan de Trabajo Detallado, Actualización N° 01, Versión 2 (documento rector del E6 por firma espectral)</t>
        </is>
      </c>
      <c r="D23" s="6" t="inlineStr">
        <is>
          <t>Google Drive</t>
        </is>
      </c>
      <c r="E23" s="5" t="inlineStr">
        <is>
          <t>16–17/10/2026</t>
        </is>
      </c>
      <c r="F23" s="15" t="n">
        <v>46312</v>
      </c>
      <c r="G23" s="5" t="inlineStr">
        <is>
          <t>R07</t>
        </is>
      </c>
      <c r="H23" s="8" t="inlineStr">
        <is>
          <t>R07 · Plan de Trabajo IN Piura</t>
        </is>
      </c>
    </row>
    <row r="24">
      <c r="A24" s="9" t="n">
        <v>16</v>
      </c>
      <c r="B24" s="9" t="inlineStr">
        <is>
          <t>c), d)</t>
        </is>
      </c>
      <c r="C24" s="10" t="inlineStr">
        <is>
          <t>Matrices del Plan de Trabajo (presupuesto ajustado; hoja «E6_Firma_Espectral»)</t>
        </is>
      </c>
      <c r="D24" s="10" t="inlineStr">
        <is>
          <t>Google Drive</t>
        </is>
      </c>
      <c r="E24" s="9" t="inlineStr">
        <is>
          <t>16/10/2026</t>
        </is>
      </c>
      <c r="F24" s="16" t="n">
        <v>46311</v>
      </c>
      <c r="G24" s="9" t="inlineStr">
        <is>
          <t>R08</t>
        </is>
      </c>
      <c r="H24" s="12" t="inlineStr">
        <is>
          <t>R08 · PLAN DE TRABAJO IN PIURA ACTUALIZADO OCTUBRE 2026</t>
        </is>
      </c>
    </row>
    <row r="25">
      <c r="A25" s="5" t="n">
        <v>17</v>
      </c>
      <c r="B25" s="5" t="inlineStr">
        <is>
          <t>d)</t>
        </is>
      </c>
      <c r="C25" s="6" t="inlineStr">
        <is>
          <t>E6 v2.0 «In house» (revisión hscm, PDF)</t>
        </is>
      </c>
      <c r="D25" s="6" t="inlineStr">
        <is>
          <t>Google Drive</t>
        </is>
      </c>
      <c r="E25" s="5" t="inlineStr">
        <is>
          <t>08/10/2026</t>
        </is>
      </c>
      <c r="F25" s="15" t="n">
        <v>46303</v>
      </c>
      <c r="G25" s="5" t="inlineStr">
        <is>
          <t>R09</t>
        </is>
      </c>
      <c r="H25" s="8" t="inlineStr">
        <is>
          <t>R09 · E6_v2.0_sin_parcelas_ANIN_rev_hscm.pdf</t>
        </is>
      </c>
    </row>
    <row r="26">
      <c r="A26" s="9" t="n">
        <v>18</v>
      </c>
      <c r="B26" s="9" t="inlineStr">
        <is>
          <t>d)</t>
        </is>
      </c>
      <c r="C26" s="10" t="inlineStr">
        <is>
          <t>Nota Técnica N° 002-2026 (revisada, Word / PDF)</t>
        </is>
      </c>
      <c r="D26" s="10" t="inlineStr">
        <is>
          <t>Google Drive</t>
        </is>
      </c>
      <c r="E26" s="9" t="inlineStr">
        <is>
          <t>14/10/2026</t>
        </is>
      </c>
      <c r="F26" s="16" t="n">
        <v>46309</v>
      </c>
      <c r="G26" s="9" t="inlineStr">
        <is>
          <t>R10</t>
        </is>
      </c>
      <c r="H26" s="12" t="inlineStr">
        <is>
          <t>R10 · Nota_Tecnica_Diagnostico_Ecosistema_Firma_Espectral_IN_Piura_Rev_hscm.pdf</t>
        </is>
      </c>
    </row>
    <row r="27">
      <c r="A27" s="5" t="n">
        <v>19</v>
      </c>
      <c r="B27" s="5" t="inlineStr">
        <is>
          <t>d)</t>
        </is>
      </c>
      <c r="C27" s="6" t="inlineStr">
        <is>
          <t>Clasificación no supervisada de tomas S2DR4 (resultados y LEEME)</t>
        </is>
      </c>
      <c r="D27" s="6" t="inlineStr">
        <is>
          <t>Google Drive</t>
        </is>
      </c>
      <c r="E27" s="5" t="inlineStr">
        <is>
          <t>13–14/10/2026</t>
        </is>
      </c>
      <c r="F27" s="15" t="n">
        <v>46309</v>
      </c>
      <c r="G27" s="5" t="inlineStr">
        <is>
          <t>R11</t>
        </is>
      </c>
      <c r="H27" s="8" t="inlineStr">
        <is>
          <t>R11 · CLASIFICACION_NO_SUPERVISADA</t>
        </is>
      </c>
    </row>
    <row r="28">
      <c r="A28" s="9" t="n">
        <v>20</v>
      </c>
      <c r="B28" s="9" t="inlineStr">
        <is>
          <t>d)</t>
        </is>
      </c>
      <c r="C28" s="10" t="inlineStr">
        <is>
          <t>Informe E6 – versión para revisión de SESDI</t>
        </is>
      </c>
      <c r="D28" s="10" t="inlineStr">
        <is>
          <t>Google Drive</t>
        </is>
      </c>
      <c r="E28" s="9" t="inlineStr">
        <is>
          <t>15/10/2026</t>
        </is>
      </c>
      <c r="F28" s="16" t="n">
        <v>46310</v>
      </c>
      <c r="G28" s="9" t="inlineStr">
        <is>
          <t>R12</t>
        </is>
      </c>
      <c r="H28" s="12" t="inlineStr">
        <is>
          <t>R12 · INFORME ENTREGABLE 6</t>
        </is>
      </c>
    </row>
    <row r="29">
      <c r="A29" s="5" t="n">
        <v>21</v>
      </c>
      <c r="B29" s="5" t="inlineStr">
        <is>
          <t>d)</t>
        </is>
      </c>
      <c r="C29" s="6" t="inlineStr">
        <is>
          <t>Matrices del diagnóstico del ecosistema (E6)</t>
        </is>
      </c>
      <c r="D29" s="6" t="inlineStr">
        <is>
          <t>Google Drive</t>
        </is>
      </c>
      <c r="E29" s="5" t="inlineStr">
        <is>
          <t>15/10/2026</t>
        </is>
      </c>
      <c r="F29" s="15" t="n">
        <v>46310</v>
      </c>
      <c r="G29" s="5" t="inlineStr">
        <is>
          <t>R13</t>
        </is>
      </c>
      <c r="H29" s="8" t="inlineStr">
        <is>
          <t>R13 · E6_Matrices_Diagnostico_Ecosistema_IN_Piura.xlsx</t>
        </is>
      </c>
    </row>
    <row r="30">
      <c r="A30" s="9" t="n">
        <v>22</v>
      </c>
      <c r="B30" s="9" t="inlineStr">
        <is>
          <t>d)</t>
        </is>
      </c>
      <c r="C30" s="10" t="inlineStr">
        <is>
          <t>Fuentes semilleras de los Bosques Secos (referencia)</t>
        </is>
      </c>
      <c r="D30" s="10" t="inlineStr">
        <is>
          <t>Google Drive</t>
        </is>
      </c>
      <c r="E30" s="9" t="inlineStr">
        <is>
          <t>—</t>
        </is>
      </c>
      <c r="F30" s="16" t="n"/>
      <c r="G30" s="9" t="inlineStr">
        <is>
          <t>R14</t>
        </is>
      </c>
      <c r="H30" s="12" t="inlineStr">
        <is>
          <t>R14 · Fuentes semilleras de los Bosques Secos.pdf</t>
        </is>
      </c>
    </row>
    <row r="31">
      <c r="A31" s="5" t="n">
        <v>23</v>
      </c>
      <c r="B31" s="5" t="inlineStr">
        <is>
          <t>b), c), d)</t>
        </is>
      </c>
      <c r="C31" s="6" t="inlineStr">
        <is>
          <t>Anexo 4 – Matrices de seguimiento del Segundo Entregable (OS N° 4062-2026 · Informe N° 008-2026-HSCM)</t>
        </is>
      </c>
      <c r="D31" s="6" t="inlineStr">
        <is>
          <t>Google Drive</t>
        </is>
      </c>
      <c r="E31" s="5" t="inlineStr">
        <is>
          <t>26/10/2026</t>
        </is>
      </c>
      <c r="F31" s="15" t="n">
        <v>46321</v>
      </c>
      <c r="G31" s="5" t="inlineStr">
        <is>
          <t>R15</t>
        </is>
      </c>
      <c r="H31" s="8" t="inlineStr">
        <is>
          <t>R15 · Anexo 4 – Matrices de Seguimiento del Segundo Entregable</t>
        </is>
      </c>
    </row>
    <row r="32">
      <c r="A32" s="13" t="inlineStr">
        <is>
          <t>TOTAL</t>
        </is>
      </c>
      <c r="B32" s="13">
        <f>COUNTA(C9:C31)</f>
        <v/>
      </c>
      <c r="C32" s="13" t="inlineStr">
        <is>
          <t>medios verificadores</t>
        </is>
      </c>
      <c r="D32" s="13" t="n"/>
      <c r="E32" s="13" t="n"/>
      <c r="F32" s="13" t="n"/>
      <c r="G32" s="13" t="n"/>
      <c r="H32" s="13" t="n"/>
    </row>
  </sheetData>
  <autoFilter ref="A8:H31"/>
  <mergeCells count="6">
    <mergeCell ref="A1:H1"/>
    <mergeCell ref="A4:H4"/>
    <mergeCell ref="A3:H3"/>
    <mergeCell ref="A2:H2"/>
    <mergeCell ref="A5:H5"/>
    <mergeCell ref="A6:H6"/>
  </mergeCells>
  <hyperlinks>
    <hyperlink xmlns:r="http://schemas.openxmlformats.org/officeDocument/2006/relationships" ref="H9" r:id="rId1"/>
    <hyperlink xmlns:r="http://schemas.openxmlformats.org/officeDocument/2006/relationships" ref="H10" r:id="rId2"/>
    <hyperlink xmlns:r="http://schemas.openxmlformats.org/officeDocument/2006/relationships" ref="H11" r:id="rId3"/>
    <hyperlink xmlns:r="http://schemas.openxmlformats.org/officeDocument/2006/relationships" ref="H12" r:id="rId4"/>
    <hyperlink xmlns:r="http://schemas.openxmlformats.org/officeDocument/2006/relationships" ref="H13" r:id="rId5"/>
    <hyperlink xmlns:r="http://schemas.openxmlformats.org/officeDocument/2006/relationships" ref="H14" r:id="rId6"/>
    <hyperlink xmlns:r="http://schemas.openxmlformats.org/officeDocument/2006/relationships" ref="H15" r:id="rId7"/>
    <hyperlink xmlns:r="http://schemas.openxmlformats.org/officeDocument/2006/relationships" ref="H16" r:id="rId8"/>
    <hyperlink xmlns:r="http://schemas.openxmlformats.org/officeDocument/2006/relationships" ref="H17" r:id="rId9"/>
    <hyperlink xmlns:r="http://schemas.openxmlformats.org/officeDocument/2006/relationships" ref="H18" r:id="rId10"/>
    <hyperlink xmlns:r="http://schemas.openxmlformats.org/officeDocument/2006/relationships" ref="H19" r:id="rId11"/>
    <hyperlink xmlns:r="http://schemas.openxmlformats.org/officeDocument/2006/relationships" ref="H20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6" r:id="rId18"/>
    <hyperlink xmlns:r="http://schemas.openxmlformats.org/officeDocument/2006/relationships" ref="H27" r:id="rId19"/>
    <hyperlink xmlns:r="http://schemas.openxmlformats.org/officeDocument/2006/relationships" ref="H28" r:id="rId20"/>
    <hyperlink xmlns:r="http://schemas.openxmlformats.org/officeDocument/2006/relationships" ref="H29" r:id="rId21"/>
    <hyperlink xmlns:r="http://schemas.openxmlformats.org/officeDocument/2006/relationships" ref="H30" r:id="rId22"/>
    <hyperlink xmlns:r="http://schemas.openxmlformats.org/officeDocument/2006/relationships" ref="H31" r:id="rId23"/>
  </hyperlinks>
  <pageMargins left="0.75" right="0.75" top="1" bottom="1" header="0.5" footer="0.5"/>
  <pageSetup orientation="landscape" paperSize="9" fitToHeight="0" fitToWidth="1"/>
  <headerFooter>
    <oddHeader/>
    <oddFooter>&amp;CRegistro de medios verificadores del Segundo Entregable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3. RESUMEN DE MEDIOS VERIFICADORES POR ACTIVIDAD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Medios_Verificadores_E2_IN_Piura_y_Anexo_4.pdf (ANIN-DIME-SESDI), actualizado al 26/10/2026 · Elaboración propia</t>
        </is>
      </c>
    </row>
    <row r="8" ht="30" customHeight="1">
      <c r="A8" s="4" t="inlineStr">
        <is>
          <t>Actividad</t>
        </is>
      </c>
      <c r="B8" s="4" t="inlineStr">
        <is>
          <t>N.° medios verificadores vinculados</t>
        </is>
      </c>
    </row>
    <row r="9">
      <c r="A9" s="5" t="inlineStr">
        <is>
          <t>b)</t>
        </is>
      </c>
      <c r="B9" s="5">
        <f>COUNTIF('2_Registro'!$B$9:$B$31,"*b)*")</f>
        <v/>
      </c>
    </row>
    <row r="10">
      <c r="A10" s="9" t="inlineStr">
        <is>
          <t>c)</t>
        </is>
      </c>
      <c r="B10" s="9">
        <f>COUNTIF('2_Registro'!$B$9:$B$31,"*c)*")</f>
        <v/>
      </c>
    </row>
    <row r="11">
      <c r="A11" s="5" t="inlineStr">
        <is>
          <t>d)</t>
        </is>
      </c>
      <c r="B11" s="5">
        <f>COUNTIF('2_Registro'!$B$9:$B$31,"*d)*")</f>
        <v/>
      </c>
    </row>
    <row r="12">
      <c r="A12" s="17" t="inlineStr">
        <is>
          <t>Un medio puede respaldar más de una actividad, por lo que la suma por actividad es mayor que el total de medios.</t>
        </is>
      </c>
    </row>
    <row r="14" ht="30" customHeight="1">
      <c r="A14" s="4" t="inlineStr">
        <is>
          <t>Repositorio</t>
        </is>
      </c>
      <c r="B14" s="4" t="inlineStr">
        <is>
          <t>N.° medios verificadores</t>
        </is>
      </c>
    </row>
    <row r="15">
      <c r="A15" s="6" t="inlineStr">
        <is>
          <t>Google Drive</t>
        </is>
      </c>
      <c r="B15" s="5">
        <f>COUNTIF('2_Registro'!$D$9:$D$31,A15)</f>
        <v/>
      </c>
    </row>
    <row r="16">
      <c r="A16" s="10" t="inlineStr">
        <is>
          <t>Artefacto</t>
        </is>
      </c>
      <c r="B16" s="9">
        <f>COUNTIF('2_Registro'!$D$9:$D$31,A16)</f>
        <v/>
      </c>
    </row>
    <row r="17">
      <c r="A17" s="6" t="inlineStr">
        <is>
          <t>Repositorio IN Piura</t>
        </is>
      </c>
      <c r="B17" s="5">
        <f>COUNTIF('2_Registro'!$D$9:$D$31,A17)</f>
        <v/>
      </c>
    </row>
    <row r="18">
      <c r="A18" s="13" t="inlineStr">
        <is>
          <t>TOTAL</t>
        </is>
      </c>
      <c r="B18" s="13">
        <f>SUM(B15:B17)</f>
        <v/>
      </c>
    </row>
    <row r="20">
      <c r="A20" s="18" t="inlineStr">
        <is>
          <t>Medios verificadores en el registro</t>
        </is>
      </c>
      <c r="B20" s="19">
        <f>COUNTA('2_Registro'!C9:C31)</f>
        <v/>
      </c>
    </row>
    <row r="21">
      <c r="A21" s="18" t="inlineStr">
        <is>
          <t>Ubicaciones en Google Drive</t>
        </is>
      </c>
      <c r="B21" s="19">
        <f>COUNTA('1_Ubicaciones'!A9:A23)</f>
        <v/>
      </c>
    </row>
    <row r="22">
      <c r="A22" s="18" t="inlineStr">
        <is>
          <t>Medios declarados en ubicaciones</t>
        </is>
      </c>
      <c r="B22" s="19">
        <f>SUM('1_Ubicaciones'!F9:F23)</f>
        <v/>
      </c>
    </row>
    <row r="23">
      <c r="A23" s="18" t="inlineStr">
        <is>
          <t>Ubicaciones con control 'REVISAR'</t>
        </is>
      </c>
      <c r="B23" s="19">
        <f>COUNTIF('1_Ubicaciones'!H9:H23,"REVISAR")</f>
        <v/>
      </c>
    </row>
  </sheetData>
  <mergeCells count="6">
    <mergeCell ref="A1:D1"/>
    <mergeCell ref="A5:D5"/>
    <mergeCell ref="A6:D6"/>
    <mergeCell ref="A4:D4"/>
    <mergeCell ref="A3:D3"/>
    <mergeCell ref="A2:D2"/>
  </mergeCells>
  <pageMargins left="0.75" right="0.75" top="1" bottom="1" header="0.5" footer="0.5"/>
  <pageSetup orientation="landscape" paperSize="9" fitToHeight="0" fitToWidth="1"/>
  <headerFooter>
    <oddHeader/>
    <oddFooter>&amp;CRegistro de medios verificadores del Segundo Entregable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4. NOTAS Y AVISOS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Medios_Verificadores_E2_IN_Piura_y_Anexo_4.pdf (ANIN-DIME-SESDI), actualizado al 26/10/2026 · Elaboración propia</t>
        </is>
      </c>
    </row>
    <row r="8">
      <c r="A8" s="20" t="inlineStr">
        <is>
          <t>Índice en línea</t>
        </is>
      </c>
      <c r="B8" s="21" t="inlineStr">
        <is>
          <t>Página índice (enlace único) indicada en el PDF:</t>
        </is>
      </c>
    </row>
    <row r="9">
      <c r="A9" s="20" t="inlineStr"/>
      <c r="B9" s="22" t="inlineStr">
        <is>
          <t>https://claude.ai/artifact/WgxAXHq51fmUuMA4pQbrXd</t>
        </is>
      </c>
    </row>
    <row r="10">
      <c r="A10" s="20" t="inlineStr">
        <is>
          <t>Acceso</t>
        </is>
      </c>
      <c r="B10" s="21" t="inlineStr">
        <is>
          <t>El acceso a cada documento depende de los permisos del lector en Google Drive.</t>
        </is>
      </c>
    </row>
    <row r="11">
      <c r="A11" s="20" t="inlineStr">
        <is>
          <t>Enlaces</t>
        </is>
      </c>
      <c r="B11" s="21" t="inlineStr">
        <is>
          <t>Los enlaces se tomaron de los hipervínculos incrustados en el PDF (no del texto visible, que aparece cortado en dos líneas).</t>
        </is>
      </c>
    </row>
    <row r="12">
      <c r="A12" s="20" t="inlineStr">
        <is>
          <t>Fechas</t>
        </is>
      </c>
      <c r="B12" s="21" t="inlineStr">
        <is>
          <t>La columna 'Fecha (según fuente)' conserva el texto original, incluidos rangos (p. ej. 27/09–06/10/2026). 'Fecha final' toma el último día del rango para ordenar y filtrar; R14 no tiene fecha en la fuente (—).</t>
        </is>
      </c>
    </row>
    <row r="13">
      <c r="A13" s="20" t="inlineStr">
        <is>
          <t>Fechas a verificar</t>
        </is>
      </c>
      <c r="B13" s="21" t="inlineStr">
        <is>
          <t>El PDF indica 'Actualizado al 26/10/2026' y fecha 26/10/2026 para el Anexo 4 (R15), posterior a la fecha de conversión (18/10/2026). Confirmar si es fecha prevista de presentación. [POR CONFIRMAR]</t>
        </is>
      </c>
    </row>
    <row r="14">
      <c r="A14" s="20" t="inlineStr">
        <is>
          <t>Repositorio 'Artefacto'</t>
        </is>
      </c>
      <c r="B14" s="21" t="inlineStr">
        <is>
          <t>Los Diagnósticos V5 (R01) figuran con repositorio 'Artefacto' en la fuente; su enlace apunta a la carpeta R01 de Google Drive.</t>
        </is>
      </c>
    </row>
    <row r="15">
      <c r="A15" s="20" t="inlineStr">
        <is>
          <t>Control</t>
        </is>
      </c>
      <c r="B15" s="21" t="inlineStr">
        <is>
          <t>La hoja 1 compara el N.° de medios declarado por ubicación con el contado en el registro (COUNTIF); 'OK' indica coincidencia.</t>
        </is>
      </c>
    </row>
  </sheetData>
  <mergeCells count="6">
    <mergeCell ref="A4:B4"/>
    <mergeCell ref="A2:B2"/>
    <mergeCell ref="A5:B5"/>
    <mergeCell ref="A1:B1"/>
    <mergeCell ref="A3:B3"/>
    <mergeCell ref="A6:B6"/>
  </mergeCells>
  <hyperlinks>
    <hyperlink xmlns:r="http://schemas.openxmlformats.org/officeDocument/2006/relationships" ref="B9" r:id="rId1"/>
  </hyperlinks>
  <pageMargins left="0.75" right="0.75" top="1" bottom="1" header="0.5" footer="0.5"/>
  <pageSetup orientation="landscape" paperSize="9" fitToHeight="0" fitToWidth="1"/>
  <headerFooter>
    <oddHeader/>
    <oddFooter>&amp;CRegistro de medios verificadores del Segundo Entregable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2026-10-18T20:21:00Z</dcterms:created>
  <dcterms:modified xmlns:dcterms="http://purl.org/dc/terms/" xmlns:xsi="http://www.w3.org/2001/XMLSchema-instance" xsi:type="dcterms:W3CDTF">2026-10-18T20:21:00Z</dcterms:modified>
</cp:coreProperties>
</file>