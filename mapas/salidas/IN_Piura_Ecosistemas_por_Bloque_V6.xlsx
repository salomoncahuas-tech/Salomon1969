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Ecosistema" sheetId="1" state="visible" r:id="rId1"/>
    <sheet name="Ecosistema_Provincia" sheetId="2" state="visible" r:id="rId2"/>
    <sheet name="Bloques" sheetId="3" state="visible" r:id="rId3"/>
    <sheet name="Bloque_Ecosistema" sheetId="4" state="visible" r:id="rId4"/>
    <sheet name="Notas" sheetId="5" state="visible" r:id="rId5"/>
  </sheets>
  <definedNames>
    <definedName name="_xlnm._FilterDatabase" localSheetId="0" hidden="1">'Resumen_Ecosistema'!$A$8:$H$14</definedName>
    <definedName name="_xlnm._FilterDatabase" localSheetId="1" hidden="1">'Ecosistema_Provincia'!$A$8:$E$14</definedName>
    <definedName name="_xlnm._FilterDatabase" localSheetId="2" hidden="1">'Bloques'!$A$8:$J$125</definedName>
    <definedName name="_xlnm._FilterDatabase" localSheetId="3" hidden="1">'Bloque_Ecosistema'!$A$8:$K$198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4D2E"/>
      <sz val="10"/>
    </font>
    <font>
      <name val="Arial"/>
      <color rgb="001B4D2E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B4D2E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4D2E"/>
      </patternFill>
    </fill>
    <fill>
      <patternFill patternType="solid">
        <fgColor rgb="00E8F0EA"/>
      </patternFill>
    </fill>
    <fill>
      <patternFill patternType="solid">
        <fgColor rgb="00D9E6D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0" fontId="5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10" fontId="5" fillId="3" borderId="1" pivotButton="0" quotePrefix="0" xfId="0"/>
    <xf numFmtId="0" fontId="6" fillId="4" borderId="1" pivotButton="0" quotePrefix="0" xfId="0"/>
    <xf numFmtId="164" fontId="6" fillId="4" borderId="1" pivotButton="0" quotePrefix="0" xfId="0"/>
    <xf numFmtId="165" fontId="6" fillId="4" borderId="1" pivotButton="0" quotePrefix="0" xfId="0"/>
    <xf numFmtId="0" fontId="2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1" customWidth="1" min="3" max="3"/>
    <col width="11" customWidth="1" min="4" max="4"/>
    <col width="15" customWidth="1" min="5" max="5"/>
    <col width="12" customWidth="1" min="6" max="6"/>
    <col width="16" customWidth="1" min="7" max="7"/>
    <col width="15" customWidth="1" min="8" max="8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SUPERFICIE DE ECOSISTEMAS EN LOS 117 BLOQUES V6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Ecosistemas: Mapa Nacional de Ecosistemas del Perú, MINAM 2018 (R.M. N.° 440-2018-MINAM): recorte a microcuencas, completado en M27B1 y M9B1 con el recorte a esos bloques. Bloques V6, ANIN-DIME-SESDI 2026 (sin 74 y 75)</t>
        </is>
      </c>
    </row>
    <row r="8" ht="30" customHeight="1">
      <c r="A8" s="4" t="inlineStr">
        <is>
          <t>N.°</t>
        </is>
      </c>
      <c r="B8" s="4" t="inlineStr">
        <is>
          <t>Ecosistema</t>
        </is>
      </c>
      <c r="C8" s="4" t="inlineStr">
        <is>
          <t>Símbolo</t>
        </is>
      </c>
      <c r="D8" s="4" t="inlineStr">
        <is>
          <t>N.° de bloques</t>
        </is>
      </c>
      <c r="E8" s="4" t="inlineStr">
        <is>
          <t>Área en bloques (ha)</t>
        </is>
      </c>
      <c r="F8" s="4" t="inlineStr">
        <is>
          <t>% de los bloques</t>
        </is>
      </c>
      <c r="G8" s="4" t="inlineStr">
        <is>
          <t>Área en el ámbito (ha)</t>
        </is>
      </c>
      <c r="H8" s="4" t="inlineStr">
        <is>
          <t>% del ecosistema intervenido</t>
        </is>
      </c>
    </row>
    <row r="9">
      <c r="A9" s="5" t="n">
        <v>1</v>
      </c>
      <c r="B9" s="5" t="inlineStr">
        <is>
          <t>Bosque estacionalmente seco de colina y montaña</t>
        </is>
      </c>
      <c r="C9" s="5" t="inlineStr">
        <is>
          <t>Bes-cm</t>
        </is>
      </c>
      <c r="D9" s="5">
        <f>COUNTIF(Bloque_Ecosistema!$F$9:$F$198,B9)</f>
        <v/>
      </c>
      <c r="E9" s="6">
        <f>SUMIF(Bloque_Ecosistema!$F$9:$F$198,B9,Bloque_Ecosistema!$K$9:$K$198)</f>
        <v/>
      </c>
      <c r="F9" s="7">
        <f>E9/E$15</f>
        <v/>
      </c>
      <c r="G9" s="6" t="n">
        <v>188280.249</v>
      </c>
      <c r="H9" s="8">
        <f>IF(N(G9)=0,"",E9/G9)</f>
        <v/>
      </c>
    </row>
    <row r="10">
      <c r="A10" s="9" t="n">
        <v>2</v>
      </c>
      <c r="B10" s="9" t="inlineStr">
        <is>
          <t>Zona agrícola</t>
        </is>
      </c>
      <c r="C10" s="9" t="inlineStr">
        <is>
          <t>Agri</t>
        </is>
      </c>
      <c r="D10" s="9">
        <f>COUNTIF(Bloque_Ecosistema!$F$9:$F$198,B10)</f>
        <v/>
      </c>
      <c r="E10" s="10">
        <f>SUMIF(Bloque_Ecosistema!$F$9:$F$198,B10,Bloque_Ecosistema!$K$9:$K$198)</f>
        <v/>
      </c>
      <c r="F10" s="11">
        <f>E10/E$15</f>
        <v/>
      </c>
      <c r="G10" s="10" t="n">
        <v>155867.895</v>
      </c>
      <c r="H10" s="12">
        <f>IF(N(G10)=0,"",E10/G10)</f>
        <v/>
      </c>
    </row>
    <row r="11">
      <c r="A11" s="5" t="n">
        <v>3</v>
      </c>
      <c r="B11" s="5" t="inlineStr">
        <is>
          <t>Matorral andino</t>
        </is>
      </c>
      <c r="C11" s="5" t="inlineStr">
        <is>
          <t>Ma</t>
        </is>
      </c>
      <c r="D11" s="5">
        <f>COUNTIF(Bloque_Ecosistema!$F$9:$F$198,B11)</f>
        <v/>
      </c>
      <c r="E11" s="6">
        <f>SUMIF(Bloque_Ecosistema!$F$9:$F$198,B11,Bloque_Ecosistema!$K$9:$K$198)</f>
        <v/>
      </c>
      <c r="F11" s="7">
        <f>E11/E$15</f>
        <v/>
      </c>
      <c r="G11" s="6" t="n">
        <v>31192.831</v>
      </c>
      <c r="H11" s="8">
        <f>IF(N(G11)=0,"",E11/G11)</f>
        <v/>
      </c>
    </row>
    <row r="12">
      <c r="A12" s="9" t="n">
        <v>4</v>
      </c>
      <c r="B12" s="9" t="inlineStr">
        <is>
          <t>Bosque relicto montano de vertiente occidental</t>
        </is>
      </c>
      <c r="C12" s="9" t="inlineStr">
        <is>
          <t>Br-mvoc</t>
        </is>
      </c>
      <c r="D12" s="9">
        <f>COUNTIF(Bloque_Ecosistema!$F$9:$F$198,B12)</f>
        <v/>
      </c>
      <c r="E12" s="10">
        <f>SUMIF(Bloque_Ecosistema!$F$9:$F$198,B12,Bloque_Ecosistema!$K$9:$K$198)</f>
        <v/>
      </c>
      <c r="F12" s="11">
        <f>E12/E$15</f>
        <v/>
      </c>
      <c r="G12" s="10" t="n">
        <v>6281.805</v>
      </c>
      <c r="H12" s="12">
        <f>IF(N(G12)=0,"",E12/G12)</f>
        <v/>
      </c>
    </row>
    <row r="13">
      <c r="A13" s="5" t="n">
        <v>5</v>
      </c>
      <c r="B13" s="5" t="inlineStr">
        <is>
          <t>Páramo</t>
        </is>
      </c>
      <c r="C13" s="5" t="inlineStr">
        <is>
          <t>Pa</t>
        </is>
      </c>
      <c r="D13" s="5">
        <f>COUNTIF(Bloque_Ecosistema!$F$9:$F$198,B13)</f>
        <v/>
      </c>
      <c r="E13" s="6">
        <f>SUMIF(Bloque_Ecosistema!$F$9:$F$198,B13,Bloque_Ecosistema!$K$9:$K$198)</f>
        <v/>
      </c>
      <c r="F13" s="7">
        <f>E13/E$15</f>
        <v/>
      </c>
      <c r="G13" s="6" t="n">
        <v>3843.332</v>
      </c>
      <c r="H13" s="8">
        <f>IF(N(G13)=0,"",E13/G13)</f>
        <v/>
      </c>
    </row>
    <row r="14">
      <c r="A14" s="9" t="n">
        <v>6</v>
      </c>
      <c r="B14" s="9" t="inlineStr">
        <is>
          <t>Sin información de ecosistema</t>
        </is>
      </c>
      <c r="C14" s="9" t="inlineStr"/>
      <c r="D14" s="9">
        <f>COUNTIF(Bloque_Ecosistema!$F$9:$F$198,B14)</f>
        <v/>
      </c>
      <c r="E14" s="10">
        <f>SUMIF(Bloque_Ecosistema!$F$9:$F$198,B14,Bloque_Ecosistema!$K$9:$K$198)</f>
        <v/>
      </c>
      <c r="F14" s="11">
        <f>E14/E$15</f>
        <v/>
      </c>
      <c r="G14" s="10" t="n"/>
      <c r="H14" s="12">
        <f>IF(N(G14)=0,"",E14/G14)</f>
        <v/>
      </c>
    </row>
    <row r="15">
      <c r="A15" s="13" t="inlineStr">
        <is>
          <t>TOTAL</t>
        </is>
      </c>
      <c r="B15" s="13" t="n"/>
      <c r="C15" s="13" t="n"/>
      <c r="D15" s="13" t="n"/>
      <c r="E15" s="14">
        <f>SUM(E9:E14)</f>
        <v/>
      </c>
      <c r="F15" s="15">
        <f>SUM(F9:F14)</f>
        <v/>
      </c>
      <c r="G15" s="14">
        <f>SUM(G9:G14)</f>
        <v/>
      </c>
      <c r="H15" s="13" t="n"/>
    </row>
    <row r="17">
      <c r="B17" s="16">
        <f>IF(ABS(E15-12270.235)&lt;0.01,"OK: suma 12,270.235 ha","REVISAR: no suma 12,270.235 ha")</f>
        <v/>
      </c>
    </row>
  </sheetData>
  <autoFilter ref="A8:H14"/>
  <mergeCells count="6">
    <mergeCell ref="A1:H1"/>
    <mergeCell ref="A4:H4"/>
    <mergeCell ref="A3:H3"/>
    <mergeCell ref="A2:H2"/>
    <mergeCell ref="A5:H5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20" customWidth="1" min="3" max="3"/>
    <col width="17" customWidth="1" min="4" max="4"/>
    <col width="14" customWidth="1" min="5" max="5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ECOSISTEMAS EN LOS BLOQUES V6 POR PROVINCIA (ha)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Ecosistemas: Mapa Nacional de Ecosistemas del Perú, MINAM 2018 (R.M. N.° 440-2018-MINAM): recorte a microcuencas, completado en M27B1 y M9B1 con el recorte a esos bloques. Bloques V6, ANIN-DIME-SESDI 2026 (sin 74 y 75)</t>
        </is>
      </c>
    </row>
    <row r="8" ht="30" customHeight="1">
      <c r="A8" s="4" t="inlineStr">
        <is>
          <t>Ecosistema</t>
        </is>
      </c>
      <c r="B8" s="4" t="inlineStr">
        <is>
          <t>Ayabaca (ha)</t>
        </is>
      </c>
      <c r="C8" s="4" t="inlineStr">
        <is>
          <t>Huancabamba (ha)</t>
        </is>
      </c>
      <c r="D8" s="4" t="inlineStr">
        <is>
          <t>Morropón (ha)</t>
        </is>
      </c>
      <c r="E8" s="4" t="inlineStr">
        <is>
          <t>Total (ha)</t>
        </is>
      </c>
    </row>
    <row r="9">
      <c r="A9" s="5" t="inlineStr">
        <is>
          <t>Bosque estacionalmente seco de colina y montaña</t>
        </is>
      </c>
      <c r="B9" s="6">
        <f>SUMIFS(Bloque_Ecosistema!$K$9:$K$198,Bloque_Ecosistema!$F$9:$F$198,$A9,Bloque_Ecosistema!$D$9:$D$198,"Ayabaca")</f>
        <v/>
      </c>
      <c r="C9" s="6">
        <f>SUMIFS(Bloque_Ecosistema!$K$9:$K$198,Bloque_Ecosistema!$F$9:$F$198,$A9,Bloque_Ecosistema!$D$9:$D$198,"Huancabamba")</f>
        <v/>
      </c>
      <c r="D9" s="6">
        <f>SUMIFS(Bloque_Ecosistema!$K$9:$K$198,Bloque_Ecosistema!$F$9:$F$198,$A9,Bloque_Ecosistema!$D$9:$D$198,"Morropón")</f>
        <v/>
      </c>
      <c r="E9" s="6">
        <f>SUM(B9:D9)</f>
        <v/>
      </c>
    </row>
    <row r="10">
      <c r="A10" s="9" t="inlineStr">
        <is>
          <t>Zona agrícola</t>
        </is>
      </c>
      <c r="B10" s="10">
        <f>SUMIFS(Bloque_Ecosistema!$K$9:$K$198,Bloque_Ecosistema!$F$9:$F$198,$A10,Bloque_Ecosistema!$D$9:$D$198,"Ayabaca")</f>
        <v/>
      </c>
      <c r="C10" s="10">
        <f>SUMIFS(Bloque_Ecosistema!$K$9:$K$198,Bloque_Ecosistema!$F$9:$F$198,$A10,Bloque_Ecosistema!$D$9:$D$198,"Huancabamba")</f>
        <v/>
      </c>
      <c r="D10" s="10">
        <f>SUMIFS(Bloque_Ecosistema!$K$9:$K$198,Bloque_Ecosistema!$F$9:$F$198,$A10,Bloque_Ecosistema!$D$9:$D$198,"Morropón")</f>
        <v/>
      </c>
      <c r="E10" s="10">
        <f>SUM(B10:D10)</f>
        <v/>
      </c>
    </row>
    <row r="11">
      <c r="A11" s="5" t="inlineStr">
        <is>
          <t>Matorral andino</t>
        </is>
      </c>
      <c r="B11" s="6">
        <f>SUMIFS(Bloque_Ecosistema!$K$9:$K$198,Bloque_Ecosistema!$F$9:$F$198,$A11,Bloque_Ecosistema!$D$9:$D$198,"Ayabaca")</f>
        <v/>
      </c>
      <c r="C11" s="6">
        <f>SUMIFS(Bloque_Ecosistema!$K$9:$K$198,Bloque_Ecosistema!$F$9:$F$198,$A11,Bloque_Ecosistema!$D$9:$D$198,"Huancabamba")</f>
        <v/>
      </c>
      <c r="D11" s="6">
        <f>SUMIFS(Bloque_Ecosistema!$K$9:$K$198,Bloque_Ecosistema!$F$9:$F$198,$A11,Bloque_Ecosistema!$D$9:$D$198,"Morropón")</f>
        <v/>
      </c>
      <c r="E11" s="6">
        <f>SUM(B11:D11)</f>
        <v/>
      </c>
    </row>
    <row r="12">
      <c r="A12" s="9" t="inlineStr">
        <is>
          <t>Bosque relicto montano de vertiente occidental</t>
        </is>
      </c>
      <c r="B12" s="10">
        <f>SUMIFS(Bloque_Ecosistema!$K$9:$K$198,Bloque_Ecosistema!$F$9:$F$198,$A12,Bloque_Ecosistema!$D$9:$D$198,"Ayabaca")</f>
        <v/>
      </c>
      <c r="C12" s="10">
        <f>SUMIFS(Bloque_Ecosistema!$K$9:$K$198,Bloque_Ecosistema!$F$9:$F$198,$A12,Bloque_Ecosistema!$D$9:$D$198,"Huancabamba")</f>
        <v/>
      </c>
      <c r="D12" s="10">
        <f>SUMIFS(Bloque_Ecosistema!$K$9:$K$198,Bloque_Ecosistema!$F$9:$F$198,$A12,Bloque_Ecosistema!$D$9:$D$198,"Morropón")</f>
        <v/>
      </c>
      <c r="E12" s="10">
        <f>SUM(B12:D12)</f>
        <v/>
      </c>
    </row>
    <row r="13">
      <c r="A13" s="5" t="inlineStr">
        <is>
          <t>Páramo</t>
        </is>
      </c>
      <c r="B13" s="6">
        <f>SUMIFS(Bloque_Ecosistema!$K$9:$K$198,Bloque_Ecosistema!$F$9:$F$198,$A13,Bloque_Ecosistema!$D$9:$D$198,"Ayabaca")</f>
        <v/>
      </c>
      <c r="C13" s="6">
        <f>SUMIFS(Bloque_Ecosistema!$K$9:$K$198,Bloque_Ecosistema!$F$9:$F$198,$A13,Bloque_Ecosistema!$D$9:$D$198,"Huancabamba")</f>
        <v/>
      </c>
      <c r="D13" s="6">
        <f>SUMIFS(Bloque_Ecosistema!$K$9:$K$198,Bloque_Ecosistema!$F$9:$F$198,$A13,Bloque_Ecosistema!$D$9:$D$198,"Morropón")</f>
        <v/>
      </c>
      <c r="E13" s="6">
        <f>SUM(B13:D13)</f>
        <v/>
      </c>
    </row>
    <row r="14">
      <c r="A14" s="9" t="inlineStr">
        <is>
          <t>Sin información de ecosistema</t>
        </is>
      </c>
      <c r="B14" s="10">
        <f>SUMIFS(Bloque_Ecosistema!$K$9:$K$198,Bloque_Ecosistema!$F$9:$F$198,$A14,Bloque_Ecosistema!$D$9:$D$198,"Ayabaca")</f>
        <v/>
      </c>
      <c r="C14" s="10">
        <f>SUMIFS(Bloque_Ecosistema!$K$9:$K$198,Bloque_Ecosistema!$F$9:$F$198,$A14,Bloque_Ecosistema!$D$9:$D$198,"Huancabamba")</f>
        <v/>
      </c>
      <c r="D14" s="10">
        <f>SUMIFS(Bloque_Ecosistema!$K$9:$K$198,Bloque_Ecosistema!$F$9:$F$198,$A14,Bloque_Ecosistema!$D$9:$D$198,"Morropón")</f>
        <v/>
      </c>
      <c r="E14" s="10">
        <f>SUM(B14:D14)</f>
        <v/>
      </c>
    </row>
    <row r="15">
      <c r="A15" s="13" t="inlineStr">
        <is>
          <t>TOTAL</t>
        </is>
      </c>
      <c r="B15" s="14">
        <f>SUM(B9:B14)</f>
        <v/>
      </c>
      <c r="C15" s="14">
        <f>SUM(C9:C14)</f>
        <v/>
      </c>
      <c r="D15" s="14">
        <f>SUM(D9:D14)</f>
        <v/>
      </c>
      <c r="E15" s="14">
        <f>SUM(E9:E14)</f>
        <v/>
      </c>
    </row>
  </sheetData>
  <autoFilter ref="A8:E14"/>
  <mergeCells count="6">
    <mergeCell ref="A4:E4"/>
    <mergeCell ref="A2:E2"/>
    <mergeCell ref="A1:E1"/>
    <mergeCell ref="A5:E5"/>
    <mergeCell ref="A6:E6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3" customWidth="1" min="4" max="4"/>
    <col width="24" customWidth="1" min="5" max="5"/>
    <col width="14" customWidth="1" min="6" max="6"/>
    <col width="12" customWidth="1" min="7" max="7"/>
    <col width="46" customWidth="1" min="8" max="8"/>
    <col width="11" customWidth="1" min="9" max="9"/>
    <col width="70" customWidth="1" min="10" max="10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ECOSISTEMA DOMINANTE POR BLOQUE V6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Ecosistemas: Mapa Nacional de Ecosistemas del Perú, MINAM 2018 (R.M. N.° 440-2018-MINAM): recorte a microcuencas, completado en M27B1 y M9B1 con el recorte a esos bloques. Bloques V6, ANIN-DIME-SESDI 2026 (sin 74 y 75)</t>
        </is>
      </c>
    </row>
    <row r="8" ht="30" customHeight="1">
      <c r="A8" s="4" t="inlineStr">
        <is>
          <t>N.°</t>
        </is>
      </c>
      <c r="B8" s="4" t="inlineStr">
        <is>
          <t>Bloque</t>
        </is>
      </c>
      <c r="C8" s="4" t="inlineStr">
        <is>
          <t>Microcuenca</t>
        </is>
      </c>
      <c r="D8" s="4" t="inlineStr">
        <is>
          <t>Provincia</t>
        </is>
      </c>
      <c r="E8" s="4" t="inlineStr">
        <is>
          <t>Distrito</t>
        </is>
      </c>
      <c r="F8" s="4" t="inlineStr">
        <is>
          <t>Área catálogo (ha)</t>
        </is>
      </c>
      <c r="G8" s="4" t="inlineStr">
        <is>
          <t>N.° de ecosistemas</t>
        </is>
      </c>
      <c r="H8" s="4" t="inlineStr">
        <is>
          <t>Ecosistema dominante</t>
        </is>
      </c>
      <c r="I8" s="4" t="inlineStr">
        <is>
          <t>% del dominante</t>
        </is>
      </c>
      <c r="J8" s="4" t="inlineStr">
        <is>
          <t>Otros ecosistemas</t>
        </is>
      </c>
    </row>
    <row r="9">
      <c r="A9" s="5" t="n">
        <v>1</v>
      </c>
      <c r="B9" s="5" t="inlineStr">
        <is>
          <t>27</t>
        </is>
      </c>
      <c r="C9" s="5" t="inlineStr">
        <is>
          <t>C1096-Q9556</t>
        </is>
      </c>
      <c r="D9" s="5" t="inlineStr">
        <is>
          <t>Ayabaca</t>
        </is>
      </c>
      <c r="E9" s="5" t="inlineStr">
        <is>
          <t>Frías</t>
        </is>
      </c>
      <c r="F9" s="6" t="n">
        <v>78.154</v>
      </c>
      <c r="G9" s="5">
        <f>COUNTIF(Bloque_Ecosistema!$B$9:$B$198,B9)</f>
        <v/>
      </c>
      <c r="H9" s="5" t="inlineStr">
        <is>
          <t>Zona agrícola</t>
        </is>
      </c>
      <c r="I9" s="7" t="n">
        <v>1</v>
      </c>
      <c r="J9" s="5" t="inlineStr"/>
    </row>
    <row r="10">
      <c r="A10" s="9" t="n">
        <v>2</v>
      </c>
      <c r="B10" s="9" t="inlineStr">
        <is>
          <t>3</t>
        </is>
      </c>
      <c r="C10" s="9" t="inlineStr">
        <is>
          <t>C1096-Q9545</t>
        </is>
      </c>
      <c r="D10" s="9" t="inlineStr">
        <is>
          <t>Ayabaca</t>
        </is>
      </c>
      <c r="E10" s="9" t="inlineStr">
        <is>
          <t>Frías</t>
        </is>
      </c>
      <c r="F10" s="10" t="n">
        <v>459.295</v>
      </c>
      <c r="G10" s="9">
        <f>COUNTIF(Bloque_Ecosistema!$B$9:$B$198,B10)</f>
        <v/>
      </c>
      <c r="H10" s="9" t="inlineStr">
        <is>
          <t>Zona agrícola</t>
        </is>
      </c>
      <c r="I10" s="11" t="n">
        <v>0.9454</v>
      </c>
      <c r="J10" s="9" t="inlineStr">
        <is>
          <t>Bosque estacionalmente seco de colina y montaña (5%)</t>
        </is>
      </c>
    </row>
    <row r="11">
      <c r="A11" s="5" t="n">
        <v>3</v>
      </c>
      <c r="B11" s="5" t="inlineStr">
        <is>
          <t>36</t>
        </is>
      </c>
      <c r="C11" s="5" t="inlineStr">
        <is>
          <t>C1096-Q9547</t>
        </is>
      </c>
      <c r="D11" s="5" t="inlineStr">
        <is>
          <t>Ayabaca</t>
        </is>
      </c>
      <c r="E11" s="5" t="inlineStr">
        <is>
          <t>Frías</t>
        </is>
      </c>
      <c r="F11" s="6" t="n">
        <v>24.843</v>
      </c>
      <c r="G11" s="5">
        <f>COUNTIF(Bloque_Ecosistema!$B$9:$B$198,B11)</f>
        <v/>
      </c>
      <c r="H11" s="5" t="inlineStr">
        <is>
          <t>Zona agrícola</t>
        </is>
      </c>
      <c r="I11" s="7" t="n">
        <v>1</v>
      </c>
      <c r="J11" s="5" t="inlineStr"/>
    </row>
    <row r="12">
      <c r="A12" s="9" t="n">
        <v>4</v>
      </c>
      <c r="B12" s="9" t="inlineStr">
        <is>
          <t>39</t>
        </is>
      </c>
      <c r="C12" s="9" t="inlineStr">
        <is>
          <t>C1096-Q9564</t>
        </is>
      </c>
      <c r="D12" s="9" t="inlineStr">
        <is>
          <t>Ayabaca</t>
        </is>
      </c>
      <c r="E12" s="9" t="inlineStr">
        <is>
          <t>Frías</t>
        </is>
      </c>
      <c r="F12" s="10" t="n">
        <v>68.569</v>
      </c>
      <c r="G12" s="9">
        <f>COUNTIF(Bloque_Ecosistema!$B$9:$B$198,B12)</f>
        <v/>
      </c>
      <c r="H12" s="9" t="inlineStr">
        <is>
          <t>Matorral andino</t>
        </is>
      </c>
      <c r="I12" s="11" t="n">
        <v>1</v>
      </c>
      <c r="J12" s="9" t="inlineStr"/>
    </row>
    <row r="13">
      <c r="A13" s="5" t="n">
        <v>5</v>
      </c>
      <c r="B13" s="5" t="inlineStr">
        <is>
          <t>56</t>
        </is>
      </c>
      <c r="C13" s="5" t="inlineStr">
        <is>
          <t>C1096-Q9564</t>
        </is>
      </c>
      <c r="D13" s="5" t="inlineStr">
        <is>
          <t>Ayabaca</t>
        </is>
      </c>
      <c r="E13" s="5" t="inlineStr">
        <is>
          <t>Frías</t>
        </is>
      </c>
      <c r="F13" s="6" t="n">
        <v>77.666</v>
      </c>
      <c r="G13" s="5">
        <f>COUNTIF(Bloque_Ecosistema!$B$9:$B$198,B13)</f>
        <v/>
      </c>
      <c r="H13" s="5" t="inlineStr">
        <is>
          <t>Bosque relicto montano de vertiente occidental</t>
        </is>
      </c>
      <c r="I13" s="7" t="n">
        <v>0.5387999999999999</v>
      </c>
      <c r="J13" s="5" t="inlineStr">
        <is>
          <t>Zona agrícola (46%)</t>
        </is>
      </c>
    </row>
    <row r="14">
      <c r="A14" s="9" t="n">
        <v>6</v>
      </c>
      <c r="B14" s="9" t="inlineStr">
        <is>
          <t>6</t>
        </is>
      </c>
      <c r="C14" s="9" t="inlineStr">
        <is>
          <t>C1096-Q9547</t>
        </is>
      </c>
      <c r="D14" s="9" t="inlineStr">
        <is>
          <t>Ayabaca</t>
        </is>
      </c>
      <c r="E14" s="9" t="inlineStr">
        <is>
          <t>Frías</t>
        </is>
      </c>
      <c r="F14" s="10" t="n">
        <v>168.411</v>
      </c>
      <c r="G14" s="9">
        <f>COUNTIF(Bloque_Ecosistema!$B$9:$B$198,B14)</f>
        <v/>
      </c>
      <c r="H14" s="9" t="inlineStr">
        <is>
          <t>Zona agrícola</t>
        </is>
      </c>
      <c r="I14" s="11" t="n">
        <v>0.9752</v>
      </c>
      <c r="J14" s="9" t="inlineStr">
        <is>
          <t>Bosque estacionalmente seco de colina y montaña (2%)</t>
        </is>
      </c>
    </row>
    <row r="15">
      <c r="A15" s="5" t="n">
        <v>7</v>
      </c>
      <c r="B15" s="5" t="inlineStr">
        <is>
          <t>M17B10</t>
        </is>
      </c>
      <c r="C15" s="5" t="inlineStr">
        <is>
          <t>C1096-Q9556</t>
        </is>
      </c>
      <c r="D15" s="5" t="inlineStr">
        <is>
          <t>Ayabaca</t>
        </is>
      </c>
      <c r="E15" s="5" t="inlineStr">
        <is>
          <t>Frías</t>
        </is>
      </c>
      <c r="F15" s="6" t="n">
        <v>75.363</v>
      </c>
      <c r="G15" s="5">
        <f>COUNTIF(Bloque_Ecosistema!$B$9:$B$198,B15)</f>
        <v/>
      </c>
      <c r="H15" s="5" t="inlineStr">
        <is>
          <t>Zona agrícola</t>
        </is>
      </c>
      <c r="I15" s="7" t="n">
        <v>0.5748</v>
      </c>
      <c r="J15" s="5" t="inlineStr">
        <is>
          <t>Bosque estacionalmente seco de colina y montaña (43%)</t>
        </is>
      </c>
    </row>
    <row r="16">
      <c r="A16" s="9" t="n">
        <v>8</v>
      </c>
      <c r="B16" s="9" t="inlineStr">
        <is>
          <t>M17B5</t>
        </is>
      </c>
      <c r="C16" s="9" t="inlineStr">
        <is>
          <t>C1096-Q9556</t>
        </is>
      </c>
      <c r="D16" s="9" t="inlineStr">
        <is>
          <t>Ayabaca</t>
        </is>
      </c>
      <c r="E16" s="9" t="inlineStr">
        <is>
          <t>Frías</t>
        </is>
      </c>
      <c r="F16" s="10" t="n">
        <v>74.02800000000001</v>
      </c>
      <c r="G16" s="9">
        <f>COUNTIF(Bloque_Ecosistema!$B$9:$B$198,B16)</f>
        <v/>
      </c>
      <c r="H16" s="9" t="inlineStr">
        <is>
          <t>Bosque estacionalmente seco de colina y montaña</t>
        </is>
      </c>
      <c r="I16" s="11" t="n">
        <v>0.7086</v>
      </c>
      <c r="J16" s="9" t="inlineStr">
        <is>
          <t>Zona agrícola (29%)</t>
        </is>
      </c>
    </row>
    <row r="17">
      <c r="A17" s="5" t="n">
        <v>9</v>
      </c>
      <c r="B17" s="5" t="inlineStr">
        <is>
          <t>M17B6</t>
        </is>
      </c>
      <c r="C17" s="5" t="inlineStr">
        <is>
          <t>C1096-Q9556</t>
        </is>
      </c>
      <c r="D17" s="5" t="inlineStr">
        <is>
          <t>Ayabaca</t>
        </is>
      </c>
      <c r="E17" s="5" t="inlineStr">
        <is>
          <t>Frías</t>
        </is>
      </c>
      <c r="F17" s="6" t="n">
        <v>106.538</v>
      </c>
      <c r="G17" s="5">
        <f>COUNTIF(Bloque_Ecosistema!$B$9:$B$198,B17)</f>
        <v/>
      </c>
      <c r="H17" s="5" t="inlineStr">
        <is>
          <t>Bosque estacionalmente seco de colina y montaña</t>
        </is>
      </c>
      <c r="I17" s="7" t="n">
        <v>1</v>
      </c>
      <c r="J17" s="5" t="inlineStr"/>
    </row>
    <row r="18">
      <c r="A18" s="9" t="n">
        <v>10</v>
      </c>
      <c r="B18" s="9" t="inlineStr">
        <is>
          <t>M17B7</t>
        </is>
      </c>
      <c r="C18" s="9" t="inlineStr">
        <is>
          <t>C1096-Q9556</t>
        </is>
      </c>
      <c r="D18" s="9" t="inlineStr">
        <is>
          <t>Ayabaca</t>
        </is>
      </c>
      <c r="E18" s="9" t="inlineStr">
        <is>
          <t>Frías</t>
        </is>
      </c>
      <c r="F18" s="10" t="n">
        <v>258.837</v>
      </c>
      <c r="G18" s="9">
        <f>COUNTIF(Bloque_Ecosistema!$B$9:$B$198,B18)</f>
        <v/>
      </c>
      <c r="H18" s="9" t="inlineStr">
        <is>
          <t>Zona agrícola</t>
        </is>
      </c>
      <c r="I18" s="11" t="n">
        <v>0.5590000000000001</v>
      </c>
      <c r="J18" s="9" t="inlineStr">
        <is>
          <t>Bosque estacionalmente seco de colina y montaña (44%)</t>
        </is>
      </c>
    </row>
    <row r="19">
      <c r="A19" s="5" t="n">
        <v>11</v>
      </c>
      <c r="B19" s="5" t="inlineStr">
        <is>
          <t>21</t>
        </is>
      </c>
      <c r="C19" s="5" t="inlineStr">
        <is>
          <t>C1081-Q9591</t>
        </is>
      </c>
      <c r="D19" s="5" t="inlineStr">
        <is>
          <t>Huancabamba</t>
        </is>
      </c>
      <c r="E19" s="5" t="inlineStr">
        <is>
          <t>Canchaque</t>
        </is>
      </c>
      <c r="F19" s="6" t="n">
        <v>84.227</v>
      </c>
      <c r="G19" s="5">
        <f>COUNTIF(Bloque_Ecosistema!$B$9:$B$198,B19)</f>
        <v/>
      </c>
      <c r="H19" s="5" t="inlineStr">
        <is>
          <t>Zona agrícola</t>
        </is>
      </c>
      <c r="I19" s="7" t="n">
        <v>0.5607</v>
      </c>
      <c r="J19" s="5" t="inlineStr">
        <is>
          <t>Matorral andino (44%)</t>
        </is>
      </c>
    </row>
    <row r="20">
      <c r="A20" s="9" t="n">
        <v>12</v>
      </c>
      <c r="B20" s="9" t="inlineStr">
        <is>
          <t>24</t>
        </is>
      </c>
      <c r="C20" s="9" t="inlineStr">
        <is>
          <t>C1081-Q9583</t>
        </is>
      </c>
      <c r="D20" s="9" t="inlineStr">
        <is>
          <t>Huancabamba</t>
        </is>
      </c>
      <c r="E20" s="9" t="inlineStr">
        <is>
          <t>Canchaque</t>
        </is>
      </c>
      <c r="F20" s="10" t="n">
        <v>90.15900000000001</v>
      </c>
      <c r="G20" s="9">
        <f>COUNTIF(Bloque_Ecosistema!$B$9:$B$198,B20)</f>
        <v/>
      </c>
      <c r="H20" s="9" t="inlineStr">
        <is>
          <t>Zona agrícola</t>
        </is>
      </c>
      <c r="I20" s="11" t="n">
        <v>0.6608000000000001</v>
      </c>
      <c r="J20" s="9" t="inlineStr">
        <is>
          <t>Matorral andino (18%); Bosque estacionalmente seco de colina y montaña (15%)</t>
        </is>
      </c>
    </row>
    <row r="21">
      <c r="A21" s="5" t="n">
        <v>13</v>
      </c>
      <c r="B21" s="5" t="inlineStr">
        <is>
          <t>28</t>
        </is>
      </c>
      <c r="C21" s="5" t="inlineStr">
        <is>
          <t>C1081-Q9591</t>
        </is>
      </c>
      <c r="D21" s="5" t="inlineStr">
        <is>
          <t>Huancabamba</t>
        </is>
      </c>
      <c r="E21" s="5" t="inlineStr">
        <is>
          <t>Canchaque</t>
        </is>
      </c>
      <c r="F21" s="6" t="n">
        <v>52.966</v>
      </c>
      <c r="G21" s="5">
        <f>COUNTIF(Bloque_Ecosistema!$B$9:$B$198,B21)</f>
        <v/>
      </c>
      <c r="H21" s="5" t="inlineStr">
        <is>
          <t>Zona agrícola</t>
        </is>
      </c>
      <c r="I21" s="7" t="n">
        <v>0.6032</v>
      </c>
      <c r="J21" s="5" t="inlineStr">
        <is>
          <t>Matorral andino (40%)</t>
        </is>
      </c>
    </row>
    <row r="22">
      <c r="A22" s="9" t="n">
        <v>14</v>
      </c>
      <c r="B22" s="9" t="inlineStr">
        <is>
          <t>30</t>
        </is>
      </c>
      <c r="C22" s="9" t="inlineStr">
        <is>
          <t>C1081-Q9591</t>
        </is>
      </c>
      <c r="D22" s="9" t="inlineStr">
        <is>
          <t>Huancabamba</t>
        </is>
      </c>
      <c r="E22" s="9" t="inlineStr">
        <is>
          <t>Canchaque</t>
        </is>
      </c>
      <c r="F22" s="10" t="n">
        <v>34.874</v>
      </c>
      <c r="G22" s="9">
        <f>COUNTIF(Bloque_Ecosistema!$B$9:$B$198,B22)</f>
        <v/>
      </c>
      <c r="H22" s="9" t="inlineStr">
        <is>
          <t>Zona agrícola</t>
        </is>
      </c>
      <c r="I22" s="11" t="n">
        <v>0.7743</v>
      </c>
      <c r="J22" s="9" t="inlineStr">
        <is>
          <t>Matorral andino (23%)</t>
        </is>
      </c>
    </row>
    <row r="23">
      <c r="A23" s="5" t="n">
        <v>15</v>
      </c>
      <c r="B23" s="5" t="inlineStr">
        <is>
          <t>40</t>
        </is>
      </c>
      <c r="C23" s="5" t="inlineStr">
        <is>
          <t>C1081-Q9591</t>
        </is>
      </c>
      <c r="D23" s="5" t="inlineStr">
        <is>
          <t>Huancabamba</t>
        </is>
      </c>
      <c r="E23" s="5" t="inlineStr">
        <is>
          <t>Canchaque</t>
        </is>
      </c>
      <c r="F23" s="6" t="n">
        <v>28.523</v>
      </c>
      <c r="G23" s="5">
        <f>COUNTIF(Bloque_Ecosistema!$B$9:$B$198,B23)</f>
        <v/>
      </c>
      <c r="H23" s="5" t="inlineStr">
        <is>
          <t>Zona agrícola</t>
        </is>
      </c>
      <c r="I23" s="7" t="n">
        <v>0.5954</v>
      </c>
      <c r="J23" s="5" t="inlineStr">
        <is>
          <t>Matorral andino (40%)</t>
        </is>
      </c>
    </row>
    <row r="24">
      <c r="A24" s="9" t="n">
        <v>16</v>
      </c>
      <c r="B24" s="9" t="inlineStr">
        <is>
          <t>60</t>
        </is>
      </c>
      <c r="C24" s="9" t="inlineStr">
        <is>
          <t>C1081-Q9591</t>
        </is>
      </c>
      <c r="D24" s="9" t="inlineStr">
        <is>
          <t>Huancabamba</t>
        </is>
      </c>
      <c r="E24" s="9" t="inlineStr">
        <is>
          <t>Canchaque</t>
        </is>
      </c>
      <c r="F24" s="10" t="n">
        <v>40.132</v>
      </c>
      <c r="G24" s="9">
        <f>COUNTIF(Bloque_Ecosistema!$B$9:$B$198,B24)</f>
        <v/>
      </c>
      <c r="H24" s="9" t="inlineStr">
        <is>
          <t>Matorral andino</t>
        </is>
      </c>
      <c r="I24" s="11" t="n">
        <v>0.5911</v>
      </c>
      <c r="J24" s="9" t="inlineStr">
        <is>
          <t>Zona agrícola (41%)</t>
        </is>
      </c>
    </row>
    <row r="25">
      <c r="A25" s="5" t="n">
        <v>17</v>
      </c>
      <c r="B25" s="5" t="inlineStr">
        <is>
          <t>63</t>
        </is>
      </c>
      <c r="C25" s="5" t="inlineStr">
        <is>
          <t>C1081-Q9583</t>
        </is>
      </c>
      <c r="D25" s="5" t="inlineStr">
        <is>
          <t>Huancabamba</t>
        </is>
      </c>
      <c r="E25" s="5" t="inlineStr">
        <is>
          <t>Canchaque</t>
        </is>
      </c>
      <c r="F25" s="6" t="n">
        <v>50.459</v>
      </c>
      <c r="G25" s="5">
        <f>COUNTIF(Bloque_Ecosistema!$B$9:$B$198,B25)</f>
        <v/>
      </c>
      <c r="H25" s="5" t="inlineStr">
        <is>
          <t>Matorral andino</t>
        </is>
      </c>
      <c r="I25" s="7" t="n">
        <v>1</v>
      </c>
      <c r="J25" s="5" t="inlineStr"/>
    </row>
    <row r="26">
      <c r="A26" s="9" t="n">
        <v>18</v>
      </c>
      <c r="B26" s="9" t="inlineStr">
        <is>
          <t>66</t>
        </is>
      </c>
      <c r="C26" s="9" t="inlineStr">
        <is>
          <t>C1081-Q9591</t>
        </is>
      </c>
      <c r="D26" s="9" t="inlineStr">
        <is>
          <t>Huancabamba</t>
        </is>
      </c>
      <c r="E26" s="9" t="inlineStr">
        <is>
          <t>Canchaque</t>
        </is>
      </c>
      <c r="F26" s="10" t="n">
        <v>102.335</v>
      </c>
      <c r="G26" s="9">
        <f>COUNTIF(Bloque_Ecosistema!$B$9:$B$198,B26)</f>
        <v/>
      </c>
      <c r="H26" s="9" t="inlineStr">
        <is>
          <t>Zona agrícola</t>
        </is>
      </c>
      <c r="I26" s="11" t="n">
        <v>0.7529</v>
      </c>
      <c r="J26" s="9" t="inlineStr">
        <is>
          <t>Bosque estacionalmente seco de colina y montaña (19%); Matorral andino (6%)</t>
        </is>
      </c>
    </row>
    <row r="27">
      <c r="A27" s="5" t="n">
        <v>19</v>
      </c>
      <c r="B27" s="5" t="inlineStr">
        <is>
          <t>79</t>
        </is>
      </c>
      <c r="C27" s="5" t="inlineStr">
        <is>
          <t>C1076-Q9587</t>
        </is>
      </c>
      <c r="D27" s="5" t="inlineStr">
        <is>
          <t>Huancabamba</t>
        </is>
      </c>
      <c r="E27" s="5" t="inlineStr">
        <is>
          <t>Canchaque</t>
        </is>
      </c>
      <c r="F27" s="6" t="n">
        <v>94.812</v>
      </c>
      <c r="G27" s="5">
        <f>COUNTIF(Bloque_Ecosistema!$B$9:$B$198,B27)</f>
        <v/>
      </c>
      <c r="H27" s="5" t="inlineStr">
        <is>
          <t>Bosque estacionalmente seco de colina y montaña</t>
        </is>
      </c>
      <c r="I27" s="7" t="n">
        <v>1</v>
      </c>
      <c r="J27" s="5" t="inlineStr"/>
    </row>
    <row r="28">
      <c r="A28" s="9" t="n">
        <v>20</v>
      </c>
      <c r="B28" s="9" t="inlineStr">
        <is>
          <t>81</t>
        </is>
      </c>
      <c r="C28" s="9" t="inlineStr">
        <is>
          <t>C1076-Q9585</t>
        </is>
      </c>
      <c r="D28" s="9" t="inlineStr">
        <is>
          <t>Huancabamba</t>
        </is>
      </c>
      <c r="E28" s="9" t="inlineStr">
        <is>
          <t>Canchaque</t>
        </is>
      </c>
      <c r="F28" s="10" t="n">
        <v>8.929</v>
      </c>
      <c r="G28" s="9">
        <f>COUNTIF(Bloque_Ecosistema!$B$9:$B$198,B28)</f>
        <v/>
      </c>
      <c r="H28" s="9" t="inlineStr">
        <is>
          <t>Bosque estacionalmente seco de colina y montaña</t>
        </is>
      </c>
      <c r="I28" s="11" t="n">
        <v>1</v>
      </c>
      <c r="J28" s="9" t="inlineStr"/>
    </row>
    <row r="29">
      <c r="A29" s="5" t="n">
        <v>21</v>
      </c>
      <c r="B29" s="5" t="inlineStr">
        <is>
          <t>64</t>
        </is>
      </c>
      <c r="C29" s="5" t="inlineStr">
        <is>
          <t>C1081-Q9591</t>
        </is>
      </c>
      <c r="D29" s="5" t="inlineStr">
        <is>
          <t>Huancabamba</t>
        </is>
      </c>
      <c r="E29" s="5" t="inlineStr">
        <is>
          <t>Huancabamba</t>
        </is>
      </c>
      <c r="F29" s="6" t="n">
        <v>35.774</v>
      </c>
      <c r="G29" s="5">
        <f>COUNTIF(Bloque_Ecosistema!$B$9:$B$198,B29)</f>
        <v/>
      </c>
      <c r="H29" s="5" t="inlineStr">
        <is>
          <t>Zona agrícola</t>
        </is>
      </c>
      <c r="I29" s="7" t="n">
        <v>1</v>
      </c>
      <c r="J29" s="5" t="inlineStr"/>
    </row>
    <row r="30">
      <c r="A30" s="9" t="n">
        <v>22</v>
      </c>
      <c r="B30" s="9" t="inlineStr">
        <is>
          <t>M30B5</t>
        </is>
      </c>
      <c r="C30" s="9" t="inlineStr">
        <is>
          <t>C1081-Q9591</t>
        </is>
      </c>
      <c r="D30" s="9" t="inlineStr">
        <is>
          <t>Huancabamba</t>
        </is>
      </c>
      <c r="E30" s="9" t="inlineStr">
        <is>
          <t>Huancabamba</t>
        </is>
      </c>
      <c r="F30" s="10" t="n">
        <v>90.90300000000001</v>
      </c>
      <c r="G30" s="9">
        <f>COUNTIF(Bloque_Ecosistema!$B$9:$B$198,B30)</f>
        <v/>
      </c>
      <c r="H30" s="9" t="inlineStr">
        <is>
          <t>Zona agrícola</t>
        </is>
      </c>
      <c r="I30" s="11" t="n">
        <v>0.821</v>
      </c>
      <c r="J30" s="9" t="inlineStr">
        <is>
          <t>Matorral andino (18%)</t>
        </is>
      </c>
    </row>
    <row r="31">
      <c r="A31" s="5" t="n">
        <v>23</v>
      </c>
      <c r="B31" s="5" t="inlineStr">
        <is>
          <t>10</t>
        </is>
      </c>
      <c r="C31" s="5" t="inlineStr">
        <is>
          <t>C1076-Q9593</t>
        </is>
      </c>
      <c r="D31" s="5" t="inlineStr">
        <is>
          <t>Huancabamba</t>
        </is>
      </c>
      <c r="E31" s="5" t="inlineStr">
        <is>
          <t>Huarmaca</t>
        </is>
      </c>
      <c r="F31" s="6" t="n">
        <v>150.214</v>
      </c>
      <c r="G31" s="5">
        <f>COUNTIF(Bloque_Ecosistema!$B$9:$B$198,B31)</f>
        <v/>
      </c>
      <c r="H31" s="5" t="inlineStr">
        <is>
          <t>Bosque estacionalmente seco de colina y montaña</t>
        </is>
      </c>
      <c r="I31" s="7" t="n">
        <v>0.8613</v>
      </c>
      <c r="J31" s="5" t="inlineStr">
        <is>
          <t>Zona agrícola (14%)</t>
        </is>
      </c>
    </row>
    <row r="32">
      <c r="A32" s="9" t="n">
        <v>24</v>
      </c>
      <c r="B32" s="9" t="inlineStr">
        <is>
          <t>16</t>
        </is>
      </c>
      <c r="C32" s="9" t="inlineStr">
        <is>
          <t>C1076-Q9593</t>
        </is>
      </c>
      <c r="D32" s="9" t="inlineStr">
        <is>
          <t>Huancabamba</t>
        </is>
      </c>
      <c r="E32" s="9" t="inlineStr">
        <is>
          <t>Huarmaca</t>
        </is>
      </c>
      <c r="F32" s="10" t="n">
        <v>83.327</v>
      </c>
      <c r="G32" s="9">
        <f>COUNTIF(Bloque_Ecosistema!$B$9:$B$198,B32)</f>
        <v/>
      </c>
      <c r="H32" s="9" t="inlineStr">
        <is>
          <t>Zona agrícola</t>
        </is>
      </c>
      <c r="I32" s="11" t="n">
        <v>0.5477</v>
      </c>
      <c r="J32" s="9" t="inlineStr">
        <is>
          <t>Bosque estacionalmente seco de colina y montaña (45%)</t>
        </is>
      </c>
    </row>
    <row r="33">
      <c r="A33" s="5" t="n">
        <v>25</v>
      </c>
      <c r="B33" s="5" t="inlineStr">
        <is>
          <t>18</t>
        </is>
      </c>
      <c r="C33" s="5" t="inlineStr">
        <is>
          <t>C1076-Q9592</t>
        </is>
      </c>
      <c r="D33" s="5" t="inlineStr">
        <is>
          <t>Huancabamba</t>
        </is>
      </c>
      <c r="E33" s="5" t="inlineStr">
        <is>
          <t>Huarmaca</t>
        </is>
      </c>
      <c r="F33" s="6" t="n">
        <v>103.617</v>
      </c>
      <c r="G33" s="5">
        <f>COUNTIF(Bloque_Ecosistema!$B$9:$B$198,B33)</f>
        <v/>
      </c>
      <c r="H33" s="5" t="inlineStr">
        <is>
          <t>Bosque estacionalmente seco de colina y montaña</t>
        </is>
      </c>
      <c r="I33" s="7" t="n">
        <v>0.9101</v>
      </c>
      <c r="J33" s="5" t="inlineStr">
        <is>
          <t>Zona agrícola (9%)</t>
        </is>
      </c>
    </row>
    <row r="34">
      <c r="A34" s="9" t="n">
        <v>26</v>
      </c>
      <c r="B34" s="9" t="inlineStr">
        <is>
          <t>19</t>
        </is>
      </c>
      <c r="C34" s="9" t="inlineStr">
        <is>
          <t>C1076-Q9592</t>
        </is>
      </c>
      <c r="D34" s="9" t="inlineStr">
        <is>
          <t>Huancabamba</t>
        </is>
      </c>
      <c r="E34" s="9" t="inlineStr">
        <is>
          <t>Huarmaca</t>
        </is>
      </c>
      <c r="F34" s="10" t="n">
        <v>82.08799999999999</v>
      </c>
      <c r="G34" s="9">
        <f>COUNTIF(Bloque_Ecosistema!$B$9:$B$198,B34)</f>
        <v/>
      </c>
      <c r="H34" s="9" t="inlineStr">
        <is>
          <t>Matorral andino</t>
        </is>
      </c>
      <c r="I34" s="11" t="n">
        <v>0.5145999999999999</v>
      </c>
      <c r="J34" s="9" t="inlineStr">
        <is>
          <t>Zona agrícola (49%)</t>
        </is>
      </c>
    </row>
    <row r="35">
      <c r="A35" s="5" t="n">
        <v>27</v>
      </c>
      <c r="B35" s="5" t="inlineStr">
        <is>
          <t>20</t>
        </is>
      </c>
      <c r="C35" s="5" t="inlineStr">
        <is>
          <t>C1076-Q9593</t>
        </is>
      </c>
      <c r="D35" s="5" t="inlineStr">
        <is>
          <t>Huancabamba</t>
        </is>
      </c>
      <c r="E35" s="5" t="inlineStr">
        <is>
          <t>Huarmaca</t>
        </is>
      </c>
      <c r="F35" s="6" t="n">
        <v>81.334</v>
      </c>
      <c r="G35" s="5">
        <f>COUNTIF(Bloque_Ecosistema!$B$9:$B$198,B35)</f>
        <v/>
      </c>
      <c r="H35" s="5" t="inlineStr">
        <is>
          <t>Bosque estacionalmente seco de colina y montaña</t>
        </is>
      </c>
      <c r="I35" s="7" t="n">
        <v>0.5199</v>
      </c>
      <c r="J35" s="5" t="inlineStr">
        <is>
          <t>Matorral andino (48%)</t>
        </is>
      </c>
    </row>
    <row r="36">
      <c r="A36" s="9" t="n">
        <v>28</v>
      </c>
      <c r="B36" s="9" t="inlineStr">
        <is>
          <t>31</t>
        </is>
      </c>
      <c r="C36" s="9" t="inlineStr">
        <is>
          <t>C1076-Q9592</t>
        </is>
      </c>
      <c r="D36" s="9" t="inlineStr">
        <is>
          <t>Huancabamba</t>
        </is>
      </c>
      <c r="E36" s="9" t="inlineStr">
        <is>
          <t>Huarmaca</t>
        </is>
      </c>
      <c r="F36" s="10" t="n">
        <v>47.581</v>
      </c>
      <c r="G36" s="9">
        <f>COUNTIF(Bloque_Ecosistema!$B$9:$B$198,B36)</f>
        <v/>
      </c>
      <c r="H36" s="9" t="inlineStr">
        <is>
          <t>Matorral andino</t>
        </is>
      </c>
      <c r="I36" s="11" t="n">
        <v>1</v>
      </c>
      <c r="J36" s="9" t="inlineStr"/>
    </row>
    <row r="37">
      <c r="A37" s="5" t="n">
        <v>29</v>
      </c>
      <c r="B37" s="5" t="inlineStr">
        <is>
          <t>4</t>
        </is>
      </c>
      <c r="C37" s="5" t="inlineStr">
        <is>
          <t>C1076-Q9588</t>
        </is>
      </c>
      <c r="D37" s="5" t="inlineStr">
        <is>
          <t>Huancabamba</t>
        </is>
      </c>
      <c r="E37" s="5" t="inlineStr">
        <is>
          <t>Huarmaca</t>
        </is>
      </c>
      <c r="F37" s="6" t="n">
        <v>230.098</v>
      </c>
      <c r="G37" s="5">
        <f>COUNTIF(Bloque_Ecosistema!$B$9:$B$198,B37)</f>
        <v/>
      </c>
      <c r="H37" s="5" t="inlineStr">
        <is>
          <t>Zona agrícola</t>
        </is>
      </c>
      <c r="I37" s="7" t="n">
        <v>1</v>
      </c>
      <c r="J37" s="5" t="inlineStr"/>
    </row>
    <row r="38">
      <c r="A38" s="9" t="n">
        <v>30</v>
      </c>
      <c r="B38" s="9" t="inlineStr">
        <is>
          <t>41</t>
        </is>
      </c>
      <c r="C38" s="9" t="inlineStr">
        <is>
          <t>C1076-Q9592</t>
        </is>
      </c>
      <c r="D38" s="9" t="inlineStr">
        <is>
          <t>Huancabamba</t>
        </is>
      </c>
      <c r="E38" s="9" t="inlineStr">
        <is>
          <t>Huarmaca</t>
        </is>
      </c>
      <c r="F38" s="10" t="n">
        <v>64.923</v>
      </c>
      <c r="G38" s="9">
        <f>COUNTIF(Bloque_Ecosistema!$B$9:$B$198,B38)</f>
        <v/>
      </c>
      <c r="H38" s="9" t="inlineStr">
        <is>
          <t>Zona agrícola</t>
        </is>
      </c>
      <c r="I38" s="11" t="n">
        <v>1</v>
      </c>
      <c r="J38" s="9" t="inlineStr"/>
    </row>
    <row r="39">
      <c r="A39" s="5" t="n">
        <v>31</v>
      </c>
      <c r="B39" s="5" t="inlineStr">
        <is>
          <t>51</t>
        </is>
      </c>
      <c r="C39" s="5" t="inlineStr">
        <is>
          <t>C1076-Q9593</t>
        </is>
      </c>
      <c r="D39" s="5" t="inlineStr">
        <is>
          <t>Huancabamba</t>
        </is>
      </c>
      <c r="E39" s="5" t="inlineStr">
        <is>
          <t>Huarmaca</t>
        </is>
      </c>
      <c r="F39" s="6" t="n">
        <v>22.927</v>
      </c>
      <c r="G39" s="5">
        <f>COUNTIF(Bloque_Ecosistema!$B$9:$B$198,B39)</f>
        <v/>
      </c>
      <c r="H39" s="5" t="inlineStr">
        <is>
          <t>Zona agrícola</t>
        </is>
      </c>
      <c r="I39" s="7" t="n">
        <v>0.8824</v>
      </c>
      <c r="J39" s="5" t="inlineStr">
        <is>
          <t>Matorral andino (12%)</t>
        </is>
      </c>
    </row>
    <row r="40">
      <c r="A40" s="9" t="n">
        <v>32</v>
      </c>
      <c r="B40" s="9" t="inlineStr">
        <is>
          <t>53</t>
        </is>
      </c>
      <c r="C40" s="9" t="inlineStr">
        <is>
          <t>C1076-Q9592</t>
        </is>
      </c>
      <c r="D40" s="9" t="inlineStr">
        <is>
          <t>Huancabamba</t>
        </is>
      </c>
      <c r="E40" s="9" t="inlineStr">
        <is>
          <t>Huarmaca</t>
        </is>
      </c>
      <c r="F40" s="10" t="n">
        <v>13.065</v>
      </c>
      <c r="G40" s="9">
        <f>COUNTIF(Bloque_Ecosistema!$B$9:$B$198,B40)</f>
        <v/>
      </c>
      <c r="H40" s="9" t="inlineStr">
        <is>
          <t>Matorral andino</t>
        </is>
      </c>
      <c r="I40" s="11" t="n">
        <v>1</v>
      </c>
      <c r="J40" s="9" t="inlineStr"/>
    </row>
    <row r="41">
      <c r="A41" s="5" t="n">
        <v>33</v>
      </c>
      <c r="B41" s="5" t="inlineStr">
        <is>
          <t>69</t>
        </is>
      </c>
      <c r="C41" s="5" t="inlineStr">
        <is>
          <t>C1076-Q9592</t>
        </is>
      </c>
      <c r="D41" s="5" t="inlineStr">
        <is>
          <t>Huancabamba</t>
        </is>
      </c>
      <c r="E41" s="5" t="inlineStr">
        <is>
          <t>Huarmaca</t>
        </is>
      </c>
      <c r="F41" s="6" t="n">
        <v>19.425</v>
      </c>
      <c r="G41" s="5">
        <f>COUNTIF(Bloque_Ecosistema!$B$9:$B$198,B41)</f>
        <v/>
      </c>
      <c r="H41" s="5" t="inlineStr">
        <is>
          <t>Matorral andino</t>
        </is>
      </c>
      <c r="I41" s="7" t="n">
        <v>0.9797</v>
      </c>
      <c r="J41" s="5" t="inlineStr">
        <is>
          <t>Zona agrícola (2%)</t>
        </is>
      </c>
    </row>
    <row r="42">
      <c r="A42" s="9" t="n">
        <v>34</v>
      </c>
      <c r="B42" s="9" t="inlineStr">
        <is>
          <t>70</t>
        </is>
      </c>
      <c r="C42" s="9" t="inlineStr">
        <is>
          <t>C1076-Q9592</t>
        </is>
      </c>
      <c r="D42" s="9" t="inlineStr">
        <is>
          <t>Huancabamba</t>
        </is>
      </c>
      <c r="E42" s="9" t="inlineStr">
        <is>
          <t>Huarmaca</t>
        </is>
      </c>
      <c r="F42" s="10" t="n">
        <v>22.388</v>
      </c>
      <c r="G42" s="9">
        <f>COUNTIF(Bloque_Ecosistema!$B$9:$B$198,B42)</f>
        <v/>
      </c>
      <c r="H42" s="9" t="inlineStr">
        <is>
          <t>Matorral andino</t>
        </is>
      </c>
      <c r="I42" s="11" t="n">
        <v>0.9883</v>
      </c>
      <c r="J42" s="9" t="inlineStr">
        <is>
          <t>Zona agrícola (1%)</t>
        </is>
      </c>
    </row>
    <row r="43">
      <c r="A43" s="5" t="n">
        <v>35</v>
      </c>
      <c r="B43" s="5" t="inlineStr">
        <is>
          <t>71</t>
        </is>
      </c>
      <c r="C43" s="5" t="inlineStr">
        <is>
          <t>C1076-Q9593</t>
        </is>
      </c>
      <c r="D43" s="5" t="inlineStr">
        <is>
          <t>Huancabamba</t>
        </is>
      </c>
      <c r="E43" s="5" t="inlineStr">
        <is>
          <t>Huarmaca</t>
        </is>
      </c>
      <c r="F43" s="6" t="n">
        <v>10.673</v>
      </c>
      <c r="G43" s="5">
        <f>COUNTIF(Bloque_Ecosistema!$B$9:$B$198,B43)</f>
        <v/>
      </c>
      <c r="H43" s="5" t="inlineStr">
        <is>
          <t>Matorral andino</t>
        </is>
      </c>
      <c r="I43" s="7" t="n">
        <v>1</v>
      </c>
      <c r="J43" s="5" t="inlineStr"/>
    </row>
    <row r="44">
      <c r="A44" s="9" t="n">
        <v>36</v>
      </c>
      <c r="B44" s="9" t="inlineStr">
        <is>
          <t>72</t>
        </is>
      </c>
      <c r="C44" s="9" t="inlineStr">
        <is>
          <t>C1076-Q9592</t>
        </is>
      </c>
      <c r="D44" s="9" t="inlineStr">
        <is>
          <t>Huancabamba</t>
        </is>
      </c>
      <c r="E44" s="9" t="inlineStr">
        <is>
          <t>Huarmaca</t>
        </is>
      </c>
      <c r="F44" s="10" t="n">
        <v>12.398</v>
      </c>
      <c r="G44" s="9">
        <f>COUNTIF(Bloque_Ecosistema!$B$9:$B$198,B44)</f>
        <v/>
      </c>
      <c r="H44" s="9" t="inlineStr">
        <is>
          <t>Zona agrícola</t>
        </is>
      </c>
      <c r="I44" s="11" t="n">
        <v>1</v>
      </c>
      <c r="J44" s="9" t="inlineStr"/>
    </row>
    <row r="45">
      <c r="A45" s="5" t="n">
        <v>37</v>
      </c>
      <c r="B45" s="5" t="inlineStr">
        <is>
          <t>73</t>
        </is>
      </c>
      <c r="C45" s="5" t="inlineStr">
        <is>
          <t>C1076-Q9592</t>
        </is>
      </c>
      <c r="D45" s="5" t="inlineStr">
        <is>
          <t>Huancabamba</t>
        </is>
      </c>
      <c r="E45" s="5" t="inlineStr">
        <is>
          <t>Huarmaca</t>
        </is>
      </c>
      <c r="F45" s="6" t="n">
        <v>54.29</v>
      </c>
      <c r="G45" s="5">
        <f>COUNTIF(Bloque_Ecosistema!$B$9:$B$198,B45)</f>
        <v/>
      </c>
      <c r="H45" s="5" t="inlineStr">
        <is>
          <t>Zona agrícola</t>
        </is>
      </c>
      <c r="I45" s="7" t="n">
        <v>1</v>
      </c>
      <c r="J45" s="5" t="inlineStr"/>
    </row>
    <row r="46">
      <c r="A46" s="9" t="n">
        <v>38</v>
      </c>
      <c r="B46" s="9" t="inlineStr">
        <is>
          <t>76</t>
        </is>
      </c>
      <c r="C46" s="9" t="inlineStr">
        <is>
          <t>C1076-Q9593</t>
        </is>
      </c>
      <c r="D46" s="9" t="inlineStr">
        <is>
          <t>Huancabamba</t>
        </is>
      </c>
      <c r="E46" s="9" t="inlineStr">
        <is>
          <t>Huarmaca</t>
        </is>
      </c>
      <c r="F46" s="10" t="n">
        <v>19.615</v>
      </c>
      <c r="G46" s="9">
        <f>COUNTIF(Bloque_Ecosistema!$B$9:$B$198,B46)</f>
        <v/>
      </c>
      <c r="H46" s="9" t="inlineStr">
        <is>
          <t>Zona agrícola</t>
        </is>
      </c>
      <c r="I46" s="11" t="n">
        <v>1</v>
      </c>
      <c r="J46" s="9" t="inlineStr"/>
    </row>
    <row r="47">
      <c r="A47" s="5" t="n">
        <v>39</v>
      </c>
      <c r="B47" s="5" t="inlineStr">
        <is>
          <t>8</t>
        </is>
      </c>
      <c r="C47" s="5" t="inlineStr">
        <is>
          <t>C1076-Q9593</t>
        </is>
      </c>
      <c r="D47" s="5" t="inlineStr">
        <is>
          <t>Huancabamba</t>
        </is>
      </c>
      <c r="E47" s="5" t="inlineStr">
        <is>
          <t>Huarmaca</t>
        </is>
      </c>
      <c r="F47" s="6" t="n">
        <v>126.952</v>
      </c>
      <c r="G47" s="5">
        <f>COUNTIF(Bloque_Ecosistema!$B$9:$B$198,B47)</f>
        <v/>
      </c>
      <c r="H47" s="5" t="inlineStr">
        <is>
          <t>Matorral andino</t>
        </is>
      </c>
      <c r="I47" s="7" t="n">
        <v>0.9596</v>
      </c>
      <c r="J47" s="5" t="inlineStr">
        <is>
          <t>Zona agrícola (4%)</t>
        </is>
      </c>
    </row>
    <row r="48">
      <c r="A48" s="9" t="n">
        <v>40</v>
      </c>
      <c r="B48" s="9" t="inlineStr">
        <is>
          <t>80</t>
        </is>
      </c>
      <c r="C48" s="9" t="inlineStr">
        <is>
          <t>C1076-Q9593</t>
        </is>
      </c>
      <c r="D48" s="9" t="inlineStr">
        <is>
          <t>Huancabamba</t>
        </is>
      </c>
      <c r="E48" s="9" t="inlineStr">
        <is>
          <t>Huarmaca</t>
        </is>
      </c>
      <c r="F48" s="10" t="n">
        <v>28.83</v>
      </c>
      <c r="G48" s="9">
        <f>COUNTIF(Bloque_Ecosistema!$B$9:$B$198,B48)</f>
        <v/>
      </c>
      <c r="H48" s="9" t="inlineStr">
        <is>
          <t>Zona agrícola</t>
        </is>
      </c>
      <c r="I48" s="11" t="n">
        <v>1</v>
      </c>
      <c r="J48" s="9" t="inlineStr"/>
    </row>
    <row r="49">
      <c r="A49" s="5" t="n">
        <v>41</v>
      </c>
      <c r="B49" s="5" t="inlineStr">
        <is>
          <t>M12B1</t>
        </is>
      </c>
      <c r="C49" s="5" t="inlineStr">
        <is>
          <t>C1076-Q9588</t>
        </is>
      </c>
      <c r="D49" s="5" t="inlineStr">
        <is>
          <t>Huancabamba</t>
        </is>
      </c>
      <c r="E49" s="5" t="inlineStr">
        <is>
          <t>Huarmaca</t>
        </is>
      </c>
      <c r="F49" s="6" t="n">
        <v>268.393</v>
      </c>
      <c r="G49" s="5">
        <f>COUNTIF(Bloque_Ecosistema!$B$9:$B$198,B49)</f>
        <v/>
      </c>
      <c r="H49" s="5" t="inlineStr">
        <is>
          <t>Bosque estacionalmente seco de colina y montaña</t>
        </is>
      </c>
      <c r="I49" s="7" t="n">
        <v>0.9998</v>
      </c>
      <c r="J49" s="5" t="inlineStr">
        <is>
          <t>Zona agrícola (0%)</t>
        </is>
      </c>
    </row>
    <row r="50">
      <c r="A50" s="9" t="n">
        <v>42</v>
      </c>
      <c r="B50" s="9" t="inlineStr">
        <is>
          <t>M4B3</t>
        </is>
      </c>
      <c r="C50" s="9" t="inlineStr">
        <is>
          <t>C1076-Q9589</t>
        </is>
      </c>
      <c r="D50" s="9" t="inlineStr">
        <is>
          <t>Huancabamba</t>
        </is>
      </c>
      <c r="E50" s="9" t="inlineStr">
        <is>
          <t>Huarmaca</t>
        </is>
      </c>
      <c r="F50" s="10" t="n">
        <v>234.069</v>
      </c>
      <c r="G50" s="9">
        <f>COUNTIF(Bloque_Ecosistema!$B$9:$B$198,B50)</f>
        <v/>
      </c>
      <c r="H50" s="9" t="inlineStr">
        <is>
          <t>Bosque estacionalmente seco de colina y montaña</t>
        </is>
      </c>
      <c r="I50" s="11" t="n">
        <v>1</v>
      </c>
      <c r="J50" s="9" t="inlineStr"/>
    </row>
    <row r="51">
      <c r="A51" s="5" t="n">
        <v>43</v>
      </c>
      <c r="B51" s="5" t="inlineStr">
        <is>
          <t>M4B4</t>
        </is>
      </c>
      <c r="C51" s="5" t="inlineStr">
        <is>
          <t>C1076-Q9589</t>
        </is>
      </c>
      <c r="D51" s="5" t="inlineStr">
        <is>
          <t>Huancabamba</t>
        </is>
      </c>
      <c r="E51" s="5" t="inlineStr">
        <is>
          <t>Huarmaca</t>
        </is>
      </c>
      <c r="F51" s="6" t="n">
        <v>289.914</v>
      </c>
      <c r="G51" s="5">
        <f>COUNTIF(Bloque_Ecosistema!$B$9:$B$198,B51)</f>
        <v/>
      </c>
      <c r="H51" s="5" t="inlineStr">
        <is>
          <t>Bosque estacionalmente seco de colina y montaña</t>
        </is>
      </c>
      <c r="I51" s="7" t="n">
        <v>1</v>
      </c>
      <c r="J51" s="5" t="inlineStr"/>
    </row>
    <row r="52">
      <c r="A52" s="9" t="n">
        <v>44</v>
      </c>
      <c r="B52" s="9" t="inlineStr">
        <is>
          <t>26</t>
        </is>
      </c>
      <c r="C52" s="9" t="inlineStr">
        <is>
          <t>C1081-Q9591</t>
        </is>
      </c>
      <c r="D52" s="9" t="inlineStr">
        <is>
          <t>Huancabamba</t>
        </is>
      </c>
      <c r="E52" s="9" t="inlineStr">
        <is>
          <t>Lalaquiz</t>
        </is>
      </c>
      <c r="F52" s="10" t="n">
        <v>46.962</v>
      </c>
      <c r="G52" s="9">
        <f>COUNTIF(Bloque_Ecosistema!$B$9:$B$198,B52)</f>
        <v/>
      </c>
      <c r="H52" s="9" t="inlineStr">
        <is>
          <t>Zona agrícola</t>
        </is>
      </c>
      <c r="I52" s="11" t="n">
        <v>1</v>
      </c>
      <c r="J52" s="9" t="inlineStr"/>
    </row>
    <row r="53">
      <c r="A53" s="5" t="n">
        <v>45</v>
      </c>
      <c r="B53" s="5" t="inlineStr">
        <is>
          <t>34</t>
        </is>
      </c>
      <c r="C53" s="5" t="inlineStr">
        <is>
          <t>C1081-Q9590</t>
        </is>
      </c>
      <c r="D53" s="5" t="inlineStr">
        <is>
          <t>Huancabamba</t>
        </is>
      </c>
      <c r="E53" s="5" t="inlineStr">
        <is>
          <t>Lalaquiz</t>
        </is>
      </c>
      <c r="F53" s="6" t="n">
        <v>28.45</v>
      </c>
      <c r="G53" s="5">
        <f>COUNTIF(Bloque_Ecosistema!$B$9:$B$198,B53)</f>
        <v/>
      </c>
      <c r="H53" s="5" t="inlineStr">
        <is>
          <t>Zona agrícola</t>
        </is>
      </c>
      <c r="I53" s="7" t="n">
        <v>0.9467</v>
      </c>
      <c r="J53" s="5" t="inlineStr">
        <is>
          <t>Matorral andino (5%)</t>
        </is>
      </c>
    </row>
    <row r="54">
      <c r="A54" s="9" t="n">
        <v>46</v>
      </c>
      <c r="B54" s="9" t="inlineStr">
        <is>
          <t>37</t>
        </is>
      </c>
      <c r="C54" s="9" t="inlineStr">
        <is>
          <t>C1081-Q9591</t>
        </is>
      </c>
      <c r="D54" s="9" t="inlineStr">
        <is>
          <t>Huancabamba</t>
        </is>
      </c>
      <c r="E54" s="9" t="inlineStr">
        <is>
          <t>Lalaquiz</t>
        </is>
      </c>
      <c r="F54" s="10" t="n">
        <v>35.491</v>
      </c>
      <c r="G54" s="9">
        <f>COUNTIF(Bloque_Ecosistema!$B$9:$B$198,B54)</f>
        <v/>
      </c>
      <c r="H54" s="9" t="inlineStr">
        <is>
          <t>Matorral andino</t>
        </is>
      </c>
      <c r="I54" s="11" t="n">
        <v>0.5998</v>
      </c>
      <c r="J54" s="9" t="inlineStr">
        <is>
          <t>Zona agrícola (40%)</t>
        </is>
      </c>
    </row>
    <row r="55">
      <c r="A55" s="5" t="n">
        <v>47</v>
      </c>
      <c r="B55" s="5" t="inlineStr">
        <is>
          <t>38</t>
        </is>
      </c>
      <c r="C55" s="5" t="inlineStr">
        <is>
          <t>C1081-Q9590</t>
        </is>
      </c>
      <c r="D55" s="5" t="inlineStr">
        <is>
          <t>Huancabamba</t>
        </is>
      </c>
      <c r="E55" s="5" t="inlineStr">
        <is>
          <t>Lalaquiz</t>
        </is>
      </c>
      <c r="F55" s="6" t="n">
        <v>44.201</v>
      </c>
      <c r="G55" s="5">
        <f>COUNTIF(Bloque_Ecosistema!$B$9:$B$198,B55)</f>
        <v/>
      </c>
      <c r="H55" s="5" t="inlineStr">
        <is>
          <t>Zona agrícola</t>
        </is>
      </c>
      <c r="I55" s="7" t="n">
        <v>0.898</v>
      </c>
      <c r="J55" s="5" t="inlineStr">
        <is>
          <t>Bosque estacionalmente seco de colina y montaña (9%); Matorral andino (1%)</t>
        </is>
      </c>
    </row>
    <row r="56">
      <c r="A56" s="9" t="n">
        <v>48</v>
      </c>
      <c r="B56" s="9" t="inlineStr">
        <is>
          <t>50</t>
        </is>
      </c>
      <c r="C56" s="9" t="inlineStr">
        <is>
          <t>C1081-Q9590</t>
        </is>
      </c>
      <c r="D56" s="9" t="inlineStr">
        <is>
          <t>Huancabamba</t>
        </is>
      </c>
      <c r="E56" s="9" t="inlineStr">
        <is>
          <t>Lalaquiz</t>
        </is>
      </c>
      <c r="F56" s="10" t="n">
        <v>19.266</v>
      </c>
      <c r="G56" s="9">
        <f>COUNTIF(Bloque_Ecosistema!$B$9:$B$198,B56)</f>
        <v/>
      </c>
      <c r="H56" s="9" t="inlineStr">
        <is>
          <t>Matorral andino</t>
        </is>
      </c>
      <c r="I56" s="11" t="n">
        <v>0.9576</v>
      </c>
      <c r="J56" s="9" t="inlineStr">
        <is>
          <t>Zona agrícola (4%)</t>
        </is>
      </c>
    </row>
    <row r="57">
      <c r="A57" s="5" t="n">
        <v>49</v>
      </c>
      <c r="B57" s="5" t="inlineStr">
        <is>
          <t>61</t>
        </is>
      </c>
      <c r="C57" s="5" t="inlineStr">
        <is>
          <t>C1081-Q9590</t>
        </is>
      </c>
      <c r="D57" s="5" t="inlineStr">
        <is>
          <t>Huancabamba</t>
        </is>
      </c>
      <c r="E57" s="5" t="inlineStr">
        <is>
          <t>Lalaquiz</t>
        </is>
      </c>
      <c r="F57" s="6" t="n">
        <v>26.826</v>
      </c>
      <c r="G57" s="5">
        <f>COUNTIF(Bloque_Ecosistema!$B$9:$B$198,B57)</f>
        <v/>
      </c>
      <c r="H57" s="5" t="inlineStr">
        <is>
          <t>Zona agrícola</t>
        </is>
      </c>
      <c r="I57" s="7" t="n">
        <v>0.5214</v>
      </c>
      <c r="J57" s="5" t="inlineStr">
        <is>
          <t>Matorral andino (48%)</t>
        </is>
      </c>
    </row>
    <row r="58">
      <c r="A58" s="9" t="n">
        <v>50</v>
      </c>
      <c r="B58" s="9" t="inlineStr">
        <is>
          <t>35</t>
        </is>
      </c>
      <c r="C58" s="9" t="inlineStr">
        <is>
          <t>C1076-Q9586</t>
        </is>
      </c>
      <c r="D58" s="9" t="inlineStr">
        <is>
          <t>Huancabamba</t>
        </is>
      </c>
      <c r="E58" s="9" t="inlineStr">
        <is>
          <t>San Miguel de El Faique</t>
        </is>
      </c>
      <c r="F58" s="10" t="n">
        <v>30.804</v>
      </c>
      <c r="G58" s="9">
        <f>COUNTIF(Bloque_Ecosistema!$B$9:$B$198,B58)</f>
        <v/>
      </c>
      <c r="H58" s="9" t="inlineStr">
        <is>
          <t>Zona agrícola</t>
        </is>
      </c>
      <c r="I58" s="11" t="n">
        <v>1</v>
      </c>
      <c r="J58" s="9" t="inlineStr"/>
    </row>
    <row r="59">
      <c r="A59" s="5" t="n">
        <v>51</v>
      </c>
      <c r="B59" s="5" t="inlineStr">
        <is>
          <t>43</t>
        </is>
      </c>
      <c r="C59" s="5" t="inlineStr">
        <is>
          <t>C1076-Q9586</t>
        </is>
      </c>
      <c r="D59" s="5" t="inlineStr">
        <is>
          <t>Huancabamba</t>
        </is>
      </c>
      <c r="E59" s="5" t="inlineStr">
        <is>
          <t>San Miguel de El Faique</t>
        </is>
      </c>
      <c r="F59" s="6" t="n">
        <v>23.171</v>
      </c>
      <c r="G59" s="5">
        <f>COUNTIF(Bloque_Ecosistema!$B$9:$B$198,B59)</f>
        <v/>
      </c>
      <c r="H59" s="5" t="inlineStr">
        <is>
          <t>Zona agrícola</t>
        </is>
      </c>
      <c r="I59" s="7" t="n">
        <v>1</v>
      </c>
      <c r="J59" s="5" t="inlineStr"/>
    </row>
    <row r="60">
      <c r="A60" s="9" t="n">
        <v>52</v>
      </c>
      <c r="B60" s="9" t="inlineStr">
        <is>
          <t>44</t>
        </is>
      </c>
      <c r="C60" s="9" t="inlineStr">
        <is>
          <t>C1076-Q9586</t>
        </is>
      </c>
      <c r="D60" s="9" t="inlineStr">
        <is>
          <t>Huancabamba</t>
        </is>
      </c>
      <c r="E60" s="9" t="inlineStr">
        <is>
          <t>San Miguel de El Faique</t>
        </is>
      </c>
      <c r="F60" s="10" t="n">
        <v>28.234</v>
      </c>
      <c r="G60" s="9">
        <f>COUNTIF(Bloque_Ecosistema!$B$9:$B$198,B60)</f>
        <v/>
      </c>
      <c r="H60" s="9" t="inlineStr">
        <is>
          <t>Páramo</t>
        </is>
      </c>
      <c r="I60" s="11" t="n">
        <v>0.9524</v>
      </c>
      <c r="J60" s="9" t="inlineStr">
        <is>
          <t>Matorral andino (5%)</t>
        </is>
      </c>
    </row>
    <row r="61">
      <c r="A61" s="5" t="n">
        <v>53</v>
      </c>
      <c r="B61" s="5" t="inlineStr">
        <is>
          <t>47</t>
        </is>
      </c>
      <c r="C61" s="5" t="inlineStr">
        <is>
          <t>C1076-Q9586</t>
        </is>
      </c>
      <c r="D61" s="5" t="inlineStr">
        <is>
          <t>Huancabamba</t>
        </is>
      </c>
      <c r="E61" s="5" t="inlineStr">
        <is>
          <t>San Miguel de El Faique</t>
        </is>
      </c>
      <c r="F61" s="6" t="n">
        <v>13.551</v>
      </c>
      <c r="G61" s="5">
        <f>COUNTIF(Bloque_Ecosistema!$B$9:$B$198,B61)</f>
        <v/>
      </c>
      <c r="H61" s="5" t="inlineStr">
        <is>
          <t>Matorral andino</t>
        </is>
      </c>
      <c r="I61" s="7" t="n">
        <v>0.5406</v>
      </c>
      <c r="J61" s="5" t="inlineStr">
        <is>
          <t>Zona agrícola (46%)</t>
        </is>
      </c>
    </row>
    <row r="62">
      <c r="A62" s="9" t="n">
        <v>54</v>
      </c>
      <c r="B62" s="9" t="inlineStr">
        <is>
          <t>67</t>
        </is>
      </c>
      <c r="C62" s="9" t="inlineStr">
        <is>
          <t>C1076-Q9586</t>
        </is>
      </c>
      <c r="D62" s="9" t="inlineStr">
        <is>
          <t>Huancabamba</t>
        </is>
      </c>
      <c r="E62" s="9" t="inlineStr">
        <is>
          <t>San Miguel de El Faique</t>
        </is>
      </c>
      <c r="F62" s="10" t="n">
        <v>13.184</v>
      </c>
      <c r="G62" s="9">
        <f>COUNTIF(Bloque_Ecosistema!$B$9:$B$198,B62)</f>
        <v/>
      </c>
      <c r="H62" s="9" t="inlineStr">
        <is>
          <t>Zona agrícola</t>
        </is>
      </c>
      <c r="I62" s="11" t="n">
        <v>0.9303</v>
      </c>
      <c r="J62" s="9" t="inlineStr">
        <is>
          <t>Bosque estacionalmente seco de colina y montaña (7%)</t>
        </is>
      </c>
    </row>
    <row r="63">
      <c r="A63" s="5" t="n">
        <v>55</v>
      </c>
      <c r="B63" s="5" t="inlineStr">
        <is>
          <t>9</t>
        </is>
      </c>
      <c r="C63" s="5" t="inlineStr">
        <is>
          <t>C1076-Q9586</t>
        </is>
      </c>
      <c r="D63" s="5" t="inlineStr">
        <is>
          <t>Huancabamba</t>
        </is>
      </c>
      <c r="E63" s="5" t="inlineStr">
        <is>
          <t>San Miguel de El Faique</t>
        </is>
      </c>
      <c r="F63" s="6" t="n">
        <v>109.861</v>
      </c>
      <c r="G63" s="5">
        <f>COUNTIF(Bloque_Ecosistema!$B$9:$B$198,B63)</f>
        <v/>
      </c>
      <c r="H63" s="5" t="inlineStr">
        <is>
          <t>Zona agrícola</t>
        </is>
      </c>
      <c r="I63" s="7" t="n">
        <v>1</v>
      </c>
      <c r="J63" s="5" t="inlineStr"/>
    </row>
    <row r="64">
      <c r="A64" s="9" t="n">
        <v>56</v>
      </c>
      <c r="B64" s="9" t="inlineStr">
        <is>
          <t>M20B1</t>
        </is>
      </c>
      <c r="C64" s="9" t="inlineStr">
        <is>
          <t>C1076-Q9585</t>
        </is>
      </c>
      <c r="D64" s="9" t="inlineStr">
        <is>
          <t>Huancabamba</t>
        </is>
      </c>
      <c r="E64" s="9" t="inlineStr">
        <is>
          <t>San Miguel de El Faique</t>
        </is>
      </c>
      <c r="F64" s="10" t="n">
        <v>279.68</v>
      </c>
      <c r="G64" s="9">
        <f>COUNTIF(Bloque_Ecosistema!$B$9:$B$198,B64)</f>
        <v/>
      </c>
      <c r="H64" s="9" t="inlineStr">
        <is>
          <t>Bosque estacionalmente seco de colina y montaña</t>
        </is>
      </c>
      <c r="I64" s="11" t="n">
        <v>0.9908</v>
      </c>
      <c r="J64" s="9" t="inlineStr">
        <is>
          <t>Zona agrícola (1%)</t>
        </is>
      </c>
    </row>
    <row r="65">
      <c r="A65" s="5" t="n">
        <v>57</v>
      </c>
      <c r="B65" s="5" t="inlineStr">
        <is>
          <t>M22B1</t>
        </is>
      </c>
      <c r="C65" s="5" t="inlineStr">
        <is>
          <t>C1076-Q9586</t>
        </is>
      </c>
      <c r="D65" s="5" t="inlineStr">
        <is>
          <t>Huancabamba</t>
        </is>
      </c>
      <c r="E65" s="5" t="inlineStr">
        <is>
          <t>San Miguel de El Faique</t>
        </is>
      </c>
      <c r="F65" s="6" t="n">
        <v>55.17</v>
      </c>
      <c r="G65" s="5">
        <f>COUNTIF(Bloque_Ecosistema!$B$9:$B$198,B65)</f>
        <v/>
      </c>
      <c r="H65" s="5" t="inlineStr">
        <is>
          <t>Páramo</t>
        </is>
      </c>
      <c r="I65" s="7" t="n">
        <v>0.8138</v>
      </c>
      <c r="J65" s="5" t="inlineStr">
        <is>
          <t>Matorral andino (19%)</t>
        </is>
      </c>
    </row>
    <row r="66">
      <c r="A66" s="9" t="n">
        <v>58</v>
      </c>
      <c r="B66" s="9" t="inlineStr">
        <is>
          <t>M2B8</t>
        </is>
      </c>
      <c r="C66" s="9" t="inlineStr">
        <is>
          <t>C1076-Q9584</t>
        </is>
      </c>
      <c r="D66" s="9" t="inlineStr">
        <is>
          <t>Huancabamba</t>
        </is>
      </c>
      <c r="E66" s="9" t="inlineStr">
        <is>
          <t>San Miguel de El Faique</t>
        </is>
      </c>
      <c r="F66" s="10" t="n">
        <v>116.099</v>
      </c>
      <c r="G66" s="9">
        <f>COUNTIF(Bloque_Ecosistema!$B$9:$B$198,B66)</f>
        <v/>
      </c>
      <c r="H66" s="9" t="inlineStr">
        <is>
          <t>Bosque estacionalmente seco de colina y montaña</t>
        </is>
      </c>
      <c r="I66" s="11" t="n">
        <v>1</v>
      </c>
      <c r="J66" s="9" t="inlineStr"/>
    </row>
    <row r="67">
      <c r="A67" s="5" t="n">
        <v>59</v>
      </c>
      <c r="B67" s="5" t="inlineStr">
        <is>
          <t>5</t>
        </is>
      </c>
      <c r="C67" s="5" t="inlineStr">
        <is>
          <t>C1077-Q9566</t>
        </is>
      </c>
      <c r="D67" s="5" t="inlineStr">
        <is>
          <t>Morropón</t>
        </is>
      </c>
      <c r="E67" s="5" t="inlineStr">
        <is>
          <t>Buenos Aires</t>
        </is>
      </c>
      <c r="F67" s="6" t="n">
        <v>295.726</v>
      </c>
      <c r="G67" s="5">
        <f>COUNTIF(Bloque_Ecosistema!$B$9:$B$198,B67)</f>
        <v/>
      </c>
      <c r="H67" s="5" t="inlineStr">
        <is>
          <t>Bosque estacionalmente seco de colina y montaña</t>
        </is>
      </c>
      <c r="I67" s="7" t="n">
        <v>1</v>
      </c>
      <c r="J67" s="5" t="inlineStr"/>
    </row>
    <row r="68">
      <c r="A68" s="9" t="n">
        <v>60</v>
      </c>
      <c r="B68" s="9" t="inlineStr">
        <is>
          <t>M18B1</t>
        </is>
      </c>
      <c r="C68" s="9" t="inlineStr">
        <is>
          <t>C1077-Q9579</t>
        </is>
      </c>
      <c r="D68" s="9" t="inlineStr">
        <is>
          <t>Morropón</t>
        </is>
      </c>
      <c r="E68" s="9" t="inlineStr">
        <is>
          <t>Buenos Aires</t>
        </is>
      </c>
      <c r="F68" s="10" t="n">
        <v>160.36</v>
      </c>
      <c r="G68" s="9">
        <f>COUNTIF(Bloque_Ecosistema!$B$9:$B$198,B68)</f>
        <v/>
      </c>
      <c r="H68" s="9" t="inlineStr">
        <is>
          <t>Bosque estacionalmente seco de colina y montaña</t>
        </is>
      </c>
      <c r="I68" s="11" t="n">
        <v>0.9923999999999999</v>
      </c>
      <c r="J68" s="9" t="inlineStr">
        <is>
          <t>Zona agrícola (1%)</t>
        </is>
      </c>
    </row>
    <row r="69">
      <c r="A69" s="5" t="n">
        <v>61</v>
      </c>
      <c r="B69" s="5" t="inlineStr">
        <is>
          <t>M1B1</t>
        </is>
      </c>
      <c r="C69" s="5" t="inlineStr">
        <is>
          <t>C1077-Q9580</t>
        </is>
      </c>
      <c r="D69" s="5" t="inlineStr">
        <is>
          <t>Morropón</t>
        </is>
      </c>
      <c r="E69" s="5" t="inlineStr">
        <is>
          <t>Buenos Aires</t>
        </is>
      </c>
      <c r="F69" s="6" t="n">
        <v>188.797</v>
      </c>
      <c r="G69" s="5">
        <f>COUNTIF(Bloque_Ecosistema!$B$9:$B$198,B69)</f>
        <v/>
      </c>
      <c r="H69" s="5" t="inlineStr">
        <is>
          <t>Bosque estacionalmente seco de colina y montaña</t>
        </is>
      </c>
      <c r="I69" s="7" t="n">
        <v>1</v>
      </c>
      <c r="J69" s="5" t="inlineStr"/>
    </row>
    <row r="70">
      <c r="A70" s="9" t="n">
        <v>62</v>
      </c>
      <c r="B70" s="9" t="inlineStr">
        <is>
          <t>M6B10</t>
        </is>
      </c>
      <c r="C70" s="9" t="inlineStr">
        <is>
          <t>C1077-Q9566</t>
        </is>
      </c>
      <c r="D70" s="9" t="inlineStr">
        <is>
          <t>Morropón</t>
        </is>
      </c>
      <c r="E70" s="9" t="inlineStr">
        <is>
          <t>Buenos Aires</t>
        </is>
      </c>
      <c r="F70" s="10" t="n">
        <v>249.89</v>
      </c>
      <c r="G70" s="9">
        <f>COUNTIF(Bloque_Ecosistema!$B$9:$B$198,B70)</f>
        <v/>
      </c>
      <c r="H70" s="9" t="inlineStr">
        <is>
          <t>Bosque estacionalmente seco de colina y montaña</t>
        </is>
      </c>
      <c r="I70" s="11" t="n">
        <v>1</v>
      </c>
      <c r="J70" s="9" t="inlineStr"/>
    </row>
    <row r="71">
      <c r="A71" s="5" t="n">
        <v>63</v>
      </c>
      <c r="B71" s="5" t="inlineStr">
        <is>
          <t>M6B2-1</t>
        </is>
      </c>
      <c r="C71" s="5" t="inlineStr">
        <is>
          <t>C1077-Q9566</t>
        </is>
      </c>
      <c r="D71" s="5" t="inlineStr">
        <is>
          <t>Morropón</t>
        </is>
      </c>
      <c r="E71" s="5" t="inlineStr">
        <is>
          <t>Buenos Aires</t>
        </is>
      </c>
      <c r="F71" s="6" t="n">
        <v>514.359</v>
      </c>
      <c r="G71" s="5">
        <f>COUNTIF(Bloque_Ecosistema!$B$9:$B$198,B71)</f>
        <v/>
      </c>
      <c r="H71" s="5" t="inlineStr">
        <is>
          <t>Bosque estacionalmente seco de colina y montaña</t>
        </is>
      </c>
      <c r="I71" s="7" t="n">
        <v>1</v>
      </c>
      <c r="J71" s="5" t="inlineStr"/>
    </row>
    <row r="72">
      <c r="A72" s="9" t="n">
        <v>64</v>
      </c>
      <c r="B72" s="9" t="inlineStr">
        <is>
          <t>M6B2-2</t>
        </is>
      </c>
      <c r="C72" s="9" t="inlineStr">
        <is>
          <t>C1077-Q9566</t>
        </is>
      </c>
      <c r="D72" s="9" t="inlineStr">
        <is>
          <t>Morropón</t>
        </is>
      </c>
      <c r="E72" s="9" t="inlineStr">
        <is>
          <t>Buenos Aires</t>
        </is>
      </c>
      <c r="F72" s="10" t="n">
        <v>333.011</v>
      </c>
      <c r="G72" s="9">
        <f>COUNTIF(Bloque_Ecosistema!$B$9:$B$198,B72)</f>
        <v/>
      </c>
      <c r="H72" s="9" t="inlineStr">
        <is>
          <t>Bosque estacionalmente seco de colina y montaña</t>
        </is>
      </c>
      <c r="I72" s="11" t="n">
        <v>1</v>
      </c>
      <c r="J72" s="9" t="inlineStr"/>
    </row>
    <row r="73">
      <c r="A73" s="5" t="n">
        <v>65</v>
      </c>
      <c r="B73" s="5" t="inlineStr">
        <is>
          <t>M6B2-3</t>
        </is>
      </c>
      <c r="C73" s="5" t="inlineStr">
        <is>
          <t>C1077-Q9566</t>
        </is>
      </c>
      <c r="D73" s="5" t="inlineStr">
        <is>
          <t>Morropón</t>
        </is>
      </c>
      <c r="E73" s="5" t="inlineStr">
        <is>
          <t>Buenos Aires</t>
        </is>
      </c>
      <c r="F73" s="6" t="n">
        <v>160.978</v>
      </c>
      <c r="G73" s="5">
        <f>COUNTIF(Bloque_Ecosistema!$B$9:$B$198,B73)</f>
        <v/>
      </c>
      <c r="H73" s="5" t="inlineStr">
        <is>
          <t>Bosque estacionalmente seco de colina y montaña</t>
        </is>
      </c>
      <c r="I73" s="7" t="n">
        <v>0.9981</v>
      </c>
      <c r="J73" s="5" t="inlineStr">
        <is>
          <t>Sin información de ecosistema (0%)</t>
        </is>
      </c>
    </row>
    <row r="74">
      <c r="A74" s="9" t="n">
        <v>66</v>
      </c>
      <c r="B74" s="9" t="inlineStr">
        <is>
          <t>57</t>
        </is>
      </c>
      <c r="C74" s="9" t="inlineStr">
        <is>
          <t>C1086-Q9576</t>
        </is>
      </c>
      <c r="D74" s="9" t="inlineStr">
        <is>
          <t>Morropón</t>
        </is>
      </c>
      <c r="E74" s="9" t="inlineStr">
        <is>
          <t>Chalaco</t>
        </is>
      </c>
      <c r="F74" s="10" t="n">
        <v>25.668</v>
      </c>
      <c r="G74" s="9">
        <f>COUNTIF(Bloque_Ecosistema!$B$9:$B$198,B74)</f>
        <v/>
      </c>
      <c r="H74" s="9" t="inlineStr">
        <is>
          <t>Matorral andino</t>
        </is>
      </c>
      <c r="I74" s="11" t="n">
        <v>0.8283</v>
      </c>
      <c r="J74" s="9" t="inlineStr">
        <is>
          <t>Zona agrícola (17%)</t>
        </is>
      </c>
    </row>
    <row r="75">
      <c r="A75" s="5" t="n">
        <v>67</v>
      </c>
      <c r="B75" s="5" t="inlineStr">
        <is>
          <t>59</t>
        </is>
      </c>
      <c r="C75" s="5" t="inlineStr">
        <is>
          <t>C1086-Q9570</t>
        </is>
      </c>
      <c r="D75" s="5" t="inlineStr">
        <is>
          <t>Morropón</t>
        </is>
      </c>
      <c r="E75" s="5" t="inlineStr">
        <is>
          <t>Chalaco</t>
        </is>
      </c>
      <c r="F75" s="6" t="n">
        <v>13.554</v>
      </c>
      <c r="G75" s="5">
        <f>COUNTIF(Bloque_Ecosistema!$B$9:$B$198,B75)</f>
        <v/>
      </c>
      <c r="H75" s="5" t="inlineStr">
        <is>
          <t>Bosque relicto montano de vertiente occidental</t>
        </is>
      </c>
      <c r="I75" s="7" t="n">
        <v>0.5996</v>
      </c>
      <c r="J75" s="5" t="inlineStr">
        <is>
          <t>Zona agrícola (40%)</t>
        </is>
      </c>
    </row>
    <row r="76">
      <c r="A76" s="9" t="n">
        <v>68</v>
      </c>
      <c r="B76" s="9" t="inlineStr">
        <is>
          <t>2</t>
        </is>
      </c>
      <c r="C76" s="9" t="inlineStr">
        <is>
          <t>C1096-Q9558</t>
        </is>
      </c>
      <c r="D76" s="9" t="inlineStr">
        <is>
          <t>Morropón</t>
        </is>
      </c>
      <c r="E76" s="9" t="inlineStr">
        <is>
          <t>Chulucanas</t>
        </is>
      </c>
      <c r="F76" s="10" t="n">
        <v>330.599</v>
      </c>
      <c r="G76" s="9">
        <f>COUNTIF(Bloque_Ecosistema!$B$9:$B$198,B76)</f>
        <v/>
      </c>
      <c r="H76" s="9" t="inlineStr">
        <is>
          <t>Bosque estacionalmente seco de colina y montaña</t>
        </is>
      </c>
      <c r="I76" s="11" t="n">
        <v>1</v>
      </c>
      <c r="J76" s="9" t="inlineStr"/>
    </row>
    <row r="77">
      <c r="A77" s="5" t="n">
        <v>69</v>
      </c>
      <c r="B77" s="5" t="inlineStr">
        <is>
          <t>22</t>
        </is>
      </c>
      <c r="C77" s="5" t="inlineStr">
        <is>
          <t>C1096-Q9556</t>
        </is>
      </c>
      <c r="D77" s="5" t="inlineStr">
        <is>
          <t>Morropón</t>
        </is>
      </c>
      <c r="E77" s="5" t="inlineStr">
        <is>
          <t>Chulucanas</t>
        </is>
      </c>
      <c r="F77" s="6" t="n">
        <v>79.33</v>
      </c>
      <c r="G77" s="5">
        <f>COUNTIF(Bloque_Ecosistema!$B$9:$B$198,B77)</f>
        <v/>
      </c>
      <c r="H77" s="5" t="inlineStr">
        <is>
          <t>Bosque estacionalmente seco de colina y montaña</t>
        </is>
      </c>
      <c r="I77" s="7" t="n">
        <v>1</v>
      </c>
      <c r="J77" s="5" t="inlineStr"/>
    </row>
    <row r="78">
      <c r="A78" s="9" t="n">
        <v>70</v>
      </c>
      <c r="B78" s="9" t="inlineStr">
        <is>
          <t>M10B4</t>
        </is>
      </c>
      <c r="C78" s="9" t="inlineStr">
        <is>
          <t>C1096-Q9547</t>
        </is>
      </c>
      <c r="D78" s="9" t="inlineStr">
        <is>
          <t>Morropón</t>
        </is>
      </c>
      <c r="E78" s="9" t="inlineStr">
        <is>
          <t>Chulucanas</t>
        </is>
      </c>
      <c r="F78" s="10" t="n">
        <v>68.887</v>
      </c>
      <c r="G78" s="9">
        <f>COUNTIF(Bloque_Ecosistema!$B$9:$B$198,B78)</f>
        <v/>
      </c>
      <c r="H78" s="9" t="inlineStr">
        <is>
          <t>Bosque estacionalmente seco de colina y montaña</t>
        </is>
      </c>
      <c r="I78" s="11" t="n">
        <v>0.9938</v>
      </c>
      <c r="J78" s="9" t="inlineStr">
        <is>
          <t>Sin información de ecosistema (1%)</t>
        </is>
      </c>
    </row>
    <row r="79">
      <c r="A79" s="5" t="n">
        <v>71</v>
      </c>
      <c r="B79" s="5" t="inlineStr">
        <is>
          <t>M17B1</t>
        </is>
      </c>
      <c r="C79" s="5" t="inlineStr">
        <is>
          <t>C1096-Q9556</t>
        </is>
      </c>
      <c r="D79" s="5" t="inlineStr">
        <is>
          <t>Morropón</t>
        </is>
      </c>
      <c r="E79" s="5" t="inlineStr">
        <is>
          <t>Chulucanas</t>
        </is>
      </c>
      <c r="F79" s="6" t="n">
        <v>42.449</v>
      </c>
      <c r="G79" s="5">
        <f>COUNTIF(Bloque_Ecosistema!$B$9:$B$198,B79)</f>
        <v/>
      </c>
      <c r="H79" s="5" t="inlineStr">
        <is>
          <t>Bosque estacionalmente seco de colina y montaña</t>
        </is>
      </c>
      <c r="I79" s="7" t="n">
        <v>1</v>
      </c>
      <c r="J79" s="5" t="inlineStr"/>
    </row>
    <row r="80">
      <c r="A80" s="9" t="n">
        <v>72</v>
      </c>
      <c r="B80" s="9" t="inlineStr">
        <is>
          <t>M17B4</t>
        </is>
      </c>
      <c r="C80" s="9" t="inlineStr">
        <is>
          <t>C1096-Q9556</t>
        </is>
      </c>
      <c r="D80" s="9" t="inlineStr">
        <is>
          <t>Morropón</t>
        </is>
      </c>
      <c r="E80" s="9" t="inlineStr">
        <is>
          <t>Chulucanas</t>
        </is>
      </c>
      <c r="F80" s="10" t="n">
        <v>124.709</v>
      </c>
      <c r="G80" s="9">
        <f>COUNTIF(Bloque_Ecosistema!$B$9:$B$198,B80)</f>
        <v/>
      </c>
      <c r="H80" s="9" t="inlineStr">
        <is>
          <t>Bosque estacionalmente seco de colina y montaña</t>
        </is>
      </c>
      <c r="I80" s="11" t="n">
        <v>1</v>
      </c>
      <c r="J80" s="9" t="inlineStr"/>
    </row>
    <row r="81">
      <c r="A81" s="5" t="n">
        <v>73</v>
      </c>
      <c r="B81" s="5" t="inlineStr">
        <is>
          <t>M27B1</t>
        </is>
      </c>
      <c r="C81" s="5" t="inlineStr">
        <is>
          <t>C1096-Q9557</t>
        </is>
      </c>
      <c r="D81" s="5" t="inlineStr">
        <is>
          <t>Morropón</t>
        </is>
      </c>
      <c r="E81" s="5" t="inlineStr">
        <is>
          <t>Chulucanas</t>
        </is>
      </c>
      <c r="F81" s="6" t="n">
        <v>448.804</v>
      </c>
      <c r="G81" s="5">
        <f>COUNTIF(Bloque_Ecosistema!$B$9:$B$198,B81)</f>
        <v/>
      </c>
      <c r="H81" s="5" t="inlineStr">
        <is>
          <t>Bosque estacionalmente seco de colina y montaña</t>
        </is>
      </c>
      <c r="I81" s="7" t="n">
        <v>0.9889</v>
      </c>
      <c r="J81" s="5" t="inlineStr">
        <is>
          <t>Zona agrícola (1%)</t>
        </is>
      </c>
    </row>
    <row r="82">
      <c r="A82" s="9" t="n">
        <v>74</v>
      </c>
      <c r="B82" s="9" t="inlineStr">
        <is>
          <t>M9B1</t>
        </is>
      </c>
      <c r="C82" s="9" t="inlineStr">
        <is>
          <t>C1096-Q9545</t>
        </is>
      </c>
      <c r="D82" s="9" t="inlineStr">
        <is>
          <t>Morropón</t>
        </is>
      </c>
      <c r="E82" s="9" t="inlineStr">
        <is>
          <t>Chulucanas</t>
        </is>
      </c>
      <c r="F82" s="10" t="n">
        <v>355.364</v>
      </c>
      <c r="G82" s="9">
        <f>COUNTIF(Bloque_Ecosistema!$B$9:$B$198,B82)</f>
        <v/>
      </c>
      <c r="H82" s="9" t="inlineStr">
        <is>
          <t>Bosque estacionalmente seco de colina y montaña</t>
        </is>
      </c>
      <c r="I82" s="11" t="n">
        <v>1</v>
      </c>
      <c r="J82" s="9" t="inlineStr"/>
    </row>
    <row r="83">
      <c r="A83" s="5" t="n">
        <v>75</v>
      </c>
      <c r="B83" s="5" t="inlineStr">
        <is>
          <t>M19B2</t>
        </is>
      </c>
      <c r="C83" s="5" t="inlineStr">
        <is>
          <t>C1086-Q9570</t>
        </is>
      </c>
      <c r="D83" s="5" t="inlineStr">
        <is>
          <t>Morropón</t>
        </is>
      </c>
      <c r="E83" s="5" t="inlineStr">
        <is>
          <t>Morropón</t>
        </is>
      </c>
      <c r="F83" s="6" t="n">
        <v>74.372</v>
      </c>
      <c r="G83" s="5">
        <f>COUNTIF(Bloque_Ecosistema!$B$9:$B$198,B83)</f>
        <v/>
      </c>
      <c r="H83" s="5" t="inlineStr">
        <is>
          <t>Bosque estacionalmente seco de colina y montaña</t>
        </is>
      </c>
      <c r="I83" s="7" t="n">
        <v>1</v>
      </c>
      <c r="J83" s="5" t="inlineStr"/>
    </row>
    <row r="84">
      <c r="A84" s="9" t="n">
        <v>76</v>
      </c>
      <c r="B84" s="9" t="inlineStr">
        <is>
          <t>M32B3</t>
        </is>
      </c>
      <c r="C84" s="9" t="inlineStr">
        <is>
          <t>C1086-Q9569</t>
        </is>
      </c>
      <c r="D84" s="9" t="inlineStr">
        <is>
          <t>Morropón</t>
        </is>
      </c>
      <c r="E84" s="9" t="inlineStr">
        <is>
          <t>Morropón</t>
        </is>
      </c>
      <c r="F84" s="10" t="n">
        <v>50.972</v>
      </c>
      <c r="G84" s="9">
        <f>COUNTIF(Bloque_Ecosistema!$B$9:$B$198,B84)</f>
        <v/>
      </c>
      <c r="H84" s="9" t="inlineStr">
        <is>
          <t>Bosque estacionalmente seco de colina y montaña</t>
        </is>
      </c>
      <c r="I84" s="11" t="n">
        <v>1</v>
      </c>
      <c r="J84" s="9" t="inlineStr"/>
    </row>
    <row r="85">
      <c r="A85" s="5" t="n">
        <v>77</v>
      </c>
      <c r="B85" s="5" t="inlineStr">
        <is>
          <t>M18B3</t>
        </is>
      </c>
      <c r="C85" s="5" t="inlineStr">
        <is>
          <t>C1077-Q9579</t>
        </is>
      </c>
      <c r="D85" s="5" t="inlineStr">
        <is>
          <t>Morropón</t>
        </is>
      </c>
      <c r="E85" s="5" t="inlineStr">
        <is>
          <t>Salitral</t>
        </is>
      </c>
      <c r="F85" s="6" t="n">
        <v>373.807</v>
      </c>
      <c r="G85" s="5">
        <f>COUNTIF(Bloque_Ecosistema!$B$9:$B$198,B85)</f>
        <v/>
      </c>
      <c r="H85" s="5" t="inlineStr">
        <is>
          <t>Bosque estacionalmente seco de colina y montaña</t>
        </is>
      </c>
      <c r="I85" s="7" t="n">
        <v>0.9997</v>
      </c>
      <c r="J85" s="5" t="inlineStr">
        <is>
          <t>Zona agrícola (0%)</t>
        </is>
      </c>
    </row>
    <row r="86">
      <c r="A86" s="9" t="n">
        <v>78</v>
      </c>
      <c r="B86" s="9" t="inlineStr">
        <is>
          <t>M2B1</t>
        </is>
      </c>
      <c r="C86" s="9" t="inlineStr">
        <is>
          <t>C1076-Q9584</t>
        </is>
      </c>
      <c r="D86" s="9" t="inlineStr">
        <is>
          <t>Morropón</t>
        </is>
      </c>
      <c r="E86" s="9" t="inlineStr">
        <is>
          <t>Salitral</t>
        </is>
      </c>
      <c r="F86" s="10" t="n">
        <v>81.795</v>
      </c>
      <c r="G86" s="9">
        <f>COUNTIF(Bloque_Ecosistema!$B$9:$B$198,B86)</f>
        <v/>
      </c>
      <c r="H86" s="9" t="inlineStr">
        <is>
          <t>Bosque estacionalmente seco de colina y montaña</t>
        </is>
      </c>
      <c r="I86" s="11" t="n">
        <v>1</v>
      </c>
      <c r="J86" s="9" t="inlineStr"/>
    </row>
    <row r="87">
      <c r="A87" s="5" t="n">
        <v>79</v>
      </c>
      <c r="B87" s="5" t="inlineStr">
        <is>
          <t>M2B5</t>
        </is>
      </c>
      <c r="C87" s="5" t="inlineStr">
        <is>
          <t>C1076-Q9584</t>
        </is>
      </c>
      <c r="D87" s="5" t="inlineStr">
        <is>
          <t>Morropón</t>
        </is>
      </c>
      <c r="E87" s="5" t="inlineStr">
        <is>
          <t>Salitral</t>
        </is>
      </c>
      <c r="F87" s="6" t="n">
        <v>30.909</v>
      </c>
      <c r="G87" s="5">
        <f>COUNTIF(Bloque_Ecosistema!$B$9:$B$198,B87)</f>
        <v/>
      </c>
      <c r="H87" s="5" t="inlineStr">
        <is>
          <t>Bosque estacionalmente seco de colina y montaña</t>
        </is>
      </c>
      <c r="I87" s="7" t="n">
        <v>0.9826</v>
      </c>
      <c r="J87" s="5" t="inlineStr">
        <is>
          <t>Zona agrícola (2%)</t>
        </is>
      </c>
    </row>
    <row r="88">
      <c r="A88" s="9" t="n">
        <v>80</v>
      </c>
      <c r="B88" s="9" t="inlineStr">
        <is>
          <t>M3B1</t>
        </is>
      </c>
      <c r="C88" s="9" t="inlineStr">
        <is>
          <t>C1081-Q9582</t>
        </is>
      </c>
      <c r="D88" s="9" t="inlineStr">
        <is>
          <t>Morropón</t>
        </is>
      </c>
      <c r="E88" s="9" t="inlineStr">
        <is>
          <t>Salitral</t>
        </is>
      </c>
      <c r="F88" s="10" t="n">
        <v>80.983</v>
      </c>
      <c r="G88" s="9">
        <f>COUNTIF(Bloque_Ecosistema!$B$9:$B$198,B88)</f>
        <v/>
      </c>
      <c r="H88" s="9" t="inlineStr">
        <is>
          <t>Bosque estacionalmente seco de colina y montaña</t>
        </is>
      </c>
      <c r="I88" s="11" t="n">
        <v>0.9998</v>
      </c>
      <c r="J88" s="9" t="inlineStr">
        <is>
          <t>Zona agrícola (0%)</t>
        </is>
      </c>
    </row>
    <row r="89">
      <c r="A89" s="5" t="n">
        <v>81</v>
      </c>
      <c r="B89" s="5" t="inlineStr">
        <is>
          <t>M3B9</t>
        </is>
      </c>
      <c r="C89" s="5" t="inlineStr">
        <is>
          <t>C1081-Q9582</t>
        </is>
      </c>
      <c r="D89" s="5" t="inlineStr">
        <is>
          <t>Morropón</t>
        </is>
      </c>
      <c r="E89" s="5" t="inlineStr">
        <is>
          <t>Salitral</t>
        </is>
      </c>
      <c r="F89" s="6" t="n">
        <v>294.204</v>
      </c>
      <c r="G89" s="5">
        <f>COUNTIF(Bloque_Ecosistema!$B$9:$B$198,B89)</f>
        <v/>
      </c>
      <c r="H89" s="5" t="inlineStr">
        <is>
          <t>Bosque estacionalmente seco de colina y montaña</t>
        </is>
      </c>
      <c r="I89" s="7" t="n">
        <v>0.9997</v>
      </c>
      <c r="J89" s="5" t="inlineStr">
        <is>
          <t>Zona agrícola (0%)</t>
        </is>
      </c>
    </row>
    <row r="90">
      <c r="A90" s="9" t="n">
        <v>82</v>
      </c>
      <c r="B90" s="9" t="inlineStr">
        <is>
          <t>M7B1</t>
        </is>
      </c>
      <c r="C90" s="9" t="inlineStr">
        <is>
          <t>C1076-Q9581</t>
        </is>
      </c>
      <c r="D90" s="9" t="inlineStr">
        <is>
          <t>Morropón</t>
        </is>
      </c>
      <c r="E90" s="9" t="inlineStr">
        <is>
          <t>Salitral</t>
        </is>
      </c>
      <c r="F90" s="10" t="n">
        <v>130.425</v>
      </c>
      <c r="G90" s="9">
        <f>COUNTIF(Bloque_Ecosistema!$B$9:$B$198,B90)</f>
        <v/>
      </c>
      <c r="H90" s="9" t="inlineStr">
        <is>
          <t>Bosque estacionalmente seco de colina y montaña</t>
        </is>
      </c>
      <c r="I90" s="11" t="n">
        <v>1</v>
      </c>
      <c r="J90" s="9" t="inlineStr"/>
    </row>
    <row r="91">
      <c r="A91" s="5" t="n">
        <v>83</v>
      </c>
      <c r="B91" s="5" t="inlineStr">
        <is>
          <t>M7B2</t>
        </is>
      </c>
      <c r="C91" s="5" t="inlineStr">
        <is>
          <t>C1076-Q9581</t>
        </is>
      </c>
      <c r="D91" s="5" t="inlineStr">
        <is>
          <t>Morropón</t>
        </is>
      </c>
      <c r="E91" s="5" t="inlineStr">
        <is>
          <t>Salitral</t>
        </is>
      </c>
      <c r="F91" s="6" t="n">
        <v>115.379</v>
      </c>
      <c r="G91" s="5">
        <f>COUNTIF(Bloque_Ecosistema!$B$9:$B$198,B91)</f>
        <v/>
      </c>
      <c r="H91" s="5" t="inlineStr">
        <is>
          <t>Bosque estacionalmente seco de colina y montaña</t>
        </is>
      </c>
      <c r="I91" s="7" t="n">
        <v>0.9916</v>
      </c>
      <c r="J91" s="5" t="inlineStr">
        <is>
          <t>Zona agrícola (1%)</t>
        </is>
      </c>
    </row>
    <row r="92">
      <c r="A92" s="9" t="n">
        <v>84</v>
      </c>
      <c r="B92" s="9" t="inlineStr">
        <is>
          <t>M7B3</t>
        </is>
      </c>
      <c r="C92" s="9" t="inlineStr">
        <is>
          <t>C1076-Q9581</t>
        </is>
      </c>
      <c r="D92" s="9" t="inlineStr">
        <is>
          <t>Morropón</t>
        </is>
      </c>
      <c r="E92" s="9" t="inlineStr">
        <is>
          <t>Salitral</t>
        </is>
      </c>
      <c r="F92" s="10" t="n">
        <v>65.745</v>
      </c>
      <c r="G92" s="9">
        <f>COUNTIF(Bloque_Ecosistema!$B$9:$B$198,B92)</f>
        <v/>
      </c>
      <c r="H92" s="9" t="inlineStr">
        <is>
          <t>Bosque estacionalmente seco de colina y montaña</t>
        </is>
      </c>
      <c r="I92" s="11" t="n">
        <v>0.9959</v>
      </c>
      <c r="J92" s="9" t="inlineStr">
        <is>
          <t>Zona agrícola (0%)</t>
        </is>
      </c>
    </row>
    <row r="93">
      <c r="A93" s="5" t="n">
        <v>85</v>
      </c>
      <c r="B93" s="5" t="inlineStr">
        <is>
          <t>M7B6</t>
        </is>
      </c>
      <c r="C93" s="5" t="inlineStr">
        <is>
          <t>C1076-Q9581</t>
        </is>
      </c>
      <c r="D93" s="5" t="inlineStr">
        <is>
          <t>Morropón</t>
        </is>
      </c>
      <c r="E93" s="5" t="inlineStr">
        <is>
          <t>Salitral</t>
        </is>
      </c>
      <c r="F93" s="6" t="n">
        <v>91.285</v>
      </c>
      <c r="G93" s="5">
        <f>COUNTIF(Bloque_Ecosistema!$B$9:$B$198,B93)</f>
        <v/>
      </c>
      <c r="H93" s="5" t="inlineStr">
        <is>
          <t>Bosque estacionalmente seco de colina y montaña</t>
        </is>
      </c>
      <c r="I93" s="7" t="n">
        <v>1</v>
      </c>
      <c r="J93" s="5" t="inlineStr"/>
    </row>
    <row r="94">
      <c r="A94" s="9" t="n">
        <v>86</v>
      </c>
      <c r="B94" s="9" t="inlineStr">
        <is>
          <t>77</t>
        </is>
      </c>
      <c r="C94" s="9" t="inlineStr">
        <is>
          <t>C1081-Q9583</t>
        </is>
      </c>
      <c r="D94" s="9" t="inlineStr">
        <is>
          <t>Morropón</t>
        </is>
      </c>
      <c r="E94" s="9" t="inlineStr">
        <is>
          <t>San Juan de Bigote</t>
        </is>
      </c>
      <c r="F94" s="10" t="n">
        <v>17.821</v>
      </c>
      <c r="G94" s="9">
        <f>COUNTIF(Bloque_Ecosistema!$B$9:$B$198,B94)</f>
        <v/>
      </c>
      <c r="H94" s="9" t="inlineStr">
        <is>
          <t>Bosque estacionalmente seco de colina y montaña</t>
        </is>
      </c>
      <c r="I94" s="11" t="n">
        <v>1</v>
      </c>
      <c r="J94" s="9" t="inlineStr"/>
    </row>
    <row r="95">
      <c r="A95" s="5" t="n">
        <v>87</v>
      </c>
      <c r="B95" s="5" t="inlineStr">
        <is>
          <t>83</t>
        </is>
      </c>
      <c r="C95" s="5" t="inlineStr">
        <is>
          <t>C1081-Q9583</t>
        </is>
      </c>
      <c r="D95" s="5" t="inlineStr">
        <is>
          <t>Morropón</t>
        </is>
      </c>
      <c r="E95" s="5" t="inlineStr">
        <is>
          <t>San Juan de Bigote</t>
        </is>
      </c>
      <c r="F95" s="6" t="n">
        <v>24.344</v>
      </c>
      <c r="G95" s="5">
        <f>COUNTIF(Bloque_Ecosistema!$B$9:$B$198,B95)</f>
        <v/>
      </c>
      <c r="H95" s="5" t="inlineStr">
        <is>
          <t>Bosque estacionalmente seco de colina y montaña</t>
        </is>
      </c>
      <c r="I95" s="7" t="n">
        <v>1</v>
      </c>
      <c r="J95" s="5" t="inlineStr"/>
    </row>
    <row r="96">
      <c r="A96" s="9" t="n">
        <v>88</v>
      </c>
      <c r="B96" s="9" t="inlineStr">
        <is>
          <t>84</t>
        </is>
      </c>
      <c r="C96" s="9" t="inlineStr">
        <is>
          <t>C1081-Q9583</t>
        </is>
      </c>
      <c r="D96" s="9" t="inlineStr">
        <is>
          <t>Morropón</t>
        </is>
      </c>
      <c r="E96" s="9" t="inlineStr">
        <is>
          <t>San Juan de Bigote</t>
        </is>
      </c>
      <c r="F96" s="10" t="n">
        <v>5.097</v>
      </c>
      <c r="G96" s="9">
        <f>COUNTIF(Bloque_Ecosistema!$B$9:$B$198,B96)</f>
        <v/>
      </c>
      <c r="H96" s="9" t="inlineStr">
        <is>
          <t>Bosque estacionalmente seco de colina y montaña</t>
        </is>
      </c>
      <c r="I96" s="11" t="n">
        <v>0.9889</v>
      </c>
      <c r="J96" s="9" t="inlineStr">
        <is>
          <t>Zona agrícola (1%)</t>
        </is>
      </c>
    </row>
    <row r="97">
      <c r="A97" s="5" t="n">
        <v>89</v>
      </c>
      <c r="B97" s="5" t="inlineStr">
        <is>
          <t>85</t>
        </is>
      </c>
      <c r="C97" s="5" t="inlineStr">
        <is>
          <t>C1081-Q9583</t>
        </is>
      </c>
      <c r="D97" s="5" t="inlineStr">
        <is>
          <t>Morropón</t>
        </is>
      </c>
      <c r="E97" s="5" t="inlineStr">
        <is>
          <t>San Juan de Bigote</t>
        </is>
      </c>
      <c r="F97" s="6" t="n">
        <v>11.906</v>
      </c>
      <c r="G97" s="5">
        <f>COUNTIF(Bloque_Ecosistema!$B$9:$B$198,B97)</f>
        <v/>
      </c>
      <c r="H97" s="5" t="inlineStr">
        <is>
          <t>Zona agrícola</t>
        </is>
      </c>
      <c r="I97" s="7" t="n">
        <v>0.9939</v>
      </c>
      <c r="J97" s="5" t="inlineStr">
        <is>
          <t>Bosque estacionalmente seco de colina y montaña (1%)</t>
        </is>
      </c>
    </row>
    <row r="98">
      <c r="A98" s="9" t="n">
        <v>90</v>
      </c>
      <c r="B98" s="9" t="inlineStr">
        <is>
          <t>86</t>
        </is>
      </c>
      <c r="C98" s="9" t="inlineStr">
        <is>
          <t>C1081-Q9583</t>
        </is>
      </c>
      <c r="D98" s="9" t="inlineStr">
        <is>
          <t>Morropón</t>
        </is>
      </c>
      <c r="E98" s="9" t="inlineStr">
        <is>
          <t>San Juan de Bigote</t>
        </is>
      </c>
      <c r="F98" s="10" t="n">
        <v>30.001</v>
      </c>
      <c r="G98" s="9">
        <f>COUNTIF(Bloque_Ecosistema!$B$9:$B$198,B98)</f>
        <v/>
      </c>
      <c r="H98" s="9" t="inlineStr">
        <is>
          <t>Bosque estacionalmente seco de colina y montaña</t>
        </is>
      </c>
      <c r="I98" s="11" t="n">
        <v>1</v>
      </c>
      <c r="J98" s="9" t="inlineStr"/>
    </row>
    <row r="99">
      <c r="A99" s="5" t="n">
        <v>91</v>
      </c>
      <c r="B99" s="5" t="inlineStr">
        <is>
          <t>87</t>
        </is>
      </c>
      <c r="C99" s="5" t="inlineStr">
        <is>
          <t>C1081-Q9583</t>
        </is>
      </c>
      <c r="D99" s="5" t="inlineStr">
        <is>
          <t>Morropón</t>
        </is>
      </c>
      <c r="E99" s="5" t="inlineStr">
        <is>
          <t>San Juan de Bigote</t>
        </is>
      </c>
      <c r="F99" s="6" t="n">
        <v>62.219</v>
      </c>
      <c r="G99" s="5">
        <f>COUNTIF(Bloque_Ecosistema!$B$9:$B$198,B99)</f>
        <v/>
      </c>
      <c r="H99" s="5" t="inlineStr">
        <is>
          <t>Bosque estacionalmente seco de colina y montaña</t>
        </is>
      </c>
      <c r="I99" s="7" t="n">
        <v>0.9966</v>
      </c>
      <c r="J99" s="5" t="inlineStr">
        <is>
          <t>Zona agrícola (0%)</t>
        </is>
      </c>
    </row>
    <row r="100">
      <c r="A100" s="9" t="n">
        <v>92</v>
      </c>
      <c r="B100" s="9" t="inlineStr">
        <is>
          <t>M11B3</t>
        </is>
      </c>
      <c r="C100" s="9" t="inlineStr">
        <is>
          <t>C1081-Q9583</t>
        </is>
      </c>
      <c r="D100" s="9" t="inlineStr">
        <is>
          <t>Morropón</t>
        </is>
      </c>
      <c r="E100" s="9" t="inlineStr">
        <is>
          <t>San Juan de Bigote</t>
        </is>
      </c>
      <c r="F100" s="10" t="n">
        <v>106.027</v>
      </c>
      <c r="G100" s="9">
        <f>COUNTIF(Bloque_Ecosistema!$B$9:$B$198,B100)</f>
        <v/>
      </c>
      <c r="H100" s="9" t="inlineStr">
        <is>
          <t>Bosque estacionalmente seco de colina y montaña</t>
        </is>
      </c>
      <c r="I100" s="11" t="n">
        <v>0.9995000000000001</v>
      </c>
      <c r="J100" s="9" t="inlineStr">
        <is>
          <t>Zona agrícola (0%)</t>
        </is>
      </c>
    </row>
    <row r="101">
      <c r="A101" s="5" t="n">
        <v>93</v>
      </c>
      <c r="B101" s="5" t="inlineStr">
        <is>
          <t>M3B3</t>
        </is>
      </c>
      <c r="C101" s="5" t="inlineStr">
        <is>
          <t>C1081-Q9582</t>
        </is>
      </c>
      <c r="D101" s="5" t="inlineStr">
        <is>
          <t>Morropón</t>
        </is>
      </c>
      <c r="E101" s="5" t="inlineStr">
        <is>
          <t>San Juan de Bigote</t>
        </is>
      </c>
      <c r="F101" s="6" t="n">
        <v>84.825</v>
      </c>
      <c r="G101" s="5">
        <f>COUNTIF(Bloque_Ecosistema!$B$9:$B$198,B101)</f>
        <v/>
      </c>
      <c r="H101" s="5" t="inlineStr">
        <is>
          <t>Bosque estacionalmente seco de colina y montaña</t>
        </is>
      </c>
      <c r="I101" s="7" t="n">
        <v>1</v>
      </c>
      <c r="J101" s="5" t="inlineStr"/>
    </row>
    <row r="102">
      <c r="A102" s="9" t="n">
        <v>94</v>
      </c>
      <c r="B102" s="9" t="inlineStr">
        <is>
          <t>M3B5</t>
        </is>
      </c>
      <c r="C102" s="9" t="inlineStr">
        <is>
          <t>C1081-Q9582</t>
        </is>
      </c>
      <c r="D102" s="9" t="inlineStr">
        <is>
          <t>Morropón</t>
        </is>
      </c>
      <c r="E102" s="9" t="inlineStr">
        <is>
          <t>San Juan de Bigote</t>
        </is>
      </c>
      <c r="F102" s="10" t="n">
        <v>52.743</v>
      </c>
      <c r="G102" s="9">
        <f>COUNTIF(Bloque_Ecosistema!$B$9:$B$198,B102)</f>
        <v/>
      </c>
      <c r="H102" s="9" t="inlineStr">
        <is>
          <t>Bosque estacionalmente seco de colina y montaña</t>
        </is>
      </c>
      <c r="I102" s="11" t="n">
        <v>1</v>
      </c>
      <c r="J102" s="9" t="inlineStr"/>
    </row>
    <row r="103">
      <c r="A103" s="5" t="n">
        <v>95</v>
      </c>
      <c r="B103" s="5" t="inlineStr">
        <is>
          <t>M3B6</t>
        </is>
      </c>
      <c r="C103" s="5" t="inlineStr">
        <is>
          <t>C1081-Q9582</t>
        </is>
      </c>
      <c r="D103" s="5" t="inlineStr">
        <is>
          <t>Morropón</t>
        </is>
      </c>
      <c r="E103" s="5" t="inlineStr">
        <is>
          <t>San Juan de Bigote</t>
        </is>
      </c>
      <c r="F103" s="6" t="n">
        <v>60.352</v>
      </c>
      <c r="G103" s="5">
        <f>COUNTIF(Bloque_Ecosistema!$B$9:$B$198,B103)</f>
        <v/>
      </c>
      <c r="H103" s="5" t="inlineStr">
        <is>
          <t>Bosque estacionalmente seco de colina y montaña</t>
        </is>
      </c>
      <c r="I103" s="7" t="n">
        <v>1</v>
      </c>
      <c r="J103" s="5" t="inlineStr"/>
    </row>
    <row r="104">
      <c r="A104" s="9" t="n">
        <v>96</v>
      </c>
      <c r="B104" s="9" t="inlineStr">
        <is>
          <t>M3B7</t>
        </is>
      </c>
      <c r="C104" s="9" t="inlineStr">
        <is>
          <t>C1081-Q9582</t>
        </is>
      </c>
      <c r="D104" s="9" t="inlineStr">
        <is>
          <t>Morropón</t>
        </is>
      </c>
      <c r="E104" s="9" t="inlineStr">
        <is>
          <t>San Juan de Bigote</t>
        </is>
      </c>
      <c r="F104" s="10" t="n">
        <v>122.946</v>
      </c>
      <c r="G104" s="9">
        <f>COUNTIF(Bloque_Ecosistema!$B$9:$B$198,B104)</f>
        <v/>
      </c>
      <c r="H104" s="9" t="inlineStr">
        <is>
          <t>Bosque estacionalmente seco de colina y montaña</t>
        </is>
      </c>
      <c r="I104" s="11" t="n">
        <v>0.9995000000000001</v>
      </c>
      <c r="J104" s="9" t="inlineStr">
        <is>
          <t>Zona agrícola (0%)</t>
        </is>
      </c>
    </row>
    <row r="105">
      <c r="A105" s="5" t="n">
        <v>97</v>
      </c>
      <c r="B105" s="5" t="inlineStr">
        <is>
          <t>M3B8</t>
        </is>
      </c>
      <c r="C105" s="5" t="inlineStr">
        <is>
          <t>C1081-Q9582</t>
        </is>
      </c>
      <c r="D105" s="5" t="inlineStr">
        <is>
          <t>Morropón</t>
        </is>
      </c>
      <c r="E105" s="5" t="inlineStr">
        <is>
          <t>San Juan de Bigote</t>
        </is>
      </c>
      <c r="F105" s="6" t="n">
        <v>565.5839999999999</v>
      </c>
      <c r="G105" s="5">
        <f>COUNTIF(Bloque_Ecosistema!$B$9:$B$198,B105)</f>
        <v/>
      </c>
      <c r="H105" s="5" t="inlineStr">
        <is>
          <t>Bosque estacionalmente seco de colina y montaña</t>
        </is>
      </c>
      <c r="I105" s="7" t="n">
        <v>0.9998</v>
      </c>
      <c r="J105" s="5" t="inlineStr">
        <is>
          <t>Zona agrícola (0%)</t>
        </is>
      </c>
    </row>
    <row r="106">
      <c r="A106" s="9" t="n">
        <v>98</v>
      </c>
      <c r="B106" s="9" t="inlineStr">
        <is>
          <t>14</t>
        </is>
      </c>
      <c r="C106" s="9" t="inlineStr">
        <is>
          <t>C1086-Q9570</t>
        </is>
      </c>
      <c r="D106" s="9" t="inlineStr">
        <is>
          <t>Morropón</t>
        </is>
      </c>
      <c r="E106" s="9" t="inlineStr">
        <is>
          <t>Santa Catalina de Mossa</t>
        </is>
      </c>
      <c r="F106" s="10" t="n">
        <v>92.905</v>
      </c>
      <c r="G106" s="9">
        <f>COUNTIF(Bloque_Ecosistema!$B$9:$B$198,B106)</f>
        <v/>
      </c>
      <c r="H106" s="9" t="inlineStr">
        <is>
          <t>Matorral andino</t>
        </is>
      </c>
      <c r="I106" s="11" t="n">
        <v>0.7498</v>
      </c>
      <c r="J106" s="9" t="inlineStr">
        <is>
          <t>Zona agrícola (25%)</t>
        </is>
      </c>
    </row>
    <row r="107">
      <c r="A107" s="5" t="n">
        <v>99</v>
      </c>
      <c r="B107" s="5" t="inlineStr">
        <is>
          <t>42</t>
        </is>
      </c>
      <c r="C107" s="5" t="inlineStr">
        <is>
          <t>C1086-Q9570</t>
        </is>
      </c>
      <c r="D107" s="5" t="inlineStr">
        <is>
          <t>Morropón</t>
        </is>
      </c>
      <c r="E107" s="5" t="inlineStr">
        <is>
          <t>Santa Catalina de Mossa</t>
        </is>
      </c>
      <c r="F107" s="6" t="n">
        <v>80.616</v>
      </c>
      <c r="G107" s="5">
        <f>COUNTIF(Bloque_Ecosistema!$B$9:$B$198,B107)</f>
        <v/>
      </c>
      <c r="H107" s="5" t="inlineStr">
        <is>
          <t>Bosque estacionalmente seco de colina y montaña</t>
        </is>
      </c>
      <c r="I107" s="7" t="n">
        <v>0.643</v>
      </c>
      <c r="J107" s="5" t="inlineStr">
        <is>
          <t>Zona agrícola (36%)</t>
        </is>
      </c>
    </row>
    <row r="108">
      <c r="A108" s="9" t="n">
        <v>100</v>
      </c>
      <c r="B108" s="9" t="inlineStr">
        <is>
          <t>58</t>
        </is>
      </c>
      <c r="C108" s="9" t="inlineStr">
        <is>
          <t>C1086-Q9569</t>
        </is>
      </c>
      <c r="D108" s="9" t="inlineStr">
        <is>
          <t>Morropón</t>
        </is>
      </c>
      <c r="E108" s="9" t="inlineStr">
        <is>
          <t>Santa Catalina de Mossa</t>
        </is>
      </c>
      <c r="F108" s="10" t="n">
        <v>11.475</v>
      </c>
      <c r="G108" s="9">
        <f>COUNTIF(Bloque_Ecosistema!$B$9:$B$198,B108)</f>
        <v/>
      </c>
      <c r="H108" s="9" t="inlineStr">
        <is>
          <t>Bosque estacionalmente seco de colina y montaña</t>
        </is>
      </c>
      <c r="I108" s="11" t="n">
        <v>1</v>
      </c>
      <c r="J108" s="9" t="inlineStr"/>
    </row>
    <row r="109">
      <c r="A109" s="5" t="n">
        <v>101</v>
      </c>
      <c r="B109" s="5" t="inlineStr">
        <is>
          <t>M36B2</t>
        </is>
      </c>
      <c r="C109" s="5" t="inlineStr">
        <is>
          <t>C1086-Q9576</t>
        </is>
      </c>
      <c r="D109" s="5" t="inlineStr">
        <is>
          <t>Morropón</t>
        </is>
      </c>
      <c r="E109" s="5" t="inlineStr">
        <is>
          <t>Santa Catalina de Mossa</t>
        </is>
      </c>
      <c r="F109" s="6" t="n">
        <v>28.19</v>
      </c>
      <c r="G109" s="5">
        <f>COUNTIF(Bloque_Ecosistema!$B$9:$B$198,B109)</f>
        <v/>
      </c>
      <c r="H109" s="5" t="inlineStr">
        <is>
          <t>Zona agrícola</t>
        </is>
      </c>
      <c r="I109" s="7" t="n">
        <v>1</v>
      </c>
      <c r="J109" s="5" t="inlineStr"/>
    </row>
    <row r="110">
      <c r="A110" s="9" t="n">
        <v>102</v>
      </c>
      <c r="B110" s="9" t="inlineStr">
        <is>
          <t>11</t>
        </is>
      </c>
      <c r="C110" s="9" t="inlineStr">
        <is>
          <t>C1086-Q9570</t>
        </is>
      </c>
      <c r="D110" s="9" t="inlineStr">
        <is>
          <t>Morropón</t>
        </is>
      </c>
      <c r="E110" s="9" t="inlineStr">
        <is>
          <t>Santo Domingo</t>
        </is>
      </c>
      <c r="F110" s="10" t="n">
        <v>103.948</v>
      </c>
      <c r="G110" s="9">
        <f>COUNTIF(Bloque_Ecosistema!$B$9:$B$198,B110)</f>
        <v/>
      </c>
      <c r="H110" s="9" t="inlineStr">
        <is>
          <t>Zona agrícola</t>
        </is>
      </c>
      <c r="I110" s="11" t="n">
        <v>0.77</v>
      </c>
      <c r="J110" s="9" t="inlineStr">
        <is>
          <t>Matorral andino (23%)</t>
        </is>
      </c>
    </row>
    <row r="111">
      <c r="A111" s="5" t="n">
        <v>103</v>
      </c>
      <c r="B111" s="5" t="inlineStr">
        <is>
          <t>12</t>
        </is>
      </c>
      <c r="C111" s="5" t="inlineStr">
        <is>
          <t>C1086-Q9570</t>
        </is>
      </c>
      <c r="D111" s="5" t="inlineStr">
        <is>
          <t>Morropón</t>
        </is>
      </c>
      <c r="E111" s="5" t="inlineStr">
        <is>
          <t>Santo Domingo</t>
        </is>
      </c>
      <c r="F111" s="6" t="n">
        <v>119.538</v>
      </c>
      <c r="G111" s="5">
        <f>COUNTIF(Bloque_Ecosistema!$B$9:$B$198,B111)</f>
        <v/>
      </c>
      <c r="H111" s="5" t="inlineStr">
        <is>
          <t>Zona agrícola</t>
        </is>
      </c>
      <c r="I111" s="7" t="n">
        <v>0.7939000000000001</v>
      </c>
      <c r="J111" s="5" t="inlineStr">
        <is>
          <t>Bosque relicto montano de vertiente occidental (21%)</t>
        </is>
      </c>
    </row>
    <row r="112">
      <c r="A112" s="9" t="n">
        <v>104</v>
      </c>
      <c r="B112" s="9" t="inlineStr">
        <is>
          <t>13</t>
        </is>
      </c>
      <c r="C112" s="9" t="inlineStr">
        <is>
          <t>C1096-Q9564</t>
        </is>
      </c>
      <c r="D112" s="9" t="inlineStr">
        <is>
          <t>Morropón</t>
        </is>
      </c>
      <c r="E112" s="9" t="inlineStr">
        <is>
          <t>Santo Domingo</t>
        </is>
      </c>
      <c r="F112" s="10" t="n">
        <v>100.514</v>
      </c>
      <c r="G112" s="9">
        <f>COUNTIF(Bloque_Ecosistema!$B$9:$B$198,B112)</f>
        <v/>
      </c>
      <c r="H112" s="9" t="inlineStr">
        <is>
          <t>Matorral andino</t>
        </is>
      </c>
      <c r="I112" s="11" t="n">
        <v>0.6005</v>
      </c>
      <c r="J112" s="9" t="inlineStr">
        <is>
          <t>Bosque relicto montano de vertiente occidental (26%); Zona agrícola (14%)</t>
        </is>
      </c>
    </row>
    <row r="113">
      <c r="A113" s="5" t="n">
        <v>105</v>
      </c>
      <c r="B113" s="5" t="inlineStr">
        <is>
          <t>15</t>
        </is>
      </c>
      <c r="C113" s="5" t="inlineStr">
        <is>
          <t>C1086-Q9570</t>
        </is>
      </c>
      <c r="D113" s="5" t="inlineStr">
        <is>
          <t>Morropón</t>
        </is>
      </c>
      <c r="E113" s="5" t="inlineStr">
        <is>
          <t>Santo Domingo</t>
        </is>
      </c>
      <c r="F113" s="6" t="n">
        <v>86.14700000000001</v>
      </c>
      <c r="G113" s="5">
        <f>COUNTIF(Bloque_Ecosistema!$B$9:$B$198,B113)</f>
        <v/>
      </c>
      <c r="H113" s="5" t="inlineStr">
        <is>
          <t>Zona agrícola</t>
        </is>
      </c>
      <c r="I113" s="7" t="n">
        <v>0.9572000000000001</v>
      </c>
      <c r="J113" s="5" t="inlineStr">
        <is>
          <t>Matorral andino (4%)</t>
        </is>
      </c>
    </row>
    <row r="114">
      <c r="A114" s="9" t="n">
        <v>106</v>
      </c>
      <c r="B114" s="9" t="inlineStr">
        <is>
          <t>17</t>
        </is>
      </c>
      <c r="C114" s="9" t="inlineStr">
        <is>
          <t>C1086-Q9570</t>
        </is>
      </c>
      <c r="D114" s="9" t="inlineStr">
        <is>
          <t>Morropón</t>
        </is>
      </c>
      <c r="E114" s="9" t="inlineStr">
        <is>
          <t>Santo Domingo</t>
        </is>
      </c>
      <c r="F114" s="10" t="n">
        <v>96.07899999999999</v>
      </c>
      <c r="G114" s="9">
        <f>COUNTIF(Bloque_Ecosistema!$B$9:$B$198,B114)</f>
        <v/>
      </c>
      <c r="H114" s="9" t="inlineStr">
        <is>
          <t>Zona agrícola</t>
        </is>
      </c>
      <c r="I114" s="11" t="n">
        <v>0.9756</v>
      </c>
      <c r="J114" s="9" t="inlineStr">
        <is>
          <t>Matorral andino (2%)</t>
        </is>
      </c>
    </row>
    <row r="115">
      <c r="A115" s="5" t="n">
        <v>107</v>
      </c>
      <c r="B115" s="5" t="inlineStr">
        <is>
          <t>23</t>
        </is>
      </c>
      <c r="C115" s="5" t="inlineStr">
        <is>
          <t>C1086-Q9570</t>
        </is>
      </c>
      <c r="D115" s="5" t="inlineStr">
        <is>
          <t>Morropón</t>
        </is>
      </c>
      <c r="E115" s="5" t="inlineStr">
        <is>
          <t>Santo Domingo</t>
        </is>
      </c>
      <c r="F115" s="6" t="n">
        <v>81.776</v>
      </c>
      <c r="G115" s="5">
        <f>COUNTIF(Bloque_Ecosistema!$B$9:$B$198,B115)</f>
        <v/>
      </c>
      <c r="H115" s="5" t="inlineStr">
        <is>
          <t>Matorral andino</t>
        </is>
      </c>
      <c r="I115" s="7" t="n">
        <v>0.6402</v>
      </c>
      <c r="J115" s="5" t="inlineStr">
        <is>
          <t>Zona agrícola (36%)</t>
        </is>
      </c>
    </row>
    <row r="116">
      <c r="A116" s="9" t="n">
        <v>108</v>
      </c>
      <c r="B116" s="9" t="inlineStr">
        <is>
          <t>78</t>
        </is>
      </c>
      <c r="C116" s="9" t="inlineStr">
        <is>
          <t>C1086-Q9570</t>
        </is>
      </c>
      <c r="D116" s="9" t="inlineStr">
        <is>
          <t>Morropón</t>
        </is>
      </c>
      <c r="E116" s="9" t="inlineStr">
        <is>
          <t>Santo Domingo</t>
        </is>
      </c>
      <c r="F116" s="10" t="n">
        <v>35.1</v>
      </c>
      <c r="G116" s="9">
        <f>COUNTIF(Bloque_Ecosistema!$B$9:$B$198,B116)</f>
        <v/>
      </c>
      <c r="H116" s="9" t="inlineStr">
        <is>
          <t>Matorral andino</t>
        </is>
      </c>
      <c r="I116" s="11" t="n">
        <v>0.7689</v>
      </c>
      <c r="J116" s="9" t="inlineStr">
        <is>
          <t>Zona agrícola (23%)</t>
        </is>
      </c>
    </row>
    <row r="117">
      <c r="A117" s="5" t="n">
        <v>109</v>
      </c>
      <c r="B117" s="5" t="inlineStr">
        <is>
          <t>82</t>
        </is>
      </c>
      <c r="C117" s="5" t="inlineStr">
        <is>
          <t>C1086-Q9570</t>
        </is>
      </c>
      <c r="D117" s="5" t="inlineStr">
        <is>
          <t>Morropón</t>
        </is>
      </c>
      <c r="E117" s="5" t="inlineStr">
        <is>
          <t>Santo Domingo</t>
        </is>
      </c>
      <c r="F117" s="6" t="n">
        <v>35.661</v>
      </c>
      <c r="G117" s="5">
        <f>COUNTIF(Bloque_Ecosistema!$B$9:$B$198,B117)</f>
        <v/>
      </c>
      <c r="H117" s="5" t="inlineStr">
        <is>
          <t>Matorral andino</t>
        </is>
      </c>
      <c r="I117" s="7" t="n">
        <v>0.7049</v>
      </c>
      <c r="J117" s="5" t="inlineStr">
        <is>
          <t>Zona agrícola (21%); Bosque relicto montano de vertiente occidental (9%)</t>
        </is>
      </c>
    </row>
    <row r="118">
      <c r="A118" s="9" t="n">
        <v>110</v>
      </c>
      <c r="B118" s="9" t="inlineStr">
        <is>
          <t>M19B7</t>
        </is>
      </c>
      <c r="C118" s="9" t="inlineStr">
        <is>
          <t>C1086-Q9570</t>
        </is>
      </c>
      <c r="D118" s="9" t="inlineStr">
        <is>
          <t>Morropón</t>
        </is>
      </c>
      <c r="E118" s="9" t="inlineStr">
        <is>
          <t>Santo Domingo</t>
        </is>
      </c>
      <c r="F118" s="10" t="n">
        <v>34.171</v>
      </c>
      <c r="G118" s="9">
        <f>COUNTIF(Bloque_Ecosistema!$B$9:$B$198,B118)</f>
        <v/>
      </c>
      <c r="H118" s="9" t="inlineStr">
        <is>
          <t>Zona agrícola</t>
        </is>
      </c>
      <c r="I118" s="11" t="n">
        <v>0.8773</v>
      </c>
      <c r="J118" s="9" t="inlineStr">
        <is>
          <t>Bosque estacionalmente seco de colina y montaña (12%)</t>
        </is>
      </c>
    </row>
    <row r="119">
      <c r="A119" s="5" t="n">
        <v>111</v>
      </c>
      <c r="B119" s="5" t="inlineStr">
        <is>
          <t>M8B2</t>
        </is>
      </c>
      <c r="C119" s="5" t="inlineStr">
        <is>
          <t>C1096-Q9558</t>
        </is>
      </c>
      <c r="D119" s="5" t="inlineStr">
        <is>
          <t>Morropón</t>
        </is>
      </c>
      <c r="E119" s="5" t="inlineStr">
        <is>
          <t>Santo Domingo</t>
        </is>
      </c>
      <c r="F119" s="6" t="n">
        <v>35.347</v>
      </c>
      <c r="G119" s="5">
        <f>COUNTIF(Bloque_Ecosistema!$B$9:$B$198,B119)</f>
        <v/>
      </c>
      <c r="H119" s="5" t="inlineStr">
        <is>
          <t>Bosque estacionalmente seco de colina y montaña</t>
        </is>
      </c>
      <c r="I119" s="7" t="n">
        <v>0.5778</v>
      </c>
      <c r="J119" s="5" t="inlineStr">
        <is>
          <t>Zona agrícola (42%)</t>
        </is>
      </c>
    </row>
    <row r="120">
      <c r="A120" s="9" t="n">
        <v>112</v>
      </c>
      <c r="B120" s="9" t="inlineStr">
        <is>
          <t>49</t>
        </is>
      </c>
      <c r="C120" s="9" t="inlineStr">
        <is>
          <t>C1086-Q9575</t>
        </is>
      </c>
      <c r="D120" s="9" t="inlineStr">
        <is>
          <t>Morropón</t>
        </is>
      </c>
      <c r="E120" s="9" t="inlineStr">
        <is>
          <t>Yamango</t>
        </is>
      </c>
      <c r="F120" s="10" t="n">
        <v>15.839</v>
      </c>
      <c r="G120" s="9">
        <f>COUNTIF(Bloque_Ecosistema!$B$9:$B$198,B120)</f>
        <v/>
      </c>
      <c r="H120" s="9" t="inlineStr">
        <is>
          <t>Zona agrícola</t>
        </is>
      </c>
      <c r="I120" s="11" t="n">
        <v>0.6967</v>
      </c>
      <c r="J120" s="9" t="inlineStr">
        <is>
          <t>Matorral andino (30%)</t>
        </is>
      </c>
    </row>
    <row r="121">
      <c r="A121" s="5" t="n">
        <v>113</v>
      </c>
      <c r="B121" s="5" t="inlineStr">
        <is>
          <t>52</t>
        </is>
      </c>
      <c r="C121" s="5" t="inlineStr">
        <is>
          <t>C1086-Q9575</t>
        </is>
      </c>
      <c r="D121" s="5" t="inlineStr">
        <is>
          <t>Morropón</t>
        </is>
      </c>
      <c r="E121" s="5" t="inlineStr">
        <is>
          <t>Yamango</t>
        </is>
      </c>
      <c r="F121" s="6" t="n">
        <v>11.059</v>
      </c>
      <c r="G121" s="5">
        <f>COUNTIF(Bloque_Ecosistema!$B$9:$B$198,B121)</f>
        <v/>
      </c>
      <c r="H121" s="5" t="inlineStr">
        <is>
          <t>Zona agrícola</t>
        </is>
      </c>
      <c r="I121" s="7" t="n">
        <v>0.6085</v>
      </c>
      <c r="J121" s="5" t="inlineStr">
        <is>
          <t>Matorral andino (39%)</t>
        </is>
      </c>
    </row>
    <row r="122">
      <c r="A122" s="9" t="n">
        <v>114</v>
      </c>
      <c r="B122" s="9" t="inlineStr">
        <is>
          <t>55</t>
        </is>
      </c>
      <c r="C122" s="9" t="inlineStr">
        <is>
          <t>C1086-Q9575</t>
        </is>
      </c>
      <c r="D122" s="9" t="inlineStr">
        <is>
          <t>Morropón</t>
        </is>
      </c>
      <c r="E122" s="9" t="inlineStr">
        <is>
          <t>Yamango</t>
        </is>
      </c>
      <c r="F122" s="10" t="n">
        <v>0.859</v>
      </c>
      <c r="G122" s="9">
        <f>COUNTIF(Bloque_Ecosistema!$B$9:$B$198,B122)</f>
        <v/>
      </c>
      <c r="H122" s="9" t="inlineStr">
        <is>
          <t>Zona agrícola</t>
        </is>
      </c>
      <c r="I122" s="11" t="n">
        <v>1</v>
      </c>
      <c r="J122" s="9" t="inlineStr"/>
    </row>
    <row r="123">
      <c r="A123" s="5" t="n">
        <v>115</v>
      </c>
      <c r="B123" s="5" t="inlineStr">
        <is>
          <t>M28B2</t>
        </is>
      </c>
      <c r="C123" s="5" t="inlineStr">
        <is>
          <t>C1086-Q9575</t>
        </is>
      </c>
      <c r="D123" s="5" t="inlineStr">
        <is>
          <t>Morropón</t>
        </is>
      </c>
      <c r="E123" s="5" t="inlineStr">
        <is>
          <t>Yamango</t>
        </is>
      </c>
      <c r="F123" s="6" t="n">
        <v>90.197</v>
      </c>
      <c r="G123" s="5">
        <f>COUNTIF(Bloque_Ecosistema!$B$9:$B$198,B123)</f>
        <v/>
      </c>
      <c r="H123" s="5" t="inlineStr">
        <is>
          <t>Bosque estacionalmente seco de colina y montaña</t>
        </is>
      </c>
      <c r="I123" s="7" t="n">
        <v>0.9915</v>
      </c>
      <c r="J123" s="5" t="inlineStr">
        <is>
          <t>Zona agrícola (1%)</t>
        </is>
      </c>
    </row>
    <row r="124">
      <c r="A124" s="9" t="n">
        <v>116</v>
      </c>
      <c r="B124" s="9" t="inlineStr">
        <is>
          <t>M28B3</t>
        </is>
      </c>
      <c r="C124" s="9" t="inlineStr">
        <is>
          <t>C1086-Q9575</t>
        </is>
      </c>
      <c r="D124" s="9" t="inlineStr">
        <is>
          <t>Morropón</t>
        </is>
      </c>
      <c r="E124" s="9" t="inlineStr">
        <is>
          <t>Yamango</t>
        </is>
      </c>
      <c r="F124" s="10" t="n">
        <v>58.292</v>
      </c>
      <c r="G124" s="9">
        <f>COUNTIF(Bloque_Ecosistema!$B$9:$B$198,B124)</f>
        <v/>
      </c>
      <c r="H124" s="9" t="inlineStr">
        <is>
          <t>Bosque estacionalmente seco de colina y montaña</t>
        </is>
      </c>
      <c r="I124" s="11" t="n">
        <v>0.9387</v>
      </c>
      <c r="J124" s="9" t="inlineStr">
        <is>
          <t>Zona agrícola (6%)</t>
        </is>
      </c>
    </row>
    <row r="125">
      <c r="A125" s="5" t="n">
        <v>117</v>
      </c>
      <c r="B125" s="5" t="inlineStr">
        <is>
          <t>M28B4</t>
        </is>
      </c>
      <c r="C125" s="5" t="inlineStr">
        <is>
          <t>C1086-Q9575</t>
        </is>
      </c>
      <c r="D125" s="5" t="inlineStr">
        <is>
          <t>Morropón</t>
        </is>
      </c>
      <c r="E125" s="5" t="inlineStr">
        <is>
          <t>Yamango</t>
        </is>
      </c>
      <c r="F125" s="6" t="n">
        <v>283.428</v>
      </c>
      <c r="G125" s="5">
        <f>COUNTIF(Bloque_Ecosistema!$B$9:$B$198,B125)</f>
        <v/>
      </c>
      <c r="H125" s="5" t="inlineStr">
        <is>
          <t>Bosque estacionalmente seco de colina y montaña</t>
        </is>
      </c>
      <c r="I125" s="7" t="n">
        <v>1</v>
      </c>
      <c r="J125" s="5" t="inlineStr"/>
    </row>
    <row r="126">
      <c r="A126" s="13" t="inlineStr">
        <is>
          <t>TOTAL</t>
        </is>
      </c>
      <c r="B126" s="13" t="n"/>
      <c r="C126" s="13" t="n"/>
      <c r="D126" s="13" t="n"/>
      <c r="E126" s="13" t="n"/>
      <c r="F126" s="14">
        <f>SUM(F9:F125)</f>
        <v/>
      </c>
      <c r="G126" s="13" t="n"/>
      <c r="H126" s="13" t="n"/>
      <c r="I126" s="13" t="n"/>
      <c r="J126" s="13" t="n"/>
    </row>
  </sheetData>
  <autoFilter ref="A8:J125"/>
  <mergeCells count="6">
    <mergeCell ref="A1:J1"/>
    <mergeCell ref="A5:J5"/>
    <mergeCell ref="A6:J6"/>
    <mergeCell ref="A3:J3"/>
    <mergeCell ref="A4:J4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9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3" customWidth="1" min="4" max="4"/>
    <col width="24" customWidth="1" min="5" max="5"/>
    <col width="48" customWidth="1" min="6" max="6"/>
    <col width="11" customWidth="1" min="7" max="7"/>
    <col width="14" customWidth="1" min="8" max="8"/>
    <col width="11" customWidth="1" min="9" max="9"/>
    <col width="16" customWidth="1" min="10" max="10"/>
    <col width="15" customWidth="1" min="11" max="11"/>
  </cols>
  <sheetData>
    <row r="1" ht="18" customHeight="1">
      <c r="A1" s="1" t="inlineStr">
        <is>
          <t>AUTORIDAD NACIONAL DE INFRAESTRUCTURA - ANIN</t>
        </is>
      </c>
    </row>
    <row r="2" ht="18" customHeight="1">
      <c r="A2" s="1" t="inlineStr">
        <is>
          <t>DIRECCIÓN DE INTERVENCIONES MULTISECTORIALES Y DE EMERGENCIA - DIME</t>
        </is>
      </c>
    </row>
    <row r="3" ht="18" customHeight="1">
      <c r="A3" s="1" t="inlineStr">
        <is>
          <t>SUBDIRECCIÓN DE ESTUDIOS DE INVERSIÓN - SESDI</t>
        </is>
      </c>
    </row>
    <row r="4" ht="18" customHeight="1">
      <c r="A4" s="2" t="inlineStr">
        <is>
          <t>ECOSISTEMAS POR BLOQUE DE INTERVENCIÓN V6 — DETALLE</t>
        </is>
      </c>
    </row>
    <row r="5" ht="18" customHeight="1">
      <c r="A5" s="3" t="inlineStr">
        <is>
          <t>PROYECTO IN PIURA | CUI 2669244 | Cuenca Alta del Río Piura | UTM WGS 84 Zona 17S (EPSG:32717)</t>
        </is>
      </c>
    </row>
    <row r="6" ht="18" customHeight="1">
      <c r="A6" s="3" t="inlineStr">
        <is>
          <t>Fuente: Ecosistemas: Mapa Nacional de Ecosistemas del Perú, MINAM 2018 (R.M. N.° 440-2018-MINAM): recorte a microcuencas, completado en M27B1 y M9B1 con el recorte a esos bloques. Bloques V6, ANIN-DIME-SESDI 2026 (sin 74 y 75)</t>
        </is>
      </c>
    </row>
    <row r="8" ht="30" customHeight="1">
      <c r="A8" s="4" t="inlineStr">
        <is>
          <t>N.°</t>
        </is>
      </c>
      <c r="B8" s="4" t="inlineStr">
        <is>
          <t>Bloque</t>
        </is>
      </c>
      <c r="C8" s="4" t="inlineStr">
        <is>
          <t>Microcuenca</t>
        </is>
      </c>
      <c r="D8" s="4" t="inlineStr">
        <is>
          <t>Provincia</t>
        </is>
      </c>
      <c r="E8" s="4" t="inlineStr">
        <is>
          <t>Distrito</t>
        </is>
      </c>
      <c r="F8" s="4" t="inlineStr">
        <is>
          <t>Ecosistema</t>
        </is>
      </c>
      <c r="G8" s="4" t="inlineStr">
        <is>
          <t>Símbolo</t>
        </is>
      </c>
      <c r="H8" s="4" t="inlineStr">
        <is>
          <t>Área geométrica (ha)</t>
        </is>
      </c>
      <c r="I8" s="4" t="inlineStr">
        <is>
          <t>% del bloque</t>
        </is>
      </c>
      <c r="J8" s="4" t="inlineStr">
        <is>
          <t>Área del bloque, catálogo (ha)</t>
        </is>
      </c>
      <c r="K8" s="4" t="inlineStr">
        <is>
          <t>Área prorrateada (ha)</t>
        </is>
      </c>
    </row>
    <row r="9">
      <c r="A9" s="5" t="n">
        <v>1</v>
      </c>
      <c r="B9" s="5" t="inlineStr">
        <is>
          <t>27</t>
        </is>
      </c>
      <c r="C9" s="5" t="inlineStr">
        <is>
          <t>C1096-Q9556</t>
        </is>
      </c>
      <c r="D9" s="5" t="inlineStr">
        <is>
          <t>Ayabaca</t>
        </is>
      </c>
      <c r="E9" s="5" t="inlineStr">
        <is>
          <t>Frías</t>
        </is>
      </c>
      <c r="F9" s="5" t="inlineStr">
        <is>
          <t>Zona agrícola</t>
        </is>
      </c>
      <c r="G9" s="5" t="inlineStr">
        <is>
          <t>Agri</t>
        </is>
      </c>
      <c r="H9" s="6" t="n">
        <v>78.154</v>
      </c>
      <c r="I9" s="7">
        <f>H9/SUMIF($B$9:$B$198,B9,$H$9:$H$198)</f>
        <v/>
      </c>
      <c r="J9" s="6" t="n">
        <v>78.154</v>
      </c>
      <c r="K9" s="6">
        <f>I9*J9</f>
        <v/>
      </c>
    </row>
    <row r="10">
      <c r="A10" s="9" t="n">
        <v>2</v>
      </c>
      <c r="B10" s="9" t="inlineStr">
        <is>
          <t>3</t>
        </is>
      </c>
      <c r="C10" s="9" t="inlineStr">
        <is>
          <t>C1096-Q9545</t>
        </is>
      </c>
      <c r="D10" s="9" t="inlineStr">
        <is>
          <t>Ayabaca</t>
        </is>
      </c>
      <c r="E10" s="9" t="inlineStr">
        <is>
          <t>Frías</t>
        </is>
      </c>
      <c r="F10" s="9" t="inlineStr">
        <is>
          <t>Zona agrícola</t>
        </is>
      </c>
      <c r="G10" s="9" t="inlineStr">
        <is>
          <t>Agri</t>
        </is>
      </c>
      <c r="H10" s="10" t="n">
        <v>434.197</v>
      </c>
      <c r="I10" s="11">
        <f>H10/SUMIF($B$9:$B$198,B10,$H$9:$H$198)</f>
        <v/>
      </c>
      <c r="J10" s="10" t="n">
        <v>459.295</v>
      </c>
      <c r="K10" s="10">
        <f>I10*J10</f>
        <v/>
      </c>
    </row>
    <row r="11">
      <c r="A11" s="5" t="n">
        <v>3</v>
      </c>
      <c r="B11" s="5" t="inlineStr">
        <is>
          <t>3</t>
        </is>
      </c>
      <c r="C11" s="5" t="inlineStr">
        <is>
          <t>C1096-Q9545</t>
        </is>
      </c>
      <c r="D11" s="5" t="inlineStr">
        <is>
          <t>Ayabaca</t>
        </is>
      </c>
      <c r="E11" s="5" t="inlineStr">
        <is>
          <t>Frías</t>
        </is>
      </c>
      <c r="F11" s="5" t="inlineStr">
        <is>
          <t>Bosque estacionalmente seco de colina y montaña</t>
        </is>
      </c>
      <c r="G11" s="5" t="inlineStr">
        <is>
          <t>Bes-cm</t>
        </is>
      </c>
      <c r="H11" s="6" t="n">
        <v>25.097</v>
      </c>
      <c r="I11" s="7">
        <f>H11/SUMIF($B$9:$B$198,B11,$H$9:$H$198)</f>
        <v/>
      </c>
      <c r="J11" s="6" t="n">
        <v>459.295</v>
      </c>
      <c r="K11" s="6">
        <f>I11*J11</f>
        <v/>
      </c>
    </row>
    <row r="12">
      <c r="A12" s="9" t="n">
        <v>4</v>
      </c>
      <c r="B12" s="9" t="inlineStr">
        <is>
          <t>36</t>
        </is>
      </c>
      <c r="C12" s="9" t="inlineStr">
        <is>
          <t>C1096-Q9547</t>
        </is>
      </c>
      <c r="D12" s="9" t="inlineStr">
        <is>
          <t>Ayabaca</t>
        </is>
      </c>
      <c r="E12" s="9" t="inlineStr">
        <is>
          <t>Frías</t>
        </is>
      </c>
      <c r="F12" s="9" t="inlineStr">
        <is>
          <t>Zona agrícola</t>
        </is>
      </c>
      <c r="G12" s="9" t="inlineStr">
        <is>
          <t>Agri</t>
        </is>
      </c>
      <c r="H12" s="10" t="n">
        <v>24.843</v>
      </c>
      <c r="I12" s="11">
        <f>H12/SUMIF($B$9:$B$198,B12,$H$9:$H$198)</f>
        <v/>
      </c>
      <c r="J12" s="10" t="n">
        <v>24.843</v>
      </c>
      <c r="K12" s="10">
        <f>I12*J12</f>
        <v/>
      </c>
    </row>
    <row r="13">
      <c r="A13" s="5" t="n">
        <v>5</v>
      </c>
      <c r="B13" s="5" t="inlineStr">
        <is>
          <t>39</t>
        </is>
      </c>
      <c r="C13" s="5" t="inlineStr">
        <is>
          <t>C1096-Q9564</t>
        </is>
      </c>
      <c r="D13" s="5" t="inlineStr">
        <is>
          <t>Ayabaca</t>
        </is>
      </c>
      <c r="E13" s="5" t="inlineStr">
        <is>
          <t>Frías</t>
        </is>
      </c>
      <c r="F13" s="5" t="inlineStr">
        <is>
          <t>Matorral andino</t>
        </is>
      </c>
      <c r="G13" s="5" t="inlineStr">
        <is>
          <t>Ma</t>
        </is>
      </c>
      <c r="H13" s="6" t="n">
        <v>68.569</v>
      </c>
      <c r="I13" s="7">
        <f>H13/SUMIF($B$9:$B$198,B13,$H$9:$H$198)</f>
        <v/>
      </c>
      <c r="J13" s="6" t="n">
        <v>68.569</v>
      </c>
      <c r="K13" s="6">
        <f>I13*J13</f>
        <v/>
      </c>
    </row>
    <row r="14">
      <c r="A14" s="9" t="n">
        <v>6</v>
      </c>
      <c r="B14" s="9" t="inlineStr">
        <is>
          <t>56</t>
        </is>
      </c>
      <c r="C14" s="9" t="inlineStr">
        <is>
          <t>C1096-Q9564</t>
        </is>
      </c>
      <c r="D14" s="9" t="inlineStr">
        <is>
          <t>Ayabaca</t>
        </is>
      </c>
      <c r="E14" s="9" t="inlineStr">
        <is>
          <t>Frías</t>
        </is>
      </c>
      <c r="F14" s="9" t="inlineStr">
        <is>
          <t>Bosque relicto montano de vertiente occidental</t>
        </is>
      </c>
      <c r="G14" s="9" t="inlineStr">
        <is>
          <t>Br-mvoc</t>
        </is>
      </c>
      <c r="H14" s="10" t="n">
        <v>41.849</v>
      </c>
      <c r="I14" s="11">
        <f>H14/SUMIF($B$9:$B$198,B14,$H$9:$H$198)</f>
        <v/>
      </c>
      <c r="J14" s="10" t="n">
        <v>77.666</v>
      </c>
      <c r="K14" s="10">
        <f>I14*J14</f>
        <v/>
      </c>
    </row>
    <row r="15">
      <c r="A15" s="5" t="n">
        <v>7</v>
      </c>
      <c r="B15" s="5" t="inlineStr">
        <is>
          <t>56</t>
        </is>
      </c>
      <c r="C15" s="5" t="inlineStr">
        <is>
          <t>C1096-Q9564</t>
        </is>
      </c>
      <c r="D15" s="5" t="inlineStr">
        <is>
          <t>Ayabaca</t>
        </is>
      </c>
      <c r="E15" s="5" t="inlineStr">
        <is>
          <t>Frías</t>
        </is>
      </c>
      <c r="F15" s="5" t="inlineStr">
        <is>
          <t>Zona agrícola</t>
        </is>
      </c>
      <c r="G15" s="5" t="inlineStr">
        <is>
          <t>Agri</t>
        </is>
      </c>
      <c r="H15" s="6" t="n">
        <v>35.817</v>
      </c>
      <c r="I15" s="7">
        <f>H15/SUMIF($B$9:$B$198,B15,$H$9:$H$198)</f>
        <v/>
      </c>
      <c r="J15" s="6" t="n">
        <v>77.666</v>
      </c>
      <c r="K15" s="6">
        <f>I15*J15</f>
        <v/>
      </c>
    </row>
    <row r="16">
      <c r="A16" s="9" t="n">
        <v>8</v>
      </c>
      <c r="B16" s="9" t="inlineStr">
        <is>
          <t>6</t>
        </is>
      </c>
      <c r="C16" s="9" t="inlineStr">
        <is>
          <t>C1096-Q9547</t>
        </is>
      </c>
      <c r="D16" s="9" t="inlineStr">
        <is>
          <t>Ayabaca</t>
        </is>
      </c>
      <c r="E16" s="9" t="inlineStr">
        <is>
          <t>Frías</t>
        </is>
      </c>
      <c r="F16" s="9" t="inlineStr">
        <is>
          <t>Zona agrícola</t>
        </is>
      </c>
      <c r="G16" s="9" t="inlineStr">
        <is>
          <t>Agri</t>
        </is>
      </c>
      <c r="H16" s="10" t="n">
        <v>164.236</v>
      </c>
      <c r="I16" s="11">
        <f>H16/SUMIF($B$9:$B$198,B16,$H$9:$H$198)</f>
        <v/>
      </c>
      <c r="J16" s="10" t="n">
        <v>168.411</v>
      </c>
      <c r="K16" s="10">
        <f>I16*J16</f>
        <v/>
      </c>
    </row>
    <row r="17">
      <c r="A17" s="5" t="n">
        <v>9</v>
      </c>
      <c r="B17" s="5" t="inlineStr">
        <is>
          <t>6</t>
        </is>
      </c>
      <c r="C17" s="5" t="inlineStr">
        <is>
          <t>C1096-Q9547</t>
        </is>
      </c>
      <c r="D17" s="5" t="inlineStr">
        <is>
          <t>Ayabaca</t>
        </is>
      </c>
      <c r="E17" s="5" t="inlineStr">
        <is>
          <t>Frías</t>
        </is>
      </c>
      <c r="F17" s="5" t="inlineStr">
        <is>
          <t>Bosque estacionalmente seco de colina y montaña</t>
        </is>
      </c>
      <c r="G17" s="5" t="inlineStr">
        <is>
          <t>Bes-cm</t>
        </is>
      </c>
      <c r="H17" s="6" t="n">
        <v>4.175</v>
      </c>
      <c r="I17" s="7">
        <f>H17/SUMIF($B$9:$B$198,B17,$H$9:$H$198)</f>
        <v/>
      </c>
      <c r="J17" s="6" t="n">
        <v>168.411</v>
      </c>
      <c r="K17" s="6">
        <f>I17*J17</f>
        <v/>
      </c>
    </row>
    <row r="18">
      <c r="A18" s="9" t="n">
        <v>10</v>
      </c>
      <c r="B18" s="9" t="inlineStr">
        <is>
          <t>M17B10</t>
        </is>
      </c>
      <c r="C18" s="9" t="inlineStr">
        <is>
          <t>C1096-Q9556</t>
        </is>
      </c>
      <c r="D18" s="9" t="inlineStr">
        <is>
          <t>Ayabaca</t>
        </is>
      </c>
      <c r="E18" s="9" t="inlineStr">
        <is>
          <t>Frías</t>
        </is>
      </c>
      <c r="F18" s="9" t="inlineStr">
        <is>
          <t>Zona agrícola</t>
        </is>
      </c>
      <c r="G18" s="9" t="inlineStr">
        <is>
          <t>Agri</t>
        </is>
      </c>
      <c r="H18" s="10" t="n">
        <v>43.318</v>
      </c>
      <c r="I18" s="11">
        <f>H18/SUMIF($B$9:$B$198,B18,$H$9:$H$198)</f>
        <v/>
      </c>
      <c r="J18" s="10" t="n">
        <v>75.363</v>
      </c>
      <c r="K18" s="10">
        <f>I18*J18</f>
        <v/>
      </c>
    </row>
    <row r="19">
      <c r="A19" s="5" t="n">
        <v>11</v>
      </c>
      <c r="B19" s="5" t="inlineStr">
        <is>
          <t>M17B10</t>
        </is>
      </c>
      <c r="C19" s="5" t="inlineStr">
        <is>
          <t>C1096-Q9556</t>
        </is>
      </c>
      <c r="D19" s="5" t="inlineStr">
        <is>
          <t>Ayabaca</t>
        </is>
      </c>
      <c r="E19" s="5" t="inlineStr">
        <is>
          <t>Frías</t>
        </is>
      </c>
      <c r="F19" s="5" t="inlineStr">
        <is>
          <t>Bosque estacionalmente seco de colina y montaña</t>
        </is>
      </c>
      <c r="G19" s="5" t="inlineStr">
        <is>
          <t>Bes-cm</t>
        </is>
      </c>
      <c r="H19" s="6" t="n">
        <v>32.046</v>
      </c>
      <c r="I19" s="7">
        <f>H19/SUMIF($B$9:$B$198,B19,$H$9:$H$198)</f>
        <v/>
      </c>
      <c r="J19" s="6" t="n">
        <v>75.363</v>
      </c>
      <c r="K19" s="6">
        <f>I19*J19</f>
        <v/>
      </c>
    </row>
    <row r="20">
      <c r="A20" s="9" t="n">
        <v>12</v>
      </c>
      <c r="B20" s="9" t="inlineStr">
        <is>
          <t>M17B5</t>
        </is>
      </c>
      <c r="C20" s="9" t="inlineStr">
        <is>
          <t>C1096-Q9556</t>
        </is>
      </c>
      <c r="D20" s="9" t="inlineStr">
        <is>
          <t>Ayabaca</t>
        </is>
      </c>
      <c r="E20" s="9" t="inlineStr">
        <is>
          <t>Frías</t>
        </is>
      </c>
      <c r="F20" s="9" t="inlineStr">
        <is>
          <t>Bosque estacionalmente seco de colina y montaña</t>
        </is>
      </c>
      <c r="G20" s="9" t="inlineStr">
        <is>
          <t>Bes-cm</t>
        </is>
      </c>
      <c r="H20" s="10" t="n">
        <v>52.459</v>
      </c>
      <c r="I20" s="11">
        <f>H20/SUMIF($B$9:$B$198,B20,$H$9:$H$198)</f>
        <v/>
      </c>
      <c r="J20" s="10" t="n">
        <v>74.02800000000001</v>
      </c>
      <c r="K20" s="10">
        <f>I20*J20</f>
        <v/>
      </c>
    </row>
    <row r="21">
      <c r="A21" s="5" t="n">
        <v>13</v>
      </c>
      <c r="B21" s="5" t="inlineStr">
        <is>
          <t>M17B5</t>
        </is>
      </c>
      <c r="C21" s="5" t="inlineStr">
        <is>
          <t>C1096-Q9556</t>
        </is>
      </c>
      <c r="D21" s="5" t="inlineStr">
        <is>
          <t>Ayabaca</t>
        </is>
      </c>
      <c r="E21" s="5" t="inlineStr">
        <is>
          <t>Frías</t>
        </is>
      </c>
      <c r="F21" s="5" t="inlineStr">
        <is>
          <t>Zona agrícola</t>
        </is>
      </c>
      <c r="G21" s="5" t="inlineStr">
        <is>
          <t>Agri</t>
        </is>
      </c>
      <c r="H21" s="6" t="n">
        <v>21.569</v>
      </c>
      <c r="I21" s="7">
        <f>H21/SUMIF($B$9:$B$198,B21,$H$9:$H$198)</f>
        <v/>
      </c>
      <c r="J21" s="6" t="n">
        <v>74.02800000000001</v>
      </c>
      <c r="K21" s="6">
        <f>I21*J21</f>
        <v/>
      </c>
    </row>
    <row r="22">
      <c r="A22" s="9" t="n">
        <v>14</v>
      </c>
      <c r="B22" s="9" t="inlineStr">
        <is>
          <t>M17B6</t>
        </is>
      </c>
      <c r="C22" s="9" t="inlineStr">
        <is>
          <t>C1096-Q9556</t>
        </is>
      </c>
      <c r="D22" s="9" t="inlineStr">
        <is>
          <t>Ayabaca</t>
        </is>
      </c>
      <c r="E22" s="9" t="inlineStr">
        <is>
          <t>Frías</t>
        </is>
      </c>
      <c r="F22" s="9" t="inlineStr">
        <is>
          <t>Bosque estacionalmente seco de colina y montaña</t>
        </is>
      </c>
      <c r="G22" s="9" t="inlineStr">
        <is>
          <t>Bes-cm</t>
        </is>
      </c>
      <c r="H22" s="10" t="n">
        <v>106.538</v>
      </c>
      <c r="I22" s="11">
        <f>H22/SUMIF($B$9:$B$198,B22,$H$9:$H$198)</f>
        <v/>
      </c>
      <c r="J22" s="10" t="n">
        <v>106.538</v>
      </c>
      <c r="K22" s="10">
        <f>I22*J22</f>
        <v/>
      </c>
    </row>
    <row r="23">
      <c r="A23" s="5" t="n">
        <v>15</v>
      </c>
      <c r="B23" s="5" t="inlineStr">
        <is>
          <t>M17B7</t>
        </is>
      </c>
      <c r="C23" s="5" t="inlineStr">
        <is>
          <t>C1096-Q9556</t>
        </is>
      </c>
      <c r="D23" s="5" t="inlineStr">
        <is>
          <t>Ayabaca</t>
        </is>
      </c>
      <c r="E23" s="5" t="inlineStr">
        <is>
          <t>Frías</t>
        </is>
      </c>
      <c r="F23" s="5" t="inlineStr">
        <is>
          <t>Zona agrícola</t>
        </is>
      </c>
      <c r="G23" s="5" t="inlineStr">
        <is>
          <t>Agri</t>
        </is>
      </c>
      <c r="H23" s="6" t="n">
        <v>144.679</v>
      </c>
      <c r="I23" s="7">
        <f>H23/SUMIF($B$9:$B$198,B23,$H$9:$H$198)</f>
        <v/>
      </c>
      <c r="J23" s="6" t="n">
        <v>258.837</v>
      </c>
      <c r="K23" s="6">
        <f>I23*J23</f>
        <v/>
      </c>
    </row>
    <row r="24">
      <c r="A24" s="9" t="n">
        <v>16</v>
      </c>
      <c r="B24" s="9" t="inlineStr">
        <is>
          <t>M17B7</t>
        </is>
      </c>
      <c r="C24" s="9" t="inlineStr">
        <is>
          <t>C1096-Q9556</t>
        </is>
      </c>
      <c r="D24" s="9" t="inlineStr">
        <is>
          <t>Ayabaca</t>
        </is>
      </c>
      <c r="E24" s="9" t="inlineStr">
        <is>
          <t>Frías</t>
        </is>
      </c>
      <c r="F24" s="9" t="inlineStr">
        <is>
          <t>Bosque estacionalmente seco de colina y montaña</t>
        </is>
      </c>
      <c r="G24" s="9" t="inlineStr">
        <is>
          <t>Bes-cm</t>
        </is>
      </c>
      <c r="H24" s="10" t="n">
        <v>114.158</v>
      </c>
      <c r="I24" s="11">
        <f>H24/SUMIF($B$9:$B$198,B24,$H$9:$H$198)</f>
        <v/>
      </c>
      <c r="J24" s="10" t="n">
        <v>258.837</v>
      </c>
      <c r="K24" s="10">
        <f>I24*J24</f>
        <v/>
      </c>
    </row>
    <row r="25">
      <c r="A25" s="5" t="n">
        <v>17</v>
      </c>
      <c r="B25" s="5" t="inlineStr">
        <is>
          <t>21</t>
        </is>
      </c>
      <c r="C25" s="5" t="inlineStr">
        <is>
          <t>C1081-Q9591</t>
        </is>
      </c>
      <c r="D25" s="5" t="inlineStr">
        <is>
          <t>Huancabamba</t>
        </is>
      </c>
      <c r="E25" s="5" t="inlineStr">
        <is>
          <t>Canchaque</t>
        </is>
      </c>
      <c r="F25" s="5" t="inlineStr">
        <is>
          <t>Zona agrícola</t>
        </is>
      </c>
      <c r="G25" s="5" t="inlineStr">
        <is>
          <t>Agri</t>
        </is>
      </c>
      <c r="H25" s="6" t="n">
        <v>47.225</v>
      </c>
      <c r="I25" s="7">
        <f>H25/SUMIF($B$9:$B$198,B25,$H$9:$H$198)</f>
        <v/>
      </c>
      <c r="J25" s="6" t="n">
        <v>84.227</v>
      </c>
      <c r="K25" s="6">
        <f>I25*J25</f>
        <v/>
      </c>
    </row>
    <row r="26">
      <c r="A26" s="9" t="n">
        <v>18</v>
      </c>
      <c r="B26" s="9" t="inlineStr">
        <is>
          <t>21</t>
        </is>
      </c>
      <c r="C26" s="9" t="inlineStr">
        <is>
          <t>C1081-Q9591</t>
        </is>
      </c>
      <c r="D26" s="9" t="inlineStr">
        <is>
          <t>Huancabamba</t>
        </is>
      </c>
      <c r="E26" s="9" t="inlineStr">
        <is>
          <t>Canchaque</t>
        </is>
      </c>
      <c r="F26" s="9" t="inlineStr">
        <is>
          <t>Matorral andino</t>
        </is>
      </c>
      <c r="G26" s="9" t="inlineStr">
        <is>
          <t>Ma</t>
        </is>
      </c>
      <c r="H26" s="10" t="n">
        <v>37.002</v>
      </c>
      <c r="I26" s="11">
        <f>H26/SUMIF($B$9:$B$198,B26,$H$9:$H$198)</f>
        <v/>
      </c>
      <c r="J26" s="10" t="n">
        <v>84.227</v>
      </c>
      <c r="K26" s="10">
        <f>I26*J26</f>
        <v/>
      </c>
    </row>
    <row r="27">
      <c r="A27" s="5" t="n">
        <v>19</v>
      </c>
      <c r="B27" s="5" t="inlineStr">
        <is>
          <t>24</t>
        </is>
      </c>
      <c r="C27" s="5" t="inlineStr">
        <is>
          <t>C1081-Q9583</t>
        </is>
      </c>
      <c r="D27" s="5" t="inlineStr">
        <is>
          <t>Huancabamba</t>
        </is>
      </c>
      <c r="E27" s="5" t="inlineStr">
        <is>
          <t>Canchaque</t>
        </is>
      </c>
      <c r="F27" s="5" t="inlineStr">
        <is>
          <t>Zona agrícola</t>
        </is>
      </c>
      <c r="G27" s="5" t="inlineStr">
        <is>
          <t>Agri</t>
        </is>
      </c>
      <c r="H27" s="6" t="n">
        <v>59.575</v>
      </c>
      <c r="I27" s="7">
        <f>H27/SUMIF($B$9:$B$198,B27,$H$9:$H$198)</f>
        <v/>
      </c>
      <c r="J27" s="6" t="n">
        <v>90.15900000000001</v>
      </c>
      <c r="K27" s="6">
        <f>I27*J27</f>
        <v/>
      </c>
    </row>
    <row r="28">
      <c r="A28" s="9" t="n">
        <v>20</v>
      </c>
      <c r="B28" s="9" t="inlineStr">
        <is>
          <t>24</t>
        </is>
      </c>
      <c r="C28" s="9" t="inlineStr">
        <is>
          <t>C1081-Q9583</t>
        </is>
      </c>
      <c r="D28" s="9" t="inlineStr">
        <is>
          <t>Huancabamba</t>
        </is>
      </c>
      <c r="E28" s="9" t="inlineStr">
        <is>
          <t>Canchaque</t>
        </is>
      </c>
      <c r="F28" s="9" t="inlineStr">
        <is>
          <t>Matorral andino</t>
        </is>
      </c>
      <c r="G28" s="9" t="inlineStr">
        <is>
          <t>Ma</t>
        </is>
      </c>
      <c r="H28" s="10" t="n">
        <v>16.613</v>
      </c>
      <c r="I28" s="11">
        <f>H28/SUMIF($B$9:$B$198,B28,$H$9:$H$198)</f>
        <v/>
      </c>
      <c r="J28" s="10" t="n">
        <v>90.15900000000001</v>
      </c>
      <c r="K28" s="10">
        <f>I28*J28</f>
        <v/>
      </c>
    </row>
    <row r="29">
      <c r="A29" s="5" t="n">
        <v>21</v>
      </c>
      <c r="B29" s="5" t="inlineStr">
        <is>
          <t>24</t>
        </is>
      </c>
      <c r="C29" s="5" t="inlineStr">
        <is>
          <t>C1081-Q9583</t>
        </is>
      </c>
      <c r="D29" s="5" t="inlineStr">
        <is>
          <t>Huancabamba</t>
        </is>
      </c>
      <c r="E29" s="5" t="inlineStr">
        <is>
          <t>Canchaque</t>
        </is>
      </c>
      <c r="F29" s="5" t="inlineStr">
        <is>
          <t>Bosque estacionalmente seco de colina y montaña</t>
        </is>
      </c>
      <c r="G29" s="5" t="inlineStr">
        <is>
          <t>Bes-cm</t>
        </is>
      </c>
      <c r="H29" s="6" t="n">
        <v>13.972</v>
      </c>
      <c r="I29" s="7">
        <f>H29/SUMIF($B$9:$B$198,B29,$H$9:$H$198)</f>
        <v/>
      </c>
      <c r="J29" s="6" t="n">
        <v>90.15900000000001</v>
      </c>
      <c r="K29" s="6">
        <f>I29*J29</f>
        <v/>
      </c>
    </row>
    <row r="30">
      <c r="A30" s="9" t="n">
        <v>22</v>
      </c>
      <c r="B30" s="9" t="inlineStr">
        <is>
          <t>28</t>
        </is>
      </c>
      <c r="C30" s="9" t="inlineStr">
        <is>
          <t>C1081-Q9591</t>
        </is>
      </c>
      <c r="D30" s="9" t="inlineStr">
        <is>
          <t>Huancabamba</t>
        </is>
      </c>
      <c r="E30" s="9" t="inlineStr">
        <is>
          <t>Canchaque</t>
        </is>
      </c>
      <c r="F30" s="9" t="inlineStr">
        <is>
          <t>Zona agrícola</t>
        </is>
      </c>
      <c r="G30" s="9" t="inlineStr">
        <is>
          <t>Agri</t>
        </is>
      </c>
      <c r="H30" s="10" t="n">
        <v>31.95</v>
      </c>
      <c r="I30" s="11">
        <f>H30/SUMIF($B$9:$B$198,B30,$H$9:$H$198)</f>
        <v/>
      </c>
      <c r="J30" s="10" t="n">
        <v>52.966</v>
      </c>
      <c r="K30" s="10">
        <f>I30*J30</f>
        <v/>
      </c>
    </row>
    <row r="31">
      <c r="A31" s="5" t="n">
        <v>23</v>
      </c>
      <c r="B31" s="5" t="inlineStr">
        <is>
          <t>28</t>
        </is>
      </c>
      <c r="C31" s="5" t="inlineStr">
        <is>
          <t>C1081-Q9591</t>
        </is>
      </c>
      <c r="D31" s="5" t="inlineStr">
        <is>
          <t>Huancabamba</t>
        </is>
      </c>
      <c r="E31" s="5" t="inlineStr">
        <is>
          <t>Canchaque</t>
        </is>
      </c>
      <c r="F31" s="5" t="inlineStr">
        <is>
          <t>Matorral andino</t>
        </is>
      </c>
      <c r="G31" s="5" t="inlineStr">
        <is>
          <t>Ma</t>
        </is>
      </c>
      <c r="H31" s="6" t="n">
        <v>21.015</v>
      </c>
      <c r="I31" s="7">
        <f>H31/SUMIF($B$9:$B$198,B31,$H$9:$H$198)</f>
        <v/>
      </c>
      <c r="J31" s="6" t="n">
        <v>52.966</v>
      </c>
      <c r="K31" s="6">
        <f>I31*J31</f>
        <v/>
      </c>
    </row>
    <row r="32">
      <c r="A32" s="9" t="n">
        <v>24</v>
      </c>
      <c r="B32" s="9" t="inlineStr">
        <is>
          <t>30</t>
        </is>
      </c>
      <c r="C32" s="9" t="inlineStr">
        <is>
          <t>C1081-Q9591</t>
        </is>
      </c>
      <c r="D32" s="9" t="inlineStr">
        <is>
          <t>Huancabamba</t>
        </is>
      </c>
      <c r="E32" s="9" t="inlineStr">
        <is>
          <t>Canchaque</t>
        </is>
      </c>
      <c r="F32" s="9" t="inlineStr">
        <is>
          <t>Zona agrícola</t>
        </is>
      </c>
      <c r="G32" s="9" t="inlineStr">
        <is>
          <t>Agri</t>
        </is>
      </c>
      <c r="H32" s="10" t="n">
        <v>27.004</v>
      </c>
      <c r="I32" s="11">
        <f>H32/SUMIF($B$9:$B$198,B32,$H$9:$H$198)</f>
        <v/>
      </c>
      <c r="J32" s="10" t="n">
        <v>34.874</v>
      </c>
      <c r="K32" s="10">
        <f>I32*J32</f>
        <v/>
      </c>
    </row>
    <row r="33">
      <c r="A33" s="5" t="n">
        <v>25</v>
      </c>
      <c r="B33" s="5" t="inlineStr">
        <is>
          <t>30</t>
        </is>
      </c>
      <c r="C33" s="5" t="inlineStr">
        <is>
          <t>C1081-Q9591</t>
        </is>
      </c>
      <c r="D33" s="5" t="inlineStr">
        <is>
          <t>Huancabamba</t>
        </is>
      </c>
      <c r="E33" s="5" t="inlineStr">
        <is>
          <t>Canchaque</t>
        </is>
      </c>
      <c r="F33" s="5" t="inlineStr">
        <is>
          <t>Matorral andino</t>
        </is>
      </c>
      <c r="G33" s="5" t="inlineStr">
        <is>
          <t>Ma</t>
        </is>
      </c>
      <c r="H33" s="6" t="n">
        <v>7.87</v>
      </c>
      <c r="I33" s="7">
        <f>H33/SUMIF($B$9:$B$198,B33,$H$9:$H$198)</f>
        <v/>
      </c>
      <c r="J33" s="6" t="n">
        <v>34.874</v>
      </c>
      <c r="K33" s="6">
        <f>I33*J33</f>
        <v/>
      </c>
    </row>
    <row r="34">
      <c r="A34" s="9" t="n">
        <v>26</v>
      </c>
      <c r="B34" s="9" t="inlineStr">
        <is>
          <t>40</t>
        </is>
      </c>
      <c r="C34" s="9" t="inlineStr">
        <is>
          <t>C1081-Q9591</t>
        </is>
      </c>
      <c r="D34" s="9" t="inlineStr">
        <is>
          <t>Huancabamba</t>
        </is>
      </c>
      <c r="E34" s="9" t="inlineStr">
        <is>
          <t>Canchaque</t>
        </is>
      </c>
      <c r="F34" s="9" t="inlineStr">
        <is>
          <t>Zona agrícola</t>
        </is>
      </c>
      <c r="G34" s="9" t="inlineStr">
        <is>
          <t>Agri</t>
        </is>
      </c>
      <c r="H34" s="10" t="n">
        <v>16.984</v>
      </c>
      <c r="I34" s="11">
        <f>H34/SUMIF($B$9:$B$198,B34,$H$9:$H$198)</f>
        <v/>
      </c>
      <c r="J34" s="10" t="n">
        <v>28.523</v>
      </c>
      <c r="K34" s="10">
        <f>I34*J34</f>
        <v/>
      </c>
    </row>
    <row r="35">
      <c r="A35" s="5" t="n">
        <v>27</v>
      </c>
      <c r="B35" s="5" t="inlineStr">
        <is>
          <t>40</t>
        </is>
      </c>
      <c r="C35" s="5" t="inlineStr">
        <is>
          <t>C1081-Q9591</t>
        </is>
      </c>
      <c r="D35" s="5" t="inlineStr">
        <is>
          <t>Huancabamba</t>
        </is>
      </c>
      <c r="E35" s="5" t="inlineStr">
        <is>
          <t>Canchaque</t>
        </is>
      </c>
      <c r="F35" s="5" t="inlineStr">
        <is>
          <t>Matorral andino</t>
        </is>
      </c>
      <c r="G35" s="5" t="inlineStr">
        <is>
          <t>Ma</t>
        </is>
      </c>
      <c r="H35" s="6" t="n">
        <v>11.54</v>
      </c>
      <c r="I35" s="7">
        <f>H35/SUMIF($B$9:$B$198,B35,$H$9:$H$198)</f>
        <v/>
      </c>
      <c r="J35" s="6" t="n">
        <v>28.523</v>
      </c>
      <c r="K35" s="6">
        <f>I35*J35</f>
        <v/>
      </c>
    </row>
    <row r="36">
      <c r="A36" s="9" t="n">
        <v>28</v>
      </c>
      <c r="B36" s="9" t="inlineStr">
        <is>
          <t>60</t>
        </is>
      </c>
      <c r="C36" s="9" t="inlineStr">
        <is>
          <t>C1081-Q9591</t>
        </is>
      </c>
      <c r="D36" s="9" t="inlineStr">
        <is>
          <t>Huancabamba</t>
        </is>
      </c>
      <c r="E36" s="9" t="inlineStr">
        <is>
          <t>Canchaque</t>
        </is>
      </c>
      <c r="F36" s="9" t="inlineStr">
        <is>
          <t>Matorral andino</t>
        </is>
      </c>
      <c r="G36" s="9" t="inlineStr">
        <is>
          <t>Ma</t>
        </is>
      </c>
      <c r="H36" s="10" t="n">
        <v>23.721</v>
      </c>
      <c r="I36" s="11">
        <f>H36/SUMIF($B$9:$B$198,B36,$H$9:$H$198)</f>
        <v/>
      </c>
      <c r="J36" s="10" t="n">
        <v>40.132</v>
      </c>
      <c r="K36" s="10">
        <f>I36*J36</f>
        <v/>
      </c>
    </row>
    <row r="37">
      <c r="A37" s="5" t="n">
        <v>29</v>
      </c>
      <c r="B37" s="5" t="inlineStr">
        <is>
          <t>60</t>
        </is>
      </c>
      <c r="C37" s="5" t="inlineStr">
        <is>
          <t>C1081-Q9591</t>
        </is>
      </c>
      <c r="D37" s="5" t="inlineStr">
        <is>
          <t>Huancabamba</t>
        </is>
      </c>
      <c r="E37" s="5" t="inlineStr">
        <is>
          <t>Canchaque</t>
        </is>
      </c>
      <c r="F37" s="5" t="inlineStr">
        <is>
          <t>Zona agrícola</t>
        </is>
      </c>
      <c r="G37" s="5" t="inlineStr">
        <is>
          <t>Agri</t>
        </is>
      </c>
      <c r="H37" s="6" t="n">
        <v>16.41</v>
      </c>
      <c r="I37" s="7">
        <f>H37/SUMIF($B$9:$B$198,B37,$H$9:$H$198)</f>
        <v/>
      </c>
      <c r="J37" s="6" t="n">
        <v>40.132</v>
      </c>
      <c r="K37" s="6">
        <f>I37*J37</f>
        <v/>
      </c>
    </row>
    <row r="38">
      <c r="A38" s="9" t="n">
        <v>30</v>
      </c>
      <c r="B38" s="9" t="inlineStr">
        <is>
          <t>63</t>
        </is>
      </c>
      <c r="C38" s="9" t="inlineStr">
        <is>
          <t>C1081-Q9583</t>
        </is>
      </c>
      <c r="D38" s="9" t="inlineStr">
        <is>
          <t>Huancabamba</t>
        </is>
      </c>
      <c r="E38" s="9" t="inlineStr">
        <is>
          <t>Canchaque</t>
        </is>
      </c>
      <c r="F38" s="9" t="inlineStr">
        <is>
          <t>Matorral andino</t>
        </is>
      </c>
      <c r="G38" s="9" t="inlineStr">
        <is>
          <t>Ma</t>
        </is>
      </c>
      <c r="H38" s="10" t="n">
        <v>50.459</v>
      </c>
      <c r="I38" s="11">
        <f>H38/SUMIF($B$9:$B$198,B38,$H$9:$H$198)</f>
        <v/>
      </c>
      <c r="J38" s="10" t="n">
        <v>50.459</v>
      </c>
      <c r="K38" s="10">
        <f>I38*J38</f>
        <v/>
      </c>
    </row>
    <row r="39">
      <c r="A39" s="5" t="n">
        <v>31</v>
      </c>
      <c r="B39" s="5" t="inlineStr">
        <is>
          <t>66</t>
        </is>
      </c>
      <c r="C39" s="5" t="inlineStr">
        <is>
          <t>C1081-Q9591</t>
        </is>
      </c>
      <c r="D39" s="5" t="inlineStr">
        <is>
          <t>Huancabamba</t>
        </is>
      </c>
      <c r="E39" s="5" t="inlineStr">
        <is>
          <t>Canchaque</t>
        </is>
      </c>
      <c r="F39" s="5" t="inlineStr">
        <is>
          <t>Zona agrícola</t>
        </is>
      </c>
      <c r="G39" s="5" t="inlineStr">
        <is>
          <t>Agri</t>
        </is>
      </c>
      <c r="H39" s="6" t="n">
        <v>77.05</v>
      </c>
      <c r="I39" s="7">
        <f>H39/SUMIF($B$9:$B$198,B39,$H$9:$H$198)</f>
        <v/>
      </c>
      <c r="J39" s="6" t="n">
        <v>102.335</v>
      </c>
      <c r="K39" s="6">
        <f>I39*J39</f>
        <v/>
      </c>
    </row>
    <row r="40">
      <c r="A40" s="9" t="n">
        <v>32</v>
      </c>
      <c r="B40" s="9" t="inlineStr">
        <is>
          <t>66</t>
        </is>
      </c>
      <c r="C40" s="9" t="inlineStr">
        <is>
          <t>C1081-Q9591</t>
        </is>
      </c>
      <c r="D40" s="9" t="inlineStr">
        <is>
          <t>Huancabamba</t>
        </is>
      </c>
      <c r="E40" s="9" t="inlineStr">
        <is>
          <t>Canchaque</t>
        </is>
      </c>
      <c r="F40" s="9" t="inlineStr">
        <is>
          <t>Bosque estacionalmente seco de colina y montaña</t>
        </is>
      </c>
      <c r="G40" s="9" t="inlineStr">
        <is>
          <t>Bes-cm</t>
        </is>
      </c>
      <c r="H40" s="10" t="n">
        <v>19.246</v>
      </c>
      <c r="I40" s="11">
        <f>H40/SUMIF($B$9:$B$198,B40,$H$9:$H$198)</f>
        <v/>
      </c>
      <c r="J40" s="10" t="n">
        <v>102.335</v>
      </c>
      <c r="K40" s="10">
        <f>I40*J40</f>
        <v/>
      </c>
    </row>
    <row r="41">
      <c r="A41" s="5" t="n">
        <v>33</v>
      </c>
      <c r="B41" s="5" t="inlineStr">
        <is>
          <t>66</t>
        </is>
      </c>
      <c r="C41" s="5" t="inlineStr">
        <is>
          <t>C1081-Q9591</t>
        </is>
      </c>
      <c r="D41" s="5" t="inlineStr">
        <is>
          <t>Huancabamba</t>
        </is>
      </c>
      <c r="E41" s="5" t="inlineStr">
        <is>
          <t>Canchaque</t>
        </is>
      </c>
      <c r="F41" s="5" t="inlineStr">
        <is>
          <t>Matorral andino</t>
        </is>
      </c>
      <c r="G41" s="5" t="inlineStr">
        <is>
          <t>Ma</t>
        </is>
      </c>
      <c r="H41" s="6" t="n">
        <v>6.039</v>
      </c>
      <c r="I41" s="7">
        <f>H41/SUMIF($B$9:$B$198,B41,$H$9:$H$198)</f>
        <v/>
      </c>
      <c r="J41" s="6" t="n">
        <v>102.335</v>
      </c>
      <c r="K41" s="6">
        <f>I41*J41</f>
        <v/>
      </c>
    </row>
    <row r="42">
      <c r="A42" s="9" t="n">
        <v>34</v>
      </c>
      <c r="B42" s="9" t="inlineStr">
        <is>
          <t>79</t>
        </is>
      </c>
      <c r="C42" s="9" t="inlineStr">
        <is>
          <t>C1076-Q9587</t>
        </is>
      </c>
      <c r="D42" s="9" t="inlineStr">
        <is>
          <t>Huancabamba</t>
        </is>
      </c>
      <c r="E42" s="9" t="inlineStr">
        <is>
          <t>Canchaque</t>
        </is>
      </c>
      <c r="F42" s="9" t="inlineStr">
        <is>
          <t>Bosque estacionalmente seco de colina y montaña</t>
        </is>
      </c>
      <c r="G42" s="9" t="inlineStr">
        <is>
          <t>Bes-cm</t>
        </is>
      </c>
      <c r="H42" s="10" t="n">
        <v>94.812</v>
      </c>
      <c r="I42" s="11">
        <f>H42/SUMIF($B$9:$B$198,B42,$H$9:$H$198)</f>
        <v/>
      </c>
      <c r="J42" s="10" t="n">
        <v>94.812</v>
      </c>
      <c r="K42" s="10">
        <f>I42*J42</f>
        <v/>
      </c>
    </row>
    <row r="43">
      <c r="A43" s="5" t="n">
        <v>35</v>
      </c>
      <c r="B43" s="5" t="inlineStr">
        <is>
          <t>81</t>
        </is>
      </c>
      <c r="C43" s="5" t="inlineStr">
        <is>
          <t>C1076-Q9585</t>
        </is>
      </c>
      <c r="D43" s="5" t="inlineStr">
        <is>
          <t>Huancabamba</t>
        </is>
      </c>
      <c r="E43" s="5" t="inlineStr">
        <is>
          <t>Canchaque</t>
        </is>
      </c>
      <c r="F43" s="5" t="inlineStr">
        <is>
          <t>Bosque estacionalmente seco de colina y montaña</t>
        </is>
      </c>
      <c r="G43" s="5" t="inlineStr">
        <is>
          <t>Bes-cm</t>
        </is>
      </c>
      <c r="H43" s="6" t="n">
        <v>8.929</v>
      </c>
      <c r="I43" s="7">
        <f>H43/SUMIF($B$9:$B$198,B43,$H$9:$H$198)</f>
        <v/>
      </c>
      <c r="J43" s="6" t="n">
        <v>8.929</v>
      </c>
      <c r="K43" s="6">
        <f>I43*J43</f>
        <v/>
      </c>
    </row>
    <row r="44">
      <c r="A44" s="9" t="n">
        <v>36</v>
      </c>
      <c r="B44" s="9" t="inlineStr">
        <is>
          <t>64</t>
        </is>
      </c>
      <c r="C44" s="9" t="inlineStr">
        <is>
          <t>C1081-Q9591</t>
        </is>
      </c>
      <c r="D44" s="9" t="inlineStr">
        <is>
          <t>Huancabamba</t>
        </is>
      </c>
      <c r="E44" s="9" t="inlineStr">
        <is>
          <t>Huancabamba</t>
        </is>
      </c>
      <c r="F44" s="9" t="inlineStr">
        <is>
          <t>Zona agrícola</t>
        </is>
      </c>
      <c r="G44" s="9" t="inlineStr">
        <is>
          <t>Agri</t>
        </is>
      </c>
      <c r="H44" s="10" t="n">
        <v>35.774</v>
      </c>
      <c r="I44" s="11">
        <f>H44/SUMIF($B$9:$B$198,B44,$H$9:$H$198)</f>
        <v/>
      </c>
      <c r="J44" s="10" t="n">
        <v>35.774</v>
      </c>
      <c r="K44" s="10">
        <f>I44*J44</f>
        <v/>
      </c>
    </row>
    <row r="45">
      <c r="A45" s="5" t="n">
        <v>37</v>
      </c>
      <c r="B45" s="5" t="inlineStr">
        <is>
          <t>M30B5</t>
        </is>
      </c>
      <c r="C45" s="5" t="inlineStr">
        <is>
          <t>C1081-Q9591</t>
        </is>
      </c>
      <c r="D45" s="5" t="inlineStr">
        <is>
          <t>Huancabamba</t>
        </is>
      </c>
      <c r="E45" s="5" t="inlineStr">
        <is>
          <t>Huancabamba</t>
        </is>
      </c>
      <c r="F45" s="5" t="inlineStr">
        <is>
          <t>Zona agrícola</t>
        </is>
      </c>
      <c r="G45" s="5" t="inlineStr">
        <is>
          <t>Agri</t>
        </is>
      </c>
      <c r="H45" s="6" t="n">
        <v>74.636</v>
      </c>
      <c r="I45" s="7">
        <f>H45/SUMIF($B$9:$B$198,B45,$H$9:$H$198)</f>
        <v/>
      </c>
      <c r="J45" s="6" t="n">
        <v>90.90300000000001</v>
      </c>
      <c r="K45" s="6">
        <f>I45*J45</f>
        <v/>
      </c>
    </row>
    <row r="46">
      <c r="A46" s="9" t="n">
        <v>38</v>
      </c>
      <c r="B46" s="9" t="inlineStr">
        <is>
          <t>M30B5</t>
        </is>
      </c>
      <c r="C46" s="9" t="inlineStr">
        <is>
          <t>C1081-Q9591</t>
        </is>
      </c>
      <c r="D46" s="9" t="inlineStr">
        <is>
          <t>Huancabamba</t>
        </is>
      </c>
      <c r="E46" s="9" t="inlineStr">
        <is>
          <t>Huancabamba</t>
        </is>
      </c>
      <c r="F46" s="9" t="inlineStr">
        <is>
          <t>Matorral andino</t>
        </is>
      </c>
      <c r="G46" s="9" t="inlineStr">
        <is>
          <t>Ma</t>
        </is>
      </c>
      <c r="H46" s="10" t="n">
        <v>16.267</v>
      </c>
      <c r="I46" s="11">
        <f>H46/SUMIF($B$9:$B$198,B46,$H$9:$H$198)</f>
        <v/>
      </c>
      <c r="J46" s="10" t="n">
        <v>90.90300000000001</v>
      </c>
      <c r="K46" s="10">
        <f>I46*J46</f>
        <v/>
      </c>
    </row>
    <row r="47">
      <c r="A47" s="5" t="n">
        <v>39</v>
      </c>
      <c r="B47" s="5" t="inlineStr">
        <is>
          <t>10</t>
        </is>
      </c>
      <c r="C47" s="5" t="inlineStr">
        <is>
          <t>C1076-Q9593</t>
        </is>
      </c>
      <c r="D47" s="5" t="inlineStr">
        <is>
          <t>Huancabamba</t>
        </is>
      </c>
      <c r="E47" s="5" t="inlineStr">
        <is>
          <t>Huarmaca</t>
        </is>
      </c>
      <c r="F47" s="5" t="inlineStr">
        <is>
          <t>Bosque estacionalmente seco de colina y montaña</t>
        </is>
      </c>
      <c r="G47" s="5" t="inlineStr">
        <is>
          <t>Bes-cm</t>
        </is>
      </c>
      <c r="H47" s="6" t="n">
        <v>129.386</v>
      </c>
      <c r="I47" s="7">
        <f>H47/SUMIF($B$9:$B$198,B47,$H$9:$H$198)</f>
        <v/>
      </c>
      <c r="J47" s="6" t="n">
        <v>150.214</v>
      </c>
      <c r="K47" s="6">
        <f>I47*J47</f>
        <v/>
      </c>
    </row>
    <row r="48">
      <c r="A48" s="9" t="n">
        <v>40</v>
      </c>
      <c r="B48" s="9" t="inlineStr">
        <is>
          <t>10</t>
        </is>
      </c>
      <c r="C48" s="9" t="inlineStr">
        <is>
          <t>C1076-Q9593</t>
        </is>
      </c>
      <c r="D48" s="9" t="inlineStr">
        <is>
          <t>Huancabamba</t>
        </is>
      </c>
      <c r="E48" s="9" t="inlineStr">
        <is>
          <t>Huarmaca</t>
        </is>
      </c>
      <c r="F48" s="9" t="inlineStr">
        <is>
          <t>Zona agrícola</t>
        </is>
      </c>
      <c r="G48" s="9" t="inlineStr">
        <is>
          <t>Agri</t>
        </is>
      </c>
      <c r="H48" s="10" t="n">
        <v>20.828</v>
      </c>
      <c r="I48" s="11">
        <f>H48/SUMIF($B$9:$B$198,B48,$H$9:$H$198)</f>
        <v/>
      </c>
      <c r="J48" s="10" t="n">
        <v>150.214</v>
      </c>
      <c r="K48" s="10">
        <f>I48*J48</f>
        <v/>
      </c>
    </row>
    <row r="49">
      <c r="A49" s="5" t="n">
        <v>41</v>
      </c>
      <c r="B49" s="5" t="inlineStr">
        <is>
          <t>16</t>
        </is>
      </c>
      <c r="C49" s="5" t="inlineStr">
        <is>
          <t>C1076-Q9593</t>
        </is>
      </c>
      <c r="D49" s="5" t="inlineStr">
        <is>
          <t>Huancabamba</t>
        </is>
      </c>
      <c r="E49" s="5" t="inlineStr">
        <is>
          <t>Huarmaca</t>
        </is>
      </c>
      <c r="F49" s="5" t="inlineStr">
        <is>
          <t>Zona agrícola</t>
        </is>
      </c>
      <c r="G49" s="5" t="inlineStr">
        <is>
          <t>Agri</t>
        </is>
      </c>
      <c r="H49" s="6" t="n">
        <v>45.641</v>
      </c>
      <c r="I49" s="7">
        <f>H49/SUMIF($B$9:$B$198,B49,$H$9:$H$198)</f>
        <v/>
      </c>
      <c r="J49" s="6" t="n">
        <v>83.327</v>
      </c>
      <c r="K49" s="6">
        <f>I49*J49</f>
        <v/>
      </c>
    </row>
    <row r="50">
      <c r="A50" s="9" t="n">
        <v>42</v>
      </c>
      <c r="B50" s="9" t="inlineStr">
        <is>
          <t>16</t>
        </is>
      </c>
      <c r="C50" s="9" t="inlineStr">
        <is>
          <t>C1076-Q9593</t>
        </is>
      </c>
      <c r="D50" s="9" t="inlineStr">
        <is>
          <t>Huancabamba</t>
        </is>
      </c>
      <c r="E50" s="9" t="inlineStr">
        <is>
          <t>Huarmaca</t>
        </is>
      </c>
      <c r="F50" s="9" t="inlineStr">
        <is>
          <t>Bosque estacionalmente seco de colina y montaña</t>
        </is>
      </c>
      <c r="G50" s="9" t="inlineStr">
        <is>
          <t>Bes-cm</t>
        </is>
      </c>
      <c r="H50" s="10" t="n">
        <v>37.687</v>
      </c>
      <c r="I50" s="11">
        <f>H50/SUMIF($B$9:$B$198,B50,$H$9:$H$198)</f>
        <v/>
      </c>
      <c r="J50" s="10" t="n">
        <v>83.327</v>
      </c>
      <c r="K50" s="10">
        <f>I50*J50</f>
        <v/>
      </c>
    </row>
    <row r="51">
      <c r="A51" s="5" t="n">
        <v>43</v>
      </c>
      <c r="B51" s="5" t="inlineStr">
        <is>
          <t>18</t>
        </is>
      </c>
      <c r="C51" s="5" t="inlineStr">
        <is>
          <t>C1076-Q9592</t>
        </is>
      </c>
      <c r="D51" s="5" t="inlineStr">
        <is>
          <t>Huancabamba</t>
        </is>
      </c>
      <c r="E51" s="5" t="inlineStr">
        <is>
          <t>Huarmaca</t>
        </is>
      </c>
      <c r="F51" s="5" t="inlineStr">
        <is>
          <t>Bosque estacionalmente seco de colina y montaña</t>
        </is>
      </c>
      <c r="G51" s="5" t="inlineStr">
        <is>
          <t>Bes-cm</t>
        </is>
      </c>
      <c r="H51" s="6" t="n">
        <v>94.298</v>
      </c>
      <c r="I51" s="7">
        <f>H51/SUMIF($B$9:$B$198,B51,$H$9:$H$198)</f>
        <v/>
      </c>
      <c r="J51" s="6" t="n">
        <v>103.617</v>
      </c>
      <c r="K51" s="6">
        <f>I51*J51</f>
        <v/>
      </c>
    </row>
    <row r="52">
      <c r="A52" s="9" t="n">
        <v>44</v>
      </c>
      <c r="B52" s="9" t="inlineStr">
        <is>
          <t>18</t>
        </is>
      </c>
      <c r="C52" s="9" t="inlineStr">
        <is>
          <t>C1076-Q9592</t>
        </is>
      </c>
      <c r="D52" s="9" t="inlineStr">
        <is>
          <t>Huancabamba</t>
        </is>
      </c>
      <c r="E52" s="9" t="inlineStr">
        <is>
          <t>Huarmaca</t>
        </is>
      </c>
      <c r="F52" s="9" t="inlineStr">
        <is>
          <t>Zona agrícola</t>
        </is>
      </c>
      <c r="G52" s="9" t="inlineStr">
        <is>
          <t>Agri</t>
        </is>
      </c>
      <c r="H52" s="10" t="n">
        <v>9.319000000000001</v>
      </c>
      <c r="I52" s="11">
        <f>H52/SUMIF($B$9:$B$198,B52,$H$9:$H$198)</f>
        <v/>
      </c>
      <c r="J52" s="10" t="n">
        <v>103.617</v>
      </c>
      <c r="K52" s="10">
        <f>I52*J52</f>
        <v/>
      </c>
    </row>
    <row r="53">
      <c r="A53" s="5" t="n">
        <v>45</v>
      </c>
      <c r="B53" s="5" t="inlineStr">
        <is>
          <t>19</t>
        </is>
      </c>
      <c r="C53" s="5" t="inlineStr">
        <is>
          <t>C1076-Q9592</t>
        </is>
      </c>
      <c r="D53" s="5" t="inlineStr">
        <is>
          <t>Huancabamba</t>
        </is>
      </c>
      <c r="E53" s="5" t="inlineStr">
        <is>
          <t>Huarmaca</t>
        </is>
      </c>
      <c r="F53" s="5" t="inlineStr">
        <is>
          <t>Matorral andino</t>
        </is>
      </c>
      <c r="G53" s="5" t="inlineStr">
        <is>
          <t>Ma</t>
        </is>
      </c>
      <c r="H53" s="6" t="n">
        <v>42.246</v>
      </c>
      <c r="I53" s="7">
        <f>H53/SUMIF($B$9:$B$198,B53,$H$9:$H$198)</f>
        <v/>
      </c>
      <c r="J53" s="6" t="n">
        <v>82.08799999999999</v>
      </c>
      <c r="K53" s="6">
        <f>I53*J53</f>
        <v/>
      </c>
    </row>
    <row r="54">
      <c r="A54" s="9" t="n">
        <v>46</v>
      </c>
      <c r="B54" s="9" t="inlineStr">
        <is>
          <t>19</t>
        </is>
      </c>
      <c r="C54" s="9" t="inlineStr">
        <is>
          <t>C1076-Q9592</t>
        </is>
      </c>
      <c r="D54" s="9" t="inlineStr">
        <is>
          <t>Huancabamba</t>
        </is>
      </c>
      <c r="E54" s="9" t="inlineStr">
        <is>
          <t>Huarmaca</t>
        </is>
      </c>
      <c r="F54" s="9" t="inlineStr">
        <is>
          <t>Zona agrícola</t>
        </is>
      </c>
      <c r="G54" s="9" t="inlineStr">
        <is>
          <t>Agri</t>
        </is>
      </c>
      <c r="H54" s="10" t="n">
        <v>39.842</v>
      </c>
      <c r="I54" s="11">
        <f>H54/SUMIF($B$9:$B$198,B54,$H$9:$H$198)</f>
        <v/>
      </c>
      <c r="J54" s="10" t="n">
        <v>82.08799999999999</v>
      </c>
      <c r="K54" s="10">
        <f>I54*J54</f>
        <v/>
      </c>
    </row>
    <row r="55">
      <c r="A55" s="5" t="n">
        <v>47</v>
      </c>
      <c r="B55" s="5" t="inlineStr">
        <is>
          <t>20</t>
        </is>
      </c>
      <c r="C55" s="5" t="inlineStr">
        <is>
          <t>C1076-Q9593</t>
        </is>
      </c>
      <c r="D55" s="5" t="inlineStr">
        <is>
          <t>Huancabamba</t>
        </is>
      </c>
      <c r="E55" s="5" t="inlineStr">
        <is>
          <t>Huarmaca</t>
        </is>
      </c>
      <c r="F55" s="5" t="inlineStr">
        <is>
          <t>Bosque estacionalmente seco de colina y montaña</t>
        </is>
      </c>
      <c r="G55" s="5" t="inlineStr">
        <is>
          <t>Bes-cm</t>
        </is>
      </c>
      <c r="H55" s="6" t="n">
        <v>42.284</v>
      </c>
      <c r="I55" s="7">
        <f>H55/SUMIF($B$9:$B$198,B55,$H$9:$H$198)</f>
        <v/>
      </c>
      <c r="J55" s="6" t="n">
        <v>81.334</v>
      </c>
      <c r="K55" s="6">
        <f>I55*J55</f>
        <v/>
      </c>
    </row>
    <row r="56">
      <c r="A56" s="9" t="n">
        <v>48</v>
      </c>
      <c r="B56" s="9" t="inlineStr">
        <is>
          <t>20</t>
        </is>
      </c>
      <c r="C56" s="9" t="inlineStr">
        <is>
          <t>C1076-Q9593</t>
        </is>
      </c>
      <c r="D56" s="9" t="inlineStr">
        <is>
          <t>Huancabamba</t>
        </is>
      </c>
      <c r="E56" s="9" t="inlineStr">
        <is>
          <t>Huarmaca</t>
        </is>
      </c>
      <c r="F56" s="9" t="inlineStr">
        <is>
          <t>Matorral andino</t>
        </is>
      </c>
      <c r="G56" s="9" t="inlineStr">
        <is>
          <t>Ma</t>
        </is>
      </c>
      <c r="H56" s="10" t="n">
        <v>39.05</v>
      </c>
      <c r="I56" s="11">
        <f>H56/SUMIF($B$9:$B$198,B56,$H$9:$H$198)</f>
        <v/>
      </c>
      <c r="J56" s="10" t="n">
        <v>81.334</v>
      </c>
      <c r="K56" s="10">
        <f>I56*J56</f>
        <v/>
      </c>
    </row>
    <row r="57">
      <c r="A57" s="5" t="n">
        <v>49</v>
      </c>
      <c r="B57" s="5" t="inlineStr">
        <is>
          <t>31</t>
        </is>
      </c>
      <c r="C57" s="5" t="inlineStr">
        <is>
          <t>C1076-Q9592</t>
        </is>
      </c>
      <c r="D57" s="5" t="inlineStr">
        <is>
          <t>Huancabamba</t>
        </is>
      </c>
      <c r="E57" s="5" t="inlineStr">
        <is>
          <t>Huarmaca</t>
        </is>
      </c>
      <c r="F57" s="5" t="inlineStr">
        <is>
          <t>Matorral andino</t>
        </is>
      </c>
      <c r="G57" s="5" t="inlineStr">
        <is>
          <t>Ma</t>
        </is>
      </c>
      <c r="H57" s="6" t="n">
        <v>47.581</v>
      </c>
      <c r="I57" s="7">
        <f>H57/SUMIF($B$9:$B$198,B57,$H$9:$H$198)</f>
        <v/>
      </c>
      <c r="J57" s="6" t="n">
        <v>47.581</v>
      </c>
      <c r="K57" s="6">
        <f>I57*J57</f>
        <v/>
      </c>
    </row>
    <row r="58">
      <c r="A58" s="9" t="n">
        <v>50</v>
      </c>
      <c r="B58" s="9" t="inlineStr">
        <is>
          <t>4</t>
        </is>
      </c>
      <c r="C58" s="9" t="inlineStr">
        <is>
          <t>C1076-Q9588</t>
        </is>
      </c>
      <c r="D58" s="9" t="inlineStr">
        <is>
          <t>Huancabamba</t>
        </is>
      </c>
      <c r="E58" s="9" t="inlineStr">
        <is>
          <t>Huarmaca</t>
        </is>
      </c>
      <c r="F58" s="9" t="inlineStr">
        <is>
          <t>Zona agrícola</t>
        </is>
      </c>
      <c r="G58" s="9" t="inlineStr">
        <is>
          <t>Agri</t>
        </is>
      </c>
      <c r="H58" s="10" t="n">
        <v>230.098</v>
      </c>
      <c r="I58" s="11">
        <f>H58/SUMIF($B$9:$B$198,B58,$H$9:$H$198)</f>
        <v/>
      </c>
      <c r="J58" s="10" t="n">
        <v>230.098</v>
      </c>
      <c r="K58" s="10">
        <f>I58*J58</f>
        <v/>
      </c>
    </row>
    <row r="59">
      <c r="A59" s="5" t="n">
        <v>51</v>
      </c>
      <c r="B59" s="5" t="inlineStr">
        <is>
          <t>41</t>
        </is>
      </c>
      <c r="C59" s="5" t="inlineStr">
        <is>
          <t>C1076-Q9592</t>
        </is>
      </c>
      <c r="D59" s="5" t="inlineStr">
        <is>
          <t>Huancabamba</t>
        </is>
      </c>
      <c r="E59" s="5" t="inlineStr">
        <is>
          <t>Huarmaca</t>
        </is>
      </c>
      <c r="F59" s="5" t="inlineStr">
        <is>
          <t>Zona agrícola</t>
        </is>
      </c>
      <c r="G59" s="5" t="inlineStr">
        <is>
          <t>Agri</t>
        </is>
      </c>
      <c r="H59" s="6" t="n">
        <v>64.923</v>
      </c>
      <c r="I59" s="7">
        <f>H59/SUMIF($B$9:$B$198,B59,$H$9:$H$198)</f>
        <v/>
      </c>
      <c r="J59" s="6" t="n">
        <v>64.923</v>
      </c>
      <c r="K59" s="6">
        <f>I59*J59</f>
        <v/>
      </c>
    </row>
    <row r="60">
      <c r="A60" s="9" t="n">
        <v>52</v>
      </c>
      <c r="B60" s="9" t="inlineStr">
        <is>
          <t>51</t>
        </is>
      </c>
      <c r="C60" s="9" t="inlineStr">
        <is>
          <t>C1076-Q9593</t>
        </is>
      </c>
      <c r="D60" s="9" t="inlineStr">
        <is>
          <t>Huancabamba</t>
        </is>
      </c>
      <c r="E60" s="9" t="inlineStr">
        <is>
          <t>Huarmaca</t>
        </is>
      </c>
      <c r="F60" s="9" t="inlineStr">
        <is>
          <t>Zona agrícola</t>
        </is>
      </c>
      <c r="G60" s="9" t="inlineStr">
        <is>
          <t>Agri</t>
        </is>
      </c>
      <c r="H60" s="10" t="n">
        <v>20.231</v>
      </c>
      <c r="I60" s="11">
        <f>H60/SUMIF($B$9:$B$198,B60,$H$9:$H$198)</f>
        <v/>
      </c>
      <c r="J60" s="10" t="n">
        <v>22.927</v>
      </c>
      <c r="K60" s="10">
        <f>I60*J60</f>
        <v/>
      </c>
    </row>
    <row r="61">
      <c r="A61" s="5" t="n">
        <v>53</v>
      </c>
      <c r="B61" s="5" t="inlineStr">
        <is>
          <t>51</t>
        </is>
      </c>
      <c r="C61" s="5" t="inlineStr">
        <is>
          <t>C1076-Q9593</t>
        </is>
      </c>
      <c r="D61" s="5" t="inlineStr">
        <is>
          <t>Huancabamba</t>
        </is>
      </c>
      <c r="E61" s="5" t="inlineStr">
        <is>
          <t>Huarmaca</t>
        </is>
      </c>
      <c r="F61" s="5" t="inlineStr">
        <is>
          <t>Matorral andino</t>
        </is>
      </c>
      <c r="G61" s="5" t="inlineStr">
        <is>
          <t>Ma</t>
        </is>
      </c>
      <c r="H61" s="6" t="n">
        <v>2.696</v>
      </c>
      <c r="I61" s="7">
        <f>H61/SUMIF($B$9:$B$198,B61,$H$9:$H$198)</f>
        <v/>
      </c>
      <c r="J61" s="6" t="n">
        <v>22.927</v>
      </c>
      <c r="K61" s="6">
        <f>I61*J61</f>
        <v/>
      </c>
    </row>
    <row r="62">
      <c r="A62" s="9" t="n">
        <v>54</v>
      </c>
      <c r="B62" s="9" t="inlineStr">
        <is>
          <t>53</t>
        </is>
      </c>
      <c r="C62" s="9" t="inlineStr">
        <is>
          <t>C1076-Q9592</t>
        </is>
      </c>
      <c r="D62" s="9" t="inlineStr">
        <is>
          <t>Huancabamba</t>
        </is>
      </c>
      <c r="E62" s="9" t="inlineStr">
        <is>
          <t>Huarmaca</t>
        </is>
      </c>
      <c r="F62" s="9" t="inlineStr">
        <is>
          <t>Matorral andino</t>
        </is>
      </c>
      <c r="G62" s="9" t="inlineStr">
        <is>
          <t>Ma</t>
        </is>
      </c>
      <c r="H62" s="10" t="n">
        <v>13.065</v>
      </c>
      <c r="I62" s="11">
        <f>H62/SUMIF($B$9:$B$198,B62,$H$9:$H$198)</f>
        <v/>
      </c>
      <c r="J62" s="10" t="n">
        <v>13.065</v>
      </c>
      <c r="K62" s="10">
        <f>I62*J62</f>
        <v/>
      </c>
    </row>
    <row r="63">
      <c r="A63" s="5" t="n">
        <v>55</v>
      </c>
      <c r="B63" s="5" t="inlineStr">
        <is>
          <t>69</t>
        </is>
      </c>
      <c r="C63" s="5" t="inlineStr">
        <is>
          <t>C1076-Q9592</t>
        </is>
      </c>
      <c r="D63" s="5" t="inlineStr">
        <is>
          <t>Huancabamba</t>
        </is>
      </c>
      <c r="E63" s="5" t="inlineStr">
        <is>
          <t>Huarmaca</t>
        </is>
      </c>
      <c r="F63" s="5" t="inlineStr">
        <is>
          <t>Matorral andino</t>
        </is>
      </c>
      <c r="G63" s="5" t="inlineStr">
        <is>
          <t>Ma</t>
        </is>
      </c>
      <c r="H63" s="6" t="n">
        <v>19.03</v>
      </c>
      <c r="I63" s="7">
        <f>H63/SUMIF($B$9:$B$198,B63,$H$9:$H$198)</f>
        <v/>
      </c>
      <c r="J63" s="6" t="n">
        <v>19.425</v>
      </c>
      <c r="K63" s="6">
        <f>I63*J63</f>
        <v/>
      </c>
    </row>
    <row r="64">
      <c r="A64" s="9" t="n">
        <v>56</v>
      </c>
      <c r="B64" s="9" t="inlineStr">
        <is>
          <t>69</t>
        </is>
      </c>
      <c r="C64" s="9" t="inlineStr">
        <is>
          <t>C1076-Q9592</t>
        </is>
      </c>
      <c r="D64" s="9" t="inlineStr">
        <is>
          <t>Huancabamba</t>
        </is>
      </c>
      <c r="E64" s="9" t="inlineStr">
        <is>
          <t>Huarmaca</t>
        </is>
      </c>
      <c r="F64" s="9" t="inlineStr">
        <is>
          <t>Zona agrícola</t>
        </is>
      </c>
      <c r="G64" s="9" t="inlineStr">
        <is>
          <t>Agri</t>
        </is>
      </c>
      <c r="H64" s="10" t="n">
        <v>0.395</v>
      </c>
      <c r="I64" s="11">
        <f>H64/SUMIF($B$9:$B$198,B64,$H$9:$H$198)</f>
        <v/>
      </c>
      <c r="J64" s="10" t="n">
        <v>19.425</v>
      </c>
      <c r="K64" s="10">
        <f>I64*J64</f>
        <v/>
      </c>
    </row>
    <row r="65">
      <c r="A65" s="5" t="n">
        <v>57</v>
      </c>
      <c r="B65" s="5" t="inlineStr">
        <is>
          <t>70</t>
        </is>
      </c>
      <c r="C65" s="5" t="inlineStr">
        <is>
          <t>C1076-Q9592</t>
        </is>
      </c>
      <c r="D65" s="5" t="inlineStr">
        <is>
          <t>Huancabamba</t>
        </is>
      </c>
      <c r="E65" s="5" t="inlineStr">
        <is>
          <t>Huarmaca</t>
        </is>
      </c>
      <c r="F65" s="5" t="inlineStr">
        <is>
          <t>Matorral andino</t>
        </is>
      </c>
      <c r="G65" s="5" t="inlineStr">
        <is>
          <t>Ma</t>
        </is>
      </c>
      <c r="H65" s="6" t="n">
        <v>22.127</v>
      </c>
      <c r="I65" s="7">
        <f>H65/SUMIF($B$9:$B$198,B65,$H$9:$H$198)</f>
        <v/>
      </c>
      <c r="J65" s="6" t="n">
        <v>22.388</v>
      </c>
      <c r="K65" s="6">
        <f>I65*J65</f>
        <v/>
      </c>
    </row>
    <row r="66">
      <c r="A66" s="9" t="n">
        <v>58</v>
      </c>
      <c r="B66" s="9" t="inlineStr">
        <is>
          <t>70</t>
        </is>
      </c>
      <c r="C66" s="9" t="inlineStr">
        <is>
          <t>C1076-Q9592</t>
        </is>
      </c>
      <c r="D66" s="9" t="inlineStr">
        <is>
          <t>Huancabamba</t>
        </is>
      </c>
      <c r="E66" s="9" t="inlineStr">
        <is>
          <t>Huarmaca</t>
        </is>
      </c>
      <c r="F66" s="9" t="inlineStr">
        <is>
          <t>Zona agrícola</t>
        </is>
      </c>
      <c r="G66" s="9" t="inlineStr">
        <is>
          <t>Agri</t>
        </is>
      </c>
      <c r="H66" s="10" t="n">
        <v>0.261</v>
      </c>
      <c r="I66" s="11">
        <f>H66/SUMIF($B$9:$B$198,B66,$H$9:$H$198)</f>
        <v/>
      </c>
      <c r="J66" s="10" t="n">
        <v>22.388</v>
      </c>
      <c r="K66" s="10">
        <f>I66*J66</f>
        <v/>
      </c>
    </row>
    <row r="67">
      <c r="A67" s="5" t="n">
        <v>59</v>
      </c>
      <c r="B67" s="5" t="inlineStr">
        <is>
          <t>71</t>
        </is>
      </c>
      <c r="C67" s="5" t="inlineStr">
        <is>
          <t>C1076-Q9593</t>
        </is>
      </c>
      <c r="D67" s="5" t="inlineStr">
        <is>
          <t>Huancabamba</t>
        </is>
      </c>
      <c r="E67" s="5" t="inlineStr">
        <is>
          <t>Huarmaca</t>
        </is>
      </c>
      <c r="F67" s="5" t="inlineStr">
        <is>
          <t>Matorral andino</t>
        </is>
      </c>
      <c r="G67" s="5" t="inlineStr">
        <is>
          <t>Ma</t>
        </is>
      </c>
      <c r="H67" s="6" t="n">
        <v>10.673</v>
      </c>
      <c r="I67" s="7">
        <f>H67/SUMIF($B$9:$B$198,B67,$H$9:$H$198)</f>
        <v/>
      </c>
      <c r="J67" s="6" t="n">
        <v>10.673</v>
      </c>
      <c r="K67" s="6">
        <f>I67*J67</f>
        <v/>
      </c>
    </row>
    <row r="68">
      <c r="A68" s="9" t="n">
        <v>60</v>
      </c>
      <c r="B68" s="9" t="inlineStr">
        <is>
          <t>72</t>
        </is>
      </c>
      <c r="C68" s="9" t="inlineStr">
        <is>
          <t>C1076-Q9592</t>
        </is>
      </c>
      <c r="D68" s="9" t="inlineStr">
        <is>
          <t>Huancabamba</t>
        </is>
      </c>
      <c r="E68" s="9" t="inlineStr">
        <is>
          <t>Huarmaca</t>
        </is>
      </c>
      <c r="F68" s="9" t="inlineStr">
        <is>
          <t>Zona agrícola</t>
        </is>
      </c>
      <c r="G68" s="9" t="inlineStr">
        <is>
          <t>Agri</t>
        </is>
      </c>
      <c r="H68" s="10" t="n">
        <v>12.398</v>
      </c>
      <c r="I68" s="11">
        <f>H68/SUMIF($B$9:$B$198,B68,$H$9:$H$198)</f>
        <v/>
      </c>
      <c r="J68" s="10" t="n">
        <v>12.398</v>
      </c>
      <c r="K68" s="10">
        <f>I68*J68</f>
        <v/>
      </c>
    </row>
    <row r="69">
      <c r="A69" s="5" t="n">
        <v>61</v>
      </c>
      <c r="B69" s="5" t="inlineStr">
        <is>
          <t>73</t>
        </is>
      </c>
      <c r="C69" s="5" t="inlineStr">
        <is>
          <t>C1076-Q9592</t>
        </is>
      </c>
      <c r="D69" s="5" t="inlineStr">
        <is>
          <t>Huancabamba</t>
        </is>
      </c>
      <c r="E69" s="5" t="inlineStr">
        <is>
          <t>Huarmaca</t>
        </is>
      </c>
      <c r="F69" s="5" t="inlineStr">
        <is>
          <t>Zona agrícola</t>
        </is>
      </c>
      <c r="G69" s="5" t="inlineStr">
        <is>
          <t>Agri</t>
        </is>
      </c>
      <c r="H69" s="6" t="n">
        <v>54.29</v>
      </c>
      <c r="I69" s="7">
        <f>H69/SUMIF($B$9:$B$198,B69,$H$9:$H$198)</f>
        <v/>
      </c>
      <c r="J69" s="6" t="n">
        <v>54.29</v>
      </c>
      <c r="K69" s="6">
        <f>I69*J69</f>
        <v/>
      </c>
    </row>
    <row r="70">
      <c r="A70" s="9" t="n">
        <v>62</v>
      </c>
      <c r="B70" s="9" t="inlineStr">
        <is>
          <t>76</t>
        </is>
      </c>
      <c r="C70" s="9" t="inlineStr">
        <is>
          <t>C1076-Q9593</t>
        </is>
      </c>
      <c r="D70" s="9" t="inlineStr">
        <is>
          <t>Huancabamba</t>
        </is>
      </c>
      <c r="E70" s="9" t="inlineStr">
        <is>
          <t>Huarmaca</t>
        </is>
      </c>
      <c r="F70" s="9" t="inlineStr">
        <is>
          <t>Zona agrícola</t>
        </is>
      </c>
      <c r="G70" s="9" t="inlineStr">
        <is>
          <t>Agri</t>
        </is>
      </c>
      <c r="H70" s="10" t="n">
        <v>19.615</v>
      </c>
      <c r="I70" s="11">
        <f>H70/SUMIF($B$9:$B$198,B70,$H$9:$H$198)</f>
        <v/>
      </c>
      <c r="J70" s="10" t="n">
        <v>19.615</v>
      </c>
      <c r="K70" s="10">
        <f>I70*J70</f>
        <v/>
      </c>
    </row>
    <row r="71">
      <c r="A71" s="5" t="n">
        <v>63</v>
      </c>
      <c r="B71" s="5" t="inlineStr">
        <is>
          <t>8</t>
        </is>
      </c>
      <c r="C71" s="5" t="inlineStr">
        <is>
          <t>C1076-Q9593</t>
        </is>
      </c>
      <c r="D71" s="5" t="inlineStr">
        <is>
          <t>Huancabamba</t>
        </is>
      </c>
      <c r="E71" s="5" t="inlineStr">
        <is>
          <t>Huarmaca</t>
        </is>
      </c>
      <c r="F71" s="5" t="inlineStr">
        <is>
          <t>Matorral andino</t>
        </is>
      </c>
      <c r="G71" s="5" t="inlineStr">
        <is>
          <t>Ma</t>
        </is>
      </c>
      <c r="H71" s="6" t="n">
        <v>121.817</v>
      </c>
      <c r="I71" s="7">
        <f>H71/SUMIF($B$9:$B$198,B71,$H$9:$H$198)</f>
        <v/>
      </c>
      <c r="J71" s="6" t="n">
        <v>126.952</v>
      </c>
      <c r="K71" s="6">
        <f>I71*J71</f>
        <v/>
      </c>
    </row>
    <row r="72">
      <c r="A72" s="9" t="n">
        <v>64</v>
      </c>
      <c r="B72" s="9" t="inlineStr">
        <is>
          <t>8</t>
        </is>
      </c>
      <c r="C72" s="9" t="inlineStr">
        <is>
          <t>C1076-Q9593</t>
        </is>
      </c>
      <c r="D72" s="9" t="inlineStr">
        <is>
          <t>Huancabamba</t>
        </is>
      </c>
      <c r="E72" s="9" t="inlineStr">
        <is>
          <t>Huarmaca</t>
        </is>
      </c>
      <c r="F72" s="9" t="inlineStr">
        <is>
          <t>Zona agrícola</t>
        </is>
      </c>
      <c r="G72" s="9" t="inlineStr">
        <is>
          <t>Agri</t>
        </is>
      </c>
      <c r="H72" s="10" t="n">
        <v>5.135</v>
      </c>
      <c r="I72" s="11">
        <f>H72/SUMIF($B$9:$B$198,B72,$H$9:$H$198)</f>
        <v/>
      </c>
      <c r="J72" s="10" t="n">
        <v>126.952</v>
      </c>
      <c r="K72" s="10">
        <f>I72*J72</f>
        <v/>
      </c>
    </row>
    <row r="73">
      <c r="A73" s="5" t="n">
        <v>65</v>
      </c>
      <c r="B73" s="5" t="inlineStr">
        <is>
          <t>80</t>
        </is>
      </c>
      <c r="C73" s="5" t="inlineStr">
        <is>
          <t>C1076-Q9593</t>
        </is>
      </c>
      <c r="D73" s="5" t="inlineStr">
        <is>
          <t>Huancabamba</t>
        </is>
      </c>
      <c r="E73" s="5" t="inlineStr">
        <is>
          <t>Huarmaca</t>
        </is>
      </c>
      <c r="F73" s="5" t="inlineStr">
        <is>
          <t>Zona agrícola</t>
        </is>
      </c>
      <c r="G73" s="5" t="inlineStr">
        <is>
          <t>Agri</t>
        </is>
      </c>
      <c r="H73" s="6" t="n">
        <v>28.83</v>
      </c>
      <c r="I73" s="7">
        <f>H73/SUMIF($B$9:$B$198,B73,$H$9:$H$198)</f>
        <v/>
      </c>
      <c r="J73" s="6" t="n">
        <v>28.83</v>
      </c>
      <c r="K73" s="6">
        <f>I73*J73</f>
        <v/>
      </c>
    </row>
    <row r="74">
      <c r="A74" s="9" t="n">
        <v>66</v>
      </c>
      <c r="B74" s="9" t="inlineStr">
        <is>
          <t>M12B1</t>
        </is>
      </c>
      <c r="C74" s="9" t="inlineStr">
        <is>
          <t>C1076-Q9588</t>
        </is>
      </c>
      <c r="D74" s="9" t="inlineStr">
        <is>
          <t>Huancabamba</t>
        </is>
      </c>
      <c r="E74" s="9" t="inlineStr">
        <is>
          <t>Huarmaca</t>
        </is>
      </c>
      <c r="F74" s="9" t="inlineStr">
        <is>
          <t>Bosque estacionalmente seco de colina y montaña</t>
        </is>
      </c>
      <c r="G74" s="9" t="inlineStr">
        <is>
          <t>Bes-cm</t>
        </is>
      </c>
      <c r="H74" s="10" t="n">
        <v>268.348</v>
      </c>
      <c r="I74" s="11">
        <f>H74/SUMIF($B$9:$B$198,B74,$H$9:$H$198)</f>
        <v/>
      </c>
      <c r="J74" s="10" t="n">
        <v>268.393</v>
      </c>
      <c r="K74" s="10">
        <f>I74*J74</f>
        <v/>
      </c>
    </row>
    <row r="75">
      <c r="A75" s="5" t="n">
        <v>67</v>
      </c>
      <c r="B75" s="5" t="inlineStr">
        <is>
          <t>M12B1</t>
        </is>
      </c>
      <c r="C75" s="5" t="inlineStr">
        <is>
          <t>C1076-Q9588</t>
        </is>
      </c>
      <c r="D75" s="5" t="inlineStr">
        <is>
          <t>Huancabamba</t>
        </is>
      </c>
      <c r="E75" s="5" t="inlineStr">
        <is>
          <t>Huarmaca</t>
        </is>
      </c>
      <c r="F75" s="5" t="inlineStr">
        <is>
          <t>Zona agrícola</t>
        </is>
      </c>
      <c r="G75" s="5" t="inlineStr">
        <is>
          <t>Agri</t>
        </is>
      </c>
      <c r="H75" s="6" t="n">
        <v>0.046</v>
      </c>
      <c r="I75" s="7">
        <f>H75/SUMIF($B$9:$B$198,B75,$H$9:$H$198)</f>
        <v/>
      </c>
      <c r="J75" s="6" t="n">
        <v>268.393</v>
      </c>
      <c r="K75" s="6">
        <f>I75*J75</f>
        <v/>
      </c>
    </row>
    <row r="76">
      <c r="A76" s="9" t="n">
        <v>68</v>
      </c>
      <c r="B76" s="9" t="inlineStr">
        <is>
          <t>M4B3</t>
        </is>
      </c>
      <c r="C76" s="9" t="inlineStr">
        <is>
          <t>C1076-Q9589</t>
        </is>
      </c>
      <c r="D76" s="9" t="inlineStr">
        <is>
          <t>Huancabamba</t>
        </is>
      </c>
      <c r="E76" s="9" t="inlineStr">
        <is>
          <t>Huarmaca</t>
        </is>
      </c>
      <c r="F76" s="9" t="inlineStr">
        <is>
          <t>Bosque estacionalmente seco de colina y montaña</t>
        </is>
      </c>
      <c r="G76" s="9" t="inlineStr">
        <is>
          <t>Bes-cm</t>
        </is>
      </c>
      <c r="H76" s="10" t="n">
        <v>234.069</v>
      </c>
      <c r="I76" s="11">
        <f>H76/SUMIF($B$9:$B$198,B76,$H$9:$H$198)</f>
        <v/>
      </c>
      <c r="J76" s="10" t="n">
        <v>234.069</v>
      </c>
      <c r="K76" s="10">
        <f>I76*J76</f>
        <v/>
      </c>
    </row>
    <row r="77">
      <c r="A77" s="5" t="n">
        <v>69</v>
      </c>
      <c r="B77" s="5" t="inlineStr">
        <is>
          <t>M4B4</t>
        </is>
      </c>
      <c r="C77" s="5" t="inlineStr">
        <is>
          <t>C1076-Q9589</t>
        </is>
      </c>
      <c r="D77" s="5" t="inlineStr">
        <is>
          <t>Huancabamba</t>
        </is>
      </c>
      <c r="E77" s="5" t="inlineStr">
        <is>
          <t>Huarmaca</t>
        </is>
      </c>
      <c r="F77" s="5" t="inlineStr">
        <is>
          <t>Bosque estacionalmente seco de colina y montaña</t>
        </is>
      </c>
      <c r="G77" s="5" t="inlineStr">
        <is>
          <t>Bes-cm</t>
        </is>
      </c>
      <c r="H77" s="6" t="n">
        <v>289.914</v>
      </c>
      <c r="I77" s="7">
        <f>H77/SUMIF($B$9:$B$198,B77,$H$9:$H$198)</f>
        <v/>
      </c>
      <c r="J77" s="6" t="n">
        <v>289.914</v>
      </c>
      <c r="K77" s="6">
        <f>I77*J77</f>
        <v/>
      </c>
    </row>
    <row r="78">
      <c r="A78" s="9" t="n">
        <v>70</v>
      </c>
      <c r="B78" s="9" t="inlineStr">
        <is>
          <t>26</t>
        </is>
      </c>
      <c r="C78" s="9" t="inlineStr">
        <is>
          <t>C1081-Q9591</t>
        </is>
      </c>
      <c r="D78" s="9" t="inlineStr">
        <is>
          <t>Huancabamba</t>
        </is>
      </c>
      <c r="E78" s="9" t="inlineStr">
        <is>
          <t>Lalaquiz</t>
        </is>
      </c>
      <c r="F78" s="9" t="inlineStr">
        <is>
          <t>Zona agrícola</t>
        </is>
      </c>
      <c r="G78" s="9" t="inlineStr">
        <is>
          <t>Agri</t>
        </is>
      </c>
      <c r="H78" s="10" t="n">
        <v>46.962</v>
      </c>
      <c r="I78" s="11">
        <f>H78/SUMIF($B$9:$B$198,B78,$H$9:$H$198)</f>
        <v/>
      </c>
      <c r="J78" s="10" t="n">
        <v>46.962</v>
      </c>
      <c r="K78" s="10">
        <f>I78*J78</f>
        <v/>
      </c>
    </row>
    <row r="79">
      <c r="A79" s="5" t="n">
        <v>71</v>
      </c>
      <c r="B79" s="5" t="inlineStr">
        <is>
          <t>34</t>
        </is>
      </c>
      <c r="C79" s="5" t="inlineStr">
        <is>
          <t>C1081-Q9590</t>
        </is>
      </c>
      <c r="D79" s="5" t="inlineStr">
        <is>
          <t>Huancabamba</t>
        </is>
      </c>
      <c r="E79" s="5" t="inlineStr">
        <is>
          <t>Lalaquiz</t>
        </is>
      </c>
      <c r="F79" s="5" t="inlineStr">
        <is>
          <t>Zona agrícola</t>
        </is>
      </c>
      <c r="G79" s="5" t="inlineStr">
        <is>
          <t>Agri</t>
        </is>
      </c>
      <c r="H79" s="6" t="n">
        <v>26.933</v>
      </c>
      <c r="I79" s="7">
        <f>H79/SUMIF($B$9:$B$198,B79,$H$9:$H$198)</f>
        <v/>
      </c>
      <c r="J79" s="6" t="n">
        <v>28.45</v>
      </c>
      <c r="K79" s="6">
        <f>I79*J79</f>
        <v/>
      </c>
    </row>
    <row r="80">
      <c r="A80" s="9" t="n">
        <v>72</v>
      </c>
      <c r="B80" s="9" t="inlineStr">
        <is>
          <t>34</t>
        </is>
      </c>
      <c r="C80" s="9" t="inlineStr">
        <is>
          <t>C1081-Q9590</t>
        </is>
      </c>
      <c r="D80" s="9" t="inlineStr">
        <is>
          <t>Huancabamba</t>
        </is>
      </c>
      <c r="E80" s="9" t="inlineStr">
        <is>
          <t>Lalaquiz</t>
        </is>
      </c>
      <c r="F80" s="9" t="inlineStr">
        <is>
          <t>Matorral andino</t>
        </is>
      </c>
      <c r="G80" s="9" t="inlineStr">
        <is>
          <t>Ma</t>
        </is>
      </c>
      <c r="H80" s="10" t="n">
        <v>1.517</v>
      </c>
      <c r="I80" s="11">
        <f>H80/SUMIF($B$9:$B$198,B80,$H$9:$H$198)</f>
        <v/>
      </c>
      <c r="J80" s="10" t="n">
        <v>28.45</v>
      </c>
      <c r="K80" s="10">
        <f>I80*J80</f>
        <v/>
      </c>
    </row>
    <row r="81">
      <c r="A81" s="5" t="n">
        <v>73</v>
      </c>
      <c r="B81" s="5" t="inlineStr">
        <is>
          <t>37</t>
        </is>
      </c>
      <c r="C81" s="5" t="inlineStr">
        <is>
          <t>C1081-Q9591</t>
        </is>
      </c>
      <c r="D81" s="5" t="inlineStr">
        <is>
          <t>Huancabamba</t>
        </is>
      </c>
      <c r="E81" s="5" t="inlineStr">
        <is>
          <t>Lalaquiz</t>
        </is>
      </c>
      <c r="F81" s="5" t="inlineStr">
        <is>
          <t>Matorral andino</t>
        </is>
      </c>
      <c r="G81" s="5" t="inlineStr">
        <is>
          <t>Ma</t>
        </is>
      </c>
      <c r="H81" s="6" t="n">
        <v>21.287</v>
      </c>
      <c r="I81" s="7">
        <f>H81/SUMIF($B$9:$B$198,B81,$H$9:$H$198)</f>
        <v/>
      </c>
      <c r="J81" s="6" t="n">
        <v>35.491</v>
      </c>
      <c r="K81" s="6">
        <f>I81*J81</f>
        <v/>
      </c>
    </row>
    <row r="82">
      <c r="A82" s="9" t="n">
        <v>74</v>
      </c>
      <c r="B82" s="9" t="inlineStr">
        <is>
          <t>37</t>
        </is>
      </c>
      <c r="C82" s="9" t="inlineStr">
        <is>
          <t>C1081-Q9591</t>
        </is>
      </c>
      <c r="D82" s="9" t="inlineStr">
        <is>
          <t>Huancabamba</t>
        </is>
      </c>
      <c r="E82" s="9" t="inlineStr">
        <is>
          <t>Lalaquiz</t>
        </is>
      </c>
      <c r="F82" s="9" t="inlineStr">
        <is>
          <t>Zona agrícola</t>
        </is>
      </c>
      <c r="G82" s="9" t="inlineStr">
        <is>
          <t>Agri</t>
        </is>
      </c>
      <c r="H82" s="10" t="n">
        <v>14.204</v>
      </c>
      <c r="I82" s="11">
        <f>H82/SUMIF($B$9:$B$198,B82,$H$9:$H$198)</f>
        <v/>
      </c>
      <c r="J82" s="10" t="n">
        <v>35.491</v>
      </c>
      <c r="K82" s="10">
        <f>I82*J82</f>
        <v/>
      </c>
    </row>
    <row r="83">
      <c r="A83" s="5" t="n">
        <v>75</v>
      </c>
      <c r="B83" s="5" t="inlineStr">
        <is>
          <t>38</t>
        </is>
      </c>
      <c r="C83" s="5" t="inlineStr">
        <is>
          <t>C1081-Q9590</t>
        </is>
      </c>
      <c r="D83" s="5" t="inlineStr">
        <is>
          <t>Huancabamba</t>
        </is>
      </c>
      <c r="E83" s="5" t="inlineStr">
        <is>
          <t>Lalaquiz</t>
        </is>
      </c>
      <c r="F83" s="5" t="inlineStr">
        <is>
          <t>Zona agrícola</t>
        </is>
      </c>
      <c r="G83" s="5" t="inlineStr">
        <is>
          <t>Agri</t>
        </is>
      </c>
      <c r="H83" s="6" t="n">
        <v>39.693</v>
      </c>
      <c r="I83" s="7">
        <f>H83/SUMIF($B$9:$B$198,B83,$H$9:$H$198)</f>
        <v/>
      </c>
      <c r="J83" s="6" t="n">
        <v>44.201</v>
      </c>
      <c r="K83" s="6">
        <f>I83*J83</f>
        <v/>
      </c>
    </row>
    <row r="84">
      <c r="A84" s="9" t="n">
        <v>76</v>
      </c>
      <c r="B84" s="9" t="inlineStr">
        <is>
          <t>38</t>
        </is>
      </c>
      <c r="C84" s="9" t="inlineStr">
        <is>
          <t>C1081-Q9590</t>
        </is>
      </c>
      <c r="D84" s="9" t="inlineStr">
        <is>
          <t>Huancabamba</t>
        </is>
      </c>
      <c r="E84" s="9" t="inlineStr">
        <is>
          <t>Lalaquiz</t>
        </is>
      </c>
      <c r="F84" s="9" t="inlineStr">
        <is>
          <t>Bosque estacionalmente seco de colina y montaña</t>
        </is>
      </c>
      <c r="G84" s="9" t="inlineStr">
        <is>
          <t>Bes-cm</t>
        </is>
      </c>
      <c r="H84" s="10" t="n">
        <v>3.885</v>
      </c>
      <c r="I84" s="11">
        <f>H84/SUMIF($B$9:$B$198,B84,$H$9:$H$198)</f>
        <v/>
      </c>
      <c r="J84" s="10" t="n">
        <v>44.201</v>
      </c>
      <c r="K84" s="10">
        <f>I84*J84</f>
        <v/>
      </c>
    </row>
    <row r="85">
      <c r="A85" s="5" t="n">
        <v>77</v>
      </c>
      <c r="B85" s="5" t="inlineStr">
        <is>
          <t>38</t>
        </is>
      </c>
      <c r="C85" s="5" t="inlineStr">
        <is>
          <t>C1081-Q9590</t>
        </is>
      </c>
      <c r="D85" s="5" t="inlineStr">
        <is>
          <t>Huancabamba</t>
        </is>
      </c>
      <c r="E85" s="5" t="inlineStr">
        <is>
          <t>Lalaquiz</t>
        </is>
      </c>
      <c r="F85" s="5" t="inlineStr">
        <is>
          <t>Matorral andino</t>
        </is>
      </c>
      <c r="G85" s="5" t="inlineStr">
        <is>
          <t>Ma</t>
        </is>
      </c>
      <c r="H85" s="6" t="n">
        <v>0.622</v>
      </c>
      <c r="I85" s="7">
        <f>H85/SUMIF($B$9:$B$198,B85,$H$9:$H$198)</f>
        <v/>
      </c>
      <c r="J85" s="6" t="n">
        <v>44.201</v>
      </c>
      <c r="K85" s="6">
        <f>I85*J85</f>
        <v/>
      </c>
    </row>
    <row r="86">
      <c r="A86" s="9" t="n">
        <v>78</v>
      </c>
      <c r="B86" s="9" t="inlineStr">
        <is>
          <t>50</t>
        </is>
      </c>
      <c r="C86" s="9" t="inlineStr">
        <is>
          <t>C1081-Q9590</t>
        </is>
      </c>
      <c r="D86" s="9" t="inlineStr">
        <is>
          <t>Huancabamba</t>
        </is>
      </c>
      <c r="E86" s="9" t="inlineStr">
        <is>
          <t>Lalaquiz</t>
        </is>
      </c>
      <c r="F86" s="9" t="inlineStr">
        <is>
          <t>Matorral andino</t>
        </is>
      </c>
      <c r="G86" s="9" t="inlineStr">
        <is>
          <t>Ma</t>
        </is>
      </c>
      <c r="H86" s="10" t="n">
        <v>18.45</v>
      </c>
      <c r="I86" s="11">
        <f>H86/SUMIF($B$9:$B$198,B86,$H$9:$H$198)</f>
        <v/>
      </c>
      <c r="J86" s="10" t="n">
        <v>19.266</v>
      </c>
      <c r="K86" s="10">
        <f>I86*J86</f>
        <v/>
      </c>
    </row>
    <row r="87">
      <c r="A87" s="5" t="n">
        <v>79</v>
      </c>
      <c r="B87" s="5" t="inlineStr">
        <is>
          <t>50</t>
        </is>
      </c>
      <c r="C87" s="5" t="inlineStr">
        <is>
          <t>C1081-Q9590</t>
        </is>
      </c>
      <c r="D87" s="5" t="inlineStr">
        <is>
          <t>Huancabamba</t>
        </is>
      </c>
      <c r="E87" s="5" t="inlineStr">
        <is>
          <t>Lalaquiz</t>
        </is>
      </c>
      <c r="F87" s="5" t="inlineStr">
        <is>
          <t>Zona agrícola</t>
        </is>
      </c>
      <c r="G87" s="5" t="inlineStr">
        <is>
          <t>Agri</t>
        </is>
      </c>
      <c r="H87" s="6" t="n">
        <v>0.8169999999999999</v>
      </c>
      <c r="I87" s="7">
        <f>H87/SUMIF($B$9:$B$198,B87,$H$9:$H$198)</f>
        <v/>
      </c>
      <c r="J87" s="6" t="n">
        <v>19.266</v>
      </c>
      <c r="K87" s="6">
        <f>I87*J87</f>
        <v/>
      </c>
    </row>
    <row r="88">
      <c r="A88" s="9" t="n">
        <v>80</v>
      </c>
      <c r="B88" s="9" t="inlineStr">
        <is>
          <t>61</t>
        </is>
      </c>
      <c r="C88" s="9" t="inlineStr">
        <is>
          <t>C1081-Q9590</t>
        </is>
      </c>
      <c r="D88" s="9" t="inlineStr">
        <is>
          <t>Huancabamba</t>
        </is>
      </c>
      <c r="E88" s="9" t="inlineStr">
        <is>
          <t>Lalaquiz</t>
        </is>
      </c>
      <c r="F88" s="9" t="inlineStr">
        <is>
          <t>Zona agrícola</t>
        </is>
      </c>
      <c r="G88" s="9" t="inlineStr">
        <is>
          <t>Agri</t>
        </is>
      </c>
      <c r="H88" s="10" t="n">
        <v>13.988</v>
      </c>
      <c r="I88" s="11">
        <f>H88/SUMIF($B$9:$B$198,B88,$H$9:$H$198)</f>
        <v/>
      </c>
      <c r="J88" s="10" t="n">
        <v>26.826</v>
      </c>
      <c r="K88" s="10">
        <f>I88*J88</f>
        <v/>
      </c>
    </row>
    <row r="89">
      <c r="A89" s="5" t="n">
        <v>81</v>
      </c>
      <c r="B89" s="5" t="inlineStr">
        <is>
          <t>61</t>
        </is>
      </c>
      <c r="C89" s="5" t="inlineStr">
        <is>
          <t>C1081-Q9590</t>
        </is>
      </c>
      <c r="D89" s="5" t="inlineStr">
        <is>
          <t>Huancabamba</t>
        </is>
      </c>
      <c r="E89" s="5" t="inlineStr">
        <is>
          <t>Lalaquiz</t>
        </is>
      </c>
      <c r="F89" s="5" t="inlineStr">
        <is>
          <t>Matorral andino</t>
        </is>
      </c>
      <c r="G89" s="5" t="inlineStr">
        <is>
          <t>Ma</t>
        </is>
      </c>
      <c r="H89" s="6" t="n">
        <v>12.838</v>
      </c>
      <c r="I89" s="7">
        <f>H89/SUMIF($B$9:$B$198,B89,$H$9:$H$198)</f>
        <v/>
      </c>
      <c r="J89" s="6" t="n">
        <v>26.826</v>
      </c>
      <c r="K89" s="6">
        <f>I89*J89</f>
        <v/>
      </c>
    </row>
    <row r="90">
      <c r="A90" s="9" t="n">
        <v>82</v>
      </c>
      <c r="B90" s="9" t="inlineStr">
        <is>
          <t>35</t>
        </is>
      </c>
      <c r="C90" s="9" t="inlineStr">
        <is>
          <t>C1076-Q9586</t>
        </is>
      </c>
      <c r="D90" s="9" t="inlineStr">
        <is>
          <t>Huancabamba</t>
        </is>
      </c>
      <c r="E90" s="9" t="inlineStr">
        <is>
          <t>San Miguel de El Faique</t>
        </is>
      </c>
      <c r="F90" s="9" t="inlineStr">
        <is>
          <t>Zona agrícola</t>
        </is>
      </c>
      <c r="G90" s="9" t="inlineStr">
        <is>
          <t>Agri</t>
        </is>
      </c>
      <c r="H90" s="10" t="n">
        <v>30.804</v>
      </c>
      <c r="I90" s="11">
        <f>H90/SUMIF($B$9:$B$198,B90,$H$9:$H$198)</f>
        <v/>
      </c>
      <c r="J90" s="10" t="n">
        <v>30.804</v>
      </c>
      <c r="K90" s="10">
        <f>I90*J90</f>
        <v/>
      </c>
    </row>
    <row r="91">
      <c r="A91" s="5" t="n">
        <v>83</v>
      </c>
      <c r="B91" s="5" t="inlineStr">
        <is>
          <t>43</t>
        </is>
      </c>
      <c r="C91" s="5" t="inlineStr">
        <is>
          <t>C1076-Q9586</t>
        </is>
      </c>
      <c r="D91" s="5" t="inlineStr">
        <is>
          <t>Huancabamba</t>
        </is>
      </c>
      <c r="E91" s="5" t="inlineStr">
        <is>
          <t>San Miguel de El Faique</t>
        </is>
      </c>
      <c r="F91" s="5" t="inlineStr">
        <is>
          <t>Zona agrícola</t>
        </is>
      </c>
      <c r="G91" s="5" t="inlineStr">
        <is>
          <t>Agri</t>
        </is>
      </c>
      <c r="H91" s="6" t="n">
        <v>23.171</v>
      </c>
      <c r="I91" s="7">
        <f>H91/SUMIF($B$9:$B$198,B91,$H$9:$H$198)</f>
        <v/>
      </c>
      <c r="J91" s="6" t="n">
        <v>23.171</v>
      </c>
      <c r="K91" s="6">
        <f>I91*J91</f>
        <v/>
      </c>
    </row>
    <row r="92">
      <c r="A92" s="9" t="n">
        <v>84</v>
      </c>
      <c r="B92" s="9" t="inlineStr">
        <is>
          <t>44</t>
        </is>
      </c>
      <c r="C92" s="9" t="inlineStr">
        <is>
          <t>C1076-Q9586</t>
        </is>
      </c>
      <c r="D92" s="9" t="inlineStr">
        <is>
          <t>Huancabamba</t>
        </is>
      </c>
      <c r="E92" s="9" t="inlineStr">
        <is>
          <t>San Miguel de El Faique</t>
        </is>
      </c>
      <c r="F92" s="9" t="inlineStr">
        <is>
          <t>Páramo</t>
        </is>
      </c>
      <c r="G92" s="9" t="inlineStr">
        <is>
          <t>Pa</t>
        </is>
      </c>
      <c r="H92" s="10" t="n">
        <v>26.891</v>
      </c>
      <c r="I92" s="11">
        <f>H92/SUMIF($B$9:$B$198,B92,$H$9:$H$198)</f>
        <v/>
      </c>
      <c r="J92" s="10" t="n">
        <v>28.234</v>
      </c>
      <c r="K92" s="10">
        <f>I92*J92</f>
        <v/>
      </c>
    </row>
    <row r="93">
      <c r="A93" s="5" t="n">
        <v>85</v>
      </c>
      <c r="B93" s="5" t="inlineStr">
        <is>
          <t>44</t>
        </is>
      </c>
      <c r="C93" s="5" t="inlineStr">
        <is>
          <t>C1076-Q9586</t>
        </is>
      </c>
      <c r="D93" s="5" t="inlineStr">
        <is>
          <t>Huancabamba</t>
        </is>
      </c>
      <c r="E93" s="5" t="inlineStr">
        <is>
          <t>San Miguel de El Faique</t>
        </is>
      </c>
      <c r="F93" s="5" t="inlineStr">
        <is>
          <t>Matorral andino</t>
        </is>
      </c>
      <c r="G93" s="5" t="inlineStr">
        <is>
          <t>Ma</t>
        </is>
      </c>
      <c r="H93" s="6" t="n">
        <v>1.343</v>
      </c>
      <c r="I93" s="7">
        <f>H93/SUMIF($B$9:$B$198,B93,$H$9:$H$198)</f>
        <v/>
      </c>
      <c r="J93" s="6" t="n">
        <v>28.234</v>
      </c>
      <c r="K93" s="6">
        <f>I93*J93</f>
        <v/>
      </c>
    </row>
    <row r="94">
      <c r="A94" s="9" t="n">
        <v>86</v>
      </c>
      <c r="B94" s="9" t="inlineStr">
        <is>
          <t>47</t>
        </is>
      </c>
      <c r="C94" s="9" t="inlineStr">
        <is>
          <t>C1076-Q9586</t>
        </is>
      </c>
      <c r="D94" s="9" t="inlineStr">
        <is>
          <t>Huancabamba</t>
        </is>
      </c>
      <c r="E94" s="9" t="inlineStr">
        <is>
          <t>San Miguel de El Faique</t>
        </is>
      </c>
      <c r="F94" s="9" t="inlineStr">
        <is>
          <t>Matorral andino</t>
        </is>
      </c>
      <c r="G94" s="9" t="inlineStr">
        <is>
          <t>Ma</t>
        </is>
      </c>
      <c r="H94" s="10" t="n">
        <v>7.326</v>
      </c>
      <c r="I94" s="11">
        <f>H94/SUMIF($B$9:$B$198,B94,$H$9:$H$198)</f>
        <v/>
      </c>
      <c r="J94" s="10" t="n">
        <v>13.551</v>
      </c>
      <c r="K94" s="10">
        <f>I94*J94</f>
        <v/>
      </c>
    </row>
    <row r="95">
      <c r="A95" s="5" t="n">
        <v>87</v>
      </c>
      <c r="B95" s="5" t="inlineStr">
        <is>
          <t>47</t>
        </is>
      </c>
      <c r="C95" s="5" t="inlineStr">
        <is>
          <t>C1076-Q9586</t>
        </is>
      </c>
      <c r="D95" s="5" t="inlineStr">
        <is>
          <t>Huancabamba</t>
        </is>
      </c>
      <c r="E95" s="5" t="inlineStr">
        <is>
          <t>San Miguel de El Faique</t>
        </is>
      </c>
      <c r="F95" s="5" t="inlineStr">
        <is>
          <t>Zona agrícola</t>
        </is>
      </c>
      <c r="G95" s="5" t="inlineStr">
        <is>
          <t>Agri</t>
        </is>
      </c>
      <c r="H95" s="6" t="n">
        <v>6.226</v>
      </c>
      <c r="I95" s="7">
        <f>H95/SUMIF($B$9:$B$198,B95,$H$9:$H$198)</f>
        <v/>
      </c>
      <c r="J95" s="6" t="n">
        <v>13.551</v>
      </c>
      <c r="K95" s="6">
        <f>I95*J95</f>
        <v/>
      </c>
    </row>
    <row r="96">
      <c r="A96" s="9" t="n">
        <v>88</v>
      </c>
      <c r="B96" s="9" t="inlineStr">
        <is>
          <t>67</t>
        </is>
      </c>
      <c r="C96" s="9" t="inlineStr">
        <is>
          <t>C1076-Q9586</t>
        </is>
      </c>
      <c r="D96" s="9" t="inlineStr">
        <is>
          <t>Huancabamba</t>
        </is>
      </c>
      <c r="E96" s="9" t="inlineStr">
        <is>
          <t>San Miguel de El Faique</t>
        </is>
      </c>
      <c r="F96" s="9" t="inlineStr">
        <is>
          <t>Zona agrícola</t>
        </is>
      </c>
      <c r="G96" s="9" t="inlineStr">
        <is>
          <t>Agri</t>
        </is>
      </c>
      <c r="H96" s="10" t="n">
        <v>12.265</v>
      </c>
      <c r="I96" s="11">
        <f>H96/SUMIF($B$9:$B$198,B96,$H$9:$H$198)</f>
        <v/>
      </c>
      <c r="J96" s="10" t="n">
        <v>13.184</v>
      </c>
      <c r="K96" s="10">
        <f>I96*J96</f>
        <v/>
      </c>
    </row>
    <row r="97">
      <c r="A97" s="5" t="n">
        <v>89</v>
      </c>
      <c r="B97" s="5" t="inlineStr">
        <is>
          <t>67</t>
        </is>
      </c>
      <c r="C97" s="5" t="inlineStr">
        <is>
          <t>C1076-Q9586</t>
        </is>
      </c>
      <c r="D97" s="5" t="inlineStr">
        <is>
          <t>Huancabamba</t>
        </is>
      </c>
      <c r="E97" s="5" t="inlineStr">
        <is>
          <t>San Miguel de El Faique</t>
        </is>
      </c>
      <c r="F97" s="5" t="inlineStr">
        <is>
          <t>Bosque estacionalmente seco de colina y montaña</t>
        </is>
      </c>
      <c r="G97" s="5" t="inlineStr">
        <is>
          <t>Bes-cm</t>
        </is>
      </c>
      <c r="H97" s="6" t="n">
        <v>0.919</v>
      </c>
      <c r="I97" s="7">
        <f>H97/SUMIF($B$9:$B$198,B97,$H$9:$H$198)</f>
        <v/>
      </c>
      <c r="J97" s="6" t="n">
        <v>13.184</v>
      </c>
      <c r="K97" s="6">
        <f>I97*J97</f>
        <v/>
      </c>
    </row>
    <row r="98">
      <c r="A98" s="9" t="n">
        <v>90</v>
      </c>
      <c r="B98" s="9" t="inlineStr">
        <is>
          <t>9</t>
        </is>
      </c>
      <c r="C98" s="9" t="inlineStr">
        <is>
          <t>C1076-Q9586</t>
        </is>
      </c>
      <c r="D98" s="9" t="inlineStr">
        <is>
          <t>Huancabamba</t>
        </is>
      </c>
      <c r="E98" s="9" t="inlineStr">
        <is>
          <t>San Miguel de El Faique</t>
        </is>
      </c>
      <c r="F98" s="9" t="inlineStr">
        <is>
          <t>Zona agrícola</t>
        </is>
      </c>
      <c r="G98" s="9" t="inlineStr">
        <is>
          <t>Agri</t>
        </is>
      </c>
      <c r="H98" s="10" t="n">
        <v>109.861</v>
      </c>
      <c r="I98" s="11">
        <f>H98/SUMIF($B$9:$B$198,B98,$H$9:$H$198)</f>
        <v/>
      </c>
      <c r="J98" s="10" t="n">
        <v>109.861</v>
      </c>
      <c r="K98" s="10">
        <f>I98*J98</f>
        <v/>
      </c>
    </row>
    <row r="99">
      <c r="A99" s="5" t="n">
        <v>91</v>
      </c>
      <c r="B99" s="5" t="inlineStr">
        <is>
          <t>M20B1</t>
        </is>
      </c>
      <c r="C99" s="5" t="inlineStr">
        <is>
          <t>C1076-Q9585</t>
        </is>
      </c>
      <c r="D99" s="5" t="inlineStr">
        <is>
          <t>Huancabamba</t>
        </is>
      </c>
      <c r="E99" s="5" t="inlineStr">
        <is>
          <t>San Miguel de El Faique</t>
        </is>
      </c>
      <c r="F99" s="5" t="inlineStr">
        <is>
          <t>Bosque estacionalmente seco de colina y montaña</t>
        </is>
      </c>
      <c r="G99" s="5" t="inlineStr">
        <is>
          <t>Bes-cm</t>
        </is>
      </c>
      <c r="H99" s="6" t="n">
        <v>277.098</v>
      </c>
      <c r="I99" s="7">
        <f>H99/SUMIF($B$9:$B$198,B99,$H$9:$H$198)</f>
        <v/>
      </c>
      <c r="J99" s="6" t="n">
        <v>279.68</v>
      </c>
      <c r="K99" s="6">
        <f>I99*J99</f>
        <v/>
      </c>
    </row>
    <row r="100">
      <c r="A100" s="9" t="n">
        <v>92</v>
      </c>
      <c r="B100" s="9" t="inlineStr">
        <is>
          <t>M20B1</t>
        </is>
      </c>
      <c r="C100" s="9" t="inlineStr">
        <is>
          <t>C1076-Q9585</t>
        </is>
      </c>
      <c r="D100" s="9" t="inlineStr">
        <is>
          <t>Huancabamba</t>
        </is>
      </c>
      <c r="E100" s="9" t="inlineStr">
        <is>
          <t>San Miguel de El Faique</t>
        </is>
      </c>
      <c r="F100" s="9" t="inlineStr">
        <is>
          <t>Zona agrícola</t>
        </is>
      </c>
      <c r="G100" s="9" t="inlineStr">
        <is>
          <t>Agri</t>
        </is>
      </c>
      <c r="H100" s="10" t="n">
        <v>2.582</v>
      </c>
      <c r="I100" s="11">
        <f>H100/SUMIF($B$9:$B$198,B100,$H$9:$H$198)</f>
        <v/>
      </c>
      <c r="J100" s="10" t="n">
        <v>279.68</v>
      </c>
      <c r="K100" s="10">
        <f>I100*J100</f>
        <v/>
      </c>
    </row>
    <row r="101">
      <c r="A101" s="5" t="n">
        <v>93</v>
      </c>
      <c r="B101" s="5" t="inlineStr">
        <is>
          <t>M22B1</t>
        </is>
      </c>
      <c r="C101" s="5" t="inlineStr">
        <is>
          <t>C1076-Q9586</t>
        </is>
      </c>
      <c r="D101" s="5" t="inlineStr">
        <is>
          <t>Huancabamba</t>
        </is>
      </c>
      <c r="E101" s="5" t="inlineStr">
        <is>
          <t>San Miguel de El Faique</t>
        </is>
      </c>
      <c r="F101" s="5" t="inlineStr">
        <is>
          <t>Páramo</t>
        </is>
      </c>
      <c r="G101" s="5" t="inlineStr">
        <is>
          <t>Pa</t>
        </is>
      </c>
      <c r="H101" s="6" t="n">
        <v>44.895</v>
      </c>
      <c r="I101" s="7">
        <f>H101/SUMIF($B$9:$B$198,B101,$H$9:$H$198)</f>
        <v/>
      </c>
      <c r="J101" s="6" t="n">
        <v>55.17</v>
      </c>
      <c r="K101" s="6">
        <f>I101*J101</f>
        <v/>
      </c>
    </row>
    <row r="102">
      <c r="A102" s="9" t="n">
        <v>94</v>
      </c>
      <c r="B102" s="9" t="inlineStr">
        <is>
          <t>M22B1</t>
        </is>
      </c>
      <c r="C102" s="9" t="inlineStr">
        <is>
          <t>C1076-Q9586</t>
        </is>
      </c>
      <c r="D102" s="9" t="inlineStr">
        <is>
          <t>Huancabamba</t>
        </is>
      </c>
      <c r="E102" s="9" t="inlineStr">
        <is>
          <t>San Miguel de El Faique</t>
        </is>
      </c>
      <c r="F102" s="9" t="inlineStr">
        <is>
          <t>Matorral andino</t>
        </is>
      </c>
      <c r="G102" s="9" t="inlineStr">
        <is>
          <t>Ma</t>
        </is>
      </c>
      <c r="H102" s="10" t="n">
        <v>10.275</v>
      </c>
      <c r="I102" s="11">
        <f>H102/SUMIF($B$9:$B$198,B102,$H$9:$H$198)</f>
        <v/>
      </c>
      <c r="J102" s="10" t="n">
        <v>55.17</v>
      </c>
      <c r="K102" s="10">
        <f>I102*J102</f>
        <v/>
      </c>
    </row>
    <row r="103">
      <c r="A103" s="5" t="n">
        <v>95</v>
      </c>
      <c r="B103" s="5" t="inlineStr">
        <is>
          <t>M2B8</t>
        </is>
      </c>
      <c r="C103" s="5" t="inlineStr">
        <is>
          <t>C1076-Q9584</t>
        </is>
      </c>
      <c r="D103" s="5" t="inlineStr">
        <is>
          <t>Huancabamba</t>
        </is>
      </c>
      <c r="E103" s="5" t="inlineStr">
        <is>
          <t>San Miguel de El Faique</t>
        </is>
      </c>
      <c r="F103" s="5" t="inlineStr">
        <is>
          <t>Bosque estacionalmente seco de colina y montaña</t>
        </is>
      </c>
      <c r="G103" s="5" t="inlineStr">
        <is>
          <t>Bes-cm</t>
        </is>
      </c>
      <c r="H103" s="6" t="n">
        <v>116.099</v>
      </c>
      <c r="I103" s="7">
        <f>H103/SUMIF($B$9:$B$198,B103,$H$9:$H$198)</f>
        <v/>
      </c>
      <c r="J103" s="6" t="n">
        <v>116.099</v>
      </c>
      <c r="K103" s="6">
        <f>I103*J103</f>
        <v/>
      </c>
    </row>
    <row r="104">
      <c r="A104" s="9" t="n">
        <v>96</v>
      </c>
      <c r="B104" s="9" t="inlineStr">
        <is>
          <t>5</t>
        </is>
      </c>
      <c r="C104" s="9" t="inlineStr">
        <is>
          <t>C1077-Q9566</t>
        </is>
      </c>
      <c r="D104" s="9" t="inlineStr">
        <is>
          <t>Morropón</t>
        </is>
      </c>
      <c r="E104" s="9" t="inlineStr">
        <is>
          <t>Buenos Aires</t>
        </is>
      </c>
      <c r="F104" s="9" t="inlineStr">
        <is>
          <t>Bosque estacionalmente seco de colina y montaña</t>
        </is>
      </c>
      <c r="G104" s="9" t="inlineStr">
        <is>
          <t>Bes-cm</t>
        </is>
      </c>
      <c r="H104" s="10" t="n">
        <v>295.726</v>
      </c>
      <c r="I104" s="11">
        <f>H104/SUMIF($B$9:$B$198,B104,$H$9:$H$198)</f>
        <v/>
      </c>
      <c r="J104" s="10" t="n">
        <v>295.726</v>
      </c>
      <c r="K104" s="10">
        <f>I104*J104</f>
        <v/>
      </c>
    </row>
    <row r="105">
      <c r="A105" s="5" t="n">
        <v>97</v>
      </c>
      <c r="B105" s="5" t="inlineStr">
        <is>
          <t>M18B1</t>
        </is>
      </c>
      <c r="C105" s="5" t="inlineStr">
        <is>
          <t>C1077-Q9579</t>
        </is>
      </c>
      <c r="D105" s="5" t="inlineStr">
        <is>
          <t>Morropón</t>
        </is>
      </c>
      <c r="E105" s="5" t="inlineStr">
        <is>
          <t>Buenos Aires</t>
        </is>
      </c>
      <c r="F105" s="5" t="inlineStr">
        <is>
          <t>Bosque estacionalmente seco de colina y montaña</t>
        </is>
      </c>
      <c r="G105" s="5" t="inlineStr">
        <is>
          <t>Bes-cm</t>
        </is>
      </c>
      <c r="H105" s="6" t="n">
        <v>159.141</v>
      </c>
      <c r="I105" s="7">
        <f>H105/SUMIF($B$9:$B$198,B105,$H$9:$H$198)</f>
        <v/>
      </c>
      <c r="J105" s="6" t="n">
        <v>160.36</v>
      </c>
      <c r="K105" s="6">
        <f>I105*J105</f>
        <v/>
      </c>
    </row>
    <row r="106">
      <c r="A106" s="9" t="n">
        <v>98</v>
      </c>
      <c r="B106" s="9" t="inlineStr">
        <is>
          <t>M18B1</t>
        </is>
      </c>
      <c r="C106" s="9" t="inlineStr">
        <is>
          <t>C1077-Q9579</t>
        </is>
      </c>
      <c r="D106" s="9" t="inlineStr">
        <is>
          <t>Morropón</t>
        </is>
      </c>
      <c r="E106" s="9" t="inlineStr">
        <is>
          <t>Buenos Aires</t>
        </is>
      </c>
      <c r="F106" s="9" t="inlineStr">
        <is>
          <t>Zona agrícola</t>
        </is>
      </c>
      <c r="G106" s="9" t="inlineStr">
        <is>
          <t>Agri</t>
        </is>
      </c>
      <c r="H106" s="10" t="n">
        <v>1.219</v>
      </c>
      <c r="I106" s="11">
        <f>H106/SUMIF($B$9:$B$198,B106,$H$9:$H$198)</f>
        <v/>
      </c>
      <c r="J106" s="10" t="n">
        <v>160.36</v>
      </c>
      <c r="K106" s="10">
        <f>I106*J106</f>
        <v/>
      </c>
    </row>
    <row r="107">
      <c r="A107" s="5" t="n">
        <v>99</v>
      </c>
      <c r="B107" s="5" t="inlineStr">
        <is>
          <t>M1B1</t>
        </is>
      </c>
      <c r="C107" s="5" t="inlineStr">
        <is>
          <t>C1077-Q9580</t>
        </is>
      </c>
      <c r="D107" s="5" t="inlineStr">
        <is>
          <t>Morropón</t>
        </is>
      </c>
      <c r="E107" s="5" t="inlineStr">
        <is>
          <t>Buenos Aires</t>
        </is>
      </c>
      <c r="F107" s="5" t="inlineStr">
        <is>
          <t>Bosque estacionalmente seco de colina y montaña</t>
        </is>
      </c>
      <c r="G107" s="5" t="inlineStr">
        <is>
          <t>Bes-cm</t>
        </is>
      </c>
      <c r="H107" s="6" t="n">
        <v>188.797</v>
      </c>
      <c r="I107" s="7">
        <f>H107/SUMIF($B$9:$B$198,B107,$H$9:$H$198)</f>
        <v/>
      </c>
      <c r="J107" s="6" t="n">
        <v>188.797</v>
      </c>
      <c r="K107" s="6">
        <f>I107*J107</f>
        <v/>
      </c>
    </row>
    <row r="108">
      <c r="A108" s="9" t="n">
        <v>100</v>
      </c>
      <c r="B108" s="9" t="inlineStr">
        <is>
          <t>M6B10</t>
        </is>
      </c>
      <c r="C108" s="9" t="inlineStr">
        <is>
          <t>C1077-Q9566</t>
        </is>
      </c>
      <c r="D108" s="9" t="inlineStr">
        <is>
          <t>Morropón</t>
        </is>
      </c>
      <c r="E108" s="9" t="inlineStr">
        <is>
          <t>Buenos Aires</t>
        </is>
      </c>
      <c r="F108" s="9" t="inlineStr">
        <is>
          <t>Bosque estacionalmente seco de colina y montaña</t>
        </is>
      </c>
      <c r="G108" s="9" t="inlineStr">
        <is>
          <t>Bes-cm</t>
        </is>
      </c>
      <c r="H108" s="10" t="n">
        <v>249.89</v>
      </c>
      <c r="I108" s="11">
        <f>H108/SUMIF($B$9:$B$198,B108,$H$9:$H$198)</f>
        <v/>
      </c>
      <c r="J108" s="10" t="n">
        <v>249.89</v>
      </c>
      <c r="K108" s="10">
        <f>I108*J108</f>
        <v/>
      </c>
    </row>
    <row r="109">
      <c r="A109" s="5" t="n">
        <v>101</v>
      </c>
      <c r="B109" s="5" t="inlineStr">
        <is>
          <t>M6B2-1</t>
        </is>
      </c>
      <c r="C109" s="5" t="inlineStr">
        <is>
          <t>C1077-Q9566</t>
        </is>
      </c>
      <c r="D109" s="5" t="inlineStr">
        <is>
          <t>Morropón</t>
        </is>
      </c>
      <c r="E109" s="5" t="inlineStr">
        <is>
          <t>Buenos Aires</t>
        </is>
      </c>
      <c r="F109" s="5" t="inlineStr">
        <is>
          <t>Bosque estacionalmente seco de colina y montaña</t>
        </is>
      </c>
      <c r="G109" s="5" t="inlineStr">
        <is>
          <t>Bes-cm</t>
        </is>
      </c>
      <c r="H109" s="6" t="n">
        <v>514.359</v>
      </c>
      <c r="I109" s="7">
        <f>H109/SUMIF($B$9:$B$198,B109,$H$9:$H$198)</f>
        <v/>
      </c>
      <c r="J109" s="6" t="n">
        <v>514.359</v>
      </c>
      <c r="K109" s="6">
        <f>I109*J109</f>
        <v/>
      </c>
    </row>
    <row r="110">
      <c r="A110" s="9" t="n">
        <v>102</v>
      </c>
      <c r="B110" s="9" t="inlineStr">
        <is>
          <t>M6B2-2</t>
        </is>
      </c>
      <c r="C110" s="9" t="inlineStr">
        <is>
          <t>C1077-Q9566</t>
        </is>
      </c>
      <c r="D110" s="9" t="inlineStr">
        <is>
          <t>Morropón</t>
        </is>
      </c>
      <c r="E110" s="9" t="inlineStr">
        <is>
          <t>Buenos Aires</t>
        </is>
      </c>
      <c r="F110" s="9" t="inlineStr">
        <is>
          <t>Bosque estacionalmente seco de colina y montaña</t>
        </is>
      </c>
      <c r="G110" s="9" t="inlineStr">
        <is>
          <t>Bes-cm</t>
        </is>
      </c>
      <c r="H110" s="10" t="n">
        <v>333.011</v>
      </c>
      <c r="I110" s="11">
        <f>H110/SUMIF($B$9:$B$198,B110,$H$9:$H$198)</f>
        <v/>
      </c>
      <c r="J110" s="10" t="n">
        <v>333.011</v>
      </c>
      <c r="K110" s="10">
        <f>I110*J110</f>
        <v/>
      </c>
    </row>
    <row r="111">
      <c r="A111" s="5" t="n">
        <v>103</v>
      </c>
      <c r="B111" s="5" t="inlineStr">
        <is>
          <t>M6B2-3</t>
        </is>
      </c>
      <c r="C111" s="5" t="inlineStr">
        <is>
          <t>C1077-Q9566</t>
        </is>
      </c>
      <c r="D111" s="5" t="inlineStr">
        <is>
          <t>Morropón</t>
        </is>
      </c>
      <c r="E111" s="5" t="inlineStr">
        <is>
          <t>Buenos Aires</t>
        </is>
      </c>
      <c r="F111" s="5" t="inlineStr">
        <is>
          <t>Bosque estacionalmente seco de colina y montaña</t>
        </is>
      </c>
      <c r="G111" s="5" t="inlineStr">
        <is>
          <t>Bes-cm</t>
        </is>
      </c>
      <c r="H111" s="6" t="n">
        <v>160.671</v>
      </c>
      <c r="I111" s="7">
        <f>H111/SUMIF($B$9:$B$198,B111,$H$9:$H$198)</f>
        <v/>
      </c>
      <c r="J111" s="6" t="n">
        <v>160.978</v>
      </c>
      <c r="K111" s="6">
        <f>I111*J111</f>
        <v/>
      </c>
    </row>
    <row r="112">
      <c r="A112" s="9" t="n">
        <v>104</v>
      </c>
      <c r="B112" s="9" t="inlineStr">
        <is>
          <t>M6B2-3</t>
        </is>
      </c>
      <c r="C112" s="9" t="inlineStr">
        <is>
          <t>C1077-Q9566</t>
        </is>
      </c>
      <c r="D112" s="9" t="inlineStr">
        <is>
          <t>Morropón</t>
        </is>
      </c>
      <c r="E112" s="9" t="inlineStr">
        <is>
          <t>Buenos Aires</t>
        </is>
      </c>
      <c r="F112" s="9" t="inlineStr">
        <is>
          <t>Sin información de ecosistema</t>
        </is>
      </c>
      <c r="G112" s="9" t="inlineStr"/>
      <c r="H112" s="10" t="n">
        <v>0.307</v>
      </c>
      <c r="I112" s="11">
        <f>H112/SUMIF($B$9:$B$198,B112,$H$9:$H$198)</f>
        <v/>
      </c>
      <c r="J112" s="10" t="n">
        <v>160.978</v>
      </c>
      <c r="K112" s="10">
        <f>I112*J112</f>
        <v/>
      </c>
    </row>
    <row r="113">
      <c r="A113" s="5" t="n">
        <v>105</v>
      </c>
      <c r="B113" s="5" t="inlineStr">
        <is>
          <t>57</t>
        </is>
      </c>
      <c r="C113" s="5" t="inlineStr">
        <is>
          <t>C1086-Q9576</t>
        </is>
      </c>
      <c r="D113" s="5" t="inlineStr">
        <is>
          <t>Morropón</t>
        </is>
      </c>
      <c r="E113" s="5" t="inlineStr">
        <is>
          <t>Chalaco</t>
        </is>
      </c>
      <c r="F113" s="5" t="inlineStr">
        <is>
          <t>Matorral andino</t>
        </is>
      </c>
      <c r="G113" s="5" t="inlineStr">
        <is>
          <t>Ma</t>
        </is>
      </c>
      <c r="H113" s="6" t="n">
        <v>21.261</v>
      </c>
      <c r="I113" s="7">
        <f>H113/SUMIF($B$9:$B$198,B113,$H$9:$H$198)</f>
        <v/>
      </c>
      <c r="J113" s="6" t="n">
        <v>25.668</v>
      </c>
      <c r="K113" s="6">
        <f>I113*J113</f>
        <v/>
      </c>
    </row>
    <row r="114">
      <c r="A114" s="9" t="n">
        <v>106</v>
      </c>
      <c r="B114" s="9" t="inlineStr">
        <is>
          <t>57</t>
        </is>
      </c>
      <c r="C114" s="9" t="inlineStr">
        <is>
          <t>C1086-Q9576</t>
        </is>
      </c>
      <c r="D114" s="9" t="inlineStr">
        <is>
          <t>Morropón</t>
        </is>
      </c>
      <c r="E114" s="9" t="inlineStr">
        <is>
          <t>Chalaco</t>
        </is>
      </c>
      <c r="F114" s="9" t="inlineStr">
        <is>
          <t>Zona agrícola</t>
        </is>
      </c>
      <c r="G114" s="9" t="inlineStr">
        <is>
          <t>Agri</t>
        </is>
      </c>
      <c r="H114" s="10" t="n">
        <v>4.407</v>
      </c>
      <c r="I114" s="11">
        <f>H114/SUMIF($B$9:$B$198,B114,$H$9:$H$198)</f>
        <v/>
      </c>
      <c r="J114" s="10" t="n">
        <v>25.668</v>
      </c>
      <c r="K114" s="10">
        <f>I114*J114</f>
        <v/>
      </c>
    </row>
    <row r="115">
      <c r="A115" s="5" t="n">
        <v>107</v>
      </c>
      <c r="B115" s="5" t="inlineStr">
        <is>
          <t>59</t>
        </is>
      </c>
      <c r="C115" s="5" t="inlineStr">
        <is>
          <t>C1086-Q9570</t>
        </is>
      </c>
      <c r="D115" s="5" t="inlineStr">
        <is>
          <t>Morropón</t>
        </is>
      </c>
      <c r="E115" s="5" t="inlineStr">
        <is>
          <t>Chalaco</t>
        </is>
      </c>
      <c r="F115" s="5" t="inlineStr">
        <is>
          <t>Bosque relicto montano de vertiente occidental</t>
        </is>
      </c>
      <c r="G115" s="5" t="inlineStr">
        <is>
          <t>Br-mvoc</t>
        </is>
      </c>
      <c r="H115" s="6" t="n">
        <v>8.127000000000001</v>
      </c>
      <c r="I115" s="7">
        <f>H115/SUMIF($B$9:$B$198,B115,$H$9:$H$198)</f>
        <v/>
      </c>
      <c r="J115" s="6" t="n">
        <v>13.554</v>
      </c>
      <c r="K115" s="6">
        <f>I115*J115</f>
        <v/>
      </c>
    </row>
    <row r="116">
      <c r="A116" s="9" t="n">
        <v>108</v>
      </c>
      <c r="B116" s="9" t="inlineStr">
        <is>
          <t>59</t>
        </is>
      </c>
      <c r="C116" s="9" t="inlineStr">
        <is>
          <t>C1086-Q9570</t>
        </is>
      </c>
      <c r="D116" s="9" t="inlineStr">
        <is>
          <t>Morropón</t>
        </is>
      </c>
      <c r="E116" s="9" t="inlineStr">
        <is>
          <t>Chalaco</t>
        </is>
      </c>
      <c r="F116" s="9" t="inlineStr">
        <is>
          <t>Zona agrícola</t>
        </is>
      </c>
      <c r="G116" s="9" t="inlineStr">
        <is>
          <t>Agri</t>
        </is>
      </c>
      <c r="H116" s="10" t="n">
        <v>5.427</v>
      </c>
      <c r="I116" s="11">
        <f>H116/SUMIF($B$9:$B$198,B116,$H$9:$H$198)</f>
        <v/>
      </c>
      <c r="J116" s="10" t="n">
        <v>13.554</v>
      </c>
      <c r="K116" s="10">
        <f>I116*J116</f>
        <v/>
      </c>
    </row>
    <row r="117">
      <c r="A117" s="5" t="n">
        <v>109</v>
      </c>
      <c r="B117" s="5" t="inlineStr">
        <is>
          <t>2</t>
        </is>
      </c>
      <c r="C117" s="5" t="inlineStr">
        <is>
          <t>C1096-Q9558</t>
        </is>
      </c>
      <c r="D117" s="5" t="inlineStr">
        <is>
          <t>Morropón</t>
        </is>
      </c>
      <c r="E117" s="5" t="inlineStr">
        <is>
          <t>Chulucanas</t>
        </is>
      </c>
      <c r="F117" s="5" t="inlineStr">
        <is>
          <t>Bosque estacionalmente seco de colina y montaña</t>
        </is>
      </c>
      <c r="G117" s="5" t="inlineStr">
        <is>
          <t>Bes-cm</t>
        </is>
      </c>
      <c r="H117" s="6" t="n">
        <v>330.599</v>
      </c>
      <c r="I117" s="7">
        <f>H117/SUMIF($B$9:$B$198,B117,$H$9:$H$198)</f>
        <v/>
      </c>
      <c r="J117" s="6" t="n">
        <v>330.599</v>
      </c>
      <c r="K117" s="6">
        <f>I117*J117</f>
        <v/>
      </c>
    </row>
    <row r="118">
      <c r="A118" s="9" t="n">
        <v>110</v>
      </c>
      <c r="B118" s="9" t="inlineStr">
        <is>
          <t>22</t>
        </is>
      </c>
      <c r="C118" s="9" t="inlineStr">
        <is>
          <t>C1096-Q9556</t>
        </is>
      </c>
      <c r="D118" s="9" t="inlineStr">
        <is>
          <t>Morropón</t>
        </is>
      </c>
      <c r="E118" s="9" t="inlineStr">
        <is>
          <t>Chulucanas</t>
        </is>
      </c>
      <c r="F118" s="9" t="inlineStr">
        <is>
          <t>Bosque estacionalmente seco de colina y montaña</t>
        </is>
      </c>
      <c r="G118" s="9" t="inlineStr">
        <is>
          <t>Bes-cm</t>
        </is>
      </c>
      <c r="H118" s="10" t="n">
        <v>79.33</v>
      </c>
      <c r="I118" s="11">
        <f>H118/SUMIF($B$9:$B$198,B118,$H$9:$H$198)</f>
        <v/>
      </c>
      <c r="J118" s="10" t="n">
        <v>79.33</v>
      </c>
      <c r="K118" s="10">
        <f>I118*J118</f>
        <v/>
      </c>
    </row>
    <row r="119">
      <c r="A119" s="5" t="n">
        <v>111</v>
      </c>
      <c r="B119" s="5" t="inlineStr">
        <is>
          <t>M10B4</t>
        </is>
      </c>
      <c r="C119" s="5" t="inlineStr">
        <is>
          <t>C1096-Q9547</t>
        </is>
      </c>
      <c r="D119" s="5" t="inlineStr">
        <is>
          <t>Morropón</t>
        </is>
      </c>
      <c r="E119" s="5" t="inlineStr">
        <is>
          <t>Chulucanas</t>
        </is>
      </c>
      <c r="F119" s="5" t="inlineStr">
        <is>
          <t>Bosque estacionalmente seco de colina y montaña</t>
        </is>
      </c>
      <c r="G119" s="5" t="inlineStr">
        <is>
          <t>Bes-cm</t>
        </is>
      </c>
      <c r="H119" s="6" t="n">
        <v>68.458</v>
      </c>
      <c r="I119" s="7">
        <f>H119/SUMIF($B$9:$B$198,B119,$H$9:$H$198)</f>
        <v/>
      </c>
      <c r="J119" s="6" t="n">
        <v>68.887</v>
      </c>
      <c r="K119" s="6">
        <f>I119*J119</f>
        <v/>
      </c>
    </row>
    <row r="120">
      <c r="A120" s="9" t="n">
        <v>112</v>
      </c>
      <c r="B120" s="9" t="inlineStr">
        <is>
          <t>M10B4</t>
        </is>
      </c>
      <c r="C120" s="9" t="inlineStr">
        <is>
          <t>C1096-Q9547</t>
        </is>
      </c>
      <c r="D120" s="9" t="inlineStr">
        <is>
          <t>Morropón</t>
        </is>
      </c>
      <c r="E120" s="9" t="inlineStr">
        <is>
          <t>Chulucanas</t>
        </is>
      </c>
      <c r="F120" s="9" t="inlineStr">
        <is>
          <t>Sin información de ecosistema</t>
        </is>
      </c>
      <c r="G120" s="9" t="inlineStr"/>
      <c r="H120" s="10" t="n">
        <v>0.429</v>
      </c>
      <c r="I120" s="11">
        <f>H120/SUMIF($B$9:$B$198,B120,$H$9:$H$198)</f>
        <v/>
      </c>
      <c r="J120" s="10" t="n">
        <v>68.887</v>
      </c>
      <c r="K120" s="10">
        <f>I120*J120</f>
        <v/>
      </c>
    </row>
    <row r="121">
      <c r="A121" s="5" t="n">
        <v>113</v>
      </c>
      <c r="B121" s="5" t="inlineStr">
        <is>
          <t>M17B1</t>
        </is>
      </c>
      <c r="C121" s="5" t="inlineStr">
        <is>
          <t>C1096-Q9556</t>
        </is>
      </c>
      <c r="D121" s="5" t="inlineStr">
        <is>
          <t>Morropón</t>
        </is>
      </c>
      <c r="E121" s="5" t="inlineStr">
        <is>
          <t>Chulucanas</t>
        </is>
      </c>
      <c r="F121" s="5" t="inlineStr">
        <is>
          <t>Bosque estacionalmente seco de colina y montaña</t>
        </is>
      </c>
      <c r="G121" s="5" t="inlineStr">
        <is>
          <t>Bes-cm</t>
        </is>
      </c>
      <c r="H121" s="6" t="n">
        <v>42.449</v>
      </c>
      <c r="I121" s="7">
        <f>H121/SUMIF($B$9:$B$198,B121,$H$9:$H$198)</f>
        <v/>
      </c>
      <c r="J121" s="6" t="n">
        <v>42.449</v>
      </c>
      <c r="K121" s="6">
        <f>I121*J121</f>
        <v/>
      </c>
    </row>
    <row r="122">
      <c r="A122" s="9" t="n">
        <v>114</v>
      </c>
      <c r="B122" s="9" t="inlineStr">
        <is>
          <t>M17B4</t>
        </is>
      </c>
      <c r="C122" s="9" t="inlineStr">
        <is>
          <t>C1096-Q9556</t>
        </is>
      </c>
      <c r="D122" s="9" t="inlineStr">
        <is>
          <t>Morropón</t>
        </is>
      </c>
      <c r="E122" s="9" t="inlineStr">
        <is>
          <t>Chulucanas</t>
        </is>
      </c>
      <c r="F122" s="9" t="inlineStr">
        <is>
          <t>Bosque estacionalmente seco de colina y montaña</t>
        </is>
      </c>
      <c r="G122" s="9" t="inlineStr">
        <is>
          <t>Bes-cm</t>
        </is>
      </c>
      <c r="H122" s="10" t="n">
        <v>124.709</v>
      </c>
      <c r="I122" s="11">
        <f>H122/SUMIF($B$9:$B$198,B122,$H$9:$H$198)</f>
        <v/>
      </c>
      <c r="J122" s="10" t="n">
        <v>124.709</v>
      </c>
      <c r="K122" s="10">
        <f>I122*J122</f>
        <v/>
      </c>
    </row>
    <row r="123">
      <c r="A123" s="5" t="n">
        <v>115</v>
      </c>
      <c r="B123" s="5" t="inlineStr">
        <is>
          <t>M27B1</t>
        </is>
      </c>
      <c r="C123" s="5" t="inlineStr">
        <is>
          <t>C1096-Q9557</t>
        </is>
      </c>
      <c r="D123" s="5" t="inlineStr">
        <is>
          <t>Morropón</t>
        </is>
      </c>
      <c r="E123" s="5" t="inlineStr">
        <is>
          <t>Chulucanas</t>
        </is>
      </c>
      <c r="F123" s="5" t="inlineStr">
        <is>
          <t>Bosque estacionalmente seco de colina y montaña</t>
        </is>
      </c>
      <c r="G123" s="5" t="inlineStr">
        <is>
          <t>Bes-cm</t>
        </is>
      </c>
      <c r="H123" s="6" t="n">
        <v>443.83</v>
      </c>
      <c r="I123" s="7">
        <f>H123/SUMIF($B$9:$B$198,B123,$H$9:$H$198)</f>
        <v/>
      </c>
      <c r="J123" s="6" t="n">
        <v>448.804</v>
      </c>
      <c r="K123" s="6">
        <f>I123*J123</f>
        <v/>
      </c>
    </row>
    <row r="124">
      <c r="A124" s="9" t="n">
        <v>116</v>
      </c>
      <c r="B124" s="9" t="inlineStr">
        <is>
          <t>M27B1</t>
        </is>
      </c>
      <c r="C124" s="9" t="inlineStr">
        <is>
          <t>C1096-Q9557</t>
        </is>
      </c>
      <c r="D124" s="9" t="inlineStr">
        <is>
          <t>Morropón</t>
        </is>
      </c>
      <c r="E124" s="9" t="inlineStr">
        <is>
          <t>Chulucanas</t>
        </is>
      </c>
      <c r="F124" s="9" t="inlineStr">
        <is>
          <t>Zona agrícola</t>
        </is>
      </c>
      <c r="G124" s="9" t="inlineStr">
        <is>
          <t>Agri</t>
        </is>
      </c>
      <c r="H124" s="10" t="n">
        <v>4.974</v>
      </c>
      <c r="I124" s="11">
        <f>H124/SUMIF($B$9:$B$198,B124,$H$9:$H$198)</f>
        <v/>
      </c>
      <c r="J124" s="10" t="n">
        <v>448.804</v>
      </c>
      <c r="K124" s="10">
        <f>I124*J124</f>
        <v/>
      </c>
    </row>
    <row r="125">
      <c r="A125" s="5" t="n">
        <v>117</v>
      </c>
      <c r="B125" s="5" t="inlineStr">
        <is>
          <t>M9B1</t>
        </is>
      </c>
      <c r="C125" s="5" t="inlineStr">
        <is>
          <t>C1096-Q9545</t>
        </is>
      </c>
      <c r="D125" s="5" t="inlineStr">
        <is>
          <t>Morropón</t>
        </is>
      </c>
      <c r="E125" s="5" t="inlineStr">
        <is>
          <t>Chulucanas</t>
        </is>
      </c>
      <c r="F125" s="5" t="inlineStr">
        <is>
          <t>Bosque estacionalmente seco de colina y montaña</t>
        </is>
      </c>
      <c r="G125" s="5" t="inlineStr">
        <is>
          <t>Bes-cm</t>
        </is>
      </c>
      <c r="H125" s="6" t="n">
        <v>355.364</v>
      </c>
      <c r="I125" s="7">
        <f>H125/SUMIF($B$9:$B$198,B125,$H$9:$H$198)</f>
        <v/>
      </c>
      <c r="J125" s="6" t="n">
        <v>355.364</v>
      </c>
      <c r="K125" s="6">
        <f>I125*J125</f>
        <v/>
      </c>
    </row>
    <row r="126">
      <c r="A126" s="9" t="n">
        <v>118</v>
      </c>
      <c r="B126" s="9" t="inlineStr">
        <is>
          <t>M19B2</t>
        </is>
      </c>
      <c r="C126" s="9" t="inlineStr">
        <is>
          <t>C1086-Q9570</t>
        </is>
      </c>
      <c r="D126" s="9" t="inlineStr">
        <is>
          <t>Morropón</t>
        </is>
      </c>
      <c r="E126" s="9" t="inlineStr">
        <is>
          <t>Morropón</t>
        </is>
      </c>
      <c r="F126" s="9" t="inlineStr">
        <is>
          <t>Bosque estacionalmente seco de colina y montaña</t>
        </is>
      </c>
      <c r="G126" s="9" t="inlineStr">
        <is>
          <t>Bes-cm</t>
        </is>
      </c>
      <c r="H126" s="10" t="n">
        <v>74.372</v>
      </c>
      <c r="I126" s="11">
        <f>H126/SUMIF($B$9:$B$198,B126,$H$9:$H$198)</f>
        <v/>
      </c>
      <c r="J126" s="10" t="n">
        <v>74.372</v>
      </c>
      <c r="K126" s="10">
        <f>I126*J126</f>
        <v/>
      </c>
    </row>
    <row r="127">
      <c r="A127" s="5" t="n">
        <v>119</v>
      </c>
      <c r="B127" s="5" t="inlineStr">
        <is>
          <t>M32B3</t>
        </is>
      </c>
      <c r="C127" s="5" t="inlineStr">
        <is>
          <t>C1086-Q9569</t>
        </is>
      </c>
      <c r="D127" s="5" t="inlineStr">
        <is>
          <t>Morropón</t>
        </is>
      </c>
      <c r="E127" s="5" t="inlineStr">
        <is>
          <t>Morropón</t>
        </is>
      </c>
      <c r="F127" s="5" t="inlineStr">
        <is>
          <t>Bosque estacionalmente seco de colina y montaña</t>
        </is>
      </c>
      <c r="G127" s="5" t="inlineStr">
        <is>
          <t>Bes-cm</t>
        </is>
      </c>
      <c r="H127" s="6" t="n">
        <v>50.972</v>
      </c>
      <c r="I127" s="7">
        <f>H127/SUMIF($B$9:$B$198,B127,$H$9:$H$198)</f>
        <v/>
      </c>
      <c r="J127" s="6" t="n">
        <v>50.972</v>
      </c>
      <c r="K127" s="6">
        <f>I127*J127</f>
        <v/>
      </c>
    </row>
    <row r="128">
      <c r="A128" s="9" t="n">
        <v>120</v>
      </c>
      <c r="B128" s="9" t="inlineStr">
        <is>
          <t>M18B3</t>
        </is>
      </c>
      <c r="C128" s="9" t="inlineStr">
        <is>
          <t>C1077-Q9579</t>
        </is>
      </c>
      <c r="D128" s="9" t="inlineStr">
        <is>
          <t>Morropón</t>
        </is>
      </c>
      <c r="E128" s="9" t="inlineStr">
        <is>
          <t>Salitral</t>
        </is>
      </c>
      <c r="F128" s="9" t="inlineStr">
        <is>
          <t>Bosque estacionalmente seco de colina y montaña</t>
        </is>
      </c>
      <c r="G128" s="9" t="inlineStr">
        <is>
          <t>Bes-cm</t>
        </is>
      </c>
      <c r="H128" s="10" t="n">
        <v>373.699</v>
      </c>
      <c r="I128" s="11">
        <f>H128/SUMIF($B$9:$B$198,B128,$H$9:$H$198)</f>
        <v/>
      </c>
      <c r="J128" s="10" t="n">
        <v>373.807</v>
      </c>
      <c r="K128" s="10">
        <f>I128*J128</f>
        <v/>
      </c>
    </row>
    <row r="129">
      <c r="A129" s="5" t="n">
        <v>121</v>
      </c>
      <c r="B129" s="5" t="inlineStr">
        <is>
          <t>M18B3</t>
        </is>
      </c>
      <c r="C129" s="5" t="inlineStr">
        <is>
          <t>C1077-Q9579</t>
        </is>
      </c>
      <c r="D129" s="5" t="inlineStr">
        <is>
          <t>Morropón</t>
        </is>
      </c>
      <c r="E129" s="5" t="inlineStr">
        <is>
          <t>Salitral</t>
        </is>
      </c>
      <c r="F129" s="5" t="inlineStr">
        <is>
          <t>Zona agrícola</t>
        </is>
      </c>
      <c r="G129" s="5" t="inlineStr">
        <is>
          <t>Agri</t>
        </is>
      </c>
      <c r="H129" s="6" t="n">
        <v>0.108</v>
      </c>
      <c r="I129" s="7">
        <f>H129/SUMIF($B$9:$B$198,B129,$H$9:$H$198)</f>
        <v/>
      </c>
      <c r="J129" s="6" t="n">
        <v>373.807</v>
      </c>
      <c r="K129" s="6">
        <f>I129*J129</f>
        <v/>
      </c>
    </row>
    <row r="130">
      <c r="A130" s="9" t="n">
        <v>122</v>
      </c>
      <c r="B130" s="9" t="inlineStr">
        <is>
          <t>M2B1</t>
        </is>
      </c>
      <c r="C130" s="9" t="inlineStr">
        <is>
          <t>C1076-Q9584</t>
        </is>
      </c>
      <c r="D130" s="9" t="inlineStr">
        <is>
          <t>Morropón</t>
        </is>
      </c>
      <c r="E130" s="9" t="inlineStr">
        <is>
          <t>Salitral</t>
        </is>
      </c>
      <c r="F130" s="9" t="inlineStr">
        <is>
          <t>Bosque estacionalmente seco de colina y montaña</t>
        </is>
      </c>
      <c r="G130" s="9" t="inlineStr">
        <is>
          <t>Bes-cm</t>
        </is>
      </c>
      <c r="H130" s="10" t="n">
        <v>81.795</v>
      </c>
      <c r="I130" s="11">
        <f>H130/SUMIF($B$9:$B$198,B130,$H$9:$H$198)</f>
        <v/>
      </c>
      <c r="J130" s="10" t="n">
        <v>81.795</v>
      </c>
      <c r="K130" s="10">
        <f>I130*J130</f>
        <v/>
      </c>
    </row>
    <row r="131">
      <c r="A131" s="5" t="n">
        <v>123</v>
      </c>
      <c r="B131" s="5" t="inlineStr">
        <is>
          <t>M2B5</t>
        </is>
      </c>
      <c r="C131" s="5" t="inlineStr">
        <is>
          <t>C1076-Q9584</t>
        </is>
      </c>
      <c r="D131" s="5" t="inlineStr">
        <is>
          <t>Morropón</t>
        </is>
      </c>
      <c r="E131" s="5" t="inlineStr">
        <is>
          <t>Salitral</t>
        </is>
      </c>
      <c r="F131" s="5" t="inlineStr">
        <is>
          <t>Bosque estacionalmente seco de colina y montaña</t>
        </is>
      </c>
      <c r="G131" s="5" t="inlineStr">
        <is>
          <t>Bes-cm</t>
        </is>
      </c>
      <c r="H131" s="6" t="n">
        <v>30.37</v>
      </c>
      <c r="I131" s="7">
        <f>H131/SUMIF($B$9:$B$198,B131,$H$9:$H$198)</f>
        <v/>
      </c>
      <c r="J131" s="6" t="n">
        <v>30.909</v>
      </c>
      <c r="K131" s="6">
        <f>I131*J131</f>
        <v/>
      </c>
    </row>
    <row r="132">
      <c r="A132" s="9" t="n">
        <v>124</v>
      </c>
      <c r="B132" s="9" t="inlineStr">
        <is>
          <t>M2B5</t>
        </is>
      </c>
      <c r="C132" s="9" t="inlineStr">
        <is>
          <t>C1076-Q9584</t>
        </is>
      </c>
      <c r="D132" s="9" t="inlineStr">
        <is>
          <t>Morropón</t>
        </is>
      </c>
      <c r="E132" s="9" t="inlineStr">
        <is>
          <t>Salitral</t>
        </is>
      </c>
      <c r="F132" s="9" t="inlineStr">
        <is>
          <t>Zona agrícola</t>
        </is>
      </c>
      <c r="G132" s="9" t="inlineStr">
        <is>
          <t>Agri</t>
        </is>
      </c>
      <c r="H132" s="10" t="n">
        <v>0.538</v>
      </c>
      <c r="I132" s="11">
        <f>H132/SUMIF($B$9:$B$198,B132,$H$9:$H$198)</f>
        <v/>
      </c>
      <c r="J132" s="10" t="n">
        <v>30.909</v>
      </c>
      <c r="K132" s="10">
        <f>I132*J132</f>
        <v/>
      </c>
    </row>
    <row r="133">
      <c r="A133" s="5" t="n">
        <v>125</v>
      </c>
      <c r="B133" s="5" t="inlineStr">
        <is>
          <t>M3B1</t>
        </is>
      </c>
      <c r="C133" s="5" t="inlineStr">
        <is>
          <t>C1081-Q9582</t>
        </is>
      </c>
      <c r="D133" s="5" t="inlineStr">
        <is>
          <t>Morropón</t>
        </is>
      </c>
      <c r="E133" s="5" t="inlineStr">
        <is>
          <t>Salitral</t>
        </is>
      </c>
      <c r="F133" s="5" t="inlineStr">
        <is>
          <t>Bosque estacionalmente seco de colina y montaña</t>
        </is>
      </c>
      <c r="G133" s="5" t="inlineStr">
        <is>
          <t>Bes-cm</t>
        </is>
      </c>
      <c r="H133" s="6" t="n">
        <v>80.96899999999999</v>
      </c>
      <c r="I133" s="7">
        <f>H133/SUMIF($B$9:$B$198,B133,$H$9:$H$198)</f>
        <v/>
      </c>
      <c r="J133" s="6" t="n">
        <v>80.983</v>
      </c>
      <c r="K133" s="6">
        <f>I133*J133</f>
        <v/>
      </c>
    </row>
    <row r="134">
      <c r="A134" s="9" t="n">
        <v>126</v>
      </c>
      <c r="B134" s="9" t="inlineStr">
        <is>
          <t>M3B1</t>
        </is>
      </c>
      <c r="C134" s="9" t="inlineStr">
        <is>
          <t>C1081-Q9582</t>
        </is>
      </c>
      <c r="D134" s="9" t="inlineStr">
        <is>
          <t>Morropón</t>
        </is>
      </c>
      <c r="E134" s="9" t="inlineStr">
        <is>
          <t>Salitral</t>
        </is>
      </c>
      <c r="F134" s="9" t="inlineStr">
        <is>
          <t>Zona agrícola</t>
        </is>
      </c>
      <c r="G134" s="9" t="inlineStr">
        <is>
          <t>Agri</t>
        </is>
      </c>
      <c r="H134" s="10" t="n">
        <v>0.014</v>
      </c>
      <c r="I134" s="11">
        <f>H134/SUMIF($B$9:$B$198,B134,$H$9:$H$198)</f>
        <v/>
      </c>
      <c r="J134" s="10" t="n">
        <v>80.983</v>
      </c>
      <c r="K134" s="10">
        <f>I134*J134</f>
        <v/>
      </c>
    </row>
    <row r="135">
      <c r="A135" s="5" t="n">
        <v>127</v>
      </c>
      <c r="B135" s="5" t="inlineStr">
        <is>
          <t>M3B9</t>
        </is>
      </c>
      <c r="C135" s="5" t="inlineStr">
        <is>
          <t>C1081-Q9582</t>
        </is>
      </c>
      <c r="D135" s="5" t="inlineStr">
        <is>
          <t>Morropón</t>
        </is>
      </c>
      <c r="E135" s="5" t="inlineStr">
        <is>
          <t>Salitral</t>
        </is>
      </c>
      <c r="F135" s="5" t="inlineStr">
        <is>
          <t>Bosque estacionalmente seco de colina y montaña</t>
        </is>
      </c>
      <c r="G135" s="5" t="inlineStr">
        <is>
          <t>Bes-cm</t>
        </is>
      </c>
      <c r="H135" s="6" t="n">
        <v>294.101</v>
      </c>
      <c r="I135" s="7">
        <f>H135/SUMIF($B$9:$B$198,B135,$H$9:$H$198)</f>
        <v/>
      </c>
      <c r="J135" s="6" t="n">
        <v>294.204</v>
      </c>
      <c r="K135" s="6">
        <f>I135*J135</f>
        <v/>
      </c>
    </row>
    <row r="136">
      <c r="A136" s="9" t="n">
        <v>128</v>
      </c>
      <c r="B136" s="9" t="inlineStr">
        <is>
          <t>M3B9</t>
        </is>
      </c>
      <c r="C136" s="9" t="inlineStr">
        <is>
          <t>C1081-Q9582</t>
        </is>
      </c>
      <c r="D136" s="9" t="inlineStr">
        <is>
          <t>Morropón</t>
        </is>
      </c>
      <c r="E136" s="9" t="inlineStr">
        <is>
          <t>Salitral</t>
        </is>
      </c>
      <c r="F136" s="9" t="inlineStr">
        <is>
          <t>Zona agrícola</t>
        </is>
      </c>
      <c r="G136" s="9" t="inlineStr">
        <is>
          <t>Agri</t>
        </is>
      </c>
      <c r="H136" s="10" t="n">
        <v>0.103</v>
      </c>
      <c r="I136" s="11">
        <f>H136/SUMIF($B$9:$B$198,B136,$H$9:$H$198)</f>
        <v/>
      </c>
      <c r="J136" s="10" t="n">
        <v>294.204</v>
      </c>
      <c r="K136" s="10">
        <f>I136*J136</f>
        <v/>
      </c>
    </row>
    <row r="137">
      <c r="A137" s="5" t="n">
        <v>129</v>
      </c>
      <c r="B137" s="5" t="inlineStr">
        <is>
          <t>M7B1</t>
        </is>
      </c>
      <c r="C137" s="5" t="inlineStr">
        <is>
          <t>C1076-Q9581</t>
        </is>
      </c>
      <c r="D137" s="5" t="inlineStr">
        <is>
          <t>Morropón</t>
        </is>
      </c>
      <c r="E137" s="5" t="inlineStr">
        <is>
          <t>Salitral</t>
        </is>
      </c>
      <c r="F137" s="5" t="inlineStr">
        <is>
          <t>Bosque estacionalmente seco de colina y montaña</t>
        </is>
      </c>
      <c r="G137" s="5" t="inlineStr">
        <is>
          <t>Bes-cm</t>
        </is>
      </c>
      <c r="H137" s="6" t="n">
        <v>130.425</v>
      </c>
      <c r="I137" s="7">
        <f>H137/SUMIF($B$9:$B$198,B137,$H$9:$H$198)</f>
        <v/>
      </c>
      <c r="J137" s="6" t="n">
        <v>130.425</v>
      </c>
      <c r="K137" s="6">
        <f>I137*J137</f>
        <v/>
      </c>
    </row>
    <row r="138">
      <c r="A138" s="9" t="n">
        <v>130</v>
      </c>
      <c r="B138" s="9" t="inlineStr">
        <is>
          <t>M7B2</t>
        </is>
      </c>
      <c r="C138" s="9" t="inlineStr">
        <is>
          <t>C1076-Q9581</t>
        </is>
      </c>
      <c r="D138" s="9" t="inlineStr">
        <is>
          <t>Morropón</t>
        </is>
      </c>
      <c r="E138" s="9" t="inlineStr">
        <is>
          <t>Salitral</t>
        </is>
      </c>
      <c r="F138" s="9" t="inlineStr">
        <is>
          <t>Bosque estacionalmente seco de colina y montaña</t>
        </is>
      </c>
      <c r="G138" s="9" t="inlineStr">
        <is>
          <t>Bes-cm</t>
        </is>
      </c>
      <c r="H138" s="10" t="n">
        <v>114.41</v>
      </c>
      <c r="I138" s="11">
        <f>H138/SUMIF($B$9:$B$198,B138,$H$9:$H$198)</f>
        <v/>
      </c>
      <c r="J138" s="10" t="n">
        <v>115.379</v>
      </c>
      <c r="K138" s="10">
        <f>I138*J138</f>
        <v/>
      </c>
    </row>
    <row r="139">
      <c r="A139" s="5" t="n">
        <v>131</v>
      </c>
      <c r="B139" s="5" t="inlineStr">
        <is>
          <t>M7B2</t>
        </is>
      </c>
      <c r="C139" s="5" t="inlineStr">
        <is>
          <t>C1076-Q9581</t>
        </is>
      </c>
      <c r="D139" s="5" t="inlineStr">
        <is>
          <t>Morropón</t>
        </is>
      </c>
      <c r="E139" s="5" t="inlineStr">
        <is>
          <t>Salitral</t>
        </is>
      </c>
      <c r="F139" s="5" t="inlineStr">
        <is>
          <t>Zona agrícola</t>
        </is>
      </c>
      <c r="G139" s="5" t="inlineStr">
        <is>
          <t>Agri</t>
        </is>
      </c>
      <c r="H139" s="6" t="n">
        <v>0.969</v>
      </c>
      <c r="I139" s="7">
        <f>H139/SUMIF($B$9:$B$198,B139,$H$9:$H$198)</f>
        <v/>
      </c>
      <c r="J139" s="6" t="n">
        <v>115.379</v>
      </c>
      <c r="K139" s="6">
        <f>I139*J139</f>
        <v/>
      </c>
    </row>
    <row r="140">
      <c r="A140" s="9" t="n">
        <v>132</v>
      </c>
      <c r="B140" s="9" t="inlineStr">
        <is>
          <t>M7B3</t>
        </is>
      </c>
      <c r="C140" s="9" t="inlineStr">
        <is>
          <t>C1076-Q9581</t>
        </is>
      </c>
      <c r="D140" s="9" t="inlineStr">
        <is>
          <t>Morropón</t>
        </is>
      </c>
      <c r="E140" s="9" t="inlineStr">
        <is>
          <t>Salitral</t>
        </is>
      </c>
      <c r="F140" s="9" t="inlineStr">
        <is>
          <t>Bosque estacionalmente seco de colina y montaña</t>
        </is>
      </c>
      <c r="G140" s="9" t="inlineStr">
        <is>
          <t>Bes-cm</t>
        </is>
      </c>
      <c r="H140" s="10" t="n">
        <v>65.476</v>
      </c>
      <c r="I140" s="11">
        <f>H140/SUMIF($B$9:$B$198,B140,$H$9:$H$198)</f>
        <v/>
      </c>
      <c r="J140" s="10" t="n">
        <v>65.745</v>
      </c>
      <c r="K140" s="10">
        <f>I140*J140</f>
        <v/>
      </c>
    </row>
    <row r="141">
      <c r="A141" s="5" t="n">
        <v>133</v>
      </c>
      <c r="B141" s="5" t="inlineStr">
        <is>
          <t>M7B3</t>
        </is>
      </c>
      <c r="C141" s="5" t="inlineStr">
        <is>
          <t>C1076-Q9581</t>
        </is>
      </c>
      <c r="D141" s="5" t="inlineStr">
        <is>
          <t>Morropón</t>
        </is>
      </c>
      <c r="E141" s="5" t="inlineStr">
        <is>
          <t>Salitral</t>
        </is>
      </c>
      <c r="F141" s="5" t="inlineStr">
        <is>
          <t>Zona agrícola</t>
        </is>
      </c>
      <c r="G141" s="5" t="inlineStr">
        <is>
          <t>Agri</t>
        </is>
      </c>
      <c r="H141" s="6" t="n">
        <v>0.269</v>
      </c>
      <c r="I141" s="7">
        <f>H141/SUMIF($B$9:$B$198,B141,$H$9:$H$198)</f>
        <v/>
      </c>
      <c r="J141" s="6" t="n">
        <v>65.745</v>
      </c>
      <c r="K141" s="6">
        <f>I141*J141</f>
        <v/>
      </c>
    </row>
    <row r="142">
      <c r="A142" s="9" t="n">
        <v>134</v>
      </c>
      <c r="B142" s="9" t="inlineStr">
        <is>
          <t>M7B6</t>
        </is>
      </c>
      <c r="C142" s="9" t="inlineStr">
        <is>
          <t>C1076-Q9581</t>
        </is>
      </c>
      <c r="D142" s="9" t="inlineStr">
        <is>
          <t>Morropón</t>
        </is>
      </c>
      <c r="E142" s="9" t="inlineStr">
        <is>
          <t>Salitral</t>
        </is>
      </c>
      <c r="F142" s="9" t="inlineStr">
        <is>
          <t>Bosque estacionalmente seco de colina y montaña</t>
        </is>
      </c>
      <c r="G142" s="9" t="inlineStr">
        <is>
          <t>Bes-cm</t>
        </is>
      </c>
      <c r="H142" s="10" t="n">
        <v>91.285</v>
      </c>
      <c r="I142" s="11">
        <f>H142/SUMIF($B$9:$B$198,B142,$H$9:$H$198)</f>
        <v/>
      </c>
      <c r="J142" s="10" t="n">
        <v>91.285</v>
      </c>
      <c r="K142" s="10">
        <f>I142*J142</f>
        <v/>
      </c>
    </row>
    <row r="143">
      <c r="A143" s="5" t="n">
        <v>135</v>
      </c>
      <c r="B143" s="5" t="inlineStr">
        <is>
          <t>77</t>
        </is>
      </c>
      <c r="C143" s="5" t="inlineStr">
        <is>
          <t>C1081-Q9583</t>
        </is>
      </c>
      <c r="D143" s="5" t="inlineStr">
        <is>
          <t>Morropón</t>
        </is>
      </c>
      <c r="E143" s="5" t="inlineStr">
        <is>
          <t>San Juan de Bigote</t>
        </is>
      </c>
      <c r="F143" s="5" t="inlineStr">
        <is>
          <t>Bosque estacionalmente seco de colina y montaña</t>
        </is>
      </c>
      <c r="G143" s="5" t="inlineStr">
        <is>
          <t>Bes-cm</t>
        </is>
      </c>
      <c r="H143" s="6" t="n">
        <v>17.821</v>
      </c>
      <c r="I143" s="7">
        <f>H143/SUMIF($B$9:$B$198,B143,$H$9:$H$198)</f>
        <v/>
      </c>
      <c r="J143" s="6" t="n">
        <v>17.821</v>
      </c>
      <c r="K143" s="6">
        <f>I143*J143</f>
        <v/>
      </c>
    </row>
    <row r="144">
      <c r="A144" s="9" t="n">
        <v>136</v>
      </c>
      <c r="B144" s="9" t="inlineStr">
        <is>
          <t>83</t>
        </is>
      </c>
      <c r="C144" s="9" t="inlineStr">
        <is>
          <t>C1081-Q9583</t>
        </is>
      </c>
      <c r="D144" s="9" t="inlineStr">
        <is>
          <t>Morropón</t>
        </is>
      </c>
      <c r="E144" s="9" t="inlineStr">
        <is>
          <t>San Juan de Bigote</t>
        </is>
      </c>
      <c r="F144" s="9" t="inlineStr">
        <is>
          <t>Bosque estacionalmente seco de colina y montaña</t>
        </is>
      </c>
      <c r="G144" s="9" t="inlineStr">
        <is>
          <t>Bes-cm</t>
        </is>
      </c>
      <c r="H144" s="10" t="n">
        <v>24.344</v>
      </c>
      <c r="I144" s="11">
        <f>H144/SUMIF($B$9:$B$198,B144,$H$9:$H$198)</f>
        <v/>
      </c>
      <c r="J144" s="10" t="n">
        <v>24.344</v>
      </c>
      <c r="K144" s="10">
        <f>I144*J144</f>
        <v/>
      </c>
    </row>
    <row r="145">
      <c r="A145" s="5" t="n">
        <v>137</v>
      </c>
      <c r="B145" s="5" t="inlineStr">
        <is>
          <t>84</t>
        </is>
      </c>
      <c r="C145" s="5" t="inlineStr">
        <is>
          <t>C1081-Q9583</t>
        </is>
      </c>
      <c r="D145" s="5" t="inlineStr">
        <is>
          <t>Morropón</t>
        </is>
      </c>
      <c r="E145" s="5" t="inlineStr">
        <is>
          <t>San Juan de Bigote</t>
        </is>
      </c>
      <c r="F145" s="5" t="inlineStr">
        <is>
          <t>Bosque estacionalmente seco de colina y montaña</t>
        </is>
      </c>
      <c r="G145" s="5" t="inlineStr">
        <is>
          <t>Bes-cm</t>
        </is>
      </c>
      <c r="H145" s="6" t="n">
        <v>5.041</v>
      </c>
      <c r="I145" s="7">
        <f>H145/SUMIF($B$9:$B$198,B145,$H$9:$H$198)</f>
        <v/>
      </c>
      <c r="J145" s="6" t="n">
        <v>5.097</v>
      </c>
      <c r="K145" s="6">
        <f>I145*J145</f>
        <v/>
      </c>
    </row>
    <row r="146">
      <c r="A146" s="9" t="n">
        <v>138</v>
      </c>
      <c r="B146" s="9" t="inlineStr">
        <is>
          <t>84</t>
        </is>
      </c>
      <c r="C146" s="9" t="inlineStr">
        <is>
          <t>C1081-Q9583</t>
        </is>
      </c>
      <c r="D146" s="9" t="inlineStr">
        <is>
          <t>Morropón</t>
        </is>
      </c>
      <c r="E146" s="9" t="inlineStr">
        <is>
          <t>San Juan de Bigote</t>
        </is>
      </c>
      <c r="F146" s="9" t="inlineStr">
        <is>
          <t>Zona agrícola</t>
        </is>
      </c>
      <c r="G146" s="9" t="inlineStr">
        <is>
          <t>Agri</t>
        </is>
      </c>
      <c r="H146" s="10" t="n">
        <v>0.056</v>
      </c>
      <c r="I146" s="11">
        <f>H146/SUMIF($B$9:$B$198,B146,$H$9:$H$198)</f>
        <v/>
      </c>
      <c r="J146" s="10" t="n">
        <v>5.097</v>
      </c>
      <c r="K146" s="10">
        <f>I146*J146</f>
        <v/>
      </c>
    </row>
    <row r="147">
      <c r="A147" s="5" t="n">
        <v>139</v>
      </c>
      <c r="B147" s="5" t="inlineStr">
        <is>
          <t>85</t>
        </is>
      </c>
      <c r="C147" s="5" t="inlineStr">
        <is>
          <t>C1081-Q9583</t>
        </is>
      </c>
      <c r="D147" s="5" t="inlineStr">
        <is>
          <t>Morropón</t>
        </is>
      </c>
      <c r="E147" s="5" t="inlineStr">
        <is>
          <t>San Juan de Bigote</t>
        </is>
      </c>
      <c r="F147" s="5" t="inlineStr">
        <is>
          <t>Zona agrícola</t>
        </is>
      </c>
      <c r="G147" s="5" t="inlineStr">
        <is>
          <t>Agri</t>
        </is>
      </c>
      <c r="H147" s="6" t="n">
        <v>11.834</v>
      </c>
      <c r="I147" s="7">
        <f>H147/SUMIF($B$9:$B$198,B147,$H$9:$H$198)</f>
        <v/>
      </c>
      <c r="J147" s="6" t="n">
        <v>11.906</v>
      </c>
      <c r="K147" s="6">
        <f>I147*J147</f>
        <v/>
      </c>
    </row>
    <row r="148">
      <c r="A148" s="9" t="n">
        <v>140</v>
      </c>
      <c r="B148" s="9" t="inlineStr">
        <is>
          <t>85</t>
        </is>
      </c>
      <c r="C148" s="9" t="inlineStr">
        <is>
          <t>C1081-Q9583</t>
        </is>
      </c>
      <c r="D148" s="9" t="inlineStr">
        <is>
          <t>Morropón</t>
        </is>
      </c>
      <c r="E148" s="9" t="inlineStr">
        <is>
          <t>San Juan de Bigote</t>
        </is>
      </c>
      <c r="F148" s="9" t="inlineStr">
        <is>
          <t>Bosque estacionalmente seco de colina y montaña</t>
        </is>
      </c>
      <c r="G148" s="9" t="inlineStr">
        <is>
          <t>Bes-cm</t>
        </is>
      </c>
      <c r="H148" s="10" t="n">
        <v>0.07199999999999999</v>
      </c>
      <c r="I148" s="11">
        <f>H148/SUMIF($B$9:$B$198,B148,$H$9:$H$198)</f>
        <v/>
      </c>
      <c r="J148" s="10" t="n">
        <v>11.906</v>
      </c>
      <c r="K148" s="10">
        <f>I148*J148</f>
        <v/>
      </c>
    </row>
    <row r="149">
      <c r="A149" s="5" t="n">
        <v>141</v>
      </c>
      <c r="B149" s="5" t="inlineStr">
        <is>
          <t>86</t>
        </is>
      </c>
      <c r="C149" s="5" t="inlineStr">
        <is>
          <t>C1081-Q9583</t>
        </is>
      </c>
      <c r="D149" s="5" t="inlineStr">
        <is>
          <t>Morropón</t>
        </is>
      </c>
      <c r="E149" s="5" t="inlineStr">
        <is>
          <t>San Juan de Bigote</t>
        </is>
      </c>
      <c r="F149" s="5" t="inlineStr">
        <is>
          <t>Bosque estacionalmente seco de colina y montaña</t>
        </is>
      </c>
      <c r="G149" s="5" t="inlineStr">
        <is>
          <t>Bes-cm</t>
        </is>
      </c>
      <c r="H149" s="6" t="n">
        <v>30.001</v>
      </c>
      <c r="I149" s="7">
        <f>H149/SUMIF($B$9:$B$198,B149,$H$9:$H$198)</f>
        <v/>
      </c>
      <c r="J149" s="6" t="n">
        <v>30.001</v>
      </c>
      <c r="K149" s="6">
        <f>I149*J149</f>
        <v/>
      </c>
    </row>
    <row r="150">
      <c r="A150" s="9" t="n">
        <v>142</v>
      </c>
      <c r="B150" s="9" t="inlineStr">
        <is>
          <t>87</t>
        </is>
      </c>
      <c r="C150" s="9" t="inlineStr">
        <is>
          <t>C1081-Q9583</t>
        </is>
      </c>
      <c r="D150" s="9" t="inlineStr">
        <is>
          <t>Morropón</t>
        </is>
      </c>
      <c r="E150" s="9" t="inlineStr">
        <is>
          <t>San Juan de Bigote</t>
        </is>
      </c>
      <c r="F150" s="9" t="inlineStr">
        <is>
          <t>Bosque estacionalmente seco de colina y montaña</t>
        </is>
      </c>
      <c r="G150" s="9" t="inlineStr">
        <is>
          <t>Bes-cm</t>
        </is>
      </c>
      <c r="H150" s="10" t="n">
        <v>62.006</v>
      </c>
      <c r="I150" s="11">
        <f>H150/SUMIF($B$9:$B$198,B150,$H$9:$H$198)</f>
        <v/>
      </c>
      <c r="J150" s="10" t="n">
        <v>62.219</v>
      </c>
      <c r="K150" s="10">
        <f>I150*J150</f>
        <v/>
      </c>
    </row>
    <row r="151">
      <c r="A151" s="5" t="n">
        <v>143</v>
      </c>
      <c r="B151" s="5" t="inlineStr">
        <is>
          <t>87</t>
        </is>
      </c>
      <c r="C151" s="5" t="inlineStr">
        <is>
          <t>C1081-Q9583</t>
        </is>
      </c>
      <c r="D151" s="5" t="inlineStr">
        <is>
          <t>Morropón</t>
        </is>
      </c>
      <c r="E151" s="5" t="inlineStr">
        <is>
          <t>San Juan de Bigote</t>
        </is>
      </c>
      <c r="F151" s="5" t="inlineStr">
        <is>
          <t>Zona agrícola</t>
        </is>
      </c>
      <c r="G151" s="5" t="inlineStr">
        <is>
          <t>Agri</t>
        </is>
      </c>
      <c r="H151" s="6" t="n">
        <v>0.213</v>
      </c>
      <c r="I151" s="7">
        <f>H151/SUMIF($B$9:$B$198,B151,$H$9:$H$198)</f>
        <v/>
      </c>
      <c r="J151" s="6" t="n">
        <v>62.219</v>
      </c>
      <c r="K151" s="6">
        <f>I151*J151</f>
        <v/>
      </c>
    </row>
    <row r="152">
      <c r="A152" s="9" t="n">
        <v>144</v>
      </c>
      <c r="B152" s="9" t="inlineStr">
        <is>
          <t>M11B3</t>
        </is>
      </c>
      <c r="C152" s="9" t="inlineStr">
        <is>
          <t>C1081-Q9583</t>
        </is>
      </c>
      <c r="D152" s="9" t="inlineStr">
        <is>
          <t>Morropón</t>
        </is>
      </c>
      <c r="E152" s="9" t="inlineStr">
        <is>
          <t>San Juan de Bigote</t>
        </is>
      </c>
      <c r="F152" s="9" t="inlineStr">
        <is>
          <t>Bosque estacionalmente seco de colina y montaña</t>
        </is>
      </c>
      <c r="G152" s="9" t="inlineStr">
        <is>
          <t>Bes-cm</t>
        </is>
      </c>
      <c r="H152" s="10" t="n">
        <v>105.972</v>
      </c>
      <c r="I152" s="11">
        <f>H152/SUMIF($B$9:$B$198,B152,$H$9:$H$198)</f>
        <v/>
      </c>
      <c r="J152" s="10" t="n">
        <v>106.027</v>
      </c>
      <c r="K152" s="10">
        <f>I152*J152</f>
        <v/>
      </c>
    </row>
    <row r="153">
      <c r="A153" s="5" t="n">
        <v>145</v>
      </c>
      <c r="B153" s="5" t="inlineStr">
        <is>
          <t>M11B3</t>
        </is>
      </c>
      <c r="C153" s="5" t="inlineStr">
        <is>
          <t>C1081-Q9583</t>
        </is>
      </c>
      <c r="D153" s="5" t="inlineStr">
        <is>
          <t>Morropón</t>
        </is>
      </c>
      <c r="E153" s="5" t="inlineStr">
        <is>
          <t>San Juan de Bigote</t>
        </is>
      </c>
      <c r="F153" s="5" t="inlineStr">
        <is>
          <t>Zona agrícola</t>
        </is>
      </c>
      <c r="G153" s="5" t="inlineStr">
        <is>
          <t>Agri</t>
        </is>
      </c>
      <c r="H153" s="6" t="n">
        <v>0.055</v>
      </c>
      <c r="I153" s="7">
        <f>H153/SUMIF($B$9:$B$198,B153,$H$9:$H$198)</f>
        <v/>
      </c>
      <c r="J153" s="6" t="n">
        <v>106.027</v>
      </c>
      <c r="K153" s="6">
        <f>I153*J153</f>
        <v/>
      </c>
    </row>
    <row r="154">
      <c r="A154" s="9" t="n">
        <v>146</v>
      </c>
      <c r="B154" s="9" t="inlineStr">
        <is>
          <t>M3B3</t>
        </is>
      </c>
      <c r="C154" s="9" t="inlineStr">
        <is>
          <t>C1081-Q9582</t>
        </is>
      </c>
      <c r="D154" s="9" t="inlineStr">
        <is>
          <t>Morropón</t>
        </is>
      </c>
      <c r="E154" s="9" t="inlineStr">
        <is>
          <t>San Juan de Bigote</t>
        </is>
      </c>
      <c r="F154" s="9" t="inlineStr">
        <is>
          <t>Bosque estacionalmente seco de colina y montaña</t>
        </is>
      </c>
      <c r="G154" s="9" t="inlineStr">
        <is>
          <t>Bes-cm</t>
        </is>
      </c>
      <c r="H154" s="10" t="n">
        <v>84.825</v>
      </c>
      <c r="I154" s="11">
        <f>H154/SUMIF($B$9:$B$198,B154,$H$9:$H$198)</f>
        <v/>
      </c>
      <c r="J154" s="10" t="n">
        <v>84.825</v>
      </c>
      <c r="K154" s="10">
        <f>I154*J154</f>
        <v/>
      </c>
    </row>
    <row r="155">
      <c r="A155" s="5" t="n">
        <v>147</v>
      </c>
      <c r="B155" s="5" t="inlineStr">
        <is>
          <t>M3B5</t>
        </is>
      </c>
      <c r="C155" s="5" t="inlineStr">
        <is>
          <t>C1081-Q9582</t>
        </is>
      </c>
      <c r="D155" s="5" t="inlineStr">
        <is>
          <t>Morropón</t>
        </is>
      </c>
      <c r="E155" s="5" t="inlineStr">
        <is>
          <t>San Juan de Bigote</t>
        </is>
      </c>
      <c r="F155" s="5" t="inlineStr">
        <is>
          <t>Bosque estacionalmente seco de colina y montaña</t>
        </is>
      </c>
      <c r="G155" s="5" t="inlineStr">
        <is>
          <t>Bes-cm</t>
        </is>
      </c>
      <c r="H155" s="6" t="n">
        <v>52.743</v>
      </c>
      <c r="I155" s="7">
        <f>H155/SUMIF($B$9:$B$198,B155,$H$9:$H$198)</f>
        <v/>
      </c>
      <c r="J155" s="6" t="n">
        <v>52.743</v>
      </c>
      <c r="K155" s="6">
        <f>I155*J155</f>
        <v/>
      </c>
    </row>
    <row r="156">
      <c r="A156" s="9" t="n">
        <v>148</v>
      </c>
      <c r="B156" s="9" t="inlineStr">
        <is>
          <t>M3B6</t>
        </is>
      </c>
      <c r="C156" s="9" t="inlineStr">
        <is>
          <t>C1081-Q9582</t>
        </is>
      </c>
      <c r="D156" s="9" t="inlineStr">
        <is>
          <t>Morropón</t>
        </is>
      </c>
      <c r="E156" s="9" t="inlineStr">
        <is>
          <t>San Juan de Bigote</t>
        </is>
      </c>
      <c r="F156" s="9" t="inlineStr">
        <is>
          <t>Bosque estacionalmente seco de colina y montaña</t>
        </is>
      </c>
      <c r="G156" s="9" t="inlineStr">
        <is>
          <t>Bes-cm</t>
        </is>
      </c>
      <c r="H156" s="10" t="n">
        <v>60.352</v>
      </c>
      <c r="I156" s="11">
        <f>H156/SUMIF($B$9:$B$198,B156,$H$9:$H$198)</f>
        <v/>
      </c>
      <c r="J156" s="10" t="n">
        <v>60.352</v>
      </c>
      <c r="K156" s="10">
        <f>I156*J156</f>
        <v/>
      </c>
    </row>
    <row r="157">
      <c r="A157" s="5" t="n">
        <v>149</v>
      </c>
      <c r="B157" s="5" t="inlineStr">
        <is>
          <t>M3B7</t>
        </is>
      </c>
      <c r="C157" s="5" t="inlineStr">
        <is>
          <t>C1081-Q9582</t>
        </is>
      </c>
      <c r="D157" s="5" t="inlineStr">
        <is>
          <t>Morropón</t>
        </is>
      </c>
      <c r="E157" s="5" t="inlineStr">
        <is>
          <t>San Juan de Bigote</t>
        </is>
      </c>
      <c r="F157" s="5" t="inlineStr">
        <is>
          <t>Bosque estacionalmente seco de colina y montaña</t>
        </is>
      </c>
      <c r="G157" s="5" t="inlineStr">
        <is>
          <t>Bes-cm</t>
        </is>
      </c>
      <c r="H157" s="6" t="n">
        <v>122.88</v>
      </c>
      <c r="I157" s="7">
        <f>H157/SUMIF($B$9:$B$198,B157,$H$9:$H$198)</f>
        <v/>
      </c>
      <c r="J157" s="6" t="n">
        <v>122.946</v>
      </c>
      <c r="K157" s="6">
        <f>I157*J157</f>
        <v/>
      </c>
    </row>
    <row r="158">
      <c r="A158" s="9" t="n">
        <v>150</v>
      </c>
      <c r="B158" s="9" t="inlineStr">
        <is>
          <t>M3B7</t>
        </is>
      </c>
      <c r="C158" s="9" t="inlineStr">
        <is>
          <t>C1081-Q9582</t>
        </is>
      </c>
      <c r="D158" s="9" t="inlineStr">
        <is>
          <t>Morropón</t>
        </is>
      </c>
      <c r="E158" s="9" t="inlineStr">
        <is>
          <t>San Juan de Bigote</t>
        </is>
      </c>
      <c r="F158" s="9" t="inlineStr">
        <is>
          <t>Zona agrícola</t>
        </is>
      </c>
      <c r="G158" s="9" t="inlineStr">
        <is>
          <t>Agri</t>
        </is>
      </c>
      <c r="H158" s="10" t="n">
        <v>0.066</v>
      </c>
      <c r="I158" s="11">
        <f>H158/SUMIF($B$9:$B$198,B158,$H$9:$H$198)</f>
        <v/>
      </c>
      <c r="J158" s="10" t="n">
        <v>122.946</v>
      </c>
      <c r="K158" s="10">
        <f>I158*J158</f>
        <v/>
      </c>
    </row>
    <row r="159">
      <c r="A159" s="5" t="n">
        <v>151</v>
      </c>
      <c r="B159" s="5" t="inlineStr">
        <is>
          <t>M3B8</t>
        </is>
      </c>
      <c r="C159" s="5" t="inlineStr">
        <is>
          <t>C1081-Q9582</t>
        </is>
      </c>
      <c r="D159" s="5" t="inlineStr">
        <is>
          <t>Morropón</t>
        </is>
      </c>
      <c r="E159" s="5" t="inlineStr">
        <is>
          <t>San Juan de Bigote</t>
        </is>
      </c>
      <c r="F159" s="5" t="inlineStr">
        <is>
          <t>Bosque estacionalmente seco de colina y montaña</t>
        </is>
      </c>
      <c r="G159" s="5" t="inlineStr">
        <is>
          <t>Bes-cm</t>
        </is>
      </c>
      <c r="H159" s="6" t="n">
        <v>565.48</v>
      </c>
      <c r="I159" s="7">
        <f>H159/SUMIF($B$9:$B$198,B159,$H$9:$H$198)</f>
        <v/>
      </c>
      <c r="J159" s="6" t="n">
        <v>565.5839999999999</v>
      </c>
      <c r="K159" s="6">
        <f>I159*J159</f>
        <v/>
      </c>
    </row>
    <row r="160">
      <c r="A160" s="9" t="n">
        <v>152</v>
      </c>
      <c r="B160" s="9" t="inlineStr">
        <is>
          <t>M3B8</t>
        </is>
      </c>
      <c r="C160" s="9" t="inlineStr">
        <is>
          <t>C1081-Q9582</t>
        </is>
      </c>
      <c r="D160" s="9" t="inlineStr">
        <is>
          <t>Morropón</t>
        </is>
      </c>
      <c r="E160" s="9" t="inlineStr">
        <is>
          <t>San Juan de Bigote</t>
        </is>
      </c>
      <c r="F160" s="9" t="inlineStr">
        <is>
          <t>Zona agrícola</t>
        </is>
      </c>
      <c r="G160" s="9" t="inlineStr">
        <is>
          <t>Agri</t>
        </is>
      </c>
      <c r="H160" s="10" t="n">
        <v>0.104</v>
      </c>
      <c r="I160" s="11">
        <f>H160/SUMIF($B$9:$B$198,B160,$H$9:$H$198)</f>
        <v/>
      </c>
      <c r="J160" s="10" t="n">
        <v>565.5839999999999</v>
      </c>
      <c r="K160" s="10">
        <f>I160*J160</f>
        <v/>
      </c>
    </row>
    <row r="161">
      <c r="A161" s="5" t="n">
        <v>153</v>
      </c>
      <c r="B161" s="5" t="inlineStr">
        <is>
          <t>14</t>
        </is>
      </c>
      <c r="C161" s="5" t="inlineStr">
        <is>
          <t>C1086-Q9570</t>
        </is>
      </c>
      <c r="D161" s="5" t="inlineStr">
        <is>
          <t>Morropón</t>
        </is>
      </c>
      <c r="E161" s="5" t="inlineStr">
        <is>
          <t>Santa Catalina de Mossa</t>
        </is>
      </c>
      <c r="F161" s="5" t="inlineStr">
        <is>
          <t>Matorral andino</t>
        </is>
      </c>
      <c r="G161" s="5" t="inlineStr">
        <is>
          <t>Ma</t>
        </is>
      </c>
      <c r="H161" s="6" t="n">
        <v>69.658</v>
      </c>
      <c r="I161" s="7">
        <f>H161/SUMIF($B$9:$B$198,B161,$H$9:$H$198)</f>
        <v/>
      </c>
      <c r="J161" s="6" t="n">
        <v>92.905</v>
      </c>
      <c r="K161" s="6">
        <f>I161*J161</f>
        <v/>
      </c>
    </row>
    <row r="162">
      <c r="A162" s="9" t="n">
        <v>154</v>
      </c>
      <c r="B162" s="9" t="inlineStr">
        <is>
          <t>14</t>
        </is>
      </c>
      <c r="C162" s="9" t="inlineStr">
        <is>
          <t>C1086-Q9570</t>
        </is>
      </c>
      <c r="D162" s="9" t="inlineStr">
        <is>
          <t>Morropón</t>
        </is>
      </c>
      <c r="E162" s="9" t="inlineStr">
        <is>
          <t>Santa Catalina de Mossa</t>
        </is>
      </c>
      <c r="F162" s="9" t="inlineStr">
        <is>
          <t>Zona agrícola</t>
        </is>
      </c>
      <c r="G162" s="9" t="inlineStr">
        <is>
          <t>Agri</t>
        </is>
      </c>
      <c r="H162" s="10" t="n">
        <v>23.247</v>
      </c>
      <c r="I162" s="11">
        <f>H162/SUMIF($B$9:$B$198,B162,$H$9:$H$198)</f>
        <v/>
      </c>
      <c r="J162" s="10" t="n">
        <v>92.905</v>
      </c>
      <c r="K162" s="10">
        <f>I162*J162</f>
        <v/>
      </c>
    </row>
    <row r="163">
      <c r="A163" s="5" t="n">
        <v>155</v>
      </c>
      <c r="B163" s="5" t="inlineStr">
        <is>
          <t>42</t>
        </is>
      </c>
      <c r="C163" s="5" t="inlineStr">
        <is>
          <t>C1086-Q9570</t>
        </is>
      </c>
      <c r="D163" s="5" t="inlineStr">
        <is>
          <t>Morropón</t>
        </is>
      </c>
      <c r="E163" s="5" t="inlineStr">
        <is>
          <t>Santa Catalina de Mossa</t>
        </is>
      </c>
      <c r="F163" s="5" t="inlineStr">
        <is>
          <t>Bosque estacionalmente seco de colina y montaña</t>
        </is>
      </c>
      <c r="G163" s="5" t="inlineStr">
        <is>
          <t>Bes-cm</t>
        </is>
      </c>
      <c r="H163" s="6" t="n">
        <v>51.833</v>
      </c>
      <c r="I163" s="7">
        <f>H163/SUMIF($B$9:$B$198,B163,$H$9:$H$198)</f>
        <v/>
      </c>
      <c r="J163" s="6" t="n">
        <v>80.616</v>
      </c>
      <c r="K163" s="6">
        <f>I163*J163</f>
        <v/>
      </c>
    </row>
    <row r="164">
      <c r="A164" s="9" t="n">
        <v>156</v>
      </c>
      <c r="B164" s="9" t="inlineStr">
        <is>
          <t>42</t>
        </is>
      </c>
      <c r="C164" s="9" t="inlineStr">
        <is>
          <t>C1086-Q9570</t>
        </is>
      </c>
      <c r="D164" s="9" t="inlineStr">
        <is>
          <t>Morropón</t>
        </is>
      </c>
      <c r="E164" s="9" t="inlineStr">
        <is>
          <t>Santa Catalina de Mossa</t>
        </is>
      </c>
      <c r="F164" s="9" t="inlineStr">
        <is>
          <t>Zona agrícola</t>
        </is>
      </c>
      <c r="G164" s="9" t="inlineStr">
        <is>
          <t>Agri</t>
        </is>
      </c>
      <c r="H164" s="10" t="n">
        <v>28.782</v>
      </c>
      <c r="I164" s="11">
        <f>H164/SUMIF($B$9:$B$198,B164,$H$9:$H$198)</f>
        <v/>
      </c>
      <c r="J164" s="10" t="n">
        <v>80.616</v>
      </c>
      <c r="K164" s="10">
        <f>I164*J164</f>
        <v/>
      </c>
    </row>
    <row r="165">
      <c r="A165" s="5" t="n">
        <v>157</v>
      </c>
      <c r="B165" s="5" t="inlineStr">
        <is>
          <t>58</t>
        </is>
      </c>
      <c r="C165" s="5" t="inlineStr">
        <is>
          <t>C1086-Q9569</t>
        </is>
      </c>
      <c r="D165" s="5" t="inlineStr">
        <is>
          <t>Morropón</t>
        </is>
      </c>
      <c r="E165" s="5" t="inlineStr">
        <is>
          <t>Santa Catalina de Mossa</t>
        </is>
      </c>
      <c r="F165" s="5" t="inlineStr">
        <is>
          <t>Bosque estacionalmente seco de colina y montaña</t>
        </is>
      </c>
      <c r="G165" s="5" t="inlineStr">
        <is>
          <t>Bes-cm</t>
        </is>
      </c>
      <c r="H165" s="6" t="n">
        <v>11.475</v>
      </c>
      <c r="I165" s="7">
        <f>H165/SUMIF($B$9:$B$198,B165,$H$9:$H$198)</f>
        <v/>
      </c>
      <c r="J165" s="6" t="n">
        <v>11.475</v>
      </c>
      <c r="K165" s="6">
        <f>I165*J165</f>
        <v/>
      </c>
    </row>
    <row r="166">
      <c r="A166" s="9" t="n">
        <v>158</v>
      </c>
      <c r="B166" s="9" t="inlineStr">
        <is>
          <t>M36B2</t>
        </is>
      </c>
      <c r="C166" s="9" t="inlineStr">
        <is>
          <t>C1086-Q9576</t>
        </is>
      </c>
      <c r="D166" s="9" t="inlineStr">
        <is>
          <t>Morropón</t>
        </is>
      </c>
      <c r="E166" s="9" t="inlineStr">
        <is>
          <t>Santa Catalina de Mossa</t>
        </is>
      </c>
      <c r="F166" s="9" t="inlineStr">
        <is>
          <t>Zona agrícola</t>
        </is>
      </c>
      <c r="G166" s="9" t="inlineStr">
        <is>
          <t>Agri</t>
        </is>
      </c>
      <c r="H166" s="10" t="n">
        <v>28.19</v>
      </c>
      <c r="I166" s="11">
        <f>H166/SUMIF($B$9:$B$198,B166,$H$9:$H$198)</f>
        <v/>
      </c>
      <c r="J166" s="10" t="n">
        <v>28.19</v>
      </c>
      <c r="K166" s="10">
        <f>I166*J166</f>
        <v/>
      </c>
    </row>
    <row r="167">
      <c r="A167" s="5" t="n">
        <v>159</v>
      </c>
      <c r="B167" s="5" t="inlineStr">
        <is>
          <t>11</t>
        </is>
      </c>
      <c r="C167" s="5" t="inlineStr">
        <is>
          <t>C1086-Q9570</t>
        </is>
      </c>
      <c r="D167" s="5" t="inlineStr">
        <is>
          <t>Morropón</t>
        </is>
      </c>
      <c r="E167" s="5" t="inlineStr">
        <is>
          <t>Santo Domingo</t>
        </is>
      </c>
      <c r="F167" s="5" t="inlineStr">
        <is>
          <t>Zona agrícola</t>
        </is>
      </c>
      <c r="G167" s="5" t="inlineStr">
        <is>
          <t>Agri</t>
        </is>
      </c>
      <c r="H167" s="6" t="n">
        <v>80.035</v>
      </c>
      <c r="I167" s="7">
        <f>H167/SUMIF($B$9:$B$198,B167,$H$9:$H$198)</f>
        <v/>
      </c>
      <c r="J167" s="6" t="n">
        <v>103.948</v>
      </c>
      <c r="K167" s="6">
        <f>I167*J167</f>
        <v/>
      </c>
    </row>
    <row r="168">
      <c r="A168" s="9" t="n">
        <v>160</v>
      </c>
      <c r="B168" s="9" t="inlineStr">
        <is>
          <t>11</t>
        </is>
      </c>
      <c r="C168" s="9" t="inlineStr">
        <is>
          <t>C1086-Q9570</t>
        </is>
      </c>
      <c r="D168" s="9" t="inlineStr">
        <is>
          <t>Morropón</t>
        </is>
      </c>
      <c r="E168" s="9" t="inlineStr">
        <is>
          <t>Santo Domingo</t>
        </is>
      </c>
      <c r="F168" s="9" t="inlineStr">
        <is>
          <t>Matorral andino</t>
        </is>
      </c>
      <c r="G168" s="9" t="inlineStr">
        <is>
          <t>Ma</t>
        </is>
      </c>
      <c r="H168" s="10" t="n">
        <v>23.912</v>
      </c>
      <c r="I168" s="11">
        <f>H168/SUMIF($B$9:$B$198,B168,$H$9:$H$198)</f>
        <v/>
      </c>
      <c r="J168" s="10" t="n">
        <v>103.948</v>
      </c>
      <c r="K168" s="10">
        <f>I168*J168</f>
        <v/>
      </c>
    </row>
    <row r="169">
      <c r="A169" s="5" t="n">
        <v>161</v>
      </c>
      <c r="B169" s="5" t="inlineStr">
        <is>
          <t>12</t>
        </is>
      </c>
      <c r="C169" s="5" t="inlineStr">
        <is>
          <t>C1086-Q9570</t>
        </is>
      </c>
      <c r="D169" s="5" t="inlineStr">
        <is>
          <t>Morropón</t>
        </is>
      </c>
      <c r="E169" s="5" t="inlineStr">
        <is>
          <t>Santo Domingo</t>
        </is>
      </c>
      <c r="F169" s="5" t="inlineStr">
        <is>
          <t>Zona agrícola</t>
        </is>
      </c>
      <c r="G169" s="5" t="inlineStr">
        <is>
          <t>Agri</t>
        </is>
      </c>
      <c r="H169" s="6" t="n">
        <v>94.905</v>
      </c>
      <c r="I169" s="7">
        <f>H169/SUMIF($B$9:$B$198,B169,$H$9:$H$198)</f>
        <v/>
      </c>
      <c r="J169" s="6" t="n">
        <v>119.538</v>
      </c>
      <c r="K169" s="6">
        <f>I169*J169</f>
        <v/>
      </c>
    </row>
    <row r="170">
      <c r="A170" s="9" t="n">
        <v>162</v>
      </c>
      <c r="B170" s="9" t="inlineStr">
        <is>
          <t>12</t>
        </is>
      </c>
      <c r="C170" s="9" t="inlineStr">
        <is>
          <t>C1086-Q9570</t>
        </is>
      </c>
      <c r="D170" s="9" t="inlineStr">
        <is>
          <t>Morropón</t>
        </is>
      </c>
      <c r="E170" s="9" t="inlineStr">
        <is>
          <t>Santo Domingo</t>
        </is>
      </c>
      <c r="F170" s="9" t="inlineStr">
        <is>
          <t>Bosque relicto montano de vertiente occidental</t>
        </is>
      </c>
      <c r="G170" s="9" t="inlineStr">
        <is>
          <t>Br-mvoc</t>
        </is>
      </c>
      <c r="H170" s="10" t="n">
        <v>24.633</v>
      </c>
      <c r="I170" s="11">
        <f>H170/SUMIF($B$9:$B$198,B170,$H$9:$H$198)</f>
        <v/>
      </c>
      <c r="J170" s="10" t="n">
        <v>119.538</v>
      </c>
      <c r="K170" s="10">
        <f>I170*J170</f>
        <v/>
      </c>
    </row>
    <row r="171">
      <c r="A171" s="5" t="n">
        <v>163</v>
      </c>
      <c r="B171" s="5" t="inlineStr">
        <is>
          <t>13</t>
        </is>
      </c>
      <c r="C171" s="5" t="inlineStr">
        <is>
          <t>C1096-Q9564</t>
        </is>
      </c>
      <c r="D171" s="5" t="inlineStr">
        <is>
          <t>Morropón</t>
        </is>
      </c>
      <c r="E171" s="5" t="inlineStr">
        <is>
          <t>Santo Domingo</t>
        </is>
      </c>
      <c r="F171" s="5" t="inlineStr">
        <is>
          <t>Matorral andino</t>
        </is>
      </c>
      <c r="G171" s="5" t="inlineStr">
        <is>
          <t>Ma</t>
        </is>
      </c>
      <c r="H171" s="6" t="n">
        <v>60.355</v>
      </c>
      <c r="I171" s="7">
        <f>H171/SUMIF($B$9:$B$198,B171,$H$9:$H$198)</f>
        <v/>
      </c>
      <c r="J171" s="6" t="n">
        <v>100.514</v>
      </c>
      <c r="K171" s="6">
        <f>I171*J171</f>
        <v/>
      </c>
    </row>
    <row r="172">
      <c r="A172" s="9" t="n">
        <v>164</v>
      </c>
      <c r="B172" s="9" t="inlineStr">
        <is>
          <t>13</t>
        </is>
      </c>
      <c r="C172" s="9" t="inlineStr">
        <is>
          <t>C1096-Q9564</t>
        </is>
      </c>
      <c r="D172" s="9" t="inlineStr">
        <is>
          <t>Morropón</t>
        </is>
      </c>
      <c r="E172" s="9" t="inlineStr">
        <is>
          <t>Santo Domingo</t>
        </is>
      </c>
      <c r="F172" s="9" t="inlineStr">
        <is>
          <t>Bosque relicto montano de vertiente occidental</t>
        </is>
      </c>
      <c r="G172" s="9" t="inlineStr">
        <is>
          <t>Br-mvoc</t>
        </is>
      </c>
      <c r="H172" s="10" t="n">
        <v>26.22</v>
      </c>
      <c r="I172" s="11">
        <f>H172/SUMIF($B$9:$B$198,B172,$H$9:$H$198)</f>
        <v/>
      </c>
      <c r="J172" s="10" t="n">
        <v>100.514</v>
      </c>
      <c r="K172" s="10">
        <f>I172*J172</f>
        <v/>
      </c>
    </row>
    <row r="173">
      <c r="A173" s="5" t="n">
        <v>165</v>
      </c>
      <c r="B173" s="5" t="inlineStr">
        <is>
          <t>13</t>
        </is>
      </c>
      <c r="C173" s="5" t="inlineStr">
        <is>
          <t>C1096-Q9564</t>
        </is>
      </c>
      <c r="D173" s="5" t="inlineStr">
        <is>
          <t>Morropón</t>
        </is>
      </c>
      <c r="E173" s="5" t="inlineStr">
        <is>
          <t>Santo Domingo</t>
        </is>
      </c>
      <c r="F173" s="5" t="inlineStr">
        <is>
          <t>Zona agrícola</t>
        </is>
      </c>
      <c r="G173" s="5" t="inlineStr">
        <is>
          <t>Agri</t>
        </is>
      </c>
      <c r="H173" s="6" t="n">
        <v>13.939</v>
      </c>
      <c r="I173" s="7">
        <f>H173/SUMIF($B$9:$B$198,B173,$H$9:$H$198)</f>
        <v/>
      </c>
      <c r="J173" s="6" t="n">
        <v>100.514</v>
      </c>
      <c r="K173" s="6">
        <f>I173*J173</f>
        <v/>
      </c>
    </row>
    <row r="174">
      <c r="A174" s="9" t="n">
        <v>166</v>
      </c>
      <c r="B174" s="9" t="inlineStr">
        <is>
          <t>15</t>
        </is>
      </c>
      <c r="C174" s="9" t="inlineStr">
        <is>
          <t>C1086-Q9570</t>
        </is>
      </c>
      <c r="D174" s="9" t="inlineStr">
        <is>
          <t>Morropón</t>
        </is>
      </c>
      <c r="E174" s="9" t="inlineStr">
        <is>
          <t>Santo Domingo</t>
        </is>
      </c>
      <c r="F174" s="9" t="inlineStr">
        <is>
          <t>Zona agrícola</t>
        </is>
      </c>
      <c r="G174" s="9" t="inlineStr">
        <is>
          <t>Agri</t>
        </is>
      </c>
      <c r="H174" s="10" t="n">
        <v>82.46299999999999</v>
      </c>
      <c r="I174" s="11">
        <f>H174/SUMIF($B$9:$B$198,B174,$H$9:$H$198)</f>
        <v/>
      </c>
      <c r="J174" s="10" t="n">
        <v>86.14700000000001</v>
      </c>
      <c r="K174" s="10">
        <f>I174*J174</f>
        <v/>
      </c>
    </row>
    <row r="175">
      <c r="A175" s="5" t="n">
        <v>167</v>
      </c>
      <c r="B175" s="5" t="inlineStr">
        <is>
          <t>15</t>
        </is>
      </c>
      <c r="C175" s="5" t="inlineStr">
        <is>
          <t>C1086-Q9570</t>
        </is>
      </c>
      <c r="D175" s="5" t="inlineStr">
        <is>
          <t>Morropón</t>
        </is>
      </c>
      <c r="E175" s="5" t="inlineStr">
        <is>
          <t>Santo Domingo</t>
        </is>
      </c>
      <c r="F175" s="5" t="inlineStr">
        <is>
          <t>Matorral andino</t>
        </is>
      </c>
      <c r="G175" s="5" t="inlineStr">
        <is>
          <t>Ma</t>
        </is>
      </c>
      <c r="H175" s="6" t="n">
        <v>3.684</v>
      </c>
      <c r="I175" s="7">
        <f>H175/SUMIF($B$9:$B$198,B175,$H$9:$H$198)</f>
        <v/>
      </c>
      <c r="J175" s="6" t="n">
        <v>86.14700000000001</v>
      </c>
      <c r="K175" s="6">
        <f>I175*J175</f>
        <v/>
      </c>
    </row>
    <row r="176">
      <c r="A176" s="9" t="n">
        <v>168</v>
      </c>
      <c r="B176" s="9" t="inlineStr">
        <is>
          <t>17</t>
        </is>
      </c>
      <c r="C176" s="9" t="inlineStr">
        <is>
          <t>C1086-Q9570</t>
        </is>
      </c>
      <c r="D176" s="9" t="inlineStr">
        <is>
          <t>Morropón</t>
        </is>
      </c>
      <c r="E176" s="9" t="inlineStr">
        <is>
          <t>Santo Domingo</t>
        </is>
      </c>
      <c r="F176" s="9" t="inlineStr">
        <is>
          <t>Zona agrícola</t>
        </is>
      </c>
      <c r="G176" s="9" t="inlineStr">
        <is>
          <t>Agri</t>
        </is>
      </c>
      <c r="H176" s="10" t="n">
        <v>93.736</v>
      </c>
      <c r="I176" s="11">
        <f>H176/SUMIF($B$9:$B$198,B176,$H$9:$H$198)</f>
        <v/>
      </c>
      <c r="J176" s="10" t="n">
        <v>96.07899999999999</v>
      </c>
      <c r="K176" s="10">
        <f>I176*J176</f>
        <v/>
      </c>
    </row>
    <row r="177">
      <c r="A177" s="5" t="n">
        <v>169</v>
      </c>
      <c r="B177" s="5" t="inlineStr">
        <is>
          <t>17</t>
        </is>
      </c>
      <c r="C177" s="5" t="inlineStr">
        <is>
          <t>C1086-Q9570</t>
        </is>
      </c>
      <c r="D177" s="5" t="inlineStr">
        <is>
          <t>Morropón</t>
        </is>
      </c>
      <c r="E177" s="5" t="inlineStr">
        <is>
          <t>Santo Domingo</t>
        </is>
      </c>
      <c r="F177" s="5" t="inlineStr">
        <is>
          <t>Matorral andino</t>
        </is>
      </c>
      <c r="G177" s="5" t="inlineStr">
        <is>
          <t>Ma</t>
        </is>
      </c>
      <c r="H177" s="6" t="n">
        <v>2.344</v>
      </c>
      <c r="I177" s="7">
        <f>H177/SUMIF($B$9:$B$198,B177,$H$9:$H$198)</f>
        <v/>
      </c>
      <c r="J177" s="6" t="n">
        <v>96.07899999999999</v>
      </c>
      <c r="K177" s="6">
        <f>I177*J177</f>
        <v/>
      </c>
    </row>
    <row r="178">
      <c r="A178" s="9" t="n">
        <v>170</v>
      </c>
      <c r="B178" s="9" t="inlineStr">
        <is>
          <t>23</t>
        </is>
      </c>
      <c r="C178" s="9" t="inlineStr">
        <is>
          <t>C1086-Q9570</t>
        </is>
      </c>
      <c r="D178" s="9" t="inlineStr">
        <is>
          <t>Morropón</t>
        </is>
      </c>
      <c r="E178" s="9" t="inlineStr">
        <is>
          <t>Santo Domingo</t>
        </is>
      </c>
      <c r="F178" s="9" t="inlineStr">
        <is>
          <t>Matorral andino</t>
        </is>
      </c>
      <c r="G178" s="9" t="inlineStr">
        <is>
          <t>Ma</t>
        </is>
      </c>
      <c r="H178" s="10" t="n">
        <v>52.353</v>
      </c>
      <c r="I178" s="11">
        <f>H178/SUMIF($B$9:$B$198,B178,$H$9:$H$198)</f>
        <v/>
      </c>
      <c r="J178" s="10" t="n">
        <v>81.776</v>
      </c>
      <c r="K178" s="10">
        <f>I178*J178</f>
        <v/>
      </c>
    </row>
    <row r="179">
      <c r="A179" s="5" t="n">
        <v>171</v>
      </c>
      <c r="B179" s="5" t="inlineStr">
        <is>
          <t>23</t>
        </is>
      </c>
      <c r="C179" s="5" t="inlineStr">
        <is>
          <t>C1086-Q9570</t>
        </is>
      </c>
      <c r="D179" s="5" t="inlineStr">
        <is>
          <t>Morropón</t>
        </is>
      </c>
      <c r="E179" s="5" t="inlineStr">
        <is>
          <t>Santo Domingo</t>
        </is>
      </c>
      <c r="F179" s="5" t="inlineStr">
        <is>
          <t>Zona agrícola</t>
        </is>
      </c>
      <c r="G179" s="5" t="inlineStr">
        <is>
          <t>Agri</t>
        </is>
      </c>
      <c r="H179" s="6" t="n">
        <v>29.422</v>
      </c>
      <c r="I179" s="7">
        <f>H179/SUMIF($B$9:$B$198,B179,$H$9:$H$198)</f>
        <v/>
      </c>
      <c r="J179" s="6" t="n">
        <v>81.776</v>
      </c>
      <c r="K179" s="6">
        <f>I179*J179</f>
        <v/>
      </c>
    </row>
    <row r="180">
      <c r="A180" s="9" t="n">
        <v>172</v>
      </c>
      <c r="B180" s="9" t="inlineStr">
        <is>
          <t>78</t>
        </is>
      </c>
      <c r="C180" s="9" t="inlineStr">
        <is>
          <t>C1086-Q9570</t>
        </is>
      </c>
      <c r="D180" s="9" t="inlineStr">
        <is>
          <t>Morropón</t>
        </is>
      </c>
      <c r="E180" s="9" t="inlineStr">
        <is>
          <t>Santo Domingo</t>
        </is>
      </c>
      <c r="F180" s="9" t="inlineStr">
        <is>
          <t>Matorral andino</t>
        </is>
      </c>
      <c r="G180" s="9" t="inlineStr">
        <is>
          <t>Ma</t>
        </is>
      </c>
      <c r="H180" s="10" t="n">
        <v>26.989</v>
      </c>
      <c r="I180" s="11">
        <f>H180/SUMIF($B$9:$B$198,B180,$H$9:$H$198)</f>
        <v/>
      </c>
      <c r="J180" s="10" t="n">
        <v>35.1</v>
      </c>
      <c r="K180" s="10">
        <f>I180*J180</f>
        <v/>
      </c>
    </row>
    <row r="181">
      <c r="A181" s="5" t="n">
        <v>173</v>
      </c>
      <c r="B181" s="5" t="inlineStr">
        <is>
          <t>78</t>
        </is>
      </c>
      <c r="C181" s="5" t="inlineStr">
        <is>
          <t>C1086-Q9570</t>
        </is>
      </c>
      <c r="D181" s="5" t="inlineStr">
        <is>
          <t>Morropón</t>
        </is>
      </c>
      <c r="E181" s="5" t="inlineStr">
        <is>
          <t>Santo Domingo</t>
        </is>
      </c>
      <c r="F181" s="5" t="inlineStr">
        <is>
          <t>Zona agrícola</t>
        </is>
      </c>
      <c r="G181" s="5" t="inlineStr">
        <is>
          <t>Agri</t>
        </is>
      </c>
      <c r="H181" s="6" t="n">
        <v>8.111000000000001</v>
      </c>
      <c r="I181" s="7">
        <f>H181/SUMIF($B$9:$B$198,B181,$H$9:$H$198)</f>
        <v/>
      </c>
      <c r="J181" s="6" t="n">
        <v>35.1</v>
      </c>
      <c r="K181" s="6">
        <f>I181*J181</f>
        <v/>
      </c>
    </row>
    <row r="182">
      <c r="A182" s="9" t="n">
        <v>174</v>
      </c>
      <c r="B182" s="9" t="inlineStr">
        <is>
          <t>82</t>
        </is>
      </c>
      <c r="C182" s="9" t="inlineStr">
        <is>
          <t>C1086-Q9570</t>
        </is>
      </c>
      <c r="D182" s="9" t="inlineStr">
        <is>
          <t>Morropón</t>
        </is>
      </c>
      <c r="E182" s="9" t="inlineStr">
        <is>
          <t>Santo Domingo</t>
        </is>
      </c>
      <c r="F182" s="9" t="inlineStr">
        <is>
          <t>Matorral andino</t>
        </is>
      </c>
      <c r="G182" s="9" t="inlineStr">
        <is>
          <t>Ma</t>
        </is>
      </c>
      <c r="H182" s="10" t="n">
        <v>25.136</v>
      </c>
      <c r="I182" s="11">
        <f>H182/SUMIF($B$9:$B$198,B182,$H$9:$H$198)</f>
        <v/>
      </c>
      <c r="J182" s="10" t="n">
        <v>35.661</v>
      </c>
      <c r="K182" s="10">
        <f>I182*J182</f>
        <v/>
      </c>
    </row>
    <row r="183">
      <c r="A183" s="5" t="n">
        <v>175</v>
      </c>
      <c r="B183" s="5" t="inlineStr">
        <is>
          <t>82</t>
        </is>
      </c>
      <c r="C183" s="5" t="inlineStr">
        <is>
          <t>C1086-Q9570</t>
        </is>
      </c>
      <c r="D183" s="5" t="inlineStr">
        <is>
          <t>Morropón</t>
        </is>
      </c>
      <c r="E183" s="5" t="inlineStr">
        <is>
          <t>Santo Domingo</t>
        </is>
      </c>
      <c r="F183" s="5" t="inlineStr">
        <is>
          <t>Zona agrícola</t>
        </is>
      </c>
      <c r="G183" s="5" t="inlineStr">
        <is>
          <t>Agri</t>
        </is>
      </c>
      <c r="H183" s="6" t="n">
        <v>7.372</v>
      </c>
      <c r="I183" s="7">
        <f>H183/SUMIF($B$9:$B$198,B183,$H$9:$H$198)</f>
        <v/>
      </c>
      <c r="J183" s="6" t="n">
        <v>35.661</v>
      </c>
      <c r="K183" s="6">
        <f>I183*J183</f>
        <v/>
      </c>
    </row>
    <row r="184">
      <c r="A184" s="9" t="n">
        <v>176</v>
      </c>
      <c r="B184" s="9" t="inlineStr">
        <is>
          <t>82</t>
        </is>
      </c>
      <c r="C184" s="9" t="inlineStr">
        <is>
          <t>C1086-Q9570</t>
        </is>
      </c>
      <c r="D184" s="9" t="inlineStr">
        <is>
          <t>Morropón</t>
        </is>
      </c>
      <c r="E184" s="9" t="inlineStr">
        <is>
          <t>Santo Domingo</t>
        </is>
      </c>
      <c r="F184" s="9" t="inlineStr">
        <is>
          <t>Bosque relicto montano de vertiente occidental</t>
        </is>
      </c>
      <c r="G184" s="9" t="inlineStr">
        <is>
          <t>Br-mvoc</t>
        </is>
      </c>
      <c r="H184" s="10" t="n">
        <v>3.153</v>
      </c>
      <c r="I184" s="11">
        <f>H184/SUMIF($B$9:$B$198,B184,$H$9:$H$198)</f>
        <v/>
      </c>
      <c r="J184" s="10" t="n">
        <v>35.661</v>
      </c>
      <c r="K184" s="10">
        <f>I184*J184</f>
        <v/>
      </c>
    </row>
    <row r="185">
      <c r="A185" s="5" t="n">
        <v>177</v>
      </c>
      <c r="B185" s="5" t="inlineStr">
        <is>
          <t>M19B7</t>
        </is>
      </c>
      <c r="C185" s="5" t="inlineStr">
        <is>
          <t>C1086-Q9570</t>
        </is>
      </c>
      <c r="D185" s="5" t="inlineStr">
        <is>
          <t>Morropón</t>
        </is>
      </c>
      <c r="E185" s="5" t="inlineStr">
        <is>
          <t>Santo Domingo</t>
        </is>
      </c>
      <c r="F185" s="5" t="inlineStr">
        <is>
          <t>Zona agrícola</t>
        </is>
      </c>
      <c r="G185" s="5" t="inlineStr">
        <is>
          <t>Agri</t>
        </is>
      </c>
      <c r="H185" s="6" t="n">
        <v>29.977</v>
      </c>
      <c r="I185" s="7">
        <f>H185/SUMIF($B$9:$B$198,B185,$H$9:$H$198)</f>
        <v/>
      </c>
      <c r="J185" s="6" t="n">
        <v>34.171</v>
      </c>
      <c r="K185" s="6">
        <f>I185*J185</f>
        <v/>
      </c>
    </row>
    <row r="186">
      <c r="A186" s="9" t="n">
        <v>178</v>
      </c>
      <c r="B186" s="9" t="inlineStr">
        <is>
          <t>M19B7</t>
        </is>
      </c>
      <c r="C186" s="9" t="inlineStr">
        <is>
          <t>C1086-Q9570</t>
        </is>
      </c>
      <c r="D186" s="9" t="inlineStr">
        <is>
          <t>Morropón</t>
        </is>
      </c>
      <c r="E186" s="9" t="inlineStr">
        <is>
          <t>Santo Domingo</t>
        </is>
      </c>
      <c r="F186" s="9" t="inlineStr">
        <is>
          <t>Bosque estacionalmente seco de colina y montaña</t>
        </is>
      </c>
      <c r="G186" s="9" t="inlineStr">
        <is>
          <t>Bes-cm</t>
        </is>
      </c>
      <c r="H186" s="10" t="n">
        <v>4.194</v>
      </c>
      <c r="I186" s="11">
        <f>H186/SUMIF($B$9:$B$198,B186,$H$9:$H$198)</f>
        <v/>
      </c>
      <c r="J186" s="10" t="n">
        <v>34.171</v>
      </c>
      <c r="K186" s="10">
        <f>I186*J186</f>
        <v/>
      </c>
    </row>
    <row r="187">
      <c r="A187" s="5" t="n">
        <v>179</v>
      </c>
      <c r="B187" s="5" t="inlineStr">
        <is>
          <t>M8B2</t>
        </is>
      </c>
      <c r="C187" s="5" t="inlineStr">
        <is>
          <t>C1096-Q9558</t>
        </is>
      </c>
      <c r="D187" s="5" t="inlineStr">
        <is>
          <t>Morropón</t>
        </is>
      </c>
      <c r="E187" s="5" t="inlineStr">
        <is>
          <t>Santo Domingo</t>
        </is>
      </c>
      <c r="F187" s="5" t="inlineStr">
        <is>
          <t>Bosque estacionalmente seco de colina y montaña</t>
        </is>
      </c>
      <c r="G187" s="5" t="inlineStr">
        <is>
          <t>Bes-cm</t>
        </is>
      </c>
      <c r="H187" s="6" t="n">
        <v>20.424</v>
      </c>
      <c r="I187" s="7">
        <f>H187/SUMIF($B$9:$B$198,B187,$H$9:$H$198)</f>
        <v/>
      </c>
      <c r="J187" s="6" t="n">
        <v>35.347</v>
      </c>
      <c r="K187" s="6">
        <f>I187*J187</f>
        <v/>
      </c>
    </row>
    <row r="188">
      <c r="A188" s="9" t="n">
        <v>180</v>
      </c>
      <c r="B188" s="9" t="inlineStr">
        <is>
          <t>M8B2</t>
        </is>
      </c>
      <c r="C188" s="9" t="inlineStr">
        <is>
          <t>C1096-Q9558</t>
        </is>
      </c>
      <c r="D188" s="9" t="inlineStr">
        <is>
          <t>Morropón</t>
        </is>
      </c>
      <c r="E188" s="9" t="inlineStr">
        <is>
          <t>Santo Domingo</t>
        </is>
      </c>
      <c r="F188" s="9" t="inlineStr">
        <is>
          <t>Zona agrícola</t>
        </is>
      </c>
      <c r="G188" s="9" t="inlineStr">
        <is>
          <t>Agri</t>
        </is>
      </c>
      <c r="H188" s="10" t="n">
        <v>14.923</v>
      </c>
      <c r="I188" s="11">
        <f>H188/SUMIF($B$9:$B$198,B188,$H$9:$H$198)</f>
        <v/>
      </c>
      <c r="J188" s="10" t="n">
        <v>35.347</v>
      </c>
      <c r="K188" s="10">
        <f>I188*J188</f>
        <v/>
      </c>
    </row>
    <row r="189">
      <c r="A189" s="5" t="n">
        <v>181</v>
      </c>
      <c r="B189" s="5" t="inlineStr">
        <is>
          <t>49</t>
        </is>
      </c>
      <c r="C189" s="5" t="inlineStr">
        <is>
          <t>C1086-Q9575</t>
        </is>
      </c>
      <c r="D189" s="5" t="inlineStr">
        <is>
          <t>Morropón</t>
        </is>
      </c>
      <c r="E189" s="5" t="inlineStr">
        <is>
          <t>Yamango</t>
        </is>
      </c>
      <c r="F189" s="5" t="inlineStr">
        <is>
          <t>Zona agrícola</t>
        </is>
      </c>
      <c r="G189" s="5" t="inlineStr">
        <is>
          <t>Agri</t>
        </is>
      </c>
      <c r="H189" s="6" t="n">
        <v>11.035</v>
      </c>
      <c r="I189" s="7">
        <f>H189/SUMIF($B$9:$B$198,B189,$H$9:$H$198)</f>
        <v/>
      </c>
      <c r="J189" s="6" t="n">
        <v>15.839</v>
      </c>
      <c r="K189" s="6">
        <f>I189*J189</f>
        <v/>
      </c>
    </row>
    <row r="190">
      <c r="A190" s="9" t="n">
        <v>182</v>
      </c>
      <c r="B190" s="9" t="inlineStr">
        <is>
          <t>49</t>
        </is>
      </c>
      <c r="C190" s="9" t="inlineStr">
        <is>
          <t>C1086-Q9575</t>
        </is>
      </c>
      <c r="D190" s="9" t="inlineStr">
        <is>
          <t>Morropón</t>
        </is>
      </c>
      <c r="E190" s="9" t="inlineStr">
        <is>
          <t>Yamango</t>
        </is>
      </c>
      <c r="F190" s="9" t="inlineStr">
        <is>
          <t>Matorral andino</t>
        </is>
      </c>
      <c r="G190" s="9" t="inlineStr">
        <is>
          <t>Ma</t>
        </is>
      </c>
      <c r="H190" s="10" t="n">
        <v>4.804</v>
      </c>
      <c r="I190" s="11">
        <f>H190/SUMIF($B$9:$B$198,B190,$H$9:$H$198)</f>
        <v/>
      </c>
      <c r="J190" s="10" t="n">
        <v>15.839</v>
      </c>
      <c r="K190" s="10">
        <f>I190*J190</f>
        <v/>
      </c>
    </row>
    <row r="191">
      <c r="A191" s="5" t="n">
        <v>183</v>
      </c>
      <c r="B191" s="5" t="inlineStr">
        <is>
          <t>52</t>
        </is>
      </c>
      <c r="C191" s="5" t="inlineStr">
        <is>
          <t>C1086-Q9575</t>
        </is>
      </c>
      <c r="D191" s="5" t="inlineStr">
        <is>
          <t>Morropón</t>
        </is>
      </c>
      <c r="E191" s="5" t="inlineStr">
        <is>
          <t>Yamango</t>
        </is>
      </c>
      <c r="F191" s="5" t="inlineStr">
        <is>
          <t>Zona agrícola</t>
        </is>
      </c>
      <c r="G191" s="5" t="inlineStr">
        <is>
          <t>Agri</t>
        </is>
      </c>
      <c r="H191" s="6" t="n">
        <v>6.73</v>
      </c>
      <c r="I191" s="7">
        <f>H191/SUMIF($B$9:$B$198,B191,$H$9:$H$198)</f>
        <v/>
      </c>
      <c r="J191" s="6" t="n">
        <v>11.059</v>
      </c>
      <c r="K191" s="6">
        <f>I191*J191</f>
        <v/>
      </c>
    </row>
    <row r="192">
      <c r="A192" s="9" t="n">
        <v>184</v>
      </c>
      <c r="B192" s="9" t="inlineStr">
        <is>
          <t>52</t>
        </is>
      </c>
      <c r="C192" s="9" t="inlineStr">
        <is>
          <t>C1086-Q9575</t>
        </is>
      </c>
      <c r="D192" s="9" t="inlineStr">
        <is>
          <t>Morropón</t>
        </is>
      </c>
      <c r="E192" s="9" t="inlineStr">
        <is>
          <t>Yamango</t>
        </is>
      </c>
      <c r="F192" s="9" t="inlineStr">
        <is>
          <t>Matorral andino</t>
        </is>
      </c>
      <c r="G192" s="9" t="inlineStr">
        <is>
          <t>Ma</t>
        </is>
      </c>
      <c r="H192" s="10" t="n">
        <v>4.33</v>
      </c>
      <c r="I192" s="11">
        <f>H192/SUMIF($B$9:$B$198,B192,$H$9:$H$198)</f>
        <v/>
      </c>
      <c r="J192" s="10" t="n">
        <v>11.059</v>
      </c>
      <c r="K192" s="10">
        <f>I192*J192</f>
        <v/>
      </c>
    </row>
    <row r="193">
      <c r="A193" s="5" t="n">
        <v>185</v>
      </c>
      <c r="B193" s="5" t="inlineStr">
        <is>
          <t>55</t>
        </is>
      </c>
      <c r="C193" s="5" t="inlineStr">
        <is>
          <t>C1086-Q9575</t>
        </is>
      </c>
      <c r="D193" s="5" t="inlineStr">
        <is>
          <t>Morropón</t>
        </is>
      </c>
      <c r="E193" s="5" t="inlineStr">
        <is>
          <t>Yamango</t>
        </is>
      </c>
      <c r="F193" s="5" t="inlineStr">
        <is>
          <t>Zona agrícola</t>
        </is>
      </c>
      <c r="G193" s="5" t="inlineStr">
        <is>
          <t>Agri</t>
        </is>
      </c>
      <c r="H193" s="6" t="n">
        <v>0.859</v>
      </c>
      <c r="I193" s="7">
        <f>H193/SUMIF($B$9:$B$198,B193,$H$9:$H$198)</f>
        <v/>
      </c>
      <c r="J193" s="6" t="n">
        <v>0.859</v>
      </c>
      <c r="K193" s="6">
        <f>I193*J193</f>
        <v/>
      </c>
    </row>
    <row r="194">
      <c r="A194" s="9" t="n">
        <v>186</v>
      </c>
      <c r="B194" s="9" t="inlineStr">
        <is>
          <t>M28B2</t>
        </is>
      </c>
      <c r="C194" s="9" t="inlineStr">
        <is>
          <t>C1086-Q9575</t>
        </is>
      </c>
      <c r="D194" s="9" t="inlineStr">
        <is>
          <t>Morropón</t>
        </is>
      </c>
      <c r="E194" s="9" t="inlineStr">
        <is>
          <t>Yamango</t>
        </is>
      </c>
      <c r="F194" s="9" t="inlineStr">
        <is>
          <t>Bosque estacionalmente seco de colina y montaña</t>
        </is>
      </c>
      <c r="G194" s="9" t="inlineStr">
        <is>
          <t>Bes-cm</t>
        </is>
      </c>
      <c r="H194" s="10" t="n">
        <v>89.43300000000001</v>
      </c>
      <c r="I194" s="11">
        <f>H194/SUMIF($B$9:$B$198,B194,$H$9:$H$198)</f>
        <v/>
      </c>
      <c r="J194" s="10" t="n">
        <v>90.197</v>
      </c>
      <c r="K194" s="10">
        <f>I194*J194</f>
        <v/>
      </c>
    </row>
    <row r="195">
      <c r="A195" s="5" t="n">
        <v>187</v>
      </c>
      <c r="B195" s="5" t="inlineStr">
        <is>
          <t>M28B2</t>
        </is>
      </c>
      <c r="C195" s="5" t="inlineStr">
        <is>
          <t>C1086-Q9575</t>
        </is>
      </c>
      <c r="D195" s="5" t="inlineStr">
        <is>
          <t>Morropón</t>
        </is>
      </c>
      <c r="E195" s="5" t="inlineStr">
        <is>
          <t>Yamango</t>
        </is>
      </c>
      <c r="F195" s="5" t="inlineStr">
        <is>
          <t>Zona agrícola</t>
        </is>
      </c>
      <c r="G195" s="5" t="inlineStr">
        <is>
          <t>Agri</t>
        </is>
      </c>
      <c r="H195" s="6" t="n">
        <v>0.764</v>
      </c>
      <c r="I195" s="7">
        <f>H195/SUMIF($B$9:$B$198,B195,$H$9:$H$198)</f>
        <v/>
      </c>
      <c r="J195" s="6" t="n">
        <v>90.197</v>
      </c>
      <c r="K195" s="6">
        <f>I195*J195</f>
        <v/>
      </c>
    </row>
    <row r="196">
      <c r="A196" s="9" t="n">
        <v>188</v>
      </c>
      <c r="B196" s="9" t="inlineStr">
        <is>
          <t>M28B3</t>
        </is>
      </c>
      <c r="C196" s="9" t="inlineStr">
        <is>
          <t>C1086-Q9575</t>
        </is>
      </c>
      <c r="D196" s="9" t="inlineStr">
        <is>
          <t>Morropón</t>
        </is>
      </c>
      <c r="E196" s="9" t="inlineStr">
        <is>
          <t>Yamango</t>
        </is>
      </c>
      <c r="F196" s="9" t="inlineStr">
        <is>
          <t>Bosque estacionalmente seco de colina y montaña</t>
        </is>
      </c>
      <c r="G196" s="9" t="inlineStr">
        <is>
          <t>Bes-cm</t>
        </is>
      </c>
      <c r="H196" s="10" t="n">
        <v>54.721</v>
      </c>
      <c r="I196" s="11">
        <f>H196/SUMIF($B$9:$B$198,B196,$H$9:$H$198)</f>
        <v/>
      </c>
      <c r="J196" s="10" t="n">
        <v>58.292</v>
      </c>
      <c r="K196" s="10">
        <f>I196*J196</f>
        <v/>
      </c>
    </row>
    <row r="197">
      <c r="A197" s="5" t="n">
        <v>189</v>
      </c>
      <c r="B197" s="5" t="inlineStr">
        <is>
          <t>M28B3</t>
        </is>
      </c>
      <c r="C197" s="5" t="inlineStr">
        <is>
          <t>C1086-Q9575</t>
        </is>
      </c>
      <c r="D197" s="5" t="inlineStr">
        <is>
          <t>Morropón</t>
        </is>
      </c>
      <c r="E197" s="5" t="inlineStr">
        <is>
          <t>Yamango</t>
        </is>
      </c>
      <c r="F197" s="5" t="inlineStr">
        <is>
          <t>Zona agrícola</t>
        </is>
      </c>
      <c r="G197" s="5" t="inlineStr">
        <is>
          <t>Agri</t>
        </is>
      </c>
      <c r="H197" s="6" t="n">
        <v>3.571</v>
      </c>
      <c r="I197" s="7">
        <f>H197/SUMIF($B$9:$B$198,B197,$H$9:$H$198)</f>
        <v/>
      </c>
      <c r="J197" s="6" t="n">
        <v>58.292</v>
      </c>
      <c r="K197" s="6">
        <f>I197*J197</f>
        <v/>
      </c>
    </row>
    <row r="198">
      <c r="A198" s="9" t="n">
        <v>190</v>
      </c>
      <c r="B198" s="9" t="inlineStr">
        <is>
          <t>M28B4</t>
        </is>
      </c>
      <c r="C198" s="9" t="inlineStr">
        <is>
          <t>C1086-Q9575</t>
        </is>
      </c>
      <c r="D198" s="9" t="inlineStr">
        <is>
          <t>Morropón</t>
        </is>
      </c>
      <c r="E198" s="9" t="inlineStr">
        <is>
          <t>Yamango</t>
        </is>
      </c>
      <c r="F198" s="9" t="inlineStr">
        <is>
          <t>Bosque estacionalmente seco de colina y montaña</t>
        </is>
      </c>
      <c r="G198" s="9" t="inlineStr">
        <is>
          <t>Bes-cm</t>
        </is>
      </c>
      <c r="H198" s="10" t="n">
        <v>283.428</v>
      </c>
      <c r="I198" s="11">
        <f>H198/SUMIF($B$9:$B$198,B198,$H$9:$H$198)</f>
        <v/>
      </c>
      <c r="J198" s="10" t="n">
        <v>283.428</v>
      </c>
      <c r="K198" s="10">
        <f>I198*J198</f>
        <v/>
      </c>
    </row>
    <row r="199">
      <c r="A199" s="13" t="inlineStr">
        <is>
          <t>TOTAL</t>
        </is>
      </c>
      <c r="B199" s="13" t="n"/>
      <c r="C199" s="13" t="n"/>
      <c r="D199" s="13" t="n"/>
      <c r="E199" s="13" t="n"/>
      <c r="F199" s="13" t="n"/>
      <c r="G199" s="13" t="n"/>
      <c r="H199" s="14">
        <f>SUM(H9:H198)</f>
        <v/>
      </c>
      <c r="I199" s="13" t="n"/>
      <c r="J199" s="13" t="n"/>
      <c r="K199" s="14">
        <f>SUM(K9:K198)</f>
        <v/>
      </c>
    </row>
  </sheetData>
  <autoFilter ref="A8:K198"/>
  <mergeCells count="6">
    <mergeCell ref="A6:K6"/>
    <mergeCell ref="A4:K4"/>
    <mergeCell ref="A3:K3"/>
    <mergeCell ref="A2:K2"/>
    <mergeCell ref="A5:K5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7" t="inlineStr">
        <is>
          <t>NOTAS Y CONTROLES</t>
        </is>
      </c>
    </row>
    <row r="2">
      <c r="A2" s="18" t="inlineStr">
        <is>
          <t>Capa de ecosistemas: Mapa Nacional de Ecosistemas del Perú, MINAM 2018 (R.M. N.° 440-2018-MINAM): recorte a microcuencas, completado en M27B1 y M9B1 con el recorte a esos bloques.</t>
        </is>
      </c>
    </row>
    <row r="3">
      <c r="A3" s="18" t="inlineStr">
        <is>
          <t>Los ecosistemas se recortaron al ámbito de 15 distritos (INEI, capa simplificada) y se reproyectaron a UTM WGS84 Zona 17S (EPSG:32717). Áreas calculadas en UTM.</t>
        </is>
      </c>
    </row>
    <row r="4">
      <c r="A4" s="18" t="inlineStr">
        <is>
          <t>Bloque_Ecosistema: intersección de cada bloque V6 con los ecosistemas. «% del bloque» = área geométrica del tramo / área geométrica del bloque (fórmula SUMIF).</t>
        </is>
      </c>
    </row>
    <row r="5">
      <c r="A5" s="18" t="inlineStr">
        <is>
          <t>«Área prorrateada» = % del bloque × área del bloque en el catálogo V6, para que el total coincida con 12,270.235 ha. Los resúmenes usan esta área.</t>
        </is>
      </c>
    </row>
    <row r="6">
      <c r="A6" s="18" t="inlineStr">
        <is>
          <t>«Sin información de ecosistema»: parte del bloque que la capa de ecosistemas no cubre (si aparece, revise la capa).</t>
        </is>
      </c>
    </row>
    <row r="7">
      <c r="A7" s="18" t="inlineStr">
        <is>
          <t>% del ecosistema intervenido = área del ecosistema en bloques / área del ecosistema en el ámbito (15 distritos).</t>
        </is>
      </c>
    </row>
    <row r="8">
      <c r="A8" s="18" t="inlineStr">
        <is>
          <t>Se excluyen los bloques retirados 74 y 75 (ver README_LIBERACION_AREAS.md).</t>
        </is>
      </c>
    </row>
    <row r="9">
      <c r="A9" s="18" t="inlineStr">
        <is>
          <t>Escala: el Mapa Nacional de Ecosistemas es de escala regional; el ecosistema de cada bloque debe confirmarse en campo (F-DT-03, «Tipo de ecosistema (UP)»).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2026-10-05T22:34:41Z</dcterms:created>
  <dcterms:modified xsi:type="dcterms:W3CDTF">2026-10-05T22:34:41Z</dcterms:modified>
</cp:coreProperties>
</file>